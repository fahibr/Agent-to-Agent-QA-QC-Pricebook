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ersons/person.xml" ContentType="application/vnd.ms-excel.person+xml"/>
  <Override PartName="/xl/calcChain.xml" ContentType="application/vnd.openxmlformats-officedocument.spreadsheetml.calcChain+xml"/>
  <Override PartName="/docMetadata/LabelInfo.xml" ContentType="application/vnd.ms-office.classificationlabels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026" codeName="{28389E77-7640-9E18-AD5C-E98E2F4A8B83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assaabloyapc-my.sharepoint.com/personal/fahmi_ibrahim_assaabloy_com/Documents/Desktop/AAOS_UAT/Automate Pricebook Development/AI-Agent/"/>
    </mc:Choice>
  </mc:AlternateContent>
  <xr:revisionPtr revIDLastSave="47" documentId="11_35D6E276AAB5517920726C4A7CBB0D45B88F53CA" xr6:coauthVersionLast="47" xr6:coauthVersionMax="47" xr10:uidLastSave="{3B918D8A-3235-4CCB-BCE3-7C4FF9332E39}"/>
  <bookViews>
    <workbookView xWindow="-120" yWindow="-120" windowWidth="29040" windowHeight="17520" tabRatio="1000" firstSheet="14" activeTab="17" xr2:uid="{00000000-000D-0000-FFFF-FFFF00000000}"/>
  </bookViews>
  <sheets>
    <sheet name="Summary" sheetId="1" r:id="rId1"/>
    <sheet name="AASTV" sheetId="2" r:id="rId2"/>
    <sheet name="ABLOY" sheetId="3" r:id="rId3"/>
    <sheet name="Americas" sheetId="4" r:id="rId4"/>
    <sheet name="Angel" sheetId="5" r:id="rId5"/>
    <sheet name="Aperio" sheetId="6" r:id="rId6"/>
    <sheet name="Chubb Custodial" sheetId="7" r:id="rId7"/>
    <sheet name="Control iD" sheetId="8" r:id="rId8"/>
    <sheet name="Ditec" sheetId="9" r:id="rId9"/>
    <sheet name="effeff" sheetId="10" r:id="rId10"/>
    <sheet name="Guli" sheetId="11" r:id="rId11"/>
    <sheet name="Guoqiang" sheetId="12" r:id="rId12"/>
    <sheet name="Henderson" sheetId="13" r:id="rId13"/>
    <sheet name="IKON" sheetId="14" r:id="rId14"/>
    <sheet name="KESO" sheetId="15" r:id="rId15"/>
    <sheet name="King" sheetId="16" r:id="rId16"/>
    <sheet name="Lorient" sheetId="17" r:id="rId17"/>
    <sheet name="MAB" sheetId="18" r:id="rId18"/>
    <sheet name="Planet" sheetId="19" r:id="rId19"/>
    <sheet name="Roger" sheetId="20" r:id="rId20"/>
    <sheet name="Shenfei" sheetId="21" r:id="rId21"/>
    <sheet name="TESA" sheetId="22" r:id="rId22"/>
    <sheet name="Trimec &amp; Lockwood" sheetId="23" r:id="rId23"/>
    <sheet name="Unilock" sheetId="24" r:id="rId24"/>
    <sheet name="Valli" sheetId="25" r:id="rId25"/>
    <sheet name="Atnesis" sheetId="26" r:id="rId26"/>
    <sheet name="Bircher" sheetId="27" r:id="rId27"/>
    <sheet name="Camax" sheetId="28" r:id="rId28"/>
    <sheet name="Daedalus" sheetId="29" r:id="rId29"/>
    <sheet name="Di Nuo" sheetId="30" r:id="rId30"/>
    <sheet name="Dortec" sheetId="31" r:id="rId31"/>
    <sheet name="Fu Hsing" sheetId="32" r:id="rId32"/>
    <sheet name="Fuerda" sheetId="33" r:id="rId33"/>
    <sheet name="GHL" sheetId="34" r:id="rId34"/>
    <sheet name="Hezhi" sheetId="35" r:id="rId35"/>
    <sheet name="Hua Feng" sheetId="36" r:id="rId36"/>
    <sheet name="Jiangsu" sheetId="37" r:id="rId37"/>
    <sheet name="Jixin" sheetId="38" r:id="rId38"/>
    <sheet name="Kaisite" sheetId="39" r:id="rId39"/>
    <sheet name="Lao Lun Si" sheetId="40" r:id="rId40"/>
    <sheet name="Liko" sheetId="41" r:id="rId41"/>
    <sheet name="Limai" sheetId="42" r:id="rId42"/>
    <sheet name="QH Metal" sheetId="43" r:id="rId43"/>
    <sheet name="Unity" sheetId="44" r:id="rId44"/>
    <sheet name="Xingtai" sheetId="45" r:id="rId45"/>
    <sheet name="YLI" sheetId="46" r:id="rId46"/>
    <sheet name="Zhisheng" sheetId="47" r:id="rId47"/>
  </sheets>
  <definedNames>
    <definedName name="_xlnm._FilterDatabase" localSheetId="3" hidden="1">Americas!$A$4:$U$141</definedName>
    <definedName name="_xlnm._FilterDatabase" localSheetId="9" hidden="1">effeff!$A$4:$U$107</definedName>
    <definedName name="_xlnm._FilterDatabase" localSheetId="12" hidden="1">Henderson!$A$4:$U$81</definedName>
    <definedName name="_xlnm._FilterDatabase" localSheetId="13" hidden="1">IKON!$A$4:$U$111</definedName>
    <definedName name="_xlnm._FilterDatabase" localSheetId="17" hidden="1">MAB!$A$4:$U$107</definedName>
    <definedName name="_xlnm._FilterDatabase" localSheetId="22" hidden="1">'Trimec &amp; Lockwood'!$A$4:$U$29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O11" i="9" l="1"/>
  <c r="O10" i="9"/>
  <c r="O9" i="9"/>
  <c r="O8" i="9"/>
  <c r="O7" i="9"/>
  <c r="O6" i="9"/>
  <c r="O5" i="9"/>
  <c r="N74" i="2"/>
  <c r="N72" i="2"/>
  <c r="E50" i="1"/>
  <c r="E44" i="1"/>
  <c r="E38" i="1"/>
  <c r="E37" i="1"/>
  <c r="E30" i="1"/>
  <c r="E22" i="1"/>
  <c r="E20" i="1"/>
  <c r="E13" i="1"/>
  <c r="E4" i="1"/>
</calcChain>
</file>

<file path=xl/sharedStrings.xml><?xml version="1.0" encoding="utf-8"?>
<sst xmlns="http://schemas.openxmlformats.org/spreadsheetml/2006/main" count="38287" uniqueCount="5778">
  <si>
    <t>Master Price List - effeff</t>
  </si>
  <si>
    <t>Product Category - Electric Strike, Lockset, Drop Bolt, Electromagnetic Lock, Arrester System</t>
  </si>
  <si>
    <t>LC</t>
  </si>
  <si>
    <t>No</t>
  </si>
  <si>
    <t>Brand</t>
  </si>
  <si>
    <t>Supplier</t>
  </si>
  <si>
    <t>Product Category Code</t>
  </si>
  <si>
    <t>Product Category</t>
  </si>
  <si>
    <t>Brand Code</t>
  </si>
  <si>
    <t>Model (Item Code)</t>
  </si>
  <si>
    <t>Finish</t>
  </si>
  <si>
    <t>Description</t>
  </si>
  <si>
    <t>Unit</t>
  </si>
  <si>
    <t>Finish Code</t>
  </si>
  <si>
    <t>Country of Origin</t>
  </si>
  <si>
    <t>HS Code</t>
  </si>
  <si>
    <t>MOQ</t>
  </si>
  <si>
    <t>Lead Time (Days)</t>
  </si>
  <si>
    <t>EPD</t>
  </si>
  <si>
    <t>Project/ Spec Price</t>
  </si>
  <si>
    <t>Commercial</t>
  </si>
  <si>
    <t>Residential</t>
  </si>
  <si>
    <t>effeff</t>
  </si>
  <si>
    <t>ASSA ABLOY Sicherheitstechnik GmbH</t>
  </si>
  <si>
    <t>ES</t>
  </si>
  <si>
    <t>Electric Strike</t>
  </si>
  <si>
    <t>AB</t>
  </si>
  <si>
    <t>112----11440D11</t>
  </si>
  <si>
    <t>Stainless steel</t>
  </si>
  <si>
    <t>E-strike for sliding gates</t>
  </si>
  <si>
    <t>EA</t>
  </si>
  <si>
    <t>SS</t>
  </si>
  <si>
    <t>Germany</t>
  </si>
  <si>
    <t>10 working days</t>
  </si>
  <si>
    <t>Yes</t>
  </si>
  <si>
    <t>LO</t>
  </si>
  <si>
    <t>Lockset</t>
  </si>
  <si>
    <t>1112---------00</t>
  </si>
  <si>
    <t>Hook lock for e-strike model 1112</t>
  </si>
  <si>
    <t>BO</t>
  </si>
  <si>
    <t>Drop Bolt</t>
  </si>
  <si>
    <t>843G-1-----Q41</t>
  </si>
  <si>
    <t>-</t>
  </si>
  <si>
    <t>Heavy duty drop bolt</t>
  </si>
  <si>
    <t>New Zealand</t>
  </si>
  <si>
    <t>EM</t>
  </si>
  <si>
    <t>Electromechanical Lock</t>
  </si>
  <si>
    <t>519NE0014900000</t>
  </si>
  <si>
    <t>OneSystem motorized high security MPL lock, with 55mm backset</t>
  </si>
  <si>
    <t>15 working days</t>
  </si>
  <si>
    <t>N5951000PILL000</t>
  </si>
  <si>
    <t>HIO Module for 519N lock</t>
  </si>
  <si>
    <t>N59550010000000</t>
  </si>
  <si>
    <t>Connection cable for 519N lock</t>
  </si>
  <si>
    <t>819ZBS0213SBL00</t>
  </si>
  <si>
    <t>Strike plate for 519N lock</t>
  </si>
  <si>
    <t>609-502PZ-----1</t>
  </si>
  <si>
    <t>Mediator lock with 55mm backset and 72mm distance</t>
  </si>
  <si>
    <t>Finland</t>
  </si>
  <si>
    <t>65-----31A35E91</t>
  </si>
  <si>
    <t>Mediator e-strike</t>
  </si>
  <si>
    <t>118----10635A71</t>
  </si>
  <si>
    <t>E-strike model 118 with short strike plate</t>
  </si>
  <si>
    <t>5 working days</t>
  </si>
  <si>
    <t>118----02135A71</t>
  </si>
  <si>
    <t>E-strike model 118 with long strike plate</t>
  </si>
  <si>
    <t>118RR--10635A71</t>
  </si>
  <si>
    <t>E-strike model 118 with monitoring and short strike plate</t>
  </si>
  <si>
    <t>118RR--02135A71</t>
  </si>
  <si>
    <t>E-strike model 118 with monitoring and long strike plate</t>
  </si>
  <si>
    <t>118F---10635A71</t>
  </si>
  <si>
    <t>E-strike model 118F (fire rated) with short strike plate</t>
  </si>
  <si>
    <t>118F---02135A71</t>
  </si>
  <si>
    <t>E-strike model 118F (fire rated) with long strike plate</t>
  </si>
  <si>
    <t>118FRR-10635A71</t>
  </si>
  <si>
    <t>E-strike model 118F (fire rated) with monitoring and short strike plate</t>
  </si>
  <si>
    <t>118FRR-02135A71</t>
  </si>
  <si>
    <t>E-strike model 118F (fire rated) with monitoring and long strike plate</t>
  </si>
  <si>
    <t>118.13-68835A71</t>
  </si>
  <si>
    <t>E-strike model 118.13 (Profix2) with short strike plate</t>
  </si>
  <si>
    <t>118.13-69135A71</t>
  </si>
  <si>
    <t>E-strike model 118.13 (Profix2) with long strike plate</t>
  </si>
  <si>
    <t>118.23-68835A71</t>
  </si>
  <si>
    <t>E-strike model 118.13 (Profix2) with monitoring and short strike plate</t>
  </si>
  <si>
    <t>118.23-69135A71</t>
  </si>
  <si>
    <t>E-strike model 118.13 (Profix2) with monitoring and long strike plate</t>
  </si>
  <si>
    <t>118F.2368835A71</t>
  </si>
  <si>
    <t>E-strike model 118F.13 (Profix2 fire rated) with monitoring and short strike plate</t>
  </si>
  <si>
    <t>118F.2369135A71</t>
  </si>
  <si>
    <t>E-strike model 118F.13 (Profix2 fire rated) with monitoring and long strike plate</t>
  </si>
  <si>
    <t>1049.10RR---Q31</t>
  </si>
  <si>
    <t>Cabinet lock 1049.10RR</t>
  </si>
  <si>
    <t>AS</t>
  </si>
  <si>
    <t>Arrester System</t>
  </si>
  <si>
    <t>830-8BW2U---F90</t>
  </si>
  <si>
    <t>Arrester system with spacer convertible for wall or floor mount with interrupter pushbutton</t>
  </si>
  <si>
    <t>830--H2------00</t>
  </si>
  <si>
    <t>Counter holding plate for arrester system 830</t>
  </si>
  <si>
    <t>351M.80-----N91</t>
  </si>
  <si>
    <t>E-strike model 351M.80</t>
  </si>
  <si>
    <t>934UR0940335Q91</t>
  </si>
  <si>
    <t xml:space="preserve">e-strike for glass doors, for glass door </t>
  </si>
  <si>
    <t>9338RR------E91</t>
  </si>
  <si>
    <t>UNISTRIKE with monitoring, 12VDC</t>
  </si>
  <si>
    <t>9338RR-34G35E91</t>
  </si>
  <si>
    <t>UNISTRIKE with monitoring and strike plate, 12VDC</t>
  </si>
  <si>
    <t>9338RR-34G35F91</t>
  </si>
  <si>
    <t>UNISTRIKE with monitoring and strike plate, 24VDC</t>
  </si>
  <si>
    <t>9338RR------F91</t>
  </si>
  <si>
    <t>UNISTRIKE with monitoring, 24VDC</t>
  </si>
  <si>
    <t>9338---------00</t>
  </si>
  <si>
    <t>Magnetic latch for UNISTRIKE</t>
  </si>
  <si>
    <t>9338----1N-9100</t>
  </si>
  <si>
    <t>Housing for UNISTRIKE</t>
  </si>
  <si>
    <t>9338-SET---9100</t>
  </si>
  <si>
    <t>Housing for UNISTRIKE (magnetic latch counterpart)</t>
  </si>
  <si>
    <t>9338-3--W1-9100</t>
  </si>
  <si>
    <t>L-bracket for UNISTRIKE</t>
  </si>
  <si>
    <t>EL</t>
  </si>
  <si>
    <t>Electromagnetic Locking Devices</t>
  </si>
  <si>
    <t xml:space="preserve">843-4-------Q41 </t>
  </si>
  <si>
    <t>Stainless Steel</t>
  </si>
  <si>
    <t>Electric drop bolt (model 843) fail safe mode 12-24 V DC, incl. strike plate (short)</t>
  </si>
  <si>
    <t>SET</t>
  </si>
  <si>
    <t xml:space="preserve">ASSA ABLOY </t>
  </si>
  <si>
    <t>N1000000811000K</t>
  </si>
  <si>
    <t>OneSystem standard commercial lock, non fire rated, 55mm backset</t>
  </si>
  <si>
    <t>Romania</t>
  </si>
  <si>
    <t>N1050000911000K</t>
  </si>
  <si>
    <t>OneSystem standard commercial lock, fire rated, 55mm backset</t>
  </si>
  <si>
    <t>N10010008A1000K</t>
  </si>
  <si>
    <t>OneSystem standard commercial bathroom lock, 55mm backset</t>
  </si>
  <si>
    <t>N60010003010000</t>
  </si>
  <si>
    <t>OneSystem strike plate for standard commercial locks</t>
  </si>
  <si>
    <t>N51000000000002</t>
  </si>
  <si>
    <t>OneSystem Top lock</t>
  </si>
  <si>
    <t>N69010003410000</t>
  </si>
  <si>
    <t>OneSystem Strike plate for top lock</t>
  </si>
  <si>
    <t>Poland</t>
  </si>
  <si>
    <t>N51010015000000</t>
  </si>
  <si>
    <t>OneSystem Top rod</t>
  </si>
  <si>
    <t>N51300010000000</t>
  </si>
  <si>
    <t>OneSystem Bottom rod</t>
  </si>
  <si>
    <t>Netherlands</t>
  </si>
  <si>
    <t>N51500000000000</t>
  </si>
  <si>
    <t>OneSystem Bottom rod guide</t>
  </si>
  <si>
    <t>N51400000000000</t>
  </si>
  <si>
    <t>OneSystem Floor Bush</t>
  </si>
  <si>
    <t>China/EMEIA</t>
  </si>
  <si>
    <t>MAG-600MM------</t>
  </si>
  <si>
    <t>Aluminium finish</t>
  </si>
  <si>
    <t>Mini-Magnet 600 LBS, 12-24V DC, mortised mounted</t>
  </si>
  <si>
    <t>AL</t>
  </si>
  <si>
    <t>MAG-600MM-----H</t>
  </si>
  <si>
    <t>Mini-Magnet 600 LBS, 12-24V DC, mortised mounted, Hall-Sensor</t>
  </si>
  <si>
    <t>MAG-600SM------</t>
  </si>
  <si>
    <t>Mini-Magnet 600 LBS, 12-24V DC, surface mounted</t>
  </si>
  <si>
    <t>MAG-600SM-----H</t>
  </si>
  <si>
    <t>Mini-Magnet 600 LBS, 12-24V DC, surface mounted, Hall-Sensor</t>
  </si>
  <si>
    <t>MAG-600SM-UL--H</t>
  </si>
  <si>
    <t>Mini-Magnet 600 LBS, 12-24V DC, surface mounted, Hall-Sensor, UL-Certificate</t>
  </si>
  <si>
    <t>MAGD-600SM-----</t>
  </si>
  <si>
    <t>Double-Mini-Magnet 600 LBS, 12-24V DC, surface mounted</t>
  </si>
  <si>
    <t>MAGD600SM-----H</t>
  </si>
  <si>
    <t>Double-Mini-Magnet 600 LBS, 12-24V DC, surface mounted, Hall-Sensor</t>
  </si>
  <si>
    <t>MAGD-600SM-UL-H</t>
  </si>
  <si>
    <t>Double-Mini-Magnet 600 LBS, 12-24V DC, surface mounted, Hall-Sensor, UL Certificate</t>
  </si>
  <si>
    <t>MAG-1200SM----</t>
  </si>
  <si>
    <t>Maxi-Magnet 1200 LBS, 12-24V DC, surface mounted</t>
  </si>
  <si>
    <t>MAG-1200SM----H</t>
  </si>
  <si>
    <t>Maxi-Magnet 1200 LBS, 12-24V DC, surface mounted, Hall-Sensor</t>
  </si>
  <si>
    <t>MAG-1200SM---TH</t>
  </si>
  <si>
    <t>Maxi-Magnet 1200 LBS, 12-24V DC, surface mounted, Hall-Sensor, Timer</t>
  </si>
  <si>
    <t>MAG-1200SM-UL-H</t>
  </si>
  <si>
    <t>Maxi-Magnet 1200 LBS, 12-24V DC, surface mounted, Hall-Sensor, UL Certificate</t>
  </si>
  <si>
    <t>MAGD-1200SM----</t>
  </si>
  <si>
    <t>Double-Maxi-Magnet 1200 LBS, 12-24V DC, surface mounted</t>
  </si>
  <si>
    <t>MAGD1200SM----H</t>
  </si>
  <si>
    <t>Double-Maxi-Magnet 1200 LBS, 12-24V DC, surface mounted, Hall-Sensor</t>
  </si>
  <si>
    <t>MAGD1200SM-UL-H</t>
  </si>
  <si>
    <t>Double-Maxi-Magnet 1200 LBS, 12-24V DC, surface mounted, Hall-Sensor, UL-Certificate</t>
  </si>
  <si>
    <t>MAGG1200SM-----</t>
  </si>
  <si>
    <t>Gate-Magnet 1200 LBS, 12-24V DC, surface mounted</t>
  </si>
  <si>
    <t>MAGG1200SM----H</t>
  </si>
  <si>
    <t>Gate-Magnet 1200 LBS, 12-24V DC, surface mounted, Hall-Sensor</t>
  </si>
  <si>
    <t>MAGS1600MM-----</t>
  </si>
  <si>
    <t>Mini-Shear-Magnet 1600 LBS, 12-24V DC</t>
  </si>
  <si>
    <t>MAGS1600MM----H</t>
  </si>
  <si>
    <t>Mini-Shear-Magnet 1600 LBS, 12-24V DC, Hall-Sensor</t>
  </si>
  <si>
    <t>MAGS4200MM---30</t>
  </si>
  <si>
    <t>Maxi-Shear-Magnet 4200 LBS, 12-24V DC, forend 30mm</t>
  </si>
  <si>
    <t>MAGS4200MM---35</t>
  </si>
  <si>
    <t>Maxi-Shear-Magnet 4200 LBS, 12-24V DC, forend 35mm</t>
  </si>
  <si>
    <t>MAGAC-L-AL600C-</t>
  </si>
  <si>
    <t xml:space="preserve">L-bracket with cover for Mini-Magnets 600 LBS </t>
  </si>
  <si>
    <t>MAGAC-L-AL600--</t>
  </si>
  <si>
    <t>L-bracket for Mini-Magnets 600 LBS</t>
  </si>
  <si>
    <t>MAGAC-L-AL600D-</t>
  </si>
  <si>
    <t>L-bracket for double-Mini-Magnets 600 LBS (2x MAGAC-L-AL600--)</t>
  </si>
  <si>
    <t>MAGAC-L-AL1200-</t>
  </si>
  <si>
    <t>L-bracket for Maxi-Magnets 1200 LBS</t>
  </si>
  <si>
    <t>MAGAC-L-AL1200D</t>
  </si>
  <si>
    <t>L-bracket for double-Maxi-Magnets 1200 LBS (2 x MAGAC-L-AL1200-)</t>
  </si>
  <si>
    <t>MAGAC-Z-1200---</t>
  </si>
  <si>
    <t>Universal mounting z-bracket for Mini/Maxi-Magnets 600/1200 LBS</t>
  </si>
  <si>
    <t>MAGAC-Z-AL600--</t>
  </si>
  <si>
    <t>Z-bracket for Mini-Magnets 600 LBS</t>
  </si>
  <si>
    <t>MAGAC-Z-AL600-D</t>
  </si>
  <si>
    <t>Z-bracket for double-Mini-Magnets 600 LBS (2x MAGAC-Z-AL600--)</t>
  </si>
  <si>
    <t>MAGAC-Z-AL1200-</t>
  </si>
  <si>
    <t>Z-bracket for Maxi-Magnets 1200 LBS</t>
  </si>
  <si>
    <t>MAGAC-Z-AL1200D</t>
  </si>
  <si>
    <t>Z-bracket for Maxi-Magnets 1200 LBS (2x MAGAC-Z-AL1200-)</t>
  </si>
  <si>
    <t>MAGAC-H-1600---</t>
  </si>
  <si>
    <t>Mounting housing for Mini-Shear-Magnets 1600 LBS</t>
  </si>
  <si>
    <t>MAGAC-P-600----</t>
  </si>
  <si>
    <t>Mounting plate for Mini-Magnets 600 LBS</t>
  </si>
  <si>
    <t>MAGAC-P-1200---</t>
  </si>
  <si>
    <t>Mounting plate for Maxi-Magnets 1200 LBS</t>
  </si>
  <si>
    <t>MAGAC-U-1200---</t>
  </si>
  <si>
    <t>Glas door shoe for Mini/Maxi-Magnete 600/1200 LBS</t>
  </si>
  <si>
    <t>Mechanical lock</t>
  </si>
  <si>
    <t>N8012S--913--B1</t>
  </si>
  <si>
    <t>Mechanical self-locking lock (single point) for single leaf door</t>
  </si>
  <si>
    <t>N8014S--913--B1</t>
  </si>
  <si>
    <t>Mechanical self-locking lock (single point) for double leaf door</t>
  </si>
  <si>
    <t>N8212S--913--J1</t>
  </si>
  <si>
    <t>Mechanical self-locking lock (MPL) for single leaf door</t>
  </si>
  <si>
    <t>N8214S--913--J1</t>
  </si>
  <si>
    <t>Mechanical self-locking lock (MPL) for double leaf door</t>
  </si>
  <si>
    <t>ABLOY</t>
  </si>
  <si>
    <t>AY</t>
  </si>
  <si>
    <t>N8172SM-913--B1</t>
  </si>
  <si>
    <t>Handle controlled self-locking lock (single point) for single leaf door</t>
  </si>
  <si>
    <t>N8174SM-913--B1</t>
  </si>
  <si>
    <t>Handle controlled self-locking lock (single point) for double leaf door</t>
  </si>
  <si>
    <t>N8471SM-913--J1</t>
  </si>
  <si>
    <t>Handle controlled self-locking lock (MPL) for single leaf door</t>
  </si>
  <si>
    <t>N8472SM-913--J1</t>
  </si>
  <si>
    <t>Handle controlled self-locking lock (MPL) for double leaf door</t>
  </si>
  <si>
    <t>N8152SM-913--B1</t>
  </si>
  <si>
    <t>Motorized self-locking lock (single point) for single leaf door</t>
  </si>
  <si>
    <t>N8154SM-913--B1</t>
  </si>
  <si>
    <t>Motorized self-locking lock (single point) for double leaf door</t>
  </si>
  <si>
    <t>N8451SM-913--J1</t>
  </si>
  <si>
    <t>Motorized self-locking lock (MPL) for single leaf door</t>
  </si>
  <si>
    <t>N8452SM-913--J1</t>
  </si>
  <si>
    <t>Motorized self-locking lock (MPL) for double leaf door</t>
  </si>
  <si>
    <t>N1460S--9-3--B1</t>
  </si>
  <si>
    <t>Mechanical passive leaf lock</t>
  </si>
  <si>
    <t>N1465SM-9-3--B1</t>
  </si>
  <si>
    <t>Motorized passive leaf lock</t>
  </si>
  <si>
    <t>ED</t>
  </si>
  <si>
    <t>Mechanical PED</t>
  </si>
  <si>
    <t>N2700SK-0970A44</t>
  </si>
  <si>
    <t>Touch bar</t>
  </si>
  <si>
    <t>N2200---1060-4-</t>
  </si>
  <si>
    <t>Push bar</t>
  </si>
  <si>
    <t>N2200SKL----A41</t>
  </si>
  <si>
    <t>Gearing mechanism push bar including plate</t>
  </si>
  <si>
    <t>OT</t>
  </si>
  <si>
    <t>Strike plate</t>
  </si>
  <si>
    <t>N600F-R---D02-1</t>
  </si>
  <si>
    <t>Strike plate for single point lock</t>
  </si>
  <si>
    <t>N6Z3F-R---D05-1</t>
  </si>
  <si>
    <t>Strike plate for MPL (2 pieces needs to be ordered)</t>
  </si>
  <si>
    <t>N59KG-88L1000-1</t>
  </si>
  <si>
    <t>Connection cable for N8 series</t>
  </si>
  <si>
    <t>Cable loop</t>
  </si>
  <si>
    <t>EE</t>
  </si>
  <si>
    <t>10312-14-----00</t>
  </si>
  <si>
    <t>Note:</t>
  </si>
  <si>
    <t>Pricing valid until 31/12/2026</t>
  </si>
  <si>
    <t>Master Price List - Summary</t>
  </si>
  <si>
    <t>Brand/Supplier</t>
  </si>
  <si>
    <t>Internal/OEM</t>
  </si>
  <si>
    <t>Active Listing</t>
  </si>
  <si>
    <t>EPD Range</t>
  </si>
  <si>
    <t>Comments on Changes</t>
  </si>
  <si>
    <t>Contact</t>
  </si>
  <si>
    <t>AASTV</t>
  </si>
  <si>
    <t>Internal</t>
  </si>
  <si>
    <t>6 SKUs added. Price change on 52 SKUs and Description change on 44 SKUs</t>
  </si>
  <si>
    <t>justin.dang@assaabloy.com
helen.duong@assaabloy.com</t>
  </si>
  <si>
    <t>Vietnam</t>
  </si>
  <si>
    <t>Door Closer, Coordinators</t>
  </si>
  <si>
    <t>Y</t>
  </si>
  <si>
    <t>Change in Description on 12 SKUs</t>
  </si>
  <si>
    <t>arto.kolehmainen@abloy.com</t>
  </si>
  <si>
    <t>Americas</t>
  </si>
  <si>
    <t>10 Brands: Cylinder, Exit Device, Electric Strike, Lockset, Electromechanical Lock, Hinges, Door Bottom, Pivot, Flush Bolt, Coordinator, Mortise Lockcase</t>
  </si>
  <si>
    <t>Price change for all SKUs. Product Category/Code change on 28 SKUs, Item Code change on 4 SKUs, Description change on 17 SKUs</t>
  </si>
  <si>
    <t>eric.farraday@assaabloy.com</t>
  </si>
  <si>
    <t>USA</t>
  </si>
  <si>
    <t>Angel</t>
  </si>
  <si>
    <t>Cylindrical Leverset</t>
  </si>
  <si>
    <t>Price change for all SKUs</t>
  </si>
  <si>
    <t>jongwon.kim@assaabloy.com</t>
  </si>
  <si>
    <t>South Korea</t>
  </si>
  <si>
    <t>Aperio</t>
  </si>
  <si>
    <t>Electronic Cylinder, Escutcheon, Handle</t>
  </si>
  <si>
    <t>No change</t>
  </si>
  <si>
    <t>pavla.hanzelkovamatouskova@assaabloy.com
klara.becvarovska@assaabloy.com</t>
  </si>
  <si>
    <t>Czech</t>
  </si>
  <si>
    <t>Chubb Custodial</t>
  </si>
  <si>
    <t>Cell Locks, Pass Locks, Detainer Mortice Locks, Magnetic Locks, Padlocks and Handcuffs</t>
  </si>
  <si>
    <t>shane.penwright@assaabloy.com</t>
  </si>
  <si>
    <t>UK</t>
  </si>
  <si>
    <t>Control iD</t>
  </si>
  <si>
    <t>Facial &amp; Fingerprint Recognition and RFID Access Controllers</t>
  </si>
  <si>
    <t>paula.botto@assaabloy.com</t>
  </si>
  <si>
    <t>Brazil</t>
  </si>
  <si>
    <t>Ditec</t>
  </si>
  <si>
    <t>Sliding and Swing Door Operators</t>
  </si>
  <si>
    <t>angelacarla.robbiani@ditecautomations.com</t>
  </si>
  <si>
    <t>Italy</t>
  </si>
  <si>
    <t>Electric Strike, Lockset, Drop Bolt, Electromagnetic Lock, Arrester System</t>
  </si>
  <si>
    <t>jochen.wizemann@assaabloy.com</t>
  </si>
  <si>
    <t>Guli</t>
  </si>
  <si>
    <t>Mortise Lockcase, Exit Device, Lock Part, Maglock, Electromechanical Lock</t>
  </si>
  <si>
    <t>Previous STC SKUs added here. 10 new SKUs added and price change on 67 SKUs</t>
  </si>
  <si>
    <t>liz.li@assaabloy.com
fiona.yan@assaabloy.com</t>
  </si>
  <si>
    <t>China</t>
  </si>
  <si>
    <t>Guoqiang</t>
  </si>
  <si>
    <t>Window &amp; Door Hardware</t>
  </si>
  <si>
    <t>hongxia.meng@assaabloy.com</t>
  </si>
  <si>
    <t>Henderson</t>
  </si>
  <si>
    <t>Sliding Door Hardware</t>
  </si>
  <si>
    <t>david.newton@assaabloy.com</t>
  </si>
  <si>
    <t>IKON</t>
  </si>
  <si>
    <t>Mechanical Keys &amp; Cylinders (Master Key System &amp; Individual Locking)</t>
  </si>
  <si>
    <t>simone.ziegler@assaabloy.com</t>
  </si>
  <si>
    <t>KESO</t>
  </si>
  <si>
    <t>High Security Key/Cylinders</t>
  </si>
  <si>
    <t>New addition</t>
  </si>
  <si>
    <t>daniel.huber1@assaabloy.com</t>
  </si>
  <si>
    <t>Switzerland</t>
  </si>
  <si>
    <t>King</t>
  </si>
  <si>
    <t>Door Closer, Floor Spring</t>
  </si>
  <si>
    <t>jaden.choi@assaabloy.com</t>
  </si>
  <si>
    <t>Lorient</t>
  </si>
  <si>
    <t>Door Seal</t>
  </si>
  <si>
    <t>Price change for all SKUs and update on finish code</t>
  </si>
  <si>
    <t>jane.snook@assaabloy.com</t>
  </si>
  <si>
    <t>MAB</t>
  </si>
  <si>
    <t>Floor Spring, Door Closer, Gate Closer</t>
  </si>
  <si>
    <t>16 SKUs deleted</t>
  </si>
  <si>
    <t>claudio.cellitti@assaabloy.com</t>
  </si>
  <si>
    <t>Planet</t>
  </si>
  <si>
    <t>yasin.ziylan@assaabloy.com</t>
  </si>
  <si>
    <t>Roger</t>
  </si>
  <si>
    <t>Electronic Key Cabinet</t>
  </si>
  <si>
    <t>Price change for all SKUs, 7 new SKUs added and 8 deleted</t>
  </si>
  <si>
    <t>kamil.kalinowski@assaabloy.com</t>
  </si>
  <si>
    <t>Shenfei</t>
  </si>
  <si>
    <t>Door Closer</t>
  </si>
  <si>
    <t>fiona.yan@assaabloy.com</t>
  </si>
  <si>
    <t>TESA</t>
  </si>
  <si>
    <t>Euro Cylinder, ANSI Cylinder, Mortise Lockcase, Exit Device, Door Closer, Lever Handle, ElMech Lock</t>
  </si>
  <si>
    <t>carlos.garciame@assaabloy.com     fahad.khan@assaabloy.com</t>
  </si>
  <si>
    <t>Spain</t>
  </si>
  <si>
    <t>Trimec &amp; Lockwood</t>
  </si>
  <si>
    <t>Electric Strike, Drop Bolt, Hook Lock, Electromagnetic Lock</t>
  </si>
  <si>
    <t>prianka.govender@assaabloy.com</t>
  </si>
  <si>
    <t>Australia</t>
  </si>
  <si>
    <t>Unilock</t>
  </si>
  <si>
    <t>Digital Locker Lock</t>
  </si>
  <si>
    <t>woorim.choe@assaabloy.com</t>
  </si>
  <si>
    <t>Valli</t>
  </si>
  <si>
    <t>Handle</t>
  </si>
  <si>
    <t>ivan.levorato@assaabloy.com</t>
  </si>
  <si>
    <t>Atnesis</t>
  </si>
  <si>
    <t>OEM</t>
  </si>
  <si>
    <t>Electromagnetic Lock</t>
  </si>
  <si>
    <t>ngsk@uwcelectric.com
hwwong@uwcelectric.com</t>
  </si>
  <si>
    <t>Malaysia</t>
  </si>
  <si>
    <t>Bircher</t>
  </si>
  <si>
    <t>Door Operator Sensors</t>
  </si>
  <si>
    <t>yuxuan.lim@bircher.com</t>
  </si>
  <si>
    <t>Camax</t>
  </si>
  <si>
    <t>Hinges, Push Pulls</t>
  </si>
  <si>
    <t>Added 2 new SKUs and price change on 3 SKUs</t>
  </si>
  <si>
    <t>crystal_xu@camax.cn</t>
  </si>
  <si>
    <t>Daedalus</t>
  </si>
  <si>
    <t>Door Closer, Floor Spring, Door Handle, Others</t>
  </si>
  <si>
    <t>Price change on 28 SKUs</t>
  </si>
  <si>
    <t>inaho@dr-daedalus.com.tw</t>
  </si>
  <si>
    <t>Taiwan</t>
  </si>
  <si>
    <t>Di Nuo</t>
  </si>
  <si>
    <t>Locksets, Bolts, Push Pulls</t>
  </si>
  <si>
    <t>wendyjiang112@163.com</t>
  </si>
  <si>
    <t>Dortec</t>
  </si>
  <si>
    <t>Linda - sales@dortec.cn</t>
  </si>
  <si>
    <t>Fu Hsing</t>
  </si>
  <si>
    <t>Cylindrical Leverset, Deadbolt, Tubular Leverset</t>
  </si>
  <si>
    <t>pierce_pi@fuhsing.com.tw
andrea_chung@fuhsing.com.tw
katherine@fuhsing.com.tw</t>
  </si>
  <si>
    <t>Fuerda</t>
  </si>
  <si>
    <t>alex@cnfrd.cn</t>
  </si>
  <si>
    <t>Guang Hui Long</t>
  </si>
  <si>
    <t>Hinges</t>
  </si>
  <si>
    <t xml:space="preserve">gloria.lu@guanghuilong.com </t>
  </si>
  <si>
    <t>Hezhi</t>
  </si>
  <si>
    <t>Added 6 new SKUs</t>
  </si>
  <si>
    <t>David - 1703700433@qq.com</t>
  </si>
  <si>
    <t>Hua Feng</t>
  </si>
  <si>
    <t>Locksets, Door Closers</t>
  </si>
  <si>
    <t>Added 17 new SKUs &amp; price change on 13 SKUs</t>
  </si>
  <si>
    <t>sara@huafenglocks.com
kam@huafenglocks.com</t>
  </si>
  <si>
    <t>Jiangsu</t>
  </si>
  <si>
    <t>Exit Device</t>
  </si>
  <si>
    <t>Price change on 9 SKUs</t>
  </si>
  <si>
    <t>wendy@toponelocks.com
Mia - 3765518270@qq.com</t>
  </si>
  <si>
    <t>Jixin</t>
  </si>
  <si>
    <t>Cylinders</t>
  </si>
  <si>
    <t>Manne - jxsales_4@jixinlock.com</t>
  </si>
  <si>
    <t>Kaisite</t>
  </si>
  <si>
    <t>Hinges, Lever Handle, Mortise Lockcase, Euro Profile Cylinders, Patch Fitting, Pull Handle, Shower Fitting, Door Accessories</t>
  </si>
  <si>
    <t>Price change on 133 SKUs and Finish/Finish Code change on 4 SKUs</t>
  </si>
  <si>
    <t>Lisa - sales1@kaisitehardware.com
Deng - zc.deng@kaisitehardware.com 
sales2@kaisitehardware.com</t>
  </si>
  <si>
    <t>Lao Lun Si</t>
  </si>
  <si>
    <t>Hinges, Shower Fittings, Toilet Accessories, Push Pulls, Overhead Holders &amp; Stop, Bolts, Door Bottom, Others</t>
  </si>
  <si>
    <t>nina.he@roness.net</t>
  </si>
  <si>
    <t>Liko</t>
  </si>
  <si>
    <t>crystal@liko.hk</t>
  </si>
  <si>
    <t>Limai</t>
  </si>
  <si>
    <t>Speedgate, Turnstile, Full Height Turnstile, Automatic Barrier</t>
  </si>
  <si>
    <t>Price change for all SKUs, 4 SKUs added</t>
  </si>
  <si>
    <t>jason@szlimai.cn</t>
  </si>
  <si>
    <t>QH Metal</t>
  </si>
  <si>
    <t>Change in Item Code and Description for all SKUs</t>
  </si>
  <si>
    <t>sunny@qhmetal.cn</t>
  </si>
  <si>
    <t>Unity</t>
  </si>
  <si>
    <t>Lever Handle, Mortise Lockcase, Hinge, Euro Profile Cylinder, General Hardware</t>
  </si>
  <si>
    <t>Price change on 17 SKUs</t>
  </si>
  <si>
    <t>Carol - zhoutingting@unityhardware.com</t>
  </si>
  <si>
    <t>Xingtai</t>
  </si>
  <si>
    <t>Patch Fittings</t>
  </si>
  <si>
    <t>Agnes - service1@hk-yigao.cn</t>
  </si>
  <si>
    <t>YLI</t>
  </si>
  <si>
    <t>Price change for 36 SKUs</t>
  </si>
  <si>
    <t>Perry - ftd@yli.cn</t>
  </si>
  <si>
    <t>Zhisheng</t>
  </si>
  <si>
    <t>Floor Spring</t>
  </si>
  <si>
    <t>Fanny - info@gdzhicheng.com</t>
  </si>
  <si>
    <t>Exchange Rate (FC1)</t>
  </si>
  <si>
    <t>HKD</t>
  </si>
  <si>
    <t>AUD</t>
  </si>
  <si>
    <t>CNY</t>
  </si>
  <si>
    <t>Euro</t>
  </si>
  <si>
    <t>GBP</t>
  </si>
  <si>
    <t>SGD</t>
  </si>
  <si>
    <t>USD</t>
  </si>
  <si>
    <t>CHF</t>
  </si>
  <si>
    <t>Master Price List - AASTV</t>
  </si>
  <si>
    <t>Product Category - Electromechanical Lock</t>
  </si>
  <si>
    <t>Country of Origin*</t>
  </si>
  <si>
    <t>YALE</t>
  </si>
  <si>
    <t>YA</t>
  </si>
  <si>
    <t>ByYou G Pro Black</t>
  </si>
  <si>
    <t>Black</t>
  </si>
  <si>
    <t>ByYou G Pro_Black front deco</t>
  </si>
  <si>
    <t>BLK</t>
  </si>
  <si>
    <t>ByYou D Pro Black</t>
  </si>
  <si>
    <t>ByYou D Pro</t>
  </si>
  <si>
    <t>ByYou D Pro Gold</t>
  </si>
  <si>
    <t>Gold</t>
  </si>
  <si>
    <t>ByYou D Pro_Black front deco</t>
  </si>
  <si>
    <t>GLD</t>
  </si>
  <si>
    <t>ByYou H Pro Black</t>
  </si>
  <si>
    <t>ByYou H Pro</t>
  </si>
  <si>
    <t>ByYou H Pro Gold</t>
  </si>
  <si>
    <t>ByYou H Pro _ Black front deco</t>
  </si>
  <si>
    <t>ByYou Pro Lever Black</t>
  </si>
  <si>
    <t>ByYou Pro</t>
  </si>
  <si>
    <t>ByYou Pro Lever Gold</t>
  </si>
  <si>
    <t>ByYou V Pro Gold</t>
  </si>
  <si>
    <t>ByYou V Pro</t>
  </si>
  <si>
    <t>ByYou V Pro Black</t>
  </si>
  <si>
    <t>ByYou V Pro_Black front deco</t>
  </si>
  <si>
    <t>IKE-1033-13</t>
  </si>
  <si>
    <t>YALE SMART CARD</t>
  </si>
  <si>
    <t>N/A</t>
  </si>
  <si>
    <t>IKE-1055A-00-19</t>
  </si>
  <si>
    <t>CARD KEY(핸드폰고리형-New Yale)</t>
  </si>
  <si>
    <t>All</t>
  </si>
  <si>
    <t>IKE-1082A-00</t>
  </si>
  <si>
    <t>CYLINDER KEY ASSY</t>
  </si>
  <si>
    <t>Electromechanical Lock Part</t>
  </si>
  <si>
    <t>RFHX-YA0H0-00</t>
  </si>
  <si>
    <t>YALE HA Module (N-Protocol)</t>
  </si>
  <si>
    <t>Korea</t>
  </si>
  <si>
    <t>83016000</t>
  </si>
  <si>
    <t>RFHX-YB7H0-00</t>
  </si>
  <si>
    <t>YALE Access BLE Module</t>
  </si>
  <si>
    <t>RFHX-YB7H0-05</t>
  </si>
  <si>
    <t>Yale Home BLE Module</t>
  </si>
  <si>
    <t>RFHX-YB7H3-00</t>
  </si>
  <si>
    <t>Yale home BLE Module i-shape</t>
  </si>
  <si>
    <t>RFHX-YZB20-00</t>
  </si>
  <si>
    <t>HCP-ZB-Tumbler2(HA2.0)</t>
  </si>
  <si>
    <t>RFHX-YZB20-03</t>
  </si>
  <si>
    <t>ZB Tumbler2 (MX89407)</t>
  </si>
  <si>
    <t>RFHX-YZB40-00</t>
  </si>
  <si>
    <t>YALE Zigbee Module</t>
  </si>
  <si>
    <t>Core</t>
  </si>
  <si>
    <t>RFHX-YZB40-01</t>
  </si>
  <si>
    <t>Zigbee Pack (MX89325)</t>
  </si>
  <si>
    <t>RFHX-YZB61-00</t>
  </si>
  <si>
    <t>HCP-ZB3.0-Tumbler231(L-shape)</t>
  </si>
  <si>
    <t>RFHX-YZW30-02</t>
  </si>
  <si>
    <t>Zwave500 RF Module (MX89522)</t>
  </si>
  <si>
    <t>RFHX-YZW82-00</t>
  </si>
  <si>
    <t>HCP Lshape ZW3_EMEA</t>
  </si>
  <si>
    <t>RFHX-YZW83-00</t>
  </si>
  <si>
    <t>HCP Lshape ZW3_ANZ</t>
  </si>
  <si>
    <t>YDD724A</t>
  </si>
  <si>
    <t>YDD724A(VN)</t>
  </si>
  <si>
    <t>YDG413A</t>
  </si>
  <si>
    <t>Silver</t>
  </si>
  <si>
    <t>YDG413A (VN)</t>
  </si>
  <si>
    <t>SIL</t>
  </si>
  <si>
    <t>YDM3115A</t>
  </si>
  <si>
    <t>YDM3115A_Silver _M60G_ APAC</t>
  </si>
  <si>
    <t>YDM3115V</t>
  </si>
  <si>
    <t>Matte Black</t>
  </si>
  <si>
    <t>YDM3115V Matt black(B2C) (VN)</t>
  </si>
  <si>
    <t>MB</t>
  </si>
  <si>
    <t>YDM7116A MB</t>
  </si>
  <si>
    <t>YDM7116A_MB_M60G_APAC (VN)</t>
  </si>
  <si>
    <t>YDM7116A Black</t>
  </si>
  <si>
    <t>YDM7116A_MB_M70G_APAC (VN)</t>
  </si>
  <si>
    <t>YDM7116A BS 60mm Gold</t>
  </si>
  <si>
    <t>YDM7116A_CG_M60G_APAC (VN)</t>
  </si>
  <si>
    <t>YDM7116A BS 60mm Bronze</t>
  </si>
  <si>
    <t>Bronze</t>
  </si>
  <si>
    <t>YDM7116A_RB_M60G_APAC (VN)</t>
  </si>
  <si>
    <t>BR</t>
  </si>
  <si>
    <t>YDM7116A BS 70mm Gold</t>
  </si>
  <si>
    <t>YDM7116A_CG_M70G_APAC (VN)</t>
  </si>
  <si>
    <t>YDM7116A BS 70mm Bronze</t>
  </si>
  <si>
    <t>YDM7116A_RB_M70G_APAC (VN)</t>
  </si>
  <si>
    <t>YDM7220</t>
  </si>
  <si>
    <t>YDM7220_Black_M60G_APAC (VN)</t>
  </si>
  <si>
    <t>YDR30GA</t>
  </si>
  <si>
    <t>YDR30GA(VN)</t>
  </si>
  <si>
    <t>YDR343A</t>
  </si>
  <si>
    <t>YDR343A_APAC</t>
  </si>
  <si>
    <t>YDR353A</t>
  </si>
  <si>
    <t>YDR353A_APAC</t>
  </si>
  <si>
    <t>YDR41A</t>
  </si>
  <si>
    <t>YDR41A(VN)</t>
  </si>
  <si>
    <t>YDR50GA</t>
  </si>
  <si>
    <t>YDR50GA(VN)</t>
  </si>
  <si>
    <t>YMF30A BS 60mm</t>
  </si>
  <si>
    <t>YMF30A M60G-NV APAC VN</t>
  </si>
  <si>
    <t>YMF30A BS 70mm</t>
  </si>
  <si>
    <t>YMF30A M70G-NV APAC VN</t>
  </si>
  <si>
    <t>YMF40A BS 60mm</t>
  </si>
  <si>
    <t>YMF40A M60G-NV APAC VN</t>
  </si>
  <si>
    <t>YMF40A BS 70mm</t>
  </si>
  <si>
    <t>YMF40A M70G-NV APAC VN</t>
  </si>
  <si>
    <t>YDR353A_TW</t>
  </si>
  <si>
    <t>YDR343A_TW</t>
  </si>
  <si>
    <t>YDG413A_TW (VN)</t>
  </si>
  <si>
    <t>YMF30A M70G-NV Taiwan VN</t>
  </si>
  <si>
    <t>YMF40A M70G-NV Taiwan VN</t>
  </si>
  <si>
    <t>Hera Pro Grey (TW)</t>
  </si>
  <si>
    <t>Grey</t>
  </si>
  <si>
    <t>Yale Hera Pro Fingerprint Password Mifare/Grey/Spray+Frosted/7068 EN Fully Automatic mortise/Left and Right Swap/TW</t>
  </si>
  <si>
    <t>GY</t>
  </si>
  <si>
    <t>Hera Pro C-Gold (TW)</t>
  </si>
  <si>
    <t xml:space="preserve">Yale Hera Pro Fingerprint Password Mifare/C-Gold/Spray+Frosted/7068 EN Fully Automatic mortise/Left and Right Swap/TW
</t>
  </si>
  <si>
    <t>Yale Kyra Pro</t>
  </si>
  <si>
    <t xml:space="preserve">Yale Kyra Pro Black
</t>
  </si>
  <si>
    <t>Yale Luna Pro+ NG</t>
  </si>
  <si>
    <t>Nova Graphite</t>
  </si>
  <si>
    <t>Yale Luna Pro+ (Nova Graphite)</t>
  </si>
  <si>
    <t>Yale Luna Pro+ G</t>
  </si>
  <si>
    <t>Yale Luna Pro+  C-Gold</t>
  </si>
  <si>
    <t>ByYou Pro_TW (M70G-N Black handle)</t>
  </si>
  <si>
    <t>ByYou Pro_APAC_M70G-N/(Black)</t>
  </si>
  <si>
    <t>YDM3115A_Gold_M70G_TW (VN)</t>
  </si>
  <si>
    <t>YDM3115A_SILVER_70mm_TAIWAN</t>
  </si>
  <si>
    <t>YDM3115A_Silver_M70G_TW (VN)</t>
  </si>
  <si>
    <t>YDM7116A_RB_M70G_SINGAPORE (VN)</t>
  </si>
  <si>
    <t>YDM7116A_MB_M70G_SINGAPORE (VN)</t>
  </si>
  <si>
    <t>YDM7116A_MB_M60G_TW (VN)</t>
  </si>
  <si>
    <t>YDM7116A_MB_M70G_TW (VN)</t>
  </si>
  <si>
    <t>YDM7116 RB_Taiwan-70mm</t>
  </si>
  <si>
    <t>YDM7116A_RB_M70G_TW (VN)</t>
  </si>
  <si>
    <t>YDM7116A_Silver_M60G_APAC (VN)</t>
  </si>
  <si>
    <t>YDM7116A_RB_M60G_TW (VN)</t>
  </si>
  <si>
    <t>(VN) YDM7116A_RB_M60G_TW</t>
  </si>
  <si>
    <t>YDR453A_TW</t>
  </si>
  <si>
    <t>Zuri Silver B2C</t>
  </si>
  <si>
    <t>Zuri Silver ( w/ retail packaging) – VN Yale Home Connected</t>
  </si>
  <si>
    <t>Zuri S Black 55mm B2B</t>
  </si>
  <si>
    <t>Zuri S Black 55mm (Bulk packaging – B2B box) – 4pcs RFID tag – Yale Home Connected</t>
  </si>
  <si>
    <t>ByYou Wall Remote Controller</t>
  </si>
  <si>
    <t>Zuri S Black 60mm B2C</t>
  </si>
  <si>
    <t>Zuri S Black 60mm (w/ Retail packaging) Yale Home Connected</t>
  </si>
  <si>
    <t>Zuri Champagne Gold B2C</t>
  </si>
  <si>
    <t>Champagne Gold</t>
  </si>
  <si>
    <t>Zuri Champagne Gold( w/ retail packaging) – VN Yale Home Connected</t>
  </si>
  <si>
    <t>Zuri Black 60mm B2B</t>
  </si>
  <si>
    <t>Zuri Black 60mm (Bulk packaging – B2B box) – 4pcs RFID tag– Yale Home Connected</t>
  </si>
  <si>
    <t>Nos 52 to 54 - Product code shortened - exceeded 50 characters</t>
  </si>
  <si>
    <t>Master Price List - ABLOY Finland</t>
  </si>
  <si>
    <t>Product Category - Door Closer, Coordinators</t>
  </si>
  <si>
    <t>ASSA ABLOY</t>
  </si>
  <si>
    <t>ABLOY Finland</t>
  </si>
  <si>
    <t>CL</t>
  </si>
  <si>
    <t>DC190/L190</t>
  </si>
  <si>
    <t>Link arm L190 (EPD Certified)</t>
  </si>
  <si>
    <t>28 days</t>
  </si>
  <si>
    <t>DC195/G195</t>
  </si>
  <si>
    <t>Sliding Arm G195 (EPD Certified)</t>
  </si>
  <si>
    <t>DC340</t>
  </si>
  <si>
    <t>Door Closer W/O Arm EN 2-6 + BC (EPD Certified)</t>
  </si>
  <si>
    <t>98 days</t>
  </si>
  <si>
    <t>DC500</t>
  </si>
  <si>
    <t>Cam-Motion Closer W/O Arm EN 1-4 + BC (EPD Certified)</t>
  </si>
  <si>
    <t>DC500-BLK</t>
  </si>
  <si>
    <t>DC500-BRN</t>
  </si>
  <si>
    <t>Brown</t>
  </si>
  <si>
    <t>DC500-CUS</t>
  </si>
  <si>
    <t>customized</t>
  </si>
  <si>
    <t>DC500-FC</t>
  </si>
  <si>
    <t>stainless steel 'full cover'</t>
  </si>
  <si>
    <t>DC500-SSS</t>
  </si>
  <si>
    <t>stainless steel 'AA design'</t>
  </si>
  <si>
    <t>DC500-WHI</t>
  </si>
  <si>
    <t>White</t>
  </si>
  <si>
    <t>WH</t>
  </si>
  <si>
    <t>DC700</t>
  </si>
  <si>
    <t>Cam-Motion Closer W/O Arm EN 3-6 + BC (EPD Certified)</t>
  </si>
  <si>
    <t>120 days</t>
  </si>
  <si>
    <t>DC700-BLK</t>
  </si>
  <si>
    <t>DC700-BRN</t>
  </si>
  <si>
    <t>DC700-CUS</t>
  </si>
  <si>
    <t>Cam-Motion Closer W/O Arm EN 3-6 + BC + DA (EPD Certified)</t>
  </si>
  <si>
    <t>DC700DA</t>
  </si>
  <si>
    <t>DC700DA-BLK</t>
  </si>
  <si>
    <t>DC700DA-BRN</t>
  </si>
  <si>
    <t>DC700DA-CUS</t>
  </si>
  <si>
    <t>DC700DA-FC</t>
  </si>
  <si>
    <t>DC700DA-SSS</t>
  </si>
  <si>
    <t>DC700DA-WHI</t>
  </si>
  <si>
    <t>Cam-Motion Closer W/O Arm EN 3-6 + BC + DA</t>
  </si>
  <si>
    <t>DC700-FC</t>
  </si>
  <si>
    <t>DC700-SSS</t>
  </si>
  <si>
    <t>DC700-WHI</t>
  </si>
  <si>
    <t>DC840</t>
  </si>
  <si>
    <t xml:space="preserve">galvanized </t>
  </si>
  <si>
    <t>Cam-Motion Concealed Closer W/O slide arm EN 1-4</t>
  </si>
  <si>
    <t>42 days</t>
  </si>
  <si>
    <t>DC860</t>
  </si>
  <si>
    <t>Cam-Motion Concealed Closer W/O slide arm EN 1-5</t>
  </si>
  <si>
    <t>CO</t>
  </si>
  <si>
    <t>Coordinators</t>
  </si>
  <si>
    <t>G461</t>
  </si>
  <si>
    <t>Integrated Co-ordinator (EPD Certified)</t>
  </si>
  <si>
    <t>G462</t>
  </si>
  <si>
    <t>Integrated Co-ordinator with two EM holder (EPD Certified)</t>
  </si>
  <si>
    <t>G464</t>
  </si>
  <si>
    <t>Integrated Co-ordinator with one EM holder (EPD Certified)</t>
  </si>
  <si>
    <t>G880</t>
  </si>
  <si>
    <t>Integrated Co-ordinator with EM holder concealed (EPD Certified)</t>
  </si>
  <si>
    <t>G881</t>
  </si>
  <si>
    <t>Integrated Co-ordinator concealed (EPD Certified)</t>
  </si>
  <si>
    <t>G882</t>
  </si>
  <si>
    <t>Integrated Co-ordinator with two EM holder concealed (EPD Certified)</t>
  </si>
  <si>
    <t>G884</t>
  </si>
  <si>
    <t>Integrated Co-ordinator with one EM holder concealed (EPD Certified)</t>
  </si>
  <si>
    <t>G892</t>
  </si>
  <si>
    <t>Concealed Sliding Arm G892 (EPD Certified)</t>
  </si>
  <si>
    <t>G893</t>
  </si>
  <si>
    <t>Concealed Sliding Arm G893 (EPD Certified)</t>
  </si>
  <si>
    <t>Note</t>
  </si>
  <si>
    <t>Orders will be shipped out from ABLOY Joensuu</t>
  </si>
  <si>
    <t>Master Price List - Americas Brands</t>
  </si>
  <si>
    <t>Product Category - Cylinder, Exit Device, Electric Strike, Lockset, Electromechanical Lock, Hinges, Door Bottom, Pivot, Flush Bolt, Coordinator, Mortise Lockcase Electromagnetic Lock</t>
  </si>
  <si>
    <t>Lead Time (Days) *</t>
  </si>
  <si>
    <t>Adams Rite</t>
  </si>
  <si>
    <t>CY</t>
  </si>
  <si>
    <t>AD</t>
  </si>
  <si>
    <t>4066-01-130</t>
  </si>
  <si>
    <t>130 - to match 628 Clear Anodized</t>
  </si>
  <si>
    <t>Thumbturn cylinder with 1/4" ring, for MS Locks, Deadlatches</t>
  </si>
  <si>
    <t>Anodised</t>
  </si>
  <si>
    <t>3700M36-US32D</t>
  </si>
  <si>
    <t>Starwheel Rim Exit Device, fire-rated rim exit device for hollow metal and wood</t>
  </si>
  <si>
    <t>7100-310-626-00</t>
  </si>
  <si>
    <t>Electric strike, for aluminum jambs, 12V, fail secure</t>
  </si>
  <si>
    <t>7100-515-626-00</t>
  </si>
  <si>
    <t>Electric strike, for aluminum jambs, 24V, fail safe</t>
  </si>
  <si>
    <t>74R1-130</t>
  </si>
  <si>
    <t>130 - to match 628</t>
  </si>
  <si>
    <t>Ultraline Electric Strikes, for use with rim exit devices with 3/4" latchbolt</t>
  </si>
  <si>
    <t>7110-315-652-00</t>
  </si>
  <si>
    <t>Electric strike, for wood jambs, 12V, fail safe</t>
  </si>
  <si>
    <t>7140-310-626-00</t>
  </si>
  <si>
    <t>Electric strike, ANSI size for hollow metal and wood jambs, 12V, fail secure</t>
  </si>
  <si>
    <t>7140-315-626-00</t>
  </si>
  <si>
    <t>Electric strike, ANSI size for hollow metal and wood jambs, 12V, fail safe</t>
  </si>
  <si>
    <t>7440-628</t>
  </si>
  <si>
    <t>UltraLine Electric Strike mounted complete with 4-7/8" faceplate, 628 finish</t>
  </si>
  <si>
    <t>3080E02-0-37-30-32D</t>
  </si>
  <si>
    <t>Entry trim with standard lever</t>
  </si>
  <si>
    <t>4513-15-IB</t>
  </si>
  <si>
    <t>Standard Duty Deadlatch, without faceplate, without strike plate</t>
  </si>
  <si>
    <t>Folger Adam</t>
  </si>
  <si>
    <t>FO</t>
  </si>
  <si>
    <t>310-2-F-12D-630</t>
  </si>
  <si>
    <t>Electric strike, 1/2" keeper standard, fail safe, 12V</t>
  </si>
  <si>
    <t>HES</t>
  </si>
  <si>
    <t>Electronic Accessories</t>
  </si>
  <si>
    <t>HS</t>
  </si>
  <si>
    <t>CBL12-QC12</t>
  </si>
  <si>
    <t>System Side Interface Cable: 12 Foot, 12 Conductor and Molex one end, pinned one end</t>
  </si>
  <si>
    <t>CBL6-QC12</t>
  </si>
  <si>
    <t>Lock Side Interface Cable: 6 Foot, 12 Conductor and Molex both ends</t>
  </si>
  <si>
    <t>KS-DPS</t>
  </si>
  <si>
    <t>Surface Mount DPS (external)</t>
  </si>
  <si>
    <t>4500C-630</t>
  </si>
  <si>
    <t>Electric strike, includes faceplates
for cylindrical and mortise locks</t>
  </si>
  <si>
    <t>SB:1006-630</t>
  </si>
  <si>
    <t>Electric strike bodies</t>
  </si>
  <si>
    <t>150:Strike Latch Guard</t>
  </si>
  <si>
    <t>Strike Latch Guard</t>
  </si>
  <si>
    <t>Cabinet Lock: 660-24D-LBSM</t>
  </si>
  <si>
    <t>Multi-purpose electromechanical lock, 24V LBSM</t>
  </si>
  <si>
    <t>Cabinet Lock:660-24D-PL-LBSM</t>
  </si>
  <si>
    <t>Multi-purpose electromechanical lock, 24V LBSM, Preload</t>
  </si>
  <si>
    <t>KS200-S-IPE555AA-B</t>
  </si>
  <si>
    <t>Server Cabinet Lock, Integrated Wired, Wiegand Server (less SFIC Core)</t>
  </si>
  <si>
    <t>KS210-D-IPEXXXXX-B</t>
  </si>
  <si>
    <t>KS210 EAC OSDP SRVR LOCK</t>
  </si>
  <si>
    <t>KS210-D-IPEXXXXX-B-K1</t>
  </si>
  <si>
    <t>KS210 EAC OSDP SRVR LOCK w/SFIC</t>
  </si>
  <si>
    <t>KS200-S-IPS-B</t>
  </si>
  <si>
    <t>Integrated Wired, Wiegand Server Cabinet Lock With No Cylinder &amp; HID multiCLASS SE Card Reader, HID NFC Mobile Access Enabled</t>
  </si>
  <si>
    <t>KS200-S-IPS-B-BC</t>
  </si>
  <si>
    <t>Integrated Wired, Wiegand Server Cabinet Lock With Blank Plastic SFIC Core &amp; HID multiCLASS SE Card Reader, HID NFC Mobile Access Enabled</t>
  </si>
  <si>
    <t>KS200-S-IPS-B-K1</t>
  </si>
  <si>
    <t>Integrated Wired, Wiegand Server Cabinet Lock With MEDECO X4 SFIC with 2 Keys &amp; HID multiCLASS SE Card Reader, HID NFC Mobile Access Enabled</t>
  </si>
  <si>
    <t>KS210-S-IPS-B</t>
  </si>
  <si>
    <t>Integrated Wired, OSDP Server Cabinet Lock With No Cylinder &amp; HID multiCLASS SE Card Reader, HID BLE &amp; NFC Mobile Access Enabled</t>
  </si>
  <si>
    <t>KS210-S-IPS-B-BC</t>
  </si>
  <si>
    <t>Integrated Wired, OSDP Server Cabinet Lock With Blank Plastic SFIC Core &amp; HID multiCLASS SE Card Reader, HID BLE &amp; NFC Mobile Access Enabled</t>
  </si>
  <si>
    <t>KS210-S-IPS-B-K1</t>
  </si>
  <si>
    <t>Integrated Wired, OSDP Server Cabinet Lock With MEDECO X4 SFIC with 2 Keys &amp; HID multiCLASS SE Card Reader, HID BLE &amp; NFC Mobile Access Enabled</t>
  </si>
  <si>
    <t>KS-EM-B</t>
  </si>
  <si>
    <t>Electromechanical Server Cabinet Lock</t>
  </si>
  <si>
    <t>KS-EM-B-K1</t>
  </si>
  <si>
    <t>Electromechanical Server Cabinet Lock 
w/SFIC Medeco X4 Cylinder w/2 Keys</t>
  </si>
  <si>
    <t>KS-EM-B-BC</t>
  </si>
  <si>
    <t>Electromechanical Server Cabinet Lock 
w/Blank Plastic Core</t>
  </si>
  <si>
    <t>McKinney</t>
  </si>
  <si>
    <t>MK</t>
  </si>
  <si>
    <t>QC-C1500P</t>
  </si>
  <si>
    <t>15' 2" Wire Harness; 8 &amp; 4 Pin Connector w/12 Wires (termination in field)</t>
  </si>
  <si>
    <t>QC-C012</t>
  </si>
  <si>
    <t>12" Wire Harness; 8 &amp; 4 Pin Connector w/12 wires (For Exit Device Rail Jumper to Hinge)</t>
  </si>
  <si>
    <t>QC-C1500</t>
  </si>
  <si>
    <t>15' 2" Wire Harness; 8 &amp; 4 Pin Connector w/12 Wires</t>
  </si>
  <si>
    <t>QC-C400</t>
  </si>
  <si>
    <t>50" Wire Harness; 8 &amp; 4 Pin Connector w/12 wires</t>
  </si>
  <si>
    <t>QC-C300</t>
  </si>
  <si>
    <t>38" Wire Harness; 8 &amp; 4 Pin Connector w/12 wires</t>
  </si>
  <si>
    <t>QC-C306</t>
  </si>
  <si>
    <t>44" Wire Harness; 8 &amp; 4 Pin Connector w/12 wires</t>
  </si>
  <si>
    <t>QC-C400P</t>
  </si>
  <si>
    <t>HI</t>
  </si>
  <si>
    <t>TA2714 4" x 4" 26D</t>
  </si>
  <si>
    <t>Hinge, Steel Standard Weight 5 Knuckle Bearing</t>
  </si>
  <si>
    <t>T4A3786 4-1/2" x 4" 26D</t>
  </si>
  <si>
    <t>Hinge, Steel Heavy Weight 5 Knuckle Bearing (EPD Certified)</t>
  </si>
  <si>
    <t>T4A3786 NRP 4-1/2" x 4" 26D</t>
  </si>
  <si>
    <t>T4A3386 4-1/2" x 4-1/2" 26D</t>
  </si>
  <si>
    <t>Hinge, Non-Ferrous Heavy Weight 5 Knuckle Bearing (EPD Certified)</t>
  </si>
  <si>
    <t>T4A3386 4-1/2" x 5" 26D</t>
  </si>
  <si>
    <t>T4A3386 QC12 4-1/2" x 4" 32D</t>
  </si>
  <si>
    <t>Hinge, Electric Hinge (EPD Certified)</t>
  </si>
  <si>
    <t>T4A3386 NRP 4-1/2" x 4-1/2" 26D</t>
  </si>
  <si>
    <t>T4A3386 SSF 4-1/2" x 4-1/2" 26D</t>
  </si>
  <si>
    <t>HTA786xPSF 4-1/2" x 4-1/2" 26D</t>
  </si>
  <si>
    <t>Hinge, Hospital Tip Heavy Weight Three Knuckle Non-Ferrous Bearings (EPD Certified)</t>
  </si>
  <si>
    <t>1502 4-1/2" x 4-1/2" 26D</t>
  </si>
  <si>
    <t>Hinge, Steel Standard Weight Full Mortise Single Acting</t>
  </si>
  <si>
    <t>TA2714 4-1/2" x 4-1/2" 26D</t>
  </si>
  <si>
    <t>Hinge, Steel Standard Weight 5 Knuckle</t>
  </si>
  <si>
    <t>T4A3386 NRP 5" x 4-1/2" 26D</t>
  </si>
  <si>
    <t>MCK-EPT</t>
  </si>
  <si>
    <t>Electrical Power Transfer 105*</t>
  </si>
  <si>
    <t>MCK-EPTL</t>
  </si>
  <si>
    <t>Electrical Power Transfer 180*</t>
  </si>
  <si>
    <t>Pemko</t>
  </si>
  <si>
    <t>TH</t>
  </si>
  <si>
    <t>Threshold</t>
  </si>
  <si>
    <t>PE</t>
  </si>
  <si>
    <t>HSS2000-24</t>
  </si>
  <si>
    <t>Intumescent Seal, Adhesive, 24ft, Graphite</t>
  </si>
  <si>
    <t>Rixson</t>
  </si>
  <si>
    <t>PV</t>
  </si>
  <si>
    <t>Pivot</t>
  </si>
  <si>
    <t>RF</t>
  </si>
  <si>
    <t>370 626</t>
  </si>
  <si>
    <t>626 (26D)</t>
  </si>
  <si>
    <t>Center Hung Pivot Set (includes 340 top pivot) (EPD Certified)</t>
  </si>
  <si>
    <t>ST</t>
  </si>
  <si>
    <t>Stops, Electromagnetic Holders</t>
  </si>
  <si>
    <t>990M</t>
  </si>
  <si>
    <t>Electromagnet Door Holder/Releases, Low Projection Wall (EPD Certified)</t>
  </si>
  <si>
    <t>997M</t>
  </si>
  <si>
    <t>Electromagnet Door Holder/Releases, Wall Mounted (EPD Certified)</t>
  </si>
  <si>
    <t>998M</t>
  </si>
  <si>
    <t>Rockwood</t>
  </si>
  <si>
    <t>Flush Bolt</t>
  </si>
  <si>
    <t>RO</t>
  </si>
  <si>
    <t>2842 32D</t>
  </si>
  <si>
    <t>32D</t>
  </si>
  <si>
    <t>Automatic Flush Bolt</t>
  </si>
  <si>
    <t>2848 32D</t>
  </si>
  <si>
    <t>555 26D</t>
  </si>
  <si>
    <t>26D</t>
  </si>
  <si>
    <t>Flush Bolts, Guides &amp; Strikes</t>
  </si>
  <si>
    <t>Other</t>
  </si>
  <si>
    <t>570 26D</t>
  </si>
  <si>
    <t>Dust Proof Strike (EPD Certified)</t>
  </si>
  <si>
    <t>Coordinator</t>
  </si>
  <si>
    <t>2696 26D Black</t>
  </si>
  <si>
    <t>Coordinators w/Filler and Filler Bars</t>
  </si>
  <si>
    <t>2601C (Black)</t>
  </si>
  <si>
    <t>Coordinators mounting bracket</t>
  </si>
  <si>
    <t>2601AB (Black)</t>
  </si>
  <si>
    <t>BFRC24 32D</t>
  </si>
  <si>
    <t>Cover, Vertical Rod Covers - .050" Thick</t>
  </si>
  <si>
    <t>PP</t>
  </si>
  <si>
    <t>Push Pull</t>
  </si>
  <si>
    <t>105x70C 32D</t>
  </si>
  <si>
    <t>Straight Door Pulls &amp; Door Pull Sets (EPD Certified)</t>
  </si>
  <si>
    <t>70C-RKW 32D</t>
  </si>
  <si>
    <t>Push Plates - .050" Thick</t>
  </si>
  <si>
    <t>OH</t>
  </si>
  <si>
    <t>Overhead Holders &amp; Stops</t>
  </si>
  <si>
    <t>608-RKW (Pkg of 100) Black</t>
  </si>
  <si>
    <t>Gray Rubber</t>
  </si>
  <si>
    <t>Door Silencers (EPD Certified)</t>
  </si>
  <si>
    <t>609 (Pkg of 100) Gray</t>
  </si>
  <si>
    <t>Door Silencers</t>
  </si>
  <si>
    <t>440 26D</t>
  </si>
  <si>
    <t>Low Dome Stop</t>
  </si>
  <si>
    <t>441 26D</t>
  </si>
  <si>
    <t>441CU 26D</t>
  </si>
  <si>
    <t>Sargent</t>
  </si>
  <si>
    <t>Closer</t>
  </si>
  <si>
    <t>SA</t>
  </si>
  <si>
    <t>351 OP 689</t>
  </si>
  <si>
    <t>Door Closer, Standard Arm - Pocket</t>
  </si>
  <si>
    <t>7200</t>
  </si>
  <si>
    <t>Cylinder, 6 Pin Construction core</t>
  </si>
  <si>
    <t>LX RX WBS 8270-24V LNJ 26D</t>
  </si>
  <si>
    <t>Electro Mechanical Single Cyl, 24V, Fail Safe</t>
  </si>
  <si>
    <t>Mortise Lockcase</t>
  </si>
  <si>
    <t>LC 8225 LNJ 26D</t>
  </si>
  <si>
    <t>Mortise Lock, Single Cyl With Deadbolt</t>
  </si>
  <si>
    <t>WBS 31 70 8271-24V LNJ 26D</t>
  </si>
  <si>
    <t>26D / Doors up to 2-1/2" thick - lock centered</t>
  </si>
  <si>
    <t>Electro Mechanical Single Cyl, 24V, Fail Secure</t>
  </si>
  <si>
    <t>31 8294 OMD 26D</t>
  </si>
  <si>
    <t>Mortise Lock, Double Dummy Trim</t>
  </si>
  <si>
    <t>LX RX WBS 8271-24V LNB 26D</t>
  </si>
  <si>
    <t>LX LC RX WBS 31 8271-24V LNJ 26D</t>
  </si>
  <si>
    <t>RX 56 8204 LNJ 26D (24VDC Only)</t>
  </si>
  <si>
    <t>Motorized Electric Latch Retraction Mortise Lock (04, 15, 17 functions only)</t>
  </si>
  <si>
    <t>1561</t>
  </si>
  <si>
    <t>EN</t>
  </si>
  <si>
    <t>Electromagnetic Door Holder, Wall Mount, Concealed Wiring (in a junction box)</t>
  </si>
  <si>
    <t>Securitron</t>
  </si>
  <si>
    <t>SU</t>
  </si>
  <si>
    <t>CEPT-10</t>
  </si>
  <si>
    <t>Concealed Electrical Power Transfers, 10 Wire</t>
  </si>
  <si>
    <t>EL-CEPT</t>
  </si>
  <si>
    <t>Concealed Electrical Power Transfers, Electrolynx® Connectors</t>
  </si>
  <si>
    <t>DPS-W-BK</t>
  </si>
  <si>
    <t>Door Position Switches, Wooden Door, Black</t>
  </si>
  <si>
    <t>DPS-M-WH</t>
  </si>
  <si>
    <t>Door Position Switches, Metal Door, White</t>
  </si>
  <si>
    <t>DPS-W-WH</t>
  </si>
  <si>
    <t>Door Position Switches, Wooden Door, White</t>
  </si>
  <si>
    <t>PB2</t>
  </si>
  <si>
    <t>Push Button, 2” Button, Illuminated, Momentary, Single Gang, Green/Red/Handicap</t>
  </si>
  <si>
    <t>XMS2</t>
  </si>
  <si>
    <t>Passive Infrared Request to Exit Device</t>
  </si>
  <si>
    <t>DPS-M-BK</t>
  </si>
  <si>
    <t>Door Position Switches, Metal Door, Black</t>
  </si>
  <si>
    <t>MKA2</t>
  </si>
  <si>
    <t>Key Switch, Alternate, DPDT, Single Gang, Green/Red LED</t>
  </si>
  <si>
    <t>MKSA2</t>
  </si>
  <si>
    <t>Accessories, DPDT Alternate, Switch Only</t>
  </si>
  <si>
    <t>MSS-1C</t>
  </si>
  <si>
    <t>Magnetic Switch/High Security, Concealed</t>
  </si>
  <si>
    <t>EEB2</t>
  </si>
  <si>
    <t>Emergency Exit Push Buttons</t>
  </si>
  <si>
    <t>EH-40</t>
  </si>
  <si>
    <t>Electric Hinge (6 Wire - 4.5" x 4.0")</t>
  </si>
  <si>
    <t>M82BD</t>
  </si>
  <si>
    <t>1,800 lbs Durable Magnalocks, BondSTAT Monitor &amp; Door Position Switch</t>
  </si>
  <si>
    <t>GL1-FLM</t>
  </si>
  <si>
    <t>Specialty Gate Locks, Gate Lock, 12/24 VDC, Fail Locked Monitored</t>
  </si>
  <si>
    <t>M32</t>
  </si>
  <si>
    <t>Cabinet Magnalocks, No Monitoring</t>
  </si>
  <si>
    <t>GL1-FSM</t>
  </si>
  <si>
    <t>M32B</t>
  </si>
  <si>
    <t>Cabinet Magnalocks, BondSTAT monitoring</t>
  </si>
  <si>
    <t>M32D</t>
  </si>
  <si>
    <t>Cabinet Magnalocks, Door Position Switch</t>
  </si>
  <si>
    <t>M32FB</t>
  </si>
  <si>
    <t>Cabinet Magnalocks, Face Drilled, BondSTAT Monitor</t>
  </si>
  <si>
    <t>M32F</t>
  </si>
  <si>
    <t>Cabinet Magnalocks, Face Drilled, No Monitoring</t>
  </si>
  <si>
    <t>M62</t>
  </si>
  <si>
    <t>1,200 lbs Durable Magnalocks, No Monitoring</t>
  </si>
  <si>
    <t>SAM</t>
  </si>
  <si>
    <t>1,200 lbs. Shear Aligning Magnalocks, 12/24 VDC, Self Aligning</t>
  </si>
  <si>
    <t>M32BD</t>
  </si>
  <si>
    <t>600 lbs Durable Magnalocks, BondSTAT Monitor &amp; Door Position Switch</t>
  </si>
  <si>
    <t>M34R</t>
  </si>
  <si>
    <t>500 lbs. Recessed Magnalocks, 12/24 VDC, Recessed</t>
  </si>
  <si>
    <t>SAMBD</t>
  </si>
  <si>
    <t>1,200 lbs. Shear Aligning Magnalocks, 12/24 VDC, Self Aligning, MBS, DPS</t>
  </si>
  <si>
    <t>ASB-32CL</t>
  </si>
  <si>
    <t>Aluminum Frame Spacer Bracket, for M32</t>
  </si>
  <si>
    <t>CWB-32CL</t>
  </si>
  <si>
    <t>Concrete/Wood Bracket, for M32</t>
  </si>
  <si>
    <t>CWB-82CL</t>
  </si>
  <si>
    <t>Concrete/Wood Bracket, for M82</t>
  </si>
  <si>
    <t>GDB</t>
  </si>
  <si>
    <t>Glass Door Bracket</t>
  </si>
  <si>
    <t>FMK-SW</t>
  </si>
  <si>
    <t>Specialty Locks Accessories, Flex Mount Kit for Swinging Gate</t>
  </si>
  <si>
    <t>ZA-32/62CL</t>
  </si>
  <si>
    <t>Adjustable Z-Bracket, For M32 and M62</t>
  </si>
  <si>
    <t>EC</t>
  </si>
  <si>
    <t>Electronic Controls</t>
  </si>
  <si>
    <t>WBB</t>
  </si>
  <si>
    <t>Keypads &amp; Card Readers Accessories, Wall Mounted, Weatherized,
Single Gang Box</t>
  </si>
  <si>
    <t>AQD6</t>
  </si>
  <si>
    <t>Power Supplies with Enclosures, 6 Amp, Dual Voltage Power Supply with enclosure (EPD Certified)</t>
  </si>
  <si>
    <t>AQD4</t>
  </si>
  <si>
    <t>Power Supplies with Enclosures, 4 Amp, Dual Voltage Power Supply with enclosure</t>
  </si>
  <si>
    <t xml:space="preserve">AQD4-8C8R2  </t>
  </si>
  <si>
    <t>4 Amp, Dual Voltage Power Supply with enclosure, 8 outputs, 1 Amp PTC polyswitch, 8 relays, Fire Trigger</t>
  </si>
  <si>
    <t>EL-EPT</t>
  </si>
  <si>
    <t>Electrical Power Transfers, ElectroLynx® 10” Cord, Standard Swing</t>
  </si>
  <si>
    <t>EL-EPTL</t>
  </si>
  <si>
    <t>Electrical Power Transfers, ElectroLynx® 18” Cord, Standard Swing</t>
  </si>
  <si>
    <t>TSB-C</t>
  </si>
  <si>
    <t>Door Cord, With Caps, Gray/Black, 18”</t>
  </si>
  <si>
    <t>Alarm Controls</t>
  </si>
  <si>
    <t>AK</t>
  </si>
  <si>
    <t>NTS-1</t>
  </si>
  <si>
    <t>NO TOUCH SWITCH</t>
  </si>
  <si>
    <t>NTS-2</t>
  </si>
  <si>
    <t xml:space="preserve">NO TOUCH SWITCH (DG) </t>
  </si>
  <si>
    <t>NTS-3</t>
  </si>
  <si>
    <t xml:space="preserve">NO TOUCH SWITCH (1.75) </t>
  </si>
  <si>
    <t>NTB-1</t>
  </si>
  <si>
    <t>Single Gang, Battery Powered, No Touch REX with Dual Color LED on stainless steel plate</t>
  </si>
  <si>
    <t>NTB-1-BK</t>
  </si>
  <si>
    <t>Single Gang, Battery Powered, No Touch REX with Dual Color LED in black finish</t>
  </si>
  <si>
    <t>NTB-1A</t>
  </si>
  <si>
    <t>Single Gang, Battery Powered, No Touch REX with ADA symbol &amp; Dual Color LED on stainless steel plate</t>
  </si>
  <si>
    <t>NTB-3</t>
  </si>
  <si>
    <t>Narrow Stile, Battery Powered, No Touch REX with Dual Color LED on stainless steel plate</t>
  </si>
  <si>
    <t>NTB-3-BK</t>
  </si>
  <si>
    <t>Narrow Stile, Battery Powered, No Touch REX with Dual Color LED in black finish</t>
  </si>
  <si>
    <t>600S</t>
  </si>
  <si>
    <t>600 POUND SINGLE DOOR MAGNETIC LOCK</t>
  </si>
  <si>
    <t>600LB</t>
  </si>
  <si>
    <t>600 POUND MAGNETIC LOCK W/ BOND SENSOR AND LED</t>
  </si>
  <si>
    <t>1200S</t>
  </si>
  <si>
    <t>1200 POUND SINGLE DOOR MAGNETIC LOCK</t>
  </si>
  <si>
    <t>1200LB</t>
  </si>
  <si>
    <t>1200 POUND MAGNETIC LOCK W/ BOND SENSOR AND LED</t>
  </si>
  <si>
    <t>AM3370</t>
  </si>
  <si>
    <t>Z BRACKET 600 SINGLE SERIES 3PC CLEAR FINISH</t>
  </si>
  <si>
    <t>AM6370</t>
  </si>
  <si>
    <t>Z BRACKET 1200 SINGLE SERIES 3PC CLEAR FINISH</t>
  </si>
  <si>
    <t>1200DE</t>
  </si>
  <si>
    <t>Magnetic Lock - Delayed Egress</t>
  </si>
  <si>
    <t xml:space="preserve">Master Price List - ASSA ABLOY Angel Metal Co. Ltd
</t>
  </si>
  <si>
    <t>Product Category - Cylindrical Leverset</t>
  </si>
  <si>
    <t>AGI-8000-30 SC</t>
  </si>
  <si>
    <t>Satin Chrome</t>
  </si>
  <si>
    <t>Grade 1 Lever Set, Entrance Function</t>
  </si>
  <si>
    <t>SC</t>
  </si>
  <si>
    <t>8301.40-1090</t>
  </si>
  <si>
    <t>AGI-8000-30 PB</t>
  </si>
  <si>
    <t>Polished Brass</t>
  </si>
  <si>
    <t>PB</t>
  </si>
  <si>
    <t>AGI-8000-30 AB</t>
  </si>
  <si>
    <t>Antique Brass, 10BE</t>
  </si>
  <si>
    <t>AGI-8000-IND SC</t>
  </si>
  <si>
    <t>Grade 1 Lever Set, Privacy Function, Indicator</t>
  </si>
  <si>
    <t>AGI-8000-IND PB</t>
  </si>
  <si>
    <t>AGI-8000-IND AB</t>
  </si>
  <si>
    <t>AGK-1000-10 SS</t>
  </si>
  <si>
    <t>Light Duty Cylindrical Lock, Passage Function</t>
  </si>
  <si>
    <t>AGK-1000-10 PB</t>
  </si>
  <si>
    <t>AGK-1000-10 AB</t>
  </si>
  <si>
    <t>AGK-1000-20 SS</t>
  </si>
  <si>
    <t>Light Duty Cylindrical Lock, Privacy Function</t>
  </si>
  <si>
    <t>AGK-1000-20 PB</t>
  </si>
  <si>
    <t>AGK-1000-20 AB</t>
  </si>
  <si>
    <t>AGK-1000-30 SS</t>
  </si>
  <si>
    <t>Light Duty Cylindrical Lock, Entrance Function</t>
  </si>
  <si>
    <t>AGK-1000-30 PB</t>
  </si>
  <si>
    <t>AGK-1000-30 AB</t>
  </si>
  <si>
    <t>AGK-1000-40 SS</t>
  </si>
  <si>
    <t>Light Duty Cylindrical Lock, Classroom Function</t>
  </si>
  <si>
    <t>AGK-1000-40 PB</t>
  </si>
  <si>
    <t>AGK-1000-40 AB</t>
  </si>
  <si>
    <t>AGK-1000-50 SS</t>
  </si>
  <si>
    <t>Light Duty Cylindrical Lock, Storeroom Function</t>
  </si>
  <si>
    <t>AGK-1000-50 PB</t>
  </si>
  <si>
    <t>AGK-1000-50 AB</t>
  </si>
  <si>
    <t>AGK-7000-30 SS</t>
  </si>
  <si>
    <t>Heavy Duty Cylindrical Lock, Entrance Function</t>
  </si>
  <si>
    <t>AGK-7000-30 PB</t>
  </si>
  <si>
    <t>AGK-7000-30 AB</t>
  </si>
  <si>
    <t>AGK-7000-30-IC SS</t>
  </si>
  <si>
    <t>Heavy Duty Cylindrical Lock Without IC Cylinder, Ent Function</t>
  </si>
  <si>
    <t>AGK-7000-30-IC PB</t>
  </si>
  <si>
    <t>AGK-7000-30-IC AB</t>
  </si>
  <si>
    <t>AGL-1000-10 SC</t>
  </si>
  <si>
    <t>Light Duty Lever Set, Passage Function</t>
  </si>
  <si>
    <t>AGL-1000-10 PB</t>
  </si>
  <si>
    <t>AGL-1000-10 AB</t>
  </si>
  <si>
    <t>AGL-1000-20 SC</t>
  </si>
  <si>
    <t>Light Duty Lever Set, Privacy Function</t>
  </si>
  <si>
    <t>AGL-1000-20 PB</t>
  </si>
  <si>
    <t>AGL-1000-20 AB</t>
  </si>
  <si>
    <t>AGL-1000-30 SC</t>
  </si>
  <si>
    <t>Light Duty Lever Set, Entrance Function</t>
  </si>
  <si>
    <t>AGL-1000-30 PB</t>
  </si>
  <si>
    <t>AGL-1000-30 AB</t>
  </si>
  <si>
    <t>AGL-1000-40 SC</t>
  </si>
  <si>
    <t>Light Duty Lever Set, Classroom Function</t>
  </si>
  <si>
    <t>AGL-1000-40 PB</t>
  </si>
  <si>
    <t>AGL-1000-40 AB</t>
  </si>
  <si>
    <t>AGL-1000-50 SC</t>
  </si>
  <si>
    <t>Light Duty Lever Set, Storeroom Function</t>
  </si>
  <si>
    <t>AGL-1000-50 PB</t>
  </si>
  <si>
    <t>AGL-1000-50 AB</t>
  </si>
  <si>
    <t>AGL-1000-DT SC</t>
  </si>
  <si>
    <t>Light Duty Lever Set, Dummy Trim</t>
  </si>
  <si>
    <t>AGL-1000-DT PB</t>
  </si>
  <si>
    <t>AGL-1000-DT AB</t>
  </si>
  <si>
    <t>AGL-7000-30-IC SC</t>
  </si>
  <si>
    <t>Grade 2 Lever Set, Entrance Function, Without IC Cylinder</t>
  </si>
  <si>
    <t>AGL-7000-30-IC PB</t>
  </si>
  <si>
    <t>AGL-7000-30-IC AB</t>
  </si>
  <si>
    <t>AGL-8000-30 SC</t>
  </si>
  <si>
    <t>AGL-8000-30 PB</t>
  </si>
  <si>
    <t>AGL-8000-30 AB</t>
  </si>
  <si>
    <t>AGL-8000-IND SC</t>
  </si>
  <si>
    <t>AGL-8000-IND PB</t>
  </si>
  <si>
    <t>AGL-8000-IND AB</t>
  </si>
  <si>
    <t>AGR-8000-30 SC</t>
  </si>
  <si>
    <t>AGR-8000-30 PB</t>
  </si>
  <si>
    <t>AGR-8000-30 AB</t>
  </si>
  <si>
    <t>AGR-8000-IND SC</t>
  </si>
  <si>
    <t>AGR-8000-IND PB</t>
  </si>
  <si>
    <t>AGR-8000-IND AB</t>
  </si>
  <si>
    <t>Master Price List - Aperio</t>
  </si>
  <si>
    <t>Product Category - Electronic Cylinder, Escutcheon, Handle</t>
  </si>
  <si>
    <t>ASSA ABLOY Opening Solutions CZ s.r.o.</t>
  </si>
  <si>
    <t>AP</t>
  </si>
  <si>
    <t>5001-1C8A10112-</t>
  </si>
  <si>
    <t>Polished Stainless Steel</t>
  </si>
  <si>
    <t>E100 STD 40-49 EP 8 72 V3BLE R</t>
  </si>
  <si>
    <t>PSS</t>
  </si>
  <si>
    <t>5001-3C8A10112-</t>
  </si>
  <si>
    <t>E100 STD 40-49 EP 8 72 V3BLE KR</t>
  </si>
  <si>
    <t>500ZB-PAPUSB-00</t>
  </si>
  <si>
    <t>AP PAP SERVICE TOOL</t>
  </si>
  <si>
    <t>500ZB-RD-USB-01</t>
  </si>
  <si>
    <t>USB-RADIO-DONGLE AP V1.2.4_BAG</t>
  </si>
  <si>
    <t>Sweden</t>
  </si>
  <si>
    <t>5011-1C9K10212-</t>
  </si>
  <si>
    <t>E100 PRE 40-44 EP 9 72 V3BLE R</t>
  </si>
  <si>
    <t>5011-DC9K10212-</t>
  </si>
  <si>
    <t>E100 PRE 40-44 EP 9 72 V3BLE KRIP</t>
  </si>
  <si>
    <t>503201C0-0000--</t>
  </si>
  <si>
    <t>Satin Nickel/Polished Stainless Steel</t>
  </si>
  <si>
    <t>C100 E/ER 30/30 EP MV STD SS V3MC</t>
  </si>
  <si>
    <t>SN/PSS</t>
  </si>
  <si>
    <t>505201C0-0001--</t>
  </si>
  <si>
    <t>C100 E/MR 30/30 EP MV STD SS V3MC</t>
  </si>
  <si>
    <t>506201C0-0001--</t>
  </si>
  <si>
    <t>C100 ER/MR 30/30 EP MV STD SS V3MC</t>
  </si>
  <si>
    <t>507201C0-0-01--</t>
  </si>
  <si>
    <t>C100 E 30/- EP MV STD SS V3MC</t>
  </si>
  <si>
    <t>AH30-RS485_G5</t>
  </si>
  <si>
    <t>COMMUNICATION HUB AH30 RS485</t>
  </si>
  <si>
    <t>Philippines</t>
  </si>
  <si>
    <t>AH40-IP_G5</t>
  </si>
  <si>
    <t>AP IP HUB 4.0</t>
  </si>
  <si>
    <t>AP-H100B8L-EU</t>
  </si>
  <si>
    <t>H100 Left, 8mm spindle, 40÷80mm door width, DIN/Euro version, Satin chrome, BLE</t>
  </si>
  <si>
    <t>AP-H100B8R-EU</t>
  </si>
  <si>
    <t>H100 Right, 8mm spindle, 40÷80mm door width, DIN/Euro version, Satin chrome, BLE</t>
  </si>
  <si>
    <t>KL100-19L</t>
  </si>
  <si>
    <t>KL100-19S</t>
  </si>
  <si>
    <t>KL100-22L</t>
  </si>
  <si>
    <t>KL100-22S</t>
  </si>
  <si>
    <t xml:space="preserve">Master Price List - Chubb Locks Custodial </t>
  </si>
  <si>
    <t>Product Category - Cell Locks, Pass Locks, Detainer Mortice Locks, Magnetic Locks, Padlocks and Handcuffs</t>
  </si>
  <si>
    <t>Chubb Locks Custodial Services</t>
  </si>
  <si>
    <t xml:space="preserve">LOCK BODIES </t>
  </si>
  <si>
    <t>4L55/001/01/S</t>
  </si>
  <si>
    <t>CELL LOCK BODY FF RHOI 'T' HDLE</t>
  </si>
  <si>
    <t>GR</t>
  </si>
  <si>
    <t>4L55/001/02/S</t>
  </si>
  <si>
    <t>CELL LOCK BODY FF RHOO 'T' HDLE</t>
  </si>
  <si>
    <t>4L55/001/03/S</t>
  </si>
  <si>
    <t>CELL LOCK BODY FF LHOI 'T' HDLE</t>
  </si>
  <si>
    <t>4L55/001/04/S</t>
  </si>
  <si>
    <t>CELL LOCK BODY FF LHOO 'T' HDLE</t>
  </si>
  <si>
    <t>CELL LOCK</t>
  </si>
  <si>
    <t>4L55/002/01/S</t>
  </si>
  <si>
    <t>CELL LOCK STD ILU FF RHOI 'T' HDLE</t>
  </si>
  <si>
    <t>4L55/002/02/S</t>
  </si>
  <si>
    <t>CELL LOCK STD ILU FF RHOO 'T' HDLE</t>
  </si>
  <si>
    <t>4L55/002/03/S</t>
  </si>
  <si>
    <t>CELL LOCK STD ILU FF LHOI 'T' HDLE</t>
  </si>
  <si>
    <t>4L55/002/04/S</t>
  </si>
  <si>
    <t>CELL LOCK STD ILU FF LHOO 'T' HDLE</t>
  </si>
  <si>
    <t>4L55/003/01/S</t>
  </si>
  <si>
    <t>CELL LOCK SUIT ILU FF RHOI 'T' HDLE</t>
  </si>
  <si>
    <t>4L55/003/02/S</t>
  </si>
  <si>
    <t>CELL LOCK SUIT ILU FF RHOO 'T' HDLE</t>
  </si>
  <si>
    <t>4L55/003/03/S</t>
  </si>
  <si>
    <t>CELL LOCK SUIT ILU FF LHOI 'T' HDLE</t>
  </si>
  <si>
    <t>4L55/003/04/S</t>
  </si>
  <si>
    <t>CELL LOCK SUIT ILU FF LHOO 'T' HDLE</t>
  </si>
  <si>
    <t>LEVER PACK</t>
  </si>
  <si>
    <t>4L55/059/01/S</t>
  </si>
  <si>
    <t>STD LEVER PACK (SPARES)</t>
  </si>
  <si>
    <t>4L55/059/02/S</t>
  </si>
  <si>
    <t>SUITED LEVER PACK (SPARES)</t>
  </si>
  <si>
    <t xml:space="preserve">MASTER KEYS </t>
  </si>
  <si>
    <t>4L55/060/01/MK</t>
  </si>
  <si>
    <t>CELL LOCK KEY (MASTER)</t>
  </si>
  <si>
    <t xml:space="preserve">SERVANT KEYS </t>
  </si>
  <si>
    <t>4L55/060/01/SK</t>
  </si>
  <si>
    <t>CELL LOCK KEY (SERVANT)</t>
  </si>
  <si>
    <t>SPARES</t>
  </si>
  <si>
    <t>4L55/352/01</t>
  </si>
  <si>
    <t>FIXING SCREWS</t>
  </si>
  <si>
    <t>4L56/001/01/S</t>
  </si>
  <si>
    <t>CELL LOCK BODY SF RHOI 'T' HDLE</t>
  </si>
  <si>
    <t>4L56/001/02/S</t>
  </si>
  <si>
    <t>CELL LOCK BODY SF RHOO 'T' HDLE</t>
  </si>
  <si>
    <t>4L56/001/03/S</t>
  </si>
  <si>
    <t>CELL LOCK BODY SF LHOI 'T' HDLE</t>
  </si>
  <si>
    <t>4L56/001/04/S</t>
  </si>
  <si>
    <t>CELL LOCK BODY SF LHOO 'T' HDLE</t>
  </si>
  <si>
    <t>4L56/002/01/S</t>
  </si>
  <si>
    <t>CELL LOCK STD ILU SF RHOI 'T' HDLE</t>
  </si>
  <si>
    <t>4L56/002/02/S</t>
  </si>
  <si>
    <t>CELL LOCK STD ILU SF RHOO 'T' HDLE</t>
  </si>
  <si>
    <t>4L56/002/03/S</t>
  </si>
  <si>
    <t>CELL LOCK STD ILU SF LHOI 'T' HDLE</t>
  </si>
  <si>
    <t>4L56/002/04/S</t>
  </si>
  <si>
    <t>CELL LOCK STD ILU SF LHOO 'T' HDLE</t>
  </si>
  <si>
    <t>4L56/003/01/S</t>
  </si>
  <si>
    <t>CELL LOCK SUIT ILU SF RHOI 'T' HDLE</t>
  </si>
  <si>
    <t>4L56/003/02/S</t>
  </si>
  <si>
    <t>CELL LOCK SUIT ILU SF RHOO 'T' HDLE</t>
  </si>
  <si>
    <t>4L56/003/03/S</t>
  </si>
  <si>
    <t>CELL LOCK SUIT ILU SF LHOI 'T' HDLE</t>
  </si>
  <si>
    <t>4L56/003/04/S</t>
  </si>
  <si>
    <t>CELL LOCK SUIT ILU SF LHOO 'T' HDLE</t>
  </si>
  <si>
    <t>4L56/315/01</t>
  </si>
  <si>
    <t>Natural</t>
  </si>
  <si>
    <t>DIRECT MOUNTED BACK PLATE</t>
  </si>
  <si>
    <t>4L56/316/01</t>
  </si>
  <si>
    <t>ST/ST</t>
  </si>
  <si>
    <t>NIB HEAD SCREW - 38MM (5 REQUIRED)</t>
  </si>
  <si>
    <t>4L56/P58M</t>
  </si>
  <si>
    <t>SLEEVE NUT 0.875"</t>
  </si>
  <si>
    <t xml:space="preserve">INNER LOCKING UNIT </t>
  </si>
  <si>
    <t>4L65/010/01/S</t>
  </si>
  <si>
    <t xml:space="preserve">Zinc Plate </t>
  </si>
  <si>
    <t>I/LOCKING UNIT RH SINGLE THROW</t>
  </si>
  <si>
    <t>4L65/010/02/S</t>
  </si>
  <si>
    <t>I/LOCKING UNIT LH SINGLE THROW</t>
  </si>
  <si>
    <t>4L65/011/01/S</t>
  </si>
  <si>
    <t>I/LOCKING UNIT RH DOUBLE THROW</t>
  </si>
  <si>
    <t>4L65/011/02/S</t>
  </si>
  <si>
    <t>I'LOCKING UNIT LH DOUBLE THROW</t>
  </si>
  <si>
    <t>4L78/002/01/S</t>
  </si>
  <si>
    <t>DC CELL LOCK RHOI WITH I.L.U.</t>
  </si>
  <si>
    <t>4L78/002/02/S</t>
  </si>
  <si>
    <t>DC CELL LOCK LHOI WITH I.L.U.</t>
  </si>
  <si>
    <t>4L78/002/03/S</t>
  </si>
  <si>
    <t>DC CELL LOCK RHOO WITH I.L.U.</t>
  </si>
  <si>
    <t>4L78/002/04/S</t>
  </si>
  <si>
    <t>DC CELL LOCK LHOO WITH I.L.U.</t>
  </si>
  <si>
    <t>4L78/010/01/S</t>
  </si>
  <si>
    <t>INNER LOCKING UNIT RH</t>
  </si>
  <si>
    <t>4L78/011/01/S</t>
  </si>
  <si>
    <t>INNER LOCKING UNIT LH</t>
  </si>
  <si>
    <t>4L78/012/01/S</t>
  </si>
  <si>
    <t>PA ELECTRICAL LOCKING UNIT RH</t>
  </si>
  <si>
    <t>4L78/013/01/S</t>
  </si>
  <si>
    <t>PA ELECTRICAL LOCKING UNIT LH</t>
  </si>
  <si>
    <t>4L78/063/01/S</t>
  </si>
  <si>
    <t>Brass</t>
  </si>
  <si>
    <t>STANDARD LEVER PACK (SPARES)</t>
  </si>
  <si>
    <t>4L78/064/01/S</t>
  </si>
  <si>
    <t>FINISHED KEY</t>
  </si>
  <si>
    <t xml:space="preserve">PASS LOCKS </t>
  </si>
  <si>
    <t>3G112/001/01/S</t>
  </si>
  <si>
    <t>LONG FOREND DEADLOCK</t>
  </si>
  <si>
    <t>3G112/001/02/S</t>
  </si>
  <si>
    <t>SHORT FOREND DEADLOCK</t>
  </si>
  <si>
    <t>3G112/P90/S</t>
  </si>
  <si>
    <t>LEVER PACK MK1 (SPARES ONLY)</t>
  </si>
  <si>
    <t>3G112/002/01/S</t>
  </si>
  <si>
    <t>3G112/002/02/S</t>
  </si>
  <si>
    <t>3G112/MK2/P90/S</t>
  </si>
  <si>
    <t>LEVER PACK MK2 (SPARES ONLY)</t>
  </si>
  <si>
    <t>3G106/P110/S</t>
  </si>
  <si>
    <t>MASTER KEYS</t>
  </si>
  <si>
    <t>3G106/P52/S</t>
  </si>
  <si>
    <t>SERVANT KEYS</t>
  </si>
  <si>
    <t>3G112/003/01/S</t>
  </si>
  <si>
    <t>3G112/003/02/S</t>
  </si>
  <si>
    <t>3G112/062/01/S</t>
  </si>
  <si>
    <t>MK3 LEVER PACK</t>
  </si>
  <si>
    <t>3G112/063/01/S</t>
  </si>
  <si>
    <t>FINISHED KEY MK3</t>
  </si>
  <si>
    <t>FITTINGS FURNITURE DOORS</t>
  </si>
  <si>
    <t>3G112/055/01/W</t>
  </si>
  <si>
    <t>U/A OF GATE BOX</t>
  </si>
  <si>
    <t>3G112/P40</t>
  </si>
  <si>
    <t>ESCUTCHEON SCREW (NIB HEAD)</t>
  </si>
  <si>
    <t>3R63/001/01/S</t>
  </si>
  <si>
    <t>LH DUAL CONT PASSLOCK NO ILU W/DOOR</t>
  </si>
  <si>
    <t>3R63/001/02/S</t>
  </si>
  <si>
    <t>RH DUAL CONT PASSLOCK NO ILU W/DOOR</t>
  </si>
  <si>
    <t>3R63/001/05/S</t>
  </si>
  <si>
    <t>LH DUAL CONT PASS LOCK NO ILU GATE</t>
  </si>
  <si>
    <t>3R63/001/06/S</t>
  </si>
  <si>
    <t>RH DUAL CONT PASS LOCK NO ILU GATE</t>
  </si>
  <si>
    <t>3R63/002/01/S</t>
  </si>
  <si>
    <t>LH DUAL CONT PASSLOCK + ILU W/DOOR</t>
  </si>
  <si>
    <t>3R63/002/02/S</t>
  </si>
  <si>
    <t>RH DUAL CONT PASSLOCK + ILU W/DOOR</t>
  </si>
  <si>
    <t>3R63/002/05/S</t>
  </si>
  <si>
    <t>LH DUAL CONT PASS LOCK + ILU GATE</t>
  </si>
  <si>
    <t>3R63/002/06/S</t>
  </si>
  <si>
    <t>RH DUAL CONT PASS LOCK + ILU GATE</t>
  </si>
  <si>
    <t>3R63/052/01/S</t>
  </si>
  <si>
    <t>ELECTRICAL LOCKING UNIT</t>
  </si>
  <si>
    <t>3R63/055/01/S</t>
  </si>
  <si>
    <t>LOCK INTERFACE UNIT KIT</t>
  </si>
  <si>
    <t>3R53/010/01/S</t>
  </si>
  <si>
    <t>INNER LOCKING UNIT</t>
  </si>
  <si>
    <t>3R53/064/N</t>
  </si>
  <si>
    <t>ELECTRIC OVERRIDE KEY</t>
  </si>
  <si>
    <t>3R53/064/D</t>
  </si>
  <si>
    <t>MECHANICAL KEY</t>
  </si>
  <si>
    <t>3R53/086/03/W</t>
  </si>
  <si>
    <t>GATE BOX ASSY MILD STEEL NO HOLES</t>
  </si>
  <si>
    <t>3G317/012/04/S</t>
  </si>
  <si>
    <t>DB THRW FULL ESC S/F SINGLE KEY 1ST ACTN MAST KEY BOTH ACTN</t>
  </si>
  <si>
    <t>3G317/055/01/M</t>
  </si>
  <si>
    <t>MASTER KEY</t>
  </si>
  <si>
    <t>3G317/055/01/S</t>
  </si>
  <si>
    <t>SERVANT KEY</t>
  </si>
  <si>
    <t>3G317/329/02</t>
  </si>
  <si>
    <t>ESCUTCHEON SCREW</t>
  </si>
  <si>
    <t>MORTICE LOCK</t>
  </si>
  <si>
    <t>H3G110/108A/S</t>
  </si>
  <si>
    <t>MORT D/LOCK N/SUIT SAT NO KEYS</t>
  </si>
  <si>
    <t>H3G110/108A/BS</t>
  </si>
  <si>
    <t>LOCK BODY NEW SUITE</t>
  </si>
  <si>
    <t>3G110/P550M/W</t>
  </si>
  <si>
    <t>GATE BOX</t>
  </si>
  <si>
    <t>H3J60/010/03A/S</t>
  </si>
  <si>
    <t>1 BOLT MORT NEW SUITE NO KEYS</t>
  </si>
  <si>
    <t>H3J60/010/04A/S</t>
  </si>
  <si>
    <t>2 BOLT MORTICE LOCK NEW SUITE</t>
  </si>
  <si>
    <t>H3J60/010/13ABS</t>
  </si>
  <si>
    <t>LOCK BODIES WITHOUT DETAINERS</t>
  </si>
  <si>
    <t>H3J60/010/14ABS</t>
  </si>
  <si>
    <t>3J60/P550M/W</t>
  </si>
  <si>
    <t>OUTER STEEL BOX</t>
  </si>
  <si>
    <t>3J60/028/01/W</t>
  </si>
  <si>
    <t>Aluminium</t>
  </si>
  <si>
    <t>OP'L KNOB SET (WITH KEYHOLE)</t>
  </si>
  <si>
    <t>H3K70/211A/S</t>
  </si>
  <si>
    <t>2/B MORT LH SAT N/SUIT NO KEYS</t>
  </si>
  <si>
    <t>H3K70/212A/S</t>
  </si>
  <si>
    <t>2/B MORT RH SAT N/SUIT NO KEYS</t>
  </si>
  <si>
    <t>H3K70/212A/BS</t>
  </si>
  <si>
    <t>RH LOCK BODY WITHOUT DETAINERS</t>
  </si>
  <si>
    <t>H3K70/211A/BS</t>
  </si>
  <si>
    <t>LH LOCK BODY WITHOUT DETAINERS</t>
  </si>
  <si>
    <t>3K70/F/15/W</t>
  </si>
  <si>
    <t>3K70 &amp; 3M51 FURNITURE AA</t>
  </si>
  <si>
    <t xml:space="preserve">DETAINERS </t>
  </si>
  <si>
    <t>H3G110/P411/1/S</t>
  </si>
  <si>
    <t>S.O SUITED DET'S NO KEYS</t>
  </si>
  <si>
    <t>H3G110/P213MK</t>
  </si>
  <si>
    <t>Chrome Plate</t>
  </si>
  <si>
    <t>MASTER KEY (BULLETED) 1.1/2" BBB</t>
  </si>
  <si>
    <t>CP</t>
  </si>
  <si>
    <t>H3G110/P213</t>
  </si>
  <si>
    <t>SUITE KEY (BULLETED) 1.1/2" BBB</t>
  </si>
  <si>
    <t>3G110/309/01</t>
  </si>
  <si>
    <t>45.5MM DIA ALUMINIUM ESCUTCHEON</t>
  </si>
  <si>
    <t>Electric Controls</t>
  </si>
  <si>
    <t>984C2/001/01/W</t>
  </si>
  <si>
    <t>Brass jaw steel body</t>
  </si>
  <si>
    <t>ELECTRIC RELEASE - 12V 25% MONITORED</t>
  </si>
  <si>
    <t>HANDCUFFS</t>
  </si>
  <si>
    <t>1K52/S</t>
  </si>
  <si>
    <t>ESCORT HANDCUFFS - 9 LIFT</t>
  </si>
  <si>
    <t>BL</t>
  </si>
  <si>
    <t xml:space="preserve">HANDCUFF INSERTS </t>
  </si>
  <si>
    <t>1K52/P15/S</t>
  </si>
  <si>
    <t>NO 1 LOOSE INSERT</t>
  </si>
  <si>
    <t>1K52/P150/S</t>
  </si>
  <si>
    <t>NO2 LOOSE INSERT</t>
  </si>
  <si>
    <t>1K52/P151/S</t>
  </si>
  <si>
    <t>NO3 LOOSE INSERT</t>
  </si>
  <si>
    <t xml:space="preserve">HANDCUFF KEYS </t>
  </si>
  <si>
    <t>1K52/P17B/S</t>
  </si>
  <si>
    <t>HANDCUFF KEY (9 SLIDER)</t>
  </si>
  <si>
    <t>Master Price List - Control iD</t>
  </si>
  <si>
    <t>Product Category - Facial &amp; Fingerprint Recognition and RFID Access Controllers</t>
  </si>
  <si>
    <t>CI</t>
  </si>
  <si>
    <t>IDA/B</t>
  </si>
  <si>
    <t>iDAccess - Fingerprint + PIN/Password</t>
  </si>
  <si>
    <t>IDA/BP/ASK</t>
  </si>
  <si>
    <t>iDAccess - Fingerprint + RFID ASK (125 kHz) + PIN/Password</t>
  </si>
  <si>
    <t>IDA/BP/MIF</t>
  </si>
  <si>
    <t>iDAccess - Fingerprint + RFID MIFARE (13,56 MHz) + PIN/Password</t>
  </si>
  <si>
    <t>IDANANO/BP/A</t>
  </si>
  <si>
    <t>iDAccess Nano - Fingerprint + RFID ASK (125 kHz) + PIN/Password</t>
  </si>
  <si>
    <t>IDANANO/BP/M</t>
  </si>
  <si>
    <t>iDAccess Nano - Fingerprint + RFID MIFARE (13,56 MHz) + PIN/Password</t>
  </si>
  <si>
    <t>IDAPRO/BP/A</t>
  </si>
  <si>
    <t>iDAccess Pro Bio Prox ASK</t>
  </si>
  <si>
    <t>IDAPRO/BP/H</t>
  </si>
  <si>
    <t>iDAccess Pro Bio Prox Hid</t>
  </si>
  <si>
    <t>IDAPRO/BP/M</t>
  </si>
  <si>
    <t>iDAccess Pro Bio Prox Mifare</t>
  </si>
  <si>
    <t>IDFACE/FP/A</t>
  </si>
  <si>
    <t>iDFace - 3000 faces + RFID ASK (125 kHz)</t>
  </si>
  <si>
    <t>IDFACE/FP/H</t>
  </si>
  <si>
    <t>iDFace - 3000 faces + HID RFID reader</t>
  </si>
  <si>
    <t>IDFACE/FP/M</t>
  </si>
  <si>
    <t>iDFace - 3000 faces + RFID MIFARE (13,56 MHz)</t>
  </si>
  <si>
    <t>IDFACEPRO/FP/A</t>
  </si>
  <si>
    <t>iDFace - 10000 faces + SIP + RFID ASK (125 kHz)</t>
  </si>
  <si>
    <t>IDFACEPRO/FP/H</t>
  </si>
  <si>
    <t>iDFace - 10000 faces + SIP + HID RFID reader</t>
  </si>
  <si>
    <t>IDFACEPRO/FP/M</t>
  </si>
  <si>
    <t>iDFace - 10000 faces + SIP + RFID MIFARE (13,56 MHz)</t>
  </si>
  <si>
    <t>IDFLEX/AC/B</t>
  </si>
  <si>
    <t xml:space="preserve">Access Controller - iDFlex Bio -  Access </t>
  </si>
  <si>
    <t>IDFLEX/AC/BP/A</t>
  </si>
  <si>
    <t>Access Controller - iDFlex Bio Prox ASK</t>
  </si>
  <si>
    <t>IDFLEX/AC/BP/M</t>
  </si>
  <si>
    <t xml:space="preserve">Access Controller - iDFlex Bio Prox Mifare -  Access </t>
  </si>
  <si>
    <t>IDFLEXLITE/AC/B</t>
  </si>
  <si>
    <t xml:space="preserve">Access Controller - iDFlex Lite Bio -  Access </t>
  </si>
  <si>
    <t>IDFLEXLITE/AC/BP/A</t>
  </si>
  <si>
    <t xml:space="preserve">Access Controller - iDFlex Lite Bio Prox ASK -  Access </t>
  </si>
  <si>
    <t>IDFLEXLITE/AC/BP/M</t>
  </si>
  <si>
    <t xml:space="preserve">Access Controller - iDFlex Lite Bio Prox Mifare -  Access </t>
  </si>
  <si>
    <t>IDFMAX/FP/A</t>
  </si>
  <si>
    <t>iDFace Max - Facial Identification (10000 faces) + RFID ASK (125 kHz)</t>
  </si>
  <si>
    <t>IDFMAX/FP/M</t>
  </si>
  <si>
    <t>iDFace Max - Facial Identification (10000 faces) + RFID MIFARE (13,56 MHz)</t>
  </si>
  <si>
    <t>IDP/C/ASK</t>
  </si>
  <si>
    <t>iDProx Compact - RFID ASK (125kHz)</t>
  </si>
  <si>
    <t>IDP/C/MIF</t>
  </si>
  <si>
    <t>iDProx Compact - RFID MIFARE (13,56 MHz)</t>
  </si>
  <si>
    <t>IDP/S/ASK</t>
  </si>
  <si>
    <t>iDProx Slim - RFID ASK (125kHz)</t>
  </si>
  <si>
    <t>IDP/S/MIF</t>
  </si>
  <si>
    <t>iDProx Slim - RFID MIFARE (13,56 MHz)</t>
  </si>
  <si>
    <t>Master Price List - Ditec</t>
  </si>
  <si>
    <t>Product Category - Sliding and Swing Door Operators</t>
  </si>
  <si>
    <t>DO</t>
  </si>
  <si>
    <t>Entrance Automation</t>
  </si>
  <si>
    <t>DI</t>
  </si>
  <si>
    <t>DAS107</t>
  </si>
  <si>
    <t>PGDAS107K2P sliding door operator</t>
  </si>
  <si>
    <t>DAS200</t>
  </si>
  <si>
    <t>PMDAS200K1 sliding door operator</t>
  </si>
  <si>
    <t>DAS200HD</t>
  </si>
  <si>
    <t>PMDAS200HDK1 sliding door operator</t>
  </si>
  <si>
    <t>DAB105</t>
  </si>
  <si>
    <t>EURAS C0</t>
  </si>
  <si>
    <t>PMDAB105 swing door operator</t>
  </si>
  <si>
    <t>DAB205</t>
  </si>
  <si>
    <t>PMDAB205 swing door operator</t>
  </si>
  <si>
    <t>DAB305PS</t>
  </si>
  <si>
    <t>PMDAB305PS swing door operator complete with push arm</t>
  </si>
  <si>
    <t>DAB305PL</t>
  </si>
  <si>
    <t>PMDAB305PL swing door operator complete with pull arm</t>
  </si>
  <si>
    <t>Master Price List - Guli (AAZS)</t>
  </si>
  <si>
    <t>Product Category - Mortise Lockcase, Exit Device, Lock Part, Maglock, Electromechanical Lock</t>
  </si>
  <si>
    <t>AAZS</t>
  </si>
  <si>
    <t>AA21-M05 x LEC-R-H03 630 RHR</t>
  </si>
  <si>
    <t>Satin Stainless Steel</t>
  </si>
  <si>
    <t>ANSI Exit Device - A21 Series (Classroom Function, Mortise Type)</t>
  </si>
  <si>
    <t>SSS</t>
  </si>
  <si>
    <t>AA21-R08 630 x LEC-R-H03-RHR-6</t>
  </si>
  <si>
    <t>ANSI Exit Device - A21 Series (Classroom Function, Rim Type)</t>
  </si>
  <si>
    <t>AA21-R08 630 H03-RHR-630</t>
  </si>
  <si>
    <t>AA8790-D 50MM</t>
  </si>
  <si>
    <t>ANSI Mortise Lockcase - AA8700 Series (Latch Function), 29.5mm cyl, fail secure outside, fail safe inside. Double access card control in both sides.</t>
  </si>
  <si>
    <t>830140 </t>
  </si>
  <si>
    <t>EMZ4B-AM</t>
  </si>
  <si>
    <t>EMZ4 BRACKET ARMATURE MONITORED W/MAGNET</t>
  </si>
  <si>
    <t>EMZ4B-DLZ</t>
  </si>
  <si>
    <t>EMZ4 BRACKET DOUBLE L &amp; Z</t>
  </si>
  <si>
    <t>EMZ4B-DMP</t>
  </si>
  <si>
    <t>EMZ4 BRACKET DOUBLE MOUNTING PLATE</t>
  </si>
  <si>
    <t>EMZ4B-SLZ</t>
  </si>
  <si>
    <t>EMZ4 BRACKET SINGLE L &amp; Z</t>
  </si>
  <si>
    <t>EMZ4-DM</t>
  </si>
  <si>
    <t>EMZ4 E/MAGNET 12/24VDC DOUBLE MONITORED</t>
  </si>
  <si>
    <t>EMZ4-RSM</t>
  </si>
  <si>
    <t>EMZ4 E/MAGNET RECESSED 12/24VDC SINGLE MONITORED</t>
  </si>
  <si>
    <t>EMZ4-RSN</t>
  </si>
  <si>
    <t>EMZ4 E/MAGNET RESESSED 12/24VDC SINGLE NON MONITORED</t>
  </si>
  <si>
    <t>EMZ4-SM</t>
  </si>
  <si>
    <t>EMZ4 E/MAGNET 12/24VDC SINGLE MONITORED</t>
  </si>
  <si>
    <t>EMZ4-SN</t>
  </si>
  <si>
    <t>EMZ4 E/MAGNET 12/24VDC SINGLE NON MONITORED</t>
  </si>
  <si>
    <t>EMZ8B-DLZ</t>
  </si>
  <si>
    <t>EMZ8 BRACKET DOUBLE L &amp; Z</t>
  </si>
  <si>
    <t>EMZ8B-GA</t>
  </si>
  <si>
    <t>EMZ8 BRACKET GLASS ARMATURE</t>
  </si>
  <si>
    <t>EMZ8B-GU</t>
  </si>
  <si>
    <t>EMZ8 BRACKET GLASS U 12MM GLASS</t>
  </si>
  <si>
    <t>EMZ8B-SLZ</t>
  </si>
  <si>
    <t>EMZ8 BRACKET SINGLE L &amp; Z</t>
  </si>
  <si>
    <t>EMZ8B-SMP</t>
  </si>
  <si>
    <t>EMZ8 BRACKET SINGLE MOUNTING PLATE</t>
  </si>
  <si>
    <t>EMZ8-DM</t>
  </si>
  <si>
    <t>EMZ8 E/MAGNET 12/24VDC DOUBLE MONITORED</t>
  </si>
  <si>
    <t>EMZ8-DN</t>
  </si>
  <si>
    <t>EMZ8 E/MAGNET 12/24VDC DOUBLE NON MONITORED</t>
  </si>
  <si>
    <t>EMZ8-SM</t>
  </si>
  <si>
    <t>EMZ8 E/MAGNET 12/24VDC SINGLE MONITORED</t>
  </si>
  <si>
    <t>EMZ8-SN</t>
  </si>
  <si>
    <t>EMZ8 E/MAGNET 12/24VDC SINGLE NON MONITORED</t>
  </si>
  <si>
    <t>EMZ8-WSM</t>
  </si>
  <si>
    <t>EMZ8 E/MAGNET WEATHER RES 12/24VDC SINGLE MONITORED</t>
  </si>
  <si>
    <t>H100B8L-EU</t>
  </si>
  <si>
    <t>H100 Aperio handle, Left hand, EU version</t>
  </si>
  <si>
    <t>H100B8R-EU</t>
  </si>
  <si>
    <t>H100 Aperio handle, right hand,EU version</t>
  </si>
  <si>
    <t>AA8790 - 60-62MM</t>
  </si>
  <si>
    <t>AA8790 (Double access Card Control at both side)60-622mm</t>
  </si>
  <si>
    <t>AA8791 SS</t>
  </si>
  <si>
    <t>AA8791 (Double access Card Control at both side)</t>
  </si>
  <si>
    <t>AA8790-D   60mm</t>
  </si>
  <si>
    <t>AA8790-D (Double access Card Control at both side)</t>
  </si>
  <si>
    <t>Trimec</t>
  </si>
  <si>
    <t>TR</t>
  </si>
  <si>
    <t>Z770600-012-TRI</t>
  </si>
  <si>
    <t>TRIMEC SINGLE MODEL APS &amp; DPS</t>
  </si>
  <si>
    <t>Z770600-901</t>
  </si>
  <si>
    <t>TRIMEC Z8 DOUBLE BRACKETS</t>
  </si>
  <si>
    <t>Z770300-901</t>
  </si>
  <si>
    <t>TRIMEC Z4 SINGLE L &amp; Z BRACKETS</t>
  </si>
  <si>
    <t>Z770300-012-TRI</t>
  </si>
  <si>
    <t>Z770300-905</t>
  </si>
  <si>
    <t>TRIMEC Z4 U BRACKET</t>
  </si>
  <si>
    <t>770300-902</t>
  </si>
  <si>
    <t>TRIMEC Z4 DOUBLE L &amp; Z BRACKETS</t>
  </si>
  <si>
    <t>Z770300-112-TRI</t>
  </si>
  <si>
    <t>TRIMEC DOUBLE MODEL APS &amp; DPS</t>
  </si>
  <si>
    <t>Z770300-210-TRI</t>
  </si>
  <si>
    <t>TRIMEC Z4 RECESSED-ARMATURE POSITION SENSING</t>
  </si>
  <si>
    <t>AP-H100B8R-FP</t>
  </si>
  <si>
    <t>ASSA ABLOY Aperio H100 Handle with Faceplate, Right</t>
  </si>
  <si>
    <t>AP-H100B8L-FP</t>
  </si>
  <si>
    <t>ASSA ABLOY Aperio H100 Handle with Faceplate, Left</t>
  </si>
  <si>
    <t>AA21-R-24</t>
  </si>
  <si>
    <t>ASSA ABLOY AA21-R Exit Device, 24"</t>
  </si>
  <si>
    <t>AA21-R-30</t>
  </si>
  <si>
    <t>ASSA ABLOY AA21-R Exit Device, 30"</t>
  </si>
  <si>
    <t>AA21-R-36</t>
  </si>
  <si>
    <t>ASSA ABLOY AA21-R Exit Device, 36"</t>
  </si>
  <si>
    <t>AA21-R-48</t>
  </si>
  <si>
    <t>ASSA ABLOY AA21-R Exit Device, 48"</t>
  </si>
  <si>
    <t>AA8600-12-FSA-HDL</t>
  </si>
  <si>
    <t>ASSA ABLOY 8600 Series Electric Mortise Lock, 12V Fail Safe, with Handle Set</t>
  </si>
  <si>
    <t>AA8600-12-FSE-HDL</t>
  </si>
  <si>
    <t>ASSA ABLOY 8600 Series Electric Mortise Lock, 12V Fail Secure, with Handle Set</t>
  </si>
  <si>
    <t>AA8600-24-FSA-HDL</t>
  </si>
  <si>
    <t>ASSA ABLOY 8600 Series Electric Mortise Lock, 24V Fail Safe, with Handle Set</t>
  </si>
  <si>
    <t>AA8600-24-FSE-HDL</t>
  </si>
  <si>
    <t>ASSA ABLOY 8600 Series Electric Mortise Lock, 24V Fail Secure, with Handle Set</t>
  </si>
  <si>
    <t>AA C/30</t>
  </si>
  <si>
    <t>ASSA ABLOY Half Cylinder, 30mm</t>
  </si>
  <si>
    <t>AA C/35</t>
  </si>
  <si>
    <t>ASSA ABLOY Half Cylinder, 35mm</t>
  </si>
  <si>
    <t>AA C/40</t>
  </si>
  <si>
    <t>ASSA ABLOY Half Cylinder, 40mm</t>
  </si>
  <si>
    <t>AA C/45</t>
  </si>
  <si>
    <t>ASSA ABLOY Half Cylinder, 45mm</t>
  </si>
  <si>
    <t>AA C/50</t>
  </si>
  <si>
    <t>ASSA ABLOY Half Cylinder, 50mm</t>
  </si>
  <si>
    <t>AASSB-01</t>
  </si>
  <si>
    <t>ASSA ABLOY Signal Strike Box</t>
  </si>
  <si>
    <t>Kyra Pro, 60mm Black</t>
  </si>
  <si>
    <t>KYRA Pro: Push Pull, backset 60mm</t>
  </si>
  <si>
    <t>Kyra Pro, 60mm Gold</t>
  </si>
  <si>
    <t>Kyra Pro, 70mm Black</t>
  </si>
  <si>
    <t>KYRA Pro: Push Pull, backset 70mm</t>
  </si>
  <si>
    <t>Kyra Pro, 70mm Gold</t>
  </si>
  <si>
    <t>Luna Pro 60mm Gold</t>
  </si>
  <si>
    <t>Luna Pro: Push Pull, backset 60mm</t>
  </si>
  <si>
    <t>Luna Pro 60mm NG</t>
  </si>
  <si>
    <t>Luna Pro 70mm Gold</t>
  </si>
  <si>
    <t>Luna Pro: Push Pull, backset 70mm</t>
  </si>
  <si>
    <t>Luna Pro 70mm NG</t>
  </si>
  <si>
    <t>Luna Pro+ 60mm Gold</t>
  </si>
  <si>
    <t>Luna Pro+: Push Pull, backset 60mm</t>
  </si>
  <si>
    <t>Luna Pro+ 60mm NG</t>
  </si>
  <si>
    <t>Luna Pro+ 70mm Gold</t>
  </si>
  <si>
    <t>Luna Pro+: Push Pull, backset 70mm</t>
  </si>
  <si>
    <t>Luna Pro+ 70mm NG</t>
  </si>
  <si>
    <t>Yale Luna Elite+, 60mm</t>
  </si>
  <si>
    <t>Yale Elite+Fingerprint/Pin/CPU/3D facescan/palmscan/screen/mobile app/NFC/BLE/wifi/nova graphite/fully auto lockcase/EN6068</t>
  </si>
  <si>
    <t>TBC</t>
  </si>
  <si>
    <t>Yale Luna Elite+, 70mm</t>
  </si>
  <si>
    <t>Yale Elite+ Fingerprint/Pin/CPU/3D facescan/palmscan/screen/mobile app/NFC/BLE/wifi/nova graphite/fully auto lockcase/EN7068</t>
  </si>
  <si>
    <t>Yale Luna Elite-F, 60mm</t>
  </si>
  <si>
    <t>Yale Elite-F Fingerprint/Pin/CPU/facescan/screen/mobile app/NFC/BLE/wifi/nova graphite/fully auto lockcase EN6068</t>
  </si>
  <si>
    <t>Yale Luna Elite-F, 70mm</t>
  </si>
  <si>
    <t>Yale Elite-F Fingerprint/Pin/CPU/facescan/screen/mobile app/NFC/BLE/wifi/nova graphite/fully auto lockcase EN7068</t>
  </si>
  <si>
    <t>Yale Luna Elite-P, 60mm</t>
  </si>
  <si>
    <t>Yale Elite-P Fingerprint/Pin/CPU/palmscan/screen/mobile app/NFC/BLE/wifi/nova graphite/fully auto lockcase/EN6068</t>
  </si>
  <si>
    <t>Yale Luna Elite-P, 70mm</t>
  </si>
  <si>
    <t>Yale Elite-P Fingerprint/Pin/CPU/palmscan/screen/mobile app/NFC/BLE/wifi/nova graphite/fully auto lockcase/EN7068</t>
  </si>
  <si>
    <t>Yale New Luna Pro, 60mm</t>
  </si>
  <si>
    <t>Yale New Luna Pro Fingerprint/Pin/CPU/mobile app/NFC/BLE/nova graphite/fully auto lockcase EN6068</t>
  </si>
  <si>
    <t>Yale New Luna Pro, 70mm</t>
  </si>
  <si>
    <t>Yale New Luna Pro Fingerprint/Pin/CPU/mobile app/NFC/BLE/nova graphite/fully auto lockcase EN7068</t>
  </si>
  <si>
    <t>Yale New Luna Pro+, 60mm</t>
  </si>
  <si>
    <t>Yale New Luna Pro+Fingerprint/Pin/CPU/facescan/palmscan/mobile app/NFC/BLE/nova graphite/fully auto lockcase EN6068</t>
  </si>
  <si>
    <t>Yale New Luna Pro+, 70mm</t>
  </si>
  <si>
    <t>Yale New Luna Pro+Fingerprint/Pin/CPU/facescan/palmscan/mobile app/NFC/BLE/nova graphite/fully auto lockcase EN7068</t>
  </si>
  <si>
    <t>YDM3109A 60mm (3 keys)</t>
  </si>
  <si>
    <t>YDM3109A_Silver_M60G_APAC(with 3 keys)</t>
  </si>
  <si>
    <t>YDM3109A 60mm (5 keys)</t>
  </si>
  <si>
    <t>YDM3109A_TW_M60G_Silver_60mm(5 keys/5cards)</t>
  </si>
  <si>
    <t>YDM3109A 60mm Gold</t>
  </si>
  <si>
    <t>YDM3109A_Gold_M60G_APAC</t>
  </si>
  <si>
    <t>YDM3109A 60mm Silver</t>
  </si>
  <si>
    <t>YDM3109A_Silver_M60G_APAC</t>
  </si>
  <si>
    <t>YDM3109A 70mm (3 keys)</t>
  </si>
  <si>
    <t>YDM3109A_Silver_M70G_APAC(with 3 keys)</t>
  </si>
  <si>
    <t>YDM3109A 70mm (5 keys)</t>
  </si>
  <si>
    <t>YDM3109A_TW_M70G_Silver_70mm(5 keys/5cards)</t>
  </si>
  <si>
    <t>YDM3109A 70mm RB</t>
  </si>
  <si>
    <t>Red Brown</t>
  </si>
  <si>
    <t>YDM3109A_TW_M70G_Red brown spray_70mm(5keys/5cards)</t>
  </si>
  <si>
    <t>RB</t>
  </si>
  <si>
    <t>YDM3109A 70mm Silver</t>
  </si>
  <si>
    <t>YDM3109A_Silver_M70G_APAC</t>
  </si>
  <si>
    <t>YDM4109A 60mm Black</t>
  </si>
  <si>
    <t>YDM4109A_Black_M60G_APAC</t>
  </si>
  <si>
    <t>YDM4109A 60mm Gold</t>
  </si>
  <si>
    <t>YDM4109A_Gold_M60G_APAC</t>
  </si>
  <si>
    <t>YDM4109A 60mm TW</t>
  </si>
  <si>
    <t>YDM4109A_TW_M60G_Black_60mm</t>
  </si>
  <si>
    <t>YDM4109A 70mm</t>
  </si>
  <si>
    <t>YDM4109A_Black_M70G_APAC</t>
  </si>
  <si>
    <t>YDM4109A 70mm TW</t>
  </si>
  <si>
    <t>YDM4109A_TW_M70G_Black_70mm</t>
  </si>
  <si>
    <t>YDM7216A</t>
  </si>
  <si>
    <t>YDM7216A_TW_M70G-N240_MB</t>
  </si>
  <si>
    <t>Master Price List - Guoqiang</t>
  </si>
  <si>
    <t>Product Category - Window &amp; Door Hardware</t>
  </si>
  <si>
    <t>FN</t>
  </si>
  <si>
    <t>Furniture Hardware</t>
  </si>
  <si>
    <t>FZ1122640</t>
  </si>
  <si>
    <t>Paint Spraying</t>
  </si>
  <si>
    <t>Window handle Silver color GQ logo</t>
  </si>
  <si>
    <t>PS</t>
  </si>
  <si>
    <t>SXP0902125R</t>
  </si>
  <si>
    <t>Carbon Steel</t>
  </si>
  <si>
    <t>TF Hinge, right handed</t>
  </si>
  <si>
    <t>CS</t>
  </si>
  <si>
    <t>SXP0902125L</t>
  </si>
  <si>
    <t>STQ01</t>
  </si>
  <si>
    <t>Sash Lifter Black color</t>
  </si>
  <si>
    <t>SXJ0013</t>
  </si>
  <si>
    <t>Bottom hinge(Sash)</t>
  </si>
  <si>
    <t>SXJ0901K</t>
  </si>
  <si>
    <t>Bottom hinge(Frame)</t>
  </si>
  <si>
    <t>SXJ0901-13</t>
  </si>
  <si>
    <t>Cover</t>
  </si>
  <si>
    <t>SXJ0003-05</t>
  </si>
  <si>
    <t>SXP0902125-06</t>
  </si>
  <si>
    <t>SSJ13</t>
  </si>
  <si>
    <t>Top hinge parts</t>
  </si>
  <si>
    <t>SSJ13-03</t>
  </si>
  <si>
    <t>SZJ0516162.3</t>
  </si>
  <si>
    <t>Corner drive</t>
  </si>
  <si>
    <t>SL</t>
  </si>
  <si>
    <t>SLDC081401.2</t>
  </si>
  <si>
    <t>T/T Gear</t>
  </si>
  <si>
    <t>SYC10500</t>
  </si>
  <si>
    <t>Extension bar</t>
  </si>
  <si>
    <t>SZS117402</t>
  </si>
  <si>
    <t>Center lock</t>
  </si>
  <si>
    <t>MWC006</t>
  </si>
  <si>
    <t>Mishandling Device</t>
  </si>
  <si>
    <t>DK0910</t>
  </si>
  <si>
    <t>Mishandling Keeper</t>
  </si>
  <si>
    <t>TQZ004R</t>
  </si>
  <si>
    <t>Stainless Keeper</t>
  </si>
  <si>
    <t>TQZ004L</t>
  </si>
  <si>
    <t>SXK050</t>
  </si>
  <si>
    <t>Keeper</t>
  </si>
  <si>
    <t>LCXP20-130-5-9-600R</t>
  </si>
  <si>
    <t>Alu. T&amp;T (TF),silver</t>
  </si>
  <si>
    <t>XDK2004.1</t>
  </si>
  <si>
    <t>matte zinc plated lock point drive</t>
  </si>
  <si>
    <t>MJ10050900-06</t>
  </si>
  <si>
    <t>black color bush with metal assembled</t>
  </si>
  <si>
    <t>J4XS223010</t>
  </si>
  <si>
    <t>Awning Stay-top hung, SS304, 10", 3.0mm thickness bar, 45kgs
GQ logo</t>
  </si>
  <si>
    <t>J4S223010A</t>
  </si>
  <si>
    <t>Casement Stay, SS304, 10", 3.0mm thickness bar, 23kgs
GQ logo</t>
  </si>
  <si>
    <t>J4S223014A</t>
  </si>
  <si>
    <t>Casement stay-side hung, SS304, 14", 3.0mm thickness bar, 33kgs
GQ logo</t>
  </si>
  <si>
    <t>J4XS223014</t>
  </si>
  <si>
    <t>Awning Stay-top hung, SS304, 14", 3.0mm thickness bar, 65kgs
GQ logo</t>
  </si>
  <si>
    <t>LZJ2004-1</t>
  </si>
  <si>
    <t>Corner drive, silver color</t>
  </si>
  <si>
    <t>MJ10050900</t>
  </si>
  <si>
    <t>Mill Finish</t>
  </si>
  <si>
    <t>Flag hinge, mill finish,with black plastic parts</t>
  </si>
  <si>
    <t>MF</t>
  </si>
  <si>
    <t>matte zinc plated keeper</t>
  </si>
  <si>
    <t>2814X</t>
  </si>
  <si>
    <t>F7105L070</t>
  </si>
  <si>
    <t>Spindle Length 105mm</t>
  </si>
  <si>
    <t>Yale China</t>
  </si>
  <si>
    <t>GHX2A-TTS-3585</t>
  </si>
  <si>
    <t>black color, with sliding door lock body</t>
  </si>
  <si>
    <t>AHG Sales China</t>
  </si>
  <si>
    <t>GHX2A-TY-3585</t>
  </si>
  <si>
    <t>stainless color, with casement door lock body</t>
  </si>
  <si>
    <t>Commercial Solutions</t>
  </si>
  <si>
    <t>Brown color JY8400 Hook</t>
  </si>
  <si>
    <t>SEA</t>
  </si>
  <si>
    <t>TYB106070R</t>
  </si>
  <si>
    <t>Brown color JY8400, Right side, Crescent Lock</t>
  </si>
  <si>
    <t>SG</t>
  </si>
  <si>
    <t>MJ10050900-06/MJ1005</t>
  </si>
  <si>
    <t xml:space="preserve">SMZ19 </t>
  </si>
  <si>
    <t xml:space="preserve">F7110L080S </t>
  </si>
  <si>
    <t>handle Spindle and screw</t>
  </si>
  <si>
    <t xml:space="preserve">SH01365 </t>
  </si>
  <si>
    <t xml:space="preserve">Door gearbox with cylider hole B </t>
  </si>
  <si>
    <t xml:space="preserve">LH01365 </t>
  </si>
  <si>
    <t>Door gearbox with handle hole B</t>
  </si>
  <si>
    <t xml:space="preserve">XDK2004 </t>
  </si>
  <si>
    <t xml:space="preserve">XDK2008 </t>
  </si>
  <si>
    <t xml:space="preserve">112-0X </t>
  </si>
  <si>
    <t xml:space="preserve">MJ12321100 </t>
  </si>
  <si>
    <t xml:space="preserve">SSB02   </t>
  </si>
  <si>
    <t>Cylinder cover</t>
  </si>
  <si>
    <t>Master Price List - PC Henderson</t>
  </si>
  <si>
    <t>Product Category - Sliding Door Hardware</t>
  </si>
  <si>
    <t>PC Henderson</t>
  </si>
  <si>
    <t>HE</t>
  </si>
  <si>
    <t>210241</t>
  </si>
  <si>
    <t>250 TRACK PACK -3500mm ANODISED - 250/3500</t>
  </si>
  <si>
    <t>On Applicaton</t>
  </si>
  <si>
    <t>220514</t>
  </si>
  <si>
    <t>Satin</t>
  </si>
  <si>
    <t>SOLTAIRE - 57/250/SS HANGER</t>
  </si>
  <si>
    <t>220518</t>
  </si>
  <si>
    <t>SOLTAIRE - 106HSS/94 GUIDE</t>
  </si>
  <si>
    <t>220523</t>
  </si>
  <si>
    <t>SOLTAIRE - HH5/AN DOOR STOP - PACKAGED</t>
  </si>
  <si>
    <t>310100</t>
  </si>
  <si>
    <t>SIRRH - SIROCCO SELF CLOSING SYSTEM RH OPENING</t>
  </si>
  <si>
    <t>310101</t>
  </si>
  <si>
    <t>SIRLH - SIROCCO SELF CLOSING SYSTEM LH OPENING</t>
  </si>
  <si>
    <t>310102</t>
  </si>
  <si>
    <t>DELRH - SIROCCO DELAYED CLOSING TIMER RH</t>
  </si>
  <si>
    <t>310103</t>
  </si>
  <si>
    <t>DELLH - SIROCCO DELAYED CLOSING TIMER LH</t>
  </si>
  <si>
    <t>440161</t>
  </si>
  <si>
    <t>RUSTIC 100 : R100/30 FLAT TRACK BLACK SYSTEM 3M KIT - 100KG</t>
  </si>
  <si>
    <t>550030</t>
  </si>
  <si>
    <t>HH3/301 TRACK STOP</t>
  </si>
  <si>
    <t>664034</t>
  </si>
  <si>
    <t>TRACK 280AN/1800 (PUNCHED)</t>
  </si>
  <si>
    <t>664035</t>
  </si>
  <si>
    <t>TRACK 280AN/2000 (PUNCHED)</t>
  </si>
  <si>
    <t>664037</t>
  </si>
  <si>
    <t>TRACK 280AN/2500 (PUNCHED)</t>
  </si>
  <si>
    <t>664038</t>
  </si>
  <si>
    <t>TRACK 280AN/3000 (PUNCHED)</t>
  </si>
  <si>
    <t>664039</t>
  </si>
  <si>
    <t>TRACK 280AN/4000 (PUNCHED)</t>
  </si>
  <si>
    <t>664097</t>
  </si>
  <si>
    <t>POCKET DOOR 2315X930 (36.6 INCH) PDK10</t>
  </si>
  <si>
    <t>665525</t>
  </si>
  <si>
    <t>H100  - HUSKY 100 FITTINGS KIT</t>
  </si>
  <si>
    <t>666102</t>
  </si>
  <si>
    <t>106N/94 GUIDE ASSY.</t>
  </si>
  <si>
    <t>666752</t>
  </si>
  <si>
    <t>385/S Round flush pull set (with finger pull) - satin</t>
  </si>
  <si>
    <t>666761</t>
  </si>
  <si>
    <t>SLIDING DOOR FLUSH LOCKSET SATIN 395SA</t>
  </si>
  <si>
    <t>668500</t>
  </si>
  <si>
    <t>TWINBOLT COMPLETE ASSEMBLY SATIN TWB/MLS</t>
  </si>
  <si>
    <t>710572</t>
  </si>
  <si>
    <t>BRACKET 1A/301</t>
  </si>
  <si>
    <t>714073</t>
  </si>
  <si>
    <t>BRACKET OPEN ZP 1/307/S</t>
  </si>
  <si>
    <t>714097</t>
  </si>
  <si>
    <t>LH CLOSED END BRKT ZP 1/307/SLC</t>
  </si>
  <si>
    <t>714114</t>
  </si>
  <si>
    <t>RH CLOSED END BRKT ZP 1/307/SRC</t>
  </si>
  <si>
    <t>714138</t>
  </si>
  <si>
    <t>BRACKET ASSEMBLY 1X/307/S</t>
  </si>
  <si>
    <t>724215</t>
  </si>
  <si>
    <t>CHANNEL 97/4000</t>
  </si>
  <si>
    <t>724269</t>
  </si>
  <si>
    <t>CHANNEL 6.0M 97/6000</t>
  </si>
  <si>
    <t>727589</t>
  </si>
  <si>
    <t>94X CHANNEL 2.0M 94X/2000</t>
  </si>
  <si>
    <t>727668</t>
  </si>
  <si>
    <t>94X CHANNEL 3.0M 94X/3000</t>
  </si>
  <si>
    <t>727678</t>
  </si>
  <si>
    <t>94X CHANNEL 4.0M 94X/4000</t>
  </si>
  <si>
    <t>727682</t>
  </si>
  <si>
    <t>94X CHANNEL 2.5M 94X/2500</t>
  </si>
  <si>
    <t>740982</t>
  </si>
  <si>
    <t>GUIDE 104PX/97</t>
  </si>
  <si>
    <t>741125</t>
  </si>
  <si>
    <t>GUIDE 106R/97</t>
  </si>
  <si>
    <t>745262</t>
  </si>
  <si>
    <t>BOW HANDLE (CARTONED) 464</t>
  </si>
  <si>
    <t>748489</t>
  </si>
  <si>
    <t>HANGER 56FJ/S</t>
  </si>
  <si>
    <t>748719</t>
  </si>
  <si>
    <t>HANGER (METRIC) 57A/N</t>
  </si>
  <si>
    <t>777216</t>
  </si>
  <si>
    <t>FLUSH PULL SAA 400</t>
  </si>
  <si>
    <t>777450</t>
  </si>
  <si>
    <t>FLUSH PULL 414</t>
  </si>
  <si>
    <t>798123</t>
  </si>
  <si>
    <t>STOP 107</t>
  </si>
  <si>
    <t>804512</t>
  </si>
  <si>
    <t>TRACK 4.0M 301/4000</t>
  </si>
  <si>
    <t>805212</t>
  </si>
  <si>
    <t>TRACK 2.5M 307/2500</t>
  </si>
  <si>
    <t>805236</t>
  </si>
  <si>
    <t>TRACK 3.0M 307/3000</t>
  </si>
  <si>
    <t>370715</t>
  </si>
  <si>
    <t>284HP - HUSKY 120 PRO - STRAIGHT SLIDING HANGER ASSEMBLY</t>
  </si>
  <si>
    <t>370724</t>
  </si>
  <si>
    <t>280HP/15A - HUSKY 120 PRO - TRACK - 1500MM LONG</t>
  </si>
  <si>
    <t>370725</t>
  </si>
  <si>
    <t>280HP/20A - HUSKY 120 PRO - TRACK - 2000MM LONG</t>
  </si>
  <si>
    <t>370726</t>
  </si>
  <si>
    <t>280HP/25A - HUSKY 120 PRO - TRACK - 2500MM LONG</t>
  </si>
  <si>
    <t>370727</t>
  </si>
  <si>
    <t>280HP/30A - HUSKY 120 PRO - TRACK - 3000MM LONG</t>
  </si>
  <si>
    <t>370728</t>
  </si>
  <si>
    <t>280HP/40A - HUSKY 120 PRO - TRACK - 4000MM LONG</t>
  </si>
  <si>
    <t>370729</t>
  </si>
  <si>
    <t>280HP/60A - HUSKY 120 PRO - TRACK - 6000MM LONG</t>
  </si>
  <si>
    <t>370751</t>
  </si>
  <si>
    <t>HP120/15A - HUSKY 120 PRO - 1.5M KIT PACK</t>
  </si>
  <si>
    <t>370752</t>
  </si>
  <si>
    <t>HP120/20A - HUSKY 120 PRO - 2.0M KIT PACK</t>
  </si>
  <si>
    <t>370753</t>
  </si>
  <si>
    <t>HP120/25A - HUSKY 120 PRO - 2.5M KIT PACK</t>
  </si>
  <si>
    <t>370755</t>
  </si>
  <si>
    <t>HP120/30A - HUSKY 120 PRO - 3.0M KIT PACK</t>
  </si>
  <si>
    <t>370756</t>
  </si>
  <si>
    <t>HP120 - HUSKY 120 PRO - FITTINGS KIT</t>
  </si>
  <si>
    <t>370757</t>
  </si>
  <si>
    <t>HP120/18A - HUSKY 120 PRO - 1.8M KIT PACK</t>
  </si>
  <si>
    <t>370760</t>
  </si>
  <si>
    <t>601HP - HUSKY 120 PRO - CLIP STOP ASSEMBLY</t>
  </si>
  <si>
    <t>370778</t>
  </si>
  <si>
    <t>280HP/18A - HUSKY 120 PRO - TRACK - 1800MM LONG</t>
  </si>
  <si>
    <t>370780</t>
  </si>
  <si>
    <t>HUSKY 120 PRO - LHP120 LOW HEADROOM INSTALLATION KIT</t>
  </si>
  <si>
    <t>370781</t>
  </si>
  <si>
    <t>285HP - HUSKY 120 PRO - HANGER w/POLYPACK</t>
  </si>
  <si>
    <t>370783</t>
  </si>
  <si>
    <t>281HP - HUSKY 120 PRO - WALL BRACKET ASSEMBLY</t>
  </si>
  <si>
    <t>370786</t>
  </si>
  <si>
    <t>HUSKY 120 PRO - 2 DOOR TELESCOPIC - TELHP80/2</t>
  </si>
  <si>
    <t>370787</t>
  </si>
  <si>
    <t>HUSKY 120 PRO - 3 DOOR TELESCOPIC - TELHP80/3</t>
  </si>
  <si>
    <t>370788</t>
  </si>
  <si>
    <t>HUSKY 120 PRO - 4 DOOR TELESCOPIC/SIM - TELHP80/4SIM</t>
  </si>
  <si>
    <t>370789</t>
  </si>
  <si>
    <t>HUSKY 120 PRO - SIMULTANEOUS KIT - SIMHP120</t>
  </si>
  <si>
    <t>370790</t>
  </si>
  <si>
    <t>HUSKY 120 PRO - END CAP (X2)  PACK - 280EC</t>
  </si>
  <si>
    <t>CP120 - COMPACT 120 LOW HEADROOM KIT HUSKY 120 PRO &amp; SOLTAIRE 120</t>
  </si>
  <si>
    <t>HF30/2/0 - HUSKYFOLD 30 - 2+0 CONFIGURATION 1800mm TRACK</t>
  </si>
  <si>
    <t>HF30/2/1 - HUSYFOLD 30 - 2+1 CONFIGURATION 2700MM TRACK</t>
  </si>
  <si>
    <t>HF30/2/2 - HUSKYFOLD 30 - 2+2 CONFIGURATION 3500MM TRACK</t>
  </si>
  <si>
    <t>HF30/3/0 - HUSKYFOLD 30 - 3+0 CONFIGURATION 2700MM TRACK</t>
  </si>
  <si>
    <t>HF30/3/1 - HUSKYFOLD 30 - 3+1 CONFIGURATION 3500MM TRACK</t>
  </si>
  <si>
    <t>HF30/4/0 - HUSKYFOLD 30 - 4+0 CONFIGURATION 3500MM TRACK</t>
  </si>
  <si>
    <t>HF30/2/0/TL - HUSKYFOLD 30 - 2 DOOR FITTINGS KIT</t>
  </si>
  <si>
    <t>HF30/4/0/TL - HUSKYFOLD 30 - 4 DOOR FITTINGS KIT</t>
  </si>
  <si>
    <t>HUSKY 120 PRO STANDARD SOFTCLOSE KIT (60KG-120KG)</t>
  </si>
  <si>
    <t>HUSKY 120 PRO STANDARD SOFTCLOSE KIT (10KG-60KG)</t>
  </si>
  <si>
    <t>Master Price List - IKON</t>
  </si>
  <si>
    <t>Product Category - Mechanical Keys &amp; Cylinders (Master Key System &amp; Individual Locking)</t>
  </si>
  <si>
    <t>IK</t>
  </si>
  <si>
    <t>Z531, L=30/30 - E</t>
  </si>
  <si>
    <t>Satin Nickel</t>
  </si>
  <si>
    <t>SK6 Entry level- Europrofile double cylinder in standard length incl. 3x keys (EPD Certified)</t>
  </si>
  <si>
    <t>SN</t>
  </si>
  <si>
    <t>~10 wd</t>
  </si>
  <si>
    <t>Z531, L=30/35; 35/30; 30/40: 40/30 - E</t>
  </si>
  <si>
    <t>SK6 Entry level - Europrofile double cylinder in standard with one extention incl. 3x keys (EPD Certified)</t>
  </si>
  <si>
    <t>Z531, L=35/35; 35/40; 40/35; 40/40 - E</t>
  </si>
  <si>
    <t>SK6 Entry level - Europrofile double cylinder in standard with two extentions incl. 3x keys (EPD Certified)</t>
  </si>
  <si>
    <t>Z532, L=30 - E</t>
  </si>
  <si>
    <t>SK6 Entry level - Europrofile half cylinder in standard length incl. 3x keys (EPD Certified)</t>
  </si>
  <si>
    <t>Z532, L=35 - E</t>
  </si>
  <si>
    <t>SK6 Entry level - Europrofile half cylinder in standard with one extentions incl. 3x keys (EPD Certified)</t>
  </si>
  <si>
    <t>Z532, L=40 - E</t>
  </si>
  <si>
    <t>SK6 Entry level - Europrofile half cylinder in standard with two extentions incl. 3x keys (EPD Certified)</t>
  </si>
  <si>
    <t>Z534, KNF=2MV, L=30/30 - E</t>
  </si>
  <si>
    <t>SK6 Entry level - Europrofile knob cylinder in standard length incl. 3x keys (EPD Certified)</t>
  </si>
  <si>
    <t>Z534, KNF=2MV, L=30/35; 35/30; 30/40; 40/30 - E</t>
  </si>
  <si>
    <t>SK6 Entry level - Europrofile knob cylinder in standard with one extentions incl. 3x keys (EPD Certified)</t>
  </si>
  <si>
    <t>Z534, KNF=2MV, L=35/35; 35/40; 40/35; 40/40 - E</t>
  </si>
  <si>
    <t>SK6 Entry level - Europrofile knob cylinder in standard with two extentions incl. 3x keys (EPD Certified)</t>
  </si>
  <si>
    <t>Z320 - E</t>
  </si>
  <si>
    <t>SK6 Entry level - Locking lever cylinder incl. 2x keys 30 mm diameter, laterally flattened to 22 mm (EPD Certified)</t>
  </si>
  <si>
    <t>Z923 - E</t>
  </si>
  <si>
    <t>SK6 Entry level - Locking lever cylinder incl. 2x keys 25 mm diameter, laterally flattened to 22 mm (EPD Certified)</t>
  </si>
  <si>
    <t>Z316, AUS=LH25 - E</t>
  </si>
  <si>
    <t>Satin Brass</t>
  </si>
  <si>
    <t>SK6 Entry level - Padlock incl. 2x keys (EPD Certified)</t>
  </si>
  <si>
    <t>SB</t>
  </si>
  <si>
    <t>Z531, L=30/30 - M</t>
  </si>
  <si>
    <t>SK6 Medium level- Europrofile double cylinder in standard length incl. 3x keys (EPD Certified)</t>
  </si>
  <si>
    <t>Z531, L=30/35; 35/30; 30/40: 40/30 - M</t>
  </si>
  <si>
    <t>SK6 Medium level - Europrofile double cylinder in standard with one extention incl. 3x keys (EPD Certified)</t>
  </si>
  <si>
    <t>Z531, L=35/35; 35/40; 40/35; 40/40 - M</t>
  </si>
  <si>
    <t>SK6 Medium level - Europrofile double cylinder in standard with two extentions incl. 3x keys (EPD Certified)</t>
  </si>
  <si>
    <t>Z532, L=30 - M</t>
  </si>
  <si>
    <t>SK6 Medium level - Europrofile half cylinder in standard length incl. 3x keys (EPD Certified)</t>
  </si>
  <si>
    <t>Z532, L=35 - M</t>
  </si>
  <si>
    <t>SK6 Medium level - Europrofile half cylinder in standard with one extentions incl. 3x keys (EPD Certified)</t>
  </si>
  <si>
    <t>Z532, L=40 - M</t>
  </si>
  <si>
    <t>SK6 Medium level - Europrofile half cylinder in standard with two extentions incl. 3x keys (EPD Certified)</t>
  </si>
  <si>
    <t>Z534, KNF=2MV, L=30/30 - M</t>
  </si>
  <si>
    <t>SK6 Medium level - Europrofile knob cylinder in standard length incl. 3x keys (EPD Certified)</t>
  </si>
  <si>
    <t>Z534, KNF=2MV, L=30/35; 35/30; 30/40; 40/30 - M</t>
  </si>
  <si>
    <t>SK6 Medium level - Europrofile knob cylinder in standard with one extentions incl. 3x keys (EPD Certified)</t>
  </si>
  <si>
    <t>Z534, KNF=2MV, L=35/35; 35/40; 40/35; 40/40 - M</t>
  </si>
  <si>
    <t>SK6 Medium level - Europrofile knob cylinder in standard with two extentions incl. 3x keys (EPD Certified)</t>
  </si>
  <si>
    <t>Z320 - M</t>
  </si>
  <si>
    <t>SK6 Medium level - Locking lever cylinder incl. 2x keys
30 mm diameter, laterally flattened to 22 mm (EPD Certified)</t>
  </si>
  <si>
    <t>Z923 - M</t>
  </si>
  <si>
    <t>SK6 Medium level - Locking lever cylinder incl. 2x keys
25 mm diameter, laterally flattened to 22 mm (EPD Certified)</t>
  </si>
  <si>
    <t>Z316, AUS=LH25 - M</t>
  </si>
  <si>
    <t>SK6 Medium level - Padlock incl. 2x keys (EPD Certified)</t>
  </si>
  <si>
    <t>Z531, L=30/30 - H</t>
  </si>
  <si>
    <t>SK6 High level- Europrofile double cylinder in standard length incl. 3x keys (EPD Certified)</t>
  </si>
  <si>
    <t>Z531, L=30/35; 35/30; 30/40: 40/30 - H</t>
  </si>
  <si>
    <t>SK6 High level - Europrofile double cylinder in standard with one extention incl. 3x keys (EPD Certified)</t>
  </si>
  <si>
    <t>Z531, L=35/35; 35/40; 40/35; 40/40 - H</t>
  </si>
  <si>
    <t>SK6 High level - Europrofile double cylinder in standard with two extentions incl. 3x keys (EPD Certified)</t>
  </si>
  <si>
    <t>Z532, L=30 - H</t>
  </si>
  <si>
    <t>SK6 High level - Europrofile half cylinder in standard length incl. 3x keys (EPD Certified)</t>
  </si>
  <si>
    <t>Z532, L=35 - H</t>
  </si>
  <si>
    <t>SK6 High level - Europrofile half cylinder in standard with one extentions incl. 3x keys (EPD Certified)</t>
  </si>
  <si>
    <t>Z532, L=40 - H</t>
  </si>
  <si>
    <t>SK6 High level - Europrofile half cylinder in standard with two extentions incl. 3x keys (EPD Certified)</t>
  </si>
  <si>
    <t>Z534, KNF=2MV, L=30/30 - H</t>
  </si>
  <si>
    <t>SK6 High level - Europrofile knob cylinder in standard length incl. 3x keys (EPD Certified)</t>
  </si>
  <si>
    <t>Z534, KNF=2MV, L=30/35; 35/30; 30/40; 40/30 - H</t>
  </si>
  <si>
    <t>SK6 High level - Europrofile knob cylinder in standard with one extentions incl. 3x keys (EPD Certified)</t>
  </si>
  <si>
    <t>Z534, KNF=2MV, L=35/35; 35/40; 40/35; 40/40 - H</t>
  </si>
  <si>
    <t>SK6 High level - Europrofile knob cylinder in standard with two extentions incl. 3x keys (EPD Certified)</t>
  </si>
  <si>
    <t>Z320 - H</t>
  </si>
  <si>
    <t>SK6 High level - Locking lever cylinder incl. 2x keys 30 mm diameter, laterally flattened to 22 mm (EPD Certified)</t>
  </si>
  <si>
    <t>Z923 - H</t>
  </si>
  <si>
    <t>SK6 High level - Locking lever cylinder incl. 2x keys 25 mm diameter, laterally flattened to 22 mm (EPD Certified)</t>
  </si>
  <si>
    <t>Z316, AUS=LH25 - H</t>
  </si>
  <si>
    <t>SK6 High level - Padlock incl. 2x keys (EPD Certified)</t>
  </si>
  <si>
    <t>S102 - additional keys</t>
  </si>
  <si>
    <t>Nickel Silver</t>
  </si>
  <si>
    <t>SK6 all levels - Additional keys (when ordered with cylinder) (EPD Certified)</t>
  </si>
  <si>
    <t>NS</t>
  </si>
  <si>
    <t>S102 - spare keys</t>
  </si>
  <si>
    <t>SK6 all levels - Spare keys (when ordered without a cylinder) (EPD Certified)</t>
  </si>
  <si>
    <t>Electronic Control</t>
  </si>
  <si>
    <t>N531 E/D</t>
  </si>
  <si>
    <t>double cylinder, L=30x30, V=E/D (EPD Certified)</t>
  </si>
  <si>
    <t>N531 E/E</t>
  </si>
  <si>
    <t>double cylinder, L=30x30, V=E/E (both side electronic) (EPD Certified)</t>
  </si>
  <si>
    <t>N532</t>
  </si>
  <si>
    <t>single cylinder, L=30, V=E (EPD Certified)</t>
  </si>
  <si>
    <t>N534 2MV</t>
  </si>
  <si>
    <t>knob cylinder KNF=2MV, L=30x30, V=E (EPD Certified)</t>
  </si>
  <si>
    <t>N534 1F2</t>
  </si>
  <si>
    <t>EP knob cylinder KNF=1F2, L=30x30, V=E (EPD Certified)</t>
  </si>
  <si>
    <t>N551</t>
  </si>
  <si>
    <t>Profile-double cylinder eCLIQ, one side blind, V=E (EPD Certified)</t>
  </si>
  <si>
    <t>N532,VAR=1901508-FRONT</t>
  </si>
  <si>
    <t>special single cylinder, L=30, V=E (EPD Certified)</t>
  </si>
  <si>
    <t>N532,VAR=R90A008</t>
  </si>
  <si>
    <t>Special single cylinder, L=30, V=E,  (example: vending machines) (EPD Certified)</t>
  </si>
  <si>
    <t>N532,VAR=R90A009</t>
  </si>
  <si>
    <t>Special single cylinder, L=30, V=E, (example: server reck locks) (EPD Certified)</t>
  </si>
  <si>
    <t>N481 E/D</t>
  </si>
  <si>
    <t>Swiss Profile double cylinder, L=30x30, V=E/D (EPD Certified)</t>
  </si>
  <si>
    <t>N481 E/E</t>
  </si>
  <si>
    <t>Swiss Profile double cylinder, L=30x30, V=E/E (EPD Certified)</t>
  </si>
  <si>
    <t>N482</t>
  </si>
  <si>
    <t>Swiss Profile EP single cylinder, L=30, V=E (EPD Certified)</t>
  </si>
  <si>
    <t>N484</t>
  </si>
  <si>
    <t>Swiss Profile EP knob cylinder KNF=2MV, L=30x30, V=E (EPD Certified)</t>
  </si>
  <si>
    <t>N316 25mm</t>
  </si>
  <si>
    <t>padlock 25mm shackle, V=E, SuR=3 (IP55 = standard) (EPD Certified)</t>
  </si>
  <si>
    <t>N316 50mm</t>
  </si>
  <si>
    <t>padlock 50mm shackle, V=E, SuR=3 (IP55 = standard) (EPD Certified)</t>
  </si>
  <si>
    <t>N316 75mm</t>
  </si>
  <si>
    <t>padlock 75mm shackle, V=E, SuR=3 (IP55 = standard) (EPD Certified)</t>
  </si>
  <si>
    <t>N316 28mm</t>
  </si>
  <si>
    <t>padlock 28/5mm shackle, V=E, SuR=3 (IP55 = standard) (EPD Certified)</t>
  </si>
  <si>
    <t>N316 25mm (NIRO)</t>
  </si>
  <si>
    <t>padlock 25mm NIRO shackle, V=E, SuR=3 (IP55 = standard) (EPD Certified)</t>
  </si>
  <si>
    <t>N319, class 4 27mm</t>
  </si>
  <si>
    <t>padlock 27mm shackle, V=E (EPD Certified)</t>
  </si>
  <si>
    <t>N319, class 4 27mm, IP67</t>
  </si>
  <si>
    <t>padlock 27mm shackle with high shoulders, V=E, IP67 (EPD Certified)</t>
  </si>
  <si>
    <t>N319, class 4 50mm, IP67</t>
  </si>
  <si>
    <t>padlock 50mm shackle, V=E, IP67 (EPD Certified)</t>
  </si>
  <si>
    <t>N319, class 4 75mm, IP67</t>
  </si>
  <si>
    <t>padlock 75mm shackle, V=E, IP67 (EPD Certified)</t>
  </si>
  <si>
    <t>N320</t>
  </si>
  <si>
    <t>cam cylinder dia 30, V=E (EPD Certified)</t>
  </si>
  <si>
    <t>N923</t>
  </si>
  <si>
    <t>cam cylinder dia 25, V=E (EPD Certified)</t>
  </si>
  <si>
    <t>NT01</t>
  </si>
  <si>
    <t>cam cylinder dia 19, V=E (EPD Certified)</t>
  </si>
  <si>
    <t>NT02</t>
  </si>
  <si>
    <t>cam cylinder, dia 21 ,V=E (EPD Certified)</t>
  </si>
  <si>
    <t>NC31</t>
  </si>
  <si>
    <t>Locking cylinder dia 23, V=E (EPD Certified)</t>
  </si>
  <si>
    <t>N924</t>
  </si>
  <si>
    <t>Furniture lock, V=E (EPD Certified)</t>
  </si>
  <si>
    <t>N186</t>
  </si>
  <si>
    <t>N184</t>
  </si>
  <si>
    <t>NT05</t>
  </si>
  <si>
    <t>N511</t>
  </si>
  <si>
    <t>Switch Cylinder, V=E (EPD Certified)</t>
  </si>
  <si>
    <t>N512</t>
  </si>
  <si>
    <t>N098</t>
  </si>
  <si>
    <t>NC19</t>
  </si>
  <si>
    <t>Switch Cylinder dia 29, V=E (EPD Certified)</t>
  </si>
  <si>
    <t>NC52</t>
  </si>
  <si>
    <t>Switch Cylinder dia 20, V=E (EPD Certified)</t>
  </si>
  <si>
    <t>NT04</t>
  </si>
  <si>
    <t>Switch cylinder die 19, V=E (EPD Certified)</t>
  </si>
  <si>
    <t>N063</t>
  </si>
  <si>
    <t>External / Rim Cylinder, V=E (EPD Certified)</t>
  </si>
  <si>
    <t>N549</t>
  </si>
  <si>
    <t>Special cylinder (tube cylinder), V=E (EPD Certified)</t>
  </si>
  <si>
    <t>N577</t>
  </si>
  <si>
    <t>NC08</t>
  </si>
  <si>
    <t>Mounting cylinder, V=E (EPD Certified)</t>
  </si>
  <si>
    <t>NC45</t>
  </si>
  <si>
    <t>NC40</t>
  </si>
  <si>
    <t>Push cylinder, V=E (EPD Certified)</t>
  </si>
  <si>
    <t>N093 (ANSI)</t>
  </si>
  <si>
    <t>Mortise cylinder, dia 29,2, V=E (EPD Certified)</t>
  </si>
  <si>
    <t>NT03</t>
  </si>
  <si>
    <t>lock for t-handle, dia 18.8, V=E (EPD Certified)</t>
  </si>
  <si>
    <t>NT06</t>
  </si>
  <si>
    <t>drawer cylinder, dia 16,5, V=E (EPD Certified)</t>
  </si>
  <si>
    <t>NT08</t>
  </si>
  <si>
    <t>KiK, (ABTR=HOR or ABTR=VER), V=E (EPD Certified)</t>
  </si>
  <si>
    <t>NT10</t>
  </si>
  <si>
    <t>Scandinavian oval external cylinder V=E (EPD Certified)</t>
  </si>
  <si>
    <t>NT11</t>
  </si>
  <si>
    <t>Scandinavian oval inner cylinder V=E (EPD Certified)</t>
  </si>
  <si>
    <t>N109, V=E1</t>
  </si>
  <si>
    <t>eCLIQ keys - Professional, E1 (EPD Certified)</t>
  </si>
  <si>
    <t>N109, V=E2</t>
  </si>
  <si>
    <t>eCLIQ keys - Professional, E2 Time (EPD Certified)</t>
  </si>
  <si>
    <t>N109, V=E3</t>
  </si>
  <si>
    <t>eCLIQ keys - Professional, E3 Remote (EPD Certified)</t>
  </si>
  <si>
    <t>N110, V=E2</t>
  </si>
  <si>
    <t>eCLIQ keys - Connect, E2 Time (EPD Certified)</t>
  </si>
  <si>
    <t>N110, V=E3</t>
  </si>
  <si>
    <t>eCLIQ keys - Connect, E3 Remote (EPD Certified)</t>
  </si>
  <si>
    <t>N110, V=PSM</t>
  </si>
  <si>
    <t>eCLIQ keys - Connect Sub Programming key (EPD Certified)</t>
  </si>
  <si>
    <t>N109, V=PR/PSM</t>
  </si>
  <si>
    <t>eCLIQ keys - Programming Key (EPD Certified)</t>
  </si>
  <si>
    <t>N109, V=B1</t>
  </si>
  <si>
    <t>eCLIQ keys - Beluga, E1 (EPD Certified)</t>
  </si>
  <si>
    <t>N109, V=B2</t>
  </si>
  <si>
    <t>eCLIQ keys - Beluga, E2 Time (EPD Certified)</t>
  </si>
  <si>
    <t>N109, V=B3</t>
  </si>
  <si>
    <t>eCLIQ keys - Beluga, E3 Remote (EPD Certified)</t>
  </si>
  <si>
    <t>N111, V=E1</t>
  </si>
  <si>
    <t>eCLIQ keys - Basic, E1 (EPD Certified)</t>
  </si>
  <si>
    <t>N111, V=E2</t>
  </si>
  <si>
    <t>eCLIQ keys - Basic, E2 Time (EPD Certified)</t>
  </si>
  <si>
    <t>N111, V=E3</t>
  </si>
  <si>
    <t>eCLIQ keys - Basic, E3 Remote (EPD Certified)</t>
  </si>
  <si>
    <t>N112, V=E1</t>
  </si>
  <si>
    <t>eCLIQ keys - SPARK (EPD Certified)</t>
  </si>
  <si>
    <t>NP04</t>
  </si>
  <si>
    <t>table progr. Device (EPD Certified)</t>
  </si>
  <si>
    <t xml:space="preserve">NR01 </t>
  </si>
  <si>
    <t>wall progr. Device (EPD Certified)</t>
  </si>
  <si>
    <t>NR03</t>
  </si>
  <si>
    <t>Vandalisme Progr. Device (EPD Certified)</t>
  </si>
  <si>
    <t>NR03,V=FO1</t>
  </si>
  <si>
    <t>Vandalisme Progr. Device with Free Output (EPD Certified)</t>
  </si>
  <si>
    <t>Controller - for CLM Remote (EPD Certified)</t>
  </si>
  <si>
    <t xml:space="preserve">NR05 </t>
  </si>
  <si>
    <t>Mobile progr. Device Connect (EPD Certified)</t>
  </si>
  <si>
    <t>Master Price List - KESO</t>
  </si>
  <si>
    <t>Product Category - High Security Key/Cylinders</t>
  </si>
  <si>
    <t>AA-CH</t>
  </si>
  <si>
    <t>KS</t>
  </si>
  <si>
    <t>61.C15 30/30</t>
  </si>
  <si>
    <t>nickel-plated</t>
  </si>
  <si>
    <t>Double cylinder 30/30 mm with increased anti-drilling protection</t>
  </si>
  <si>
    <t>CH</t>
  </si>
  <si>
    <t>8301 4000</t>
  </si>
  <si>
    <t>4 weeks</t>
  </si>
  <si>
    <t>61.C15 35/30</t>
  </si>
  <si>
    <t>Double cylinder 35/30 mm with increased anti-drilling protection</t>
  </si>
  <si>
    <t>61.C15 30/35</t>
  </si>
  <si>
    <t>Double cylinder 30/35 mm with increased anti-drilling protection</t>
  </si>
  <si>
    <t>61.C15 40/30</t>
  </si>
  <si>
    <t>Double cylinder 40/30 mm with increased anti-drilling protection</t>
  </si>
  <si>
    <t>61.C15 30/40</t>
  </si>
  <si>
    <t>Double cylinder 30/40 mm with increased anti-drilling protection</t>
  </si>
  <si>
    <t>61.C15 40/35</t>
  </si>
  <si>
    <t>Double cylinder 40/35 mm with increased anti-drilling protection</t>
  </si>
  <si>
    <t>61.C15 35/40</t>
  </si>
  <si>
    <t>Double cylinder 35/40 mm with increased anti-drilling protection</t>
  </si>
  <si>
    <t>61.C15 40/40</t>
  </si>
  <si>
    <t>Double cylinder 40/40 mm with increased anti-drilling protection</t>
  </si>
  <si>
    <t>61.C14 30/10</t>
  </si>
  <si>
    <t>Half cylinder 30/10 mm with increased anti-drilling protection</t>
  </si>
  <si>
    <t>61.C14 35/10</t>
  </si>
  <si>
    <t>Half cylinder 35/10 mm with increased anti-drilling protection</t>
  </si>
  <si>
    <t>61.C14 40/10</t>
  </si>
  <si>
    <t>Half cylinder 40/10 mm with increased anti-drilling protection</t>
  </si>
  <si>
    <t>61.Z2U 30/30</t>
  </si>
  <si>
    <t>Thumb turn cylinder 30/30 mm withpriority function zamac</t>
  </si>
  <si>
    <t>61.Z2U 35/35</t>
  </si>
  <si>
    <t>Thumb turn cylinder 35/35 mm withpriority function zamac</t>
  </si>
  <si>
    <t>61.Z2U 40/40</t>
  </si>
  <si>
    <t>Thumb turn cylinder 40/40 mm withpriority function zamac</t>
  </si>
  <si>
    <t>60.A01</t>
  </si>
  <si>
    <t>nickel silver</t>
  </si>
  <si>
    <t>Round key</t>
  </si>
  <si>
    <t>00</t>
  </si>
  <si>
    <t>60.D01</t>
  </si>
  <si>
    <t>Long key</t>
  </si>
  <si>
    <t>Master Price List - ASSA ABLOY Korea Samhwa Precision Co., Ltd (King)</t>
  </si>
  <si>
    <t>Product Category - Door Closer, Floor Spring</t>
  </si>
  <si>
    <t>K72</t>
  </si>
  <si>
    <t>8302.60</t>
  </si>
  <si>
    <t>TBD</t>
  </si>
  <si>
    <t>KCD134</t>
  </si>
  <si>
    <t>ST75</t>
  </si>
  <si>
    <t>8302.10</t>
  </si>
  <si>
    <t>K850</t>
  </si>
  <si>
    <t>K990 (K990_TRACK ARM_HO_수출)</t>
  </si>
  <si>
    <t>K990_TRACK ARM</t>
  </si>
  <si>
    <t>K990 (K990BC.FC_WM)</t>
  </si>
  <si>
    <t>K990BC.FC_WM</t>
  </si>
  <si>
    <t>K990 (K990BC.DA.FC_WM)</t>
  </si>
  <si>
    <t>K990BC.DA.FC_WM</t>
  </si>
  <si>
    <t>K740 (K740PB3_W)</t>
  </si>
  <si>
    <t>K740PB3_W</t>
  </si>
  <si>
    <t>K740 (K740.RF7_W)</t>
  </si>
  <si>
    <t>K740.RF7_W</t>
  </si>
  <si>
    <t>K600 (K600BC_W.M)</t>
  </si>
  <si>
    <t>K600BC_W.M</t>
  </si>
  <si>
    <t>K600 (K600.W)</t>
  </si>
  <si>
    <t>K600.W</t>
  </si>
  <si>
    <t>K700</t>
  </si>
  <si>
    <t>K700BC.PB3</t>
  </si>
  <si>
    <t>K8300</t>
  </si>
  <si>
    <t>K8400</t>
  </si>
  <si>
    <t>K8500</t>
  </si>
  <si>
    <t>ST80P</t>
  </si>
  <si>
    <t>K8300WP</t>
  </si>
  <si>
    <t>K8400WP</t>
  </si>
  <si>
    <t>K8500WP</t>
  </si>
  <si>
    <t>Master Price List - Lorient</t>
  </si>
  <si>
    <t>Product Category - Door Seal</t>
  </si>
  <si>
    <t>Perimeter Seal</t>
  </si>
  <si>
    <t>LR</t>
  </si>
  <si>
    <t>LAS1212/2250N00</t>
  </si>
  <si>
    <t>LAS1212 BATWING ® SEAL 2250MM BLACK, S/A</t>
  </si>
  <si>
    <t>LAS1212/3000N00</t>
  </si>
  <si>
    <t>LAS1212 BATWING ® SEAL 3000MM BLACK, S/A</t>
  </si>
  <si>
    <t>RP10040Q0009101</t>
  </si>
  <si>
    <t>FIRESEAL 10 X 4 BLACK, 2250MM, SA PRT</t>
  </si>
  <si>
    <t>RP15040Q0012101</t>
  </si>
  <si>
    <t>FIRESEAL 15 X 4 BLACK, 2250MM, SA PRT</t>
  </si>
  <si>
    <t>RP20040Q0015101</t>
  </si>
  <si>
    <t>FIRESEAL 20 X 4 BLACK, 2250MM, SA PRT</t>
  </si>
  <si>
    <t>LAS8001/0835A00</t>
  </si>
  <si>
    <t>Silver Anodized</t>
  </si>
  <si>
    <t>LAS8001 DROP SEAL 835MM, SILVER ANOD, RAD PLATES</t>
  </si>
  <si>
    <t>LAS8001/0935A00</t>
  </si>
  <si>
    <t>LAS8001 DROP SEAL 935MM, SILVER ANOD, RAD PLATES</t>
  </si>
  <si>
    <t>LAS8001/1035A00</t>
  </si>
  <si>
    <t>LAS8001 DROP SEAL 1035MM,SILVER ANOD, RAD PLATES</t>
  </si>
  <si>
    <t>LAS8014/0835A00S</t>
  </si>
  <si>
    <t>LAS8014 DROP SEAL, SLVR ANOD 0835MM,SQUARE CAST E/PLATE</t>
  </si>
  <si>
    <t>LAS8014/0935A00S</t>
  </si>
  <si>
    <t>LAS8014 DROP SEAL, SLVR ANOD 0935MM,SQUARE CAST E/PLATE</t>
  </si>
  <si>
    <t>LAS8014/1035A00S</t>
  </si>
  <si>
    <t>LAS8014 DROP SEAL, SLVR ANOD 1035MM,SQUARE CAST E/PLATE</t>
  </si>
  <si>
    <t>LAS7001/2250A21</t>
  </si>
  <si>
    <t>LAS7001 PERIMETER SEAL 2250MM, SILVER ANODISED,GRY SI</t>
  </si>
  <si>
    <t>LAS7001/3000A21</t>
  </si>
  <si>
    <t>LAS7001 PERIMETER SEAL 3000MM, SILVER ANODISED,GRY SI</t>
  </si>
  <si>
    <t>LAS7005/2250A21</t>
  </si>
  <si>
    <t>LAS7005 PERIMETER SEAL 2250MM, SILVER  ANODISED,GREY  SI</t>
  </si>
  <si>
    <t>LAS7005/3000A21</t>
  </si>
  <si>
    <t>LAS7005 PERIMETER SEAL 3000MM, SILVER ANODISED,GRY SI</t>
  </si>
  <si>
    <t>LAS8004/0835A00</t>
  </si>
  <si>
    <t>LAS8004 DROP SEAL SLVR ANOD 835MM</t>
  </si>
  <si>
    <t>LAS8004/0935A00</t>
  </si>
  <si>
    <t>LAS8004 DROP SEAL SLVR ANOD 935MM</t>
  </si>
  <si>
    <t>LAS8004/1035A00</t>
  </si>
  <si>
    <t>LAS8004 DROP SEAL SLVR ANOD 1035MM</t>
  </si>
  <si>
    <t>DB</t>
  </si>
  <si>
    <t>Door Bottom</t>
  </si>
  <si>
    <t>LAS8001/0335A00</t>
  </si>
  <si>
    <t>SAA</t>
  </si>
  <si>
    <t>LAS8001 si drop seal, 335mm length, back  Grey silicone rubber seal Silver end plate</t>
  </si>
  <si>
    <t>LAS8001/0435A00</t>
  </si>
  <si>
    <t>LAS8001 si drop seal, 435mm length, back  Grey silicone rubber seal silver end plate</t>
  </si>
  <si>
    <t>LAS8001/0535A00</t>
  </si>
  <si>
    <t>LAS8001 si drop seal, 535mm length, back Grey silicone rubber seal silver end plate</t>
  </si>
  <si>
    <t>LAS8001/0635A00</t>
  </si>
  <si>
    <t>LAS8001 si drop seal, 635mm length, back Grey silicone rubber seal silver end plate</t>
  </si>
  <si>
    <t>LAS8001/0735A00</t>
  </si>
  <si>
    <t>LAS8001 si drop seal, 735mm length, back Grey silicone rubber seal silver end plate</t>
  </si>
  <si>
    <t>LAS8001 si drop seal, 835mm length, back  Grey silicone rubber seal silver end plate</t>
  </si>
  <si>
    <t>LAS8001 si drop seal, 935mm length, back Grey silicone rubber seal silver end plate</t>
  </si>
  <si>
    <t>LAS8001 si drop seal, 1035mm length, back Grey silicone rubber seal silver end plate</t>
  </si>
  <si>
    <t>LAS8001/1135A00</t>
  </si>
  <si>
    <t>LAS8001 si drop seal, 1135mm length, back  Grey silicone rubber seal silver end plate</t>
  </si>
  <si>
    <t>LAS8001/1235A00</t>
  </si>
  <si>
    <t>LAS8001 si drop seal, 1235mm length, back  Grey silicone rubber seal silver end plate</t>
  </si>
  <si>
    <t>TA</t>
  </si>
  <si>
    <t>Toilet Accessories</t>
  </si>
  <si>
    <t>LAS8001/1300A00</t>
  </si>
  <si>
    <t>LAS8001 auto door bottom seal, satin clear, 1300mm SAA grey gasket silver end plate</t>
  </si>
  <si>
    <t>LAS8006/1235A00</t>
  </si>
  <si>
    <t xml:space="preserve">LAS8006 si drop seal, 1235mm length, back Grey silicone rubber </t>
  </si>
  <si>
    <t>LAS8007/0335A00</t>
  </si>
  <si>
    <t>LAS8007 si drop seal, 335mm length, back  Grey silicone rubber seal</t>
  </si>
  <si>
    <t>LAS8007/0435A00</t>
  </si>
  <si>
    <t>LAS8007 si drop seal, 435mm length, back Grey  silicone rubber seal</t>
  </si>
  <si>
    <t>LAS8007/0535A00</t>
  </si>
  <si>
    <t>LAS8007 si drop seal, 535mm length, back Grey silicone rubber seal</t>
  </si>
  <si>
    <t>LAS8007/0635A00</t>
  </si>
  <si>
    <t>LAS8007 si drop seal, 635mm length, back  Grey silicone rubber seal</t>
  </si>
  <si>
    <t>LAS8007/0735A00</t>
  </si>
  <si>
    <t>LAS8007 si drop seal, 735mm length, back Grey silicone rubber seal</t>
  </si>
  <si>
    <t>Door Operator</t>
  </si>
  <si>
    <t>LAS8007/0835A00</t>
  </si>
  <si>
    <t>LAS8007 si drop seal, 835mm length, back  Grey silicone rubber seal</t>
  </si>
  <si>
    <t>LAS8007/0935A00</t>
  </si>
  <si>
    <t>LAS8007 si drop seal, 935mm length, back  Grey silicone rubber seal</t>
  </si>
  <si>
    <t>LAS8007/1035A00</t>
  </si>
  <si>
    <t>LAS8007 si drop seal, 1035mm length, back Grey silicone rubber seal</t>
  </si>
  <si>
    <t>LAS8007/1135A00</t>
  </si>
  <si>
    <t>LAS8007 si drop seal, 1135mm length, back Grey silicone rubber seal</t>
  </si>
  <si>
    <t>LAS8007/1235A00</t>
  </si>
  <si>
    <t>LAS8007 si drop seal, 1235mm length, back Grey silicone rubber seal</t>
  </si>
  <si>
    <t>LAS8007/1335A00</t>
  </si>
  <si>
    <t>LAS8007 si drop seal, 1325mm length, back Grey silicone rubber seal</t>
  </si>
  <si>
    <t>SW</t>
  </si>
  <si>
    <t>Sweeps</t>
  </si>
  <si>
    <t>RP20040I5415141</t>
  </si>
  <si>
    <t>DARK BROWN</t>
  </si>
  <si>
    <t>LP2004 Finesse, 20x4mm, dark brown seal, self-adhesive 2.1m</t>
  </si>
  <si>
    <t>RP20040Q0015141</t>
  </si>
  <si>
    <t xml:space="preserve">LP2004 Intumescent Seal, Brown, 2250mmx20mmx4mm </t>
  </si>
  <si>
    <t>Perimeter seal</t>
  </si>
  <si>
    <t>RP10040I0009181</t>
  </si>
  <si>
    <t>LIGHT BROWN</t>
  </si>
  <si>
    <t>FIRESEAL 10 X 4 LIGHT BROWN 2100MM SA PRT</t>
  </si>
  <si>
    <t>LB</t>
  </si>
  <si>
    <t>RP10040I6409181</t>
  </si>
  <si>
    <t>FIRE/SMOKESEAL 10 X 4 DS LT BRN 2100MM 04 D/S SA PRT</t>
  </si>
  <si>
    <t>RP15040I0012181</t>
  </si>
  <si>
    <t>FIRESEAL 15 X 4 LIGHT BROWN 2100MM SA PRT</t>
  </si>
  <si>
    <t>RP15040I6412141</t>
  </si>
  <si>
    <t>FIRE/SMOKE 15 X 4 STD DS D BRN 2100MM 04 BLK FIN SA PRT</t>
  </si>
  <si>
    <t>RP15040I6412181</t>
  </si>
  <si>
    <t>FIRE/SMOKE 15 X 4 STD DS LT BR 2100MM 04 BLK FIN SA PRT</t>
  </si>
  <si>
    <t>RP20040I0015141</t>
  </si>
  <si>
    <t>FIRESEAL 20 X 4 DARK BROWN 2100MM SA PRT</t>
  </si>
  <si>
    <t>RP20040I0015181</t>
  </si>
  <si>
    <t>FIRESEAL 20 X 4 LIGHT BROWN 2100MM SA PRT</t>
  </si>
  <si>
    <t>RP20040I6415111</t>
  </si>
  <si>
    <t>WHITE</t>
  </si>
  <si>
    <t>FIRE/SMOKESEAL 20 X 4 STD DS WHITE2100MM04 BLK FIN SA PRT</t>
  </si>
  <si>
    <t>RP20040I6415181</t>
  </si>
  <si>
    <t>FIRE/SMOKESEAL 20 X 4 2004 DS LIGHT BROWN 8018 2.1</t>
  </si>
  <si>
    <t>1) Items 19-41: depends on qty ordered upto 10no approx 5 working days. Quantities over this (100no) could be approx 2- 3 weeks. Very large quanties would have to be quoted at time of order.</t>
  </si>
  <si>
    <t>2) Items 42-52: if not in stock 2- 3 weeks to manuracture to be confirmed at point of order.</t>
  </si>
  <si>
    <t>Master Price List - MAB</t>
  </si>
  <si>
    <t>Product Category - Floor Spring, Door Closer, Gate Closer</t>
  </si>
  <si>
    <t>DC475</t>
  </si>
  <si>
    <t>Floorspring size EN 3-6 without Hold Open (EPD Certified)</t>
  </si>
  <si>
    <t>830260000000</t>
  </si>
  <si>
    <t>DC475 (HO 90°)</t>
  </si>
  <si>
    <t>Floorspring size EN 3-6 with Hold Open at 90° (EPD Certified)</t>
  </si>
  <si>
    <t>DC475 (HO 105°)</t>
  </si>
  <si>
    <t>Floorspring size EN 3-6 with Hold Open at 105° (EPD Certified)</t>
  </si>
  <si>
    <t>CP269 NEW Design</t>
  </si>
  <si>
    <t>CP269 Cover Plate Satin Stainless Steel</t>
  </si>
  <si>
    <t>CP269  Cover Plate Polished Stainless Steel</t>
  </si>
  <si>
    <t>DC477</t>
  </si>
  <si>
    <t>Floorspring size EN 2-4 without Hold Open  (EPD Certified)</t>
  </si>
  <si>
    <t>DC477 (HO 90°)</t>
  </si>
  <si>
    <t>Floorspring size EN 2-4 with Hold Open at 90° (EPD Certified)</t>
  </si>
  <si>
    <t>DC477 (HO 105°)</t>
  </si>
  <si>
    <t>Floorspring size EN 2-4 with Hold Open at 105° (EPD Certified)</t>
  </si>
  <si>
    <t>CP534 NEW Design</t>
  </si>
  <si>
    <t>CP534 Cover Plate Satin Stainless Steel</t>
  </si>
  <si>
    <t>CP534 Cover Plate Polished Stainless Steel</t>
  </si>
  <si>
    <t>DC450EA NEW (EN 3)</t>
  </si>
  <si>
    <t>DC450EA  Floorspring size EN 3 without Hold Open (EPD Certified)</t>
  </si>
  <si>
    <t>DC450EA NEW (EN 3 HO 90°)</t>
  </si>
  <si>
    <t>DC450EA  Floorspring size EN 3 with Hold Open at 90° (EPD Certified)</t>
  </si>
  <si>
    <t>DC450EA NEW (EN 4)</t>
  </si>
  <si>
    <t>DC450EA  Floorspring size EN 4 without Hold Open (EPD Certified)</t>
  </si>
  <si>
    <t>DC450EA NEW (EN 4 HO 90°)</t>
  </si>
  <si>
    <t>DC450EA  Floorspring size EN 4 with Hold Open at 90° (EPD Certified)</t>
  </si>
  <si>
    <t>CP619 New Design</t>
  </si>
  <si>
    <t>CP619 Cover Plate for DC450 / DC450EA / MAB 7600 Polished S/Steel</t>
  </si>
  <si>
    <t>CP619 Cover Plate for DC450 / DC450EA / MAB 7600 Satin S/Steel</t>
  </si>
  <si>
    <t>MA</t>
  </si>
  <si>
    <t>KIT MAB 7635_2</t>
  </si>
  <si>
    <t>7635 (size 3 with H.O. 90°) + cover plate AC619 in Polishes Stainless Steel + italian Spindle AC340 (EPD Certified)</t>
  </si>
  <si>
    <t>KIT MAB 7635_3</t>
  </si>
  <si>
    <t>7635 (size 3 with H.O. 90°) + cover plate AC619 in Polishes Stainless Steel + German Spindle AC360 (EPD Certified)</t>
  </si>
  <si>
    <t>MAB 7115</t>
  </si>
  <si>
    <t>Floorspring 7115  size 1, hold open at 90°, integrated Italian Spindle, without cover plate (EPD Certified)</t>
  </si>
  <si>
    <t>MAB 7125</t>
  </si>
  <si>
    <t>Floorspring 7125  size 2, hold open at 90°, integrated Italian Spindle, without cover plate (EPD Certified)</t>
  </si>
  <si>
    <t>MAB 7135</t>
  </si>
  <si>
    <t>Floorspring 7135  size 3, hold open at 90°, integrated Italian Spindle, without cover plate (EPD Certified)</t>
  </si>
  <si>
    <t>AC530</t>
  </si>
  <si>
    <t>AC530 Cover plate for MAB 7100 Series - Polished Stainless Steel</t>
  </si>
  <si>
    <t>AC530 Cover plate for MAB 7100 Series - Satin Stainless Steel</t>
  </si>
  <si>
    <t>MAB 7305</t>
  </si>
  <si>
    <t>Floorspring MAB 7305 (Series 7300) size 3, H.O 90°, Italian Spindle, polished SS cover included (EPD Certified)</t>
  </si>
  <si>
    <t>AC115</t>
  </si>
  <si>
    <t>Steel</t>
  </si>
  <si>
    <t>AC115 Reversible Botton Arm for double action door. Italian Spindle steel</t>
  </si>
  <si>
    <t>AC393</t>
  </si>
  <si>
    <t>AC393 Reversible Botton Arm for double action door. German Spindle steel</t>
  </si>
  <si>
    <t>AC8</t>
  </si>
  <si>
    <t>Zamak</t>
  </si>
  <si>
    <t>AC8 Double Action Top Pivot zamak</t>
  </si>
  <si>
    <t>ZM</t>
  </si>
  <si>
    <t>AC2</t>
  </si>
  <si>
    <t>AC2 Double Action Bottom Pivot Italian spindle  brass</t>
  </si>
  <si>
    <t>AC375</t>
  </si>
  <si>
    <t>AC375 Double Action Top Pivot Steel</t>
  </si>
  <si>
    <t>AC583 New design</t>
  </si>
  <si>
    <t>AC583  Right &amp; Left bottom arm. Square Italian Spindle Silver</t>
  </si>
  <si>
    <t>AC583  Right &amp; Left bottom arm. Square Italian Spindle Black</t>
  </si>
  <si>
    <t>AC392 New design</t>
  </si>
  <si>
    <t>AC392  Right &amp; Left bottom arm. Rectangular German Socket Silver</t>
  </si>
  <si>
    <t>AC392  Right &amp; Left bottom arm. Rectangular German Socket Black</t>
  </si>
  <si>
    <t>AC384 New design</t>
  </si>
  <si>
    <t>AC384  Double Action Top Pivot Silver</t>
  </si>
  <si>
    <t>AC384  Double Action Top Pivot Black</t>
  </si>
  <si>
    <t>AC612</t>
  </si>
  <si>
    <t>AC612 Sealing Compound for floorsprings</t>
  </si>
  <si>
    <t>AC340</t>
  </si>
  <si>
    <t>Zinc Plated</t>
  </si>
  <si>
    <t>AC340 Detachable Italian Spindle h=0mm</t>
  </si>
  <si>
    <t>ZN</t>
  </si>
  <si>
    <t>AC360</t>
  </si>
  <si>
    <t>AC360 Detachable German Spindle h=0mm</t>
  </si>
  <si>
    <t>AC341</t>
  </si>
  <si>
    <t>AC341 Detachable Italian Spindle h=5mm</t>
  </si>
  <si>
    <t>AC361</t>
  </si>
  <si>
    <t>AC361 Detachable German Spindle h=5mm</t>
  </si>
  <si>
    <t>AC342</t>
  </si>
  <si>
    <t>AC342 Detachable Italian Spindle h=10mm</t>
  </si>
  <si>
    <t>AC362</t>
  </si>
  <si>
    <t>AC362 Detachable German Spindle h=10mm</t>
  </si>
  <si>
    <t>AC343</t>
  </si>
  <si>
    <t>AC343 Detachable Italian Spindle h=15mm</t>
  </si>
  <si>
    <t>AC363</t>
  </si>
  <si>
    <t>AC363 Detachable German Spindle h=15mm</t>
  </si>
  <si>
    <t>AC344</t>
  </si>
  <si>
    <t>AC344 Detachable Italian Spindle h=20mm</t>
  </si>
  <si>
    <t>AC364</t>
  </si>
  <si>
    <t>AC364 Detachable German Spindle h=20mm</t>
  </si>
  <si>
    <t>AC345</t>
  </si>
  <si>
    <t>AC345 Detachable Italian Spindle h=25mm</t>
  </si>
  <si>
    <t>AC365</t>
  </si>
  <si>
    <t>AC365 Detachable German Spindle h=25mm</t>
  </si>
  <si>
    <t>AC346</t>
  </si>
  <si>
    <t>AC346 Detachable Italian Spindle h=30mm</t>
  </si>
  <si>
    <t>AC366</t>
  </si>
  <si>
    <t>AC366 Detachable German Spindle h=30mm</t>
  </si>
  <si>
    <t>Arms &amp; accessories for ODC</t>
  </si>
  <si>
    <t xml:space="preserve">L192 </t>
  </si>
  <si>
    <t>L192  Link arm hold open painted silver</t>
  </si>
  <si>
    <t>L192  Link arm hold open white</t>
  </si>
  <si>
    <t>L192  Link arm hold open brown</t>
  </si>
  <si>
    <t>L192  Link arm hold open black</t>
  </si>
  <si>
    <t>L192</t>
  </si>
  <si>
    <t>Customized</t>
  </si>
  <si>
    <t>L192 Link arm hold open</t>
  </si>
  <si>
    <t>CUS</t>
  </si>
  <si>
    <t>L193 NEW</t>
  </si>
  <si>
    <t>L193  Link arm switch on/off hold open for DC200/DC300/DC335/DC336/DC340/DC347 painted silver</t>
  </si>
  <si>
    <t>L193  Link arm switch on/off hold open for DC200/DC300/DC335/DC336/DC340/DC347 white</t>
  </si>
  <si>
    <t>L193  Link arm switch on/off hold open for DC200/DC300/DC335/DC336/DC340/DC347 Brown</t>
  </si>
  <si>
    <t>L193  Link arm switch on/off hold open for DC200/DC300/DC335/DC336/DC340/DC347 black</t>
  </si>
  <si>
    <t>L193  Link arm switch on/off hold open for DC200/DC300/DC335/DC336/DC340/DC347</t>
  </si>
  <si>
    <t>L142 NEW</t>
  </si>
  <si>
    <t>L142  Link arm switch on/off hold open for DC120/DC140 painted silver</t>
  </si>
  <si>
    <t>L142  Link arm switch on/off hold open for DC120/DC140 white</t>
  </si>
  <si>
    <t>L142  Link arm switch on/off hold open for DC120/DC140 black</t>
  </si>
  <si>
    <t>L142  Link arm switch on/off hold open for DC120/DC144</t>
  </si>
  <si>
    <t>Gate Closers</t>
  </si>
  <si>
    <t>DC680G</t>
  </si>
  <si>
    <t>DC680G Gate Closers adjustable size suitable for gate widths from 600 mm to 1400 mm painted silver (EPD Certified)</t>
  </si>
  <si>
    <t>DC680G Gate Closers adjustable size suitable for gate widths from 600 mm to 1400 mm black (EPD Certified)</t>
  </si>
  <si>
    <t>DC680G Gate Closers adjustable size suitable for gate widths from 600 mm to 1400 mm white (EPD Certified)</t>
  </si>
  <si>
    <t xml:space="preserve">DC650G </t>
  </si>
  <si>
    <t>DC650G  Gate Closers fixed size suitable for gate widths up to 1250 mm painted silver (EPD Certified)</t>
  </si>
  <si>
    <t>DC650G  Gate Closers fixed size suitable for gate widths up to 1250 mm black (EPD Certified)</t>
  </si>
  <si>
    <t>DC650G  Gate Closers fixed size suitable for gate widths up to 1250 mm white (EPD Certified)</t>
  </si>
  <si>
    <t xml:space="preserve">DC620G </t>
  </si>
  <si>
    <t>DC620G  Gate Closers fixed size suitable for gate widths up to 1000 mm painted silver (EPD Certified)</t>
  </si>
  <si>
    <t>DC620G  Gate Closers fixed size suitable for gate widths up to 1000 mm black (EPD Certified)</t>
  </si>
  <si>
    <t>DC620G  Gate Closers fixed size suitable for gate widths up to 1000 mm white (EPD Certified)</t>
  </si>
  <si>
    <t>A623 NEW</t>
  </si>
  <si>
    <t>A623  L Mounting Plate for DC620G  painted silver</t>
  </si>
  <si>
    <t>A623  L Mounting Plate for DC620G  black</t>
  </si>
  <si>
    <t>A623  L Mounting Plate for DC620G  white</t>
  </si>
  <si>
    <t>A624 NEW</t>
  </si>
  <si>
    <t>A624  L Mounting Plate for DC650G  painted silver</t>
  </si>
  <si>
    <t>A624  L Mounting Plate for DC650G  black</t>
  </si>
  <si>
    <t>A624  L Mounting Plate for DC650G  white</t>
  </si>
  <si>
    <t>A625 NEW</t>
  </si>
  <si>
    <t>A625  L Mounting Plate for DC680G  painted silver</t>
  </si>
  <si>
    <t>A625  L Mounting Plate for DC680G  black</t>
  </si>
  <si>
    <t>A625  L Mounting Plate for DC650G  white</t>
  </si>
  <si>
    <t>A626 NEW</t>
  </si>
  <si>
    <t>A626  Cover for DC620G  painted silver</t>
  </si>
  <si>
    <t>A626  Cover for DC620G  black</t>
  </si>
  <si>
    <t>A626  Cover for DC620G  white</t>
  </si>
  <si>
    <t>A627 NEW</t>
  </si>
  <si>
    <t>A627  Cover for DC650G  painted silver</t>
  </si>
  <si>
    <t>A627  Cover for DC650G  black</t>
  </si>
  <si>
    <t>A627  Cover for DC650G  white</t>
  </si>
  <si>
    <t>A628 NEW</t>
  </si>
  <si>
    <t>A628  Cover for DC680G  painted silver</t>
  </si>
  <si>
    <t>A628  Cover for DC680G  black</t>
  </si>
  <si>
    <t>A628  Cover for DC680G  white</t>
  </si>
  <si>
    <t>AC630 NEW</t>
  </si>
  <si>
    <t>AC630  Retrofit plates kit for MAB gate closers painted silver</t>
  </si>
  <si>
    <t>AC630  Retrofit plates kit for MAB gate closers black</t>
  </si>
  <si>
    <t>AC630  Retrofit plates kit for MAB gate closers white</t>
  </si>
  <si>
    <t>AC631 NEW</t>
  </si>
  <si>
    <t>AC631  Screws bag (spare parts) Black</t>
  </si>
  <si>
    <t>DC630G NEW (LH)</t>
  </si>
  <si>
    <t>DC630G, Vertical Gate closer Left handed, silver EV1* (EPD Certified)</t>
  </si>
  <si>
    <t>DC630G NEW (RH)</t>
  </si>
  <si>
    <t>DC630G, Vertical Gate closer Right handed, silver EV1* (EPD Certified)</t>
  </si>
  <si>
    <t>DC630G, Vertical Gate closer Left handed, black similar to RAL9004* (EPD Certified)</t>
  </si>
  <si>
    <t>DC630G, Vertical Gate closer Right handed, black similar to RAL9004* (EPD Certified)</t>
  </si>
  <si>
    <t>AC632 NEW</t>
  </si>
  <si>
    <t>AC632 Mounting plate for DC630G sliding rail, silver EV1*</t>
  </si>
  <si>
    <t>AC632 Mounting plate for DC630G sliding rail, black similar to RAL9004</t>
  </si>
  <si>
    <t>AC633 NEW</t>
  </si>
  <si>
    <t>AC633 Mounting plate L shape for DC630G sliding rail, silver EV1*</t>
  </si>
  <si>
    <t>AC633 Mounting plate L shape for DC630G sliding rail, similar to RAL9004</t>
  </si>
  <si>
    <t>Master Price List - Planet</t>
  </si>
  <si>
    <t>Drop-down Seal</t>
  </si>
  <si>
    <t>PL</t>
  </si>
  <si>
    <t>24040</t>
  </si>
  <si>
    <t>Planet US, FH+RD (fire retardant+smoke-shielding), &lt;460 mm (EPD Certified)</t>
  </si>
  <si>
    <t>7 WD</t>
  </si>
  <si>
    <t>23040</t>
  </si>
  <si>
    <t>Planet US, RD (smoke-shielding), &lt;460 mm (EPD Certified)</t>
  </si>
  <si>
    <t>24046</t>
  </si>
  <si>
    <t>Planet US, FH+RD (fire retardant+smoke-shielding), 460 mm (EPD Certified)</t>
  </si>
  <si>
    <t>23046</t>
  </si>
  <si>
    <t>Planet US, RD (smoke-shielding), 460 mm (EPD Certified)</t>
  </si>
  <si>
    <t>24059</t>
  </si>
  <si>
    <t>Planet US, FH+RD (fire retardant+smoke-shielding), 585 mm (EPD Certified)</t>
  </si>
  <si>
    <t>23059</t>
  </si>
  <si>
    <t>Planet US, RD (smoke-shielding), 585 mm (EPD Certified)</t>
  </si>
  <si>
    <t>24071</t>
  </si>
  <si>
    <t>Planet US, FH+RD (fire retardant+smoke-shielding), 710 mm (EPD Certified)</t>
  </si>
  <si>
    <t>23071</t>
  </si>
  <si>
    <t>Planet US, RD (smoke-shielding), 710 mm (EPD Certified)</t>
  </si>
  <si>
    <t>24084</t>
  </si>
  <si>
    <t>Planet US, FH+RD (fire retardant+smoke-shielding), 835 mm (EPD Certified)</t>
  </si>
  <si>
    <t>23084</t>
  </si>
  <si>
    <t>Planet US, RD (smoke-shielding), 835 mm (EPD Certified)</t>
  </si>
  <si>
    <t>24096</t>
  </si>
  <si>
    <t>Planet US, FH+RD (fire retardant+smoke-shielding), 960 mm (EPD Certified)</t>
  </si>
  <si>
    <t>23096</t>
  </si>
  <si>
    <t>Planet US, RD (smoke-shielding), 960 mm (EPD Certified)</t>
  </si>
  <si>
    <t>24109</t>
  </si>
  <si>
    <t>Planet US, FH+RD (fire retardant+smoke-shielding), 1085 mm (EPD Certified)</t>
  </si>
  <si>
    <t>23109</t>
  </si>
  <si>
    <t>Planet US, RD (smoke-shielding), 1085 mm (EPD Certified)</t>
  </si>
  <si>
    <t>24121</t>
  </si>
  <si>
    <t>Planet US, FH+RD (fire retardant+smoke-shielding), 1210 mm (EPD Certified)</t>
  </si>
  <si>
    <t>23121</t>
  </si>
  <si>
    <t>Planet US, RD (smoke-shielding), 1210 mm (EPD Certified)</t>
  </si>
  <si>
    <t>24134</t>
  </si>
  <si>
    <t>Planet US, FH+RD (fire retardant+smoke-shielding), 1335 mm (EPD Certified)</t>
  </si>
  <si>
    <t>23134</t>
  </si>
  <si>
    <t>Planet US, RD (smoke-shielding), 1335 mm (EPD Certified)</t>
  </si>
  <si>
    <t>24146</t>
  </si>
  <si>
    <t>Planet US, FH+RD (fire retardant+smoke-shielding), 1460 mm (EPD Certified)</t>
  </si>
  <si>
    <t>23146</t>
  </si>
  <si>
    <t>Planet US, RD (smoke-shielding), 1460 mm (EPD Certified)</t>
  </si>
  <si>
    <t>24159</t>
  </si>
  <si>
    <t>Planet US, FH+RD (fire retardant+smoke-shielding), 1585 mm (EPD Certified)</t>
  </si>
  <si>
    <t>23159</t>
  </si>
  <si>
    <t>Planet US, RD (smoke-shielding), 1585 mm (EPD Certified)</t>
  </si>
  <si>
    <t>24600</t>
  </si>
  <si>
    <t>Planet US, FH+RD (fire retardant+smoke-shielding), &lt;6000 mm (EPD Certified)</t>
  </si>
  <si>
    <t>23600</t>
  </si>
  <si>
    <t>Planet US, RD (smoke-shielding), &lt;6000 mm (EPD Certified)</t>
  </si>
  <si>
    <t>902663</t>
  </si>
  <si>
    <t>Planet pivot module «rebated», stainless steel (EPD Certified)</t>
  </si>
  <si>
    <t>902664</t>
  </si>
  <si>
    <t>black</t>
  </si>
  <si>
    <t>Planet pivot module «rebated», black (EPD Certified)</t>
  </si>
  <si>
    <t>25086</t>
  </si>
  <si>
    <t>Planet US pivot module set «rebated», FH+RD (fire-retardant and smoke-shielding), stainless steel, fixed dimension (727 - 852 mm) (EPD Certified)</t>
  </si>
  <si>
    <t>10 WD</t>
  </si>
  <si>
    <t>22086</t>
  </si>
  <si>
    <t>Planet US pivot module set «rebated», RD (smoke-shielding), stainless steel, fixed dimension (727 - 852 mm) (EPD Certified)</t>
  </si>
  <si>
    <t>25098</t>
  </si>
  <si>
    <t>Planet US pivot module set «rebated», FH+RD (fire-retardant and smoke-shielding), stainless steel, fixed dimension (852 - 977 mm) (EPD Certified)</t>
  </si>
  <si>
    <t>22098</t>
  </si>
  <si>
    <t>Planet US pivot module set «rebated», RD (smoke-shielding), stainless steel, fixed dimension (852 - 977 mm) (EPD Certified)</t>
  </si>
  <si>
    <t>25111</t>
  </si>
  <si>
    <t>Planet US pivot module set «rebated», FH+RD (fire-retardant and smoke-shielding), stainless steel, fixed dimension (977 - 1102 mm) (EPD Certified)</t>
  </si>
  <si>
    <t>22111</t>
  </si>
  <si>
    <t>Planet US pivot module set «rebated», RD (smoke-shielding), stainless steel, fixed dimension (977 - 1102 mm) (EPD Certified)</t>
  </si>
  <si>
    <t>25123</t>
  </si>
  <si>
    <t>Planet US pivot module set «rebated», FH+RD (fire-retardant and smoke-shielding), stainless steel, fixed dimension (1102 - 1227 mm) (EPD Certified)</t>
  </si>
  <si>
    <t>22123</t>
  </si>
  <si>
    <t>Planet US pivot module set «rebated», RD (smoke-shielding), stainless steel, fixed dimension (1102 - 1227 mm) (EPD Certified)</t>
  </si>
  <si>
    <t>25136</t>
  </si>
  <si>
    <t>Planet US pivot module set «rebated», FH+RD (fire-retardant and smoke-shielding), stainless steel, fixed dimension (1227 - 1352 mm) (EPD Certified)</t>
  </si>
  <si>
    <t>22136</t>
  </si>
  <si>
    <t>Planet US pivot module set «rebated», RD (smoke-shielding), stainless steel, fixed dimension (1227 - 1352 mm) (EPD Certified)</t>
  </si>
  <si>
    <t>25148</t>
  </si>
  <si>
    <t>Planet US pivot module set «rebated», FH+RD (fire-retardant and smoke-shielding), stainless steel, fixed dimension (1352 - 1477 mm) (EPD Certified)</t>
  </si>
  <si>
    <t>22148</t>
  </si>
  <si>
    <t>Planet US pivot module set «rebated», RD (smoke-shielding), stainless steel, fixed dimension (1352 - 1477 mm) (EPD Certified)</t>
  </si>
  <si>
    <t>22161</t>
  </si>
  <si>
    <t>Planet US pivot module set «rebated», RD (smoke-shielding), stainless steel, fixed dimension (1477 - 1602 mm) (EPD Certified)</t>
  </si>
  <si>
    <t>25161</t>
  </si>
  <si>
    <t>Planet US pivot module set «rebated», FH+RD (fire-retardant and smoke-shielding), stainless steel, fixed dimension (1477 - 1602 mm) (EPD Certified)</t>
  </si>
  <si>
    <t>25200</t>
  </si>
  <si>
    <t>Planet US pivot module set «rebated», FH+RD (fire-retardant and smoke-shielding), stainless steel, fixed dimension (1602 - 2000 mm) (EPD Certified)</t>
  </si>
  <si>
    <t>22200</t>
  </si>
  <si>
    <t>Planet US pivot module set «rebated», RD (smoke-shielding), stainless steel, fixed dimension (1602 - 2000 mm) (EPD Certified)</t>
  </si>
  <si>
    <t>25250</t>
  </si>
  <si>
    <t>Planet US pivot module set «rebated», FH+RD (fire-retardant and smoke-shielding), stainless steel, fixed dimension (2000 - 2500 mm) (EPD Certified)</t>
  </si>
  <si>
    <t>22250</t>
  </si>
  <si>
    <t>Planet US pivot module set «rebated», RD (smoke-shielding), stainless steel, fixed dimension (2000 - 2500 mm) (EPD Certified)</t>
  </si>
  <si>
    <t>25300</t>
  </si>
  <si>
    <t>Planet US pivot module set «rebated», FH+RD (fire-retardant and smoke-shielding), stainless steel, fixed dimension (2500 - 3000 mm) (EPD Certified)</t>
  </si>
  <si>
    <t>22300</t>
  </si>
  <si>
    <t>Planet US pivot module set «rebated», RD (smoke-shielding), stainless steel, fixed dimension (2500 - 3000 mm) (EPD Certified)</t>
  </si>
  <si>
    <t>25086B</t>
  </si>
  <si>
    <t>Planet US pivot module set «rebated», FH+RD (fire-retardant and smoke-shielding), black, fixed dimension (727 - 852 mm) (EPD Certified)</t>
  </si>
  <si>
    <t>22086B</t>
  </si>
  <si>
    <t>Planet US pivot module set «rebated», RD (smoke-shielding), black, fixed dimension (727 - 852 mm) (EPD Certified)</t>
  </si>
  <si>
    <t>25098B</t>
  </si>
  <si>
    <t>Planet US pivot module set «rebated», FH+RD (fire-retardant and smoke-shielding), black, fixed dimension (852 - 977 mm) (EPD Certified)</t>
  </si>
  <si>
    <t>22098B</t>
  </si>
  <si>
    <t>Planet US pivot module set «rebated», RD (smoke-shielding), black, fixed dimension (852 - 977 mm) (EPD Certified)</t>
  </si>
  <si>
    <t>25111B</t>
  </si>
  <si>
    <t>Planet US pivot module set «rebated», FH+RD (fire-retardant and smoke-shielding), black, fixed dimension (977 - 1102 mm) (EPD Certified)</t>
  </si>
  <si>
    <t>22111B</t>
  </si>
  <si>
    <t>Planet US pivot module set «rebated», RD (smoke-shielding), black, fixed dimension (977 - 1102 mm) (EPD Certified)</t>
  </si>
  <si>
    <t>25123B</t>
  </si>
  <si>
    <t>Planet US pivot module set «rebated», FH+RD (fire-retardant and smoke-shielding), black, fixed dimension (1102 - 1227 mm) (EPD Certified)</t>
  </si>
  <si>
    <t>22123B</t>
  </si>
  <si>
    <t>Planet US pivot module set «rebated», RD (smoke-shielding), black, fixed dimension (1102 - 1227 mm) (EPD Certified)</t>
  </si>
  <si>
    <t>25136B</t>
  </si>
  <si>
    <t>Planet US pivot module set «rebated», FH+RD (fire-retardant and smoke-shielding), black, fixed dimension (1227 - 1352 mm) (EPD Certified)</t>
  </si>
  <si>
    <t>22136B</t>
  </si>
  <si>
    <t>Planet US pivot module set «rebated», RD (smoke-shielding), black, fixed dimension (1227 - 1352 mm) (EPD Certified)</t>
  </si>
  <si>
    <t>25148B</t>
  </si>
  <si>
    <t>Planet US pivot module set «rebated», FH+RD (fire-retardant and smoke-shielding), black, fixed dimension (1352 - 1477 mm) (EPD Certified)</t>
  </si>
  <si>
    <t>22148B</t>
  </si>
  <si>
    <t>Planet US pivot module set «rebated», RD (smoke-shielding), black, fixed dimension (1352 - 1477 mm) (EPD Certified)</t>
  </si>
  <si>
    <t>25161B</t>
  </si>
  <si>
    <t>Planet US pivot module set «rebated», FH+RD (fire-retardant and smoke-shielding), black, fixed dimension (1477 - 1602 mm) (EPD Certified)</t>
  </si>
  <si>
    <t>22161B</t>
  </si>
  <si>
    <t>Planet US pivot module set «rebated», RD (smoke-shielding), black, fixed dimension (1477 - 1602 mm) (EPD Certified)</t>
  </si>
  <si>
    <t>25200B</t>
  </si>
  <si>
    <t>Planet US pivot module set «rebated», FH+RD (fire-retardant and smoke-shielding), black, fixed dimension (1602 - 2000 mm) (EPD Certified)</t>
  </si>
  <si>
    <t>22200B</t>
  </si>
  <si>
    <t>Planet US pivot module set «rebated», RD (smoke-shielding), black, fixed dimension (1602 - 2000 mm) (EPD Certified)</t>
  </si>
  <si>
    <t>25250B</t>
  </si>
  <si>
    <t>Planet US pivot module set «rebated», FH+RD (fire-retardant and smoke-shielding), black, fixed dimension (2000 - 2500 mm) (EPD Certified)</t>
  </si>
  <si>
    <t>22250B</t>
  </si>
  <si>
    <t>Planet US pivot module set «rebated», RD (smoke-shielding), black, fixed dimension (2000 - 2500 mm) (EPD Certified)</t>
  </si>
  <si>
    <t>25300B</t>
  </si>
  <si>
    <t>Planet US pivot module set «rebated», FH+RD (fire-retardant and smoke-shielding), black, fixed dimension (2500 - 3000 mm) (EPD Certified)</t>
  </si>
  <si>
    <t>22300B</t>
  </si>
  <si>
    <t>Planet US pivot module set «rebated», RD (smoke-shielding), black, fixed dimension (2500 - 3000 mm) (EPD Certified)</t>
  </si>
  <si>
    <t>77040</t>
  </si>
  <si>
    <t>Planet HS, FH+RD (fire-retardant+smoke-shielding), &lt;400 mm (EPD Certified)</t>
  </si>
  <si>
    <t>5 WD</t>
  </si>
  <si>
    <t>76040</t>
  </si>
  <si>
    <t>Planet HS, RD (smoke-shielding), &lt;400 mm (EPD Certified)</t>
  </si>
  <si>
    <t>77034</t>
  </si>
  <si>
    <t>Planet HS, FH+RD (fire retardant+smoke-shielding), 335 mm (EPD Certified)</t>
  </si>
  <si>
    <t>76034</t>
  </si>
  <si>
    <t>Planet HS, RD (smoke-shielding), 335 mm (EPD Certified)</t>
  </si>
  <si>
    <t>77046</t>
  </si>
  <si>
    <t>Planet HS, FH+RD (fire retardant+smoke-shielding), 460 mm (EPD Certified)</t>
  </si>
  <si>
    <t>76046</t>
  </si>
  <si>
    <t>Planet HS, RD (smoke-shielding), 460 mm (EPD Certified)</t>
  </si>
  <si>
    <t>77059</t>
  </si>
  <si>
    <t>Planet HS, FH+RD (fire retardant+smoke-shielding), 585 mm (EPD Certified)</t>
  </si>
  <si>
    <t>76059</t>
  </si>
  <si>
    <t>Planet HS, RD (smoke-shielding), 585 mm (EPD Certified)</t>
  </si>
  <si>
    <t>77071</t>
  </si>
  <si>
    <t>Planet HS, FH+RD (fire retardant+smoke-shielding), 710 mm (EPD Certified)</t>
  </si>
  <si>
    <t>76071</t>
  </si>
  <si>
    <t>Planet HS, RD (smoke-shielding), 710 mm (EPD Certified)</t>
  </si>
  <si>
    <t>77084</t>
  </si>
  <si>
    <t>Planet HS, FH+RD (fire retardant+smoke-shielding), 835 mm (EPD Certified)</t>
  </si>
  <si>
    <t>76084</t>
  </si>
  <si>
    <t>Planet HS, RD (smoke-shielding), 835 mm (EPD Certified)</t>
  </si>
  <si>
    <t>77096</t>
  </si>
  <si>
    <t>Planet HS, FH+RD (fire retardant+smoke-shielding), 960 mm (EPD Certified)</t>
  </si>
  <si>
    <t>76096</t>
  </si>
  <si>
    <t>Planet HS, RD (smoke-shielding), 960 mm (EPD Certified)</t>
  </si>
  <si>
    <t>77109</t>
  </si>
  <si>
    <t>Planet HS, FH+RD (fire retardant+smoke-shielding), 1085 mm (EPD Certified)</t>
  </si>
  <si>
    <t>76109</t>
  </si>
  <si>
    <t>Planet HS, RD (smoke-shielding), 1085 mm (EPD Certified)</t>
  </si>
  <si>
    <t>77121</t>
  </si>
  <si>
    <t>Planet HS, FH+RD (fire retardant+smoke-shielding), 1210 mm (EPD Certified)</t>
  </si>
  <si>
    <t>76121</t>
  </si>
  <si>
    <t>Planet HS, RD (smoke-shielding), 1210 mm (EPD Certified)</t>
  </si>
  <si>
    <t>77134</t>
  </si>
  <si>
    <t>Planet HS, FH+RD (fire retardant+smoke-shielding), 1335 mm (EPD Certified)</t>
  </si>
  <si>
    <t>76134</t>
  </si>
  <si>
    <t>Planet HS, RD (smoke-shielding), 1335 mm (EPD Certified)</t>
  </si>
  <si>
    <t>77146</t>
  </si>
  <si>
    <t>Planet HS, FH+RD (fire retardant+smoke-shielding), 1460 mm (EPD Certified)</t>
  </si>
  <si>
    <t>76146</t>
  </si>
  <si>
    <t>Planet HS, RD (smoke-shielding), 1460 mm (EPD Certified)</t>
  </si>
  <si>
    <t>77600</t>
  </si>
  <si>
    <t>Planet HS, FH+RD (fire retardant+smoke-shielding), &lt;6000 mm (EPD Certified)</t>
  </si>
  <si>
    <t>76600</t>
  </si>
  <si>
    <t>Planet HS, RD (smoke-shielding), &lt;6000 mm (EPD Certified)</t>
  </si>
  <si>
    <t>71040</t>
  </si>
  <si>
    <t>Planet FT, FH+RD (fire-retardant+smoke-shielding), &lt;400 mm (EPD Certified)</t>
  </si>
  <si>
    <t>70040</t>
  </si>
  <si>
    <t>Planet FT, RD (smoke-shielding), &lt;400 mm (EPD Certified)</t>
  </si>
  <si>
    <t>71035</t>
  </si>
  <si>
    <t>Planet FT, FH+RD (fire retardant+smoke-shielding), 350 mm (EPD Certified)</t>
  </si>
  <si>
    <t>70035</t>
  </si>
  <si>
    <t>Planet FT, RD (smoke-shielding), 350 mm (EPD Certified)</t>
  </si>
  <si>
    <t>71045</t>
  </si>
  <si>
    <t>Planet FT, FH+RD (fire retardant+smoke-shielding), 450 mm (EPD Certified)</t>
  </si>
  <si>
    <t>70045</t>
  </si>
  <si>
    <t>Planet FT, RD (smoke-shielding), 450 mm (EPD Certified)</t>
  </si>
  <si>
    <t>71055</t>
  </si>
  <si>
    <t>Planet FT, FH+RD (fire retardant+smoke-shielding), 550 mm (EPD Certified)</t>
  </si>
  <si>
    <t>70055</t>
  </si>
  <si>
    <t>Planet FT, RD (smoke-shielding), 550 mm (EPD Certified)</t>
  </si>
  <si>
    <t>71065</t>
  </si>
  <si>
    <t>Planet FT, FH+RD (fire retardant+smoke-shielding), 650 mm (EPD Certified)</t>
  </si>
  <si>
    <t>70065</t>
  </si>
  <si>
    <t>Planet FT, RD (smoke-shielding), 650 mm (EPD Certified)</t>
  </si>
  <si>
    <t>71075</t>
  </si>
  <si>
    <t>Planet FT, FH+RD (fire retardant+smoke-shielding), 750 mm (EPD Certified)</t>
  </si>
  <si>
    <t>70075</t>
  </si>
  <si>
    <t>Planet FT, RD (smoke-shielding), 750 mm (EPD Certified)</t>
  </si>
  <si>
    <t>71085</t>
  </si>
  <si>
    <t>Planet FT, FH+RD (fire retardant+smoke-shielding), 850 mm (EPD Certified)</t>
  </si>
  <si>
    <t>70085</t>
  </si>
  <si>
    <t>Planet FT, RD (smoke-shielding), 850 mm (EPD Certified)</t>
  </si>
  <si>
    <t>71095</t>
  </si>
  <si>
    <t>Planet FT, FH+RD (fire retardant+smoke-shielding), 950 mm (EPD Certified)</t>
  </si>
  <si>
    <t>70095</t>
  </si>
  <si>
    <t>Planet FT, RD (smoke-shielding), 950 mm (EPD Certified)</t>
  </si>
  <si>
    <t>71105</t>
  </si>
  <si>
    <t>Planet FT, FH+RD (fire retardant+smoke-shielding), 1050 mm (EPD Certified)</t>
  </si>
  <si>
    <t>70105</t>
  </si>
  <si>
    <t>Planet FT, RD (smoke-shielding), 1050 mm (EPD Certified)</t>
  </si>
  <si>
    <t>71115</t>
  </si>
  <si>
    <t>Planet FT, FH+RD (fire retardant+smoke-shielding), 1150 mm (EPD Certified)</t>
  </si>
  <si>
    <t>70115</t>
  </si>
  <si>
    <t>Planet FT, RD (smoke-shielding), 1150 mm (EPD Certified)</t>
  </si>
  <si>
    <t>71125</t>
  </si>
  <si>
    <t>Planet FT, FH+RD (fire retardant+smoke-shielding), 1250 mm (EPD Certified)</t>
  </si>
  <si>
    <t>70125</t>
  </si>
  <si>
    <t>Planet FT, RD (smoke-shielding), 1250 mm (EPD Certified)</t>
  </si>
  <si>
    <t>71135</t>
  </si>
  <si>
    <t>Planet FT, FH+RD (fire retardant+smoke-shielding), 1350 mm (EPD Certified)</t>
  </si>
  <si>
    <t>70135</t>
  </si>
  <si>
    <t>Planet FT, RD (smoke-shielding), 1350 mm (EPD Certified)</t>
  </si>
  <si>
    <t>71145</t>
  </si>
  <si>
    <t>Planet FT, FH+RD (fire retardant+smoke-shielding), 1450 mm (EPD Certified)</t>
  </si>
  <si>
    <t>70145</t>
  </si>
  <si>
    <t>Planet FT, RD (smoke-shielding), 1450 mm (EPD Certified)</t>
  </si>
  <si>
    <t>71600</t>
  </si>
  <si>
    <t>Planet FT, FH+RD (fire retardant+smoke-shielding), &lt;6000 mm (EPD Certified)</t>
  </si>
  <si>
    <t>70600</t>
  </si>
  <si>
    <t>Planet FT, RD (smoke-shielding), &lt;6000 mm (EPD Certified)</t>
  </si>
  <si>
    <t>71040-SD</t>
  </si>
  <si>
    <t>Planet FT-plus, FH+RD (fire-retardant+smoke-shielding), &lt;400 mm (EPD Certified)</t>
  </si>
  <si>
    <t>71035-SD</t>
  </si>
  <si>
    <t>Planet FT-plus, FH+RD (fire-retardant+smoke-shielding), 350 mm (EPD Certified)</t>
  </si>
  <si>
    <t>71045-SD</t>
  </si>
  <si>
    <t>Planet FT-plus, FH+RD (fire-retardant+smoke-shielding), 450 mm (EPD Certified)</t>
  </si>
  <si>
    <t>71055-SD</t>
  </si>
  <si>
    <t>Planet FT-plus, FH+RD (fire-retardant+smoke-shielding), 550 mm (EPD Certified)</t>
  </si>
  <si>
    <t>71065-SD</t>
  </si>
  <si>
    <t>Planet FT-plus, FH+RD (fire-retardant+smoke-shielding), 650 mm (EPD Certified)</t>
  </si>
  <si>
    <t>71075-SD</t>
  </si>
  <si>
    <t>Planet FT-plus, FH+RD (fire-retardant+smoke-shielding), 750 mm (EPD Certified)</t>
  </si>
  <si>
    <t>71085-SD</t>
  </si>
  <si>
    <t>Planet FT-plus, FH+RD (fire-retardant+smoke-shielding), 850 mm (EPD Certified)</t>
  </si>
  <si>
    <t>71095-SD</t>
  </si>
  <si>
    <t>Planet FT-plus, FH+RD (fire-retardant+smoke-shielding), 950 mm (EPD Certified)</t>
  </si>
  <si>
    <t>71105-SD</t>
  </si>
  <si>
    <t>Planet FT-plus, FH+RD (fire-retardant+smoke-shielding), 1050 mm (EPD Certified)</t>
  </si>
  <si>
    <t>71115-SD</t>
  </si>
  <si>
    <t>Planet FT-plus, FH+RD (fire-retardant+smoke-shielding), 1150 mm (EPD Certified)</t>
  </si>
  <si>
    <t>71125-SD</t>
  </si>
  <si>
    <t>Planet FT-plus, FH+RD (fire-retardant+smoke-shielding), 1250 mm (EPD Certified)</t>
  </si>
  <si>
    <t>71135-SD</t>
  </si>
  <si>
    <t>Planet FT-plus, FH+RD (fire-retardant+smoke-shielding), 1350 mm (EPD Certified)</t>
  </si>
  <si>
    <t>71145-SD</t>
  </si>
  <si>
    <t>Planet FT-plus, FH+RD (fire-retardant+smoke-shielding), 1450 mm (EPD Certified)</t>
  </si>
  <si>
    <t>71600-SD</t>
  </si>
  <si>
    <t>Planet FT-plus, FH+RD (fire-retardant+smoke-shielding), &lt;6000 mm (EPD Certified)</t>
  </si>
  <si>
    <t>86600R</t>
  </si>
  <si>
    <t>Planet RF, RD (smoke-shielding), DIN R, &lt;6000 mm (EPD Certified)</t>
  </si>
  <si>
    <t>51040</t>
  </si>
  <si>
    <t>Planet MF, FH+RD (fire-retardant+smoke-shielding), &lt;400 mm (EPD Certified)</t>
  </si>
  <si>
    <t>50040</t>
  </si>
  <si>
    <t>Planet MF, RD (smoke-shielding), &lt;400 mm (EPD Certified)</t>
  </si>
  <si>
    <t>51034</t>
  </si>
  <si>
    <t>Planet MF, FH+RD (fire retardant+smoke-shielding), 335 mm (EPD Certified)</t>
  </si>
  <si>
    <t>50034</t>
  </si>
  <si>
    <t>Planet MF, RD (smoke-shielding), 335 mm (EPD Certified)</t>
  </si>
  <si>
    <t>51046</t>
  </si>
  <si>
    <t>Planet MF, FH+RD (fire retardant+smoke-shielding), 460 mm (EPD Certified)</t>
  </si>
  <si>
    <t>50046</t>
  </si>
  <si>
    <t>Planet MF, RD (smoke-shielding), 460 mm (EPD Certified)</t>
  </si>
  <si>
    <t>51059</t>
  </si>
  <si>
    <t>Planet MF, FH+RD (fire retardant+smoke-shielding), 585 mm (EPD Certified)</t>
  </si>
  <si>
    <t>50059</t>
  </si>
  <si>
    <t>Planet MF, RD (smoke-shielding), 585 mm (EPD Certified)</t>
  </si>
  <si>
    <t>51071</t>
  </si>
  <si>
    <t>Planet MF, FH+RD (fire retardant+smoke-shielding), 710 mm (EPD Certified)</t>
  </si>
  <si>
    <t>50071</t>
  </si>
  <si>
    <t>Planet MF, RD (smoke-shielding), 710 mm (EPD Certified)</t>
  </si>
  <si>
    <t>51084</t>
  </si>
  <si>
    <t>Planet MF, FH+RD (fire retardant+smoke-shielding), 835 mm (EPD Certified)</t>
  </si>
  <si>
    <t>50084</t>
  </si>
  <si>
    <t>Planet MF, RD (smoke-shielding), 835 mm (EPD Certified)</t>
  </si>
  <si>
    <t>51096</t>
  </si>
  <si>
    <t>Planet MF, FH+RD (fire retardant+smoke-shielding), 960 mm (EPD Certified)</t>
  </si>
  <si>
    <t>50096</t>
  </si>
  <si>
    <t>Planet MF, RD (smoke-shielding), 960 mm (EPD Certified)</t>
  </si>
  <si>
    <t>51109</t>
  </si>
  <si>
    <t>Planet MF, FH+RD (fire retardant+smoke-shielding), 1085 mm (EPD Certified)</t>
  </si>
  <si>
    <t>50109</t>
  </si>
  <si>
    <t>Planet MF, RD (smoke-shielding), 1085 mm (EPD Certified)</t>
  </si>
  <si>
    <t>51121</t>
  </si>
  <si>
    <t>Planet MF, FH+RD (fire retardant+smoke-shielding), 1210 mm (EPD Certified)</t>
  </si>
  <si>
    <t>50121</t>
  </si>
  <si>
    <t>Planet MF, RD (smoke-shielding), 1210 mm (EPD Certified)</t>
  </si>
  <si>
    <t>51134</t>
  </si>
  <si>
    <t>Planet MF, FH+RD (fire retardant+smoke-shielding), 1335 mm (EPD Certified)</t>
  </si>
  <si>
    <t>50134</t>
  </si>
  <si>
    <t>Planet MF, RD (smoke-shielding), 1335 mm (EPD Certified)</t>
  </si>
  <si>
    <t>51146</t>
  </si>
  <si>
    <t>Planet MF, FH+RD (fire retardant+smoke-shielding), 1460 mm (EPD Certified)</t>
  </si>
  <si>
    <t>50146</t>
  </si>
  <si>
    <t>Planet MF, RD (smoke-shielding), 1460 mm (EPD Certified)</t>
  </si>
  <si>
    <t>51159</t>
  </si>
  <si>
    <t>Planet MF, FH+RD (fire retardant+smoke-shielding), 1585 mm (EPD Certified)</t>
  </si>
  <si>
    <t>50159</t>
  </si>
  <si>
    <t>Planet MF, RD (smoke-shielding), 1585 mm (EPD Certified)</t>
  </si>
  <si>
    <t>51600</t>
  </si>
  <si>
    <t>Planet MF, FH+RD (fire retardant+smoke-shielding), &lt;6000 mm (EPD Certified)</t>
  </si>
  <si>
    <t>50600</t>
  </si>
  <si>
    <t>Planet MF, RD (smoke-shielding),&lt;6000 mm (EPD Certified)</t>
  </si>
  <si>
    <t>57040</t>
  </si>
  <si>
    <t>Planet RO, FH+RD (fire-retardant+smoke-shielding), &lt;400 mm (EPD Certified)</t>
  </si>
  <si>
    <t>56040</t>
  </si>
  <si>
    <t>Planet RO, RD (smoke-shielding), &lt;400 mm (EPD Certified)</t>
  </si>
  <si>
    <t>57034</t>
  </si>
  <si>
    <t>Planet RO, FH+RD (fire retardant+smoke-shielding), 335 mm (EPD Certified)</t>
  </si>
  <si>
    <t>56034</t>
  </si>
  <si>
    <t>Planet RO, RD (smoke-shielding), 335 mm (EPD Certified)</t>
  </si>
  <si>
    <t>57046</t>
  </si>
  <si>
    <t>Planet RO, FH+RD (fire retardant+smoke-shielding), 460 mm (EPD Certified)</t>
  </si>
  <si>
    <t>56046</t>
  </si>
  <si>
    <t>Planet RO, RD (smoke-shielding), 460 mm (EPD Certified)</t>
  </si>
  <si>
    <t>57059</t>
  </si>
  <si>
    <t>Planet RO, FH+RD (fire retardant+smoke-shielding), 585 mm (EPD Certified)</t>
  </si>
  <si>
    <t>56059</t>
  </si>
  <si>
    <t>Planet RO, RD (smoke-shielding), 585 mm (EPD Certified)</t>
  </si>
  <si>
    <t>57071</t>
  </si>
  <si>
    <t>Planet RO, FH+RD (fire retardant+smoke-shielding), 710 mm (EPD Certified)</t>
  </si>
  <si>
    <t>56071</t>
  </si>
  <si>
    <t>Planet RO, RD (smoke-shielding), 710 mm (EPD Certified)</t>
  </si>
  <si>
    <t>57084</t>
  </si>
  <si>
    <t>Planet RO, FH+RD (fire retardant+smoke-shielding), 835 mm (EPD Certified)</t>
  </si>
  <si>
    <t>56084</t>
  </si>
  <si>
    <t>Planet RO, RD (smoke-shielding), 835 mm (EPD Certified)</t>
  </si>
  <si>
    <t>57096</t>
  </si>
  <si>
    <t>Planet RO, FH+RD (fire retardant+smoke-shielding), 960 mm (EPD Certified)</t>
  </si>
  <si>
    <t>56096</t>
  </si>
  <si>
    <t>Planet RO, RD (smoke-shielding), 960 mm (EPD Certified)</t>
  </si>
  <si>
    <t>57109</t>
  </si>
  <si>
    <t>Planet RO, FH+RD (fire retardant+smoke-shielding), 1085 mm (EPD Certified)</t>
  </si>
  <si>
    <t>56109</t>
  </si>
  <si>
    <t>Planet RO, RD (smoke-shielding), 1085 mm (EPD Certified)</t>
  </si>
  <si>
    <t>57121</t>
  </si>
  <si>
    <t>Planet RO, FH+RD (fire retardant+smoke-shielding), 1210 mm (EPD Certified)</t>
  </si>
  <si>
    <t>56121</t>
  </si>
  <si>
    <t>Planet RO, RD (smoke-shielding), 1210 mm (EPD Certified)</t>
  </si>
  <si>
    <t>57134</t>
  </si>
  <si>
    <t>Planet RO, FH+RD (fire retardant+smoke-shielding), 1335 mm (EPD Certified)</t>
  </si>
  <si>
    <t>56134</t>
  </si>
  <si>
    <t>Planet RO, RD (smoke-shielding), 1335 mm (EPD Certified)</t>
  </si>
  <si>
    <t>57146</t>
  </si>
  <si>
    <t>Planet RO, FH+RD (fire retardant+smoke-shielding), 1460 mm (EPD Certified)</t>
  </si>
  <si>
    <t>56146</t>
  </si>
  <si>
    <t>Planet RO, RD (smoke-shielding), 1460 mm (EPD Certified)</t>
  </si>
  <si>
    <t>57159</t>
  </si>
  <si>
    <t>Planet RO, FH+RD (fire retardant+smoke-shielding), 1585 mm (EPD Certified)</t>
  </si>
  <si>
    <t>56159</t>
  </si>
  <si>
    <t>Planet RO, RD (smoke-shielding), 1585 mm (EPD Certified)</t>
  </si>
  <si>
    <t>57600</t>
  </si>
  <si>
    <t>Planet RO, FH+RD (fire retardant+smoke-shielding), &lt;6000 mm (EPD Certified)</t>
  </si>
  <si>
    <t>56600</t>
  </si>
  <si>
    <t>Planet RO, RD (smoke-shielding), &lt;6000 mm (EPD Certified)</t>
  </si>
  <si>
    <t>59040</t>
  </si>
  <si>
    <t>Planet RS, FH+RD (fire-retardant+smoke-shielding), &lt;400 mm (EPD Certified)</t>
  </si>
  <si>
    <t>55040</t>
  </si>
  <si>
    <t>Planet RS, RD (smoke-shielding), &lt;400 mm (EPD Certified)</t>
  </si>
  <si>
    <t>59034</t>
  </si>
  <si>
    <t>Planet RS, FH+RD (fire retardant+smoke-shielding), 335 mm (EPD Certified)</t>
  </si>
  <si>
    <t>55034</t>
  </si>
  <si>
    <t>Planet RS, RD (smoke-shielding), 335 mm (EPD Certified)</t>
  </si>
  <si>
    <t>59046</t>
  </si>
  <si>
    <t>Planet RS, FH+RD (fire retardant+smoke-shielding), 460 mm (EPD Certified)</t>
  </si>
  <si>
    <t>55046</t>
  </si>
  <si>
    <t>Planet RS, RD (smoke-shielding), 460 mm (EPD Certified)</t>
  </si>
  <si>
    <t>59059</t>
  </si>
  <si>
    <t>Planet RS, FH+RD (fire retardant+smoke-shielding), 585 mm (EPD Certified)</t>
  </si>
  <si>
    <t>55059</t>
  </si>
  <si>
    <t>Planet RS, RD (smoke-shielding), 585 mm (EPD Certified)</t>
  </si>
  <si>
    <t>59071</t>
  </si>
  <si>
    <t>Planet RS, FH+RD (fire retardant+smoke-shielding), 710 mm (EPD Certified)</t>
  </si>
  <si>
    <t>55071</t>
  </si>
  <si>
    <t>Planet RS, RD (smoke-shielding), 710 mm (EPD Certified)</t>
  </si>
  <si>
    <t>59084</t>
  </si>
  <si>
    <t>Planet RS, FH+RD (fire retardant+smoke-shielding), 835 mm (EPD Certified)</t>
  </si>
  <si>
    <t>55084</t>
  </si>
  <si>
    <t>Planet RS, RD (smoke-shielding), 835 mm (EPD Certified)</t>
  </si>
  <si>
    <t>59096</t>
  </si>
  <si>
    <t>Planet RS, FH+RD (fire retardant+smoke-shielding), 960 mm (EPD Certified)</t>
  </si>
  <si>
    <t>55096</t>
  </si>
  <si>
    <t>Planet RS, RD (smoke-shielding), 960 mm (EPD Certified)</t>
  </si>
  <si>
    <t>59109</t>
  </si>
  <si>
    <t>Planet RS, FH+RD (fire retardant+smoke-shielding), 1085 mm (EPD Certified)</t>
  </si>
  <si>
    <t>55109</t>
  </si>
  <si>
    <t>Planet RS, RD (smoke-shielding), 1085 mm (EPD Certified)</t>
  </si>
  <si>
    <t>59121</t>
  </si>
  <si>
    <t>Planet RS, FH+RD (fire retardant+smoke-shielding), 1210 mm (EPD Certified)</t>
  </si>
  <si>
    <t>55121</t>
  </si>
  <si>
    <t>Planet RS, RD (smoke-shielding), 1210 mm (EPD Certified)</t>
  </si>
  <si>
    <t>59134</t>
  </si>
  <si>
    <t>Planet RS, FH+RD (fire retardant+smoke-shielding), 1335 mm (EPD Certified)</t>
  </si>
  <si>
    <t>55134</t>
  </si>
  <si>
    <t>Planet RS, RD (smoke-shielding), 1335 mm (EPD Certified)</t>
  </si>
  <si>
    <t>59146</t>
  </si>
  <si>
    <t>Planet RS, FH+RD (fire retardant+smoke-shielding), 1460 mm (EPD Certified)</t>
  </si>
  <si>
    <t>55146</t>
  </si>
  <si>
    <t>Planet RS, RD (smoke-shielding), 1460 mm (EPD Certified)</t>
  </si>
  <si>
    <t>59159</t>
  </si>
  <si>
    <t>Planet RS, FH+RD (fire retardant+smoke-shielding), 1585 mm (EPD Certified)</t>
  </si>
  <si>
    <t>55159</t>
  </si>
  <si>
    <t>Planet RS, RD (smoke-shielding), 1585 mm (EPD Certified)</t>
  </si>
  <si>
    <t>59600</t>
  </si>
  <si>
    <t>Planet RS, FH+RD (fire retardant+smoke-shielding), &lt;6000 mm (EPD Certified)</t>
  </si>
  <si>
    <t>55600</t>
  </si>
  <si>
    <t>Planet RS, RD (smoke-shielding), &lt;6000 mm (EPD Certified)</t>
  </si>
  <si>
    <t>54040</t>
  </si>
  <si>
    <t>Planet PU, FH+RD (fire-retardant+smoke-shielding), &lt;400 mm (EPD Certified)</t>
  </si>
  <si>
    <t>53040</t>
  </si>
  <si>
    <t>Planet PU, RD (smoke-shielding), &lt;400 mm (EPD Certified)</t>
  </si>
  <si>
    <t>54034</t>
  </si>
  <si>
    <t>Planet PU, FH+RD (fire retardant+smoke-shielding), 335 mm (EPD Certified)</t>
  </si>
  <si>
    <t>53034</t>
  </si>
  <si>
    <t>Planet PU, RD (smoke-shielding), 335 mm (EPD Certified)</t>
  </si>
  <si>
    <t>54046</t>
  </si>
  <si>
    <t>Planet PU, FH+RD (fire retardant+smoke-shielding), 460 mm (EPD Certified)</t>
  </si>
  <si>
    <t>53046</t>
  </si>
  <si>
    <t>Planet PU, RD (smoke-shielding), 460 mm (EPD Certified)</t>
  </si>
  <si>
    <t>54059</t>
  </si>
  <si>
    <t>Planet PU, FH+RD (fire retardant+smoke-shielding), 585 mm (EPD Certified)</t>
  </si>
  <si>
    <t>53059</t>
  </si>
  <si>
    <t>Planet PU, RD (smoke-shielding), 585 mm (EPD Certified)</t>
  </si>
  <si>
    <t>54071</t>
  </si>
  <si>
    <t>Planet PU, FH+RD (fire retardant+smoke-shielding), 710 mm (EPD Certified)</t>
  </si>
  <si>
    <t>53071</t>
  </si>
  <si>
    <t>Planet PU, RD (smoke-shielding), 710 mm (EPD Certified)</t>
  </si>
  <si>
    <t>54084</t>
  </si>
  <si>
    <t>Planet PU, FH+RD (fire retardant+smoke-shielding), 835 mm (EPD Certified)</t>
  </si>
  <si>
    <t>53084</t>
  </si>
  <si>
    <t>Planet PU, RD (smoke-shielding), 835 mm (EPD Certified)</t>
  </si>
  <si>
    <t>54096</t>
  </si>
  <si>
    <t>Planet PU, FH+RD (fire retardant+smoke-shielding), 960 mm (EPD Certified)</t>
  </si>
  <si>
    <t>53096</t>
  </si>
  <si>
    <t>Planet PU, RD (smoke-shielding), 960 mm (EPD Certified)</t>
  </si>
  <si>
    <t>54109</t>
  </si>
  <si>
    <t>Planet PU, FH+RD (fire retardant+smoke-shielding), 1085 mm (EPD Certified)</t>
  </si>
  <si>
    <t>53109</t>
  </si>
  <si>
    <t>Planet PU, RD (smoke-shielding), 1085 mm (EPD Certified)</t>
  </si>
  <si>
    <t>54121</t>
  </si>
  <si>
    <t>Planet PU, FH+RD (fire retardant+smoke-shielding), 1210 mm (EPD Certified)</t>
  </si>
  <si>
    <t>53121</t>
  </si>
  <si>
    <t>Planet PU, RD (smoke-shielding), 1210 mm (EPD Certified)</t>
  </si>
  <si>
    <t>54134</t>
  </si>
  <si>
    <t>Planet PU, FH+RD (fire retardant+smoke-shielding), 1335 mm (EPD Certified)</t>
  </si>
  <si>
    <t>53134</t>
  </si>
  <si>
    <t>Planet PU, RD (smoke-shielding), 1335 mm (EPD Certified)</t>
  </si>
  <si>
    <t>54146</t>
  </si>
  <si>
    <t>Planet PU, FH+RD (fire retardant+smoke-shielding), 1460 mm (EPD Certified)</t>
  </si>
  <si>
    <t>53146</t>
  </si>
  <si>
    <t>Planet PU, RD (smoke-shielding), 1460 mm (EPD Certified)</t>
  </si>
  <si>
    <t>54159</t>
  </si>
  <si>
    <t>Planet PU, FH+RD (fire retardant+smoke-shielding), 1585 mm (EPD Certified)</t>
  </si>
  <si>
    <t>53159</t>
  </si>
  <si>
    <t>Planet PU, RD (smoke-shielding), 1585 mm (EPD Certified)</t>
  </si>
  <si>
    <t>54600</t>
  </si>
  <si>
    <t>Planet PU, FH+RD (fire retardant+smoke-shielding), &lt;6000 mm (EPD Certified)</t>
  </si>
  <si>
    <t>53600</t>
  </si>
  <si>
    <t>Planet PU, RD (smoke-shielding), &lt;6000 mm (EPD Certified)</t>
  </si>
  <si>
    <t>105080L</t>
  </si>
  <si>
    <t>Planet SN, RD (smoke-shielding), DIN L, 800 mm (EPD Certified)</t>
  </si>
  <si>
    <t>105093L</t>
  </si>
  <si>
    <t>Planet SN, RD (smoke-shielding), DIN L, 925 mm (EPD Certified)</t>
  </si>
  <si>
    <t>105105L</t>
  </si>
  <si>
    <t>Planet SN, RD (smoke-shielding), DIN L, 1050 mm (EPD Certified)</t>
  </si>
  <si>
    <t>105118L</t>
  </si>
  <si>
    <t>Planet SN, RD (smoke-shielding), DIN L, 1175 mm (EPD Certified)</t>
  </si>
  <si>
    <t>105130L</t>
  </si>
  <si>
    <t>Planet SN, RD (smoke-shielding), DIN L, 1300 mm (EPD Certified)</t>
  </si>
  <si>
    <t>105143L</t>
  </si>
  <si>
    <t>Planet SN, RD (smoke-shielding), DIN L, 1425 mm (EPD Certified)</t>
  </si>
  <si>
    <t>105155L</t>
  </si>
  <si>
    <t>Planet SN, RD (smoke-shielding), DIN L, 1550 mm (EPD Certified)</t>
  </si>
  <si>
    <t>105168L</t>
  </si>
  <si>
    <t>Planet SN, RD (smoke-shielding), DIN L, 1675 mm (EPD Certified)</t>
  </si>
  <si>
    <t>105600L</t>
  </si>
  <si>
    <t>Planet SN, RD (rauchdicht), DIN L, &lt;2000 mm (EPD Certified)</t>
  </si>
  <si>
    <t>105080R</t>
  </si>
  <si>
    <t>Planet SN, RD (smoke-shielding), DIN R, 800 mm (EPD Certified)</t>
  </si>
  <si>
    <t>105093R</t>
  </si>
  <si>
    <t>Planet SN, RD (smoke-shielding), DIN R, 925 mm (EPD Certified)</t>
  </si>
  <si>
    <t>105105R</t>
  </si>
  <si>
    <t>Planet SN, RD (smoke-shielding), DIN R, 1050 mm (EPD Certified)</t>
  </si>
  <si>
    <t>105118R</t>
  </si>
  <si>
    <t>Planet SN, RD (smoke-shielding), DIN R, 1175 mm (EPD Certified)</t>
  </si>
  <si>
    <t>105130R</t>
  </si>
  <si>
    <t>Planet SN, RD (smoke-shielding), DIN R, 1300 mm (EPD Certified)</t>
  </si>
  <si>
    <t>105143R</t>
  </si>
  <si>
    <t>Planet SN, RD (smoke-shielding), DIN R, 1425 mm (EPD Certified)</t>
  </si>
  <si>
    <t>105155R</t>
  </si>
  <si>
    <t>Planet SN, RD (smoke-shielding), DIN R, 1550 mm (EPD Certified)</t>
  </si>
  <si>
    <t>105168R</t>
  </si>
  <si>
    <t>Planet SN, RD (smoke-shielding), DIN R, 1675 mm (EPD Certified)</t>
  </si>
  <si>
    <t>105600R</t>
  </si>
  <si>
    <t>Planet SN, RD (rauchdicht), DIN R, &lt;2000 mm (EPD Certified)</t>
  </si>
  <si>
    <t>209096</t>
  </si>
  <si>
    <t>Planet X3, RD (smoke-shielding), 835 - 960 mm, made to measure (EPD Certified)</t>
  </si>
  <si>
    <t>206096</t>
  </si>
  <si>
    <t>Planet X3, RD (smoke-shielding), 960 mm, can be shortened (EPD Certified)</t>
  </si>
  <si>
    <t>206109</t>
  </si>
  <si>
    <t>Planet X3, RD (smoke-shielding), 1085 mm, can be shortened (EPD Certified)</t>
  </si>
  <si>
    <t>209109</t>
  </si>
  <si>
    <t>Planet X3, RD (smoke-shielding), 961 - 1085 mm, made to measure (EPD Certified)</t>
  </si>
  <si>
    <t>209121</t>
  </si>
  <si>
    <t>Planet X3, RD (smoke-shielding), 1086 - 1210 mm, made to measure (EPD Certified)</t>
  </si>
  <si>
    <t>206121</t>
  </si>
  <si>
    <t>Planet X3, RD (smoke-shielding), 1210 mm, can be shortened (EPD Certified)</t>
  </si>
  <si>
    <t>209134</t>
  </si>
  <si>
    <t>Planet X3, RD (smoke-shielding), 1211 - 1335 mm, made to measure (EPD Certified)</t>
  </si>
  <si>
    <t>206134</t>
  </si>
  <si>
    <t>Planet X3, RD (smoke-shielding), 1335 mm, can be shortened (EPD Certified)</t>
  </si>
  <si>
    <t>209146</t>
  </si>
  <si>
    <t>Planet X3, RD (smoke-shielding), 1336 - 1460 mm, made to measure (EPD Certified)</t>
  </si>
  <si>
    <t>206146</t>
  </si>
  <si>
    <t>Planet X3, RD (smoke-shielding), 1460 mm, can be shortened (EPD Certified)</t>
  </si>
  <si>
    <t>206084</t>
  </si>
  <si>
    <t>Planet X3, RD (smoke-shielding), 835 mm, can be shortened (EPD Certified)</t>
  </si>
  <si>
    <t>209084</t>
  </si>
  <si>
    <t>Planet X3, RD (smoke-shielding), 710 - 835 mm, made to measure (EPD Certified)</t>
  </si>
  <si>
    <t>Accessories</t>
  </si>
  <si>
    <t>19034</t>
  </si>
  <si>
    <t>Silver anodised EV1</t>
  </si>
  <si>
    <t>Planet Socle for Planet FT and RF, 350 mm (EPD Certified)</t>
  </si>
  <si>
    <t>19045</t>
  </si>
  <si>
    <t>Planet Socle for Planet FT and RF, 450 mm (EPD Certified)</t>
  </si>
  <si>
    <t>19055</t>
  </si>
  <si>
    <t>Planet Socle for Planet FT and RF, 550 mm (EPD Certified)</t>
  </si>
  <si>
    <t>19065</t>
  </si>
  <si>
    <t>Planet Socle for Planet FT and RF, 650 mm (EPD Certified)</t>
  </si>
  <si>
    <t>19075</t>
  </si>
  <si>
    <t>Planet Socle for Planet FT and RF, 750 mm (EPD Certified)</t>
  </si>
  <si>
    <t>19085</t>
  </si>
  <si>
    <t>Planet Socle for Planet FT and RF, 850 mm (EPD Certified)</t>
  </si>
  <si>
    <t>19095</t>
  </si>
  <si>
    <t>Planet Socle for Planet FT and RF, 950 mm (EPD Certified)</t>
  </si>
  <si>
    <t>19105</t>
  </si>
  <si>
    <t>Planet Socle for Planet FT and RF, 1050 mm (EPD Certified)</t>
  </si>
  <si>
    <t>19115</t>
  </si>
  <si>
    <t>Planet Socle for Planet FT and RF, 1150 mm (EPD Certified)</t>
  </si>
  <si>
    <t>19125</t>
  </si>
  <si>
    <t>Planet Socle for Planet FT and RF, 1250 mm (EPD Certified)</t>
  </si>
  <si>
    <t>19135</t>
  </si>
  <si>
    <t>Planet Socle for Planet FT and RF, 1350 mm (EPD Certified)</t>
  </si>
  <si>
    <t>19145</t>
  </si>
  <si>
    <t>Planet Socle for Planet FT and RF, 1450 mm (EPD Certified)</t>
  </si>
  <si>
    <t>19600</t>
  </si>
  <si>
    <t>Planet Socle for Planet FT and RF, &lt;6000 mm (EPD Certified)</t>
  </si>
  <si>
    <t>900438</t>
  </si>
  <si>
    <t>Planet Socle for Planet GH, 335 - 6000 mm (EPD Certified)</t>
  </si>
  <si>
    <t>Treshold</t>
  </si>
  <si>
    <t>254119</t>
  </si>
  <si>
    <t>Planet F120 click threshold, 1190 mm (EPD Certified)</t>
  </si>
  <si>
    <t>254600</t>
  </si>
  <si>
    <t>Planet F120 click threshold, &lt;6000 mm (EPD Certified)</t>
  </si>
  <si>
    <t>252119</t>
  </si>
  <si>
    <t>Planet F140 click threshold, 1190 mm (EPD Certified)</t>
  </si>
  <si>
    <t>252600</t>
  </si>
  <si>
    <t>Planet F140 click threshold, &lt;6000 mm (EPD Certified)</t>
  </si>
  <si>
    <t>253119</t>
  </si>
  <si>
    <t>Planet F130 click threshold, 1190 mm (EPD Certified)</t>
  </si>
  <si>
    <t>253600</t>
  </si>
  <si>
    <t>Planet F130 click threshold, &lt;6000 mm (EPD Certified)</t>
  </si>
  <si>
    <t>Option</t>
  </si>
  <si>
    <t>900606</t>
  </si>
  <si>
    <t>Antibacterial silicone lip (EPD Certified)</t>
  </si>
  <si>
    <t>900440</t>
  </si>
  <si>
    <t>Silicon protrusion (EPD Certified)</t>
  </si>
  <si>
    <t>900920</t>
  </si>
  <si>
    <t>Pivot door design (13 and 20 mm line) (EPD Certified)</t>
  </si>
  <si>
    <t>Finger Protection</t>
  </si>
  <si>
    <t>F-5111</t>
  </si>
  <si>
    <t>Roller protector FSR 5000 [Basic], silver anodised EV1, 1925 mm (EPD Certified)</t>
  </si>
  <si>
    <t>F-5112</t>
  </si>
  <si>
    <t>Roller protector FSR 5000 [Basic], silver anodised EV1, 2015 mm (EPD Certified)</t>
  </si>
  <si>
    <t>F-5113</t>
  </si>
  <si>
    <t>Roller protector FSR 5000 [Basic], silver anodised EV1, made to measure (EPD Certified)</t>
  </si>
  <si>
    <t>F-5121</t>
  </si>
  <si>
    <t>RAL 9016</t>
  </si>
  <si>
    <t>Roller protector FSR 5000 [Basic], RAL 9016, 1925 mm (EPD Certified)</t>
  </si>
  <si>
    <t>F-5122</t>
  </si>
  <si>
    <t>Roller protector FSR 5000 [Basic], RAL 9016, 2015 mm (EPD Certified)</t>
  </si>
  <si>
    <t>F-5123</t>
  </si>
  <si>
    <t>Roller protector FSR 5000 [Basic], RAL 9016, made to measure (EPD Certified)</t>
  </si>
  <si>
    <t>F-5131</t>
  </si>
  <si>
    <t>RAL 9007</t>
  </si>
  <si>
    <t>Roller protector FSR 5000 [Basic], RAL 9007, 1925 mm (EPD Certified)</t>
  </si>
  <si>
    <t>F-5132</t>
  </si>
  <si>
    <t>Roller protector FSR 5000 [Basic], RAL 9007, 2015 mm (EPD Certified)</t>
  </si>
  <si>
    <t>F-5133</t>
  </si>
  <si>
    <t>Roller protector FSR 5000 [Basic], RAL 9007, made to measure (EPD Certified)</t>
  </si>
  <si>
    <t>F-5141</t>
  </si>
  <si>
    <t>RAL 7016</t>
  </si>
  <si>
    <t>Roller protector FSR 5000 [Basic], RAL 7016, 1925 mm (EPD Certified)</t>
  </si>
  <si>
    <t>F-5142</t>
  </si>
  <si>
    <t>Roller protector FSR 5000 [Basic], RAL 7016, 2015 mm (EPD Certified)</t>
  </si>
  <si>
    <t>F-5143</t>
  </si>
  <si>
    <t>Roller protector FSR 5000 [Basic], RAL 7016, made to measure (EPD Certified)</t>
  </si>
  <si>
    <t>F-5151</t>
  </si>
  <si>
    <t>Matt anodised stainless steel (INOX)</t>
  </si>
  <si>
    <t>Roller protector FSR 5000 [Basic], stainless steel satin anodised (INOX), 1925 mm (EPD Certified)</t>
  </si>
  <si>
    <t>F-5152</t>
  </si>
  <si>
    <t>Roller protector FSR 5000 [Basic], stainless steel satin anodised (INOX), 2015 mm (EPD Certified)</t>
  </si>
  <si>
    <t>F-5153</t>
  </si>
  <si>
    <t>Roller protector FSR 5000 [Basic], stainless steel satin anodised (INOX), made to measure (EPD Certified)</t>
  </si>
  <si>
    <t>F-5191</t>
  </si>
  <si>
    <t>RAL / EURAS (at choice)*</t>
  </si>
  <si>
    <t>Roller protector FSR 5000 [Basic], RAL / EURAS (at choice), 1925 mm (EPD Certified)</t>
  </si>
  <si>
    <t>F-5192</t>
  </si>
  <si>
    <t>Roller protector FSR 5000 [Basic], RAL / EURAS (at choice), 2015 mm (EPD Certified)</t>
  </si>
  <si>
    <t>F-5193</t>
  </si>
  <si>
    <t>Roller protector FSR 5000 [Basic], RAL / EURAS (at choice), made to measure (EPD Certified)</t>
  </si>
  <si>
    <t>F-6111</t>
  </si>
  <si>
    <t>Roller protector FSR 6000 [Quick &amp; Outdoor], silver anodised EV1, 1925 mm (EPD Certified)</t>
  </si>
  <si>
    <t>F-6112</t>
  </si>
  <si>
    <t>Roller protector FSR 6000 [Quick &amp; Outdoor], silver anodised EV1, 2015 mm (EPD Certified)</t>
  </si>
  <si>
    <t>F-6113</t>
  </si>
  <si>
    <t>Roller protector FSR 6000 [Quick &amp; Outdoor], silver anodised EV1, made to measure (EPD Certified)</t>
  </si>
  <si>
    <t>F-6121</t>
  </si>
  <si>
    <t>Roller protector FSR 6000 [Quick &amp; Outdoor], RAL 9016, 1925 mm (EPD Certified)</t>
  </si>
  <si>
    <t>F-6122</t>
  </si>
  <si>
    <t>Roller protector FSR 6000 [Quick &amp; Outdoor], RAL 9016, 2015 mm (EPD Certified)</t>
  </si>
  <si>
    <t>F-6123</t>
  </si>
  <si>
    <t>Roller protector FSR 6000 [Quick &amp; Outdoor], RAL 9016, made to measure (EPD Certified)</t>
  </si>
  <si>
    <t>F-6131</t>
  </si>
  <si>
    <t>Roller protector FSR 6000 [Quick &amp; Outdoor], RAL 9007, 1925 mm (EPD Certified)</t>
  </si>
  <si>
    <t>F-6132</t>
  </si>
  <si>
    <t>Roller protector FSR 6000 [Quick &amp; Outdoor], RAL 9007, 2015 mm (EPD Certified)</t>
  </si>
  <si>
    <t>F-6133</t>
  </si>
  <si>
    <t>Roller protector FSR 6000 [Quick &amp; Outdoor], RAL 9007, made to measure (EPD Certified)</t>
  </si>
  <si>
    <t>F-6141</t>
  </si>
  <si>
    <t>Roller protector FSR 6000 [Quick &amp; Outdoor], RAL 7016, 1925 mm (EPD Certified)</t>
  </si>
  <si>
    <t>F-6142</t>
  </si>
  <si>
    <t>Roller protector FSR 6000 [Quick &amp; Outdoor], RAL 7016, 2015 mm (EPD Certified)</t>
  </si>
  <si>
    <t>F-6143</t>
  </si>
  <si>
    <t>Roller protector FSR 6000 [Quick &amp; Outdoor], RAL 7016, made to measure (EPD Certified)</t>
  </si>
  <si>
    <t>F-6151</t>
  </si>
  <si>
    <t>Roller protector FSR 6000 [Quick &amp; Outdoor], stainless steel satin anodised (INOX), 1925 mm (EPD Certified)</t>
  </si>
  <si>
    <t>F-6152</t>
  </si>
  <si>
    <t>Roller protector FSR 6000 [Quick &amp; Outdoor], stainless steel satin anodised (INOX), 2015 mm (EPD Certified)</t>
  </si>
  <si>
    <t>F-6153</t>
  </si>
  <si>
    <t>Roller protector FSR 6000 [Quick &amp; Outdoor], stainless steel satin anodised (INOX), made to measure (EPD Certified)</t>
  </si>
  <si>
    <t>F-6162</t>
  </si>
  <si>
    <t>black C35 matt anodised</t>
  </si>
  <si>
    <t>Roller protector FSR 6000 [Quick &amp; Outdoor], black C35 satin anodised, 2015 mm (EPD Certified)</t>
  </si>
  <si>
    <t>F-6161</t>
  </si>
  <si>
    <t>Roller protector FSR 6000 [Quick &amp; Outdoor], black C35 satin anodised, 1925 mm (EPD Certified)</t>
  </si>
  <si>
    <t>F-6163</t>
  </si>
  <si>
    <t>Roller protector FSR 6000 [Quick &amp; Outdoor], black C35 satin anodised, made to measure (EPD Certified)</t>
  </si>
  <si>
    <t>F-6191</t>
  </si>
  <si>
    <t>Roller protector FSR 6000 [Quick &amp; Outdoor], RAL / EURAS (at choice), 1925 mm (EPD Certified)</t>
  </si>
  <si>
    <t>F-6192</t>
  </si>
  <si>
    <t>Roller protector FSR 6000 [Quick &amp; Outdoor], RAL / EURAS (at choice), 2015 mm (EPD Certified)</t>
  </si>
  <si>
    <t>F-6193</t>
  </si>
  <si>
    <t>Roller protector FSR 6000 [Quick &amp; Outdoor], RAL / EURAS (at choice), made to measure (EPD Certified)</t>
  </si>
  <si>
    <t>901469</t>
  </si>
  <si>
    <t>Cover profile FSA 8800, S18, colourless anodised EV1, 2500 mm, bundle x 5 (EPD Certified)</t>
  </si>
  <si>
    <t>901470</t>
  </si>
  <si>
    <t>Cover profile FSA 8800, S18, white RAL 9016, 2500 mm, bundle x 5 (EPD Certified)</t>
  </si>
  <si>
    <t>901471</t>
  </si>
  <si>
    <t>Cover profile FSA 8800, S18, matt anodised stainless steel (INOX), 2500 mm, bundle x 5 (EPD Certified)</t>
  </si>
  <si>
    <t>901472</t>
  </si>
  <si>
    <t>Cover profile FSA 8800, S18, black C35 matt anodised, 2500 mm, bundle x 5 (EPD Certified)</t>
  </si>
  <si>
    <t>F-8811-18</t>
  </si>
  <si>
    <t>Cover profile FSA 8800, S18, silver anodised EV1, 1755 mm (EPD Certified)</t>
  </si>
  <si>
    <t>F-8812-18</t>
  </si>
  <si>
    <t>Cover profile FSA 8800, S18, silver anodised EV1, 1980 mm (EPD Certified)</t>
  </si>
  <si>
    <t>F-8814-18</t>
  </si>
  <si>
    <t>Cover profile FSA 8800, S18, silver anodised EV1, per linear meter (EPD Certified)</t>
  </si>
  <si>
    <t>901473</t>
  </si>
  <si>
    <t>Cover profile FSA 8800, S20, colourless anodised EV1, 2500 mm, bundle x 5 (EPD Certified)</t>
  </si>
  <si>
    <t>F-8821-18</t>
  </si>
  <si>
    <t>Cover profile FSA 8800, S18, RAL 9016, 1755 mm (EPD Certified)</t>
  </si>
  <si>
    <t>F-8822-18</t>
  </si>
  <si>
    <t>Cover profile FSA 8800, S18, RAL 9016, 1980 mm (EPD Certified)</t>
  </si>
  <si>
    <t>F-8824-18</t>
  </si>
  <si>
    <t>Cover profile FSA 8800, S18, RAL 9016, per linear meter (EPD Certified)</t>
  </si>
  <si>
    <t>901474</t>
  </si>
  <si>
    <t>Cover profile FSA 8800, S20, white RAL 9016, 2500 mm, 5 pcs. (EPD Certified)</t>
  </si>
  <si>
    <t>F-8851-18</t>
  </si>
  <si>
    <t>Cover profile FSA 8800, S18, stainless steel satin anodised (INOX), 1755 mm (EPD Certified)</t>
  </si>
  <si>
    <t>F-8852-18</t>
  </si>
  <si>
    <t>Cover profile FSA 8800, S18, stainless steel satin anodised (INOX), 1980 mm (EPD Certified)</t>
  </si>
  <si>
    <t>F-8854-18</t>
  </si>
  <si>
    <t>Cover profile FSA 8800, S18, stainless steel satin anodised (INOX), per linear meter (EPD Certified)</t>
  </si>
  <si>
    <t>901475</t>
  </si>
  <si>
    <t>Cover profile FSA 8800, S20, matt anodised stainless steel (INOX), 2500 mm, bundle x 5 (EPD Certified)</t>
  </si>
  <si>
    <t>F-8861-18</t>
  </si>
  <si>
    <t>Cover profile FSA 8800, S18, black C35 satin anodised, 1755 mm (EPD Certified)</t>
  </si>
  <si>
    <t>F-8862-18</t>
  </si>
  <si>
    <t>Cover profile FSA 8800, S18, black C35 satin anodised, 1980 mm (EPD Certified)</t>
  </si>
  <si>
    <t>F-8864-18</t>
  </si>
  <si>
    <t>Cover profile FSA 8800, S18, black C35 satin anodised, per linear meter (EPD Certified)</t>
  </si>
  <si>
    <t>901476</t>
  </si>
  <si>
    <t>Cover profile FSA 8800, S20, black C35 matt anodised, 2500 mm, bundle x 5 (EPD Certified)</t>
  </si>
  <si>
    <t>F-8891-18</t>
  </si>
  <si>
    <t>Cover profile FSA 8800, S18, RAL / EURAS (at choice), 1755 mm (EPD Certified)</t>
  </si>
  <si>
    <t>F-8892-18</t>
  </si>
  <si>
    <t>Cover profile FSA 8800, S18, RAL / EURAS (at choice), 1980 mm (EPD Certified)</t>
  </si>
  <si>
    <t>F-8894-18</t>
  </si>
  <si>
    <t>Cover profile FSA 8800, S18, RAL / EURAS (at choice), per linear meter (EPD Certified)</t>
  </si>
  <si>
    <t>901477</t>
  </si>
  <si>
    <t>Cover profile FSA 8800, S22, colourless anodised EV1, 2500 mm, bundle x 5 (EPD Certified)</t>
  </si>
  <si>
    <t>F-8811-20</t>
  </si>
  <si>
    <t>Cover profile FSA 8800, S20, silver anodised EV1, 1755 mm (EPD Certified)</t>
  </si>
  <si>
    <t>F-8812-20</t>
  </si>
  <si>
    <t>Cover profile FSA 8800, S20, silver anodised EV1, 1980 mm (EPD Certified)</t>
  </si>
  <si>
    <t>F-8814-20</t>
  </si>
  <si>
    <t>Cover profile FSA 8800, S20, silver anodised EV1, per linear meter (EPD Certified)</t>
  </si>
  <si>
    <t>901478</t>
  </si>
  <si>
    <t>Cover profile FSA 8800, S22, white RAL 9016, 2500 mm, bundle x 5 (EPD Certified)</t>
  </si>
  <si>
    <t>F-8821-20</t>
  </si>
  <si>
    <t>Cover profile FSA 8800, S20, RAL 9016, 1755 mm (EPD Certified)</t>
  </si>
  <si>
    <t>F-8822-20</t>
  </si>
  <si>
    <t>Cover profile FSA 8800, S20, RAL 9016, 1980 mm (EPD Certified)</t>
  </si>
  <si>
    <t>F-8824-20</t>
  </si>
  <si>
    <t>Cover profile FSA 8800, S20, RAL 9016, per linear meter (EPD Certified)</t>
  </si>
  <si>
    <t>901479</t>
  </si>
  <si>
    <t>Cover profile FSA 8800, S22, matt anodised stainless steel (INOX), 2500 mm, bundle x 5 (EPD Certified)</t>
  </si>
  <si>
    <t>F-8851-20</t>
  </si>
  <si>
    <t>Cover profile FSA 8800, S20, stainless steel satin anodised (INOX), 1755 mm (EPD Certified)</t>
  </si>
  <si>
    <t>F-8852-20</t>
  </si>
  <si>
    <t>Cover profile FSA 8800, S20, stainless steel satin anodised (INOX), 1980 mm (EPD Certified)</t>
  </si>
  <si>
    <t>F-8854-20</t>
  </si>
  <si>
    <t>Cover profile FSA 8800, S20, stainless steel satin anodised (INOX), per linear meter (EPD Certified)</t>
  </si>
  <si>
    <t>901480</t>
  </si>
  <si>
    <t>Cover profile FSA 8800, S22, black C35 matt anodised, 2500 mm, bundle x 5 (EPD Certified)</t>
  </si>
  <si>
    <t>F-8861-20</t>
  </si>
  <si>
    <t>Cover profile FSA 8800, S20, black C35 satin anodised, 1755 mm (EPD Certified)</t>
  </si>
  <si>
    <t>F-8862-20</t>
  </si>
  <si>
    <t>Cover profile FSA 8800, S20, black C35 satin anodised, 1980 mm (EPD Certified)</t>
  </si>
  <si>
    <t>F-8864-20</t>
  </si>
  <si>
    <t>Cover profile FSA 8800, S20, black C35 satin anodised, per linear meter (EPD Certified)</t>
  </si>
  <si>
    <t>F-8891-20</t>
  </si>
  <si>
    <t>Cover profile FSA 8800, S20, RAL / EURAS (at choice), 1755 mm (EPD Certified)</t>
  </si>
  <si>
    <t>F-8892-20</t>
  </si>
  <si>
    <t>Cover profile FSA 8800, S20, RAL / EURAS (at choice), 1980 mm (EPD Certified)</t>
  </si>
  <si>
    <t>F-8894-20</t>
  </si>
  <si>
    <t>Cover profile FSA 8800, S20, RAL / EURAS (at choice), per linear meter (EPD Certified)</t>
  </si>
  <si>
    <t>F-8811-22</t>
  </si>
  <si>
    <t>Cover profile FSA 8800, S22, silver anodised EV1, 1755 mm (EPD Certified)</t>
  </si>
  <si>
    <t>F-8812-22</t>
  </si>
  <si>
    <t>Cover profile FSA 8800, S22, silver anodised EV1, 1980 mm (EPD Certified)</t>
  </si>
  <si>
    <t>F-8814-22</t>
  </si>
  <si>
    <t>Cover profile FSA 8800, S22, silver anodised EV1, per linear meter (EPD Certified)</t>
  </si>
  <si>
    <t>F-8821-22</t>
  </si>
  <si>
    <t>Cover profile FSA 8800, S22, RAL 9016, 1755 mm (EPD Certified)</t>
  </si>
  <si>
    <t>F-8822-22</t>
  </si>
  <si>
    <t>Cover profile FSA 8800, S22, RAL 9016, 1980 mm (EPD Certified)</t>
  </si>
  <si>
    <t>F-8824-22</t>
  </si>
  <si>
    <t>Cover profile FSA 8800, S22, RAL 9016, per linear meter (EPD Certified)</t>
  </si>
  <si>
    <t>F-8851-22</t>
  </si>
  <si>
    <t>Cover profile FSA 8800, S22, stainless steel satin anodised (INOX), 1755 mm (EPD Certified)</t>
  </si>
  <si>
    <t>F-8852-22</t>
  </si>
  <si>
    <t>Cover profile FSA 8800, S22, stainless steel satin anodised (INOX), 1980 mm (EPD Certified)</t>
  </si>
  <si>
    <t>F-8854-22</t>
  </si>
  <si>
    <t>Cover profile FSA 8800, S22, stainless steel satin anodised (INOX), per linear meter (EPD Certified)</t>
  </si>
  <si>
    <t>F-8861-22</t>
  </si>
  <si>
    <t>Cover profile FSA 8800, S22, black C35 satin anodised, 1755 mm (EPD Certified)</t>
  </si>
  <si>
    <t>F-8862-22</t>
  </si>
  <si>
    <t>Cover profile FSA 8800, S22, black C35 satin anodised, 1980 mm (EPD Certified)</t>
  </si>
  <si>
    <t>F-8864-22</t>
  </si>
  <si>
    <t>Cover profile FSA 8800, S22, black C35 satin anodised, per linear meter (EPD Certified)</t>
  </si>
  <si>
    <t>F-8891-22</t>
  </si>
  <si>
    <t>Cover profile FSA 8800, S22, RAL / EURAS (at choice), 1755 mm (EPD Certified)</t>
  </si>
  <si>
    <t>F-8894-22</t>
  </si>
  <si>
    <t>Cover profile FSA 8800, S22, RAL / EURAS (at choice), per linear meter (EPD Certified)</t>
  </si>
  <si>
    <t>F-8892-22</t>
  </si>
  <si>
    <t>Cover profile FSA 8800, S22, RAL / EURAS (at choice), 1980 mm (EPD Certified)</t>
  </si>
  <si>
    <t>F-8811-16</t>
  </si>
  <si>
    <t>Cover profile FSA 8800, S16, silver anodised EV1, 1755 mm (EPD Certified)</t>
  </si>
  <si>
    <t>F-8821-16</t>
  </si>
  <si>
    <t>Cover profile FSA 8800, S16, RAL 9016, 1755 mm (EPD Certified)</t>
  </si>
  <si>
    <t>F-8851-16</t>
  </si>
  <si>
    <t>Cover profile FSA 8800, S16, stainless steel satin anodised (INOX), 1755 mm (EPD Certified)</t>
  </si>
  <si>
    <t>F-8861-16</t>
  </si>
  <si>
    <t>Cover profile FSA 8800, S16, black C35 satin anodised, 1755 mm (EPD Certified)</t>
  </si>
  <si>
    <t>F-8891-16</t>
  </si>
  <si>
    <t>Cover profile FSA 8800, S16, RAL / EURAS (at choice), 1755 mm (EPD Certified)</t>
  </si>
  <si>
    <t>F-8812-16</t>
  </si>
  <si>
    <t>Cover profile FSA 8800, S16, silver anodised EV1, 1980 mm (EPD Certified)</t>
  </si>
  <si>
    <t>F-8822-16</t>
  </si>
  <si>
    <t>Cover profile FSA 8800, S16, RAL 9016, 1980 mm (EPD Certified)</t>
  </si>
  <si>
    <t>F-8852-16</t>
  </si>
  <si>
    <t>Cover profile FSA 8800, S16, stainless steel satin anodised (INOX), 1980 mm (EPD Certified)</t>
  </si>
  <si>
    <t>F-8862-16</t>
  </si>
  <si>
    <t>Cover profile FSA 8800, S16, black C35 satin anodised, 1980 mm (EPD Certified)</t>
  </si>
  <si>
    <t>F-8892-16</t>
  </si>
  <si>
    <t>Cover profile FSA 8800, S16, RAL / EURAS (at choice), 1980 mm (EPD Certified)</t>
  </si>
  <si>
    <t>F-8814-16</t>
  </si>
  <si>
    <t>Cover profile FSA 8800, S16, silver anodised EV1, per linear meter (EPD Certified)</t>
  </si>
  <si>
    <t>F-8824-16</t>
  </si>
  <si>
    <t>Cover profile FSA 8800, S16, RAL 9016, per linear meter (EPD Certified)</t>
  </si>
  <si>
    <t>F-8854-16</t>
  </si>
  <si>
    <t>Cover profile FSA 8800, S16, stainless steel satin anodised (INOX), per linear meter (EPD Certified)</t>
  </si>
  <si>
    <t>F-8864-16</t>
  </si>
  <si>
    <t>Cover profile FSA 8800, S16, black C35 satin anodised, per linear meter (EPD Certified)</t>
  </si>
  <si>
    <t>F-8894-16</t>
  </si>
  <si>
    <t>Cover profile FSA 8800, S16, RAL / EURAS (at choice), per linear meter (EPD Certified)</t>
  </si>
  <si>
    <t>901571</t>
  </si>
  <si>
    <t>Cover profile FSA 8800, S16, colourless anodised EV1, 2500 mm, bundle x 5 (EPD Certified)</t>
  </si>
  <si>
    <t>901572</t>
  </si>
  <si>
    <t>Cover profile FSA 8800, S16, white RAL 9016, 2500 mm, bundle x 5 (EPD Certified)</t>
  </si>
  <si>
    <t>901573</t>
  </si>
  <si>
    <t>Cover profile FSA 8800, S16, matt anodised stainless steel (INOX), 2500 mm, bundle x 5 (EPD Certified)</t>
  </si>
  <si>
    <t>901574</t>
  </si>
  <si>
    <t>Cover profile FSA 8800, S16, black C35 matt anodised, 2500 mm, bundle x 5 (EPD Certified)</t>
  </si>
  <si>
    <t>F-8812-30</t>
  </si>
  <si>
    <t>Cover profile FSA 8800, S30, silver anodised EV1, 1980 mm, 3S (EPD Certified)</t>
  </si>
  <si>
    <t>F-8815-30</t>
  </si>
  <si>
    <t>Cover profile FSA 8800, S30, silver anodised EV1, 1980 mm, 4S (EPD Certified)</t>
  </si>
  <si>
    <t>F-8814-30</t>
  </si>
  <si>
    <t>Cover profile FSA 8800, S30, silver anodised EV1, per running metre (EPD Certified)</t>
  </si>
  <si>
    <t>F-8822-30</t>
  </si>
  <si>
    <t>Cover profile FSA 8800, S30, RAL 9016, 1980 mm, 3S (EPD Certified)</t>
  </si>
  <si>
    <t>F-8825-30</t>
  </si>
  <si>
    <t>Cover profile FSA 8800, S30, RAL 9016, 1980 mm, 4S (EPD Certified)</t>
  </si>
  <si>
    <t>901516</t>
  </si>
  <si>
    <t>Cover profile FSA 8800, S30, silver anodised EV1, 2500 mm, bundle x 5 pcs. (EPD Certified)</t>
  </si>
  <si>
    <t>F-8824-30</t>
  </si>
  <si>
    <t>Cover profile FSA 8800, S30, RAL 9016, per running metre (EPD Certified)</t>
  </si>
  <si>
    <t>901517</t>
  </si>
  <si>
    <t>Cover profile FSA 8800, S30, white RAL 9016, 2500 mm, bundle x 5 pcs. (EPD Certified)</t>
  </si>
  <si>
    <t>F-8852-30</t>
  </si>
  <si>
    <t>Cover profile FSA 8800, S30, matt anodised stainless steel (INOX), 1980 mm, 3S (EPD Certified)</t>
  </si>
  <si>
    <t>901518</t>
  </si>
  <si>
    <t>Cover profile FSA 8800, S30, matt anodised stainless steel (INOX), 2500 mm, bundle x 5 pcs. (EPD Certified)</t>
  </si>
  <si>
    <t>F-8855-30</t>
  </si>
  <si>
    <t>Cover profile FSA 8800, S30, matt anodised stainless steel (INOX), 1980 mm, 4S (EPD Certified)</t>
  </si>
  <si>
    <t>901519</t>
  </si>
  <si>
    <t>Cover profile FSA 8800, S30, black C35 matt anodised, 2500 mm, bundle x 5 pcs. (EPD Certified)</t>
  </si>
  <si>
    <t>F-8854-30</t>
  </si>
  <si>
    <t>Cover profile FSA 8800, S30, matt anodised stainless steel (INOX), per running metre (EPD Certified)</t>
  </si>
  <si>
    <t>F-8862-30</t>
  </si>
  <si>
    <t>Cover profile FSA 8800, S30, black C35 matt anodised, 1980 mm, 3S (EPD Certified)</t>
  </si>
  <si>
    <t>F-8865-30</t>
  </si>
  <si>
    <t>Cover profile FSA 8800, S30, black C35 matt anodised, 1980 mm, 4S (EPD Certified)</t>
  </si>
  <si>
    <t>F-8864-30</t>
  </si>
  <si>
    <t>Cover profile FSA 8800, S30, black C35 matt anodised, per running metre (EPD Certified)</t>
  </si>
  <si>
    <t>F-8892-30</t>
  </si>
  <si>
    <t>Cover profile FSA 8800, S30, RAL/EURAS of your choice, 1980 mm, 3S (EPD Certified)</t>
  </si>
  <si>
    <t>F-8895-30</t>
  </si>
  <si>
    <t>Cover profile FSA 8800, S30, RAL/EURAS of your choice, 1980 mm, 4S (EPD Certified)</t>
  </si>
  <si>
    <t>F-8894-30</t>
  </si>
  <si>
    <t>Cover profile FSA 8800, S30, RAL/EURAS of your choice, per running metre (EPD Certified)</t>
  </si>
  <si>
    <t>F-8912-02</t>
  </si>
  <si>
    <t>Cover profile FSA 8900, AH2, silver anodised EV1, 1980 mm, 3S (EPD Certified)</t>
  </si>
  <si>
    <t>F-8915-02</t>
  </si>
  <si>
    <t>Cover profile FSA 8900, AH2, silver anodised EV1, 1980 mm, 4S (EPD Certified)</t>
  </si>
  <si>
    <t>F-8913-02</t>
  </si>
  <si>
    <t>Cover profile FSA 8900, AH2, silver anodised EV1, per running metre (EPD Certified)</t>
  </si>
  <si>
    <t>F-8922-02</t>
  </si>
  <si>
    <t>Cover profile FSA 8900, AH2, RAL 9016, 1980 mm, 3S (EPD Certified)</t>
  </si>
  <si>
    <t>F-8925-02</t>
  </si>
  <si>
    <t>Cover profile FSA 8900, AH2, RAL 9016, 1980 mm, 4S (EPD Certified)</t>
  </si>
  <si>
    <t>901520</t>
  </si>
  <si>
    <t>Cover profile FSA 8900, AH2, silver anodised EV1, 2500 mm, bundle x 5 pcs. (EPD Certified)</t>
  </si>
  <si>
    <t>F-8923-02</t>
  </si>
  <si>
    <t>Cover profile FSA 8900, AH2, RAL 9016, per running metre (EPD Certified)</t>
  </si>
  <si>
    <t>901521</t>
  </si>
  <si>
    <t>Cover profile FSA 8900, AH2, white RAL 9016, 2500 mm, bundle x 5 pcs. (EPD Certified)</t>
  </si>
  <si>
    <t>F-8952-02</t>
  </si>
  <si>
    <t>Cover profile FSA 8900, AH2, matt anodised stainless steel (INOX), 1980 mm, 3S (EPD Certified)</t>
  </si>
  <si>
    <t>901522</t>
  </si>
  <si>
    <t>Cover profile FSA 8900, AH2, matt anodised stainless steel (INOX), 2500 mm, bundle x 5 pcs. (EPD Certified)</t>
  </si>
  <si>
    <t>F-8955-02</t>
  </si>
  <si>
    <t>Cover profile FSA 8900, AH2, matt anodised stainless steel (INOX), 1980 mm, 4S (EPD Certified)</t>
  </si>
  <si>
    <t>901523</t>
  </si>
  <si>
    <t>Cover profile FSA 8900, AH2, black C35 matt anodised, 2500 mm, bundle x 5 pcs. (EPD Certified)</t>
  </si>
  <si>
    <t>F-8953-02</t>
  </si>
  <si>
    <t>Cover profile FSA 8900, AH2, matt anodised stainless steel (INOX), per running metre (EPD Certified)</t>
  </si>
  <si>
    <t>F-8962-02</t>
  </si>
  <si>
    <t>Cover profile FSA 8900, AH20, black C35 matt anodised, 1980 mm, 3S (EPD Certified)</t>
  </si>
  <si>
    <t>F-8965-02</t>
  </si>
  <si>
    <t>Cover profile FSA 8900, AH2, black C35 matt anodised, 1980 mm, 4S (EPD Certified)</t>
  </si>
  <si>
    <t>F-8963-02</t>
  </si>
  <si>
    <t>Cover profile FSA 8900, AH2, black C35 matt anodised, per running metre (EPD Certified)</t>
  </si>
  <si>
    <t>F-8992-02</t>
  </si>
  <si>
    <t>Cover profile FSA 8900, AH2, RAL/EURAS of your choice, 1980 mm, 3S (EPD Certified)</t>
  </si>
  <si>
    <t>F-8995-02</t>
  </si>
  <si>
    <t>Cover profile FSA 8900, AH2, RAL/EURAS of your choice, 1980 mm, 4S (EPD Certified)</t>
  </si>
  <si>
    <t>F-8993-02</t>
  </si>
  <si>
    <t>Cover profile FSA 8900, AH2, RAL/EURAS of your choice, per running metre (EPD Certified)</t>
  </si>
  <si>
    <t>F-8912-01</t>
  </si>
  <si>
    <t>Cover profile FSA 8900, AG1, silver anodised EV1, 1980 mm (EPD Certified)</t>
  </si>
  <si>
    <t>F-8913-01</t>
  </si>
  <si>
    <t>Cover profile FSA 8900, AG1, silver anodised EV1, made to measure (EPD Certified)</t>
  </si>
  <si>
    <t>F-8922-01</t>
  </si>
  <si>
    <t>Cover profile FSA 8900, AG1, RAL 9016, 1980 mm (EPD Certified)</t>
  </si>
  <si>
    <t>F-8923-01</t>
  </si>
  <si>
    <t>Cover profile FSA 8900, AG1, RAL 9016, made to measure (EPD Certified)</t>
  </si>
  <si>
    <t>F-8952-01</t>
  </si>
  <si>
    <t>Cover profile FSA 8900, AG1, stainless steel satin anodised (INOX), 1980 mm (EPD Certified)</t>
  </si>
  <si>
    <t>F-8953-01</t>
  </si>
  <si>
    <t>Cover profile FSA 8900, AG1, stainless steel satin anodised (INOX), made to measure (EPD Certified)</t>
  </si>
  <si>
    <t>F-8962-01</t>
  </si>
  <si>
    <t>Cover profile FSA 8900, AG1, black C35 satin anodised, 1980 mm (EPD Certified)</t>
  </si>
  <si>
    <t>F-8963-01</t>
  </si>
  <si>
    <t>Cover profile FSA 8900, AG1, black C35 satin anodised, made to measure (EPD Certified)</t>
  </si>
  <si>
    <t>F-8992-01</t>
  </si>
  <si>
    <t>Cover profile FSA 8900, AG1, RAL / EURAS (at choice), 1980 mm (EPD Certified)</t>
  </si>
  <si>
    <t>F-8993-01</t>
  </si>
  <si>
    <t>Cover profile FSA 8900, AG1, RAL / EURAS (at choice), made to measure (EPD Certified)</t>
  </si>
  <si>
    <t>Gulli</t>
  </si>
  <si>
    <t>Planet KT, FH+RD (fire retardant+smoke-shielding), 710 mm (EPD Certified)</t>
  </si>
  <si>
    <t>Planet KT, RD (smoke-shielding), 710 mm (EPD Certified)</t>
  </si>
  <si>
    <t>Planet KT, FH+RD (fire retardant+smoke-shielding), 835 mm (EPD Certified)</t>
  </si>
  <si>
    <t>Planet KT, RD (smoke-shielding), 835 mm (EPD Certified)</t>
  </si>
  <si>
    <t>Planet KT, FH+RD (fire retardant+smoke-shielding), 960 mm (EPD Certified)</t>
  </si>
  <si>
    <t>Planet KT, RD (smoke-shielding), 960 mm (EPD Certified)</t>
  </si>
  <si>
    <t>Planet KT, FH+RD (fire retardant+smoke-shielding), 1085 mm (EPD Certified)</t>
  </si>
  <si>
    <t>Planet KT, RD (smoke-shielding), 1085 mm (EPD Certified)</t>
  </si>
  <si>
    <t>Planet KT, FH+RD (fire retardant+smoke-shielding), 1210 mm (EPD Certified)</t>
  </si>
  <si>
    <t>Planet KT, RD (smoke-shielding), 1210 mm (EPD Certified)</t>
  </si>
  <si>
    <t>Planet KT, FH+RD (fire retardant+smoke-shielding), 1335 mm (EPD Certified)</t>
  </si>
  <si>
    <t>Planet KT, RD (smoke-shielding), 1335 mm (EPD Certified)</t>
  </si>
  <si>
    <t>Planet KT, RD (smoke-shielding), 1460 mm (EPD Certified)</t>
  </si>
  <si>
    <t>Master Price List - Roger</t>
  </si>
  <si>
    <t>Product Category - Electronic Key Cabinet</t>
  </si>
  <si>
    <t>RG</t>
  </si>
  <si>
    <t>RKD32-EN</t>
  </si>
  <si>
    <t>GRAY</t>
  </si>
  <si>
    <t>Electronic key cabinet with 7” touch control panel; 32 RFID ID fobs; key fobs attached to keys by user; glazed door; 230 VAC</t>
  </si>
  <si>
    <t>RKD32-SE</t>
  </si>
  <si>
    <t>Electronic key cabinet with 10-inch touch control panel and MIFARE® reader; 32 RFID ID fobs; key fobs attached to keys by user; glazed door; 230 VAC power supply</t>
  </si>
  <si>
    <t>RKD32EXT</t>
  </si>
  <si>
    <t>Electronic key cabinet without control panel; 32 RFID ID fobs; key fobs attached to keys by user; glazed door; external 12 V</t>
  </si>
  <si>
    <t>RKD32-24-EN</t>
  </si>
  <si>
    <t>Electronic key cabinet with 7” touch control panel; version with 24 key slots; 24 RFID ID fobs; key fobs attached to keys by user; glazed door; 230 VAC</t>
  </si>
  <si>
    <t>RKD32-SE-24</t>
  </si>
  <si>
    <t>Electronic key cabinet with 10-inch touch control panel and MIFARE® reader; version with 24 key slots; 24 RFID ID fobs; key fobs attached to keys by user; glazed door; 230 VAC power supply</t>
  </si>
  <si>
    <t>RKD32EXT-24</t>
  </si>
  <si>
    <t>Electronic key cabinet without control panel; version with 24 key slots; 24 RFID ID fobs; key fobs  attached to keys by user; glazed door; external 12 V</t>
  </si>
  <si>
    <t>RKD32-16-EN</t>
  </si>
  <si>
    <t>Electronic key cabinet with 7” touch control panel; version with 16 key slots; 16 RFID ID fobs; key fobs attached to keys by user; glazed door; 230 VAC</t>
  </si>
  <si>
    <t>RKD32-SE-16</t>
  </si>
  <si>
    <t>Electronic key cabinet with 10-inch touch control panel and MIFARE® reader; version with 16 key slots; 16 RFID ID fobs; key fobs attached to keys by user; glazed door; 230 VAC power supply</t>
  </si>
  <si>
    <t>RKD32EXT-16</t>
  </si>
  <si>
    <t>Electronic key cabinet without control panel; version with 16 key slots; 16 RFID ID fobs; key fobs  attached to keys by user; glazed door; external 12 V</t>
  </si>
  <si>
    <t>RKD32-8-EN</t>
  </si>
  <si>
    <t>Electronic key cabinet with 7” touch control panel; version with 8 slots; 8 RFID ID fobs; key fobs attached to keys by user; glazed door; 230 VAC</t>
  </si>
  <si>
    <t>RKD32-SE-8</t>
  </si>
  <si>
    <t>Electronic key cabinet with 10-inch touch control panel and MIFARE® reader; version with 8 slots; 8 RFID ID fobs; key fobs attached to keys by user; glazed door; 230 VAC power supply</t>
  </si>
  <si>
    <t>RKD32EXT-8</t>
  </si>
  <si>
    <t>Electronic key cabinet without control panel; version with 8 key slots; 8 RFID ID fobs; key fobs  attached to keys by user; glazed door; external 12 V</t>
  </si>
  <si>
    <t>RKD24CT-EN</t>
  </si>
  <si>
    <t>Electronic key cabinet with individual key containers and 7” touch control panel; 24 RFID ID fobs; key fobs attached to keys by user; 230 VAC</t>
  </si>
  <si>
    <t>RKD24CT-SE</t>
  </si>
  <si>
    <t>Electronic key cabinet with individual key containers, 10-inch touch control panel and MIFARE® reader; 24 RFID ID fobs; key fobs attached to keys by user; 230 VAC power supply</t>
  </si>
  <si>
    <t>RKD24CT-EXT</t>
  </si>
  <si>
    <t>Electronic key cabinet with individual key containers and without control panel; 24 RFID ID fobs; key fobs attached to keys by user; 230 VAC</t>
  </si>
  <si>
    <t>RKD24CT-16-EN</t>
  </si>
  <si>
    <t>Electronic key cabinet with individual key containers and 7” touch control panel; version with 16 key containers; 16 RFID ID fobs; key fobs attached to keys by user; 230 VAC</t>
  </si>
  <si>
    <t>RKD24CT-SE-16</t>
  </si>
  <si>
    <t>Electronic key cabinet with individual key containers, 10-inch touch control panel and MIFARE® reader; version with 16 key containers; 16 RFID ID fobs; key fobs attached to keys by user; 230 VAC power supply</t>
  </si>
  <si>
    <t>RKD24CT-EXT-16</t>
  </si>
  <si>
    <t>Electronic key cabinet with individual key containers and without control panel; version with 16 key containers; 16 RFID ID fobs; key fobs attached to keys by user; 230 VAC</t>
  </si>
  <si>
    <t>RKD24CT-8-EN</t>
  </si>
  <si>
    <t>Electronic key cabinet with individual key containers and 7” touch control panel; version with 8 key lockers; 8 RFID ID fobs; key fobs attached to keys by user; 230 VAC</t>
  </si>
  <si>
    <t>RKD24CT-SE-8</t>
  </si>
  <si>
    <t>Electronic key cabinet with individual key containers, 10-inch touch control panel and MIFARE® reader; version with 8 key lockers; 8 RFID ID fobs; key fobs attached to keys by user; 230 VAC power supply</t>
  </si>
  <si>
    <t>RKD24CT-EXT-8</t>
  </si>
  <si>
    <t>Electronic key cabinet with individual key containers and without control panel; version with 8 key containers; 8 RFID ID fobs; key fobs attached to keys by user; 230 VAC</t>
  </si>
  <si>
    <t>SG Option</t>
  </si>
  <si>
    <t>Special version; anti-burglary class P2 glass; the option is offered for the RKD32 and RKD32EXT versions; excludes SH, SD and ND options</t>
  </si>
  <si>
    <t>SH Option</t>
  </si>
  <si>
    <t>Special version; electronically controlled roller shutter instead of a door; the option is offered for the RKD32 and RKD32EXT versions; excludes ND, SD and SG option</t>
  </si>
  <si>
    <t>SD Option</t>
  </si>
  <si>
    <t>Special version; blind doors, without glass window; the option is offered for the RKD32 and RKD32EXT versions; excludes ND, SH, and SG options</t>
  </si>
  <si>
    <t>ND Option</t>
  </si>
  <si>
    <t>Special version; without a door; the option is offered for the RKD32 and RKD32EXT versions; excludes the SH, SD and SG options</t>
  </si>
  <si>
    <t>MK Option</t>
  </si>
  <si>
    <t>Special version; the Master Key system; the option is offered for the RKD32, RKD32EXT, RKD24CT and RKD24CT-EXT versions</t>
  </si>
  <si>
    <t>RKD32-MK-KEY</t>
  </si>
  <si>
    <t>BLACK</t>
  </si>
  <si>
    <t>Set of 2 keys for the Master Key cylinder</t>
  </si>
  <si>
    <t>RKD32KF</t>
  </si>
  <si>
    <t>RFID keyfob; 5 pcs</t>
  </si>
  <si>
    <t>RCC512</t>
  </si>
  <si>
    <t>Cabinet access controller for 512 cabinets; 7” touch control panel; stand-alone operation only</t>
  </si>
  <si>
    <t>RCC512-O</t>
  </si>
  <si>
    <t xml:space="preserve">Cabinet access controller for 512 cabinets; 10” touch control panel; stand-alone operation only </t>
  </si>
  <si>
    <t>RKD32-AW-LIC</t>
  </si>
  <si>
    <t>Web management application license; the license is required for each RKD32/RKD32EXT/RKD24CT/RKD24CT-EXT key cabinet; enables management of the system from web browser</t>
  </si>
  <si>
    <t>RKD32-VISO-LIC</t>
  </si>
  <si>
    <t>License for VISO EX software limited to the management of RKD32 key cabinet; the license is required for each RKD32/RKD32EXT/ RKD24CT/RKD24CT-EXT key cabinet</t>
  </si>
  <si>
    <t>RCC512-AW-LIC</t>
  </si>
  <si>
    <t>Web management application license; enables management of the system from web browser</t>
  </si>
  <si>
    <t>RCC512-1C-LIC</t>
  </si>
  <si>
    <t>Single cabinet license</t>
  </si>
  <si>
    <t>Master Price List - Shenfei (AASF)</t>
  </si>
  <si>
    <t>Product Category - Door Closer</t>
  </si>
  <si>
    <t>AASF</t>
  </si>
  <si>
    <t>A120</t>
  </si>
  <si>
    <t>ACCESSORIES - MOUNTING PLATE</t>
  </si>
  <si>
    <t>830249000</t>
  </si>
  <si>
    <t>A122</t>
  </si>
  <si>
    <t>A153</t>
  </si>
  <si>
    <t>ACCESSORIES - DAMPER</t>
  </si>
  <si>
    <t>A154 S</t>
  </si>
  <si>
    <t>A187</t>
  </si>
  <si>
    <t>A152</t>
  </si>
  <si>
    <t>ACCESSORIES - HOLD OPEN CLIP</t>
  </si>
  <si>
    <t>DC110------9005</t>
  </si>
  <si>
    <t>TRADITIONAL OVERHEAD CLOSER EN3</t>
  </si>
  <si>
    <t>DC110------9016</t>
  </si>
  <si>
    <t>DC110------EV1-</t>
  </si>
  <si>
    <t>DC120</t>
  </si>
  <si>
    <t>TRADITIONAL OVERHEAD CLOSER EN2/3/4</t>
  </si>
  <si>
    <t>Closers</t>
  </si>
  <si>
    <t>DC120------EV1-</t>
  </si>
  <si>
    <t>DC120 Door Closer Body + BC + slide cover</t>
  </si>
  <si>
    <t>830260000</t>
  </si>
  <si>
    <t>DC135</t>
  </si>
  <si>
    <t>R&amp;P Closer W/ Slide arm EN 3 + BC - Fire rated</t>
  </si>
  <si>
    <t>DC200</t>
  </si>
  <si>
    <t>R&amp;P Closer W/O Arm EN 2-4 + BC</t>
  </si>
  <si>
    <t>DC300</t>
  </si>
  <si>
    <t>R&amp;P Closer W/O Arm EN 3-6 + BC</t>
  </si>
  <si>
    <t>DC3000 cam CM</t>
  </si>
  <si>
    <t>EXP market. DC3000 concealed mounted</t>
  </si>
  <si>
    <t>DC3000 cam SM</t>
  </si>
  <si>
    <t>EXP market, DC3000 surface mounted</t>
  </si>
  <si>
    <t>DCA121 Silver</t>
  </si>
  <si>
    <t>Acc. Pack - DC300 Tandem Closer - Mounting Plate, Spindle EN&gt;7</t>
  </si>
  <si>
    <t>DCL141-----EV1-</t>
  </si>
  <si>
    <t>FESTSTELLGESTÄNGE ALUFARBEN</t>
  </si>
  <si>
    <t>DCR-7003H</t>
  </si>
  <si>
    <t>concealed door closer; 90 degree Hold-Open; EN size 3; Max. door weight 65Kg; Max. door width 850mm; 45mm door thickness; Silver finish</t>
  </si>
  <si>
    <t>DOOR CLOSER - Size 3, HOLD OPEN (CONCEALED)</t>
  </si>
  <si>
    <t>G195</t>
  </si>
  <si>
    <t>Guide Rail For DC500 &amp; DC700 (ARM SOLD SEPARATLEY)</t>
  </si>
  <si>
    <t>L190</t>
  </si>
  <si>
    <t>Std Arm For DC200 &amp; DC300 (ARM SOLD SEPARATELY)</t>
  </si>
  <si>
    <t>L192 Std Arm</t>
  </si>
  <si>
    <t>YDC-3025</t>
  </si>
  <si>
    <t>surface mounted door closer; Adjustable (standard) arm; Non Hold-Open;  Complied with CE standard with Size EN2 - EN5; Max. door weight 20Kg - 100Kg; Max. door width 750mm up to 1200mm; N 1634.1:2000: 2 hours fire doors; With Backcheck function; With Parallel Arm bracket; Silver finish</t>
  </si>
  <si>
    <t>AA7516 RA</t>
  </si>
  <si>
    <t>ASSA ABLOY, ADJUSTABLE POWER 1-6, ANSI G1 Body, Regular Arm, PA Bracket.</t>
  </si>
  <si>
    <t xml:space="preserve"> AA7516 STA</t>
  </si>
  <si>
    <t>ASSA ABLOY, ADJUSTABLE POWER 1-6, ANSI G1 Body, Track Arm with HO Device</t>
  </si>
  <si>
    <t>DC140-----DEV1-</t>
  </si>
  <si>
    <t>Rack&amp; Pinion closer EN2/3/4 with STD arm</t>
  </si>
  <si>
    <t>Master Price List - TESA</t>
  </si>
  <si>
    <t>Product Category - Euro Cylinder, ANSI Cylinder, Mortise Lockcase, Exit Device, Door Closer, Lever Handle, ElMech Lock</t>
  </si>
  <si>
    <t>Talleres De Escoriaza SAU</t>
  </si>
  <si>
    <t>Euro Profile 
Cylinders</t>
  </si>
  <si>
    <t>TE</t>
  </si>
  <si>
    <t>AK6353510NAM</t>
  </si>
  <si>
    <t>NICKEL</t>
  </si>
  <si>
    <t>TK6 CYLINDER 35/10 HALF  MK (EPD Certified)</t>
  </si>
  <si>
    <t>NI</t>
  </si>
  <si>
    <t>8301.40</t>
  </si>
  <si>
    <t>AK6353535NAM</t>
  </si>
  <si>
    <t>TK6 CYLINDER 35/35 DOUBLE MK (EPD Certified)</t>
  </si>
  <si>
    <t>AK63B3535NAM</t>
  </si>
  <si>
    <t>TK6 CYLINDER 35B/35 THUMBTURN MK (EPD Certified)</t>
  </si>
  <si>
    <t>AK6353510LAM</t>
  </si>
  <si>
    <t>BRASS</t>
  </si>
  <si>
    <t>AK6353535LAM</t>
  </si>
  <si>
    <t>AK63B3535LAM</t>
  </si>
  <si>
    <t>ANSI Cylinder</t>
  </si>
  <si>
    <t>AK63BR112NMAM</t>
  </si>
  <si>
    <t>ANSI TK6 CYLINDER 1  1/2  MK (EPD Certified)</t>
  </si>
  <si>
    <t>AK63BR114NMAM</t>
  </si>
  <si>
    <t>ANSI TK6 CYLINDER 1  1/4  MK (EPD Certified)</t>
  </si>
  <si>
    <t>AK63BR118NMAM</t>
  </si>
  <si>
    <t>ANSI TK6 CYLINDER 1  1/8  MK (EPD Certified)</t>
  </si>
  <si>
    <t>AK63BR134NMAM</t>
  </si>
  <si>
    <t>ANSI TK6 CYLINDER 1  3/4  MK (EPD Certified)</t>
  </si>
  <si>
    <t>TX853510NAM</t>
  </si>
  <si>
    <t>TX80 CYLINDER 35/10 HALF  MK (EPD Certified)</t>
  </si>
  <si>
    <t>TX853535NAM</t>
  </si>
  <si>
    <t>TX80 CYLINDER 35/35 DOUBLE MK (EPD Certified)</t>
  </si>
  <si>
    <t>TX8B3535NAM</t>
  </si>
  <si>
    <t>TX80 CYLINDER 35B/35 THUMBTURN MK (EPD Certified)</t>
  </si>
  <si>
    <t>TX853510LAM</t>
  </si>
  <si>
    <t>TX853535LAM</t>
  </si>
  <si>
    <t>TX8B3535LAM</t>
  </si>
  <si>
    <t>TX8BR112NAM</t>
  </si>
  <si>
    <t>ANSI TX80 CYLINDER 1  1/2  MK (EPD Certified)</t>
  </si>
  <si>
    <t>TX8BR114NAM</t>
  </si>
  <si>
    <t>ANSI TX80 CYLINDER 1  1/4  MK (EPD Certified)</t>
  </si>
  <si>
    <t>TX8BR118NAM</t>
  </si>
  <si>
    <t>ANSI TX80 CYLINDER 1  1/8  MK (EPD Certified)</t>
  </si>
  <si>
    <t>TX8BR134NAM</t>
  </si>
  <si>
    <t>ANSI TX80 CYLINDER 1  3/4  MK (EPD Certified)</t>
  </si>
  <si>
    <t>T5NG353510N1</t>
  </si>
  <si>
    <t>TE5NG CYLINDER 35/10 HALF</t>
  </si>
  <si>
    <t>T5NG353535N1</t>
  </si>
  <si>
    <t>TE5NG CYLINDER 35/35 DOUBLE</t>
  </si>
  <si>
    <t>T5NG3B3535N1</t>
  </si>
  <si>
    <t>TE5NG CYLINDER 35B/35 THUMBTURN</t>
  </si>
  <si>
    <t>T5NG353510L1</t>
  </si>
  <si>
    <t>T5NG353535L1</t>
  </si>
  <si>
    <t>T5NG3B3535L1</t>
  </si>
  <si>
    <t>403060AI</t>
  </si>
  <si>
    <t>STAINLESS STEEL</t>
  </si>
  <si>
    <t>2030 MORTISE SASHLOCK 60 BACKSET (EPD Certified)</t>
  </si>
  <si>
    <t>403060NE</t>
  </si>
  <si>
    <t>403060LP</t>
  </si>
  <si>
    <t>POLISHED BRASS</t>
  </si>
  <si>
    <t>203460AI</t>
  </si>
  <si>
    <t>2030 MORTISE PRIVACY LOCK 60 BACKSET (EPD Certified)</t>
  </si>
  <si>
    <t>2035E60AI</t>
  </si>
  <si>
    <t>2030 MORTISE PASSAGE LOCK 60 BACKSET (EPD Certified)</t>
  </si>
  <si>
    <t>2035F60AI</t>
  </si>
  <si>
    <t>2030 MORTISE PASSAGE LOCK 60 BACKSET (FIRE) (EPD Certified)</t>
  </si>
  <si>
    <t>4030FRS60AI</t>
  </si>
  <si>
    <t>2030 MORTISE PANIC LOCK 60 B. (FIRE) (EPD Certified)</t>
  </si>
  <si>
    <t>4030FRS60NE</t>
  </si>
  <si>
    <t>4UB0FRS60AI</t>
  </si>
  <si>
    <t>2UB0F MORTISE PANIC SHASHLOCK 60 B. (FIRE) (EPD Certified)</t>
  </si>
  <si>
    <t>4UB1F60AI</t>
  </si>
  <si>
    <t>2UB0F MORTISE DEADLOCK 60 B. (FIRE) (EPD Certified)</t>
  </si>
  <si>
    <t>2UB5F60AI</t>
  </si>
  <si>
    <t>2UB0F MORTISE PASSAGE 60 BACKSET (FIRE) (EPD Certified)</t>
  </si>
  <si>
    <t>4UB0FRS70AI</t>
  </si>
  <si>
    <t>2UB0F MORTISE CLASSROOM FUNCTION (FIRE) (EPD Certified)</t>
  </si>
  <si>
    <t>4UB9F60AI</t>
  </si>
  <si>
    <t>2UB0F MORTISE  NIGHTLATCH (FIRE) (EPD Certified)</t>
  </si>
  <si>
    <t>4UB0FE60AI</t>
  </si>
  <si>
    <t>2UB0F MORTISE SASHLOCK 60B. (FIRE) (EPD Certified)</t>
  </si>
  <si>
    <t>CF6TRSR9ZCEROB</t>
  </si>
  <si>
    <t>ZINC STEEL</t>
  </si>
  <si>
    <t>CF60 FIRE LOCK (FOR MORTISE PANIC BAR) (EPD Certified)</t>
  </si>
  <si>
    <t>8302.41</t>
  </si>
  <si>
    <t>CDCF6089M</t>
  </si>
  <si>
    <t>SPLIT SPINDLE (FOR MORTISE PANIC BAR)</t>
  </si>
  <si>
    <t>TOP1S108GG</t>
  </si>
  <si>
    <t>SILVER</t>
  </si>
  <si>
    <t>TOP SERIES RIM PANIC BAR 1 LOCKING POINT (EPD Certified)</t>
  </si>
  <si>
    <t>TOP1S108IL16</t>
  </si>
  <si>
    <t>TOP3S108GG</t>
  </si>
  <si>
    <t>TOP SERIES SURFACE PANIC BAR 2 LOCKING POINT (EPD Certified)</t>
  </si>
  <si>
    <t>TOP3S108IL16</t>
  </si>
  <si>
    <t>TOP1E108GG</t>
  </si>
  <si>
    <t>TOP SERIES MORTISE PANIC BAR 1 LOCKING P. (EPD Certified)</t>
  </si>
  <si>
    <t>TOP1E108IL16</t>
  </si>
  <si>
    <t>TOPM1S108GG</t>
  </si>
  <si>
    <t>TOP SERIES MOTORIZED BAR 1 L.P. (EPD Certified)</t>
  </si>
  <si>
    <t>TOPM1S108IL16</t>
  </si>
  <si>
    <t>TOPM3S108GG</t>
  </si>
  <si>
    <t>TOP SERIES MOTORIZED BAR  2 LOCKING.P. (EPD Certified)</t>
  </si>
  <si>
    <t>TOPM3S108IL16</t>
  </si>
  <si>
    <t>GL1E909GG</t>
  </si>
  <si>
    <t>GLOBAL SERIES MORTISE PANIC BAR 1 L.P. (EPD Certified)</t>
  </si>
  <si>
    <t>GL1E909SI</t>
  </si>
  <si>
    <t>SATIN / STAINLESS ST.</t>
  </si>
  <si>
    <t>MMODMBSCGR</t>
  </si>
  <si>
    <t>MODULAR HANDLE FOR RIM PANIC BAR (EPD Certified)</t>
  </si>
  <si>
    <t>MMODMBSCSAT</t>
  </si>
  <si>
    <t>SATIN (SS LIKE)</t>
  </si>
  <si>
    <t>SDF92EXPL</t>
  </si>
  <si>
    <t>SENA HANDLE FOR MORTISE PANIC BAR (EPD Certified)</t>
  </si>
  <si>
    <t>SDF92EXIS16</t>
  </si>
  <si>
    <t>CT180034PL</t>
  </si>
  <si>
    <t>CT1800 EN3-4 DC  FIRE</t>
  </si>
  <si>
    <t>PAIR</t>
  </si>
  <si>
    <t>Taiwan/EMEIA</t>
  </si>
  <si>
    <t>CT250034PL</t>
  </si>
  <si>
    <t>CT2500 EN3-4 DC FIRE</t>
  </si>
  <si>
    <t>CT300036PL</t>
  </si>
  <si>
    <t>CT3000 EN3-6 DC FIRE (EPD Certified)</t>
  </si>
  <si>
    <t>CT300C36PL</t>
  </si>
  <si>
    <t>CT300 EN3-6 DELAY ACTION DC FIRE (EPD Certified)</t>
  </si>
  <si>
    <t>BN3000PL</t>
  </si>
  <si>
    <t>BN300 LINK ARM FOR CT3000 DC (EPD Certified)</t>
  </si>
  <si>
    <t>Lever Handle</t>
  </si>
  <si>
    <t>MS5R800IS16</t>
  </si>
  <si>
    <t>AISI316 SS</t>
  </si>
  <si>
    <t>SENA COMMERCIAL ROSE HANDLE (EPD Certified)</t>
  </si>
  <si>
    <t>MB0RBOMIS16</t>
  </si>
  <si>
    <t>SENA COMMERCIAL KEY ROSETTES (EPD Certified)</t>
  </si>
  <si>
    <t>MS0C885IS16</t>
  </si>
  <si>
    <t>SENA COMMERCIAL SQUARE PLATE 85 MM (EPD Certified)</t>
  </si>
  <si>
    <t>MS0C872IS16</t>
  </si>
  <si>
    <t>SENA COMMERCIAL SQUARE PLATE 72 MM (EPD Certified)</t>
  </si>
  <si>
    <t>MS5R800AM</t>
  </si>
  <si>
    <t>ANTI-MICROBIAL SS</t>
  </si>
  <si>
    <t>MB0RBOMAM</t>
  </si>
  <si>
    <t>MS0C885AM</t>
  </si>
  <si>
    <t>MS0C872AM</t>
  </si>
  <si>
    <t>MTF5R800IS16</t>
  </si>
  <si>
    <t>DOUBLE FIXED KNOB ROSETTE (EPD Certified)</t>
  </si>
  <si>
    <t>MSTFR800IS16</t>
  </si>
  <si>
    <t>HALF FIXED KNOB + ROSE HANDLE (EPD Certified)</t>
  </si>
  <si>
    <t>MT0C885IS16</t>
  </si>
  <si>
    <t>SQUARE PLATE DOUBLE ROT. KNOB (EPD Certified)</t>
  </si>
  <si>
    <t>MSTT885IS16</t>
  </si>
  <si>
    <t>SQUARE PLATE HORIZONTA PULL HANDLE 85MM (EPD Certified)</t>
  </si>
  <si>
    <t>MSTT80EMIS16</t>
  </si>
  <si>
    <t>FLUSH PULL SQUARE PLATE (EPD Certified)</t>
  </si>
  <si>
    <t>BISCFCE433IS16</t>
  </si>
  <si>
    <t>CE HINGES  4X3X3</t>
  </si>
  <si>
    <t>BISCFCE443IS16</t>
  </si>
  <si>
    <t>CE HINGES 4X4X3</t>
  </si>
  <si>
    <t>BISULM45434IS</t>
  </si>
  <si>
    <t>UL HINGES 4,5 X 4 X 3,4</t>
  </si>
  <si>
    <t>BISULM454534IS</t>
  </si>
  <si>
    <t>UL HINGES 4,5 X 4,5X 3,4</t>
  </si>
  <si>
    <t>CF6STRSR9ICEROB</t>
  </si>
  <si>
    <t>CF60 SOLENOID SERIES PANIC (EPD Certified)</t>
  </si>
  <si>
    <t>CF6STRSR9ZCEROB</t>
  </si>
  <si>
    <t>CEM300SS0E</t>
  </si>
  <si>
    <t>CEM300 EM LOCK 600LB  HALL (EPD Certified)</t>
  </si>
  <si>
    <t>8505.90</t>
  </si>
  <si>
    <t>CEM300SS0G</t>
  </si>
  <si>
    <t>CEM300 EM LOCK 600LB  HALL + REED (EPD Certified)</t>
  </si>
  <si>
    <t>CEM600SS0E</t>
  </si>
  <si>
    <t>CEM600 EM LOCK 1200LB  HALL (EPD Certified)</t>
  </si>
  <si>
    <t>CEM600SS0G</t>
  </si>
  <si>
    <t>CEM600 EM LOCK 1200LB  HALL + REED (EPD Certified)</t>
  </si>
  <si>
    <t>CEM600DS0G</t>
  </si>
  <si>
    <t>CEM600 2 X  EM LOCK 1200LB  HALL + REED (EPD Certified)</t>
  </si>
  <si>
    <t>GL1S908GN</t>
  </si>
  <si>
    <t>GREY / BLACK</t>
  </si>
  <si>
    <t>GLOBAL SERIES RIM PANIC BAR 1 LOCKING POINT (EPD Certified)</t>
  </si>
  <si>
    <t>GL2S908GN </t>
  </si>
  <si>
    <t>GLOBAL SERIES RIM PANIC BAR 2 LOCKING POINT (EPD Certified)</t>
  </si>
  <si>
    <t>8302.42</t>
  </si>
  <si>
    <t>TD6553030NAM</t>
  </si>
  <si>
    <t>Both Side Key 30x 30 - 60mm (EPD Certified)</t>
  </si>
  <si>
    <t>TD6553040LAM</t>
  </si>
  <si>
    <t>Both Side Key 30x 40 - 70mm (EPD Certified)</t>
  </si>
  <si>
    <t>TD6553050LAM</t>
  </si>
  <si>
    <t>Both Side Key 30x 50 - 80mm (EPD Certified)</t>
  </si>
  <si>
    <t>TD6553535NAM</t>
  </si>
  <si>
    <t>Both Side Key 35x 35 - 70mm (EPD Certified)</t>
  </si>
  <si>
    <t>TD6553545LAM</t>
  </si>
  <si>
    <t>Both Side Key 35x 45 - 80mm (EPD Certified)</t>
  </si>
  <si>
    <t>TD65B3030NAM</t>
  </si>
  <si>
    <t>One Side Key With Thumbturn 30x30 - 60mm (EPD Certified)</t>
  </si>
  <si>
    <t>TD65B3040LAM</t>
  </si>
  <si>
    <t>One Side Key With Thumbturn 30x40 - 70mm (EPD Certified)</t>
  </si>
  <si>
    <t>TD65B3050LAM</t>
  </si>
  <si>
    <t>One Side Key With Thumbturn 30x50 - 80mm (EPD Certified)</t>
  </si>
  <si>
    <t>Master Price List - Trimec</t>
  </si>
  <si>
    <t>Product Category - Electric Strike, Drop Bolt, Hook Lock, Electromagnetic Lock</t>
  </si>
  <si>
    <t>AAAU</t>
  </si>
  <si>
    <t>ES101</t>
  </si>
  <si>
    <t>China/Australia</t>
  </si>
  <si>
    <t>ES111</t>
  </si>
  <si>
    <t>ES150</t>
  </si>
  <si>
    <t>ES2000</t>
  </si>
  <si>
    <t>ES3000</t>
  </si>
  <si>
    <t>ES2600</t>
  </si>
  <si>
    <t>ES9000</t>
  </si>
  <si>
    <t>ES9100</t>
  </si>
  <si>
    <t>Electric Strike with Door Position Monitoring</t>
  </si>
  <si>
    <t>Bolts</t>
  </si>
  <si>
    <t>ES8100</t>
  </si>
  <si>
    <t xml:space="preserve"> Stainless Steel</t>
  </si>
  <si>
    <t>Bolt Accessories</t>
  </si>
  <si>
    <t>208000-000</t>
  </si>
  <si>
    <t>ES8000/ES8100 V-Lock Glass Door Kit</t>
  </si>
  <si>
    <t>Hook lock</t>
  </si>
  <si>
    <t>116001-000</t>
  </si>
  <si>
    <t>Aluminium / Stainless Steel</t>
  </si>
  <si>
    <t>ES6000 Hook Lock Morticed</t>
  </si>
  <si>
    <t>116001-010</t>
  </si>
  <si>
    <t>ES6000 Hook Lock Surface</t>
  </si>
  <si>
    <t>Lockwood</t>
  </si>
  <si>
    <t>LW</t>
  </si>
  <si>
    <t>3570ELM0SC</t>
  </si>
  <si>
    <t>Electric mortice lock</t>
  </si>
  <si>
    <t>Z4 Single Monitored</t>
  </si>
  <si>
    <t>Maglock</t>
  </si>
  <si>
    <t>Z4 Single Maglock Bracket</t>
  </si>
  <si>
    <t>Z4 Double Monitored</t>
  </si>
  <si>
    <t>Z4 Double Maglock Bracket</t>
  </si>
  <si>
    <t>Z8 Single Monitored</t>
  </si>
  <si>
    <t>Z8 Single Maglock Bracket</t>
  </si>
  <si>
    <t>Z8 Double Monitored</t>
  </si>
  <si>
    <t>Z8 Double Maglock Bracket</t>
  </si>
  <si>
    <t>5260/1SFDSC</t>
  </si>
  <si>
    <t>Chrome</t>
  </si>
  <si>
    <t>5260 Tubular latch, chrome plate finish</t>
  </si>
  <si>
    <t>Electric Dropbolt</t>
  </si>
  <si>
    <t>TB25 Dropbolt</t>
  </si>
  <si>
    <t>DROPBOLT - TB25 12-24VDC PTL - 25MM F/plate</t>
  </si>
  <si>
    <t>Singapore/Australia</t>
  </si>
  <si>
    <t>TB25KO Dropbolt</t>
  </si>
  <si>
    <t>DROPBOLT - TB25KO 12-24VDC PTL - 25mm F/P</t>
  </si>
  <si>
    <t>ES8203 Technilock</t>
  </si>
  <si>
    <t>ES8203 PTL - 30MM BACKSET</t>
  </si>
  <si>
    <t>Germany/Australia</t>
  </si>
  <si>
    <t>Master Price List - Unilock</t>
  </si>
  <si>
    <t>Product Category - Digital Locker Lock</t>
  </si>
  <si>
    <t>Digital Locker</t>
  </si>
  <si>
    <t>ML55RA</t>
  </si>
  <si>
    <t>Black/Silver</t>
  </si>
  <si>
    <t>Digital Locker Lock (Batteries included)</t>
  </si>
  <si>
    <t>BLK/SIL</t>
  </si>
  <si>
    <t>8301.30.0000</t>
  </si>
  <si>
    <t>ML55PA</t>
  </si>
  <si>
    <t>ML81PA B</t>
  </si>
  <si>
    <t>ML81PA W</t>
  </si>
  <si>
    <t>LL81RA B</t>
  </si>
  <si>
    <t>LL81RA W</t>
  </si>
  <si>
    <t>LL65BA BG</t>
  </si>
  <si>
    <t>Black/Gold</t>
  </si>
  <si>
    <t>BLK/GD</t>
  </si>
  <si>
    <t>LL65BA GS</t>
  </si>
  <si>
    <t>Gold/Silver</t>
  </si>
  <si>
    <t>GD/SIL</t>
  </si>
  <si>
    <t>LL65BA</t>
  </si>
  <si>
    <t>Black/Black</t>
  </si>
  <si>
    <t>BLK/BLK</t>
  </si>
  <si>
    <t>LL75BA</t>
  </si>
  <si>
    <t>LL83RA G</t>
  </si>
  <si>
    <t>GD</t>
  </si>
  <si>
    <t>LL83RA S</t>
  </si>
  <si>
    <t>LL86DA</t>
  </si>
  <si>
    <t>LL87AT</t>
  </si>
  <si>
    <t>Gray</t>
  </si>
  <si>
    <t>LL88RA</t>
  </si>
  <si>
    <t>LL9AR</t>
  </si>
  <si>
    <t>B11PS</t>
  </si>
  <si>
    <t>Biometric Lock-Handle</t>
  </si>
  <si>
    <t>Biometric Lock-Mounted</t>
  </si>
  <si>
    <t>Smart Cabinet Lock</t>
  </si>
  <si>
    <t>Master Price List - Valli</t>
  </si>
  <si>
    <t>Product Category - Handle</t>
  </si>
  <si>
    <t>Carlisle Brass</t>
  </si>
  <si>
    <t>VA</t>
  </si>
  <si>
    <t>H348 AB</t>
  </si>
  <si>
    <t>Antique Brass</t>
  </si>
  <si>
    <t>Handle H348, David Chipperfield, Fusital</t>
  </si>
  <si>
    <t>H348 MBPVD</t>
  </si>
  <si>
    <t>Matt Black PVD</t>
  </si>
  <si>
    <t>MBPVD</t>
  </si>
  <si>
    <t>H348 SBPVD</t>
  </si>
  <si>
    <t>Satin Brass PVD</t>
  </si>
  <si>
    <t>SBPVD</t>
  </si>
  <si>
    <t>H359 EDPVD</t>
  </si>
  <si>
    <t>Dark Bronze PVD</t>
  </si>
  <si>
    <t>Handle H359, SOM, Fusital</t>
  </si>
  <si>
    <t>EDPVD</t>
  </si>
  <si>
    <t>H359 PCPVD</t>
  </si>
  <si>
    <t>Polished Chrome PVD</t>
  </si>
  <si>
    <t>PCPVD</t>
  </si>
  <si>
    <t>H359 SBPVD</t>
  </si>
  <si>
    <t>H359 SNPVD</t>
  </si>
  <si>
    <t>Satin Nickel PVD</t>
  </si>
  <si>
    <t>SNPVD</t>
  </si>
  <si>
    <t>H378 AN</t>
  </si>
  <si>
    <t>Anthracite</t>
  </si>
  <si>
    <t>Handle H378, Yabu Pushelberg, Fusital</t>
  </si>
  <si>
    <t>AN</t>
  </si>
  <si>
    <t>H378 MBPVD</t>
  </si>
  <si>
    <t>H378 PCPVD</t>
  </si>
  <si>
    <t>H379 AB</t>
  </si>
  <si>
    <t>Handle H379, Antonio Citterio, Fusital</t>
  </si>
  <si>
    <t>H379 EDPVD</t>
  </si>
  <si>
    <t>H379 MBPVD</t>
  </si>
  <si>
    <t>H379 SBPVD</t>
  </si>
  <si>
    <t>H379 SNPVD</t>
  </si>
  <si>
    <t>H380 EDPVD</t>
  </si>
  <si>
    <t>Handle H380, Antonio Citterio, Fusital</t>
  </si>
  <si>
    <t>H380 PCPVD</t>
  </si>
  <si>
    <t>H380 SNPVD</t>
  </si>
  <si>
    <t>H383 AB</t>
  </si>
  <si>
    <t>Handle H383, Perkins&amp;Will, Fusital</t>
  </si>
  <si>
    <t>H383 MBPVD</t>
  </si>
  <si>
    <t>H383 PCPVD</t>
  </si>
  <si>
    <t>H383 SBPVD</t>
  </si>
  <si>
    <t>H1018 SQ AB</t>
  </si>
  <si>
    <t>Handle H1018 SQ, Marius Schreyer, Fusital</t>
  </si>
  <si>
    <t>H1018 SQ MBPVD</t>
  </si>
  <si>
    <t>H1018 SQ SNPVD</t>
  </si>
  <si>
    <t>H1037 AB</t>
  </si>
  <si>
    <t>Handle H1037, Teseo, Lab</t>
  </si>
  <si>
    <t>H1037 MBPVD</t>
  </si>
  <si>
    <t>H1037 PCPVD</t>
  </si>
  <si>
    <t>Polished Brass PVD</t>
  </si>
  <si>
    <t>H1050 MBPVD</t>
  </si>
  <si>
    <t>Handle H1050, Glasone, Lab</t>
  </si>
  <si>
    <t>H1050 PCPVD</t>
  </si>
  <si>
    <t>H1050 SBPVD</t>
  </si>
  <si>
    <t>H1054 EDPVD</t>
  </si>
  <si>
    <t>Handle H1054, W.W., Lab</t>
  </si>
  <si>
    <t>H1054 SBPVD</t>
  </si>
  <si>
    <t>H1054 SNPVD</t>
  </si>
  <si>
    <t>H1062 AB</t>
  </si>
  <si>
    <t>Handle H1062, Carmen, Lab</t>
  </si>
  <si>
    <t>H1062 EDPVD</t>
  </si>
  <si>
    <t>H1062 MBPVD</t>
  </si>
  <si>
    <t>H1062 PCPVD</t>
  </si>
  <si>
    <t>H1062 SBPVD</t>
  </si>
  <si>
    <t>H1062 SNPVD</t>
  </si>
  <si>
    <t>K1101 AB</t>
  </si>
  <si>
    <t>Euro Profile push-on round escutcheon</t>
  </si>
  <si>
    <t>K1101 AN</t>
  </si>
  <si>
    <t>K1101 EDPVD</t>
  </si>
  <si>
    <t>K1101 MBPVD</t>
  </si>
  <si>
    <t>K1101 PCPVD</t>
  </si>
  <si>
    <t>K1101 PBPVD</t>
  </si>
  <si>
    <t>PBPVD</t>
  </si>
  <si>
    <t>K1101 SBPVD</t>
  </si>
  <si>
    <t>K1101 SNPVD</t>
  </si>
  <si>
    <t>K1103 AB</t>
  </si>
  <si>
    <t>Lock Profile push-on round escutcheon</t>
  </si>
  <si>
    <t>K1103 AN</t>
  </si>
  <si>
    <t>K1103 EDPVD</t>
  </si>
  <si>
    <t>K1103 MBPVD</t>
  </si>
  <si>
    <t>K1103 PCPVD</t>
  </si>
  <si>
    <t>K1103 PBPVD</t>
  </si>
  <si>
    <t>K1103 SBPVD</t>
  </si>
  <si>
    <t>K1103 SNPVD</t>
  </si>
  <si>
    <t>K1101 SQ AB</t>
  </si>
  <si>
    <t>Euro Profile push-on square escutcheon</t>
  </si>
  <si>
    <t>K1101 SQ AN</t>
  </si>
  <si>
    <t>K1101 SQ EDPVD</t>
  </si>
  <si>
    <t>K1101 SQ MBPVD</t>
  </si>
  <si>
    <t>K1101 SQ PCPVD</t>
  </si>
  <si>
    <t>K1101 SQ PBPVD</t>
  </si>
  <si>
    <t>K1101 SQ SBPVD</t>
  </si>
  <si>
    <t>K1101 SQ SNPVD</t>
  </si>
  <si>
    <t>K1103 SQ AB</t>
  </si>
  <si>
    <t>Lock Profile push-on square escutcheon</t>
  </si>
  <si>
    <t>K1103 SQ AN</t>
  </si>
  <si>
    <t>K1103 SQ EDPVD</t>
  </si>
  <si>
    <t>K1103 SQ MBPVD</t>
  </si>
  <si>
    <t>K1103 SQ PCPVD</t>
  </si>
  <si>
    <t>K1103 SQ PBPVD</t>
  </si>
  <si>
    <t>K1103 SQ SBPVD</t>
  </si>
  <si>
    <t>K1103 SQ SNPVD</t>
  </si>
  <si>
    <t>K1104 AB</t>
  </si>
  <si>
    <t>Turn &amp; Release screw-on round rosette</t>
  </si>
  <si>
    <t>K1104 AN</t>
  </si>
  <si>
    <t>K1104 EDPVD</t>
  </si>
  <si>
    <t>K1104 MBPVD</t>
  </si>
  <si>
    <t>K1104 PCPVD</t>
  </si>
  <si>
    <t>K1104 PBPVD</t>
  </si>
  <si>
    <t>K1104 SBPVD</t>
  </si>
  <si>
    <t>K1104 SNPVD</t>
  </si>
  <si>
    <t>K1104 SQ AB</t>
  </si>
  <si>
    <t>Turn &amp; Release screw-on square rosette</t>
  </si>
  <si>
    <t>K1104 SQ AN</t>
  </si>
  <si>
    <t>K1104 SQ EDPVD</t>
  </si>
  <si>
    <t>K1104 SQ MBPVD</t>
  </si>
  <si>
    <t>K1104 SQ PCPVD</t>
  </si>
  <si>
    <t>K1104 SQ PBPVD</t>
  </si>
  <si>
    <t>K1104 SQ SBPVD</t>
  </si>
  <si>
    <t>K1104 SQ SNPVD</t>
  </si>
  <si>
    <t>SQ AB</t>
  </si>
  <si>
    <t>Square rosette cover pack</t>
  </si>
  <si>
    <t>SQ AN</t>
  </si>
  <si>
    <t>SQ EDPVD</t>
  </si>
  <si>
    <t>SQ MBPVD</t>
  </si>
  <si>
    <t>SQ PCPVD</t>
  </si>
  <si>
    <t>SQ PBPVD</t>
  </si>
  <si>
    <t>SQ SBPVD</t>
  </si>
  <si>
    <t>SQ SNPVD</t>
  </si>
  <si>
    <t>K1200 AB</t>
  </si>
  <si>
    <t>Hat &amp; coat hook</t>
  </si>
  <si>
    <t>K1200 AN</t>
  </si>
  <si>
    <t>K1200 EDPVD</t>
  </si>
  <si>
    <t>K1200 MBPVD</t>
  </si>
  <si>
    <t>K1200 PCPVD</t>
  </si>
  <si>
    <t>K1200 PBPVD</t>
  </si>
  <si>
    <t>K1200 SBPVD</t>
  </si>
  <si>
    <t>K1200 SNPVD</t>
  </si>
  <si>
    <t>K1300 AB</t>
  </si>
  <si>
    <t>Wall mounted door stopper - plain</t>
  </si>
  <si>
    <t>K1300 AN</t>
  </si>
  <si>
    <t>K1300 EDPVD</t>
  </si>
  <si>
    <t>K1300 MBPVD</t>
  </si>
  <si>
    <t>K1300 PCPVD</t>
  </si>
  <si>
    <t>K1300 PBPVD</t>
  </si>
  <si>
    <t>K1300 SBPVD</t>
  </si>
  <si>
    <t>K1300 SNPVD</t>
  </si>
  <si>
    <t>K1301 AB</t>
  </si>
  <si>
    <t>Wall mounted door stopper - knurled</t>
  </si>
  <si>
    <t>K1301 AN</t>
  </si>
  <si>
    <t>K1301 EDPVD</t>
  </si>
  <si>
    <t>K1301 MBPVD</t>
  </si>
  <si>
    <t>K1301 PCPVD</t>
  </si>
  <si>
    <t>K1301 PBPVD</t>
  </si>
  <si>
    <t>K1301 SBPVD</t>
  </si>
  <si>
    <t>K1301 SNPVD</t>
  </si>
  <si>
    <t>K1400 AB</t>
  </si>
  <si>
    <t>K1400 AN</t>
  </si>
  <si>
    <t>K1400 EDPVD</t>
  </si>
  <si>
    <t>K1400 MBPVD</t>
  </si>
  <si>
    <t>K1400 PCPVD</t>
  </si>
  <si>
    <t>K1400 PBPVD</t>
  </si>
  <si>
    <t>K1400 SBPVD</t>
  </si>
  <si>
    <t>K1400 SNPVD</t>
  </si>
  <si>
    <t>K1401 AB</t>
  </si>
  <si>
    <t>K1401 AN</t>
  </si>
  <si>
    <t>K1401 EDPVD</t>
  </si>
  <si>
    <t>K1401 MBPVD</t>
  </si>
  <si>
    <t>K1401 PCPVD</t>
  </si>
  <si>
    <t>K1401 PBPVD</t>
  </si>
  <si>
    <t>K1401 SBPVD</t>
  </si>
  <si>
    <t>K1401 SNPVD</t>
  </si>
  <si>
    <t>K1500 AB</t>
  </si>
  <si>
    <t>Round sliding door kit</t>
  </si>
  <si>
    <t>K1500 AN</t>
  </si>
  <si>
    <t>K1500 EDPVD</t>
  </si>
  <si>
    <t>K1500 MBPVD</t>
  </si>
  <si>
    <t>K1500 PCPVD</t>
  </si>
  <si>
    <t>K1500 PBPVD</t>
  </si>
  <si>
    <t>K1500 SBPVD</t>
  </si>
  <si>
    <t>K1500 SNPVD</t>
  </si>
  <si>
    <t>Master Price List - Atnesis</t>
  </si>
  <si>
    <t>Product Category - Electromagnetic Lock</t>
  </si>
  <si>
    <t>UL275BWM-SL</t>
  </si>
  <si>
    <t>Aluminium Housing, Steel, PCBA, Copper Coil.</t>
  </si>
  <si>
    <t>EM Lock 600 with LED, built in Reed Switch for Door Status Monitoring function, built in Bond Sensor for Lock Status Monitoring function. 12/24Vdc selectable.</t>
  </si>
  <si>
    <t>8301 40 2000</t>
  </si>
  <si>
    <t>≥ 100</t>
  </si>
  <si>
    <t>Ex. Stock or 4-6 weeks</t>
  </si>
  <si>
    <t>UL275-SK</t>
  </si>
  <si>
    <t>EM Lock 600 with LED Lens, built in Bond Sensor for Lock Status Monitoring function. 12/24Vdcselectable.</t>
  </si>
  <si>
    <t>≥ 250</t>
  </si>
  <si>
    <t>UL275-SLMC</t>
  </si>
  <si>
    <t>EM Lock 600 with LED, built in Magnetic Contact for Door Status Monitoring function, built in Bond Sensor for Lock Status Monitoring function. 12/24Vdc selectable.</t>
  </si>
  <si>
    <t>UL275-SMC</t>
  </si>
  <si>
    <t>EM Lock 600, built in Magnetic Contact for Door Status Monitoring function. 12/24Vdc Selectable.</t>
  </si>
  <si>
    <t>600-SL-ASB</t>
  </si>
  <si>
    <t>EM Lock 600 with LED, built in Bond Sensor for Lock Status Monitoring function. 12/24Vdcselectable.</t>
  </si>
  <si>
    <t>600-DL-ASB</t>
  </si>
  <si>
    <t>Double EM Lock 600 with LED, built in Bond Sensor for Lock Status Monitoring function. 12/24Vdcselectable.</t>
  </si>
  <si>
    <t>≥ 10</t>
  </si>
  <si>
    <t>UL275BWM-DL</t>
  </si>
  <si>
    <t>Double EM Lock 600 with LED, built in Reed Switch for Door Status Monitoring function, built in Bond Sensor for Lock Status Monitoring function. 12/24Vdc selectable.</t>
  </si>
  <si>
    <t>UL275-DLMC</t>
  </si>
  <si>
    <t>Double EM Lock 600 with LED, built in Magnetic Contact for Door Status Monitoring function, built in Bond Sensor for Lock Status Monitoring function. 12/24Vdc selectable.</t>
  </si>
  <si>
    <t>UL275-DMC</t>
  </si>
  <si>
    <t>Double EM Lock 600, built in Magnetic Contact for Door Status Monitoring function. 12/24Vdc Selectable.</t>
  </si>
  <si>
    <t>1200-SL-ASB</t>
  </si>
  <si>
    <t>EM Lock 1200 with LED, built in Bond Sensor for Lock Status Monitoring function. 12/24Vdcselectable.</t>
  </si>
  <si>
    <t>1200-DL-ASB</t>
  </si>
  <si>
    <t>Double EM Lock 1200 with LED, built in Bond Sensor for Lock Status Monitoring function. 12/24Vdcselectable.</t>
  </si>
  <si>
    <t xml:space="preserve">: Manufacturer reserve the right to vary prices and rates in the event of changes in exchange rates </t>
  </si>
  <si>
    <t xml:space="preserve"> or price rises made by suppliers. All prices are subject to availability.</t>
  </si>
  <si>
    <t>Master Price List - Bircher</t>
  </si>
  <si>
    <t>Product Category - Sensors for Automatic Sliding/Swing Door Operators</t>
  </si>
  <si>
    <t>BBC Bircher</t>
  </si>
  <si>
    <t>Cleanswitch</t>
  </si>
  <si>
    <t>White/ Black (14 covers)</t>
  </si>
  <si>
    <t>Touchless activation and locking of automatic doors</t>
  </si>
  <si>
    <t>Dualsense S</t>
  </si>
  <si>
    <t>Black/ silver/ white</t>
  </si>
  <si>
    <t>Protection of secondary closing edges of sliding door</t>
  </si>
  <si>
    <t>Dualsense D</t>
  </si>
  <si>
    <t>2-in-1 Sensor for Sliding Doors (Radar + AIR)</t>
  </si>
  <si>
    <t>Futuresense</t>
  </si>
  <si>
    <t>Next-gen radar sensor with door learning &amp; advanced cross-trafficking</t>
  </si>
  <si>
    <t>Belgium</t>
  </si>
  <si>
    <t>Easyloop D</t>
  </si>
  <si>
    <t>Side-mounted activation &amp; presence radar sensor</t>
  </si>
  <si>
    <t>Spotscan</t>
  </si>
  <si>
    <t>AIR sensor – Single spot sized detection only</t>
  </si>
  <si>
    <t>Topscan 1.350 bk</t>
  </si>
  <si>
    <t>Safety sensor for swing door – spot-sized detection (single beam)</t>
  </si>
  <si>
    <t>Uniscan 1.350 bk</t>
  </si>
  <si>
    <t>Safety sensor for swing door – edge detection (8 beams)</t>
  </si>
  <si>
    <t>Solidsense</t>
  </si>
  <si>
    <t>Safety sensor for swing door – full-edge protection (maximum protection)</t>
  </si>
  <si>
    <t>Master Price List - Camax</t>
  </si>
  <si>
    <t>Product Category - Hinges, Push Pulls, Door Handle, Others</t>
  </si>
  <si>
    <t>YCH3-120SS US32D</t>
  </si>
  <si>
    <t>US32D</t>
  </si>
  <si>
    <t>Concealed Hinge SS 3D Adjustable - 120kg, satin SS</t>
  </si>
  <si>
    <t>AA-3CH-04 US15</t>
  </si>
  <si>
    <t>US15</t>
  </si>
  <si>
    <t>3D Adjustable Concealed Hinge (Door Weight Up to 120kg)</t>
  </si>
  <si>
    <t>AA-3CH-04 US19</t>
  </si>
  <si>
    <t>CONCEALED HINGE ZINC ALLOY, LOADING RATE 80KG, MATT BLACK</t>
  </si>
  <si>
    <t>AA-3CH-05 BLANK US19</t>
  </si>
  <si>
    <t>SS304 Concealed hinge for door up to 120 kg, 3D adjustable</t>
  </si>
  <si>
    <t>AA-3CH-05 US19</t>
  </si>
  <si>
    <t>AA-3CH-05 US32D</t>
  </si>
  <si>
    <t>Push Pulls</t>
  </si>
  <si>
    <t>ADP-03C US32D</t>
  </si>
  <si>
    <t>D Type Single Side Entrance Handles 200X19mm, with cover plate, satin stainless steel</t>
  </si>
  <si>
    <t>ADSS-04 US32D</t>
  </si>
  <si>
    <t>SS304 Hex key security door bolt with brass latch, length 51mm</t>
  </si>
  <si>
    <t>AEH-04D US32D</t>
  </si>
  <si>
    <t>D Type Offset Square BTB Entrance Handles 1200mm</t>
  </si>
  <si>
    <t>AEH-13D US32D</t>
  </si>
  <si>
    <t>Pull handle, H type BTB, CC1000 x L1200, dia. 30mm, SS matt</t>
  </si>
  <si>
    <t>Lever trim</t>
  </si>
  <si>
    <t>YPE ACC004</t>
  </si>
  <si>
    <t>Yale Panic Exit Out Key in Lever Trim with fire rate, spindle worked with CMP301, ''YALE'' logo on keys</t>
  </si>
  <si>
    <t xml:space="preserve">Door coordinator </t>
  </si>
  <si>
    <t>AFDS-01 US32D</t>
  </si>
  <si>
    <t xml:space="preserve">Satinless steel door coordinator SS304, SATIN SS </t>
  </si>
  <si>
    <t>AFDS-02 US32D</t>
  </si>
  <si>
    <t>Lever handle</t>
  </si>
  <si>
    <t>ASP-003 US32D</t>
  </si>
  <si>
    <t>ASSA ABLOY ASP-003 long plate lever handle, satin finish  with ASSA ABLOY laser logo</t>
  </si>
  <si>
    <t>Door handle</t>
  </si>
  <si>
    <t>YPSL-101 US32D</t>
  </si>
  <si>
    <t xml:space="preserve">Solid Lever on square casting invisible screw hole Rose with stamping square escutcheon,inner is in steel base with zinc plating YALE laser logo and color box packig </t>
  </si>
  <si>
    <t>YPSL-111 US32D</t>
  </si>
  <si>
    <t xml:space="preserve"> Solid Lever on round casting invisible screw hole Rose with stamping round escutcheon,inner is steel base with zinc platingwith YALE laser logo and color box packig </t>
  </si>
  <si>
    <t>Pull handle</t>
  </si>
  <si>
    <t>YDB-04 US32D</t>
  </si>
  <si>
    <t>304ss ,dia: 25mm, c/c:200mm, length: 225mm, thickness:1.0mm，to wall                                   Handle only 1 side to install in door (code reference CHCP009)  ， Fill for Wooden door with Yale laser logo,white box packing</t>
  </si>
  <si>
    <t>YSL-031 US32D</t>
  </si>
  <si>
    <t xml:space="preserve">Stainless steel lever handle with PZ escutcheon in satin finishing,fit for 40-50mm door with 8X8X100 spindle </t>
  </si>
  <si>
    <t>YSP-156 US32D</t>
  </si>
  <si>
    <t xml:space="preserve">Stainless steel lever handle with CMF006 backplate in satin finishing,fit for 40-50mm door with 8X8X100 spindle </t>
  </si>
  <si>
    <t>YSL-031 US3</t>
  </si>
  <si>
    <t>US3</t>
  </si>
  <si>
    <t xml:space="preserve">Stainless steel lever handle with PZ escutcheon in polishing PVD finishing,fit for 40-50mm door with 8X8X100 spindle </t>
  </si>
  <si>
    <t>Polish brass with PVD</t>
  </si>
  <si>
    <t>YSL-031 US4</t>
  </si>
  <si>
    <t>US4</t>
  </si>
  <si>
    <t xml:space="preserve">Stainless steel lever handle with PZ escutcheon in satin PVD finishing,fit for 40-50mm door with 8X8X100 spindle </t>
  </si>
  <si>
    <t xml:space="preserve"> Satin brass with PVD</t>
  </si>
  <si>
    <t>YHPH-008 US32D</t>
  </si>
  <si>
    <t>YALE LEVER HANDLE LONG PLATE YHPH-008, SS304, SATIN SS with CC72mm both side hole for plate,with YALE logo</t>
  </si>
  <si>
    <t>YHPH-003 US32D</t>
  </si>
  <si>
    <t>YALE LEVER HANDLE LONG PLATE YHPH-003, SS304, SATIN SS with CC72mm both side hole for plate,with YALE logo</t>
  </si>
  <si>
    <t>YSPH-021 US32D</t>
  </si>
  <si>
    <t>YALE LEVER HANDLE LONG PLATE YHPH-021, SS304, SATIN SS with CC72mm both side hole for plate,with YALE logo</t>
  </si>
  <si>
    <t>YSPH-056 US32D</t>
  </si>
  <si>
    <t>YALE LEVER HANDLE LONG PLATE YHPH-056, SS304, SATIN SS with CC72mm both side hole for plate,with YALE logo</t>
  </si>
  <si>
    <t>YAF-007 US32D</t>
  </si>
  <si>
    <t>YALE AUTOMATIC FLUSH BOLT ECO, SS304, SATIN SS WITH YALE LOGO</t>
  </si>
  <si>
    <t>YAF-008 US32D</t>
  </si>
  <si>
    <t>YALE AUTOMATIC FLUSH BOLT FOR METAL DOOR, SS304, SATIN SS  WITH YALE LOGO</t>
  </si>
  <si>
    <t>YAF-009 US32D</t>
  </si>
  <si>
    <t>YALE AUTOMATIC FLUSH BOLT FOR TIMBER DOOR, SS304, SATIN SS WITH YALE LOGO</t>
  </si>
  <si>
    <t>Entrance Handle</t>
  </si>
  <si>
    <t>AEH-04D-US32D</t>
  </si>
  <si>
    <t>D TYPE OFFSET SQUARE BTB ENTRANCE HANDLES 25X25XCC1200XH60X1.2 fit for 12mm glass door or 38-50mm wooden door or alum.door with ASSA ABLOY LOGO</t>
  </si>
  <si>
    <t>YHPH-027 US32D</t>
  </si>
  <si>
    <t>YALE LEVER HANDLE LONG PLATE YHPH-027, SS304, SATIN SS with CC72mm both side hole for plate,with YALE logo</t>
  </si>
  <si>
    <t>AEH-04D-US32D (WB)</t>
  </si>
  <si>
    <t>D TYPE OFFSET SQUARE BTB ENTRANCE HANDLES 25X25XCC1200XH60X1.2 fit for 12mm glass door or 38-50mm wooden door or alum.door with ASSA ABLOY LOGO with white box packing</t>
  </si>
  <si>
    <t>YPSL-124 US32</t>
  </si>
  <si>
    <t>Tubular Lever On Rose With Escutcheons, SUS304, satin SS  with ASSA ABLOY laser logo with white box packing</t>
  </si>
  <si>
    <t>ATL-200 US32D - Solid Lever</t>
  </si>
  <si>
    <t xml:space="preserve">Solid Lever on square  casting invisible screw hole Rose with stamping square escutcheon,inner is in steel base with zinc platingwith YALE laser logo and white box pa ckig </t>
  </si>
  <si>
    <t>YDB-05 US32D</t>
  </si>
  <si>
    <t>304ss ,dia: 19mm, c/c:200mm, length: 219mm, thickness:1.0mm，to wall                                   Handle only 1 side to install in door (code reference CHCP009)  ， Fill for Wooden door with Yale laser logo white box packing</t>
  </si>
  <si>
    <t>ASL-061 US3</t>
  </si>
  <si>
    <t>Polishing Brass</t>
  </si>
  <si>
    <t>ASSA ABLOY ASL-061 LEVER HANDLE ON ROSE, POLISH with ASSA ABLOY laser logo</t>
  </si>
  <si>
    <t>ASL-031 US3</t>
  </si>
  <si>
    <t>ASSA ABLOY ASL-031 lever handle on rose, polish brass PVD finish  with ASSA ABLOY laser logo</t>
  </si>
  <si>
    <t>ASL-101 US3</t>
  </si>
  <si>
    <t>ASSA ABLOY ASL-101 lever handle on rose, polish brass PVD finish  with ASSA ABLOY laser logo</t>
  </si>
  <si>
    <t>ASP-002 US3</t>
  </si>
  <si>
    <t>ASSA ABLOY ASP-002 long plate lever handle, polish brass PVD finish  with ASSA ABLOY laser logo</t>
  </si>
  <si>
    <t>ASP-003 US3</t>
  </si>
  <si>
    <t>ASSA ABLOY ASP-003 long plate lever handle, polish brass PVD finish  with ASSA ABLOY laser logo</t>
  </si>
  <si>
    <t>AEH-13B US32D</t>
  </si>
  <si>
    <t>H TYPE BTB ENTRANCE HANDLES CC400 X L600, DIA.30  with ASSA ABLOY laser logo</t>
  </si>
  <si>
    <t>H TYPE BTB ENTRANCE HANDLES CC1000 X L1200, DIA.30  with ASSA ABLOY laser logo</t>
  </si>
  <si>
    <t>AEH-08B US32D</t>
  </si>
  <si>
    <t>D TYPE SQUARE BTB ENTRANCE HANDLES 25X1100MM  with ASSA ABLOY laser logo</t>
  </si>
  <si>
    <t xml:space="preserve">Tubular Lever </t>
  </si>
  <si>
    <t>ATL-200 US32D - Tuburlar Lever</t>
  </si>
  <si>
    <t>Tubular Lever On Rose With Escutcheons, SUS304, satin SS  with ASSA ABLOY laser logo</t>
  </si>
  <si>
    <t>Roller Bolt</t>
  </si>
  <si>
    <t>ABR-02 US32D</t>
  </si>
  <si>
    <t>MORTICE ADJUSTABLE ROLLER BOLT  with ASSA ABLOY laser logo</t>
  </si>
  <si>
    <t>ASL-040 US32D</t>
  </si>
  <si>
    <t>Solid Lever On Rose With Escutcheons, SUS304, satin SS  with ASSA ABLOY laser logo</t>
  </si>
  <si>
    <t>Sequence Selector</t>
  </si>
  <si>
    <t>AF-DS-03 US32D</t>
  </si>
  <si>
    <t>ASSA ABLOY SEQUENCE SELECTOR, SS304, SATIN SS</t>
  </si>
  <si>
    <t>ASP-004 US32D</t>
  </si>
  <si>
    <t>ASSA ABLOY LEVER HANDLE LONG PLATE ASP-004 US32D, SS304, SATIN SS with CC72mm both side hole for plate,with ASSA ABLOY logo</t>
  </si>
  <si>
    <t>ASP-005 US32D</t>
  </si>
  <si>
    <t>ASSA ABLOY LEVER HANDLE LONG PLATE ASP-005 US32D SS304, SATIN SS with CC72mm both side hole for plate,with ASSA ABLOY  logo</t>
  </si>
  <si>
    <t>ADP-12 US32D</t>
  </si>
  <si>
    <t xml:space="preserve">304ss ,dia: 32mm, c/c:600mm, length:632mm, thickness:1.0mm，to wall                                   Handle only 1 side to install in door (code reference CHCP009)  ， Fill for Wooden door with ASSA ABLOY laser logo </t>
  </si>
  <si>
    <t>AD300</t>
  </si>
  <si>
    <t>Assa Abloy offset pivot hinge, load capacity 320kg, SS 304 matt， with ASSA ABLOY laser logo</t>
  </si>
  <si>
    <t>AD300-2R</t>
  </si>
  <si>
    <t>Assa Abloy intermedia pivot hinge – RH, SS 304 matt,with ASSA ABLOY laser logo</t>
  </si>
  <si>
    <t>AD300-2L</t>
  </si>
  <si>
    <t>Assa Abloy intermedia pivot hinge – LH, SS 304 matt,with ASSA ABLOY laser logo</t>
  </si>
  <si>
    <t>Panic exit device</t>
  </si>
  <si>
    <t>CMP451-DE</t>
  </si>
  <si>
    <t>Panic exit device delay egress function, single point locking,with 12- 24V ,0.4M cable,with ASSA ABLOY laser logo fit for 36''inch door,door thickness 45-55mm</t>
  </si>
  <si>
    <t>CMP456-DE</t>
  </si>
  <si>
    <t>Panic exit device delay egress function, double point locking,with 12-24V,0.4M cable,with ASSA ABLOY laser logo  fit for 36''inch width door; door height 84''inch,door thickness 45-55mm</t>
  </si>
  <si>
    <t>CMP451-DE-REX</t>
  </si>
  <si>
    <t>Panic exit device delay egress and REX function, single point locking,with 12- 24V ,0.4M cable,with ASSA ABLOY laser logo fit for 36''inch door,door thickness 45-55mm</t>
  </si>
  <si>
    <t>CMP456-DE-REX</t>
  </si>
  <si>
    <t>Panic exit device delay egress and REX function, double point locking,with 12-24V,0.4M cable,with ASSA ABLOY laser logo  fit for 36''inch width door; door height 84''inch,door thickness 45-55mm</t>
  </si>
  <si>
    <t>Master Price List - Taiwan Daedalus</t>
  </si>
  <si>
    <t>* MOQ</t>
  </si>
  <si>
    <t>Taiwan Daedalus</t>
  </si>
  <si>
    <t>DC116</t>
  </si>
  <si>
    <t>R&amp;P surface mounted door closer EN3 Fire rated</t>
  </si>
  <si>
    <t>Set</t>
  </si>
  <si>
    <t>35~50</t>
  </si>
  <si>
    <t>DC703</t>
  </si>
  <si>
    <t>R&amp;P concealed door closer EN3 Fire rated</t>
  </si>
  <si>
    <t>DC803</t>
  </si>
  <si>
    <t>Cam-Motion concealed door closer EN 3 Fire rated</t>
  </si>
  <si>
    <t>DC804</t>
  </si>
  <si>
    <t>Cam-Motion concealed door closer EN 4 Fire rated</t>
  </si>
  <si>
    <t>DC901</t>
  </si>
  <si>
    <t>Cam-Motion concealed door closer EN 2-4 Fire rated</t>
  </si>
  <si>
    <t>AF503 SSS</t>
  </si>
  <si>
    <t>Floor spring Size 3 HO 90° - 105 kg - Single cylinder</t>
  </si>
  <si>
    <t xml:space="preserve">AF603 SSS </t>
  </si>
  <si>
    <t>Floor spring Size 3 HO 90° - 105 kg - Double cylinder</t>
  </si>
  <si>
    <t>AF604 SSS</t>
  </si>
  <si>
    <t>Floor spring Size 4 HO 90° - 150 kg - Double cylinder</t>
  </si>
  <si>
    <t xml:space="preserve">Taiwan Daedalus </t>
  </si>
  <si>
    <t xml:space="preserve">Door Closer </t>
  </si>
  <si>
    <t>DC116HO</t>
  </si>
  <si>
    <t xml:space="preserve">R&amp;P surface mounted door closer EN3, c/w HO arm </t>
  </si>
  <si>
    <t xml:space="preserve">Set </t>
  </si>
  <si>
    <t xml:space="preserve">DC280 SRHO SIL </t>
  </si>
  <si>
    <t xml:space="preserve">Silver </t>
  </si>
  <si>
    <t xml:space="preserve">R&amp;P surface mounted door closer EN2-5, c/w sliding track and arm </t>
  </si>
  <si>
    <t>DC280 SRHO BL</t>
  </si>
  <si>
    <t xml:space="preserve">Black </t>
  </si>
  <si>
    <t>DC280 SRHO MB</t>
  </si>
  <si>
    <t xml:space="preserve">Matt black </t>
  </si>
  <si>
    <t xml:space="preserve">R&amp;Psurface mounted door closer EN2-5, c/w sliding track and arm </t>
  </si>
  <si>
    <t xml:space="preserve">Yale </t>
  </si>
  <si>
    <t>DCR-504R</t>
  </si>
  <si>
    <t xml:space="preserve">R&amp;P surface mounted door closer EN3, c/w std arm </t>
  </si>
  <si>
    <t>DCR-8003H</t>
  </si>
  <si>
    <t xml:space="preserve">R&amp;P concealed door closer EN3, c/w sliding track and arm </t>
  </si>
  <si>
    <t>DCR-3003SH SLIM SSS</t>
  </si>
  <si>
    <t xml:space="preserve">R&amp;P surface mounted door closer EN3, c/w sliding track and arm </t>
  </si>
  <si>
    <t>YDC-2022</t>
  </si>
  <si>
    <t xml:space="preserve">R&amp;P surface mounted door closer EN2-4, c/w std arm </t>
  </si>
  <si>
    <t>YDC-2022 HO</t>
  </si>
  <si>
    <t>YDC-773</t>
  </si>
  <si>
    <t>YIC 3026A</t>
  </si>
  <si>
    <t xml:space="preserve">R&amp;P surface mounted door closer EN2-6, c/w std arm </t>
  </si>
  <si>
    <t>YIC 5333</t>
  </si>
  <si>
    <t>Cam-Motion concealed door closer EN3, Fire rated</t>
  </si>
  <si>
    <t>YIC 5333HO</t>
  </si>
  <si>
    <t>Cam-Motion concealed door closer EN3, HO</t>
  </si>
  <si>
    <t>YIC 5124</t>
  </si>
  <si>
    <t>Cam-Motion concealed door closer EN2-4, Fire rated</t>
  </si>
  <si>
    <t>YIC 5136</t>
  </si>
  <si>
    <t>Cam-Motion concealed door closer EN3-6, Fire rated</t>
  </si>
  <si>
    <t>FS-923</t>
  </si>
  <si>
    <t>FS-934</t>
  </si>
  <si>
    <t>AC-300TB</t>
  </si>
  <si>
    <t>Top &amp; bottom arm for floor spring, double action</t>
  </si>
  <si>
    <t>AF603 US32D</t>
  </si>
  <si>
    <t>AF603-COVER US19</t>
  </si>
  <si>
    <t>FLOOR SPRING COVER, MATT BLACK</t>
  </si>
  <si>
    <t>AF603-COVER US3</t>
  </si>
  <si>
    <t>FLOOR SPRING COVER, POLISH BRASS</t>
  </si>
  <si>
    <t>AF604 NH US32D</t>
  </si>
  <si>
    <t>FLOOR SPRING SIZE 4, NONE HOLD OPEN - 150 KG - DOUBLE ACTION</t>
  </si>
  <si>
    <t>AF604 US32D</t>
  </si>
  <si>
    <t>AF605 US32D</t>
  </si>
  <si>
    <t>Floor spring AF605, EN5, hold open function, double action, SS cover plate, w/o accessories</t>
  </si>
  <si>
    <t>Pivots</t>
  </si>
  <si>
    <t>AS-300LH US32D</t>
  </si>
  <si>
    <t>Top &amp; bottom accessories for pivot, single action, LH</t>
  </si>
  <si>
    <t>AS-300RH US32D</t>
  </si>
  <si>
    <t>Top &amp; bottom accessories for pivot, single action, RH</t>
  </si>
  <si>
    <t>DC004H</t>
  </si>
  <si>
    <t>concealed door closer w/o hold open 90 degree, size EN4</t>
  </si>
  <si>
    <t>DC005N</t>
  </si>
  <si>
    <t>Concealed size EN2-4, hold open arm</t>
  </si>
  <si>
    <t>DC850</t>
  </si>
  <si>
    <t>Surface door closer, standard arm, EN 2-4, silver finish</t>
  </si>
  <si>
    <t>DC901 HO</t>
  </si>
  <si>
    <t>Cam-Motion concealed door closer EN 2-4 Hold open</t>
  </si>
  <si>
    <t>DC902</t>
  </si>
  <si>
    <t>Cam-Motion concealed door closer EN 2-5 Fire rated</t>
  </si>
  <si>
    <t>DC902 HO</t>
  </si>
  <si>
    <t>Cam-Motion concealed door closer EN 2-5 Hold open</t>
  </si>
  <si>
    <t>YFS 120 PSS</t>
  </si>
  <si>
    <t>HEAVY DUTY FLOOR SPRING, LOADING RATE 120KG, POLISH SS</t>
  </si>
  <si>
    <t>YFS 150 NH US32D</t>
  </si>
  <si>
    <t>Satin SS316</t>
  </si>
  <si>
    <t>Floor springs without HO 90 degree, size EN4, cover satin SS316 finish</t>
  </si>
  <si>
    <t>YFS 150 PSS</t>
  </si>
  <si>
    <t>HEAVY DUTY FLOOR SPRING, LOADING RATE 150KG, POLISH SS</t>
  </si>
  <si>
    <t>YFS 200 NH US32D</t>
  </si>
  <si>
    <t>Floor springs without HO 90 degree, size EN5, cover satin SS316 finish</t>
  </si>
  <si>
    <t>YFS 200 PSS</t>
  </si>
  <si>
    <t>HEAVY DUTY FLOOR SPRING, LOADING RATE 200KG, POLISH SS</t>
  </si>
  <si>
    <t>YFS 250 PSS</t>
  </si>
  <si>
    <t>HEAVY DUTY FLOOR SPRING, LOADING RATE 250KG, POLISH SS</t>
  </si>
  <si>
    <t>DCR3003SH – Slim SS</t>
  </si>
  <si>
    <t>DCR3003SH-Slim SS surface mounted with Sliding track and arm; 90 degree Hold-Open; EN size #3 with template; Max. door weight 65Kg; Max. door width 950mm; silver finish</t>
  </si>
  <si>
    <t>DCR-8003</t>
  </si>
  <si>
    <t>concealed door closer; Non Hold-Open; EN size 3; Max. door weight 65Kg; Max. door width 850mm up to 950mm; 40mm door thickness over; Silver finish</t>
  </si>
  <si>
    <t>DCR-8004</t>
  </si>
  <si>
    <t>concealed door closer; Non Hold-Open; EN size 4; Max. door weight 80Kg; Max. door width 950mm up to 1100mm; 40mm door thickness over; Silver finish</t>
  </si>
  <si>
    <t>DCR-8004H</t>
  </si>
  <si>
    <t>concealed door closer; 90 degree Hold-Open; EN size 4; Max. door weight 80Kg; Max. door width 950mm up to 1100mm; 40mm door thickness over; Silver finish</t>
  </si>
  <si>
    <t>DCR-8005</t>
  </si>
  <si>
    <t>concealed door closer; Non Hold-Open; EN size 2-5; Max. door weight 100Kg; Max. door width 850mm up to 1250mm; 47mm door thickness over; Silver finish</t>
  </si>
  <si>
    <t>DCR-HOD</t>
  </si>
  <si>
    <t xml:space="preserve">hold open device for DCR concealed door closer                   </t>
  </si>
  <si>
    <t>YFS-604 NH US32D</t>
  </si>
  <si>
    <t>double action floor springs, power size #4 - 150kg, non hold open, without accessories, satin stainless steel cover.</t>
  </si>
  <si>
    <t>YIC-2124</t>
  </si>
  <si>
    <t>surface mounted door closer; Adjustable (standard) arm; Non Hold-Open;  Size EN2 - EN4; Max. door weight 20Kg - 80Kg; Max. door width 750mm up to 1100mm; Silver finish</t>
  </si>
  <si>
    <t>YIC-2124HO</t>
  </si>
  <si>
    <t>surface mounted door closer; Hold-Open 90 deg; Size EN2 - EN4; Max. door weight 20Kg - 80Kg; Max. door width 750mm up to 1100mm; Silver finish</t>
  </si>
  <si>
    <t>Master Price List - Di Nuo</t>
  </si>
  <si>
    <t>Product Category - Locksets, Bolts, Push Pulls</t>
  </si>
  <si>
    <t>Locksets</t>
  </si>
  <si>
    <t>CA4167 US32D</t>
  </si>
  <si>
    <t>Knob lockset entrance door, 75mm rose, strike plate &amp; face plate by SS304, backset 60mm, brass keys</t>
  </si>
  <si>
    <t>45-50</t>
  </si>
  <si>
    <t>YDG-021 US32D</t>
  </si>
  <si>
    <t>SS304 security door guard, satin finish, packed in white box</t>
  </si>
  <si>
    <t>YDG-031 US26D</t>
  </si>
  <si>
    <t>US26D</t>
  </si>
  <si>
    <t>200 angle door viewer; Brass Body, with cover; US26D; Fit door thickness 35-55mm, white box</t>
  </si>
  <si>
    <t>YDH-011 US32D</t>
  </si>
  <si>
    <t>Magnetic Door Stop; Satin stainless steel finish, packed in white box</t>
  </si>
  <si>
    <t>YDS-061 US32D</t>
  </si>
  <si>
    <t>SS304 wall door stopper, satin finish; Φ16xΦ46x83.5(H)mm; Yale logo, packed in white box</t>
  </si>
  <si>
    <t>YDS-912 US32D</t>
  </si>
  <si>
    <t>Door Stop with Hook, SS304 material; Satin stainless steel finish; white box packed</t>
  </si>
  <si>
    <t>YDS-913 US32D</t>
  </si>
  <si>
    <t>Yale Door Stop rubber; white color</t>
  </si>
  <si>
    <t>YFB-041 US32D</t>
  </si>
  <si>
    <t>SS304 dust droof strike, with hole in dia.11.5mm, satin finish; Yale logo, packed in white box</t>
  </si>
  <si>
    <t>YFP-021 US32D</t>
  </si>
  <si>
    <t>SS304 flush handle Satin finish; 120x50mm, side fixing, with wooden screw x 2pcs; square outer frame with oval inner hole; packed in white box, Yale logo</t>
  </si>
  <si>
    <t>YPL-021 US32D</t>
  </si>
  <si>
    <t>SS304 flush ring pull, satin finish;one-side fixing, packed in white box</t>
  </si>
  <si>
    <t>YPO-021 US32D</t>
  </si>
  <si>
    <t>SS304 pull on plate, satin finish; plate in 300x100xT1.5mm, with square corners, with engraved word "PULL"in black; handle in dia.19x200(C-C)x T1.0mm; visible fixed with 6 SS wooden screws, Yale logo, packed in white box</t>
  </si>
  <si>
    <t>YPP-021 US32D</t>
  </si>
  <si>
    <t>SS304 push plate, satin finish; plate in 300x100xT1.5mm; engraved with "PUSH" in black; plate with square corners and 6 countersunk holes &amp; wooden screws</t>
  </si>
  <si>
    <t>YRB-011 US32D</t>
  </si>
  <si>
    <t>SS304 mortise adjustable roller bolt, satin finish; Yale logo, packed in white box</t>
  </si>
  <si>
    <t>YSP-152 US32D</t>
  </si>
  <si>
    <t>STRAIGTH LEVER HANDLE ON PLATE, W60xH300xT2.0, C-C85MM; SATIN STAINLESS STEEL</t>
  </si>
  <si>
    <t>YWF-008 US32D</t>
  </si>
  <si>
    <t>SS304 200mm timber flush bolt, satin finish; Yale logo, packed in white box</t>
  </si>
  <si>
    <t>YWF-010 US32D</t>
  </si>
  <si>
    <t>SS304 300mm timber flush bolt, satin finish; Yale logo, packed in white box</t>
  </si>
  <si>
    <t>YWF-012 US32D</t>
  </si>
  <si>
    <t>SS304 450mm timber flush bolt, satin finish; Yale logo, packed in white box</t>
  </si>
  <si>
    <t>ARH-06 US32D</t>
  </si>
  <si>
    <t>Wall door stopper with hook</t>
  </si>
  <si>
    <t>Master Price List - Dortec</t>
  </si>
  <si>
    <t>DC115</t>
  </si>
  <si>
    <t>Traditional Overhead Closer EN3</t>
  </si>
  <si>
    <t>DC125</t>
  </si>
  <si>
    <t>Traditional Overhead Closer EN</t>
  </si>
  <si>
    <t>DCR503</t>
  </si>
  <si>
    <t>Traditional Overhead Closer EN2</t>
  </si>
  <si>
    <t>YADC-6003</t>
  </si>
  <si>
    <t>YADC-6004</t>
  </si>
  <si>
    <t>Traditional Overhead Closer EN4</t>
  </si>
  <si>
    <t>YADC-6005</t>
  </si>
  <si>
    <t>Traditional Overhead Closer EN5</t>
  </si>
  <si>
    <t xml:space="preserve">PCB-RM-7001 </t>
  </si>
  <si>
    <t>Fire rated Panic Exit Device, 3 hours</t>
  </si>
  <si>
    <t>PET-HC</t>
  </si>
  <si>
    <t>Master Price List - Fu Hsing</t>
  </si>
  <si>
    <t>Product Category - Cylindrical Leverset, Deadbolt, Tubular Leverset</t>
  </si>
  <si>
    <t>Mortise Case</t>
  </si>
  <si>
    <t>5001-B60-SS</t>
  </si>
  <si>
    <t>45-60</t>
  </si>
  <si>
    <t>5003-B60-SS</t>
  </si>
  <si>
    <t>5004-B60-SS</t>
  </si>
  <si>
    <t>5006-B60-SS</t>
  </si>
  <si>
    <t>5008-B60-SS</t>
  </si>
  <si>
    <t>Tubular Knobset</t>
  </si>
  <si>
    <t>7010ACDP</t>
  </si>
  <si>
    <t>Antique Copper</t>
  </si>
  <si>
    <t>Grade 3 Tubular Knobset, Entry</t>
  </si>
  <si>
    <t>AC</t>
  </si>
  <si>
    <t>7010PBDP</t>
  </si>
  <si>
    <t>Bright Brass</t>
  </si>
  <si>
    <t>7010SSSDP</t>
  </si>
  <si>
    <t>7012SSSDP</t>
  </si>
  <si>
    <t>Grade 3 Tubular Knobset, Privacy</t>
  </si>
  <si>
    <t>Cylindrical Knobset</t>
  </si>
  <si>
    <t>7020ABDP</t>
  </si>
  <si>
    <t>Grade 3 Cylindrical Knobset, Entry</t>
  </si>
  <si>
    <t>7020ACDP</t>
  </si>
  <si>
    <t>7020PBDP</t>
  </si>
  <si>
    <t>7020SSSDP</t>
  </si>
  <si>
    <t>7020SSSDP-70MM</t>
  </si>
  <si>
    <t>7022ABDP</t>
  </si>
  <si>
    <t>Grade 3 Cylindrica Knobset, Privacy</t>
  </si>
  <si>
    <t>7022ACDP</t>
  </si>
  <si>
    <t>7080SSSDP</t>
  </si>
  <si>
    <t>7082SSSDP</t>
  </si>
  <si>
    <t>Deadbolt</t>
  </si>
  <si>
    <t>7106ABDP</t>
  </si>
  <si>
    <t>Grade 3 Deadbolt, Single</t>
  </si>
  <si>
    <t>7106ACDP</t>
  </si>
  <si>
    <t>7106SSS</t>
  </si>
  <si>
    <t>7106SSSDP</t>
  </si>
  <si>
    <t>8211 US11 UNI -LATCH</t>
  </si>
  <si>
    <t>8211 US3 UNI -LATACH</t>
  </si>
  <si>
    <t>8211 US32D UNILATCH</t>
  </si>
  <si>
    <t>8211 US5 UNI -LATCH</t>
  </si>
  <si>
    <t>8241 US32D UNI-LATCH</t>
  </si>
  <si>
    <t>Grade 3 Deadbolt, operated by turn from inside. No trim on other side.</t>
  </si>
  <si>
    <t>AAD1012 US32D</t>
  </si>
  <si>
    <t>Satin Stainless Steel, US32D</t>
  </si>
  <si>
    <t>Grade 1 Deadbolt, Single</t>
  </si>
  <si>
    <t>AAD1022 US32D</t>
  </si>
  <si>
    <t>Grade 1 Deadbolt, Double</t>
  </si>
  <si>
    <t>AAD2012 US32D</t>
  </si>
  <si>
    <t>Grade 2 Deadbolt, Single</t>
  </si>
  <si>
    <t>AAD2012-KA 32D</t>
  </si>
  <si>
    <t>AAD2012-KA1 32D</t>
  </si>
  <si>
    <t>AAD2012-KA2 32D</t>
  </si>
  <si>
    <t>AAD2012-MK 32D</t>
  </si>
  <si>
    <t>AAD2022 US32D</t>
  </si>
  <si>
    <t>Grade 2 Deadbolt, Double</t>
  </si>
  <si>
    <t>AAK3003 US3</t>
  </si>
  <si>
    <t>Bright Brass, US3</t>
  </si>
  <si>
    <t>AAK3009 US3</t>
  </si>
  <si>
    <t>Grade 3 Cylindrical Knobset, Privacy</t>
  </si>
  <si>
    <t>AAL1001 CL US26D</t>
  </si>
  <si>
    <t>Satin Chrome, US26D</t>
  </si>
  <si>
    <t>Grade 1 Cylindrical Leverset, Passage</t>
  </si>
  <si>
    <t>AAL1001-FF US26D</t>
  </si>
  <si>
    <t>AAL1003 CL US26D</t>
  </si>
  <si>
    <t xml:space="preserve">Grade 1 Cylindrical Leverset, Entrance </t>
  </si>
  <si>
    <t>AAL1003-FF US26D</t>
  </si>
  <si>
    <t>Yale</t>
  </si>
  <si>
    <t>AAL1009 CL US26D</t>
  </si>
  <si>
    <t>Grade 1 Cylindrical Leverset, Privacy</t>
  </si>
  <si>
    <t>AAL1009-FF US26D</t>
  </si>
  <si>
    <t>AAL100D CL US26D</t>
  </si>
  <si>
    <t>Grade 1 Cylindrical Leverset, Dummy</t>
  </si>
  <si>
    <t>AAL100D-FF US26D</t>
  </si>
  <si>
    <t>AAL100S CL US26D</t>
  </si>
  <si>
    <t>Grade 1 Cylindrical Leverset, Storeroom</t>
  </si>
  <si>
    <t>AAL100S-FF US26D</t>
  </si>
  <si>
    <t>AAL2001 CL US26D</t>
  </si>
  <si>
    <t>Grade 2 Cylindrical Leverset, Passage</t>
  </si>
  <si>
    <t>AAL2001-FF US26D</t>
  </si>
  <si>
    <t>AAL2003 CL US26D</t>
  </si>
  <si>
    <t>Grade 2 Cylindrical Leverset, Entry</t>
  </si>
  <si>
    <t>AAL2003-FF US26D</t>
  </si>
  <si>
    <t>AAL2008 CL US26D</t>
  </si>
  <si>
    <t>Grade 2 Cylindrical Leverset, Classroom</t>
  </si>
  <si>
    <t>AAL2009 CL US26D</t>
  </si>
  <si>
    <t>Grade 2 Cylindrical Leverset, Privacy</t>
  </si>
  <si>
    <t>AAL2009-FF US26D</t>
  </si>
  <si>
    <t>AAL200D CL US26D</t>
  </si>
  <si>
    <t>Grade 2 Cylindrical Leverset, Dummy</t>
  </si>
  <si>
    <t>AAL200D-FF US26D</t>
  </si>
  <si>
    <t>AAL200S CL US26D</t>
  </si>
  <si>
    <t>Grade 2 Cylindrical Leverset, Storeroom</t>
  </si>
  <si>
    <t>AAL200S-FF US26D</t>
  </si>
  <si>
    <t>BR5232 US11 60MM B.S.</t>
  </si>
  <si>
    <t>BR5232 US32D 60MM B.S.</t>
  </si>
  <si>
    <t>BR5237 US11 60MM B.S.</t>
  </si>
  <si>
    <t>BR5237 US32D 60MM B.S.</t>
  </si>
  <si>
    <t>C360B-L65B66</t>
  </si>
  <si>
    <t>Grade 2 Cylindrica Knobset, Entry</t>
  </si>
  <si>
    <t>C361B-L65B66</t>
  </si>
  <si>
    <t>Grade 2 Cylindrica Knobset, Privacy</t>
  </si>
  <si>
    <t>C361B-L75B66</t>
  </si>
  <si>
    <t>Grade 2 Cylindrica Knobset, Privacy, 70mm backset</t>
  </si>
  <si>
    <t>C363B-L65B66</t>
  </si>
  <si>
    <t>Grade 2 Cylindrica Knobset, Passage</t>
  </si>
  <si>
    <t>C364B-000B66</t>
  </si>
  <si>
    <t>Grade 2 Cylindrica Knobset, Dummy</t>
  </si>
  <si>
    <t>C365B-L65B66</t>
  </si>
  <si>
    <t>Grade 2 Cylindrica Knobset, Store Room</t>
  </si>
  <si>
    <t>C3X90B-L65B66</t>
  </si>
  <si>
    <t>C3X91B-L65B66</t>
  </si>
  <si>
    <t>C3X91B-L75B66</t>
  </si>
  <si>
    <t>C3X93B-L65B66</t>
  </si>
  <si>
    <t>C3X94B-000B66</t>
  </si>
  <si>
    <t>C3X95B-L65B66</t>
  </si>
  <si>
    <t>CA5231 US11 60MM B.S.</t>
  </si>
  <si>
    <t>Grade 3 Cylindrical Knobset, Passage</t>
  </si>
  <si>
    <t>CA5231 US32D 60MM BOX PACK</t>
  </si>
  <si>
    <t>CA5231 US32D 70MM B.S.</t>
  </si>
  <si>
    <t>CA5232 US11 60MM B.S.</t>
  </si>
  <si>
    <t>CA5232 US11 UNI-LATCH</t>
  </si>
  <si>
    <t>CA5232 US32D 60MM B.S.</t>
  </si>
  <si>
    <t>CA5232 US32D 70MM B.S.</t>
  </si>
  <si>
    <t>CA5232 US32D UNI-LATCH</t>
  </si>
  <si>
    <t>CA5232 US5 60MM B.S.</t>
  </si>
  <si>
    <t>CA5232 US5 UNI-LATCH</t>
  </si>
  <si>
    <t>CA5235 US11 60MM B.S.</t>
  </si>
  <si>
    <t>Grade 3 Cylindrical Knobset,Storeroom</t>
  </si>
  <si>
    <t>CA5235 US32D 60MM B.S.</t>
  </si>
  <si>
    <t>CA5237 US11 60MM B.S.</t>
  </si>
  <si>
    <t>CA5237 US11 70MM B.S.</t>
  </si>
  <si>
    <t>CA5237 US11 UNI-LATCH</t>
  </si>
  <si>
    <t>CA5237 US3 60MM B.S.</t>
  </si>
  <si>
    <t>CA5237 US32 60MM B.S.</t>
  </si>
  <si>
    <t>CA5237 US32D 60MM B.S.</t>
  </si>
  <si>
    <t>CA5237 US32D 70MM B.S.</t>
  </si>
  <si>
    <t>CA5237 US32D UNI-LATCH</t>
  </si>
  <si>
    <t>CA5237 US5 60MM B.S.</t>
  </si>
  <si>
    <t>CA5237 US5 UNI-LATCH</t>
  </si>
  <si>
    <t>D2012</t>
  </si>
  <si>
    <t>D2022</t>
  </si>
  <si>
    <t>D768HUXU1B61</t>
  </si>
  <si>
    <t>Grade 2 Deadbolt, by key from one side. No trim on other side.</t>
  </si>
  <si>
    <t>DB7106BPSSS</t>
  </si>
  <si>
    <t>Grade 3 Deadbolt, by key from one side. No trim on other side.</t>
  </si>
  <si>
    <t>DB740SS</t>
  </si>
  <si>
    <t>Grade 3 Deadbolt, operated by turn from inside. Blank plate on other side.</t>
  </si>
  <si>
    <t>Handleset</t>
  </si>
  <si>
    <t>DH5588 DC US11 UNI -LATCH</t>
  </si>
  <si>
    <t>Grade 3 Handleset</t>
  </si>
  <si>
    <t>DH5588 DC US3 UNI -LATCH</t>
  </si>
  <si>
    <t>DH5588 DC US5 UNI -LATCH</t>
  </si>
  <si>
    <t>DH5588 US11 UNI-LATCH</t>
  </si>
  <si>
    <t>DH5588 US26 UNI-LATCH</t>
  </si>
  <si>
    <t>Bright Chrome</t>
  </si>
  <si>
    <t>DH5588 US26D UNI -LATCH</t>
  </si>
  <si>
    <t>DH5588 US3 UNI-LATCH</t>
  </si>
  <si>
    <t>DH5588 US5 UNI-LATCH</t>
  </si>
  <si>
    <t>KR100SSS</t>
  </si>
  <si>
    <t>KR110SSS</t>
  </si>
  <si>
    <t>Grade 3 Cylindrica Knobset, Passage</t>
  </si>
  <si>
    <t>KR120SSS</t>
  </si>
  <si>
    <t>KR160SSS</t>
  </si>
  <si>
    <t>Grade 3 Cylindrica Knobset, Classroom</t>
  </si>
  <si>
    <t>KR180SSS</t>
  </si>
  <si>
    <t>Grade 3 Cylindrica Knobset, Storeroom</t>
  </si>
  <si>
    <t>ST/CA5057 US11 50DT 70MM</t>
  </si>
  <si>
    <t>ST/CA5057 US11 60MM B.S.</t>
  </si>
  <si>
    <t>ST/CA5057 US26 50DT 70MM</t>
  </si>
  <si>
    <t>ST/CA5057 US26 60MM B.S.</t>
  </si>
  <si>
    <t>ST/CA5057 US26 UNI -LATCH</t>
  </si>
  <si>
    <t>ST/CA5057 US3 50DT 70MM</t>
  </si>
  <si>
    <t>ST/CA5057 US3 60MM B.S.</t>
  </si>
  <si>
    <t>ST/CA5057 US3 UNI-LATCH</t>
  </si>
  <si>
    <t>ST/CA5057 US32D 50DT 70MM</t>
  </si>
  <si>
    <t>ST/CA5057 US32D 60MM B.S.</t>
  </si>
  <si>
    <t>ST/CA5057 US32D UNI -LATCH</t>
  </si>
  <si>
    <t>ST/CA5057 US5 60MM B.S.</t>
  </si>
  <si>
    <t>ST/CA5057 US5 UNI-LATCH</t>
  </si>
  <si>
    <t>VBR5237 US3 60MM B.S.</t>
  </si>
  <si>
    <t>VBR5237 US32 60MM B.S.</t>
  </si>
  <si>
    <t>VBR5237 US32D 60MM B.S.</t>
  </si>
  <si>
    <t>VBR5237 US5 60MM B.S.</t>
  </si>
  <si>
    <t>YK-02</t>
  </si>
  <si>
    <t>Grade 2 Cylindrical Knobset 60mm, Privacy</t>
  </si>
  <si>
    <t>YK-02-70MM</t>
  </si>
  <si>
    <t>Grade 2 Cylindrical Knobset 70mm, Privacy</t>
  </si>
  <si>
    <t>YK-01</t>
  </si>
  <si>
    <t>Grade 2 Cylindrical Knobset, Passage</t>
  </si>
  <si>
    <t>CA5237 US3 70MM B.S.</t>
  </si>
  <si>
    <t>CA5237 US5 70MM B.S.</t>
  </si>
  <si>
    <t>BR5237 US11 60MM B.S. Box Pack</t>
  </si>
  <si>
    <t>Grade 3 Cylindrical Knobset, Entry, Box Pack</t>
  </si>
  <si>
    <t>Tubular Leverset</t>
  </si>
  <si>
    <t>7530CPDP</t>
  </si>
  <si>
    <t>Grade 3 Tubular Leverset, Entry, Both Sides</t>
  </si>
  <si>
    <t>7530SCDP</t>
  </si>
  <si>
    <t>Grade 3 Tubular Leverset, Entry</t>
  </si>
  <si>
    <t>7540CPDP</t>
  </si>
  <si>
    <t>7540SCPDP</t>
  </si>
  <si>
    <t>DH5588 US4 UNI-LATCH</t>
  </si>
  <si>
    <t>YK-07</t>
  </si>
  <si>
    <t>Grade 2 Cylindrical Knobset, Entry</t>
  </si>
  <si>
    <t>YK-00</t>
  </si>
  <si>
    <t>Grade 2 Cylindrical Knobset, Dummy</t>
  </si>
  <si>
    <t>YK-05</t>
  </si>
  <si>
    <t>Grade 2 Cylindrical Knobset, Storeroom</t>
  </si>
  <si>
    <t>7107SSSDP</t>
  </si>
  <si>
    <t>Grade 3 Deadbolt, Double</t>
  </si>
  <si>
    <t>7106PBDP</t>
  </si>
  <si>
    <t>7107PBDP</t>
  </si>
  <si>
    <t>7107ABDP</t>
  </si>
  <si>
    <t>7107ACDP</t>
  </si>
  <si>
    <t>Grade 3 Deadbolt, Classroom</t>
  </si>
  <si>
    <t>YK16/EXT/SS</t>
  </si>
  <si>
    <t>Grade 2 Cylindrical Knobset 60mm, Entry</t>
  </si>
  <si>
    <t>YK17/EXT/SS</t>
  </si>
  <si>
    <t>Grade 2 Cylindrical Knobset 70mm, Entry</t>
  </si>
  <si>
    <t>YK16/PRI/SS</t>
  </si>
  <si>
    <t>Grade 2 Cylindrical Knobset, Privacy</t>
  </si>
  <si>
    <t>YK16/DUM/SS</t>
  </si>
  <si>
    <t>YK16/PAS/SS</t>
  </si>
  <si>
    <t>YK16/STO/SS</t>
  </si>
  <si>
    <t>YK16/CLA/SS</t>
  </si>
  <si>
    <t>Grade 2 Cylindrical Knobset, Classroom</t>
  </si>
  <si>
    <t>YK16/GLA/SS</t>
  </si>
  <si>
    <t>Grade 2 Cylindrical Knobset, Double Communicating</t>
  </si>
  <si>
    <t>AAL2008 CL KA US26D</t>
  </si>
  <si>
    <t>YK16/PAT/SS</t>
  </si>
  <si>
    <t>Grade 2 Cylindrical Knobset 60mm, Patio</t>
  </si>
  <si>
    <t>AAL3003 LH US15</t>
  </si>
  <si>
    <t>Satin Nickel (US15)</t>
  </si>
  <si>
    <t>AAL3009 LH US15</t>
  </si>
  <si>
    <t>Grade 3 Tubular Leverset, Privacy</t>
  </si>
  <si>
    <t>L 5482 US15</t>
  </si>
  <si>
    <t>Grade 3 Tubular Leverset, Adjustable Latch, Privacy</t>
  </si>
  <si>
    <t>AAL3003 LU US15</t>
  </si>
  <si>
    <t>Grade 3 Tubular Leverset, Entry, Different appearance with AAL3003 LH US15</t>
  </si>
  <si>
    <t>AAL3009 LU US15</t>
  </si>
  <si>
    <t>Grade 3 Tubular Leverset, Privacy, Different appearance with AAL3009 LH US15</t>
  </si>
  <si>
    <t>YL-07 Fairford (3 keys)</t>
  </si>
  <si>
    <t>Grade 2 Cylindrical Leverset, Entry, 3 Keys</t>
  </si>
  <si>
    <t>YL-07 Fairford (2 keys)</t>
  </si>
  <si>
    <t>Grade 2 Cylindrical Leverset, Entry, 2 Keys</t>
  </si>
  <si>
    <t>YL-07 Fairford (3 keys, different strike plate)</t>
  </si>
  <si>
    <t>Grade 2 Cylindrical Leverset, Entry, 3 Keys, Different Strike Plate with Column G209</t>
  </si>
  <si>
    <t>YL-02 Fairford</t>
  </si>
  <si>
    <t>YL-01 Fairford</t>
  </si>
  <si>
    <t>YL-00 Fairford</t>
  </si>
  <si>
    <t>YL-05 Fairford</t>
  </si>
  <si>
    <t>AAL100S FF US26D MK</t>
  </si>
  <si>
    <t>Grade 1 Cylindrical Leverset, Storeroom with Clutch</t>
  </si>
  <si>
    <t>Grade 3 Tubular Leverset, Entry, Different appearance with 7530SCDP</t>
  </si>
  <si>
    <t>5800 US15</t>
  </si>
  <si>
    <t>ST/CA5057 US5 70MM B.S.</t>
  </si>
  <si>
    <t>L 6517 US15</t>
  </si>
  <si>
    <t>L 6512 US15</t>
  </si>
  <si>
    <t>L 6517 US5</t>
  </si>
  <si>
    <t>L 6512 US5</t>
  </si>
  <si>
    <t>L 6527 US15</t>
  </si>
  <si>
    <t>L 6522 US15</t>
  </si>
  <si>
    <t>L 6522 US5</t>
  </si>
  <si>
    <t>L 6517 US3</t>
  </si>
  <si>
    <t>L 6512 US3</t>
  </si>
  <si>
    <t>L 6527 US5</t>
  </si>
  <si>
    <t>CA5807 US32D</t>
  </si>
  <si>
    <t>D1012</t>
  </si>
  <si>
    <t>AAD2012-KA 32D without Keys</t>
  </si>
  <si>
    <t>Grade 2 Deadbolt, Single, without Keys</t>
  </si>
  <si>
    <t>AAD1020 US32D Classroom Function</t>
  </si>
  <si>
    <t>Grade 1 Deadbolt, Classroom</t>
  </si>
  <si>
    <t>Yale 8221 US32D</t>
  </si>
  <si>
    <t>L6222 US26D</t>
  </si>
  <si>
    <t>D1020</t>
  </si>
  <si>
    <t>D1022</t>
  </si>
  <si>
    <t>500AE-B60-SS</t>
  </si>
  <si>
    <t>YL16/EXT/SC</t>
  </si>
  <si>
    <t>YL-07</t>
  </si>
  <si>
    <t>Grade 2 Cylindrical Leverset, Entry, Keys of Yale</t>
  </si>
  <si>
    <t>YL-02</t>
  </si>
  <si>
    <t>YL-05</t>
  </si>
  <si>
    <t>Grade 2 Cylindrical Leverset, Storeroom, Keys of Yale</t>
  </si>
  <si>
    <t>YL17/STO/SC</t>
  </si>
  <si>
    <t>Nos 174-176, 185 - Product code shortened - exceeded 50 characters</t>
  </si>
  <si>
    <t>Product code must be unique</t>
  </si>
  <si>
    <t>Master Price List - Fuerda</t>
  </si>
  <si>
    <t>Product Category - Closers</t>
  </si>
  <si>
    <t>30-0300-0001-00-60-11</t>
  </si>
  <si>
    <t>300 surface mounted door closer; Adjustable arm (standard) Non Hold-Open; EN size 2~4 adjustable; Max. door weight 45Kg - 85Kg; Max. door width 750mm - 1100mm; Silver finish</t>
  </si>
  <si>
    <t>YES</t>
  </si>
  <si>
    <t>30-0300-0004-00-60-11</t>
  </si>
  <si>
    <t>300 surface mounted door closer; 90 degree Hold-Open; EN size 2~4 adjustable; Max. door weight 45Kg - 85Kg; Max. door width 750mm - 1100mm; Silver finish</t>
  </si>
  <si>
    <t>YDC-PA</t>
  </si>
  <si>
    <t>door closer parallel arm</t>
  </si>
  <si>
    <t>Master Price List - Guang Hui Long</t>
  </si>
  <si>
    <t>Product Category - Fire Rated Hinge</t>
  </si>
  <si>
    <t>GHL</t>
  </si>
  <si>
    <t>AH2BB-02</t>
  </si>
  <si>
    <t>ASSA ABLOY 2BB-020 US32D Hinge SS304 (102 X 76 X 3)</t>
  </si>
  <si>
    <t>AH2BB-04</t>
  </si>
  <si>
    <t>ASSA ABLOY 2BB-040 US32D Hinge SS304 (127 X 89 X 3)</t>
  </si>
  <si>
    <t>AH2BB-05</t>
  </si>
  <si>
    <t>ASSA ABLOY 2BB-050 US32D Hinge SS304 (127 X 102 X 3)</t>
  </si>
  <si>
    <t>Y2BB-020</t>
  </si>
  <si>
    <t>Yale 2BB-020 US32D Hinge SS304 (102 X 76 X 3)</t>
  </si>
  <si>
    <t>Y2BB-040</t>
  </si>
  <si>
    <t>Yale 2BB-040 US32D Hinge SS304 (127 X 89 X 3)</t>
  </si>
  <si>
    <t>Y2BB-050</t>
  </si>
  <si>
    <t>Yale 2BB-050 US32D Hinge SS304 (127 X 102 X 3)</t>
  </si>
  <si>
    <t>Master Price List - Hezhi</t>
  </si>
  <si>
    <t>Product Category - Hinges</t>
  </si>
  <si>
    <t>Y2BB5-02 US32D</t>
  </si>
  <si>
    <t>Butt hinge; 2 ball bearing; SS304; 4"x3"x3.0; Zigzag holes, Square corner; Satin stainless steel, with wooden screw</t>
  </si>
  <si>
    <t>Y4BB5-06 M6 US32D</t>
  </si>
  <si>
    <t>Butt hinge; 4 ball bearing; SS304; 5"x3.5"x3.0; Zigzag holes, Square corner; Satin stainless steel, with M6 screw</t>
  </si>
  <si>
    <t>Y4BB5-06 US32D</t>
  </si>
  <si>
    <t>Butt hinge; 4 ball bearing; SS304; 5"x3.5"x3.0; Zigzag holes, Square corner; Satin stainless steel, with wooden screw</t>
  </si>
  <si>
    <t>YDH-012 US15</t>
  </si>
  <si>
    <t>Magnetic Door Stop; Satin nickel finish, Zinc alloy</t>
  </si>
  <si>
    <t>YDH-012 US19</t>
  </si>
  <si>
    <t>US19</t>
  </si>
  <si>
    <t>Magnetic Door Stop; matt black finish, Zinc alloy, packed in Yale box</t>
  </si>
  <si>
    <t>YDS-013 US32D</t>
  </si>
  <si>
    <t>SS304 half moon floor door stopper, satin finish</t>
  </si>
  <si>
    <t>YDS-063 US32D</t>
  </si>
  <si>
    <t>YDS-915 US32D</t>
  </si>
  <si>
    <t>Door Stop with Hook, SS304 material; Satin stainless steel finish; 9.6cm height door stop with hook</t>
  </si>
  <si>
    <t>YFH-04 US32D</t>
  </si>
  <si>
    <t>YALE SS304 FLUSH HINGE, 100X75X3MM,SATIN FINISH</t>
  </si>
  <si>
    <t>YFH-04 US3</t>
  </si>
  <si>
    <t>YALE SS304 FLUSH HINGE, 100X75X3MM, CG FINISH</t>
  </si>
  <si>
    <t>Y4BB5-06 US3</t>
  </si>
  <si>
    <t>YALE SS304 BUTT HINGE, 4BB; ZIGZAG HOLES,5"X3.5"X3MM,CG FINISH</t>
  </si>
  <si>
    <t>Y2BB5-02 US3</t>
  </si>
  <si>
    <t>YALE SS304 BUTT HINGE, 2BB; ZIGZAG HOLES, 4"X3"X3MM, CG FINISH</t>
  </si>
  <si>
    <t>YDH-012 US3</t>
  </si>
  <si>
    <t>YALE MAGNETIC DOOR STOP, CG FINISH</t>
  </si>
  <si>
    <t>YEHV30US32DHLP332.AAPH</t>
  </si>
  <si>
    <t>3.0X3.0X2.0 Plain Bearing, Loose Pin Hinges US32D</t>
  </si>
  <si>
    <t>YEHV35US32DHLP353522.AAPH</t>
  </si>
  <si>
    <t>3.5X3.5X2.2 Plain Bearing, Loose Pin Hinges US32D</t>
  </si>
  <si>
    <t>YEHV40US32DHLP4422.AAPH</t>
  </si>
  <si>
    <t>4.0X4.0X2.2 Plain Bearing, Loose Pin Hinges US32D</t>
  </si>
  <si>
    <t>EHIFH4325SSP3</t>
  </si>
  <si>
    <t>EFH4325SSP3 4x3x2.5 ESSENTIAL 2, PACK3 SUS 201</t>
  </si>
  <si>
    <t>DS911SN</t>
  </si>
  <si>
    <t>DS911SN, MAGNETIC DOOR STOPPER, SN,STAINLESS STEEL304, VISUAL PACK</t>
  </si>
  <si>
    <t>DS911AC</t>
  </si>
  <si>
    <t>US5</t>
  </si>
  <si>
    <t>DS911AC, MAGNETIC DOOR STOPPER, AC,
STAINLESS STEEL304, VISUAL PACK</t>
  </si>
  <si>
    <t>Master Price List - Hua Feng</t>
  </si>
  <si>
    <t>Product Category - Locksets, Closers</t>
  </si>
  <si>
    <t>0401A US15</t>
  </si>
  <si>
    <t>180 angle door viewer; Brass Body &amp; Plastic lens, Ф14mm hole; with cover; US15; Fit door thickness 35-55mm</t>
  </si>
  <si>
    <t>9013802000</t>
  </si>
  <si>
    <t>18L US26D</t>
  </si>
  <si>
    <t>18L Door Guard, 5" length; Zinc Alloy material; US26D finish, color box</t>
  </si>
  <si>
    <t>8121 US32D</t>
  </si>
  <si>
    <t>Deadbolt 8121 series; Double Cylinder, 60mm/70mm backset; Solid brass 5-pin tumbler cylinder; 3 normal keys; Passed 100,000 cycles tested, satin stainless steel, color box</t>
  </si>
  <si>
    <t>BA909 US32D</t>
  </si>
  <si>
    <t>Toilet Bolt, Stainless Steel material</t>
  </si>
  <si>
    <t>DS911 US15</t>
  </si>
  <si>
    <t>Magnetic Door Stop; Satin Nickel finish, Zinc Alloy material; Visual pack</t>
  </si>
  <si>
    <t>L8327 US3</t>
  </si>
  <si>
    <t>KEY IN LEVER L8327 US3, ENTRANCE, SQUARE DRIVE, 60/70MM B/S, BOX PACK</t>
  </si>
  <si>
    <t>V0401A US15</t>
  </si>
  <si>
    <t>180 angle door viewer; Brass Body &amp; Plastic lens, with cover; US15; Fit door thickness 35-55mm</t>
  </si>
  <si>
    <t>V0403 US15</t>
  </si>
  <si>
    <t>200 angle door viewer; Brass Body &amp; Plastic lens, with cover; US15; Fit door thickness 35-55mm, visual box</t>
  </si>
  <si>
    <t>V1037 US26D</t>
  </si>
  <si>
    <t>V1037 x US26D VISUAL PACKED DOOR CHAIN</t>
  </si>
  <si>
    <t>V1037 US3</t>
  </si>
  <si>
    <t>Security Door Chain; Steel material, US3 finish</t>
  </si>
  <si>
    <t>V18L US11</t>
  </si>
  <si>
    <t>US11</t>
  </si>
  <si>
    <t>V18L Door Guard, 5" length; Zinc Alloy material; US11 finish, visual box</t>
  </si>
  <si>
    <t>V18L US26D</t>
  </si>
  <si>
    <t>V18L Door Guard, 5" length; Zinc Alloy material; US26D finish, visual box</t>
  </si>
  <si>
    <t>V18L US3</t>
  </si>
  <si>
    <t>V18L Door Guard, 5" length; Zinc Alloy material; US3 finish, visual box</t>
  </si>
  <si>
    <t>V8111 US32D</t>
  </si>
  <si>
    <t>Deadbolt 8111 series; Cylinder with Thumbturn, 60mm/70mm backset; Solid brass 5-pin tumbler cylinder; 3 normal keys; Passed 100,000 cycles tested, satin stainless steel, visual box</t>
  </si>
  <si>
    <t>V8121 US32D</t>
  </si>
  <si>
    <t>DEADBOLT 8121 SERIES</t>
  </si>
  <si>
    <t>VCA5322 US32D 60BS</t>
  </si>
  <si>
    <t>KNOB VCA5322 PRIVACY SATIN STAINLESS, BS60, VISUAL PACK</t>
  </si>
  <si>
    <t>VCA5327 US32D 60BS</t>
  </si>
  <si>
    <t>KNOB VCA5327 ENTRANCE SATIN STAINLESS,BS60, VISUAL PACK</t>
  </si>
  <si>
    <t>VL5342 US15</t>
  </si>
  <si>
    <t>Privacy door Key-In-Lever L5342 series; Square Driver; Bathroom/Toilet function; Zinc Alloy material; Backset 60/70mm; 175,000 cycles tested; No cylinder and key; satin nickel, visual box</t>
  </si>
  <si>
    <t>VL5347 US15</t>
  </si>
  <si>
    <t>Entrance door Key-In-Lever L5347 series; Square Driver; Zinc Alloy material; Backset 60/70mm; 175,000 cycles tested; cylinder with 5-pin; 3 normal keys; satin nickel, visual box</t>
  </si>
  <si>
    <t>VL5367 US15</t>
  </si>
  <si>
    <t>KEY IN LEVER VL5367 US15, ENTRANCE, SQUARE DRIVE, 60/70MM B/S, VISUAL PACK</t>
  </si>
  <si>
    <t>VL8322 US15</t>
  </si>
  <si>
    <t>KEY IN LEVER VL8322 US15, PRIVACY, SQUARE DRIVE, 60/70MM B/S, VISUAL PACK</t>
  </si>
  <si>
    <t>VL8322 US3</t>
  </si>
  <si>
    <t>Privacy door Key-In-Lever L8322 series; Square Driver; Bathroom/Toilet function; Zinc Alloy material; Backset 60/70mm; 175,000 cycles tested; No cylinder and key; polish brass, visual box</t>
  </si>
  <si>
    <t>VL8327 US15</t>
  </si>
  <si>
    <t>Entrance door Key-In-Lever L8327 series; Square Driver; Zinc Alloy material; Backset 60/70mm; 175,000 cycles tested; cylinder with 5-pin; 3 normal keys; satin nickel, visual box</t>
  </si>
  <si>
    <t>VL8327 US3</t>
  </si>
  <si>
    <t>Entrance door Key-In-Lever L8327 series; Square Driver; Zinc Alloy material; Backset 60/70mm; 175,000 cycles tested; cylinder with 5-pin; 3 normal keys; polish brass, visual box</t>
  </si>
  <si>
    <t>V8101 US32D</t>
  </si>
  <si>
    <t>V8101 x US32D x VISUAL PACKED</t>
  </si>
  <si>
    <t>V18L US26</t>
  </si>
  <si>
    <t>US26</t>
  </si>
  <si>
    <t>V18L US26 DOOR GUARD BRIGHT CHROME, VISUAL PACK</t>
  </si>
  <si>
    <t>V18L US5</t>
  </si>
  <si>
    <t>V18L US5 DOOR GUARD ANTIQUE BRASS, VISUAL PACK</t>
  </si>
  <si>
    <t>V1037 US11</t>
  </si>
  <si>
    <t>V1037 US11 DOOR CHAIN, ANTIQUE COPPER, VISUAL PACK</t>
  </si>
  <si>
    <t>V8111 US11</t>
  </si>
  <si>
    <t>V8111 x US11 x VISUAL PACKED</t>
  </si>
  <si>
    <t>CA5122 US32D 60BS</t>
  </si>
  <si>
    <t>YALE CA5122 PRIVACY x US32D x 60mm x BOX PACKED</t>
  </si>
  <si>
    <t>CA5122 US32D 70BS</t>
  </si>
  <si>
    <t>YALE CA5122 PRIVACY x US32D x 70mm x BOX PACKED</t>
  </si>
  <si>
    <t>VCA5127 US32D 60BS</t>
  </si>
  <si>
    <t>VCA5127 Entrance x US32D x visual pack x 60MM B.S.</t>
  </si>
  <si>
    <t>CA5222 US32D 70BS</t>
  </si>
  <si>
    <t>CA5222 x B/S 70MM x DT 50MM x US32D x BOX PACKED</t>
  </si>
  <si>
    <t>CA5127 US32D 60BS</t>
  </si>
  <si>
    <t>CA5127 ENTRANCE x US32D x 60mm x BOX PACKED</t>
  </si>
  <si>
    <t>CA5127 US32D 70BS</t>
  </si>
  <si>
    <t>YALE CA5127 ENTRANCE x US32D x 70mm x BOX PACKED</t>
  </si>
  <si>
    <t>VCA5127 US11 60BS</t>
  </si>
  <si>
    <t>VCA5127 Entrance x US11 x visual pack x 60MM B.S.</t>
  </si>
  <si>
    <t>VCA5121 US32D 60BS</t>
  </si>
  <si>
    <t>VCA5121 Passage x US32D x visual pack x 60MM B.S.</t>
  </si>
  <si>
    <t>CA5125 US32D 60BS</t>
  </si>
  <si>
    <t>YALE CA5125 STOREROOM x US32D x 60mm x BOX PACKED</t>
  </si>
  <si>
    <t>CA5125 US32D 70BS</t>
  </si>
  <si>
    <t>YALE CA5125 STOREROOM x US32D x 70mm x BOX PACKED</t>
  </si>
  <si>
    <t>Master Price List - Jiangsu Tongguan Intelligent Technology</t>
  </si>
  <si>
    <t>Product Category - Exit Device</t>
  </si>
  <si>
    <t>MOQ *</t>
  </si>
  <si>
    <t>Jiangsu Tongguan Intelligent Technology</t>
  </si>
  <si>
    <t>AAED 401P</t>
  </si>
  <si>
    <t>Fire Exit Device 1 point ANSI Grade 1 UL listed - Painted,F5000P</t>
  </si>
  <si>
    <t>AAED 402P</t>
  </si>
  <si>
    <t>Fire Exit Device 2 point ANSI Grade 1 UL listed - Painted,F5600P</t>
  </si>
  <si>
    <t>AAED 401S</t>
  </si>
  <si>
    <t>Fire Exit Device 1 point ANSI Grade 1 UL listed - Stainless Steel,F5000S</t>
  </si>
  <si>
    <t>AAED 402S</t>
  </si>
  <si>
    <t>Fire Exit Device 2 point ANSI Grade 1 UL listed - Stainless Steel,F5600S</t>
  </si>
  <si>
    <t>AAET 411SC</t>
  </si>
  <si>
    <t>External Trim Key in Lever Satin Chrome,006P</t>
  </si>
  <si>
    <t>AAET 410SC</t>
  </si>
  <si>
    <t>External Trim Key in Lever Satin Chrome,006P-PAS</t>
  </si>
  <si>
    <t>AAET 008E US32D</t>
  </si>
  <si>
    <t>External Trim Key in Lever,008E</t>
  </si>
  <si>
    <t>Exit Devices</t>
  </si>
  <si>
    <t>AAED 401S US32D</t>
  </si>
  <si>
    <t>Fire Exit Device 1 point ANSI Grade 1 UL listed - Stainless Steel, F5000S</t>
  </si>
  <si>
    <t>AAED 402S US32D</t>
  </si>
  <si>
    <t>SS304</t>
  </si>
  <si>
    <t>F5600S,total length1045mm,door height 2400mm,Fire Exit Device 2 point,change the end part of push bar to SS304</t>
  </si>
  <si>
    <t>AAED 402S.1 US32D</t>
  </si>
  <si>
    <t>F5600S,total length1045mm,door height 3000mm,Fire Exit Device 2 point,change the end part of push bar to SS304</t>
  </si>
  <si>
    <t>Exit Device Trim</t>
  </si>
  <si>
    <t>AAET 009 US32D</t>
  </si>
  <si>
    <t>009S-CLS,Outside Trim for Panic Exit Device,Classroom function,for door thickness 45-50mm</t>
  </si>
  <si>
    <t>AAET 009P US32D</t>
  </si>
  <si>
    <t>009S-PAS,Outside Trim for Panic Exit Device,Passage function, for door thickness 45-50mm</t>
  </si>
  <si>
    <t>Lock parts</t>
  </si>
  <si>
    <t>ADDS</t>
  </si>
  <si>
    <t xml:space="preserve">DDS,ASSA ABOLY logo,Double Door Strike for panic exit bar, SS304,with screws </t>
  </si>
  <si>
    <t>ET</t>
  </si>
  <si>
    <t>4694 US26D</t>
  </si>
  <si>
    <t>ZINC</t>
  </si>
  <si>
    <t>006P-CLS,Outside Trim For Panic Exit Device,78mm plate,Classroom function,With YALE Cylinder,for door thickness 40-60mm</t>
  </si>
  <si>
    <t>F5000 US32D</t>
  </si>
  <si>
    <t>F5000S,total length1045mm,Fire Exit Device 1 point ANSI Grade 1 UL listed - Stainless Steel</t>
  </si>
  <si>
    <t>F5600 US32D</t>
  </si>
  <si>
    <t>F5600S,total length1045mm,door height 2400mm,Fire Exit Device 2 point ANSI Grade 1 UL listed - Stainless Steel</t>
  </si>
  <si>
    <t>YDDS</t>
  </si>
  <si>
    <t xml:space="preserve">DDS,YALE logo,Double Door Strike for panic exit bar, SS304,with screws </t>
  </si>
  <si>
    <t>YER-340</t>
  </si>
  <si>
    <t>Panic rod extension 340mm</t>
  </si>
  <si>
    <t>F5000-P</t>
  </si>
  <si>
    <t>PAINTED STEEL</t>
  </si>
  <si>
    <t>F5000P,total length1045mm,Fire Exit Device 1 point ANSI Grade 1 UL listed</t>
  </si>
  <si>
    <t>F5600-P</t>
  </si>
  <si>
    <t>F5600P,total length1045mm,door height 2200mm,Fire Exit Device 2 point ANSI Grade 1 UL listed</t>
  </si>
  <si>
    <t>4696 US26D</t>
  </si>
  <si>
    <t>006P-PAS,Outside Trim For Panic Exit Device,78mm plate,passage function,Without Cylinder,for door thickness 40-60mm</t>
  </si>
  <si>
    <t>500S</t>
  </si>
  <si>
    <t>500S,Laser YALE logo on Head Cover &amp; End Cap,Panic Exit Device,Half Bar,without dogging ,single latch,total length 1045mm, Head Cover, Chassis and End Cap in SS</t>
  </si>
  <si>
    <t>560S</t>
  </si>
  <si>
    <t>560S,Laser YALE logo on Head Cover &amp; End Cap,Panic Exit Device,Half Bar, without dogging，total length 1045mm,with vertical rod,for door height 2400mm, Head Cover, Chassis, top &amp; bottom latch cover and End Cap in SS</t>
  </si>
  <si>
    <t>4697 US26D</t>
  </si>
  <si>
    <t>017Z-CLS,Entry function,78mm plate,for door thickness 40-55mm</t>
  </si>
  <si>
    <t>YPE500 US32D</t>
  </si>
  <si>
    <t>UL500S, total length1045mm,without dogging,UL SA33793</t>
  </si>
  <si>
    <t>MOQ - USD$15,000 per order</t>
  </si>
  <si>
    <t>Master Price List - Jixin</t>
  </si>
  <si>
    <t>Product Category - Cylinders</t>
  </si>
  <si>
    <t>10-0501-0035-00-22-11</t>
  </si>
  <si>
    <t>Euro profile Half Cylinder 500 series, size 35/10, total length 45mm, Brass material, 3 brass normal keys, 5-pins, Satin nickel, Color box</t>
  </si>
  <si>
    <t>60day</t>
  </si>
  <si>
    <t>10-0502-3232-00-22-11</t>
  </si>
  <si>
    <t>Euro profile Double Cylinder, size 32/32, total length 64mm, Brass material, 3 brass normal keys, 5-pins, Satin nickel, Color box</t>
  </si>
  <si>
    <t>10-0502-3535-00-22-11</t>
  </si>
  <si>
    <t>Euro profile Double Cylinder, size 35/35, total length 70mm, Brass material, 3 brass normal keys, 5-pins, Satin nickel, Color box</t>
  </si>
  <si>
    <t>10-0502-4040-00-22-11</t>
  </si>
  <si>
    <t>Euro profile Double Cylinder, size 40/40, total length 80mm, Brass material, 3 brass normal keys, 5-pins, Satin nickel, Color box</t>
  </si>
  <si>
    <t>10-0502-4545-00-22-11</t>
  </si>
  <si>
    <t>Euro Profile double cylinder (45/45) 90mm</t>
  </si>
  <si>
    <t>10-0503-3030-CK-22-11</t>
  </si>
  <si>
    <t>Euro profile Cylinder with Thumbturn, size 30/30, total length 60mm, Brass material, 3 brass normal keys, 5-pins, Satin nickel, Color box</t>
  </si>
  <si>
    <t>10-0503-3232-CK-22-11</t>
  </si>
  <si>
    <t>Euro profile Cylinder with Thumbturn, size 32/32, total length 64mm, Brass material, 3 brass normal keys, 5-pins, Satin nickel, Color box</t>
  </si>
  <si>
    <t>10-0503-3535-CK-02-11</t>
  </si>
  <si>
    <t>Euro profile Cylinder with Thumbturn, size 35/35, total length 70mm, Brass material, 3 brass normal keys, 5-pins, Polish brass, Color box</t>
  </si>
  <si>
    <t>10-0503-3535-CK-22-11</t>
  </si>
  <si>
    <t>Euro profile Cylinder with Thumbturn, size 35/35, total length 70mm, Brass material, 3 brass normal keys, 5-pins, Satin nickel, Color box</t>
  </si>
  <si>
    <t>10-0503-4545-CK-09-11</t>
  </si>
  <si>
    <t>90mm Cylinder w/turn, 45/45, 5 pins W/3 keys, AB</t>
  </si>
  <si>
    <t>10-0513-3232-CK-02-11</t>
  </si>
  <si>
    <t>Euro profile Cylinder with Thumbturn, Privacy function, size 32/32, total length 64mm, Brass material, No keys Polish brass; color box</t>
  </si>
  <si>
    <t>10-0513-3232-CK-22-11</t>
  </si>
  <si>
    <t>Euro profile Privacy Cylinder one side thumbturn and coin,  64mm total length, Satin nickel, Color box, Satin nickel, Color box</t>
  </si>
  <si>
    <t>10-0513-3510-CK-22-11</t>
  </si>
  <si>
    <t>Euro single profile Cylinder with Thumbturn, Privacy function, size 35/10, total length 35mm, Brass material, No keys, Satin nickel, Color box</t>
  </si>
  <si>
    <t>10-0513-3535-CK-22-11</t>
  </si>
  <si>
    <t>Euro profile Cylinder with Thumbturn, Privacy function, size 35/35, total length 70mm, Brass material, No keys, Satin nickel, Color box</t>
  </si>
  <si>
    <t>10-1002-3535-00-22-01</t>
  </si>
  <si>
    <t>Euro profile Double Cylinder, size 35/35, total length 70mm, Brass material, 5 Brass Dimple Keys, 6-pins, Satin nickel, visual box</t>
  </si>
  <si>
    <t>10-1003-3535-CK-22-01</t>
  </si>
  <si>
    <t>Euro profile Cylinder with Thumbturn, size 35/35, total length 70mm, Brass material, 5 Brass Dimple Keys, 6-pins, Satin nickel, visual box</t>
  </si>
  <si>
    <t>AABT/30/30 US15</t>
  </si>
  <si>
    <t>Euro Profile Privacy Cylinder - 60mm</t>
  </si>
  <si>
    <t>AABT/32/32 US15</t>
  </si>
  <si>
    <t>Euro Profile Privacy Cylinder - 64mm</t>
  </si>
  <si>
    <t>AABT/35/35 US15</t>
  </si>
  <si>
    <t>Euro Profile Privacy Cylinder - 70mm</t>
  </si>
  <si>
    <t>AAC/45 US15</t>
  </si>
  <si>
    <t>Euro Profile Half Cylinder - 45mm</t>
  </si>
  <si>
    <t>AACT32/32SNKD US15</t>
  </si>
  <si>
    <t>Euro Profile Single Cylinder With Thumbturn - 64mm</t>
  </si>
  <si>
    <t>AACT35/35 US3</t>
  </si>
  <si>
    <t>Euro Profile Single Cylinder With Thumbturn - 70mm, Polish Brass</t>
  </si>
  <si>
    <t>AACT35/35SNKD US15</t>
  </si>
  <si>
    <t>Euro Profile Thumbturn Cylinder - 70mm</t>
  </si>
  <si>
    <t>AACT40/40SNKD US15</t>
  </si>
  <si>
    <t>Euro Profile Thumbturn Cylinder - 80mm</t>
  </si>
  <si>
    <t>AADC30/30SNKD US15</t>
  </si>
  <si>
    <t>Euro Profile Double Cylinder - 60mm</t>
  </si>
  <si>
    <t>AADC35/35 US3</t>
  </si>
  <si>
    <t>Euro Profile Double Cylinder - 70mm, Polish Brass</t>
  </si>
  <si>
    <t>AADC35/35SNKD US15</t>
  </si>
  <si>
    <t>Euro Profile Double Cylinder - 70mm</t>
  </si>
  <si>
    <t>AADC40/40SNKD US15</t>
  </si>
  <si>
    <t>Euro Profile Double Cylinder - 80mm</t>
  </si>
  <si>
    <t>AYKB</t>
  </si>
  <si>
    <t>Key Blank_ Yale Key Way</t>
  </si>
  <si>
    <t>Master Price List - Kaisite</t>
  </si>
  <si>
    <t>Product Category - Hinges, Lever Handle, Mortise Lockcase, Euro Profile Cylinders, Floor Spring, Patch Fitting, Pull Handle, Shower Fitting, Door Accessories</t>
  </si>
  <si>
    <t>Hinge 127x102x3mm - 2 Ball Bearing 304</t>
  </si>
  <si>
    <t>2BB 4.0" x 3.0" x 3.0mm PB</t>
  </si>
  <si>
    <t>Polished Brass - 605</t>
  </si>
  <si>
    <t>2 ball bearing 4" X 3" X 3.0mm s.steel hinge</t>
  </si>
  <si>
    <t>2BB 4.0" x 3.0" x 3.0mm PSS</t>
  </si>
  <si>
    <t>Polished Stainless Steel - 629</t>
  </si>
  <si>
    <t>2BB 4.0" x 3.0" x 3.0mm SB</t>
  </si>
  <si>
    <t>2BB 4.0" x 4.0" x 3.0mm PB</t>
  </si>
  <si>
    <t>2 ball bearing 4" X 4" X 3.0mm s.steel hinge</t>
  </si>
  <si>
    <t>2BB 4.0" x 4.0" x 3.0mm PSS</t>
  </si>
  <si>
    <t>2BB 4.0" x 4.0" x 3.0mm AB</t>
  </si>
  <si>
    <t>2BB 4.5" x 4.0" x 3.0mm PB</t>
  </si>
  <si>
    <t>2 ball bearing 4.5" X 4" X 3.0mm s.steel hinge</t>
  </si>
  <si>
    <t>2BB 4.5" x 4.0" x 3.0mm PSS</t>
  </si>
  <si>
    <t>2BB 4.5" x 4.0" x 3.0mm SSS</t>
  </si>
  <si>
    <t>Satin Stainless Steel - 630</t>
  </si>
  <si>
    <t>2BB 4.5" x 4.0" x 3.0mm AB</t>
  </si>
  <si>
    <t>2BB 4.5" x 4.5" x 3.4mm PB</t>
  </si>
  <si>
    <t>2 ball bearing 4.5" X 4.5" X 3.4mm s.steel hinge</t>
  </si>
  <si>
    <t>2BB 4.5" x 4.5" x 3.4mm PSD</t>
  </si>
  <si>
    <t>2BB 4.5" x 4.5" x 3.4mm SSS</t>
  </si>
  <si>
    <t>2BB 4.5" x 4.5" x 3.4mm AB</t>
  </si>
  <si>
    <t>4BB 4.5" x 4.0" x 4.6mm PSS</t>
  </si>
  <si>
    <t>4 ball bearing 4.5" X 4.0" X 4.6mm s.steel hinge</t>
  </si>
  <si>
    <t>4BB 4.5" x 4.0" x 4.6mm SSS</t>
  </si>
  <si>
    <t>4BB 4.5" x 4.0" x 4.6mm AB</t>
  </si>
  <si>
    <t>4BB 5.0" x 5.0" x 4.6mm PB</t>
  </si>
  <si>
    <t>4 ball bearing 5" X 5" X 4.6mm s.steel hinge</t>
  </si>
  <si>
    <t>4BB 5.0" x 5.0" x 4.6mm PSS</t>
  </si>
  <si>
    <t>4BB 5.0" x 5.0" x 4.6mm SSS</t>
  </si>
  <si>
    <t>2BB 4.5" X 4.0" X 3.4mm CC4 SSS</t>
  </si>
  <si>
    <t>2 bearing 4 wire electric hinge 4.5" X 4.0" X 3.4mm</t>
  </si>
  <si>
    <t>2BB 4.5" X 4.0" X 3.4mm CC4 AB</t>
  </si>
  <si>
    <t>2BB 4.5" X 4.0" X 3.4mm CC6 SSS</t>
  </si>
  <si>
    <t>2 bearing 6 wire electric hinge 4.5" X 4.0" X 3.4mm</t>
  </si>
  <si>
    <t>2BB 4.5" X 4.0" X 3.4mm CC6 AB</t>
  </si>
  <si>
    <t>2BB 4.5" X 4.0" X 3.4mm CC8 SSS</t>
  </si>
  <si>
    <t>2 bearing 8 wire electric hinge 4.5" X 4.0" X 3.4mm</t>
  </si>
  <si>
    <t>2BB 4.5" X 4.0" X 3.4mm CC8 AB</t>
  </si>
  <si>
    <t>2BB 4.5" X 4.5" X 3.4mm CC4 SSS</t>
  </si>
  <si>
    <t>2 bearing 4 wire electric hinge 4.5" X 4.5" X 3.4mm</t>
  </si>
  <si>
    <t>2BB 4.5" X 4.5" X 3.4mm CC4 AB</t>
  </si>
  <si>
    <t>2BB 4.5" X 4.5" X 3.4mm CC6 SSS</t>
  </si>
  <si>
    <t>2 bearing 6 wire electric hinge 4.5" X 4.5" X 3.4mm</t>
  </si>
  <si>
    <t>2BB 4.5" X 4.5" X 3.4mm CC6 AB</t>
  </si>
  <si>
    <t>2BB 4.5" X 4.5" X 3.4mm CC8 SSS</t>
  </si>
  <si>
    <t>2 bearing 8 wire electric hinge 4.5" X 4.5" X 3.4mm</t>
  </si>
  <si>
    <t>2BB 4.5" X 4.5" X 3.4mm CC8 AB</t>
  </si>
  <si>
    <t>CH007-01Z</t>
  </si>
  <si>
    <t>Zinc</t>
  </si>
  <si>
    <t>Zinc Die Cast Concealed Hinge 12 x 60</t>
  </si>
  <si>
    <t>CH007-02Z</t>
  </si>
  <si>
    <t>Zinc Die Cast Concealed Hinge 13 x 45</t>
  </si>
  <si>
    <t>CH007-03Z</t>
  </si>
  <si>
    <t>Zinc Die Cast Concealed Hinge 16 x 70</t>
  </si>
  <si>
    <t>CH007-04Z</t>
  </si>
  <si>
    <t>Zinc Die Cast Concealed Hinge 19 x 95</t>
  </si>
  <si>
    <t>CH007-05Z</t>
  </si>
  <si>
    <t>Zinc Die Cast Concealed Hinge 25 x 117</t>
  </si>
  <si>
    <t>CH007-06Z</t>
  </si>
  <si>
    <t>Zinc Die Cast Concealed Hinge 28 x 118</t>
  </si>
  <si>
    <t>CH007-07Z</t>
  </si>
  <si>
    <t>Zinc Die Cast Concealed Hinge 34 x 140</t>
  </si>
  <si>
    <t>CH007-04S</t>
  </si>
  <si>
    <t>Stainless Steel Concealed Hinge 19 x 95</t>
  </si>
  <si>
    <t>CH007-05S</t>
  </si>
  <si>
    <t>Stainless Steel Concealed Hinge 25 x 117</t>
  </si>
  <si>
    <t>CH007-06S</t>
  </si>
  <si>
    <t>Stainless Steel Concealed Hinge 28 x 118</t>
  </si>
  <si>
    <t>CH007-07S</t>
  </si>
  <si>
    <t>Stainless Steel Concealed Hinge 34 x 140</t>
  </si>
  <si>
    <t>CH-007-I08S</t>
  </si>
  <si>
    <t>2D 80kg Concealed Hinge</t>
  </si>
  <si>
    <t>CH-007-I10S</t>
  </si>
  <si>
    <t>2D 200kg Concealed Hinge</t>
  </si>
  <si>
    <t>CH-007-I09S</t>
  </si>
  <si>
    <t>3D 120kg Concealed Hinge</t>
  </si>
  <si>
    <t>ASL-010</t>
  </si>
  <si>
    <t xml:space="preserve">Solid Lever On Rose With Escutcheons </t>
  </si>
  <si>
    <t>ASL-020</t>
  </si>
  <si>
    <t>ASL-030</t>
  </si>
  <si>
    <t>ASL-040</t>
  </si>
  <si>
    <t>ASL-060</t>
  </si>
  <si>
    <t>ASL-070</t>
  </si>
  <si>
    <t>ASL-080</t>
  </si>
  <si>
    <t>ASL-090</t>
  </si>
  <si>
    <t>ATL-100</t>
  </si>
  <si>
    <t xml:space="preserve">Tubular Lever On Rose With Escutcheons </t>
  </si>
  <si>
    <t>AEP-050</t>
  </si>
  <si>
    <t>Euro Narrow Profile Cylinder Escutcheon</t>
  </si>
  <si>
    <t>AA5101 5572-F</t>
  </si>
  <si>
    <t>Euro Mortice Lock 55mm Backset CTC 72mm - Passage</t>
  </si>
  <si>
    <t>AA5103 5572-F</t>
  </si>
  <si>
    <t xml:space="preserve">Euro Mortice Lock 55mm Backset CTC 72mm  - Entrance </t>
  </si>
  <si>
    <t>AA5104 5572-F</t>
  </si>
  <si>
    <t>Euro Mortice Lock 55mm Backset CTC 72mm  - Deadlock</t>
  </si>
  <si>
    <t>AA5105 5572-F</t>
  </si>
  <si>
    <t xml:space="preserve">Euro Mortice Lock 55mm Backset CTC 72mm - Classroom </t>
  </si>
  <si>
    <t>AA5109 5572-F</t>
  </si>
  <si>
    <t xml:space="preserve">Euro Mortice Lock 55mm Backset CTC 72mm  - Privacy </t>
  </si>
  <si>
    <t>AA5106 5572-F</t>
  </si>
  <si>
    <t>Euro Mortice Lock 55mm Backset CTC 72mm - Nightlatch</t>
  </si>
  <si>
    <t>AA510R 5572-F</t>
  </si>
  <si>
    <t xml:space="preserve">Euro Mortice Lock 55mm Backset CTC 72mm - Roller Bolt Entrance </t>
  </si>
  <si>
    <t>AA510P 5572-F</t>
  </si>
  <si>
    <t xml:space="preserve">Euro Mortice Lock 55mm Backset CTC 72mm - Panic Escape Lockset </t>
  </si>
  <si>
    <t>AA5101 3085</t>
  </si>
  <si>
    <t>Narrow Stile Passage Lock 30mm BS</t>
  </si>
  <si>
    <t>AA5101 3585</t>
  </si>
  <si>
    <t>Narrow Stile Passage Lock 35MM BS</t>
  </si>
  <si>
    <t>AA5103 2085</t>
  </si>
  <si>
    <t>Narrow Stile Entrance Lock 20mm BS</t>
  </si>
  <si>
    <t>AA5103 2585</t>
  </si>
  <si>
    <t>Narrow Stile Entrance Lock 25mm BS</t>
  </si>
  <si>
    <t>AA5103 3085</t>
  </si>
  <si>
    <t>Narrow Stile Entrance Lock 30mm BS</t>
  </si>
  <si>
    <t>AA5103 3585</t>
  </si>
  <si>
    <t>Narrow Stile Entrance Lock 35mm BS</t>
  </si>
  <si>
    <t>AA5104 3085</t>
  </si>
  <si>
    <t>Narrow Stile Dead Lock 30mm BS</t>
  </si>
  <si>
    <t>AA5104 3585</t>
  </si>
  <si>
    <t>Narrow Stile Dead Lock 35mm BS</t>
  </si>
  <si>
    <t>AA510R 3085</t>
  </si>
  <si>
    <t>Narrow Stile Roller Bolt Lock 30mm BS</t>
  </si>
  <si>
    <t>AA510R 3585</t>
  </si>
  <si>
    <t>Narrow Stile Roller Bolt Lock 35mm BS</t>
  </si>
  <si>
    <t>AA5201</t>
  </si>
  <si>
    <t>Euro Profile Passage Lock</t>
  </si>
  <si>
    <t>Floor Springs</t>
  </si>
  <si>
    <t>AAP112</t>
  </si>
  <si>
    <t>Satin Stainless Steel - US32D</t>
  </si>
  <si>
    <t>200 Kg center pivot</t>
  </si>
  <si>
    <t>AAP150R/L</t>
  </si>
  <si>
    <t>120 Kg Offset Pivot</t>
  </si>
  <si>
    <t>AAP150SR/L</t>
  </si>
  <si>
    <t>100 Kg Offset Pivot, Jamb Mount</t>
  </si>
  <si>
    <t>AAP150HR/L</t>
  </si>
  <si>
    <t>120 Kg Offset Pivot, Jamb Mount</t>
  </si>
  <si>
    <t>ABP-010 SSS</t>
  </si>
  <si>
    <t>Bottom Door Patch To Suit Floor Springs</t>
  </si>
  <si>
    <t>ATP-020 SSS</t>
  </si>
  <si>
    <t>Top Door Patch To Suit 15 mm Pivot</t>
  </si>
  <si>
    <t>ATPT-022 SSS</t>
  </si>
  <si>
    <t>Top Patch To Suit Transom Closer (Side Load)</t>
  </si>
  <si>
    <t>ATPO-030 SSS</t>
  </si>
  <si>
    <t>Top Patch With 15 mm Pivot</t>
  </si>
  <si>
    <t>ATPT-022 PSS</t>
  </si>
  <si>
    <t>ATPS-035 SSS</t>
  </si>
  <si>
    <t xml:space="preserve">Over Panel Patch With 15 mm Pivot W/ Fixing Plate </t>
  </si>
  <si>
    <t>ATPS-040 SSS</t>
  </si>
  <si>
    <t>Top Patch For Over &amp; Side Panel W/ 15 mm Pivot</t>
  </si>
  <si>
    <t>AOPS-041L SSS</t>
  </si>
  <si>
    <t>Patch - Over Panel, Side Panel W/ Fin Fitting Left</t>
  </si>
  <si>
    <t>AOPS-041R SSS</t>
  </si>
  <si>
    <t>Patch - Over Panel, Side Panel W/ Fin Fitting Right</t>
  </si>
  <si>
    <t>ATPS-035 PSS</t>
  </si>
  <si>
    <t>AOPS-041L PSS</t>
  </si>
  <si>
    <t>AOPS-041R PSS</t>
  </si>
  <si>
    <t>AOPC-060 SSS</t>
  </si>
  <si>
    <t>Over Panel And Side Panel For Double Or Single Swing Doors</t>
  </si>
  <si>
    <t>AOPC-061 SSS</t>
  </si>
  <si>
    <t>AOPC-062 SSS</t>
  </si>
  <si>
    <t>Connector For Over Panel And Side Panel With Stop</t>
  </si>
  <si>
    <t>AOPC-060 PSS</t>
  </si>
  <si>
    <t>AOPC-061 PSS</t>
  </si>
  <si>
    <t>AOPC-062 PSS</t>
  </si>
  <si>
    <t>ACL-010 SSS</t>
  </si>
  <si>
    <t>Corner Lock Suits Euro Profile Cylinder</t>
  </si>
  <si>
    <t>ACL-020 SSS</t>
  </si>
  <si>
    <t>Centre Lock Suits Euro Profile Cylinder</t>
  </si>
  <si>
    <t>ADCS-020 SSS</t>
  </si>
  <si>
    <t>Double Over Panel Strike Box (Suits ACL-010)</t>
  </si>
  <si>
    <t>ACL-010 PSS</t>
  </si>
  <si>
    <t>ACL-020 PSS</t>
  </si>
  <si>
    <t>ADCS-020 PSS</t>
  </si>
  <si>
    <t>AUSB-050 SSS</t>
  </si>
  <si>
    <t>Single Over Panel Strike Box (Suits ACL-010)</t>
  </si>
  <si>
    <t>AOCS-040 SSS</t>
  </si>
  <si>
    <t>Corner Over Panel Strike Box</t>
  </si>
  <si>
    <t>ASCS-030 SSS</t>
  </si>
  <si>
    <t>Universal Strike Box (Suits ACL-020)</t>
  </si>
  <si>
    <t>AUSB-050 PSS</t>
  </si>
  <si>
    <t>AOCS-040 PSS</t>
  </si>
  <si>
    <t>ASCS-030 PSS</t>
  </si>
  <si>
    <t>ATLG 502-15 SSS</t>
  </si>
  <si>
    <t>Top Pivot</t>
  </si>
  <si>
    <t>985-35</t>
  </si>
  <si>
    <t>Bottom Pivot - Heavy duty</t>
  </si>
  <si>
    <t>Pull Handle</t>
  </si>
  <si>
    <t>AEH-01 SSS</t>
  </si>
  <si>
    <t>H Type BTB Entrance Handles 350mm CTC</t>
  </si>
  <si>
    <t>AEH-01A SSS</t>
  </si>
  <si>
    <t>H Type BTB Entrance Handles 450Mm CTC</t>
  </si>
  <si>
    <t>AEH-01B SSS</t>
  </si>
  <si>
    <t>H Type BTB Entrance Handles 600Mm CTC</t>
  </si>
  <si>
    <t>AEH-01C SSS</t>
  </si>
  <si>
    <t>H Type BTB Entrance Handles 900Mm CTC</t>
  </si>
  <si>
    <t>AEH-01D SSS</t>
  </si>
  <si>
    <t>H Type BTB Entrance Handles 1200Mm CTC</t>
  </si>
  <si>
    <t>AEH-01E SSS</t>
  </si>
  <si>
    <t>H Type BTB Entrance Handles 1500Mm CTC</t>
  </si>
  <si>
    <t>AEH-02A SSS</t>
  </si>
  <si>
    <t xml:space="preserve">D Type Square BTB Entrance Handles 450mm </t>
  </si>
  <si>
    <t>AEH-02B SSS</t>
  </si>
  <si>
    <t xml:space="preserve">D Type Square BTB Entrance Handles 600mm </t>
  </si>
  <si>
    <t>AEH-02C SSS</t>
  </si>
  <si>
    <t xml:space="preserve">D Type Square BTB Entrance Handles 900mm </t>
  </si>
  <si>
    <t>AEH-02D SSS</t>
  </si>
  <si>
    <t xml:space="preserve">D Type Square BTB Entrance Handles 1200mm </t>
  </si>
  <si>
    <t>AEH-02E SSS</t>
  </si>
  <si>
    <t xml:space="preserve">D Type Square BTB Entrance Handles 1500mm </t>
  </si>
  <si>
    <t>AEH-01 PSS</t>
  </si>
  <si>
    <t>AEH-01A PSS</t>
  </si>
  <si>
    <t>AEH-01B PSS</t>
  </si>
  <si>
    <t>AEH-01C PSS</t>
  </si>
  <si>
    <t>AEH-01D PSS</t>
  </si>
  <si>
    <t>AEH-01E PSS</t>
  </si>
  <si>
    <t>AEH-02A PSS</t>
  </si>
  <si>
    <t>AEH-02B PSS</t>
  </si>
  <si>
    <t>AEH-02C PSS</t>
  </si>
  <si>
    <t>AEH-02D PSS</t>
  </si>
  <si>
    <t>AEH-02E PSS</t>
  </si>
  <si>
    <t>AEH-03A SSS</t>
  </si>
  <si>
    <t>H Type Square BTB Entrance Handles 375mm CTC</t>
  </si>
  <si>
    <t>AEH-03B SSS</t>
  </si>
  <si>
    <t>H Type Square BTB Entrance Handles 525mm CTC</t>
  </si>
  <si>
    <t>AEH-04A SSS</t>
  </si>
  <si>
    <t xml:space="preserve">D Type Offset Square BTB Entrance Handles 450mm </t>
  </si>
  <si>
    <t>AEH-04B SSS</t>
  </si>
  <si>
    <t xml:space="preserve">D Type Offset Square BTB Entrance Handles 600mm </t>
  </si>
  <si>
    <t>AEH-04C SSS</t>
  </si>
  <si>
    <t xml:space="preserve">D Type Offset Square BTB Entrance Handles 900mm </t>
  </si>
  <si>
    <t>AEH-04D SSS</t>
  </si>
  <si>
    <t xml:space="preserve">D Type Offset Square BTB Entrance Handles 1200mm </t>
  </si>
  <si>
    <t>AEH-04E SSS</t>
  </si>
  <si>
    <t xml:space="preserve">D Type Offset Square BTB Entrance Handles 1500mm </t>
  </si>
  <si>
    <t>AEH-03A PSS</t>
  </si>
  <si>
    <t>AEH-03B PSS</t>
  </si>
  <si>
    <t>AEH-04A PSS</t>
  </si>
  <si>
    <t>AEH-04B PSS</t>
  </si>
  <si>
    <t>AEH-04C PSS</t>
  </si>
  <si>
    <t>AEH-04D PSS</t>
  </si>
  <si>
    <t>AEH-04E PSS</t>
  </si>
  <si>
    <t>AEH-05A SSS</t>
  </si>
  <si>
    <t xml:space="preserve">D Type Curved BTB Entrance Handles 450mm </t>
  </si>
  <si>
    <t>AEH-05B SSS</t>
  </si>
  <si>
    <t xml:space="preserve">D Type Curved BTB Entrance Handles 600mm </t>
  </si>
  <si>
    <t>AEH-11-200 SSS</t>
  </si>
  <si>
    <t>D Type BTB Entrance Handles 200x19mm</t>
  </si>
  <si>
    <t>AEH-11A-300 SSS</t>
  </si>
  <si>
    <t>D Type BTB Entrance Handles 300x25mm</t>
  </si>
  <si>
    <t>AEH-11B-300 SSS</t>
  </si>
  <si>
    <t>D Type BTB Entrance Handles 300x19mm</t>
  </si>
  <si>
    <t>ADP-02 SSS</t>
  </si>
  <si>
    <t>D Type Single Side Entrance Handles 150X19mm</t>
  </si>
  <si>
    <t>ADP-03 SSS</t>
  </si>
  <si>
    <t>D Type Single Side Entrance Handles 200X19mm</t>
  </si>
  <si>
    <t>AEH-05A PSS</t>
  </si>
  <si>
    <t>AEH-05B PSS</t>
  </si>
  <si>
    <t>AEH-11-200 PSS</t>
  </si>
  <si>
    <t>AEH-11A-300 PSS</t>
  </si>
  <si>
    <t>AEH-11B-300 PSS</t>
  </si>
  <si>
    <t>ADP-02 PSS</t>
  </si>
  <si>
    <t>ADP-03 PSS</t>
  </si>
  <si>
    <t>AWGR-01</t>
  </si>
  <si>
    <t>Shower Hinge Wall To Glass 90° Round Edge - Both Side Back Plate</t>
  </si>
  <si>
    <t>AWGR-02</t>
  </si>
  <si>
    <t>Shower Hinge Wall To Glass 90° Round Edge - Single Side Back Plate</t>
  </si>
  <si>
    <t>AWGR-03</t>
  </si>
  <si>
    <t>Shower Hinge Wall To Glass 135° Round Edge</t>
  </si>
  <si>
    <t>AGGR-01</t>
  </si>
  <si>
    <t>Shower Hinge Glass To Glass 180° Round Edge</t>
  </si>
  <si>
    <t>AGGR-02</t>
  </si>
  <si>
    <t>Shower Hinge Glass To Glass 135° Round Edge</t>
  </si>
  <si>
    <t>AGGR-03</t>
  </si>
  <si>
    <t>Shower Hinge Glass To Glass 90° Round Edge</t>
  </si>
  <si>
    <t>AWGB-01R</t>
  </si>
  <si>
    <t>Shower Connector Wall To Glass 90° Round Edge - W/O Back plate</t>
  </si>
  <si>
    <t>AWGB-02R</t>
  </si>
  <si>
    <t>Shower Connector Wall To Glass 90° Round Edge - Both Side Back Plate</t>
  </si>
  <si>
    <t>AWGS-01</t>
  </si>
  <si>
    <t>Shower Hinge Wall To Glass 90° Straight Edge - Both Side Back Plate</t>
  </si>
  <si>
    <t>AWGS-02</t>
  </si>
  <si>
    <t>Shower Hinge Wall To Glass 90° Straight Edge - Single Side Back Plate</t>
  </si>
  <si>
    <t>AGGS-01</t>
  </si>
  <si>
    <t>Shower Hinge Glass To Glass 180° Straight Edge</t>
  </si>
  <si>
    <t>AGGS-02</t>
  </si>
  <si>
    <t>Shower Hinge Glass To Glass 135° Straight Edge</t>
  </si>
  <si>
    <t>AGGS-03</t>
  </si>
  <si>
    <t>Shower Hinge Glass To Glass 90° Straight Edge</t>
  </si>
  <si>
    <t>AWGB-01S</t>
  </si>
  <si>
    <t>Shower Connector Wall To Glass 90° Straight Edge  - W/O Back Plate</t>
  </si>
  <si>
    <t>AWGB-02S</t>
  </si>
  <si>
    <t>Shower Connector Wall To Glass 90° Straight Edge - Both Side Back Plate</t>
  </si>
  <si>
    <t>AGCR-01</t>
  </si>
  <si>
    <t>Shower Small Connector Wall To Glass 90° Round Edge</t>
  </si>
  <si>
    <t>AGCR-02</t>
  </si>
  <si>
    <t>AGCR-03</t>
  </si>
  <si>
    <t>Shower Small Connector Wall To Glass 90° Round Edge - Single Side Back plate</t>
  </si>
  <si>
    <t>AGCR-04</t>
  </si>
  <si>
    <t>Shower Small Connector Wall To Glass 180° Round Edge</t>
  </si>
  <si>
    <t>AGCR-05</t>
  </si>
  <si>
    <t>Shower Small Connector Glass To Glass 180° Round Edge</t>
  </si>
  <si>
    <t>AGCR-06</t>
  </si>
  <si>
    <t>Shower Small Connector Glass To Glass 90° Round Edge</t>
  </si>
  <si>
    <t>AGCR-07</t>
  </si>
  <si>
    <t>Shower Small Connector Glass To Glass 135° Round Edge</t>
  </si>
  <si>
    <t>AGCS-02</t>
  </si>
  <si>
    <t>Shower Small Connector Wall To Glass 90° Straight Edge</t>
  </si>
  <si>
    <t>AGCS-03</t>
  </si>
  <si>
    <t>Shower Small Connector Wall To Glass 90° Straight Edge - Single Side Back Plate</t>
  </si>
  <si>
    <t>AGCS-04</t>
  </si>
  <si>
    <t>Shower Small Connector Wall To Glass 180° Straight Edge</t>
  </si>
  <si>
    <t>AGCS-05</t>
  </si>
  <si>
    <t>Shower Small Connector Glass To Glass 180° Straight Edge</t>
  </si>
  <si>
    <t>AGCS-06</t>
  </si>
  <si>
    <t>Shower Small Connector Glass To Glass 90° Straight Edge</t>
  </si>
  <si>
    <t>AGCS-07</t>
  </si>
  <si>
    <t>Shower Small Connector Glass To Glass 135° Straight Edge</t>
  </si>
  <si>
    <t>ASH101/19/200x450</t>
  </si>
  <si>
    <t>Polished Stainless</t>
  </si>
  <si>
    <t>Towel Rod Cum Pull Handle 19x200x450mm</t>
  </si>
  <si>
    <t>ASH101/19/250x450</t>
  </si>
  <si>
    <t>Towel Rod Cum Pull Handle 19x250x450mm</t>
  </si>
  <si>
    <t>ASH101/25/200x450</t>
  </si>
  <si>
    <t>Towel Rod Cum Pull Handle 25x200x450mm</t>
  </si>
  <si>
    <t>ASH101/25/250x450</t>
  </si>
  <si>
    <t>Towel Rod Cum Pull Handle 25x250x450mm</t>
  </si>
  <si>
    <t>ASH111/19/150</t>
  </si>
  <si>
    <t>Shower Door Pull Handle 19x150mm</t>
  </si>
  <si>
    <t>ASH111/19/200</t>
  </si>
  <si>
    <t>Shower Door Pull Handle 19x200mm</t>
  </si>
  <si>
    <t>ASH111/19/250</t>
  </si>
  <si>
    <t>Shower Door Pull Handle 19x250mm</t>
  </si>
  <si>
    <t>ASH111/19/300</t>
  </si>
  <si>
    <t>Shower Door Pull Handle 19x300mm</t>
  </si>
  <si>
    <t>ASH111/25/250</t>
  </si>
  <si>
    <t>Shower Door Pull Handle 25x250mm</t>
  </si>
  <si>
    <t>ASH111/25/300</t>
  </si>
  <si>
    <t>Shower Door Pull Handle 25x300mm</t>
  </si>
  <si>
    <t>ASH115/20/200</t>
  </si>
  <si>
    <t>Shower Door Pull Handle Square 20x20x200mm</t>
  </si>
  <si>
    <t>ASH115/20/250</t>
  </si>
  <si>
    <t>Shower Door Pull Handle Square 20x20x250mm</t>
  </si>
  <si>
    <t>ASH115/20/300</t>
  </si>
  <si>
    <t>Shower Door Pull Handle Square 20x20x300mm</t>
  </si>
  <si>
    <t>ASH115/20/450</t>
  </si>
  <si>
    <t>Shower Door Pull Handle Square 20x20x450mm</t>
  </si>
  <si>
    <t>ASH117/19/200x450</t>
  </si>
  <si>
    <t>ASH117/19/250x450</t>
  </si>
  <si>
    <t>ASH117/25/200x450</t>
  </si>
  <si>
    <t>ASH117/25/250x450</t>
  </si>
  <si>
    <t>ASK102</t>
  </si>
  <si>
    <t>Shower Door Knob</t>
  </si>
  <si>
    <t>ASK105</t>
  </si>
  <si>
    <t>AMS11-6-8</t>
  </si>
  <si>
    <t>PVC</t>
  </si>
  <si>
    <t>Shower Seal Glass To Glass</t>
  </si>
  <si>
    <t>Meter</t>
  </si>
  <si>
    <t>AMS11-8-10</t>
  </si>
  <si>
    <t>AMS11-10-12</t>
  </si>
  <si>
    <t>ACS1-6-8</t>
  </si>
  <si>
    <t xml:space="preserve">Shower Seal Glass To Glass 180° </t>
  </si>
  <si>
    <t>ACS1-8-10</t>
  </si>
  <si>
    <t>ACS2R-6-8</t>
  </si>
  <si>
    <t>Shower Seal Glass To Glass 90°</t>
  </si>
  <si>
    <t>ACS2R-8-10</t>
  </si>
  <si>
    <t>ACS6-6-8</t>
  </si>
  <si>
    <t>Shower Seal Glass To Floor Water Disperser</t>
  </si>
  <si>
    <t>ACS6-8-10</t>
  </si>
  <si>
    <t>AMS9-10-12</t>
  </si>
  <si>
    <t>Shower Seal Glass To Glass 180° Magnetic Seal</t>
  </si>
  <si>
    <t>AMS10-10-12</t>
  </si>
  <si>
    <t>Shower Seal Glass To Glass 90° Magnetic Seal</t>
  </si>
  <si>
    <t>AFP-03</t>
  </si>
  <si>
    <t>Flush Pull 65x65mm Square Concealed Fix</t>
  </si>
  <si>
    <t>AFS-03</t>
  </si>
  <si>
    <t>Conical Floor Door Stop</t>
  </si>
  <si>
    <t>AWS-01</t>
  </si>
  <si>
    <t>Wall Door Stop - Cylindrical</t>
  </si>
  <si>
    <t>AWS-02</t>
  </si>
  <si>
    <t>Wall Door Stop - Square</t>
  </si>
  <si>
    <t>ADSS-01</t>
  </si>
  <si>
    <t>Zinc Alloy</t>
  </si>
  <si>
    <t>Security Door Chain</t>
  </si>
  <si>
    <t>ZA</t>
  </si>
  <si>
    <t>ADSS-02</t>
  </si>
  <si>
    <t>Security Door Guard</t>
  </si>
  <si>
    <t>ADSS-03</t>
  </si>
  <si>
    <t>180° Door Viewer</t>
  </si>
  <si>
    <t>ADSS-04</t>
  </si>
  <si>
    <t>Hex Key Security Door Bolt</t>
  </si>
  <si>
    <t>ACP-01</t>
  </si>
  <si>
    <t>Euro Cylinder Pull</t>
  </si>
  <si>
    <t>ABB-01</t>
  </si>
  <si>
    <t>Barrel Bolt - Surface Fixed 100 mm</t>
  </si>
  <si>
    <t>ABB-02</t>
  </si>
  <si>
    <t>Barrel Bolt - Surface Fixed 150 mm</t>
  </si>
  <si>
    <t>ABB-03</t>
  </si>
  <si>
    <t>Barrel Bolt - Surface Fixed 200 mm</t>
  </si>
  <si>
    <t>ABT-03</t>
  </si>
  <si>
    <t xml:space="preserve">Flush Bolt Timber - 457mm </t>
  </si>
  <si>
    <t>ABA-02</t>
  </si>
  <si>
    <t xml:space="preserve">Flush Bolt Metal - 450mm </t>
  </si>
  <si>
    <t>ABR-01</t>
  </si>
  <si>
    <t>Mortice Adjustable Roller Bolt</t>
  </si>
  <si>
    <t>ABTI-01</t>
  </si>
  <si>
    <t>Mortice Toilet Indicator Set</t>
  </si>
  <si>
    <t>AFRPL-01</t>
  </si>
  <si>
    <t>Mortice Flush Ring Pull</t>
  </si>
  <si>
    <t>ASLF-01</t>
  </si>
  <si>
    <t>Euro Mortice Sliding Door Lock Cylinders Escutcheon Set</t>
  </si>
  <si>
    <t>ASLF-02</t>
  </si>
  <si>
    <t>Euro Mortice Sliding Door Lock Privacy Set</t>
  </si>
  <si>
    <t>AFDS-01</t>
  </si>
  <si>
    <t>AFDS-02</t>
  </si>
  <si>
    <t>Gravity door coordinator</t>
  </si>
  <si>
    <t>AFFB-01</t>
  </si>
  <si>
    <t>Door Automatic Flush Bolt</t>
  </si>
  <si>
    <t>DSW-005</t>
  </si>
  <si>
    <t>SQUARE ROD TYPE STOP</t>
  </si>
  <si>
    <t>DOH001</t>
  </si>
  <si>
    <t>STAPLE SHAPE MAGNETIC DOOR STOP AND HOLDER</t>
  </si>
  <si>
    <t>DOH002</t>
  </si>
  <si>
    <t>ROD TYPE MAGNETIC DOOR STOP AND HOLDER</t>
  </si>
  <si>
    <t>DOH003</t>
  </si>
  <si>
    <t>CONCEALED MAGNETIC DOOR HOLDER</t>
  </si>
  <si>
    <t>K195</t>
  </si>
  <si>
    <t>200 Kg offset pivot L/R handed</t>
  </si>
  <si>
    <t>K19</t>
  </si>
  <si>
    <t>50 Kg intermdiate pivot L/R handed</t>
  </si>
  <si>
    <t>AACSM32</t>
  </si>
  <si>
    <t>LINEAR TYPE CO-ORDINATOR</t>
  </si>
  <si>
    <t>AACSM42</t>
  </si>
  <si>
    <t>AACSM52</t>
  </si>
  <si>
    <t>AACSM60</t>
  </si>
  <si>
    <t>YML1803-5572 US32D</t>
  </si>
  <si>
    <t>Mortise sash lock;SS304 latch bolt, dead bolt,forend &amp; strike plate; forend in 22x235mm; SS follower; backset: 55mm, distance:72mm; with full set fixing accessories; Yale logo on the forend, Entrance door, satin stainless steel</t>
  </si>
  <si>
    <t>AST0113</t>
  </si>
  <si>
    <t>Sliding fitting set for 1 door, weight 100kg, non soft-close</t>
  </si>
  <si>
    <t>ATE0103</t>
  </si>
  <si>
    <t>Sliding door fitting Telescopic for 2 panel, max loading 100kg/panel</t>
  </si>
  <si>
    <t>Terms:</t>
  </si>
  <si>
    <t>1.  Price is for Ex-works.</t>
  </si>
  <si>
    <t>2. Min. order value ( MOV)  less than USD 5,000/shipment, extra charges USD 200 for handling fee ;</t>
  </si>
  <si>
    <t>3. Payment : T/T 75 days after shipment agreed for ASSAABLOY group</t>
  </si>
  <si>
    <t>4. Price reviews as per on materails and exchanged rate outside range.If the fluctuation is exceeded the accetpable arange as below ,price need to be reviewed before ordering.</t>
  </si>
  <si>
    <t xml:space="preserve">  a)  Exchange rate : +/- 1% ( 1 USD = 7.0 RMB)  </t>
  </si>
  <si>
    <t xml:space="preserve">  b)  Material : +/- 5% </t>
  </si>
  <si>
    <t>5. Normal lead time :  30~60 days, subject to order confirmation.</t>
  </si>
  <si>
    <t>6. Packaging: inner box &amp; outer box can be white box or brown box.</t>
  </si>
  <si>
    <t>7. Valid from January 01 , 2025 to March 31, 2025.</t>
  </si>
  <si>
    <t>Master Price List - Lao Lun Si</t>
  </si>
  <si>
    <t>Product Category - Hinges, Shower Fittings, Toilet Accessories, Push Pulls, Overhead Holders &amp; Stop, Bolts, Door Bottom, Others</t>
  </si>
  <si>
    <t>Lao Lun Si (Roness)</t>
  </si>
  <si>
    <t>AA-3CH-01</t>
  </si>
  <si>
    <t>Concealed Hinge Zinc Alloy 3D Adjustable - 40kg</t>
  </si>
  <si>
    <t>AA-3CH-02</t>
  </si>
  <si>
    <t>Concealed Hinge Zinc Alloy 3D Adjustable - 60kg</t>
  </si>
  <si>
    <t>AA-3CH-03</t>
  </si>
  <si>
    <t>Concealed Hinge SS 3D Adjustable - 80kg</t>
  </si>
  <si>
    <t>AA-3CH-04</t>
  </si>
  <si>
    <t>Concealed Hinge SS 3D Adjustable - 120kg</t>
  </si>
  <si>
    <t xml:space="preserve">AACSMG0 </t>
  </si>
  <si>
    <t>Liner Type Co-ordinator 60 (1524mm)</t>
  </si>
  <si>
    <t>AA-FH-01</t>
  </si>
  <si>
    <t>Flush Hinge 101x79x2.5mm SS304 - 40kg</t>
  </si>
  <si>
    <t>AA-LH-01</t>
  </si>
  <si>
    <t>Lift Off Hinge 100x88x3mm SS304 - 40kg</t>
  </si>
  <si>
    <t>AA-LH-02</t>
  </si>
  <si>
    <t>Lift Off Hinge 127x100x3mm SS304 - 40kg</t>
  </si>
  <si>
    <t>AA-SH-01</t>
  </si>
  <si>
    <t>Spring Hinge - Single Action 102x102x3mm SS304 - 40kg</t>
  </si>
  <si>
    <t>AA-SH-02</t>
  </si>
  <si>
    <t>Spring Hinge - Single Action 102x76x3mm SS304  - 40kg</t>
  </si>
  <si>
    <t>ACS2-6-8</t>
  </si>
  <si>
    <t>Shower Seal Glass To Glass 180°</t>
  </si>
  <si>
    <t>METER</t>
  </si>
  <si>
    <t>ACS2-8-10</t>
  </si>
  <si>
    <t>ACS2B-6-8</t>
  </si>
  <si>
    <t>ACS2B-8-10</t>
  </si>
  <si>
    <t>ACS3-6-8</t>
  </si>
  <si>
    <t>Shower Seal Glass To Glass 135°</t>
  </si>
  <si>
    <t>ACS3-8-10</t>
  </si>
  <si>
    <t>ACS4-6-8</t>
  </si>
  <si>
    <t>Shower Seal Glass To Wall</t>
  </si>
  <si>
    <t>ACS4-8-10</t>
  </si>
  <si>
    <t>ACS5-6-8</t>
  </si>
  <si>
    <t>ACS5-8-10</t>
  </si>
  <si>
    <t>AFBA-01</t>
  </si>
  <si>
    <t>DUST PROOF STRIKE</t>
  </si>
  <si>
    <t>AFP-01</t>
  </si>
  <si>
    <t>Flush Pull 120x50mm Rectangular Concealed Fix</t>
  </si>
  <si>
    <t>AFP-02</t>
  </si>
  <si>
    <t>Flush Pull 150x50mm Rectangular Concealed Fix</t>
  </si>
  <si>
    <t>AFP-04</t>
  </si>
  <si>
    <t>Flush Pull 65mm Dia Round Concealed Fix</t>
  </si>
  <si>
    <t>AFP-05</t>
  </si>
  <si>
    <t>Flush Ring Pull Visible Fix 43x63mm</t>
  </si>
  <si>
    <t>AFS-01</t>
  </si>
  <si>
    <t>Half Moon Floor Door Stop</t>
  </si>
  <si>
    <t>AFS-02</t>
  </si>
  <si>
    <t>Elite Floor Door Stop</t>
  </si>
  <si>
    <t>AGCS-01</t>
  </si>
  <si>
    <t>AMS10-6-8</t>
  </si>
  <si>
    <t>AMS10-8-10</t>
  </si>
  <si>
    <t>AMS8-6-8</t>
  </si>
  <si>
    <t>Shower Seal Glass To Glass 135° Magnetic Seal</t>
  </si>
  <si>
    <t>AMS8-8-10</t>
  </si>
  <si>
    <t>AMS9-6-8</t>
  </si>
  <si>
    <t>AMS9-8-10</t>
  </si>
  <si>
    <t>APOP-3075</t>
  </si>
  <si>
    <t>D Pull 200x19mm w/Plate 300x75mm Visible Fix</t>
  </si>
  <si>
    <t>APOP-3100</t>
  </si>
  <si>
    <t>D Pull 200x19mm w/Plate 300x100mm Visible Fix</t>
  </si>
  <si>
    <t>APP-3075</t>
  </si>
  <si>
    <t xml:space="preserve">Push Plate 300x75mm Visible Fix </t>
  </si>
  <si>
    <t>APP-3100</t>
  </si>
  <si>
    <t xml:space="preserve">Push Plate 300x100mm Visible Fix </t>
  </si>
  <si>
    <t>ARH-04</t>
  </si>
  <si>
    <t>Coat/robe hook</t>
  </si>
  <si>
    <t>Overhead Holders and Stops</t>
  </si>
  <si>
    <t>ARH-05</t>
  </si>
  <si>
    <t>Coat/robe hook &amp; door stopper</t>
  </si>
  <si>
    <t>ASC-904</t>
  </si>
  <si>
    <t>Support Bar Wall Connector For 18mm Bar</t>
  </si>
  <si>
    <t>ASC-911-19</t>
  </si>
  <si>
    <t>Support Bar Glass Clamp</t>
  </si>
  <si>
    <t>AWGB-03R</t>
  </si>
  <si>
    <t>Shower Connector Wall To Glass 90° Round Edge - Single Side Back Plate</t>
  </si>
  <si>
    <t>CH007-I08S</t>
  </si>
  <si>
    <t>2D Concealed adjustable hinge</t>
  </si>
  <si>
    <t>CH007-I09S</t>
  </si>
  <si>
    <t>3D Concealed adjustable hinge</t>
  </si>
  <si>
    <t>CH007-I10S</t>
  </si>
  <si>
    <t>AA-316-HL01</t>
  </si>
  <si>
    <t>SUS316 Handle, SDL2609</t>
  </si>
  <si>
    <t>AA-316-MO01</t>
  </si>
  <si>
    <t>SUS316 Mortise</t>
  </si>
  <si>
    <t>AA-316-HI01</t>
  </si>
  <si>
    <t xml:space="preserve">SUS316 Butt hinge, 102x76x3mm, 4BB </t>
  </si>
  <si>
    <t>Master Price List - Liko</t>
  </si>
  <si>
    <t>Y2BB-03 US19</t>
  </si>
  <si>
    <t xml:space="preserve">SS304 butt hinge, with 2BB; with SS201 fixed pin, flat tip, ball bearings and screws; 4"X3"X3.0mm (102x76x3mm), with template hole;with stamped logo, matt black color; packed in color box  </t>
  </si>
  <si>
    <t>75-90</t>
  </si>
  <si>
    <t>Y2BB-03 US32D</t>
  </si>
  <si>
    <t xml:space="preserve">SS304 butt hinge, with 2BB; with SS201 fixed pin, flat tip, ball bearings and screws; 4"X3"X3.0mm (102x76x3mm), with template hole;with stamped logo, packed in color box  </t>
  </si>
  <si>
    <t>60-75</t>
  </si>
  <si>
    <t>Y2BB-03 US4</t>
  </si>
  <si>
    <t xml:space="preserve">SS304 butt hinge, with 2BB; with SS201 fixed pin, flat tip, ball bearings and screws; 4"X3"X3.0mm (102x76x3mm), with template hole;with stamped logo, satin brass color; packed in color box  </t>
  </si>
  <si>
    <t>Y2BB-04 M6</t>
  </si>
  <si>
    <t>SS304 butt hinge with 2BB, size 5"x3.5"x3mm, matt finished, with SS201 fixed pin, flat tip, ball bearings and fixing screw for metal door</t>
  </si>
  <si>
    <t>Y2BB-04 M6 US32D</t>
  </si>
  <si>
    <t xml:space="preserve">SS304 butt hinge, 2 ball bearing, 5"X3.5"X3.0mm (127x89x3mm), with SS201 fixed pin, flat tip, ball bearings and machine screws, with template hole, packed in color box  </t>
  </si>
  <si>
    <t xml:space="preserve">Y2BB-04 </t>
  </si>
  <si>
    <t>SS304 butt hinge with 2BB, size 5"x3.5"x3mm, with SS201 fixed pin, flat tip, ball bearings and screws, satin black finished</t>
  </si>
  <si>
    <t>Y2BB-04 US19</t>
  </si>
  <si>
    <t>SS304 butt hinge, with 2BB; with SS201 fixed pin, flat tip, ball bearings and screws; 5"X3.5"X3.0mm (127x89x3mm), with template hole;with stamped logo, packed in color box  , matt black</t>
  </si>
  <si>
    <t>Y2BB-04</t>
  </si>
  <si>
    <t>SS304 butt hinge with 2BB, size 5"x3.5"x3mm, with SS201 fixed pin, flat tip, ball bearings and screws, matt finished</t>
  </si>
  <si>
    <t>Y2BB-04 US32D</t>
  </si>
  <si>
    <t xml:space="preserve">SS304 butt hinge, with 2BB; with SS201 fixed pin, flat tip, ball bearings and screws; 5"X3.5"X3.0mm (127x89x3mm), with template hole;with stamped logo, packed in color box  </t>
  </si>
  <si>
    <t>Y2BB3-06</t>
  </si>
  <si>
    <t>SS316 butt hinge with 2BB, size 5"x3.5"x3mm, with SS304 fixed pin, flat tip, ball bearings and screws, stamped logo, matt finished</t>
  </si>
  <si>
    <t>Y2BB3-06 US32D</t>
  </si>
  <si>
    <t xml:space="preserve">SS316 butt hinge, with 2BB; with SS304 fixed pin, flat tip 5"X3.5"X3.0mm (127x89x3mm), with template hole;with stamped logo, packed in color box  </t>
  </si>
  <si>
    <t>AH2BB-02 US32D</t>
  </si>
  <si>
    <t>SS304 102 x 76 x 3mm 2 Ball Bearing Hinge with SS201 fixed pin, flat tip, ball bearings and screws</t>
  </si>
  <si>
    <t>Master Price List - Limai</t>
  </si>
  <si>
    <t>Product Category - Speedgate, Turnstile, Full Height Turnstile, Automatic Barrier</t>
  </si>
  <si>
    <t>LM-W13-S</t>
  </si>
  <si>
    <t>Single Gate Model of W13 Speedgate</t>
  </si>
  <si>
    <t>LM-W13-D</t>
  </si>
  <si>
    <t>Double Gate Model of W13 Speedgate</t>
  </si>
  <si>
    <t>LM-W15-S</t>
  </si>
  <si>
    <t>Single Gate Model of W15 Speedgate</t>
  </si>
  <si>
    <t>LM-W15-D</t>
  </si>
  <si>
    <t>Double Gate Model of W15 Speedgate</t>
  </si>
  <si>
    <t>LM-W17-S</t>
  </si>
  <si>
    <t>Single Gate Model of W17 Facial Recognition Speedgate</t>
  </si>
  <si>
    <t>LM-W17-D</t>
  </si>
  <si>
    <t>Double Gate Model of W17 Facial Recognition Speedgate</t>
  </si>
  <si>
    <t>LM-W19-S</t>
  </si>
  <si>
    <t>Single Gate Model of W19 Facial Recognition Speedgate</t>
  </si>
  <si>
    <t>LM-W19-D</t>
  </si>
  <si>
    <t>Double Gate Model of W19  Facial Recognition Speedgate</t>
  </si>
  <si>
    <t>LM-W21-S</t>
  </si>
  <si>
    <t>Single Gate Model of W21 Facial Recognition Speedgate</t>
  </si>
  <si>
    <t>LM-W21-D</t>
  </si>
  <si>
    <t>Double Gate Model of W21  Facial Recognition Speedgate</t>
  </si>
  <si>
    <t>LM-T1-S-M</t>
  </si>
  <si>
    <t>LM-T1 Single-Channel Manual Full-Height Turnstile</t>
  </si>
  <si>
    <t>LM-T1-S-A</t>
  </si>
  <si>
    <t>LM-T1 Single-Channel Automatic Full-Height Turnstile</t>
  </si>
  <si>
    <t>LM-T1-Y-M</t>
  </si>
  <si>
    <t>LM-T1-Y Single-Channel Manual Full-Height Turnstile</t>
  </si>
  <si>
    <t>LM-T1-Y-A</t>
  </si>
  <si>
    <t>LM-T1-Y Single-Channel Automatic Full-Height Turnstile</t>
  </si>
  <si>
    <t>LM-T2-S-M</t>
  </si>
  <si>
    <t>LM-T2 Single-Channel Manual Full-Height Turnstile</t>
  </si>
  <si>
    <t>LM-T2-S-A</t>
  </si>
  <si>
    <t>LM-T2 Single-Channel Automatic Full-Height Turnstile</t>
  </si>
  <si>
    <t>LM-T2-D-M</t>
  </si>
  <si>
    <t>LM-T2 Dual-Channel Manual Full-Height Turnstile</t>
  </si>
  <si>
    <t>LM-T2-D-A</t>
  </si>
  <si>
    <t>LM-T2 Dual-Channel Automatic Full-Height Turnstile</t>
  </si>
  <si>
    <t>LM-T2-D2-M</t>
  </si>
  <si>
    <t>Circular Dual-Channel Manual Full-Height Turnstile</t>
  </si>
  <si>
    <t>SSA ABLOY</t>
  </si>
  <si>
    <t>LM-T2-D2-A</t>
  </si>
  <si>
    <t>Circular Dual-Channel Automatic Full-Height Turnstile</t>
  </si>
  <si>
    <t>LM-RB200</t>
  </si>
  <si>
    <t>LM-RB 200 Barrier with AA custom glass front panel</t>
  </si>
  <si>
    <t>LM-RB300Z</t>
  </si>
  <si>
    <t>LM-RB 300Z Brushless Motor Barrier</t>
  </si>
  <si>
    <t>LM-RB302</t>
  </si>
  <si>
    <t>LM-RB 302 Servo Motor Barrier</t>
  </si>
  <si>
    <t>LM-T3-M</t>
  </si>
  <si>
    <t>Manual Model of LM-T3 Tripods Turnstile</t>
  </si>
  <si>
    <t>LM-T3-A</t>
  </si>
  <si>
    <t>Automatic model of LM-T3 Tripods Turnstile</t>
  </si>
  <si>
    <t>LM-T4-S-M</t>
  </si>
  <si>
    <t>Manual Model of LM-T4 Tripods Turnstile, single side</t>
  </si>
  <si>
    <t>LM-T4-S-A</t>
  </si>
  <si>
    <t>Automatic Model of LM-T4 Tripods Turnstile, single side</t>
  </si>
  <si>
    <t>LM-T4-D-M</t>
  </si>
  <si>
    <t>Manual Model of LM-T4 Tripods Turnstile, double side</t>
  </si>
  <si>
    <t>LM-T4-D-A</t>
  </si>
  <si>
    <t>Automatic Model of LM-T4 Tripods Turnstile, double side</t>
  </si>
  <si>
    <t>LM-S7</t>
  </si>
  <si>
    <t>LM-S7 Swing Gate, one side</t>
  </si>
  <si>
    <t>LM-Manual Gate</t>
  </si>
  <si>
    <t>Custom from LM-W8 Swing Gate, support 600-1500mm</t>
  </si>
  <si>
    <t>LM-W3-S</t>
  </si>
  <si>
    <t>A swing barrier that follows the exterior design of the W13, Single Side Model</t>
  </si>
  <si>
    <t>LM-W3-D</t>
  </si>
  <si>
    <t>A swing barrier that follows the exterior design of the W13, Dual Side Model</t>
  </si>
  <si>
    <t>Master Price List - QH Metal</t>
  </si>
  <si>
    <t>AB‑SL‑SC‑S‑100‑PL</t>
  </si>
  <si>
    <t>Plating</t>
  </si>
  <si>
    <t>Single soft close roller set, maximum door weight 100 kg</t>
  </si>
  <si>
    <t>AB‑SL‑SC‑S‑120‑PL</t>
  </si>
  <si>
    <t>Single soft close roller set, maximum door weight 120 kg</t>
  </si>
  <si>
    <t>AB‑SL‑SC‑D‑100‑PL</t>
  </si>
  <si>
    <t>Double soft close roller set, maximum door weight 100 kg</t>
  </si>
  <si>
    <t>AB‑SL‑SC‑D‑120‑PL</t>
  </si>
  <si>
    <t>Double soft close roller set, maximum door weight 120 kg</t>
  </si>
  <si>
    <t>AB‑SL‑TR‑2000‑AN</t>
  </si>
  <si>
    <t>Anodized</t>
  </si>
  <si>
    <t>Sliding track, anodized silver, 2000 mm length</t>
  </si>
  <si>
    <t>AB‑SL‑TR‑3000‑AN</t>
  </si>
  <si>
    <t>Sliding track, anodized silver, 3000 mm length</t>
  </si>
  <si>
    <t>Master Price List - Unity</t>
  </si>
  <si>
    <t>Product Category - Lever Handle, Mortise Lockcase, Hinge, Euro Profile Cylinder, General Hardware</t>
  </si>
  <si>
    <t>ASL-050</t>
  </si>
  <si>
    <t xml:space="preserve">60-65 days </t>
  </si>
  <si>
    <t>ATL-010</t>
  </si>
  <si>
    <t>ATL-020</t>
  </si>
  <si>
    <t>ATL-030</t>
  </si>
  <si>
    <t>ATL-040</t>
  </si>
  <si>
    <t>ATL-050</t>
  </si>
  <si>
    <t>ATL-060</t>
  </si>
  <si>
    <t>ATL-070</t>
  </si>
  <si>
    <t>ATL-080</t>
  </si>
  <si>
    <t>ATL-090</t>
  </si>
  <si>
    <t>AEP-010</t>
  </si>
  <si>
    <t>Euro Profile Cylinder Escutcheon</t>
  </si>
  <si>
    <t>ATL-201</t>
  </si>
  <si>
    <t xml:space="preserve">Tubular Lever On Narrow Rose With Escutcheons </t>
  </si>
  <si>
    <t>ATL-202</t>
  </si>
  <si>
    <t>ATL-203</t>
  </si>
  <si>
    <t>AA5101 6072-F</t>
  </si>
  <si>
    <t>Euro Mortice Lock 60mm Backset CTC 72mm - Passage</t>
  </si>
  <si>
    <t>AA5103 6072-F</t>
  </si>
  <si>
    <t xml:space="preserve">Euro Mortice Lock 60mm Backset CTC 72mm  - Entrance </t>
  </si>
  <si>
    <t>AA5104 6072-F</t>
  </si>
  <si>
    <t>Euro Mortice Lock 60mm Backset CTC 72mm  - Deadlock</t>
  </si>
  <si>
    <t>AA5105 6072-F</t>
  </si>
  <si>
    <t xml:space="preserve">Euro Mortice Lock 60mm Backset CTC 72mm - Classroom </t>
  </si>
  <si>
    <t>AA5109 6072-F</t>
  </si>
  <si>
    <t xml:space="preserve">Euro Mortice Lock 60mm Backset CTC 72mm  - Privacy </t>
  </si>
  <si>
    <t>AA5106 6072-F</t>
  </si>
  <si>
    <t>Euro Mortice Lock 60mm Backset CTC 72mm - Nightlatch</t>
  </si>
  <si>
    <t>AA510R 6072-F</t>
  </si>
  <si>
    <t xml:space="preserve">Euro Mortice Lock 60mm Backset CTC 72mm - Roller Bolt Entrance </t>
  </si>
  <si>
    <t>AA510P 6072-F</t>
  </si>
  <si>
    <t xml:space="preserve">Euro Mortice Lock 60mm Backset CTC 72mm - Panic Escape Lockset </t>
  </si>
  <si>
    <t>AA5101 2085</t>
  </si>
  <si>
    <t>NARROW STILE PASSAGE LOCK 20MM BS</t>
  </si>
  <si>
    <t>AA5101 2585</t>
  </si>
  <si>
    <t>NARROW STILE PASSAGE LOCK 25MM BS</t>
  </si>
  <si>
    <t>AA5104 2085</t>
  </si>
  <si>
    <t>NARROW STILE DEAD LOCK 20MM BS</t>
  </si>
  <si>
    <t>AA5104 2585</t>
  </si>
  <si>
    <t>NARROW STILE DEAD LOCK 25MM BS</t>
  </si>
  <si>
    <t>AA510R 2085</t>
  </si>
  <si>
    <t>NARROW STILE ROLLER BOLT LOCK 20MM BS</t>
  </si>
  <si>
    <t>AA510R 2585</t>
  </si>
  <si>
    <t>NARROW STILE ROLLER BOLT LOCK 25MM BS</t>
  </si>
  <si>
    <t>Hinge</t>
  </si>
  <si>
    <t xml:space="preserve">AH2BB-01 </t>
  </si>
  <si>
    <t>102 x 76 x 2.5 - 2 Ball Bearing Button Tipped SSS 304</t>
  </si>
  <si>
    <t>102 x 76 x 3.0 - 2 Ball Bearing Button Tipped SSS 304</t>
  </si>
  <si>
    <t>AH2BB-03</t>
  </si>
  <si>
    <t>127 x 76 x 3.0 - 2 Ball Bearing Button Tipped SSS 304</t>
  </si>
  <si>
    <t>60-65 days</t>
  </si>
  <si>
    <t>127 x 89 x 3.0 - 2 Ball Bearing Button Tipped SSS 304</t>
  </si>
  <si>
    <t>AH2BB-07</t>
  </si>
  <si>
    <t>102 x 102 x 3.0 - 2 Ball Bearing Button Tipped SSS 304</t>
  </si>
  <si>
    <t>Cylinders - Euro Profile</t>
  </si>
  <si>
    <t>AACT30/30SNKD</t>
  </si>
  <si>
    <t>Cylinder and turn - Overall Length - 60mm Case Length - 30/30</t>
  </si>
  <si>
    <t>AACT35/35SNKD</t>
  </si>
  <si>
    <t>Cylinder and turn - Overall Length - 70mm Case Length - 35/35</t>
  </si>
  <si>
    <t>AACT40/40SNKD</t>
  </si>
  <si>
    <t>Cylinder and turn - Overall Length - 80mm Case Length - 40/40</t>
  </si>
  <si>
    <t>AACT45/45SNKD</t>
  </si>
  <si>
    <t>Cylinder and turn - Overall Length - 90mm Case Length - 45/45</t>
  </si>
  <si>
    <t>AACT50/50SNKD</t>
  </si>
  <si>
    <t>Cylinder and turn - Overall Length - 100mm Case Length - 50/50</t>
  </si>
  <si>
    <t>AA BT30/30</t>
  </si>
  <si>
    <t>Privacy cylinder - Overall Length - 60mm Case Length - 30/30</t>
  </si>
  <si>
    <t>AA BT35/35</t>
  </si>
  <si>
    <t>Privacy cylinder - Overall Length - 70mm Case Length - 35/35</t>
  </si>
  <si>
    <t>AADC30/30SNKD</t>
  </si>
  <si>
    <t>Double cylinder - Overall Length - 60mm Case Length - 30/30</t>
  </si>
  <si>
    <t>AADC35/35SNKD</t>
  </si>
  <si>
    <t>Double cylinder - Overall Length - 70mm Case Length - 35/35</t>
  </si>
  <si>
    <t>AADC40/40SNKD</t>
  </si>
  <si>
    <t>Double cylinder - Overall Length - 80mm Case Length - 40/40</t>
  </si>
  <si>
    <t>AADC45/45SNKD</t>
  </si>
  <si>
    <t>Double cylinder - Overall Length - 90mm Case Length - 45/45</t>
  </si>
  <si>
    <t>AADC50/50SNKD</t>
  </si>
  <si>
    <t>Double cylinder - Overall Length - 100mm Case Length - 50/50</t>
  </si>
  <si>
    <t>Half cylinder - Overall Length - 40mm Case Length - 30/10</t>
  </si>
  <si>
    <t>Half cylinder - Overall Length - 45mm Case Length - 35/10</t>
  </si>
  <si>
    <t>ARH-01</t>
  </si>
  <si>
    <t>Double Robe Hook - Ø 51mm x 50mm (L)</t>
  </si>
  <si>
    <t>ARH-02</t>
  </si>
  <si>
    <t>ARH-03</t>
  </si>
  <si>
    <t>Concealed Security Chain - 25mm x 51mm x 100mm (min)</t>
  </si>
  <si>
    <t>Door Guard</t>
  </si>
  <si>
    <t>ABT-01</t>
  </si>
  <si>
    <t>Recessed Timber Door Flush Bolts - 200mm</t>
  </si>
  <si>
    <t>ABT-02</t>
  </si>
  <si>
    <t>Recessed Timber Door Flush Bolts - 250mm</t>
  </si>
  <si>
    <t>ABA-01</t>
  </si>
  <si>
    <t>Extension Flush Bolt - 200mm</t>
  </si>
  <si>
    <t>ABA-03</t>
  </si>
  <si>
    <t>Extension Flush Bolt - 600mm</t>
  </si>
  <si>
    <t>Roller Bolts - 2mm x 76mm x 45mm</t>
  </si>
  <si>
    <t>Master Price List - Xingtai</t>
  </si>
  <si>
    <t>Product Category - Patch Fittings</t>
  </si>
  <si>
    <t>Xingtai Door Control</t>
  </si>
  <si>
    <t>ABP-010 PSS</t>
  </si>
  <si>
    <t>ATP-020 PSS</t>
  </si>
  <si>
    <t>ATPO-030 PSS</t>
  </si>
  <si>
    <t>ATPS-040 PSS</t>
  </si>
  <si>
    <t>Floor spring</t>
  </si>
  <si>
    <t>985-35 US32D</t>
  </si>
  <si>
    <t>Heavy Duty Bottom Pivot, 120kg</t>
  </si>
  <si>
    <t>AF-600</t>
  </si>
  <si>
    <t>Floor spring maximum weight 150kg</t>
  </si>
  <si>
    <t>DC-A-T&amp;B I-A</t>
  </si>
  <si>
    <t>ACCESSORIES - TOP PIVOT &amp; BOTTOM ARM (IRON ADJUSTABLE); NEUTRAL BOX</t>
  </si>
  <si>
    <t>Y2811D US32</t>
  </si>
  <si>
    <t>US32</t>
  </si>
  <si>
    <t>SS304 shower door pull, with decoration ring &amp; decoration screw, with full set accessories for Back to Back fixing; Ф25mm, C-C 225X425MM; Polished Stainless Steel (US32) finish; Yale logo; Packed in White box</t>
  </si>
  <si>
    <t>YEH-07C US32D</t>
  </si>
  <si>
    <t>Yale Entrance Handle; YEH-07 series; Length: 1125mm, C-C: 1100mm, SS 304, satin stainless steel</t>
  </si>
  <si>
    <t>YEH-441C US32D</t>
  </si>
  <si>
    <t>Yale Entrance Handle; YEH-441 series; Length: 800mm, C-C: 600mm, SS 304, satin stainless steel</t>
  </si>
  <si>
    <t>YEH-441D US32D</t>
  </si>
  <si>
    <t>Yale Entrance Handle; YEH-441 series; Length: 1200mm, C-C: 1000mm, SS 304, satin stainless steel</t>
  </si>
  <si>
    <t>YFS 8003-2 US32</t>
  </si>
  <si>
    <t>Yale YFS Series Floor Spring; Double action floor spring; Cast iron body; Dual valve adjusting, closing and latching speed; Applicable for timber, glass and aluminum doors; EN size 2; Max. weight of door: 75kg; Closing Force (Nm) 0°- 4°: 15Nm</t>
  </si>
  <si>
    <t>YPF-010 US32</t>
  </si>
  <si>
    <t>Yale Bottom Door Patch to suit Floor Springs; Aluminum inner 8.5mm with nut &amp; 304sus cover plate 1.0mm Polish &amp; YG; size Steel chuck; polished stainless steel finish; color box</t>
  </si>
  <si>
    <t>YPF-010 US32D</t>
  </si>
  <si>
    <t>Yale Bottom Door Patch to suit Floor Springs; Aluminum inner 8.5mm with nut &amp; 304sus cover plate 1.0mm Polish &amp; YG; size Steel chuck; satin stainless steel finish; color box</t>
  </si>
  <si>
    <t>YPF-020 US32</t>
  </si>
  <si>
    <t>Yale Top Door Patch to suit 15 mm pivot; Aluminum inner 8.5mm with nut &amp; 304sus cover plate 1.0mm &amp; Steel chuck + 15mm Brass Ring; polished stainless steel finish; color box</t>
  </si>
  <si>
    <t>YPF-020 US32D</t>
  </si>
  <si>
    <t>Yale Top Door Patch to suit 15 mm pivot; Aluminum inner 8.5mm with nut &amp; 304sus cover plate 1.0mm &amp; Steel chuck + 15mm Brass Ring; satin stainless steel finish; color box</t>
  </si>
  <si>
    <t>YPF-030PSS</t>
  </si>
  <si>
    <t>YALE TOP PATCH WITH 15MM PIVOT-PSS</t>
  </si>
  <si>
    <t>YPF-040 US32D</t>
  </si>
  <si>
    <t>Yale Top Patch for over and side panel with 15 mm pivot; Aluminum inner 8.5mm with nut &amp; 304sus cover plate 1.0mm &amp; Steel chuck + 15mm pivot; satin stainless steel finish; color box</t>
  </si>
  <si>
    <t>YPF-040PSS</t>
  </si>
  <si>
    <t>YALE OVER PATCH FOR OVER PANEL-PSS</t>
  </si>
  <si>
    <t>YPL-010 US32</t>
  </si>
  <si>
    <t>Yale Corner Lock suits Euro Profile Cylinder; Aluminum inner 7.2mm; with nut &amp; 304sus plate 1.0mm with cylinder; polished stainless steel finish; color box</t>
  </si>
  <si>
    <t>YPL-010 US32D</t>
  </si>
  <si>
    <t>Yale Corner Lock suits Euro Profile Cylinder; Aluminum inner 7.2mm; with nut &amp; 304sus plate 1.0mm with cylinder; satin stainless steel finish; color box</t>
  </si>
  <si>
    <t>YPP-010 US32</t>
  </si>
  <si>
    <t>Top pivot for Dia.15mm (TLG502-15); Part No.: TLG515; Hold of top patch fitting; Polished finish; neutral box</t>
  </si>
  <si>
    <t>ABP-010 US32D</t>
  </si>
  <si>
    <t>AC200FA/B-C US32D</t>
  </si>
  <si>
    <t>Top Pivot &amp; Bottom Arm - Double Action</t>
  </si>
  <si>
    <t>ACL-010 US32D</t>
  </si>
  <si>
    <t>ATLG 502-15 US32D</t>
  </si>
  <si>
    <t>ATP-020 US32D</t>
  </si>
  <si>
    <t>* Note:</t>
  </si>
  <si>
    <t>For lead time, it will be subject to the quantity ordered</t>
  </si>
  <si>
    <t>MOQ is 100 units for white box and 1,000 units for coloured box</t>
  </si>
  <si>
    <t>Master Price List - YLI</t>
  </si>
  <si>
    <t>AAEMAGA4SRHSAL</t>
  </si>
  <si>
    <t>600 lbs Single Leaf  RECESSED Magnet One Signal</t>
  </si>
  <si>
    <t>AAEMAGA8SRHSAL</t>
  </si>
  <si>
    <t>1200 lbs Single Leaf  RECESSED Magnet - One Signal</t>
  </si>
  <si>
    <t>AAEMAGA8SSHSALW</t>
  </si>
  <si>
    <t>1200 lbs Single Leaf  Weather Resistant Magnet with LED - One Signal</t>
  </si>
  <si>
    <t>AAEBKA8SLAL</t>
  </si>
  <si>
    <t>L bracket for 1200 lbs magnet</t>
  </si>
  <si>
    <t>AAEBKA8SZLAL</t>
  </si>
  <si>
    <t>Z &amp; L bracket for 1200 lbs magnet</t>
  </si>
  <si>
    <t>AAEBKA4SLAL</t>
  </si>
  <si>
    <t>L bracket for 600 lbs magnet</t>
  </si>
  <si>
    <t>AAEBKA4SZLAL</t>
  </si>
  <si>
    <t>Z &amp; L bracket for 600 lbs magnet</t>
  </si>
  <si>
    <t>AAEBKA4SULAL</t>
  </si>
  <si>
    <t>U bracket for 600 lbs magnet</t>
  </si>
  <si>
    <t>AAEBKA8SULAL</t>
  </si>
  <si>
    <t>U bracket for 1200 lbs magnet</t>
  </si>
  <si>
    <t>AAEBKA4SIAL</t>
  </si>
  <si>
    <t>I bracket for 600 lbs magnet</t>
  </si>
  <si>
    <t>AAEBKA8SIAL</t>
  </si>
  <si>
    <t>I bracket for 1200 lbs magnet</t>
  </si>
  <si>
    <t>AAEMAGA4SSHSAL</t>
  </si>
  <si>
    <t>600 lbs Single Leaf Magnet with LED - One Signal</t>
  </si>
  <si>
    <t>AAEMAGA4DSHSAL</t>
  </si>
  <si>
    <t>600 lbs Double Leaf Magnet with LED - One Signal</t>
  </si>
  <si>
    <t>AAEMAGA4SSHRAL</t>
  </si>
  <si>
    <t>600 lbs Single Leaf Magnet with LED Double Signal</t>
  </si>
  <si>
    <t>AAEMAGA4DSHRAL</t>
  </si>
  <si>
    <t>600 lbs Double Leaf Magnet with LED Double Signal</t>
  </si>
  <si>
    <t>AAEMAGA8SSHSAL</t>
  </si>
  <si>
    <t>1200 lbs Single Leaf Magnet with LED - One Signal</t>
  </si>
  <si>
    <t>AAEMAGA8DSHSAL</t>
  </si>
  <si>
    <t>1200 lbs Double Leaf Magnet with LED - One Signal</t>
  </si>
  <si>
    <t>AAEMAGA8SSHRAL</t>
  </si>
  <si>
    <t>1200 lbs Single Leaf Magnet with LED - Double Signal</t>
  </si>
  <si>
    <t>AAEMAGA8DSHRAL</t>
  </si>
  <si>
    <t>1200 lbs Double Leaf Magnet with LED - Double Signal</t>
  </si>
  <si>
    <t>ISK-840A(LED)</t>
  </si>
  <si>
    <t>Infrared sensor button with LED (stainless steel) 70mm×115mm</t>
  </si>
  <si>
    <t>ISK-840B(LED)</t>
  </si>
  <si>
    <t>Infrared sensor button with LED  (stainless steel) 86mm×86mm</t>
  </si>
  <si>
    <t>ISK-841A(LED)</t>
  </si>
  <si>
    <t>Infrared sensor button with signal&amp;LED (stainless steel) 35mm×90mm</t>
  </si>
  <si>
    <t>ISK-841B(LED)</t>
  </si>
  <si>
    <t>Infrared sensor button with signal&amp;LED (stainless steel) 50mm×86mm</t>
  </si>
  <si>
    <t>ISK-841C(LED)</t>
  </si>
  <si>
    <t>Infrared sensor button with signal &amp;LED(stainless steel) 86mm×86mm</t>
  </si>
  <si>
    <t>ISK-841D(LED)</t>
  </si>
  <si>
    <t>Infrared sensor button with signal &amp;LED(stainless steel) 70mm×114mm</t>
  </si>
  <si>
    <t>ISK-842A(LED)-WP</t>
  </si>
  <si>
    <t>Infrared Sensor Exit Button (Waterproof)</t>
  </si>
  <si>
    <t>ISK-842B(LED)-WP</t>
  </si>
  <si>
    <t>ISK-843(LED)</t>
  </si>
  <si>
    <t>Infrared Sensor Exit Button</t>
  </si>
  <si>
    <t>PBK-810C</t>
  </si>
  <si>
    <t>Push button (stainless steel) 86mm×86mm</t>
  </si>
  <si>
    <t>Door Holder</t>
  </si>
  <si>
    <t>YD-601</t>
  </si>
  <si>
    <t>The aluminuim bracket is for frameless glass door</t>
  </si>
  <si>
    <t>Electric strike</t>
  </si>
  <si>
    <t>YS-132NC</t>
  </si>
  <si>
    <t>Fail safe long-type electric strike (NC)</t>
  </si>
  <si>
    <t>YS-621-S</t>
  </si>
  <si>
    <t>Electric strike for push bar</t>
  </si>
  <si>
    <t>AAPB-810C</t>
  </si>
  <si>
    <t>Door release button, stainless steel</t>
  </si>
  <si>
    <t> 853650</t>
  </si>
  <si>
    <t> 100</t>
  </si>
  <si>
    <t> 45</t>
  </si>
  <si>
    <t>AED-601</t>
  </si>
  <si>
    <t>Electronic door holder</t>
  </si>
  <si>
    <t> 830241</t>
  </si>
  <si>
    <t>AES-132NC</t>
  </si>
  <si>
    <t>Electric Strike Long Type, Fail Safe</t>
  </si>
  <si>
    <t> 830140</t>
  </si>
  <si>
    <t>AES-621NC</t>
  </si>
  <si>
    <t>Electric Strike For Push Bar, Fail Safe</t>
  </si>
  <si>
    <t>EB7000</t>
  </si>
  <si>
    <t>Electric Bolt</t>
  </si>
  <si>
    <t>Master Price List - Zhisheng Door Control Hardware</t>
  </si>
  <si>
    <t>Product Category - Floor Springs</t>
  </si>
  <si>
    <t>Zhisheng Door Control Hardware</t>
  </si>
  <si>
    <t>AF200F</t>
  </si>
  <si>
    <t>Floor Spring EN 3 Fixed Spindle W/ SS Cover Plate, 90° HO</t>
  </si>
  <si>
    <t>AF224P</t>
  </si>
  <si>
    <t>Floor Spring EN 2-4 Fixed Spindle W/ SS Cover Plate, 90° HO</t>
  </si>
  <si>
    <t>AC200F-TP</t>
  </si>
  <si>
    <t>Top Pivot - Double Action</t>
  </si>
  <si>
    <t>AC200FA/B-C</t>
  </si>
  <si>
    <t>AC200FA/B-O</t>
  </si>
  <si>
    <t>Top Pivot &amp; Bottom Arm - Single Action</t>
  </si>
  <si>
    <t>AC224P-TP</t>
  </si>
  <si>
    <t>AC224PA/B-C</t>
  </si>
  <si>
    <t>AC224PA/B-O</t>
  </si>
  <si>
    <t>Note: MOV less than CNY105,000 for each order, it will be inscrease the cost CNY500 for customs clearance fee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</si>
</sst>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8">
    <numFmt numFmtId="43" formatCode="_(* #,##0.00_);_(* \(#,##0.00\);_(* &quot;-&quot;??_);_(@_)"/>
    <numFmt numFmtId="164" formatCode="#,##0.0"/>
    <numFmt numFmtId="165" formatCode="#,##0.0000"/>
    <numFmt numFmtId="166" formatCode="\$#,##0.00_);[Red]\(\$#,##0.00\)"/>
    <numFmt numFmtId="167" formatCode="0.00_);[Red]\(0.00\)"/>
    <numFmt numFmtId="168" formatCode="0.00_ "/>
    <numFmt numFmtId="169" formatCode="_-* #,##0.00_-;\-* #,##0.00_-;_-* &quot;-&quot;??_-;_-@_-"/>
    <numFmt numFmtId="170" formatCode="_ * #,##0.00_ ;_ * \-#,##0.00_ ;_ * &quot;-&quot;??_ ;_ @_ "/>
  </numFmts>
  <fonts count="42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Arial"/>
      <family val="2"/>
    </font>
    <font>
      <b/>
      <sz val="10"/>
      <color theme="1"/>
      <name val="Arial"/>
      <family val="2"/>
    </font>
    <font>
      <sz val="10"/>
      <color theme="1"/>
      <name val="Arial"/>
      <family val="2"/>
    </font>
    <font>
      <i/>
      <sz val="10"/>
      <color theme="1"/>
      <name val="Arial"/>
      <family val="2"/>
    </font>
    <font>
      <sz val="9"/>
      <color theme="1"/>
      <name val="Arial"/>
      <family val="2"/>
    </font>
    <font>
      <b/>
      <sz val="9"/>
      <color theme="1"/>
      <name val="Arial"/>
      <family val="2"/>
    </font>
    <font>
      <sz val="11"/>
      <name val="Arial"/>
      <family val="2"/>
    </font>
    <font>
      <sz val="10"/>
      <color theme="1"/>
      <name val="Calibri"/>
      <family val="2"/>
      <scheme val="minor"/>
    </font>
    <font>
      <sz val="11"/>
      <color theme="1"/>
      <name val="Calibri"/>
      <family val="2"/>
      <charset val="134"/>
      <scheme val="minor"/>
    </font>
    <font>
      <sz val="10"/>
      <color theme="1"/>
      <name val="Arial"/>
      <family val="2"/>
    </font>
    <font>
      <i/>
      <sz val="10"/>
      <color theme="1"/>
      <name val="Arial"/>
      <family val="2"/>
    </font>
    <font>
      <sz val="9"/>
      <color theme="1"/>
      <name val="Arial"/>
      <family val="2"/>
    </font>
    <font>
      <sz val="10"/>
      <name val="Helv"/>
      <charset val="134"/>
    </font>
    <font>
      <sz val="10"/>
      <name val="Helv"/>
      <family val="2"/>
      <charset val="134"/>
    </font>
    <font>
      <sz val="11"/>
      <color indexed="8"/>
      <name val="宋体"/>
      <family val="3"/>
      <charset val="134"/>
    </font>
    <font>
      <strike/>
      <sz val="10"/>
      <color theme="1"/>
      <name val="Arial"/>
      <family val="2"/>
    </font>
    <font>
      <sz val="10"/>
      <color theme="1"/>
      <name val="Arial"/>
      <family val="2"/>
    </font>
    <font>
      <i/>
      <sz val="10"/>
      <color theme="1"/>
      <name val="Arial"/>
      <family val="2"/>
    </font>
    <font>
      <sz val="9"/>
      <color theme="1"/>
      <name val="Arial"/>
      <family val="2"/>
    </font>
    <font>
      <b/>
      <sz val="10"/>
      <name val="Arial"/>
      <family val="2"/>
    </font>
    <font>
      <i/>
      <sz val="10"/>
      <name val="Arial"/>
      <family val="2"/>
    </font>
    <font>
      <sz val="10"/>
      <color theme="1"/>
      <name val="Arial"/>
      <family val="2"/>
    </font>
    <font>
      <sz val="11"/>
      <color theme="1"/>
      <name val="Arial"/>
      <family val="2"/>
    </font>
    <font>
      <u/>
      <sz val="10"/>
      <color theme="1"/>
      <name val="Arial"/>
      <family val="2"/>
    </font>
    <font>
      <i/>
      <sz val="10"/>
      <color theme="1"/>
      <name val="Arial"/>
      <family val="2"/>
    </font>
    <font>
      <b/>
      <sz val="10"/>
      <color theme="1"/>
      <name val="Arial"/>
      <family val="2"/>
    </font>
    <font>
      <sz val="10"/>
      <color rgb="FF000000"/>
      <name val="Verdana"/>
      <family val="2"/>
    </font>
    <font>
      <b/>
      <i/>
      <sz val="10"/>
      <name val="Arial"/>
      <family val="2"/>
    </font>
    <font>
      <sz val="10"/>
      <color theme="1"/>
      <name val="Microsoft YaHei"/>
      <family val="2"/>
      <charset val="134"/>
    </font>
    <font>
      <sz val="11"/>
      <color theme="1"/>
      <name val="Calibri"/>
      <family val="2"/>
      <scheme val="minor"/>
    </font>
    <font>
      <sz val="10"/>
      <name val="Arial"/>
      <family val="2"/>
    </font>
    <font>
      <sz val="9"/>
      <name val="Arial"/>
      <family val="2"/>
    </font>
    <font>
      <sz val="11"/>
      <name val="Calibri"/>
      <family val="2"/>
      <scheme val="minor"/>
    </font>
    <font>
      <sz val="10"/>
      <color theme="1"/>
      <name val="Arial"/>
      <family val="2"/>
    </font>
    <font>
      <b/>
      <sz val="10"/>
      <color theme="1"/>
      <name val="Arial"/>
      <family val="2"/>
    </font>
    <font>
      <i/>
      <sz val="10"/>
      <color theme="1"/>
      <name val="Arial"/>
      <family val="2"/>
    </font>
    <font>
      <sz val="9"/>
      <color theme="1"/>
      <name val="Arial"/>
      <family val="2"/>
    </font>
    <font>
      <strike/>
      <sz val="10"/>
      <color theme="0"/>
      <name val="Arial"/>
      <family val="2"/>
    </font>
    <font>
      <sz val="11"/>
      <name val="Arial"/>
      <family val="2"/>
    </font>
    <font>
      <sz val="10"/>
      <name val="Arial"/>
      <family val="2"/>
      <charset val="238"/>
    </font>
  </fonts>
  <fills count="5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FF0000"/>
        <bgColor indexed="64"/>
      </patternFill>
    </fill>
  </fills>
  <borders count="9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</borders>
  <cellStyleXfs count="37">
    <xf numFmtId="0" fontId="0" fillId="0" borderId="0"/>
    <xf numFmtId="0" fontId="32" fillId="0" borderId="0"/>
    <xf numFmtId="164" fontId="40" fillId="0" borderId="0"/>
    <xf numFmtId="169" fontId="31" fillId="0" borderId="0"/>
    <xf numFmtId="0" fontId="32" fillId="0" borderId="0"/>
    <xf numFmtId="0" fontId="10" fillId="0" borderId="0">
      <alignment vertical="center"/>
    </xf>
    <xf numFmtId="0" fontId="32" fillId="0" borderId="0"/>
    <xf numFmtId="170" fontId="31" fillId="0" borderId="0">
      <alignment vertical="center"/>
    </xf>
    <xf numFmtId="0" fontId="32" fillId="0" borderId="0"/>
    <xf numFmtId="0" fontId="31" fillId="0" borderId="0"/>
    <xf numFmtId="0" fontId="14" fillId="0" borderId="0"/>
    <xf numFmtId="0" fontId="15" fillId="0" borderId="0"/>
    <xf numFmtId="0" fontId="32" fillId="0" borderId="0"/>
    <xf numFmtId="0" fontId="16" fillId="0" borderId="0">
      <alignment vertical="center"/>
    </xf>
    <xf numFmtId="0" fontId="32" fillId="0" borderId="0"/>
    <xf numFmtId="0" fontId="31" fillId="0" borderId="0"/>
    <xf numFmtId="0" fontId="32" fillId="0" borderId="0"/>
    <xf numFmtId="164" fontId="40" fillId="0" borderId="0"/>
    <xf numFmtId="0" fontId="32" fillId="0" borderId="0"/>
    <xf numFmtId="0" fontId="31" fillId="0" borderId="0"/>
    <xf numFmtId="0" fontId="32" fillId="0" borderId="0"/>
    <xf numFmtId="0" fontId="31" fillId="0" borderId="0"/>
    <xf numFmtId="0" fontId="32" fillId="0" borderId="0"/>
    <xf numFmtId="0" fontId="31" fillId="0" borderId="0"/>
    <xf numFmtId="0" fontId="14" fillId="0" borderId="0"/>
    <xf numFmtId="0" fontId="32" fillId="0" borderId="0"/>
    <xf numFmtId="0" fontId="31" fillId="0" borderId="0"/>
    <xf numFmtId="43" fontId="31" fillId="0" borderId="0"/>
    <xf numFmtId="0" fontId="31" fillId="0" borderId="0"/>
    <xf numFmtId="0" fontId="31" fillId="0" borderId="0"/>
    <xf numFmtId="0" fontId="32" fillId="0" borderId="0"/>
    <xf numFmtId="169" fontId="31" fillId="0" borderId="0"/>
    <xf numFmtId="170" fontId="31" fillId="0" borderId="0"/>
    <xf numFmtId="169" fontId="31" fillId="0" borderId="0"/>
    <xf numFmtId="0" fontId="32" fillId="0" borderId="0"/>
    <xf numFmtId="169" fontId="31" fillId="0" borderId="0"/>
    <xf numFmtId="164" fontId="40" fillId="0" borderId="0"/>
  </cellStyleXfs>
  <cellXfs count="362">
    <xf numFmtId="0" fontId="0" fillId="0" borderId="0" xfId="0"/>
    <xf numFmtId="0" fontId="3" fillId="0" borderId="0" xfId="1" applyFont="1" applyAlignment="1">
      <alignment horizontal="left" vertical="center"/>
    </xf>
    <xf numFmtId="0" fontId="4" fillId="0" borderId="0" xfId="1" applyFont="1" applyAlignment="1">
      <alignment horizontal="left" vertical="center"/>
    </xf>
    <xf numFmtId="0" fontId="4" fillId="0" borderId="0" xfId="1" applyFont="1" applyAlignment="1">
      <alignment horizontal="center" vertical="center"/>
    </xf>
    <xf numFmtId="0" fontId="5" fillId="0" borderId="0" xfId="1" applyFont="1" applyAlignment="1">
      <alignment horizontal="left" vertical="center"/>
    </xf>
    <xf numFmtId="0" fontId="6" fillId="0" borderId="0" xfId="1" applyFont="1" applyAlignment="1">
      <alignment horizontal="center" vertical="center"/>
    </xf>
    <xf numFmtId="0" fontId="6" fillId="0" borderId="0" xfId="1" applyFont="1" applyAlignment="1">
      <alignment horizontal="left" vertical="center"/>
    </xf>
    <xf numFmtId="0" fontId="4" fillId="0" borderId="1" xfId="1" applyFont="1" applyBorder="1" applyAlignment="1">
      <alignment horizontal="center" vertical="center"/>
    </xf>
    <xf numFmtId="0" fontId="4" fillId="0" borderId="1" xfId="1" applyFont="1" applyBorder="1" applyAlignment="1">
      <alignment horizontal="left" vertical="center"/>
    </xf>
    <xf numFmtId="4" fontId="4" fillId="0" borderId="1" xfId="1" applyNumberFormat="1" applyFont="1" applyBorder="1" applyAlignment="1">
      <alignment horizontal="center" vertical="center"/>
    </xf>
    <xf numFmtId="4" fontId="4" fillId="0" borderId="0" xfId="1" applyNumberFormat="1" applyFont="1" applyAlignment="1">
      <alignment horizontal="left" vertical="center"/>
    </xf>
    <xf numFmtId="0" fontId="4" fillId="0" borderId="1" xfId="1" applyFont="1" applyBorder="1" applyAlignment="1">
      <alignment horizontal="left" vertical="center" wrapText="1"/>
    </xf>
    <xf numFmtId="164" fontId="4" fillId="0" borderId="1" xfId="2" applyFont="1" applyBorder="1" applyAlignment="1">
      <alignment horizontal="center" vertical="center"/>
    </xf>
    <xf numFmtId="164" fontId="4" fillId="0" borderId="1" xfId="2" applyFont="1" applyBorder="1" applyAlignment="1">
      <alignment horizontal="left" vertical="center"/>
    </xf>
    <xf numFmtId="0" fontId="4" fillId="0" borderId="1" xfId="1" applyFont="1" applyBorder="1" applyAlignment="1">
      <alignment vertical="center"/>
    </xf>
    <xf numFmtId="0" fontId="3" fillId="0" borderId="0" xfId="1" applyFont="1" applyAlignment="1">
      <alignment vertical="center"/>
    </xf>
    <xf numFmtId="0" fontId="3" fillId="0" borderId="0" xfId="1" applyFont="1" applyAlignment="1">
      <alignment vertical="center" wrapText="1"/>
    </xf>
    <xf numFmtId="0" fontId="4" fillId="0" borderId="1" xfId="1" applyFont="1" applyBorder="1" applyAlignment="1">
      <alignment horizontal="center" vertical="center" wrapText="1"/>
    </xf>
    <xf numFmtId="0" fontId="4" fillId="0" borderId="4" xfId="1" applyFont="1" applyBorder="1" applyAlignment="1">
      <alignment horizontal="left" vertical="center"/>
    </xf>
    <xf numFmtId="0" fontId="4" fillId="0" borderId="1" xfId="0" applyFont="1" applyBorder="1" applyAlignment="1">
      <alignment vertical="center"/>
    </xf>
    <xf numFmtId="0" fontId="4" fillId="0" borderId="0" xfId="1" applyFont="1" applyAlignment="1">
      <alignment vertical="center"/>
    </xf>
    <xf numFmtId="0" fontId="3" fillId="0" borderId="1" xfId="1" applyFont="1" applyBorder="1" applyAlignment="1">
      <alignment horizontal="center" vertical="center" wrapText="1"/>
    </xf>
    <xf numFmtId="0" fontId="4" fillId="0" borderId="0" xfId="0" applyFont="1" applyAlignment="1">
      <alignment vertical="center"/>
    </xf>
    <xf numFmtId="0" fontId="3" fillId="0" borderId="0" xfId="1" applyFont="1" applyAlignment="1">
      <alignment horizontal="center" vertical="center" wrapText="1"/>
    </xf>
    <xf numFmtId="0" fontId="3" fillId="0" borderId="0" xfId="1" applyFont="1" applyAlignment="1">
      <alignment horizontal="left" vertical="center" wrapText="1"/>
    </xf>
    <xf numFmtId="0" fontId="3" fillId="0" borderId="0" xfId="1" applyFont="1" applyAlignment="1">
      <alignment horizontal="center" vertical="center"/>
    </xf>
    <xf numFmtId="0" fontId="18" fillId="0" borderId="0" xfId="14" applyFont="1" applyAlignment="1">
      <alignment horizontal="left" vertical="center"/>
    </xf>
    <xf numFmtId="0" fontId="20" fillId="0" borderId="0" xfId="14" applyFont="1" applyAlignment="1">
      <alignment horizontal="center" vertical="center"/>
    </xf>
    <xf numFmtId="0" fontId="20" fillId="0" borderId="0" xfId="14" applyFont="1" applyAlignment="1">
      <alignment horizontal="left" vertical="center"/>
    </xf>
    <xf numFmtId="0" fontId="4" fillId="0" borderId="1" xfId="0" applyFont="1" applyBorder="1" applyAlignment="1">
      <alignment horizontal="center" vertical="center"/>
    </xf>
    <xf numFmtId="4" fontId="4" fillId="0" borderId="0" xfId="1" applyNumberFormat="1" applyFont="1" applyAlignment="1">
      <alignment horizontal="center" vertical="center"/>
    </xf>
    <xf numFmtId="0" fontId="3" fillId="0" borderId="0" xfId="14" applyFont="1" applyAlignment="1">
      <alignment horizontal="left" vertical="center"/>
    </xf>
    <xf numFmtId="0" fontId="4" fillId="0" borderId="0" xfId="14" applyFont="1" applyAlignment="1">
      <alignment horizontal="left" vertical="center"/>
    </xf>
    <xf numFmtId="0" fontId="4" fillId="0" borderId="0" xfId="14" applyFont="1" applyAlignment="1">
      <alignment horizontal="center" vertical="center"/>
    </xf>
    <xf numFmtId="0" fontId="4" fillId="0" borderId="1" xfId="14" applyFont="1" applyBorder="1" applyAlignment="1">
      <alignment horizontal="center" vertical="center"/>
    </xf>
    <xf numFmtId="0" fontId="4" fillId="0" borderId="1" xfId="16" applyFont="1" applyBorder="1" applyAlignment="1">
      <alignment horizontal="center" vertical="center"/>
    </xf>
    <xf numFmtId="164" fontId="4" fillId="0" borderId="1" xfId="17" applyFont="1" applyBorder="1" applyAlignment="1">
      <alignment horizontal="center" vertical="center"/>
    </xf>
    <xf numFmtId="0" fontId="2" fillId="0" borderId="1" xfId="1" applyFont="1" applyBorder="1" applyAlignment="1">
      <alignment horizontal="left" vertical="center"/>
    </xf>
    <xf numFmtId="0" fontId="2" fillId="0" borderId="1" xfId="1" applyFont="1" applyBorder="1" applyAlignment="1">
      <alignment horizontal="center" vertical="center"/>
    </xf>
    <xf numFmtId="0" fontId="2" fillId="0" borderId="0" xfId="1" applyFont="1" applyAlignment="1">
      <alignment horizontal="left" vertical="center"/>
    </xf>
    <xf numFmtId="0" fontId="2" fillId="0" borderId="0" xfId="1" applyFont="1" applyAlignment="1">
      <alignment horizontal="center" vertical="center"/>
    </xf>
    <xf numFmtId="4" fontId="3" fillId="0" borderId="1" xfId="1" applyNumberFormat="1" applyFont="1" applyBorder="1" applyAlignment="1">
      <alignment horizontal="center" vertical="center" wrapText="1"/>
    </xf>
    <xf numFmtId="0" fontId="3" fillId="0" borderId="1" xfId="1" applyFont="1" applyBorder="1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3" fillId="0" borderId="0" xfId="14" applyFont="1" applyAlignment="1">
      <alignment vertical="center" wrapText="1"/>
    </xf>
    <xf numFmtId="0" fontId="3" fillId="0" borderId="0" xfId="14" applyFont="1" applyAlignment="1">
      <alignment horizontal="center" vertical="center" wrapText="1"/>
    </xf>
    <xf numFmtId="0" fontId="3" fillId="0" borderId="0" xfId="14" applyFont="1" applyAlignment="1">
      <alignment vertical="center"/>
    </xf>
    <xf numFmtId="0" fontId="3" fillId="0" borderId="0" xfId="14" applyFont="1" applyAlignment="1">
      <alignment horizontal="center" vertical="center"/>
    </xf>
    <xf numFmtId="0" fontId="3" fillId="0" borderId="1" xfId="14" applyFont="1" applyBorder="1" applyAlignment="1">
      <alignment horizontal="center" vertical="center" wrapText="1"/>
    </xf>
    <xf numFmtId="0" fontId="3" fillId="0" borderId="1" xfId="16" applyFont="1" applyBorder="1" applyAlignment="1">
      <alignment horizontal="center" vertical="center" wrapText="1"/>
    </xf>
    <xf numFmtId="4" fontId="3" fillId="0" borderId="1" xfId="14" applyNumberFormat="1" applyFont="1" applyBorder="1" applyAlignment="1">
      <alignment horizontal="center" vertical="center" wrapText="1"/>
    </xf>
    <xf numFmtId="0" fontId="4" fillId="0" borderId="0" xfId="14" applyFont="1" applyAlignment="1">
      <alignment vertical="center"/>
    </xf>
    <xf numFmtId="0" fontId="3" fillId="0" borderId="1" xfId="1" applyFont="1" applyBorder="1" applyAlignment="1">
      <alignment vertical="center" wrapText="1"/>
    </xf>
    <xf numFmtId="0" fontId="3" fillId="0" borderId="1" xfId="14" applyFont="1" applyBorder="1" applyAlignment="1">
      <alignment vertical="center" wrapText="1"/>
    </xf>
    <xf numFmtId="0" fontId="4" fillId="0" borderId="1" xfId="14" applyFont="1" applyBorder="1" applyAlignment="1">
      <alignment vertical="center"/>
    </xf>
    <xf numFmtId="4" fontId="4" fillId="0" borderId="0" xfId="14" applyNumberFormat="1" applyFont="1" applyAlignment="1">
      <alignment horizontal="center" vertical="center"/>
    </xf>
    <xf numFmtId="0" fontId="5" fillId="0" borderId="0" xfId="14" applyFont="1" applyAlignment="1">
      <alignment horizontal="left" vertical="center"/>
    </xf>
    <xf numFmtId="0" fontId="19" fillId="0" borderId="0" xfId="14" applyFont="1" applyAlignment="1">
      <alignment horizontal="left" vertical="center"/>
    </xf>
    <xf numFmtId="4" fontId="4" fillId="0" borderId="0" xfId="14" applyNumberFormat="1" applyFont="1" applyAlignment="1">
      <alignment horizontal="left" vertical="center"/>
    </xf>
    <xf numFmtId="0" fontId="3" fillId="0" borderId="1" xfId="6" applyFont="1" applyBorder="1" applyAlignment="1">
      <alignment horizontal="center" vertical="center" wrapText="1"/>
    </xf>
    <xf numFmtId="0" fontId="4" fillId="0" borderId="1" xfId="6" applyFont="1" applyBorder="1" applyAlignment="1">
      <alignment horizontal="center" vertical="center"/>
    </xf>
    <xf numFmtId="164" fontId="4" fillId="0" borderId="1" xfId="2" applyFont="1" applyBorder="1" applyAlignment="1">
      <alignment horizontal="left" vertical="center" wrapText="1"/>
    </xf>
    <xf numFmtId="0" fontId="4" fillId="0" borderId="1" xfId="4" applyFont="1" applyBorder="1" applyAlignment="1">
      <alignment vertical="center"/>
    </xf>
    <xf numFmtId="0" fontId="21" fillId="0" borderId="0" xfId="1" applyFont="1" applyAlignment="1">
      <alignment horizontal="left" vertical="center"/>
    </xf>
    <xf numFmtId="0" fontId="21" fillId="0" borderId="1" xfId="1" applyFont="1" applyBorder="1" applyAlignment="1">
      <alignment horizontal="center" vertical="center"/>
    </xf>
    <xf numFmtId="0" fontId="2" fillId="0" borderId="1" xfId="1" applyFont="1" applyBorder="1" applyAlignment="1">
      <alignment horizontal="left" vertical="center" wrapText="1"/>
    </xf>
    <xf numFmtId="0" fontId="4" fillId="0" borderId="1" xfId="0" applyFont="1" applyBorder="1" applyAlignment="1">
      <alignment vertical="center" wrapText="1"/>
    </xf>
    <xf numFmtId="0" fontId="4" fillId="0" borderId="1" xfId="0" applyFont="1" applyBorder="1" applyAlignment="1">
      <alignment horizontal="left" vertical="center"/>
    </xf>
    <xf numFmtId="4" fontId="4" fillId="0" borderId="0" xfId="0" applyNumberFormat="1" applyFont="1" applyAlignment="1">
      <alignment horizontal="center" vertical="center"/>
    </xf>
    <xf numFmtId="0" fontId="5" fillId="0" borderId="0" xfId="1" applyFont="1" applyAlignment="1">
      <alignment vertical="center"/>
    </xf>
    <xf numFmtId="0" fontId="5" fillId="0" borderId="0" xfId="14" applyFont="1" applyAlignment="1">
      <alignment vertical="center"/>
    </xf>
    <xf numFmtId="0" fontId="0" fillId="0" borderId="0" xfId="0" applyAlignment="1">
      <alignment vertical="center"/>
    </xf>
    <xf numFmtId="0" fontId="4" fillId="0" borderId="0" xfId="0" applyFont="1" applyAlignment="1">
      <alignment horizontal="left" vertical="center"/>
    </xf>
    <xf numFmtId="0" fontId="4" fillId="0" borderId="0" xfId="15" applyFont="1" applyAlignment="1">
      <alignment horizontal="left" vertical="center"/>
    </xf>
    <xf numFmtId="0" fontId="4" fillId="0" borderId="0" xfId="15" applyFont="1" applyAlignment="1">
      <alignment horizontal="center" vertical="center"/>
    </xf>
    <xf numFmtId="2" fontId="4" fillId="0" borderId="1" xfId="0" applyNumberFormat="1" applyFont="1" applyBorder="1" applyAlignment="1">
      <alignment horizontal="center" vertical="center"/>
    </xf>
    <xf numFmtId="0" fontId="21" fillId="0" borderId="1" xfId="1" applyFont="1" applyBorder="1" applyAlignment="1">
      <alignment horizontal="center" vertical="center" wrapText="1"/>
    </xf>
    <xf numFmtId="0" fontId="22" fillId="0" borderId="0" xfId="1" applyFont="1" applyAlignment="1">
      <alignment horizontal="left" vertical="center"/>
    </xf>
    <xf numFmtId="164" fontId="4" fillId="0" borderId="1" xfId="2" applyFont="1" applyBorder="1" applyAlignment="1">
      <alignment horizontal="center" vertical="center" wrapText="1"/>
    </xf>
    <xf numFmtId="0" fontId="23" fillId="0" borderId="1" xfId="0" applyFont="1" applyBorder="1" applyAlignment="1">
      <alignment horizontal="center" vertical="center"/>
    </xf>
    <xf numFmtId="0" fontId="3" fillId="0" borderId="0" xfId="4" applyFont="1" applyAlignment="1">
      <alignment horizontal="left" vertical="center"/>
    </xf>
    <xf numFmtId="0" fontId="4" fillId="0" borderId="0" xfId="4" applyFont="1" applyAlignment="1">
      <alignment horizontal="left" vertical="center"/>
    </xf>
    <xf numFmtId="0" fontId="4" fillId="0" borderId="0" xfId="4" applyFont="1" applyAlignment="1">
      <alignment vertical="center"/>
    </xf>
    <xf numFmtId="0" fontId="23" fillId="0" borderId="0" xfId="4" applyFont="1" applyAlignment="1">
      <alignment horizontal="left" vertical="center"/>
    </xf>
    <xf numFmtId="0" fontId="26" fillId="0" borderId="0" xfId="4" applyFont="1" applyAlignment="1">
      <alignment horizontal="left" vertical="center"/>
    </xf>
    <xf numFmtId="0" fontId="4" fillId="0" borderId="0" xfId="4" applyFont="1" applyAlignment="1">
      <alignment horizontal="center" vertical="center"/>
    </xf>
    <xf numFmtId="0" fontId="3" fillId="0" borderId="0" xfId="4" applyFont="1" applyAlignment="1">
      <alignment vertical="center" wrapText="1"/>
    </xf>
    <xf numFmtId="0" fontId="3" fillId="0" borderId="0" xfId="4" applyFont="1" applyAlignment="1">
      <alignment horizontal="center" vertical="center" wrapText="1"/>
    </xf>
    <xf numFmtId="0" fontId="3" fillId="0" borderId="0" xfId="4" applyFont="1" applyAlignment="1">
      <alignment vertical="center"/>
    </xf>
    <xf numFmtId="0" fontId="3" fillId="0" borderId="0" xfId="4" applyFont="1" applyAlignment="1">
      <alignment horizontal="center" vertical="center"/>
    </xf>
    <xf numFmtId="0" fontId="27" fillId="0" borderId="0" xfId="4" applyFont="1" applyAlignment="1">
      <alignment horizontal="center" vertical="center"/>
    </xf>
    <xf numFmtId="0" fontId="6" fillId="0" borderId="0" xfId="4" applyFont="1" applyAlignment="1">
      <alignment horizontal="left" vertical="center"/>
    </xf>
    <xf numFmtId="0" fontId="3" fillId="0" borderId="1" xfId="4" applyFont="1" applyBorder="1" applyAlignment="1">
      <alignment horizontal="center" vertical="center" wrapText="1"/>
    </xf>
    <xf numFmtId="0" fontId="3" fillId="0" borderId="1" xfId="4" applyFont="1" applyBorder="1" applyAlignment="1">
      <alignment vertical="center" wrapText="1"/>
    </xf>
    <xf numFmtId="0" fontId="27" fillId="0" borderId="1" xfId="4" applyFont="1" applyBorder="1" applyAlignment="1">
      <alignment horizontal="center" vertical="center" wrapText="1"/>
    </xf>
    <xf numFmtId="0" fontId="6" fillId="0" borderId="0" xfId="4" applyFont="1" applyAlignment="1">
      <alignment horizontal="center" vertical="center"/>
    </xf>
    <xf numFmtId="0" fontId="4" fillId="0" borderId="1" xfId="4" applyFont="1" applyBorder="1" applyAlignment="1">
      <alignment horizontal="center" vertical="center"/>
    </xf>
    <xf numFmtId="0" fontId="4" fillId="0" borderId="1" xfId="4" applyFont="1" applyBorder="1" applyAlignment="1">
      <alignment horizontal="left" vertical="center"/>
    </xf>
    <xf numFmtId="0" fontId="23" fillId="0" borderId="1" xfId="4" applyFont="1" applyBorder="1" applyAlignment="1">
      <alignment horizontal="center" vertical="center"/>
    </xf>
    <xf numFmtId="0" fontId="23" fillId="0" borderId="1" xfId="4" quotePrefix="1" applyFont="1" applyBorder="1" applyAlignment="1">
      <alignment horizontal="center" vertical="center"/>
    </xf>
    <xf numFmtId="0" fontId="4" fillId="0" borderId="1" xfId="25" applyFont="1" applyBorder="1" applyAlignment="1">
      <alignment vertical="center"/>
    </xf>
    <xf numFmtId="0" fontId="4" fillId="0" borderId="1" xfId="25" applyFont="1" applyBorder="1" applyAlignment="1">
      <alignment horizontal="center" vertical="center"/>
    </xf>
    <xf numFmtId="0" fontId="4" fillId="0" borderId="1" xfId="25" applyFont="1" applyBorder="1" applyAlignment="1">
      <alignment horizontal="left" vertical="center"/>
    </xf>
    <xf numFmtId="0" fontId="23" fillId="0" borderId="1" xfId="25" applyFont="1" applyBorder="1" applyAlignment="1">
      <alignment horizontal="center" vertical="center"/>
    </xf>
    <xf numFmtId="0" fontId="3" fillId="0" borderId="0" xfId="11" applyFont="1" applyAlignment="1">
      <alignment horizontal="left" vertical="center"/>
    </xf>
    <xf numFmtId="0" fontId="23" fillId="0" borderId="0" xfId="4" applyFont="1" applyAlignment="1">
      <alignment horizontal="center" vertical="center"/>
    </xf>
    <xf numFmtId="0" fontId="2" fillId="0" borderId="0" xfId="10" applyFont="1" applyAlignment="1">
      <alignment horizontal="left" vertical="center"/>
    </xf>
    <xf numFmtId="0" fontId="4" fillId="0" borderId="0" xfId="10" applyFont="1" applyAlignment="1">
      <alignment horizontal="left" vertical="center"/>
    </xf>
    <xf numFmtId="164" fontId="2" fillId="0" borderId="0" xfId="0" applyNumberFormat="1" applyFont="1" applyAlignment="1">
      <alignment horizontal="left" vertical="center"/>
    </xf>
    <xf numFmtId="165" fontId="2" fillId="0" borderId="1" xfId="3" applyNumberFormat="1" applyFont="1" applyBorder="1" applyAlignment="1">
      <alignment horizontal="center" vertical="center"/>
    </xf>
    <xf numFmtId="0" fontId="4" fillId="2" borderId="1" xfId="1" applyFont="1" applyFill="1" applyBorder="1" applyAlignment="1">
      <alignment horizontal="center" vertical="center"/>
    </xf>
    <xf numFmtId="14" fontId="4" fillId="0" borderId="0" xfId="1" applyNumberFormat="1" applyFont="1" applyAlignment="1">
      <alignment horizontal="center" vertical="center"/>
    </xf>
    <xf numFmtId="0" fontId="29" fillId="0" borderId="0" xfId="18" applyFont="1" applyAlignment="1">
      <alignment horizontal="right"/>
    </xf>
    <xf numFmtId="0" fontId="29" fillId="0" borderId="0" xfId="18" applyFont="1"/>
    <xf numFmtId="0" fontId="4" fillId="0" borderId="2" xfId="1" applyFont="1" applyBorder="1" applyAlignment="1">
      <alignment horizontal="left" vertical="center"/>
    </xf>
    <xf numFmtId="0" fontId="4" fillId="0" borderId="6" xfId="1" applyFont="1" applyBorder="1" applyAlignment="1">
      <alignment horizontal="left" vertical="center"/>
    </xf>
    <xf numFmtId="0" fontId="4" fillId="0" borderId="0" xfId="25" applyFont="1" applyAlignment="1">
      <alignment horizontal="left" vertical="center"/>
    </xf>
    <xf numFmtId="0" fontId="4" fillId="0" borderId="0" xfId="15" applyFont="1" applyAlignment="1">
      <alignment vertical="center"/>
    </xf>
    <xf numFmtId="0" fontId="4" fillId="0" borderId="0" xfId="3" applyNumberFormat="1" applyFont="1" applyAlignment="1">
      <alignment horizontal="left" vertical="center"/>
    </xf>
    <xf numFmtId="0" fontId="2" fillId="0" borderId="1" xfId="0" applyFont="1" applyBorder="1" applyAlignment="1">
      <alignment vertical="center"/>
    </xf>
    <xf numFmtId="0" fontId="2" fillId="0" borderId="0" xfId="0" applyFont="1" applyAlignment="1">
      <alignment vertical="center"/>
    </xf>
    <xf numFmtId="2" fontId="4" fillId="0" borderId="0" xfId="1" applyNumberFormat="1" applyFont="1" applyAlignment="1">
      <alignment horizontal="center" vertical="center"/>
    </xf>
    <xf numFmtId="0" fontId="24" fillId="0" borderId="0" xfId="0" applyFont="1" applyAlignment="1">
      <alignment vertical="center"/>
    </xf>
    <xf numFmtId="0" fontId="4" fillId="0" borderId="4" xfId="1" applyFont="1" applyBorder="1" applyAlignment="1">
      <alignment vertical="center"/>
    </xf>
    <xf numFmtId="0" fontId="4" fillId="0" borderId="4" xfId="1" applyFont="1" applyBorder="1" applyAlignment="1">
      <alignment horizontal="center" vertical="center"/>
    </xf>
    <xf numFmtId="0" fontId="2" fillId="0" borderId="0" xfId="1" applyFont="1" applyAlignment="1">
      <alignment vertical="center"/>
    </xf>
    <xf numFmtId="4" fontId="2" fillId="0" borderId="0" xfId="1" applyNumberFormat="1" applyFont="1" applyAlignment="1">
      <alignment horizontal="left" vertical="center"/>
    </xf>
    <xf numFmtId="0" fontId="21" fillId="0" borderId="0" xfId="1" applyFont="1" applyAlignment="1">
      <alignment vertical="center" wrapText="1"/>
    </xf>
    <xf numFmtId="0" fontId="21" fillId="0" borderId="0" xfId="1" applyFont="1" applyAlignment="1">
      <alignment horizontal="center" vertical="center" wrapText="1"/>
    </xf>
    <xf numFmtId="0" fontId="21" fillId="0" borderId="0" xfId="1" applyFont="1" applyAlignment="1">
      <alignment horizontal="center" vertical="center"/>
    </xf>
    <xf numFmtId="0" fontId="21" fillId="0" borderId="0" xfId="1" applyFont="1" applyAlignment="1">
      <alignment vertical="center"/>
    </xf>
    <xf numFmtId="0" fontId="21" fillId="0" borderId="1" xfId="1" applyFont="1" applyBorder="1" applyAlignment="1">
      <alignment vertical="center" wrapText="1"/>
    </xf>
    <xf numFmtId="4" fontId="21" fillId="0" borderId="1" xfId="1" applyNumberFormat="1" applyFont="1" applyBorder="1" applyAlignment="1">
      <alignment horizontal="center" vertical="center" wrapText="1"/>
    </xf>
    <xf numFmtId="0" fontId="2" fillId="0" borderId="1" xfId="1" applyFont="1" applyBorder="1" applyAlignment="1">
      <alignment vertical="center"/>
    </xf>
    <xf numFmtId="0" fontId="2" fillId="0" borderId="1" xfId="0" applyFont="1" applyBorder="1" applyAlignment="1">
      <alignment horizontal="center" vertical="center"/>
    </xf>
    <xf numFmtId="0" fontId="4" fillId="0" borderId="1" xfId="1" quotePrefix="1" applyFont="1" applyBorder="1" applyAlignment="1">
      <alignment horizontal="center" vertical="center"/>
    </xf>
    <xf numFmtId="164" fontId="4" fillId="0" borderId="1" xfId="2" applyFont="1" applyBorder="1" applyAlignment="1">
      <alignment vertical="center"/>
    </xf>
    <xf numFmtId="49" fontId="4" fillId="0" borderId="1" xfId="1" applyNumberFormat="1" applyFont="1" applyBorder="1" applyAlignment="1">
      <alignment horizontal="center" vertical="center"/>
    </xf>
    <xf numFmtId="0" fontId="17" fillId="0" borderId="0" xfId="1" applyFont="1" applyAlignment="1">
      <alignment horizontal="left" vertical="center"/>
    </xf>
    <xf numFmtId="49" fontId="4" fillId="0" borderId="4" xfId="1" applyNumberFormat="1" applyFont="1" applyBorder="1" applyAlignment="1">
      <alignment horizontal="center" vertical="center"/>
    </xf>
    <xf numFmtId="0" fontId="4" fillId="0" borderId="6" xfId="1" applyFont="1" applyBorder="1" applyAlignment="1">
      <alignment horizontal="center" vertical="center"/>
    </xf>
    <xf numFmtId="0" fontId="9" fillId="0" borderId="0" xfId="1" applyFont="1" applyAlignment="1">
      <alignment horizontal="left" vertical="center"/>
    </xf>
    <xf numFmtId="0" fontId="4" fillId="0" borderId="1" xfId="1" applyFont="1" applyBorder="1" applyAlignment="1">
      <alignment vertical="center" wrapText="1"/>
    </xf>
    <xf numFmtId="0" fontId="25" fillId="0" borderId="1" xfId="1" applyFont="1" applyBorder="1" applyAlignment="1">
      <alignment horizontal="center" vertical="center"/>
    </xf>
    <xf numFmtId="3" fontId="4" fillId="0" borderId="1" xfId="1" applyNumberFormat="1" applyFont="1" applyBorder="1" applyAlignment="1">
      <alignment horizontal="center" vertical="center"/>
    </xf>
    <xf numFmtId="0" fontId="2" fillId="0" borderId="1" xfId="13" applyFont="1" applyBorder="1" applyAlignment="1">
      <alignment horizontal="left" vertical="center"/>
    </xf>
    <xf numFmtId="0" fontId="2" fillId="0" borderId="1" xfId="13" applyFont="1" applyBorder="1" applyAlignment="1">
      <alignment horizontal="left" vertical="center" wrapText="1"/>
    </xf>
    <xf numFmtId="0" fontId="30" fillId="0" borderId="1" xfId="1" applyFont="1" applyBorder="1" applyAlignment="1">
      <alignment horizontal="left" vertical="center"/>
    </xf>
    <xf numFmtId="0" fontId="3" fillId="0" borderId="6" xfId="1" applyFont="1" applyBorder="1" applyAlignment="1">
      <alignment horizontal="center" vertical="center" wrapText="1"/>
    </xf>
    <xf numFmtId="49" fontId="4" fillId="0" borderId="1" xfId="0" applyNumberFormat="1" applyFont="1" applyBorder="1" applyAlignment="1">
      <alignment horizontal="left" vertical="center"/>
    </xf>
    <xf numFmtId="49" fontId="4" fillId="0" borderId="1" xfId="0" quotePrefix="1" applyNumberFormat="1" applyFont="1" applyBorder="1" applyAlignment="1" applyProtection="1">
      <alignment horizontal="center" vertical="center"/>
      <protection locked="0"/>
    </xf>
    <xf numFmtId="0" fontId="3" fillId="0" borderId="3" xfId="1" applyFont="1" applyBorder="1" applyAlignment="1">
      <alignment horizontal="center" vertical="center" wrapText="1"/>
    </xf>
    <xf numFmtId="0" fontId="4" fillId="0" borderId="2" xfId="1" applyFont="1" applyBorder="1" applyAlignment="1">
      <alignment vertical="center"/>
    </xf>
    <xf numFmtId="0" fontId="4" fillId="0" borderId="3" xfId="1" applyFont="1" applyBorder="1" applyAlignment="1">
      <alignment horizontal="center" vertical="center"/>
    </xf>
    <xf numFmtId="0" fontId="4" fillId="0" borderId="4" xfId="0" applyFont="1" applyBorder="1" applyAlignment="1">
      <alignment vertical="center"/>
    </xf>
    <xf numFmtId="0" fontId="4" fillId="0" borderId="4" xfId="0" applyFont="1" applyBorder="1" applyAlignment="1">
      <alignment horizontal="center" vertical="center"/>
    </xf>
    <xf numFmtId="0" fontId="4" fillId="0" borderId="7" xfId="0" applyFont="1" applyBorder="1" applyAlignment="1">
      <alignment horizontal="center" vertical="center"/>
    </xf>
    <xf numFmtId="0" fontId="4" fillId="0" borderId="6" xfId="0" applyFont="1" applyBorder="1" applyAlignment="1">
      <alignment vertical="center"/>
    </xf>
    <xf numFmtId="0" fontId="4" fillId="0" borderId="1" xfId="0" applyFont="1" applyBorder="1" applyAlignment="1">
      <alignment vertical="top" readingOrder="1"/>
    </xf>
    <xf numFmtId="0" fontId="4" fillId="0" borderId="0" xfId="5" applyFont="1" applyAlignment="1">
      <alignment horizontal="left" vertical="center"/>
    </xf>
    <xf numFmtId="0" fontId="4" fillId="0" borderId="0" xfId="5" applyFont="1">
      <alignment vertical="center"/>
    </xf>
    <xf numFmtId="0" fontId="4" fillId="0" borderId="0" xfId="5" applyFont="1" applyAlignment="1">
      <alignment horizontal="center" vertical="center"/>
    </xf>
    <xf numFmtId="0" fontId="3" fillId="0" borderId="5" xfId="1" applyFont="1" applyBorder="1" applyAlignment="1">
      <alignment horizontal="center" vertical="center" wrapText="1"/>
    </xf>
    <xf numFmtId="2" fontId="4" fillId="0" borderId="5" xfId="1" applyNumberFormat="1" applyFont="1" applyBorder="1" applyAlignment="1">
      <alignment horizontal="center" vertical="center"/>
    </xf>
    <xf numFmtId="0" fontId="4" fillId="0" borderId="1" xfId="5" applyFont="1" applyBorder="1">
      <alignment vertical="center"/>
    </xf>
    <xf numFmtId="0" fontId="4" fillId="0" borderId="5" xfId="5" applyFont="1" applyBorder="1" applyAlignment="1">
      <alignment horizontal="center" vertical="center"/>
    </xf>
    <xf numFmtId="0" fontId="4" fillId="0" borderId="1" xfId="5" applyFont="1" applyBorder="1" applyAlignment="1">
      <alignment horizontal="center" vertical="center"/>
    </xf>
    <xf numFmtId="4" fontId="4" fillId="0" borderId="6" xfId="1" applyNumberFormat="1" applyFont="1" applyBorder="1" applyAlignment="1">
      <alignment horizontal="center" vertical="center"/>
    </xf>
    <xf numFmtId="0" fontId="3" fillId="0" borderId="0" xfId="8" applyFont="1" applyAlignment="1">
      <alignment horizontal="left" vertical="center"/>
    </xf>
    <xf numFmtId="0" fontId="4" fillId="0" borderId="0" xfId="8" applyFont="1" applyAlignment="1">
      <alignment horizontal="left" vertical="center"/>
    </xf>
    <xf numFmtId="0" fontId="4" fillId="0" borderId="0" xfId="8" applyFont="1" applyAlignment="1">
      <alignment vertical="center"/>
    </xf>
    <xf numFmtId="166" fontId="4" fillId="0" borderId="0" xfId="8" applyNumberFormat="1" applyFont="1" applyAlignment="1">
      <alignment horizontal="left" vertical="center"/>
    </xf>
    <xf numFmtId="4" fontId="4" fillId="0" borderId="0" xfId="8" applyNumberFormat="1" applyFont="1" applyAlignment="1">
      <alignment horizontal="left" vertical="center"/>
    </xf>
    <xf numFmtId="0" fontId="11" fillId="0" borderId="0" xfId="8" applyFont="1" applyAlignment="1">
      <alignment horizontal="left" vertical="center"/>
    </xf>
    <xf numFmtId="0" fontId="5" fillId="0" borderId="0" xfId="8" applyFont="1" applyAlignment="1">
      <alignment horizontal="left" vertical="center"/>
    </xf>
    <xf numFmtId="0" fontId="5" fillId="0" borderId="0" xfId="8" applyFont="1" applyAlignment="1">
      <alignment vertical="center"/>
    </xf>
    <xf numFmtId="0" fontId="12" fillId="0" borderId="0" xfId="8" applyFont="1" applyAlignment="1">
      <alignment horizontal="left" vertical="center"/>
    </xf>
    <xf numFmtId="0" fontId="4" fillId="0" borderId="0" xfId="8" applyFont="1" applyAlignment="1">
      <alignment horizontal="center" vertical="center"/>
    </xf>
    <xf numFmtId="0" fontId="3" fillId="0" borderId="0" xfId="8" applyFont="1" applyAlignment="1">
      <alignment vertical="center" wrapText="1"/>
    </xf>
    <xf numFmtId="0" fontId="3" fillId="0" borderId="0" xfId="8" applyFont="1" applyAlignment="1">
      <alignment horizontal="center" vertical="center" wrapText="1"/>
    </xf>
    <xf numFmtId="0" fontId="3" fillId="0" borderId="0" xfId="8" applyFont="1" applyAlignment="1">
      <alignment vertical="center"/>
    </xf>
    <xf numFmtId="0" fontId="3" fillId="0" borderId="0" xfId="8" applyFont="1" applyAlignment="1">
      <alignment horizontal="center" vertical="center"/>
    </xf>
    <xf numFmtId="0" fontId="13" fillId="0" borderId="0" xfId="8" applyFont="1" applyAlignment="1">
      <alignment horizontal="left" vertical="center"/>
    </xf>
    <xf numFmtId="0" fontId="3" fillId="0" borderId="1" xfId="8" applyFont="1" applyBorder="1" applyAlignment="1">
      <alignment horizontal="center" vertical="center" wrapText="1"/>
    </xf>
    <xf numFmtId="0" fontId="3" fillId="0" borderId="1" xfId="8" applyFont="1" applyBorder="1" applyAlignment="1">
      <alignment vertical="center" wrapText="1"/>
    </xf>
    <xf numFmtId="4" fontId="3" fillId="0" borderId="1" xfId="8" applyNumberFormat="1" applyFont="1" applyBorder="1" applyAlignment="1">
      <alignment horizontal="center" vertical="center" wrapText="1"/>
    </xf>
    <xf numFmtId="0" fontId="13" fillId="0" borderId="0" xfId="8" applyFont="1" applyAlignment="1">
      <alignment horizontal="center" vertical="center"/>
    </xf>
    <xf numFmtId="0" fontId="4" fillId="0" borderId="1" xfId="8" applyFont="1" applyBorder="1" applyAlignment="1">
      <alignment horizontal="center" vertical="center"/>
    </xf>
    <xf numFmtId="0" fontId="4" fillId="0" borderId="1" xfId="8" applyFont="1" applyBorder="1" applyAlignment="1">
      <alignment vertical="center"/>
    </xf>
    <xf numFmtId="0" fontId="4" fillId="0" borderId="1" xfId="8" applyFont="1" applyBorder="1" applyAlignment="1">
      <alignment horizontal="left" vertical="center"/>
    </xf>
    <xf numFmtId="0" fontId="4" fillId="0" borderId="1" xfId="20" applyFont="1" applyBorder="1" applyAlignment="1">
      <alignment horizontal="left" vertical="center"/>
    </xf>
    <xf numFmtId="0" fontId="4" fillId="0" borderId="0" xfId="9" applyFont="1" applyAlignment="1">
      <alignment vertical="center"/>
    </xf>
    <xf numFmtId="0" fontId="4" fillId="0" borderId="1" xfId="20" applyFont="1" applyBorder="1" applyAlignment="1">
      <alignment vertical="center"/>
    </xf>
    <xf numFmtId="0" fontId="4" fillId="0" borderId="1" xfId="20" applyFont="1" applyBorder="1" applyAlignment="1">
      <alignment horizontal="center" vertical="center"/>
    </xf>
    <xf numFmtId="0" fontId="4" fillId="0" borderId="1" xfId="0" applyFont="1" applyBorder="1" applyAlignment="1">
      <alignment horizontal="center" vertical="center" wrapText="1"/>
    </xf>
    <xf numFmtId="4" fontId="4" fillId="0" borderId="0" xfId="8" applyNumberFormat="1" applyFont="1" applyAlignment="1">
      <alignment horizontal="center" vertical="center"/>
    </xf>
    <xf numFmtId="0" fontId="4" fillId="0" borderId="2" xfId="0" applyFont="1" applyBorder="1" applyAlignment="1">
      <alignment horizontal="center" vertical="center"/>
    </xf>
    <xf numFmtId="0" fontId="4" fillId="0" borderId="1" xfId="16" applyFont="1" applyBorder="1" applyAlignment="1">
      <alignment vertical="center"/>
    </xf>
    <xf numFmtId="0" fontId="4" fillId="0" borderId="1" xfId="16" applyFont="1" applyBorder="1" applyAlignment="1">
      <alignment horizontal="left" vertical="center"/>
    </xf>
    <xf numFmtId="0" fontId="4" fillId="0" borderId="1" xfId="16" applyFont="1" applyBorder="1" applyAlignment="1">
      <alignment horizontal="left" vertical="center" wrapText="1"/>
    </xf>
    <xf numFmtId="0" fontId="23" fillId="0" borderId="1" xfId="16" applyFont="1" applyBorder="1" applyAlignment="1">
      <alignment vertical="center"/>
    </xf>
    <xf numFmtId="0" fontId="23" fillId="0" borderId="1" xfId="16" applyFont="1" applyBorder="1" applyAlignment="1">
      <alignment horizontal="center" vertical="center"/>
    </xf>
    <xf numFmtId="0" fontId="23" fillId="0" borderId="1" xfId="16" applyFont="1" applyBorder="1" applyAlignment="1">
      <alignment horizontal="left" vertical="center" wrapText="1"/>
    </xf>
    <xf numFmtId="0" fontId="23" fillId="0" borderId="1" xfId="16" applyFont="1" applyBorder="1" applyAlignment="1">
      <alignment horizontal="left" vertical="center"/>
    </xf>
    <xf numFmtId="0" fontId="4" fillId="0" borderId="1" xfId="16" quotePrefix="1" applyFont="1" applyBorder="1" applyAlignment="1">
      <alignment horizontal="center" vertical="center"/>
    </xf>
    <xf numFmtId="0" fontId="23" fillId="0" borderId="1" xfId="16" applyFont="1" applyBorder="1" applyAlignment="1">
      <alignment vertical="center" wrapText="1"/>
    </xf>
    <xf numFmtId="0" fontId="4" fillId="0" borderId="4" xfId="16" applyFont="1" applyBorder="1" applyAlignment="1">
      <alignment vertical="center"/>
    </xf>
    <xf numFmtId="0" fontId="4" fillId="0" borderId="4" xfId="16" applyFont="1" applyBorder="1" applyAlignment="1">
      <alignment horizontal="center" vertical="center"/>
    </xf>
    <xf numFmtId="0" fontId="4" fillId="0" borderId="4" xfId="16" applyFont="1" applyBorder="1" applyAlignment="1">
      <alignment horizontal="left" vertical="center"/>
    </xf>
    <xf numFmtId="0" fontId="4" fillId="0" borderId="4" xfId="16" applyFont="1" applyBorder="1" applyAlignment="1">
      <alignment horizontal="left" vertical="center" wrapText="1"/>
    </xf>
    <xf numFmtId="0" fontId="23" fillId="0" borderId="0" xfId="1" applyFont="1" applyAlignment="1">
      <alignment horizontal="left" vertical="center"/>
    </xf>
    <xf numFmtId="0" fontId="2" fillId="0" borderId="1" xfId="16" applyFont="1" applyBorder="1" applyAlignment="1">
      <alignment horizontal="left" vertical="center"/>
    </xf>
    <xf numFmtId="49" fontId="2" fillId="0" borderId="1" xfId="0" applyNumberFormat="1" applyFont="1" applyBorder="1" applyAlignment="1">
      <alignment horizontal="left" vertical="center" wrapText="1"/>
    </xf>
    <xf numFmtId="167" fontId="4" fillId="0" borderId="0" xfId="1" applyNumberFormat="1" applyFont="1" applyAlignment="1">
      <alignment horizontal="left" vertical="center"/>
    </xf>
    <xf numFmtId="167" fontId="4" fillId="0" borderId="0" xfId="1" applyNumberFormat="1" applyFont="1" applyAlignment="1">
      <alignment vertical="center"/>
    </xf>
    <xf numFmtId="0" fontId="3" fillId="0" borderId="0" xfId="6" applyFont="1" applyAlignment="1">
      <alignment horizontal="left" vertical="center"/>
    </xf>
    <xf numFmtId="0" fontId="4" fillId="0" borderId="0" xfId="6" applyFont="1" applyAlignment="1">
      <alignment horizontal="left" vertical="center"/>
    </xf>
    <xf numFmtId="0" fontId="4" fillId="0" borderId="0" xfId="6" applyFont="1" applyAlignment="1">
      <alignment vertical="center"/>
    </xf>
    <xf numFmtId="4" fontId="4" fillId="0" borderId="0" xfId="6" applyNumberFormat="1" applyFont="1" applyAlignment="1">
      <alignment horizontal="left" vertical="center"/>
    </xf>
    <xf numFmtId="0" fontId="5" fillId="0" borderId="0" xfId="6" applyFont="1" applyAlignment="1">
      <alignment horizontal="left" vertical="center"/>
    </xf>
    <xf numFmtId="0" fontId="5" fillId="0" borderId="0" xfId="6" applyFont="1" applyAlignment="1">
      <alignment vertical="center"/>
    </xf>
    <xf numFmtId="0" fontId="4" fillId="0" borderId="0" xfId="6" applyFont="1" applyAlignment="1">
      <alignment horizontal="center" vertical="center"/>
    </xf>
    <xf numFmtId="0" fontId="3" fillId="0" borderId="0" xfId="6" applyFont="1" applyAlignment="1">
      <alignment vertical="center" wrapText="1"/>
    </xf>
    <xf numFmtId="0" fontId="3" fillId="0" borderId="0" xfId="6" applyFont="1" applyAlignment="1">
      <alignment horizontal="center" vertical="center" wrapText="1"/>
    </xf>
    <xf numFmtId="0" fontId="3" fillId="0" borderId="0" xfId="6" applyFont="1" applyAlignment="1">
      <alignment vertical="center"/>
    </xf>
    <xf numFmtId="0" fontId="3" fillId="0" borderId="0" xfId="6" applyFont="1" applyAlignment="1">
      <alignment horizontal="center" vertical="center"/>
    </xf>
    <xf numFmtId="0" fontId="6" fillId="0" borderId="0" xfId="6" applyFont="1" applyAlignment="1">
      <alignment horizontal="left" vertical="center"/>
    </xf>
    <xf numFmtId="0" fontId="3" fillId="0" borderId="1" xfId="6" applyFont="1" applyBorder="1" applyAlignment="1">
      <alignment vertical="center" wrapText="1"/>
    </xf>
    <xf numFmtId="4" fontId="3" fillId="0" borderId="1" xfId="6" applyNumberFormat="1" applyFont="1" applyBorder="1" applyAlignment="1">
      <alignment horizontal="center" vertical="center" wrapText="1"/>
    </xf>
    <xf numFmtId="0" fontId="6" fillId="0" borderId="0" xfId="6" applyFont="1" applyAlignment="1">
      <alignment horizontal="center" vertical="center"/>
    </xf>
    <xf numFmtId="0" fontId="4" fillId="0" borderId="1" xfId="6" applyFont="1" applyBorder="1" applyAlignment="1">
      <alignment vertical="center"/>
    </xf>
    <xf numFmtId="0" fontId="4" fillId="0" borderId="1" xfId="6" applyFont="1" applyBorder="1" applyAlignment="1">
      <alignment horizontal="left" vertical="center"/>
    </xf>
    <xf numFmtId="0" fontId="1" fillId="0" borderId="0" xfId="0" applyFont="1" applyAlignment="1">
      <alignment vertical="center"/>
    </xf>
    <xf numFmtId="4" fontId="4" fillId="0" borderId="0" xfId="6" applyNumberFormat="1" applyFont="1" applyAlignment="1">
      <alignment horizontal="center" vertical="center"/>
    </xf>
    <xf numFmtId="0" fontId="4" fillId="0" borderId="1" xfId="22" applyFont="1" applyBorder="1" applyAlignment="1">
      <alignment vertical="center"/>
    </xf>
    <xf numFmtId="0" fontId="4" fillId="0" borderId="1" xfId="22" applyFont="1" applyBorder="1" applyAlignment="1">
      <alignment horizontal="center" vertical="center"/>
    </xf>
    <xf numFmtId="0" fontId="4" fillId="0" borderId="1" xfId="22" applyFont="1" applyBorder="1" applyAlignment="1">
      <alignment horizontal="left" vertical="center"/>
    </xf>
    <xf numFmtId="1" fontId="4" fillId="0" borderId="1" xfId="0" applyNumberFormat="1" applyFont="1" applyBorder="1" applyAlignment="1">
      <alignment horizontal="center" vertical="center"/>
    </xf>
    <xf numFmtId="0" fontId="28" fillId="0" borderId="1" xfId="0" applyFont="1" applyBorder="1" applyAlignment="1">
      <alignment vertical="center"/>
    </xf>
    <xf numFmtId="164" fontId="4" fillId="0" borderId="1" xfId="2" quotePrefix="1" applyFont="1" applyBorder="1" applyAlignment="1">
      <alignment horizontal="center" vertical="center"/>
    </xf>
    <xf numFmtId="49" fontId="4" fillId="0" borderId="1" xfId="2" applyNumberFormat="1" applyFont="1" applyBorder="1" applyAlignment="1">
      <alignment horizontal="center" vertical="center" wrapText="1"/>
    </xf>
    <xf numFmtId="2" fontId="4" fillId="0" borderId="0" xfId="1" applyNumberFormat="1" applyFont="1" applyAlignment="1">
      <alignment horizontal="left" vertical="center"/>
    </xf>
    <xf numFmtId="0" fontId="4" fillId="0" borderId="0" xfId="12" applyFont="1" applyAlignment="1">
      <alignment horizontal="left" vertical="center"/>
    </xf>
    <xf numFmtId="0" fontId="6" fillId="0" borderId="0" xfId="12" applyFont="1" applyAlignment="1">
      <alignment vertical="center"/>
    </xf>
    <xf numFmtId="0" fontId="4" fillId="0" borderId="0" xfId="12" applyFont="1" applyAlignment="1">
      <alignment vertical="center"/>
    </xf>
    <xf numFmtId="2" fontId="4" fillId="0" borderId="6" xfId="1" applyNumberFormat="1" applyFont="1" applyBorder="1" applyAlignment="1">
      <alignment horizontal="center" vertical="center"/>
    </xf>
    <xf numFmtId="0" fontId="4" fillId="2" borderId="1" xfId="14" applyFont="1" applyFill="1" applyBorder="1" applyAlignment="1">
      <alignment horizontal="left" vertical="center"/>
    </xf>
    <xf numFmtId="0" fontId="4" fillId="3" borderId="1" xfId="1" applyFont="1" applyFill="1" applyBorder="1" applyAlignment="1">
      <alignment vertical="center"/>
    </xf>
    <xf numFmtId="0" fontId="2" fillId="3" borderId="1" xfId="0" applyFont="1" applyFill="1" applyBorder="1" applyAlignment="1">
      <alignment vertical="center"/>
    </xf>
    <xf numFmtId="0" fontId="8" fillId="3" borderId="1" xfId="29" applyFont="1" applyFill="1" applyBorder="1" applyAlignment="1">
      <alignment horizontal="left" vertical="center" wrapText="1"/>
    </xf>
    <xf numFmtId="0" fontId="33" fillId="0" borderId="0" xfId="1" applyFont="1" applyAlignment="1">
      <alignment horizontal="left" vertical="center"/>
    </xf>
    <xf numFmtId="0" fontId="33" fillId="0" borderId="0" xfId="1" applyFont="1" applyAlignment="1">
      <alignment horizontal="center" vertical="center"/>
    </xf>
    <xf numFmtId="0" fontId="34" fillId="0" borderId="0" xfId="0" applyFont="1" applyAlignment="1">
      <alignment vertical="center"/>
    </xf>
    <xf numFmtId="0" fontId="34" fillId="3" borderId="0" xfId="0" applyFont="1" applyFill="1" applyAlignment="1">
      <alignment vertical="center"/>
    </xf>
    <xf numFmtId="0" fontId="2" fillId="0" borderId="0" xfId="0" applyFont="1" applyAlignment="1">
      <alignment horizontal="center" vertical="center"/>
    </xf>
    <xf numFmtId="4" fontId="2" fillId="0" borderId="0" xfId="0" applyNumberFormat="1" applyFont="1" applyAlignment="1">
      <alignment horizontal="center" vertical="center"/>
    </xf>
    <xf numFmtId="0" fontId="35" fillId="2" borderId="1" xfId="14" applyFont="1" applyFill="1" applyBorder="1" applyAlignment="1">
      <alignment horizontal="center" vertical="center"/>
    </xf>
    <xf numFmtId="0" fontId="4" fillId="2" borderId="1" xfId="1" applyFont="1" applyFill="1" applyBorder="1" applyAlignment="1">
      <alignment horizontal="left" vertical="center"/>
    </xf>
    <xf numFmtId="0" fontId="4" fillId="2" borderId="4" xfId="1" applyFont="1" applyFill="1" applyBorder="1" applyAlignment="1">
      <alignment horizontal="left" vertical="center"/>
    </xf>
    <xf numFmtId="0" fontId="2" fillId="0" borderId="1" xfId="23" applyFont="1" applyBorder="1" applyAlignment="1">
      <alignment horizontal="center" vertical="center"/>
    </xf>
    <xf numFmtId="0" fontId="2" fillId="0" borderId="1" xfId="23" quotePrefix="1" applyFont="1" applyBorder="1" applyAlignment="1">
      <alignment horizontal="center" vertical="center"/>
    </xf>
    <xf numFmtId="0" fontId="2" fillId="3" borderId="1" xfId="23" applyFont="1" applyFill="1" applyBorder="1" applyAlignment="1">
      <alignment horizontal="center" vertical="center"/>
    </xf>
    <xf numFmtId="0" fontId="2" fillId="3" borderId="0" xfId="0" applyFont="1" applyFill="1" applyAlignment="1">
      <alignment vertical="center"/>
    </xf>
    <xf numFmtId="0" fontId="2" fillId="3" borderId="1" xfId="0" applyFont="1" applyFill="1" applyBorder="1" applyAlignment="1">
      <alignment horizontal="center" vertical="center"/>
    </xf>
    <xf numFmtId="0" fontId="2" fillId="0" borderId="0" xfId="1" applyFont="1" applyAlignment="1">
      <alignment vertical="center" wrapText="1"/>
    </xf>
    <xf numFmtId="0" fontId="2" fillId="0" borderId="0" xfId="1" applyFont="1" applyAlignment="1">
      <alignment horizontal="center" vertical="center" wrapText="1"/>
    </xf>
    <xf numFmtId="0" fontId="2" fillId="0" borderId="1" xfId="1" applyFont="1" applyBorder="1" applyAlignment="1">
      <alignment horizontal="center" vertical="center" wrapText="1"/>
    </xf>
    <xf numFmtId="0" fontId="2" fillId="0" borderId="1" xfId="1" applyFont="1" applyBorder="1" applyAlignment="1">
      <alignment vertical="center" wrapText="1"/>
    </xf>
    <xf numFmtId="4" fontId="2" fillId="0" borderId="1" xfId="1" applyNumberFormat="1" applyFont="1" applyBorder="1" applyAlignment="1">
      <alignment horizontal="center" vertical="center" wrapText="1"/>
    </xf>
    <xf numFmtId="0" fontId="9" fillId="0" borderId="1" xfId="0" applyFont="1" applyBorder="1" applyAlignment="1">
      <alignment vertical="center" wrapText="1"/>
    </xf>
    <xf numFmtId="0" fontId="4" fillId="2" borderId="1" xfId="1" applyFont="1" applyFill="1" applyBorder="1" applyAlignment="1">
      <alignment horizontal="left" vertical="center" wrapText="1"/>
    </xf>
    <xf numFmtId="0" fontId="36" fillId="0" borderId="0" xfId="30" applyFont="1" applyAlignment="1">
      <alignment horizontal="left" vertical="center"/>
    </xf>
    <xf numFmtId="0" fontId="35" fillId="0" borderId="0" xfId="30" applyFont="1" applyAlignment="1">
      <alignment horizontal="left" vertical="center"/>
    </xf>
    <xf numFmtId="0" fontId="35" fillId="0" borderId="0" xfId="30" applyFont="1" applyAlignment="1">
      <alignment vertical="center"/>
    </xf>
    <xf numFmtId="4" fontId="35" fillId="0" borderId="0" xfId="30" applyNumberFormat="1" applyFont="1" applyAlignment="1">
      <alignment horizontal="left" vertical="center"/>
    </xf>
    <xf numFmtId="0" fontId="37" fillId="0" borderId="0" xfId="30" applyFont="1" applyAlignment="1">
      <alignment horizontal="left" vertical="center"/>
    </xf>
    <xf numFmtId="0" fontId="35" fillId="0" borderId="0" xfId="30" applyFont="1" applyAlignment="1">
      <alignment horizontal="center" vertical="center"/>
    </xf>
    <xf numFmtId="0" fontId="36" fillId="0" borderId="0" xfId="30" applyFont="1" applyAlignment="1">
      <alignment vertical="center" wrapText="1"/>
    </xf>
    <xf numFmtId="0" fontId="36" fillId="0" borderId="0" xfId="30" applyFont="1" applyAlignment="1">
      <alignment horizontal="center" vertical="center" wrapText="1"/>
    </xf>
    <xf numFmtId="0" fontId="36" fillId="0" borderId="0" xfId="30" applyFont="1" applyAlignment="1">
      <alignment vertical="center"/>
    </xf>
    <xf numFmtId="0" fontId="36" fillId="0" borderId="0" xfId="30" applyFont="1" applyAlignment="1">
      <alignment horizontal="center" vertical="center"/>
    </xf>
    <xf numFmtId="0" fontId="38" fillId="0" borderId="0" xfId="30" applyFont="1" applyAlignment="1">
      <alignment horizontal="left" vertical="center"/>
    </xf>
    <xf numFmtId="0" fontId="36" fillId="0" borderId="1" xfId="30" applyFont="1" applyBorder="1" applyAlignment="1">
      <alignment horizontal="center" vertical="center" wrapText="1"/>
    </xf>
    <xf numFmtId="0" fontId="36" fillId="0" borderId="1" xfId="30" applyFont="1" applyBorder="1" applyAlignment="1">
      <alignment vertical="center" wrapText="1"/>
    </xf>
    <xf numFmtId="4" fontId="36" fillId="0" borderId="1" xfId="30" applyNumberFormat="1" applyFont="1" applyBorder="1" applyAlignment="1">
      <alignment horizontal="center" vertical="center" wrapText="1"/>
    </xf>
    <xf numFmtId="0" fontId="36" fillId="0" borderId="1" xfId="30" applyFont="1" applyBorder="1" applyAlignment="1">
      <alignment horizontal="center" vertical="center"/>
    </xf>
    <xf numFmtId="0" fontId="38" fillId="0" borderId="0" xfId="30" applyFont="1" applyAlignment="1">
      <alignment horizontal="center" vertical="center"/>
    </xf>
    <xf numFmtId="0" fontId="35" fillId="0" borderId="0" xfId="29" applyFont="1" applyAlignment="1">
      <alignment vertical="center"/>
    </xf>
    <xf numFmtId="0" fontId="31" fillId="0" borderId="0" xfId="29" applyAlignment="1">
      <alignment vertical="center"/>
    </xf>
    <xf numFmtId="0" fontId="35" fillId="0" borderId="0" xfId="29" applyFont="1" applyAlignment="1">
      <alignment horizontal="center" vertical="center"/>
    </xf>
    <xf numFmtId="4" fontId="35" fillId="0" borderId="0" xfId="29" applyNumberFormat="1" applyFont="1" applyAlignment="1">
      <alignment horizontal="center" vertical="center"/>
    </xf>
    <xf numFmtId="0" fontId="35" fillId="3" borderId="1" xfId="29" applyFont="1" applyFill="1" applyBorder="1" applyAlignment="1">
      <alignment horizontal="center" vertical="center"/>
    </xf>
    <xf numFmtId="0" fontId="35" fillId="3" borderId="1" xfId="29" applyFont="1" applyFill="1" applyBorder="1" applyAlignment="1">
      <alignment vertical="center"/>
    </xf>
    <xf numFmtId="0" fontId="35" fillId="3" borderId="1" xfId="29" applyFont="1" applyFill="1" applyBorder="1" applyAlignment="1">
      <alignment horizontal="left" vertical="center"/>
    </xf>
    <xf numFmtId="0" fontId="35" fillId="3" borderId="0" xfId="29" applyFont="1" applyFill="1" applyAlignment="1">
      <alignment vertical="center"/>
    </xf>
    <xf numFmtId="0" fontId="35" fillId="3" borderId="1" xfId="30" applyFont="1" applyFill="1" applyBorder="1" applyAlignment="1">
      <alignment horizontal="center" vertical="center"/>
    </xf>
    <xf numFmtId="0" fontId="31" fillId="3" borderId="0" xfId="29" applyFill="1" applyAlignment="1">
      <alignment vertical="center"/>
    </xf>
    <xf numFmtId="0" fontId="4" fillId="2" borderId="1" xfId="0" applyFont="1" applyFill="1" applyBorder="1" applyAlignment="1">
      <alignment horizontal="center" vertical="center"/>
    </xf>
    <xf numFmtId="0" fontId="4" fillId="2" borderId="4" xfId="0" applyFont="1" applyFill="1" applyBorder="1" applyAlignment="1">
      <alignment horizontal="center" vertical="center"/>
    </xf>
    <xf numFmtId="0" fontId="7" fillId="0" borderId="0" xfId="1" applyFont="1" applyAlignment="1">
      <alignment horizontal="center" vertical="center"/>
    </xf>
    <xf numFmtId="0" fontId="39" fillId="4" borderId="1" xfId="1" applyFont="1" applyFill="1" applyBorder="1" applyAlignment="1">
      <alignment horizontal="center" vertical="center"/>
    </xf>
    <xf numFmtId="0" fontId="39" fillId="4" borderId="1" xfId="1" applyFont="1" applyFill="1" applyBorder="1" applyAlignment="1">
      <alignment vertical="center"/>
    </xf>
    <xf numFmtId="0" fontId="39" fillId="4" borderId="1" xfId="1" applyFont="1" applyFill="1" applyBorder="1" applyAlignment="1">
      <alignment horizontal="left" vertical="center"/>
    </xf>
    <xf numFmtId="0" fontId="39" fillId="4" borderId="1" xfId="1" quotePrefix="1" applyFont="1" applyFill="1" applyBorder="1" applyAlignment="1">
      <alignment horizontal="center" vertical="center"/>
    </xf>
    <xf numFmtId="0" fontId="39" fillId="4" borderId="0" xfId="1" applyFont="1" applyFill="1" applyAlignment="1">
      <alignment horizontal="left" vertical="center"/>
    </xf>
    <xf numFmtId="164" fontId="4" fillId="2" borderId="1" xfId="2" applyFont="1" applyFill="1" applyBorder="1" applyAlignment="1">
      <alignment vertical="center"/>
    </xf>
    <xf numFmtId="164" fontId="4" fillId="2" borderId="1" xfId="2" applyFont="1" applyFill="1" applyBorder="1" applyAlignment="1">
      <alignment horizontal="center" vertical="center"/>
    </xf>
    <xf numFmtId="0" fontId="4" fillId="2" borderId="1" xfId="1" applyFont="1" applyFill="1" applyBorder="1" applyAlignment="1">
      <alignment vertical="center" wrapText="1"/>
    </xf>
    <xf numFmtId="0" fontId="4" fillId="3" borderId="1" xfId="0" applyFont="1" applyFill="1" applyBorder="1" applyAlignment="1">
      <alignment horizontal="center" vertical="center"/>
    </xf>
    <xf numFmtId="0" fontId="4" fillId="3" borderId="1" xfId="0" applyFont="1" applyFill="1" applyBorder="1" applyAlignment="1">
      <alignment vertical="center"/>
    </xf>
    <xf numFmtId="0" fontId="4" fillId="3" borderId="0" xfId="0" applyFont="1" applyFill="1" applyAlignment="1">
      <alignment vertical="center"/>
    </xf>
    <xf numFmtId="0" fontId="4" fillId="3" borderId="1" xfId="1" applyFont="1" applyFill="1" applyBorder="1" applyAlignment="1">
      <alignment horizontal="center" vertical="center"/>
    </xf>
    <xf numFmtId="0" fontId="0" fillId="3" borderId="0" xfId="0" applyFill="1" applyAlignment="1">
      <alignment vertical="center"/>
    </xf>
    <xf numFmtId="0" fontId="4" fillId="3" borderId="1" xfId="0" applyFont="1" applyFill="1" applyBorder="1" applyAlignment="1">
      <alignment vertical="center" wrapText="1"/>
    </xf>
    <xf numFmtId="0" fontId="8" fillId="0" borderId="0" xfId="0" applyFont="1" applyAlignment="1">
      <alignment vertical="center"/>
    </xf>
    <xf numFmtId="0" fontId="4" fillId="2" borderId="1" xfId="0" applyFont="1" applyFill="1" applyBorder="1" applyAlignment="1">
      <alignment vertical="center"/>
    </xf>
    <xf numFmtId="0" fontId="4" fillId="0" borderId="1" xfId="7" applyNumberFormat="1" applyFont="1" applyBorder="1" applyAlignment="1">
      <alignment horizontal="left" vertical="center"/>
    </xf>
    <xf numFmtId="0" fontId="4" fillId="3" borderId="1" xfId="1" applyFont="1" applyFill="1" applyBorder="1" applyAlignment="1">
      <alignment horizontal="left" vertical="center"/>
    </xf>
    <xf numFmtId="0" fontId="4" fillId="3" borderId="0" xfId="1" applyFont="1" applyFill="1" applyAlignment="1">
      <alignment horizontal="left" vertical="center"/>
    </xf>
    <xf numFmtId="4" fontId="4" fillId="3" borderId="1" xfId="1" applyNumberFormat="1" applyFont="1" applyFill="1" applyBorder="1" applyAlignment="1">
      <alignment horizontal="center" vertical="center"/>
    </xf>
    <xf numFmtId="0" fontId="4" fillId="3" borderId="0" xfId="1" applyFont="1" applyFill="1" applyAlignment="1">
      <alignment horizontal="center" vertical="center"/>
    </xf>
    <xf numFmtId="0" fontId="4" fillId="2" borderId="1" xfId="4" applyFont="1" applyFill="1" applyBorder="1" applyAlignment="1">
      <alignment vertical="center"/>
    </xf>
    <xf numFmtId="0" fontId="4" fillId="2" borderId="1" xfId="4" applyFont="1" applyFill="1" applyBorder="1" applyAlignment="1">
      <alignment horizontal="center" vertical="center"/>
    </xf>
    <xf numFmtId="168" fontId="2" fillId="3" borderId="8" xfId="0" applyNumberFormat="1" applyFont="1" applyFill="1" applyBorder="1" applyAlignment="1">
      <alignment vertical="center" wrapText="1"/>
    </xf>
    <xf numFmtId="0" fontId="5" fillId="0" borderId="0" xfId="1" applyFont="1" applyAlignment="1">
      <alignment horizontal="center" vertical="center"/>
    </xf>
    <xf numFmtId="0" fontId="4" fillId="3" borderId="6" xfId="1" applyFont="1" applyFill="1" applyBorder="1" applyAlignment="1">
      <alignment horizontal="left" vertical="center"/>
    </xf>
    <xf numFmtId="0" fontId="4" fillId="3" borderId="1" xfId="1" quotePrefix="1" applyFont="1" applyFill="1" applyBorder="1" applyAlignment="1">
      <alignment horizontal="center" vertical="center"/>
    </xf>
    <xf numFmtId="0" fontId="17" fillId="4" borderId="1" xfId="1" applyFont="1" applyFill="1" applyBorder="1" applyAlignment="1">
      <alignment horizontal="center" vertical="center"/>
    </xf>
    <xf numFmtId="0" fontId="17" fillId="4" borderId="1" xfId="1" applyFont="1" applyFill="1" applyBorder="1" applyAlignment="1">
      <alignment vertical="center"/>
    </xf>
    <xf numFmtId="0" fontId="17" fillId="4" borderId="1" xfId="1" applyFont="1" applyFill="1" applyBorder="1" applyAlignment="1">
      <alignment horizontal="left" vertical="center"/>
    </xf>
    <xf numFmtId="0" fontId="17" fillId="4" borderId="0" xfId="1" applyFont="1" applyFill="1" applyAlignment="1">
      <alignment horizontal="left" vertical="center"/>
    </xf>
    <xf numFmtId="0" fontId="17" fillId="4" borderId="0" xfId="0" applyFont="1" applyFill="1" applyAlignment="1">
      <alignment vertical="center"/>
    </xf>
    <xf numFmtId="0" fontId="17" fillId="4" borderId="0" xfId="1" applyFont="1" applyFill="1" applyAlignment="1">
      <alignment horizontal="center" vertical="center"/>
    </xf>
    <xf numFmtId="0" fontId="17" fillId="4" borderId="6" xfId="1" applyFont="1" applyFill="1" applyBorder="1" applyAlignment="1">
      <alignment horizontal="left" vertical="center"/>
    </xf>
    <xf numFmtId="0" fontId="41" fillId="3" borderId="1" xfId="0" applyFont="1" applyFill="1" applyBorder="1" applyAlignment="1">
      <alignment vertical="top"/>
    </xf>
    <xf numFmtId="0" fontId="41" fillId="3" borderId="2" xfId="0" applyFont="1" applyFill="1" applyBorder="1" applyAlignment="1">
      <alignment vertical="top" wrapText="1"/>
    </xf>
    <xf numFmtId="9" fontId="5" fillId="0" borderId="0" xfId="1" applyNumberFormat="1" applyFont="1" applyAlignment="1">
      <alignment horizontal="center" vertical="center"/>
    </xf>
    <xf numFmtId="4" fontId="4" fillId="4" borderId="1" xfId="1" applyNumberFormat="1" applyFont="1" applyFill="1" applyBorder="1" applyAlignment="1">
      <alignment horizontal="center" vertical="center"/>
    </xf>
    <xf numFmtId="4" fontId="2" fillId="4" borderId="1" xfId="1" applyNumberFormat="1" applyFont="1" applyFill="1" applyBorder="1" applyAlignment="1">
      <alignment horizontal="center" vertical="center"/>
    </xf>
    <xf numFmtId="0" fontId="24" fillId="3" borderId="0" xfId="0" applyFont="1" applyFill="1" applyAlignment="1">
      <alignment vertical="center"/>
    </xf>
    <xf numFmtId="49" fontId="2" fillId="3" borderId="1" xfId="0" applyNumberFormat="1" applyFont="1" applyFill="1" applyBorder="1" applyAlignment="1">
      <alignment horizontal="left" vertical="center" wrapText="1"/>
    </xf>
    <xf numFmtId="0" fontId="22" fillId="0" borderId="0" xfId="1" applyFont="1" applyAlignment="1">
      <alignment horizontal="center" vertical="center"/>
    </xf>
    <xf numFmtId="3" fontId="2" fillId="0" borderId="1" xfId="1" applyNumberFormat="1" applyFont="1" applyBorder="1" applyAlignment="1">
      <alignment horizontal="center" vertical="center"/>
    </xf>
    <xf numFmtId="0" fontId="2" fillId="0" borderId="1" xfId="0" applyFont="1" applyBorder="1" applyAlignment="1">
      <alignment vertical="center" wrapText="1"/>
    </xf>
    <xf numFmtId="0" fontId="4" fillId="0" borderId="1" xfId="0" applyFont="1" applyBorder="1" applyAlignment="1">
      <alignment wrapText="1"/>
    </xf>
    <xf numFmtId="0" fontId="21" fillId="0" borderId="1" xfId="1" applyFont="1" applyBorder="1" applyAlignment="1">
      <alignment horizontal="left" vertical="center"/>
    </xf>
    <xf numFmtId="0" fontId="2" fillId="3" borderId="1" xfId="29" applyFont="1" applyFill="1" applyBorder="1" applyAlignment="1">
      <alignment horizontal="center" vertical="center"/>
    </xf>
    <xf numFmtId="0" fontId="2" fillId="3" borderId="1" xfId="29" applyFont="1" applyFill="1" applyBorder="1"/>
    <xf numFmtId="0" fontId="2" fillId="3" borderId="1" xfId="29" applyFont="1" applyFill="1" applyBorder="1" applyAlignment="1">
      <alignment horizontal="center"/>
    </xf>
    <xf numFmtId="4" fontId="2" fillId="3" borderId="0" xfId="29" applyNumberFormat="1" applyFont="1" applyFill="1" applyAlignment="1">
      <alignment horizontal="center"/>
    </xf>
    <xf numFmtId="0" fontId="2" fillId="3" borderId="4" xfId="29" applyFont="1" applyFill="1" applyBorder="1" applyAlignment="1">
      <alignment horizontal="center" vertical="center"/>
    </xf>
    <xf numFmtId="0" fontId="8" fillId="3" borderId="0" xfId="29" applyFont="1" applyFill="1"/>
    <xf numFmtId="0" fontId="8" fillId="3" borderId="0" xfId="0" applyFont="1" applyFill="1" applyAlignment="1">
      <alignment vertical="center"/>
    </xf>
    <xf numFmtId="0" fontId="2" fillId="3" borderId="1" xfId="29" applyFont="1" applyFill="1" applyBorder="1" applyAlignment="1">
      <alignment horizontal="left"/>
    </xf>
    <xf numFmtId="0" fontId="2" fillId="3" borderId="0" xfId="29" applyFont="1" applyFill="1" applyAlignment="1">
      <alignment horizontal="center" vertical="center"/>
    </xf>
    <xf numFmtId="4" fontId="3" fillId="0" borderId="1" xfId="1" applyNumberFormat="1" applyFont="1" applyBorder="1" applyAlignment="1">
      <alignment horizontal="center" vertical="center"/>
    </xf>
    <xf numFmtId="4" fontId="36" fillId="0" borderId="1" xfId="30" applyNumberFormat="1" applyFont="1" applyBorder="1" applyAlignment="1">
      <alignment horizontal="center" vertical="center"/>
    </xf>
    <xf numFmtId="4" fontId="21" fillId="0" borderId="1" xfId="1" applyNumberFormat="1" applyFont="1" applyBorder="1" applyAlignment="1">
      <alignment horizontal="center" vertical="center"/>
    </xf>
    <xf numFmtId="4" fontId="2" fillId="0" borderId="1" xfId="1" applyNumberFormat="1" applyFont="1" applyBorder="1" applyAlignment="1">
      <alignment horizontal="center" vertical="center"/>
    </xf>
    <xf numFmtId="4" fontId="3" fillId="0" borderId="1" xfId="8" applyNumberFormat="1" applyFont="1" applyBorder="1" applyAlignment="1">
      <alignment horizontal="center" vertical="center"/>
    </xf>
    <xf numFmtId="4" fontId="3" fillId="0" borderId="1" xfId="14" applyNumberFormat="1" applyFont="1" applyBorder="1" applyAlignment="1">
      <alignment horizontal="center" vertical="center"/>
    </xf>
    <xf numFmtId="4" fontId="3" fillId="0" borderId="1" xfId="6" applyNumberFormat="1" applyFont="1" applyBorder="1" applyAlignment="1">
      <alignment horizontal="center" vertical="center"/>
    </xf>
  </cellXfs>
  <cellStyles count="37">
    <cellStyle name="_ET_STYLE_NoName_00_" xfId="10" xr:uid="{00000000-0005-0000-0000-00000A000000}"/>
    <cellStyle name="_ET_STYLE_NoName_00_ 2" xfId="11" xr:uid="{00000000-0005-0000-0000-00000B000000}"/>
    <cellStyle name="_ET_STYLE_NoName_00_ 2 2" xfId="24" xr:uid="{00000000-0005-0000-0000-000018000000}"/>
    <cellStyle name="Comma" xfId="3" builtinId="3"/>
    <cellStyle name="Comma 2" xfId="27" xr:uid="{00000000-0005-0000-0000-00001B000000}"/>
    <cellStyle name="Comma 3" xfId="7" xr:uid="{00000000-0005-0000-0000-000007000000}"/>
    <cellStyle name="Comma 4" xfId="31" xr:uid="{00000000-0005-0000-0000-00001F000000}"/>
    <cellStyle name="Comma 5" xfId="32" xr:uid="{00000000-0005-0000-0000-000020000000}"/>
    <cellStyle name="Comma 6" xfId="33" xr:uid="{00000000-0005-0000-0000-000021000000}"/>
    <cellStyle name="Comma 7" xfId="35" xr:uid="{00000000-0005-0000-0000-000023000000}"/>
    <cellStyle name="Normal" xfId="0" builtinId="0"/>
    <cellStyle name="Normal 10" xfId="29" xr:uid="{00000000-0005-0000-0000-00001D000000}"/>
    <cellStyle name="Normal 2" xfId="2" xr:uid="{00000000-0005-0000-0000-000002000000}"/>
    <cellStyle name="Normal 2 2" xfId="13" xr:uid="{00000000-0005-0000-0000-00000D000000}"/>
    <cellStyle name="Normal 2 3" xfId="17" xr:uid="{00000000-0005-0000-0000-000011000000}"/>
    <cellStyle name="Normal 2 3 2" xfId="18" xr:uid="{00000000-0005-0000-0000-000012000000}"/>
    <cellStyle name="Normal 2 4" xfId="36" xr:uid="{00000000-0005-0000-0000-000024000000}"/>
    <cellStyle name="Normal 3" xfId="9" xr:uid="{00000000-0005-0000-0000-000009000000}"/>
    <cellStyle name="Normal 3 2" xfId="19" xr:uid="{00000000-0005-0000-0000-000013000000}"/>
    <cellStyle name="Normal 3 3" xfId="23" xr:uid="{00000000-0005-0000-0000-000017000000}"/>
    <cellStyle name="Normal 4" xfId="15" xr:uid="{00000000-0005-0000-0000-00000F000000}"/>
    <cellStyle name="Normal 5" xfId="5" xr:uid="{00000000-0005-0000-0000-000005000000}"/>
    <cellStyle name="Normal 6" xfId="12" xr:uid="{00000000-0005-0000-0000-00000C000000}"/>
    <cellStyle name="Normal 7" xfId="21" xr:uid="{00000000-0005-0000-0000-000015000000}"/>
    <cellStyle name="Normal 8" xfId="26" xr:uid="{00000000-0005-0000-0000-00001A000000}"/>
    <cellStyle name="Normal 9" xfId="28" xr:uid="{00000000-0005-0000-0000-00001C000000}"/>
    <cellStyle name="Normal_ACC PARADIGM Part Numbers" xfId="1" xr:uid="{00000000-0005-0000-0000-000001000000}"/>
    <cellStyle name="Normal_ACC PARADIGM Part Numbers 2" xfId="4" xr:uid="{00000000-0005-0000-0000-000004000000}"/>
    <cellStyle name="Normal_ACC PARADIGM Part Numbers 2 2" xfId="25" xr:uid="{00000000-0005-0000-0000-000019000000}"/>
    <cellStyle name="Normal_ACC PARADIGM Part Numbers 3" xfId="6" xr:uid="{00000000-0005-0000-0000-000006000000}"/>
    <cellStyle name="Normal_ACC PARADIGM Part Numbers 3 2" xfId="16" xr:uid="{00000000-0005-0000-0000-000010000000}"/>
    <cellStyle name="Normal_ACC PARADIGM Part Numbers 4" xfId="8" xr:uid="{00000000-0005-0000-0000-000008000000}"/>
    <cellStyle name="Normal_ACC PARADIGM Part Numbers 4 2" xfId="20" xr:uid="{00000000-0005-0000-0000-000014000000}"/>
    <cellStyle name="Normal_ACC PARADIGM Part Numbers 5" xfId="14" xr:uid="{00000000-0005-0000-0000-00000E000000}"/>
    <cellStyle name="Normal_ACC PARADIGM Part Numbers 6" xfId="22" xr:uid="{00000000-0005-0000-0000-000016000000}"/>
    <cellStyle name="Normal_ACC PARADIGM Part Numbers 7" xfId="30" xr:uid="{00000000-0005-0000-0000-00001E000000}"/>
    <cellStyle name="常规_FPI0802027OMRAN-M" xfId="34" xr:uid="{00000000-0005-0000-0000-000022000000}"/>
  </cellStyles>
  <dxfs count="8">
    <dxf>
      <font>
        <color rgb="FF9C0006"/>
      </font>
      <fill>
        <patternFill>
          <bgColor rgb="FFFFC7CE"/>
        </patternFill>
      </fill>
    </dxf>
    <dxf>
      <font>
        <strike/>
        <color rgb="FFFF0000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50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3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theme" Target="theme/theme1.xml"/><Relationship Id="rId8" Type="http://schemas.openxmlformats.org/officeDocument/2006/relationships/worksheet" Target="worksheets/sheet8.xml"/><Relationship Id="rId51" Type="http://schemas.microsoft.com/office/2017/10/relationships/person" Target="persons/person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styles" Target="styles.xml"/></Relationships>
</file>

<file path=xl/persons/person.xml><?xml version="1.0" encoding="utf-8"?>
<personList xmlns="http://schemas.microsoft.com/office/spreadsheetml/2018/threadedcomments" xmlns:x="http://schemas.openxmlformats.org/spreadsheetml/2006/main"/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tabColor theme="1" tint="0.499984740745262"/>
  </sheetPr>
  <dimension ref="A1:I60"/>
  <sheetViews>
    <sheetView zoomScaleNormal="100" workbookViewId="0">
      <selection activeCell="E22" sqref="E22"/>
    </sheetView>
  </sheetViews>
  <sheetFormatPr defaultColWidth="8.85546875" defaultRowHeight="15" customHeight="1"/>
  <cols>
    <col min="1" max="1" width="3.5703125" style="40" customWidth="1"/>
    <col min="2" max="2" width="19.140625" style="39" bestFit="1" customWidth="1"/>
    <col min="3" max="3" width="12" style="39" bestFit="1" customWidth="1"/>
    <col min="4" max="4" width="38.7109375" style="39" customWidth="1"/>
    <col min="5" max="5" width="12.42578125" style="39" customWidth="1"/>
    <col min="6" max="6" width="10.42578125" style="39" customWidth="1"/>
    <col min="7" max="7" width="35.5703125" style="39" customWidth="1"/>
    <col min="8" max="8" width="38.28515625" style="39" bestFit="1" customWidth="1"/>
    <col min="9" max="9" width="16.85546875" style="40" customWidth="1"/>
    <col min="10" max="216" width="8.85546875" style="39" customWidth="1"/>
    <col min="217" max="217" width="8.140625" style="39" customWidth="1"/>
    <col min="218" max="218" width="14.5703125" style="39" customWidth="1"/>
    <col min="219" max="219" width="37.42578125" style="39" customWidth="1"/>
    <col min="220" max="220" width="63.140625" style="39" customWidth="1"/>
    <col min="221" max="221" width="20" style="39" customWidth="1"/>
    <col min="222" max="222" width="11.140625" style="39" customWidth="1"/>
    <col min="223" max="223" width="10.85546875" style="39" customWidth="1"/>
    <col min="224" max="224" width="21" style="39" customWidth="1"/>
    <col min="225" max="225" width="10.85546875" style="39" customWidth="1"/>
    <col min="226" max="226" width="17.42578125" style="39" customWidth="1"/>
    <col min="227" max="227" width="14.85546875" style="39" customWidth="1"/>
    <col min="228" max="228" width="15" style="39" customWidth="1"/>
    <col min="229" max="229" width="14.85546875" style="39" customWidth="1"/>
    <col min="230" max="230" width="7.140625" style="39" customWidth="1"/>
    <col min="231" max="232" width="20.140625" style="39" customWidth="1"/>
    <col min="233" max="233" width="18.42578125" style="39" customWidth="1"/>
    <col min="234" max="234" width="9.140625" style="39" customWidth="1"/>
    <col min="235" max="235" width="12" style="39" customWidth="1"/>
    <col min="236" max="236" width="14.85546875" style="39" customWidth="1"/>
    <col min="237" max="237" width="22.42578125" style="39" customWidth="1"/>
    <col min="238" max="238" width="14.85546875" style="39" customWidth="1"/>
    <col min="239" max="239" width="7.140625" style="39" customWidth="1"/>
    <col min="240" max="240" width="20.140625" style="39" customWidth="1"/>
    <col min="241" max="472" width="8.85546875" style="39" customWidth="1"/>
    <col min="473" max="473" width="8.140625" style="39" customWidth="1"/>
    <col min="474" max="474" width="14.5703125" style="39" customWidth="1"/>
    <col min="475" max="475" width="37.42578125" style="39" customWidth="1"/>
    <col min="476" max="476" width="63.140625" style="39" customWidth="1"/>
    <col min="477" max="477" width="20" style="39" customWidth="1"/>
    <col min="478" max="478" width="11.140625" style="39" customWidth="1"/>
    <col min="479" max="479" width="10.85546875" style="39" customWidth="1"/>
    <col min="480" max="480" width="21" style="39" customWidth="1"/>
    <col min="481" max="481" width="10.85546875" style="39" customWidth="1"/>
    <col min="482" max="482" width="17.42578125" style="39" customWidth="1"/>
    <col min="483" max="483" width="14.85546875" style="39" customWidth="1"/>
    <col min="484" max="484" width="15" style="39" customWidth="1"/>
    <col min="485" max="485" width="14.85546875" style="39" customWidth="1"/>
    <col min="486" max="486" width="7.140625" style="39" customWidth="1"/>
    <col min="487" max="488" width="20.140625" style="39" customWidth="1"/>
    <col min="489" max="489" width="18.42578125" style="39" customWidth="1"/>
    <col min="490" max="490" width="9.140625" style="39" customWidth="1"/>
    <col min="491" max="491" width="12" style="39" customWidth="1"/>
    <col min="492" max="492" width="14.85546875" style="39" customWidth="1"/>
    <col min="493" max="493" width="22.42578125" style="39" customWidth="1"/>
    <col min="494" max="494" width="14.85546875" style="39" customWidth="1"/>
    <col min="495" max="495" width="7.140625" style="39" customWidth="1"/>
    <col min="496" max="496" width="20.140625" style="39" customWidth="1"/>
    <col min="497" max="728" width="8.85546875" style="39" customWidth="1"/>
    <col min="729" max="729" width="8.140625" style="39" customWidth="1"/>
    <col min="730" max="730" width="14.5703125" style="39" customWidth="1"/>
    <col min="731" max="731" width="37.42578125" style="39" customWidth="1"/>
    <col min="732" max="732" width="63.140625" style="39" customWidth="1"/>
    <col min="733" max="733" width="20" style="39" customWidth="1"/>
    <col min="734" max="734" width="11.140625" style="39" customWidth="1"/>
    <col min="735" max="735" width="10.85546875" style="39" customWidth="1"/>
    <col min="736" max="736" width="21" style="39" customWidth="1"/>
    <col min="737" max="737" width="10.85546875" style="39" customWidth="1"/>
    <col min="738" max="738" width="17.42578125" style="39" customWidth="1"/>
    <col min="739" max="739" width="14.85546875" style="39" customWidth="1"/>
    <col min="740" max="740" width="15" style="39" customWidth="1"/>
    <col min="741" max="741" width="14.85546875" style="39" customWidth="1"/>
    <col min="742" max="742" width="7.140625" style="39" customWidth="1"/>
    <col min="743" max="744" width="20.140625" style="39" customWidth="1"/>
    <col min="745" max="745" width="18.42578125" style="39" customWidth="1"/>
    <col min="746" max="746" width="9.140625" style="39" customWidth="1"/>
    <col min="747" max="747" width="12" style="39" customWidth="1"/>
    <col min="748" max="748" width="14.85546875" style="39" customWidth="1"/>
    <col min="749" max="749" width="22.42578125" style="39" customWidth="1"/>
    <col min="750" max="750" width="14.85546875" style="39" customWidth="1"/>
    <col min="751" max="751" width="7.140625" style="39" customWidth="1"/>
    <col min="752" max="752" width="20.140625" style="39" customWidth="1"/>
    <col min="753" max="984" width="8.85546875" style="39" customWidth="1"/>
    <col min="985" max="985" width="8.140625" style="39" customWidth="1"/>
    <col min="986" max="986" width="14.5703125" style="39" customWidth="1"/>
    <col min="987" max="987" width="37.42578125" style="39" customWidth="1"/>
    <col min="988" max="988" width="63.140625" style="39" customWidth="1"/>
    <col min="989" max="989" width="20" style="39" customWidth="1"/>
    <col min="990" max="990" width="11.140625" style="39" customWidth="1"/>
    <col min="991" max="991" width="10.85546875" style="39" customWidth="1"/>
    <col min="992" max="992" width="21" style="39" customWidth="1"/>
    <col min="993" max="993" width="10.85546875" style="39" customWidth="1"/>
    <col min="994" max="994" width="17.42578125" style="39" customWidth="1"/>
    <col min="995" max="995" width="14.85546875" style="39" customWidth="1"/>
    <col min="996" max="996" width="15" style="39" customWidth="1"/>
    <col min="997" max="997" width="14.85546875" style="39" customWidth="1"/>
    <col min="998" max="998" width="7.140625" style="39" customWidth="1"/>
    <col min="999" max="1000" width="20.140625" style="39" customWidth="1"/>
    <col min="1001" max="1001" width="18.42578125" style="39" customWidth="1"/>
    <col min="1002" max="1002" width="9.140625" style="39" customWidth="1"/>
    <col min="1003" max="1003" width="12" style="39" customWidth="1"/>
    <col min="1004" max="1004" width="14.85546875" style="39" customWidth="1"/>
    <col min="1005" max="1005" width="22.42578125" style="39" customWidth="1"/>
    <col min="1006" max="1006" width="14.85546875" style="39" customWidth="1"/>
    <col min="1007" max="1007" width="7.140625" style="39" customWidth="1"/>
    <col min="1008" max="1008" width="20.140625" style="39" customWidth="1"/>
    <col min="1009" max="1240" width="8.85546875" style="39" customWidth="1"/>
    <col min="1241" max="1241" width="8.140625" style="39" customWidth="1"/>
    <col min="1242" max="1242" width="14.5703125" style="39" customWidth="1"/>
    <col min="1243" max="1243" width="37.42578125" style="39" customWidth="1"/>
    <col min="1244" max="1244" width="63.140625" style="39" customWidth="1"/>
    <col min="1245" max="1245" width="20" style="39" customWidth="1"/>
    <col min="1246" max="1246" width="11.140625" style="39" customWidth="1"/>
    <col min="1247" max="1247" width="10.85546875" style="39" customWidth="1"/>
    <col min="1248" max="1248" width="21" style="39" customWidth="1"/>
    <col min="1249" max="1249" width="10.85546875" style="39" customWidth="1"/>
    <col min="1250" max="1250" width="17.42578125" style="39" customWidth="1"/>
    <col min="1251" max="1251" width="14.85546875" style="39" customWidth="1"/>
    <col min="1252" max="1252" width="15" style="39" customWidth="1"/>
    <col min="1253" max="1253" width="14.85546875" style="39" customWidth="1"/>
    <col min="1254" max="1254" width="7.140625" style="39" customWidth="1"/>
    <col min="1255" max="1256" width="20.140625" style="39" customWidth="1"/>
    <col min="1257" max="1257" width="18.42578125" style="39" customWidth="1"/>
    <col min="1258" max="1258" width="9.140625" style="39" customWidth="1"/>
    <col min="1259" max="1259" width="12" style="39" customWidth="1"/>
    <col min="1260" max="1260" width="14.85546875" style="39" customWidth="1"/>
    <col min="1261" max="1261" width="22.42578125" style="39" customWidth="1"/>
    <col min="1262" max="1262" width="14.85546875" style="39" customWidth="1"/>
    <col min="1263" max="1263" width="7.140625" style="39" customWidth="1"/>
    <col min="1264" max="1264" width="20.140625" style="39" customWidth="1"/>
    <col min="1265" max="1496" width="8.85546875" style="39" customWidth="1"/>
    <col min="1497" max="1497" width="8.140625" style="39" customWidth="1"/>
    <col min="1498" max="1498" width="14.5703125" style="39" customWidth="1"/>
    <col min="1499" max="1499" width="37.42578125" style="39" customWidth="1"/>
    <col min="1500" max="1500" width="63.140625" style="39" customWidth="1"/>
    <col min="1501" max="1501" width="20" style="39" customWidth="1"/>
    <col min="1502" max="1502" width="11.140625" style="39" customWidth="1"/>
    <col min="1503" max="1503" width="10.85546875" style="39" customWidth="1"/>
    <col min="1504" max="1504" width="21" style="39" customWidth="1"/>
    <col min="1505" max="1505" width="10.85546875" style="39" customWidth="1"/>
    <col min="1506" max="1506" width="17.42578125" style="39" customWidth="1"/>
    <col min="1507" max="1507" width="14.85546875" style="39" customWidth="1"/>
    <col min="1508" max="1508" width="15" style="39" customWidth="1"/>
    <col min="1509" max="1509" width="14.85546875" style="39" customWidth="1"/>
    <col min="1510" max="1510" width="7.140625" style="39" customWidth="1"/>
    <col min="1511" max="1512" width="20.140625" style="39" customWidth="1"/>
    <col min="1513" max="1513" width="18.42578125" style="39" customWidth="1"/>
    <col min="1514" max="1514" width="9.140625" style="39" customWidth="1"/>
    <col min="1515" max="1515" width="12" style="39" customWidth="1"/>
    <col min="1516" max="1516" width="14.85546875" style="39" customWidth="1"/>
    <col min="1517" max="1517" width="22.42578125" style="39" customWidth="1"/>
    <col min="1518" max="1518" width="14.85546875" style="39" customWidth="1"/>
    <col min="1519" max="1519" width="7.140625" style="39" customWidth="1"/>
    <col min="1520" max="1520" width="20.140625" style="39" customWidth="1"/>
    <col min="1521" max="1752" width="8.85546875" style="39" customWidth="1"/>
    <col min="1753" max="1753" width="8.140625" style="39" customWidth="1"/>
    <col min="1754" max="1754" width="14.5703125" style="39" customWidth="1"/>
    <col min="1755" max="1755" width="37.42578125" style="39" customWidth="1"/>
    <col min="1756" max="1756" width="63.140625" style="39" customWidth="1"/>
    <col min="1757" max="1757" width="20" style="39" customWidth="1"/>
    <col min="1758" max="1758" width="11.140625" style="39" customWidth="1"/>
    <col min="1759" max="1759" width="10.85546875" style="39" customWidth="1"/>
    <col min="1760" max="1760" width="21" style="39" customWidth="1"/>
    <col min="1761" max="1761" width="10.85546875" style="39" customWidth="1"/>
    <col min="1762" max="1762" width="17.42578125" style="39" customWidth="1"/>
    <col min="1763" max="1763" width="14.85546875" style="39" customWidth="1"/>
    <col min="1764" max="1764" width="15" style="39" customWidth="1"/>
    <col min="1765" max="1765" width="14.85546875" style="39" customWidth="1"/>
    <col min="1766" max="1766" width="7.140625" style="39" customWidth="1"/>
    <col min="1767" max="1768" width="20.140625" style="39" customWidth="1"/>
    <col min="1769" max="1769" width="18.42578125" style="39" customWidth="1"/>
    <col min="1770" max="1770" width="9.140625" style="39" customWidth="1"/>
    <col min="1771" max="1771" width="12" style="39" customWidth="1"/>
    <col min="1772" max="1772" width="14.85546875" style="39" customWidth="1"/>
    <col min="1773" max="1773" width="22.42578125" style="39" customWidth="1"/>
    <col min="1774" max="1774" width="14.85546875" style="39" customWidth="1"/>
    <col min="1775" max="1775" width="7.140625" style="39" customWidth="1"/>
    <col min="1776" max="1776" width="20.140625" style="39" customWidth="1"/>
    <col min="1777" max="2008" width="8.85546875" style="39" customWidth="1"/>
    <col min="2009" max="2009" width="8.140625" style="39" customWidth="1"/>
    <col min="2010" max="2010" width="14.5703125" style="39" customWidth="1"/>
    <col min="2011" max="2011" width="37.42578125" style="39" customWidth="1"/>
    <col min="2012" max="2012" width="63.140625" style="39" customWidth="1"/>
    <col min="2013" max="2013" width="20" style="39" customWidth="1"/>
    <col min="2014" max="2014" width="11.140625" style="39" customWidth="1"/>
    <col min="2015" max="2015" width="10.85546875" style="39" customWidth="1"/>
    <col min="2016" max="2016" width="21" style="39" customWidth="1"/>
    <col min="2017" max="2017" width="10.85546875" style="39" customWidth="1"/>
    <col min="2018" max="2018" width="17.42578125" style="39" customWidth="1"/>
    <col min="2019" max="2019" width="14.85546875" style="39" customWidth="1"/>
    <col min="2020" max="2020" width="15" style="39" customWidth="1"/>
    <col min="2021" max="2021" width="14.85546875" style="39" customWidth="1"/>
    <col min="2022" max="2022" width="7.140625" style="39" customWidth="1"/>
    <col min="2023" max="2024" width="20.140625" style="39" customWidth="1"/>
    <col min="2025" max="2025" width="18.42578125" style="39" customWidth="1"/>
    <col min="2026" max="2026" width="9.140625" style="39" customWidth="1"/>
    <col min="2027" max="2027" width="12" style="39" customWidth="1"/>
    <col min="2028" max="2028" width="14.85546875" style="39" customWidth="1"/>
    <col min="2029" max="2029" width="22.42578125" style="39" customWidth="1"/>
    <col min="2030" max="2030" width="14.85546875" style="39" customWidth="1"/>
    <col min="2031" max="2031" width="7.140625" style="39" customWidth="1"/>
    <col min="2032" max="2032" width="20.140625" style="39" customWidth="1"/>
    <col min="2033" max="2264" width="8.85546875" style="39" customWidth="1"/>
    <col min="2265" max="2265" width="8.140625" style="39" customWidth="1"/>
    <col min="2266" max="2266" width="14.5703125" style="39" customWidth="1"/>
    <col min="2267" max="2267" width="37.42578125" style="39" customWidth="1"/>
    <col min="2268" max="2268" width="63.140625" style="39" customWidth="1"/>
    <col min="2269" max="2269" width="20" style="39" customWidth="1"/>
    <col min="2270" max="2270" width="11.140625" style="39" customWidth="1"/>
    <col min="2271" max="2271" width="10.85546875" style="39" customWidth="1"/>
    <col min="2272" max="2272" width="21" style="39" customWidth="1"/>
    <col min="2273" max="2273" width="10.85546875" style="39" customWidth="1"/>
    <col min="2274" max="2274" width="17.42578125" style="39" customWidth="1"/>
    <col min="2275" max="2275" width="14.85546875" style="39" customWidth="1"/>
    <col min="2276" max="2276" width="15" style="39" customWidth="1"/>
    <col min="2277" max="2277" width="14.85546875" style="39" customWidth="1"/>
    <col min="2278" max="2278" width="7.140625" style="39" customWidth="1"/>
    <col min="2279" max="2280" width="20.140625" style="39" customWidth="1"/>
    <col min="2281" max="2281" width="18.42578125" style="39" customWidth="1"/>
    <col min="2282" max="2282" width="9.140625" style="39" customWidth="1"/>
    <col min="2283" max="2283" width="12" style="39" customWidth="1"/>
    <col min="2284" max="2284" width="14.85546875" style="39" customWidth="1"/>
    <col min="2285" max="2285" width="22.42578125" style="39" customWidth="1"/>
    <col min="2286" max="2286" width="14.85546875" style="39" customWidth="1"/>
    <col min="2287" max="2287" width="7.140625" style="39" customWidth="1"/>
    <col min="2288" max="2288" width="20.140625" style="39" customWidth="1"/>
    <col min="2289" max="2520" width="8.85546875" style="39" customWidth="1"/>
    <col min="2521" max="2521" width="8.140625" style="39" customWidth="1"/>
    <col min="2522" max="2522" width="14.5703125" style="39" customWidth="1"/>
    <col min="2523" max="2523" width="37.42578125" style="39" customWidth="1"/>
    <col min="2524" max="2524" width="63.140625" style="39" customWidth="1"/>
    <col min="2525" max="2525" width="20" style="39" customWidth="1"/>
    <col min="2526" max="2526" width="11.140625" style="39" customWidth="1"/>
    <col min="2527" max="2527" width="10.85546875" style="39" customWidth="1"/>
    <col min="2528" max="2528" width="21" style="39" customWidth="1"/>
    <col min="2529" max="2529" width="10.85546875" style="39" customWidth="1"/>
    <col min="2530" max="2530" width="17.42578125" style="39" customWidth="1"/>
    <col min="2531" max="2531" width="14.85546875" style="39" customWidth="1"/>
    <col min="2532" max="2532" width="15" style="39" customWidth="1"/>
    <col min="2533" max="2533" width="14.85546875" style="39" customWidth="1"/>
    <col min="2534" max="2534" width="7.140625" style="39" customWidth="1"/>
    <col min="2535" max="2536" width="20.140625" style="39" customWidth="1"/>
    <col min="2537" max="2537" width="18.42578125" style="39" customWidth="1"/>
    <col min="2538" max="2538" width="9.140625" style="39" customWidth="1"/>
    <col min="2539" max="2539" width="12" style="39" customWidth="1"/>
    <col min="2540" max="2540" width="14.85546875" style="39" customWidth="1"/>
    <col min="2541" max="2541" width="22.42578125" style="39" customWidth="1"/>
    <col min="2542" max="2542" width="14.85546875" style="39" customWidth="1"/>
    <col min="2543" max="2543" width="7.140625" style="39" customWidth="1"/>
    <col min="2544" max="2544" width="20.140625" style="39" customWidth="1"/>
    <col min="2545" max="2776" width="8.85546875" style="39" customWidth="1"/>
    <col min="2777" max="2777" width="8.140625" style="39" customWidth="1"/>
    <col min="2778" max="2778" width="14.5703125" style="39" customWidth="1"/>
    <col min="2779" max="2779" width="37.42578125" style="39" customWidth="1"/>
    <col min="2780" max="2780" width="63.140625" style="39" customWidth="1"/>
    <col min="2781" max="2781" width="20" style="39" customWidth="1"/>
    <col min="2782" max="2782" width="11.140625" style="39" customWidth="1"/>
    <col min="2783" max="2783" width="10.85546875" style="39" customWidth="1"/>
    <col min="2784" max="2784" width="21" style="39" customWidth="1"/>
    <col min="2785" max="2785" width="10.85546875" style="39" customWidth="1"/>
    <col min="2786" max="2786" width="17.42578125" style="39" customWidth="1"/>
    <col min="2787" max="2787" width="14.85546875" style="39" customWidth="1"/>
    <col min="2788" max="2788" width="15" style="39" customWidth="1"/>
    <col min="2789" max="2789" width="14.85546875" style="39" customWidth="1"/>
    <col min="2790" max="2790" width="7.140625" style="39" customWidth="1"/>
    <col min="2791" max="2792" width="20.140625" style="39" customWidth="1"/>
    <col min="2793" max="2793" width="18.42578125" style="39" customWidth="1"/>
    <col min="2794" max="2794" width="9.140625" style="39" customWidth="1"/>
    <col min="2795" max="2795" width="12" style="39" customWidth="1"/>
    <col min="2796" max="2796" width="14.85546875" style="39" customWidth="1"/>
    <col min="2797" max="2797" width="22.42578125" style="39" customWidth="1"/>
    <col min="2798" max="2798" width="14.85546875" style="39" customWidth="1"/>
    <col min="2799" max="2799" width="7.140625" style="39" customWidth="1"/>
    <col min="2800" max="2800" width="20.140625" style="39" customWidth="1"/>
    <col min="2801" max="3032" width="8.85546875" style="39" customWidth="1"/>
    <col min="3033" max="3033" width="8.140625" style="39" customWidth="1"/>
    <col min="3034" max="3034" width="14.5703125" style="39" customWidth="1"/>
    <col min="3035" max="3035" width="37.42578125" style="39" customWidth="1"/>
    <col min="3036" max="3036" width="63.140625" style="39" customWidth="1"/>
    <col min="3037" max="3037" width="20" style="39" customWidth="1"/>
    <col min="3038" max="3038" width="11.140625" style="39" customWidth="1"/>
    <col min="3039" max="3039" width="10.85546875" style="39" customWidth="1"/>
    <col min="3040" max="3040" width="21" style="39" customWidth="1"/>
    <col min="3041" max="3041" width="10.85546875" style="39" customWidth="1"/>
    <col min="3042" max="3042" width="17.42578125" style="39" customWidth="1"/>
    <col min="3043" max="3043" width="14.85546875" style="39" customWidth="1"/>
    <col min="3044" max="3044" width="15" style="39" customWidth="1"/>
    <col min="3045" max="3045" width="14.85546875" style="39" customWidth="1"/>
    <col min="3046" max="3046" width="7.140625" style="39" customWidth="1"/>
    <col min="3047" max="3048" width="20.140625" style="39" customWidth="1"/>
    <col min="3049" max="3049" width="18.42578125" style="39" customWidth="1"/>
    <col min="3050" max="3050" width="9.140625" style="39" customWidth="1"/>
    <col min="3051" max="3051" width="12" style="39" customWidth="1"/>
    <col min="3052" max="3052" width="14.85546875" style="39" customWidth="1"/>
    <col min="3053" max="3053" width="22.42578125" style="39" customWidth="1"/>
    <col min="3054" max="3054" width="14.85546875" style="39" customWidth="1"/>
    <col min="3055" max="3055" width="7.140625" style="39" customWidth="1"/>
    <col min="3056" max="3056" width="20.140625" style="39" customWidth="1"/>
    <col min="3057" max="3288" width="8.85546875" style="39" customWidth="1"/>
    <col min="3289" max="3289" width="8.140625" style="39" customWidth="1"/>
    <col min="3290" max="3290" width="14.5703125" style="39" customWidth="1"/>
    <col min="3291" max="3291" width="37.42578125" style="39" customWidth="1"/>
    <col min="3292" max="3292" width="63.140625" style="39" customWidth="1"/>
    <col min="3293" max="3293" width="20" style="39" customWidth="1"/>
    <col min="3294" max="3294" width="11.140625" style="39" customWidth="1"/>
    <col min="3295" max="3295" width="10.85546875" style="39" customWidth="1"/>
    <col min="3296" max="3296" width="21" style="39" customWidth="1"/>
    <col min="3297" max="3297" width="10.85546875" style="39" customWidth="1"/>
    <col min="3298" max="3298" width="17.42578125" style="39" customWidth="1"/>
    <col min="3299" max="3299" width="14.85546875" style="39" customWidth="1"/>
    <col min="3300" max="3300" width="15" style="39" customWidth="1"/>
    <col min="3301" max="3301" width="14.85546875" style="39" customWidth="1"/>
    <col min="3302" max="3302" width="7.140625" style="39" customWidth="1"/>
    <col min="3303" max="3304" width="20.140625" style="39" customWidth="1"/>
    <col min="3305" max="3305" width="18.42578125" style="39" customWidth="1"/>
    <col min="3306" max="3306" width="9.140625" style="39" customWidth="1"/>
    <col min="3307" max="3307" width="12" style="39" customWidth="1"/>
    <col min="3308" max="3308" width="14.85546875" style="39" customWidth="1"/>
    <col min="3309" max="3309" width="22.42578125" style="39" customWidth="1"/>
    <col min="3310" max="3310" width="14.85546875" style="39" customWidth="1"/>
    <col min="3311" max="3311" width="7.140625" style="39" customWidth="1"/>
    <col min="3312" max="3312" width="20.140625" style="39" customWidth="1"/>
    <col min="3313" max="3544" width="8.85546875" style="39" customWidth="1"/>
    <col min="3545" max="3545" width="8.140625" style="39" customWidth="1"/>
    <col min="3546" max="3546" width="14.5703125" style="39" customWidth="1"/>
    <col min="3547" max="3547" width="37.42578125" style="39" customWidth="1"/>
    <col min="3548" max="3548" width="63.140625" style="39" customWidth="1"/>
    <col min="3549" max="3549" width="20" style="39" customWidth="1"/>
    <col min="3550" max="3550" width="11.140625" style="39" customWidth="1"/>
    <col min="3551" max="3551" width="10.85546875" style="39" customWidth="1"/>
    <col min="3552" max="3552" width="21" style="39" customWidth="1"/>
    <col min="3553" max="3553" width="10.85546875" style="39" customWidth="1"/>
    <col min="3554" max="3554" width="17.42578125" style="39" customWidth="1"/>
    <col min="3555" max="3555" width="14.85546875" style="39" customWidth="1"/>
    <col min="3556" max="3556" width="15" style="39" customWidth="1"/>
    <col min="3557" max="3557" width="14.85546875" style="39" customWidth="1"/>
    <col min="3558" max="3558" width="7.140625" style="39" customWidth="1"/>
    <col min="3559" max="3560" width="20.140625" style="39" customWidth="1"/>
    <col min="3561" max="3561" width="18.42578125" style="39" customWidth="1"/>
    <col min="3562" max="3562" width="9.140625" style="39" customWidth="1"/>
    <col min="3563" max="3563" width="12" style="39" customWidth="1"/>
    <col min="3564" max="3564" width="14.85546875" style="39" customWidth="1"/>
    <col min="3565" max="3565" width="22.42578125" style="39" customWidth="1"/>
    <col min="3566" max="3566" width="14.85546875" style="39" customWidth="1"/>
    <col min="3567" max="3567" width="7.140625" style="39" customWidth="1"/>
    <col min="3568" max="3568" width="20.140625" style="39" customWidth="1"/>
    <col min="3569" max="3800" width="8.85546875" style="39" customWidth="1"/>
    <col min="3801" max="3801" width="8.140625" style="39" customWidth="1"/>
    <col min="3802" max="3802" width="14.5703125" style="39" customWidth="1"/>
    <col min="3803" max="3803" width="37.42578125" style="39" customWidth="1"/>
    <col min="3804" max="3804" width="63.140625" style="39" customWidth="1"/>
    <col min="3805" max="3805" width="20" style="39" customWidth="1"/>
    <col min="3806" max="3806" width="11.140625" style="39" customWidth="1"/>
    <col min="3807" max="3807" width="10.85546875" style="39" customWidth="1"/>
    <col min="3808" max="3808" width="21" style="39" customWidth="1"/>
    <col min="3809" max="3809" width="10.85546875" style="39" customWidth="1"/>
    <col min="3810" max="3810" width="17.42578125" style="39" customWidth="1"/>
    <col min="3811" max="3811" width="14.85546875" style="39" customWidth="1"/>
    <col min="3812" max="3812" width="15" style="39" customWidth="1"/>
    <col min="3813" max="3813" width="14.85546875" style="39" customWidth="1"/>
    <col min="3814" max="3814" width="7.140625" style="39" customWidth="1"/>
    <col min="3815" max="3816" width="20.140625" style="39" customWidth="1"/>
    <col min="3817" max="3817" width="18.42578125" style="39" customWidth="1"/>
    <col min="3818" max="3818" width="9.140625" style="39" customWidth="1"/>
    <col min="3819" max="3819" width="12" style="39" customWidth="1"/>
    <col min="3820" max="3820" width="14.85546875" style="39" customWidth="1"/>
    <col min="3821" max="3821" width="22.42578125" style="39" customWidth="1"/>
    <col min="3822" max="3822" width="14.85546875" style="39" customWidth="1"/>
    <col min="3823" max="3823" width="7.140625" style="39" customWidth="1"/>
    <col min="3824" max="3824" width="20.140625" style="39" customWidth="1"/>
    <col min="3825" max="4056" width="8.85546875" style="39" customWidth="1"/>
    <col min="4057" max="4057" width="8.140625" style="39" customWidth="1"/>
    <col min="4058" max="4058" width="14.5703125" style="39" customWidth="1"/>
    <col min="4059" max="4059" width="37.42578125" style="39" customWidth="1"/>
    <col min="4060" max="4060" width="63.140625" style="39" customWidth="1"/>
    <col min="4061" max="4061" width="20" style="39" customWidth="1"/>
    <col min="4062" max="4062" width="11.140625" style="39" customWidth="1"/>
    <col min="4063" max="4063" width="10.85546875" style="39" customWidth="1"/>
    <col min="4064" max="4064" width="21" style="39" customWidth="1"/>
    <col min="4065" max="4065" width="10.85546875" style="39" customWidth="1"/>
    <col min="4066" max="4066" width="17.42578125" style="39" customWidth="1"/>
    <col min="4067" max="4067" width="14.85546875" style="39" customWidth="1"/>
    <col min="4068" max="4068" width="15" style="39" customWidth="1"/>
    <col min="4069" max="4069" width="14.85546875" style="39" customWidth="1"/>
    <col min="4070" max="4070" width="7.140625" style="39" customWidth="1"/>
    <col min="4071" max="4072" width="20.140625" style="39" customWidth="1"/>
    <col min="4073" max="4073" width="18.42578125" style="39" customWidth="1"/>
    <col min="4074" max="4074" width="9.140625" style="39" customWidth="1"/>
    <col min="4075" max="4075" width="12" style="39" customWidth="1"/>
    <col min="4076" max="4076" width="14.85546875" style="39" customWidth="1"/>
    <col min="4077" max="4077" width="22.42578125" style="39" customWidth="1"/>
    <col min="4078" max="4078" width="14.85546875" style="39" customWidth="1"/>
    <col min="4079" max="4079" width="7.140625" style="39" customWidth="1"/>
    <col min="4080" max="4080" width="20.140625" style="39" customWidth="1"/>
    <col min="4081" max="4312" width="8.85546875" style="39" customWidth="1"/>
    <col min="4313" max="4313" width="8.140625" style="39" customWidth="1"/>
    <col min="4314" max="4314" width="14.5703125" style="39" customWidth="1"/>
    <col min="4315" max="4315" width="37.42578125" style="39" customWidth="1"/>
    <col min="4316" max="4316" width="63.140625" style="39" customWidth="1"/>
    <col min="4317" max="4317" width="20" style="39" customWidth="1"/>
    <col min="4318" max="4318" width="11.140625" style="39" customWidth="1"/>
    <col min="4319" max="4319" width="10.85546875" style="39" customWidth="1"/>
    <col min="4320" max="4320" width="21" style="39" customWidth="1"/>
    <col min="4321" max="4321" width="10.85546875" style="39" customWidth="1"/>
    <col min="4322" max="4322" width="17.42578125" style="39" customWidth="1"/>
    <col min="4323" max="4323" width="14.85546875" style="39" customWidth="1"/>
    <col min="4324" max="4324" width="15" style="39" customWidth="1"/>
    <col min="4325" max="4325" width="14.85546875" style="39" customWidth="1"/>
    <col min="4326" max="4326" width="7.140625" style="39" customWidth="1"/>
    <col min="4327" max="4328" width="20.140625" style="39" customWidth="1"/>
    <col min="4329" max="4329" width="18.42578125" style="39" customWidth="1"/>
    <col min="4330" max="4330" width="9.140625" style="39" customWidth="1"/>
    <col min="4331" max="4331" width="12" style="39" customWidth="1"/>
    <col min="4332" max="4332" width="14.85546875" style="39" customWidth="1"/>
    <col min="4333" max="4333" width="22.42578125" style="39" customWidth="1"/>
    <col min="4334" max="4334" width="14.85546875" style="39" customWidth="1"/>
    <col min="4335" max="4335" width="7.140625" style="39" customWidth="1"/>
    <col min="4336" max="4336" width="20.140625" style="39" customWidth="1"/>
    <col min="4337" max="4568" width="8.85546875" style="39" customWidth="1"/>
    <col min="4569" max="4569" width="8.140625" style="39" customWidth="1"/>
    <col min="4570" max="4570" width="14.5703125" style="39" customWidth="1"/>
    <col min="4571" max="4571" width="37.42578125" style="39" customWidth="1"/>
    <col min="4572" max="4572" width="63.140625" style="39" customWidth="1"/>
    <col min="4573" max="4573" width="20" style="39" customWidth="1"/>
    <col min="4574" max="4574" width="11.140625" style="39" customWidth="1"/>
    <col min="4575" max="4575" width="10.85546875" style="39" customWidth="1"/>
    <col min="4576" max="4576" width="21" style="39" customWidth="1"/>
    <col min="4577" max="4577" width="10.85546875" style="39" customWidth="1"/>
    <col min="4578" max="4578" width="17.42578125" style="39" customWidth="1"/>
    <col min="4579" max="4579" width="14.85546875" style="39" customWidth="1"/>
    <col min="4580" max="4580" width="15" style="39" customWidth="1"/>
    <col min="4581" max="4581" width="14.85546875" style="39" customWidth="1"/>
    <col min="4582" max="4582" width="7.140625" style="39" customWidth="1"/>
    <col min="4583" max="4584" width="20.140625" style="39" customWidth="1"/>
    <col min="4585" max="4585" width="18.42578125" style="39" customWidth="1"/>
    <col min="4586" max="4586" width="9.140625" style="39" customWidth="1"/>
    <col min="4587" max="4587" width="12" style="39" customWidth="1"/>
    <col min="4588" max="4588" width="14.85546875" style="39" customWidth="1"/>
    <col min="4589" max="4589" width="22.42578125" style="39" customWidth="1"/>
    <col min="4590" max="4590" width="14.85546875" style="39" customWidth="1"/>
    <col min="4591" max="4591" width="7.140625" style="39" customWidth="1"/>
    <col min="4592" max="4592" width="20.140625" style="39" customWidth="1"/>
    <col min="4593" max="4824" width="8.85546875" style="39" customWidth="1"/>
    <col min="4825" max="4825" width="8.140625" style="39" customWidth="1"/>
    <col min="4826" max="4826" width="14.5703125" style="39" customWidth="1"/>
    <col min="4827" max="4827" width="37.42578125" style="39" customWidth="1"/>
    <col min="4828" max="4828" width="63.140625" style="39" customWidth="1"/>
    <col min="4829" max="4829" width="20" style="39" customWidth="1"/>
    <col min="4830" max="4830" width="11.140625" style="39" customWidth="1"/>
    <col min="4831" max="4831" width="10.85546875" style="39" customWidth="1"/>
    <col min="4832" max="4832" width="21" style="39" customWidth="1"/>
    <col min="4833" max="4833" width="10.85546875" style="39" customWidth="1"/>
    <col min="4834" max="4834" width="17.42578125" style="39" customWidth="1"/>
    <col min="4835" max="4835" width="14.85546875" style="39" customWidth="1"/>
    <col min="4836" max="4836" width="15" style="39" customWidth="1"/>
    <col min="4837" max="4837" width="14.85546875" style="39" customWidth="1"/>
    <col min="4838" max="4838" width="7.140625" style="39" customWidth="1"/>
    <col min="4839" max="4840" width="20.140625" style="39" customWidth="1"/>
    <col min="4841" max="4841" width="18.42578125" style="39" customWidth="1"/>
    <col min="4842" max="4842" width="9.140625" style="39" customWidth="1"/>
    <col min="4843" max="4843" width="12" style="39" customWidth="1"/>
    <col min="4844" max="4844" width="14.85546875" style="39" customWidth="1"/>
    <col min="4845" max="4845" width="22.42578125" style="39" customWidth="1"/>
    <col min="4846" max="4846" width="14.85546875" style="39" customWidth="1"/>
    <col min="4847" max="4847" width="7.140625" style="39" customWidth="1"/>
    <col min="4848" max="4848" width="20.140625" style="39" customWidth="1"/>
    <col min="4849" max="5080" width="8.85546875" style="39" customWidth="1"/>
    <col min="5081" max="5081" width="8.140625" style="39" customWidth="1"/>
    <col min="5082" max="5082" width="14.5703125" style="39" customWidth="1"/>
    <col min="5083" max="5083" width="37.42578125" style="39" customWidth="1"/>
    <col min="5084" max="5084" width="63.140625" style="39" customWidth="1"/>
    <col min="5085" max="5085" width="20" style="39" customWidth="1"/>
    <col min="5086" max="5086" width="11.140625" style="39" customWidth="1"/>
    <col min="5087" max="5087" width="10.85546875" style="39" customWidth="1"/>
    <col min="5088" max="5088" width="21" style="39" customWidth="1"/>
    <col min="5089" max="5089" width="10.85546875" style="39" customWidth="1"/>
    <col min="5090" max="5090" width="17.42578125" style="39" customWidth="1"/>
    <col min="5091" max="5091" width="14.85546875" style="39" customWidth="1"/>
    <col min="5092" max="5092" width="15" style="39" customWidth="1"/>
    <col min="5093" max="5093" width="14.85546875" style="39" customWidth="1"/>
    <col min="5094" max="5094" width="7.140625" style="39" customWidth="1"/>
    <col min="5095" max="5096" width="20.140625" style="39" customWidth="1"/>
    <col min="5097" max="5097" width="18.42578125" style="39" customWidth="1"/>
    <col min="5098" max="5098" width="9.140625" style="39" customWidth="1"/>
    <col min="5099" max="5099" width="12" style="39" customWidth="1"/>
    <col min="5100" max="5100" width="14.85546875" style="39" customWidth="1"/>
    <col min="5101" max="5101" width="22.42578125" style="39" customWidth="1"/>
    <col min="5102" max="5102" width="14.85546875" style="39" customWidth="1"/>
    <col min="5103" max="5103" width="7.140625" style="39" customWidth="1"/>
    <col min="5104" max="5104" width="20.140625" style="39" customWidth="1"/>
    <col min="5105" max="5336" width="8.85546875" style="39" customWidth="1"/>
    <col min="5337" max="5337" width="8.140625" style="39" customWidth="1"/>
    <col min="5338" max="5338" width="14.5703125" style="39" customWidth="1"/>
    <col min="5339" max="5339" width="37.42578125" style="39" customWidth="1"/>
    <col min="5340" max="5340" width="63.140625" style="39" customWidth="1"/>
    <col min="5341" max="5341" width="20" style="39" customWidth="1"/>
    <col min="5342" max="5342" width="11.140625" style="39" customWidth="1"/>
    <col min="5343" max="5343" width="10.85546875" style="39" customWidth="1"/>
    <col min="5344" max="5344" width="21" style="39" customWidth="1"/>
    <col min="5345" max="5345" width="10.85546875" style="39" customWidth="1"/>
    <col min="5346" max="5346" width="17.42578125" style="39" customWidth="1"/>
    <col min="5347" max="5347" width="14.85546875" style="39" customWidth="1"/>
    <col min="5348" max="5348" width="15" style="39" customWidth="1"/>
    <col min="5349" max="5349" width="14.85546875" style="39" customWidth="1"/>
    <col min="5350" max="5350" width="7.140625" style="39" customWidth="1"/>
    <col min="5351" max="5352" width="20.140625" style="39" customWidth="1"/>
    <col min="5353" max="5353" width="18.42578125" style="39" customWidth="1"/>
    <col min="5354" max="5354" width="9.140625" style="39" customWidth="1"/>
    <col min="5355" max="5355" width="12" style="39" customWidth="1"/>
    <col min="5356" max="5356" width="14.85546875" style="39" customWidth="1"/>
    <col min="5357" max="5357" width="22.42578125" style="39" customWidth="1"/>
    <col min="5358" max="5358" width="14.85546875" style="39" customWidth="1"/>
    <col min="5359" max="5359" width="7.140625" style="39" customWidth="1"/>
    <col min="5360" max="5360" width="20.140625" style="39" customWidth="1"/>
    <col min="5361" max="5592" width="8.85546875" style="39" customWidth="1"/>
    <col min="5593" max="5593" width="8.140625" style="39" customWidth="1"/>
    <col min="5594" max="5594" width="14.5703125" style="39" customWidth="1"/>
    <col min="5595" max="5595" width="37.42578125" style="39" customWidth="1"/>
    <col min="5596" max="5596" width="63.140625" style="39" customWidth="1"/>
    <col min="5597" max="5597" width="20" style="39" customWidth="1"/>
    <col min="5598" max="5598" width="11.140625" style="39" customWidth="1"/>
    <col min="5599" max="5599" width="10.85546875" style="39" customWidth="1"/>
    <col min="5600" max="5600" width="21" style="39" customWidth="1"/>
    <col min="5601" max="5601" width="10.85546875" style="39" customWidth="1"/>
    <col min="5602" max="5602" width="17.42578125" style="39" customWidth="1"/>
    <col min="5603" max="5603" width="14.85546875" style="39" customWidth="1"/>
    <col min="5604" max="5604" width="15" style="39" customWidth="1"/>
    <col min="5605" max="5605" width="14.85546875" style="39" customWidth="1"/>
    <col min="5606" max="5606" width="7.140625" style="39" customWidth="1"/>
    <col min="5607" max="5608" width="20.140625" style="39" customWidth="1"/>
    <col min="5609" max="5609" width="18.42578125" style="39" customWidth="1"/>
    <col min="5610" max="5610" width="9.140625" style="39" customWidth="1"/>
    <col min="5611" max="5611" width="12" style="39" customWidth="1"/>
    <col min="5612" max="5612" width="14.85546875" style="39" customWidth="1"/>
    <col min="5613" max="5613" width="22.42578125" style="39" customWidth="1"/>
    <col min="5614" max="5614" width="14.85546875" style="39" customWidth="1"/>
    <col min="5615" max="5615" width="7.140625" style="39" customWidth="1"/>
    <col min="5616" max="5616" width="20.140625" style="39" customWidth="1"/>
    <col min="5617" max="5848" width="8.85546875" style="39" customWidth="1"/>
    <col min="5849" max="5849" width="8.140625" style="39" customWidth="1"/>
    <col min="5850" max="5850" width="14.5703125" style="39" customWidth="1"/>
    <col min="5851" max="5851" width="37.42578125" style="39" customWidth="1"/>
    <col min="5852" max="5852" width="63.140625" style="39" customWidth="1"/>
    <col min="5853" max="5853" width="20" style="39" customWidth="1"/>
    <col min="5854" max="5854" width="11.140625" style="39" customWidth="1"/>
    <col min="5855" max="5855" width="10.85546875" style="39" customWidth="1"/>
    <col min="5856" max="5856" width="21" style="39" customWidth="1"/>
    <col min="5857" max="5857" width="10.85546875" style="39" customWidth="1"/>
    <col min="5858" max="5858" width="17.42578125" style="39" customWidth="1"/>
    <col min="5859" max="5859" width="14.85546875" style="39" customWidth="1"/>
    <col min="5860" max="5860" width="15" style="39" customWidth="1"/>
    <col min="5861" max="5861" width="14.85546875" style="39" customWidth="1"/>
    <col min="5862" max="5862" width="7.140625" style="39" customWidth="1"/>
    <col min="5863" max="5864" width="20.140625" style="39" customWidth="1"/>
    <col min="5865" max="5865" width="18.42578125" style="39" customWidth="1"/>
    <col min="5866" max="5866" width="9.140625" style="39" customWidth="1"/>
    <col min="5867" max="5867" width="12" style="39" customWidth="1"/>
    <col min="5868" max="5868" width="14.85546875" style="39" customWidth="1"/>
    <col min="5869" max="5869" width="22.42578125" style="39" customWidth="1"/>
    <col min="5870" max="5870" width="14.85546875" style="39" customWidth="1"/>
    <col min="5871" max="5871" width="7.140625" style="39" customWidth="1"/>
    <col min="5872" max="5872" width="20.140625" style="39" customWidth="1"/>
    <col min="5873" max="6104" width="8.85546875" style="39" customWidth="1"/>
    <col min="6105" max="6105" width="8.140625" style="39" customWidth="1"/>
    <col min="6106" max="6106" width="14.5703125" style="39" customWidth="1"/>
    <col min="6107" max="6107" width="37.42578125" style="39" customWidth="1"/>
    <col min="6108" max="6108" width="63.140625" style="39" customWidth="1"/>
    <col min="6109" max="6109" width="20" style="39" customWidth="1"/>
    <col min="6110" max="6110" width="11.140625" style="39" customWidth="1"/>
    <col min="6111" max="6111" width="10.85546875" style="39" customWidth="1"/>
    <col min="6112" max="6112" width="21" style="39" customWidth="1"/>
    <col min="6113" max="6113" width="10.85546875" style="39" customWidth="1"/>
    <col min="6114" max="6114" width="17.42578125" style="39" customWidth="1"/>
    <col min="6115" max="6115" width="14.85546875" style="39" customWidth="1"/>
    <col min="6116" max="6116" width="15" style="39" customWidth="1"/>
    <col min="6117" max="6117" width="14.85546875" style="39" customWidth="1"/>
    <col min="6118" max="6118" width="7.140625" style="39" customWidth="1"/>
    <col min="6119" max="6120" width="20.140625" style="39" customWidth="1"/>
    <col min="6121" max="6121" width="18.42578125" style="39" customWidth="1"/>
    <col min="6122" max="6122" width="9.140625" style="39" customWidth="1"/>
    <col min="6123" max="6123" width="12" style="39" customWidth="1"/>
    <col min="6124" max="6124" width="14.85546875" style="39" customWidth="1"/>
    <col min="6125" max="6125" width="22.42578125" style="39" customWidth="1"/>
    <col min="6126" max="6126" width="14.85546875" style="39" customWidth="1"/>
    <col min="6127" max="6127" width="7.140625" style="39" customWidth="1"/>
    <col min="6128" max="6128" width="20.140625" style="39" customWidth="1"/>
    <col min="6129" max="6360" width="8.85546875" style="39" customWidth="1"/>
    <col min="6361" max="6361" width="8.140625" style="39" customWidth="1"/>
    <col min="6362" max="6362" width="14.5703125" style="39" customWidth="1"/>
    <col min="6363" max="6363" width="37.42578125" style="39" customWidth="1"/>
    <col min="6364" max="6364" width="63.140625" style="39" customWidth="1"/>
    <col min="6365" max="6365" width="20" style="39" customWidth="1"/>
    <col min="6366" max="6366" width="11.140625" style="39" customWidth="1"/>
    <col min="6367" max="6367" width="10.85546875" style="39" customWidth="1"/>
    <col min="6368" max="6368" width="21" style="39" customWidth="1"/>
    <col min="6369" max="6369" width="10.85546875" style="39" customWidth="1"/>
    <col min="6370" max="6370" width="17.42578125" style="39" customWidth="1"/>
    <col min="6371" max="6371" width="14.85546875" style="39" customWidth="1"/>
    <col min="6372" max="6372" width="15" style="39" customWidth="1"/>
    <col min="6373" max="6373" width="14.85546875" style="39" customWidth="1"/>
    <col min="6374" max="6374" width="7.140625" style="39" customWidth="1"/>
    <col min="6375" max="6376" width="20.140625" style="39" customWidth="1"/>
    <col min="6377" max="6377" width="18.42578125" style="39" customWidth="1"/>
    <col min="6378" max="6378" width="9.140625" style="39" customWidth="1"/>
    <col min="6379" max="6379" width="12" style="39" customWidth="1"/>
    <col min="6380" max="6380" width="14.85546875" style="39" customWidth="1"/>
    <col min="6381" max="6381" width="22.42578125" style="39" customWidth="1"/>
    <col min="6382" max="6382" width="14.85546875" style="39" customWidth="1"/>
    <col min="6383" max="6383" width="7.140625" style="39" customWidth="1"/>
    <col min="6384" max="6384" width="20.140625" style="39" customWidth="1"/>
    <col min="6385" max="6616" width="8.85546875" style="39" customWidth="1"/>
    <col min="6617" max="6617" width="8.140625" style="39" customWidth="1"/>
    <col min="6618" max="6618" width="14.5703125" style="39" customWidth="1"/>
    <col min="6619" max="6619" width="37.42578125" style="39" customWidth="1"/>
    <col min="6620" max="6620" width="63.140625" style="39" customWidth="1"/>
    <col min="6621" max="6621" width="20" style="39" customWidth="1"/>
    <col min="6622" max="6622" width="11.140625" style="39" customWidth="1"/>
    <col min="6623" max="6623" width="10.85546875" style="39" customWidth="1"/>
    <col min="6624" max="6624" width="21" style="39" customWidth="1"/>
    <col min="6625" max="6625" width="10.85546875" style="39" customWidth="1"/>
    <col min="6626" max="6626" width="17.42578125" style="39" customWidth="1"/>
    <col min="6627" max="6627" width="14.85546875" style="39" customWidth="1"/>
    <col min="6628" max="6628" width="15" style="39" customWidth="1"/>
    <col min="6629" max="6629" width="14.85546875" style="39" customWidth="1"/>
    <col min="6630" max="6630" width="7.140625" style="39" customWidth="1"/>
    <col min="6631" max="6632" width="20.140625" style="39" customWidth="1"/>
    <col min="6633" max="6633" width="18.42578125" style="39" customWidth="1"/>
    <col min="6634" max="6634" width="9.140625" style="39" customWidth="1"/>
    <col min="6635" max="6635" width="12" style="39" customWidth="1"/>
    <col min="6636" max="6636" width="14.85546875" style="39" customWidth="1"/>
    <col min="6637" max="6637" width="22.42578125" style="39" customWidth="1"/>
    <col min="6638" max="6638" width="14.85546875" style="39" customWidth="1"/>
    <col min="6639" max="6639" width="7.140625" style="39" customWidth="1"/>
    <col min="6640" max="6640" width="20.140625" style="39" customWidth="1"/>
    <col min="6641" max="6872" width="8.85546875" style="39" customWidth="1"/>
    <col min="6873" max="6873" width="8.140625" style="39" customWidth="1"/>
    <col min="6874" max="6874" width="14.5703125" style="39" customWidth="1"/>
    <col min="6875" max="6875" width="37.42578125" style="39" customWidth="1"/>
    <col min="6876" max="6876" width="63.140625" style="39" customWidth="1"/>
    <col min="6877" max="6877" width="20" style="39" customWidth="1"/>
    <col min="6878" max="6878" width="11.140625" style="39" customWidth="1"/>
    <col min="6879" max="6879" width="10.85546875" style="39" customWidth="1"/>
    <col min="6880" max="6880" width="21" style="39" customWidth="1"/>
    <col min="6881" max="6881" width="10.85546875" style="39" customWidth="1"/>
    <col min="6882" max="6882" width="17.42578125" style="39" customWidth="1"/>
    <col min="6883" max="6883" width="14.85546875" style="39" customWidth="1"/>
    <col min="6884" max="6884" width="15" style="39" customWidth="1"/>
    <col min="6885" max="6885" width="14.85546875" style="39" customWidth="1"/>
    <col min="6886" max="6886" width="7.140625" style="39" customWidth="1"/>
    <col min="6887" max="6888" width="20.140625" style="39" customWidth="1"/>
    <col min="6889" max="6889" width="18.42578125" style="39" customWidth="1"/>
    <col min="6890" max="6890" width="9.140625" style="39" customWidth="1"/>
    <col min="6891" max="6891" width="12" style="39" customWidth="1"/>
    <col min="6892" max="6892" width="14.85546875" style="39" customWidth="1"/>
    <col min="6893" max="6893" width="22.42578125" style="39" customWidth="1"/>
    <col min="6894" max="6894" width="14.85546875" style="39" customWidth="1"/>
    <col min="6895" max="6895" width="7.140625" style="39" customWidth="1"/>
    <col min="6896" max="6896" width="20.140625" style="39" customWidth="1"/>
    <col min="6897" max="7128" width="8.85546875" style="39" customWidth="1"/>
    <col min="7129" max="7129" width="8.140625" style="39" customWidth="1"/>
    <col min="7130" max="7130" width="14.5703125" style="39" customWidth="1"/>
    <col min="7131" max="7131" width="37.42578125" style="39" customWidth="1"/>
    <col min="7132" max="7132" width="63.140625" style="39" customWidth="1"/>
    <col min="7133" max="7133" width="20" style="39" customWidth="1"/>
    <col min="7134" max="7134" width="11.140625" style="39" customWidth="1"/>
    <col min="7135" max="7135" width="10.85546875" style="39" customWidth="1"/>
    <col min="7136" max="7136" width="21" style="39" customWidth="1"/>
    <col min="7137" max="7137" width="10.85546875" style="39" customWidth="1"/>
    <col min="7138" max="7138" width="17.42578125" style="39" customWidth="1"/>
    <col min="7139" max="7139" width="14.85546875" style="39" customWidth="1"/>
    <col min="7140" max="7140" width="15" style="39" customWidth="1"/>
    <col min="7141" max="7141" width="14.85546875" style="39" customWidth="1"/>
    <col min="7142" max="7142" width="7.140625" style="39" customWidth="1"/>
    <col min="7143" max="7144" width="20.140625" style="39" customWidth="1"/>
    <col min="7145" max="7145" width="18.42578125" style="39" customWidth="1"/>
    <col min="7146" max="7146" width="9.140625" style="39" customWidth="1"/>
    <col min="7147" max="7147" width="12" style="39" customWidth="1"/>
    <col min="7148" max="7148" width="14.85546875" style="39" customWidth="1"/>
    <col min="7149" max="7149" width="22.42578125" style="39" customWidth="1"/>
    <col min="7150" max="7150" width="14.85546875" style="39" customWidth="1"/>
    <col min="7151" max="7151" width="7.140625" style="39" customWidth="1"/>
    <col min="7152" max="7152" width="20.140625" style="39" customWidth="1"/>
    <col min="7153" max="7384" width="8.85546875" style="39" customWidth="1"/>
    <col min="7385" max="7385" width="8.140625" style="39" customWidth="1"/>
    <col min="7386" max="7386" width="14.5703125" style="39" customWidth="1"/>
    <col min="7387" max="7387" width="37.42578125" style="39" customWidth="1"/>
    <col min="7388" max="7388" width="63.140625" style="39" customWidth="1"/>
    <col min="7389" max="7389" width="20" style="39" customWidth="1"/>
    <col min="7390" max="7390" width="11.140625" style="39" customWidth="1"/>
    <col min="7391" max="7391" width="10.85546875" style="39" customWidth="1"/>
    <col min="7392" max="7392" width="21" style="39" customWidth="1"/>
    <col min="7393" max="7393" width="10.85546875" style="39" customWidth="1"/>
    <col min="7394" max="7394" width="17.42578125" style="39" customWidth="1"/>
    <col min="7395" max="7395" width="14.85546875" style="39" customWidth="1"/>
    <col min="7396" max="7396" width="15" style="39" customWidth="1"/>
    <col min="7397" max="7397" width="14.85546875" style="39" customWidth="1"/>
    <col min="7398" max="7398" width="7.140625" style="39" customWidth="1"/>
    <col min="7399" max="7400" width="20.140625" style="39" customWidth="1"/>
    <col min="7401" max="7401" width="18.42578125" style="39" customWidth="1"/>
    <col min="7402" max="7402" width="9.140625" style="39" customWidth="1"/>
    <col min="7403" max="7403" width="12" style="39" customWidth="1"/>
    <col min="7404" max="7404" width="14.85546875" style="39" customWidth="1"/>
    <col min="7405" max="7405" width="22.42578125" style="39" customWidth="1"/>
    <col min="7406" max="7406" width="14.85546875" style="39" customWidth="1"/>
    <col min="7407" max="7407" width="7.140625" style="39" customWidth="1"/>
    <col min="7408" max="7408" width="20.140625" style="39" customWidth="1"/>
    <col min="7409" max="7640" width="8.85546875" style="39" customWidth="1"/>
    <col min="7641" max="7641" width="8.140625" style="39" customWidth="1"/>
    <col min="7642" max="7642" width="14.5703125" style="39" customWidth="1"/>
    <col min="7643" max="7643" width="37.42578125" style="39" customWidth="1"/>
    <col min="7644" max="7644" width="63.140625" style="39" customWidth="1"/>
    <col min="7645" max="7645" width="20" style="39" customWidth="1"/>
    <col min="7646" max="7646" width="11.140625" style="39" customWidth="1"/>
    <col min="7647" max="7647" width="10.85546875" style="39" customWidth="1"/>
    <col min="7648" max="7648" width="21" style="39" customWidth="1"/>
    <col min="7649" max="7649" width="10.85546875" style="39" customWidth="1"/>
    <col min="7650" max="7650" width="17.42578125" style="39" customWidth="1"/>
    <col min="7651" max="7651" width="14.85546875" style="39" customWidth="1"/>
    <col min="7652" max="7652" width="15" style="39" customWidth="1"/>
    <col min="7653" max="7653" width="14.85546875" style="39" customWidth="1"/>
    <col min="7654" max="7654" width="7.140625" style="39" customWidth="1"/>
    <col min="7655" max="7656" width="20.140625" style="39" customWidth="1"/>
    <col min="7657" max="7657" width="18.42578125" style="39" customWidth="1"/>
    <col min="7658" max="7658" width="9.140625" style="39" customWidth="1"/>
    <col min="7659" max="7659" width="12" style="39" customWidth="1"/>
    <col min="7660" max="7660" width="14.85546875" style="39" customWidth="1"/>
    <col min="7661" max="7661" width="22.42578125" style="39" customWidth="1"/>
    <col min="7662" max="7662" width="14.85546875" style="39" customWidth="1"/>
    <col min="7663" max="7663" width="7.140625" style="39" customWidth="1"/>
    <col min="7664" max="7664" width="20.140625" style="39" customWidth="1"/>
    <col min="7665" max="7896" width="8.85546875" style="39" customWidth="1"/>
    <col min="7897" max="7897" width="8.140625" style="39" customWidth="1"/>
    <col min="7898" max="7898" width="14.5703125" style="39" customWidth="1"/>
    <col min="7899" max="7899" width="37.42578125" style="39" customWidth="1"/>
    <col min="7900" max="7900" width="63.140625" style="39" customWidth="1"/>
    <col min="7901" max="7901" width="20" style="39" customWidth="1"/>
    <col min="7902" max="7902" width="11.140625" style="39" customWidth="1"/>
    <col min="7903" max="7903" width="10.85546875" style="39" customWidth="1"/>
    <col min="7904" max="7904" width="21" style="39" customWidth="1"/>
    <col min="7905" max="7905" width="10.85546875" style="39" customWidth="1"/>
    <col min="7906" max="7906" width="17.42578125" style="39" customWidth="1"/>
    <col min="7907" max="7907" width="14.85546875" style="39" customWidth="1"/>
    <col min="7908" max="7908" width="15" style="39" customWidth="1"/>
    <col min="7909" max="7909" width="14.85546875" style="39" customWidth="1"/>
    <col min="7910" max="7910" width="7.140625" style="39" customWidth="1"/>
    <col min="7911" max="7912" width="20.140625" style="39" customWidth="1"/>
    <col min="7913" max="7913" width="18.42578125" style="39" customWidth="1"/>
    <col min="7914" max="7914" width="9.140625" style="39" customWidth="1"/>
    <col min="7915" max="7915" width="12" style="39" customWidth="1"/>
    <col min="7916" max="7916" width="14.85546875" style="39" customWidth="1"/>
    <col min="7917" max="7917" width="22.42578125" style="39" customWidth="1"/>
    <col min="7918" max="7918" width="14.85546875" style="39" customWidth="1"/>
    <col min="7919" max="7919" width="7.140625" style="39" customWidth="1"/>
    <col min="7920" max="7920" width="20.140625" style="39" customWidth="1"/>
    <col min="7921" max="8152" width="8.85546875" style="39" customWidth="1"/>
    <col min="8153" max="8153" width="8.140625" style="39" customWidth="1"/>
    <col min="8154" max="8154" width="14.5703125" style="39" customWidth="1"/>
    <col min="8155" max="8155" width="37.42578125" style="39" customWidth="1"/>
    <col min="8156" max="8156" width="63.140625" style="39" customWidth="1"/>
    <col min="8157" max="8157" width="20" style="39" customWidth="1"/>
    <col min="8158" max="8158" width="11.140625" style="39" customWidth="1"/>
    <col min="8159" max="8159" width="10.85546875" style="39" customWidth="1"/>
    <col min="8160" max="8160" width="21" style="39" customWidth="1"/>
    <col min="8161" max="8161" width="10.85546875" style="39" customWidth="1"/>
    <col min="8162" max="8162" width="17.42578125" style="39" customWidth="1"/>
    <col min="8163" max="8163" width="14.85546875" style="39" customWidth="1"/>
    <col min="8164" max="8164" width="15" style="39" customWidth="1"/>
    <col min="8165" max="8165" width="14.85546875" style="39" customWidth="1"/>
    <col min="8166" max="8166" width="7.140625" style="39" customWidth="1"/>
    <col min="8167" max="8168" width="20.140625" style="39" customWidth="1"/>
    <col min="8169" max="8169" width="18.42578125" style="39" customWidth="1"/>
    <col min="8170" max="8170" width="9.140625" style="39" customWidth="1"/>
    <col min="8171" max="8171" width="12" style="39" customWidth="1"/>
    <col min="8172" max="8172" width="14.85546875" style="39" customWidth="1"/>
    <col min="8173" max="8173" width="22.42578125" style="39" customWidth="1"/>
    <col min="8174" max="8174" width="14.85546875" style="39" customWidth="1"/>
    <col min="8175" max="8175" width="7.140625" style="39" customWidth="1"/>
    <col min="8176" max="8176" width="20.140625" style="39" customWidth="1"/>
    <col min="8177" max="8408" width="8.85546875" style="39" customWidth="1"/>
    <col min="8409" max="8409" width="8.140625" style="39" customWidth="1"/>
    <col min="8410" max="8410" width="14.5703125" style="39" customWidth="1"/>
    <col min="8411" max="8411" width="37.42578125" style="39" customWidth="1"/>
    <col min="8412" max="8412" width="63.140625" style="39" customWidth="1"/>
    <col min="8413" max="8413" width="20" style="39" customWidth="1"/>
    <col min="8414" max="8414" width="11.140625" style="39" customWidth="1"/>
    <col min="8415" max="8415" width="10.85546875" style="39" customWidth="1"/>
    <col min="8416" max="8416" width="21" style="39" customWidth="1"/>
    <col min="8417" max="8417" width="10.85546875" style="39" customWidth="1"/>
    <col min="8418" max="8418" width="17.42578125" style="39" customWidth="1"/>
    <col min="8419" max="8419" width="14.85546875" style="39" customWidth="1"/>
    <col min="8420" max="8420" width="15" style="39" customWidth="1"/>
    <col min="8421" max="8421" width="14.85546875" style="39" customWidth="1"/>
    <col min="8422" max="8422" width="7.140625" style="39" customWidth="1"/>
    <col min="8423" max="8424" width="20.140625" style="39" customWidth="1"/>
    <col min="8425" max="8425" width="18.42578125" style="39" customWidth="1"/>
    <col min="8426" max="8426" width="9.140625" style="39" customWidth="1"/>
    <col min="8427" max="8427" width="12" style="39" customWidth="1"/>
    <col min="8428" max="8428" width="14.85546875" style="39" customWidth="1"/>
    <col min="8429" max="8429" width="22.42578125" style="39" customWidth="1"/>
    <col min="8430" max="8430" width="14.85546875" style="39" customWidth="1"/>
    <col min="8431" max="8431" width="7.140625" style="39" customWidth="1"/>
    <col min="8432" max="8432" width="20.140625" style="39" customWidth="1"/>
    <col min="8433" max="8664" width="8.85546875" style="39" customWidth="1"/>
    <col min="8665" max="8665" width="8.140625" style="39" customWidth="1"/>
    <col min="8666" max="8666" width="14.5703125" style="39" customWidth="1"/>
    <col min="8667" max="8667" width="37.42578125" style="39" customWidth="1"/>
    <col min="8668" max="8668" width="63.140625" style="39" customWidth="1"/>
    <col min="8669" max="8669" width="20" style="39" customWidth="1"/>
    <col min="8670" max="8670" width="11.140625" style="39" customWidth="1"/>
    <col min="8671" max="8671" width="10.85546875" style="39" customWidth="1"/>
    <col min="8672" max="8672" width="21" style="39" customWidth="1"/>
    <col min="8673" max="8673" width="10.85546875" style="39" customWidth="1"/>
    <col min="8674" max="8674" width="17.42578125" style="39" customWidth="1"/>
    <col min="8675" max="8675" width="14.85546875" style="39" customWidth="1"/>
    <col min="8676" max="8676" width="15" style="39" customWidth="1"/>
    <col min="8677" max="8677" width="14.85546875" style="39" customWidth="1"/>
    <col min="8678" max="8678" width="7.140625" style="39" customWidth="1"/>
    <col min="8679" max="8680" width="20.140625" style="39" customWidth="1"/>
    <col min="8681" max="8681" width="18.42578125" style="39" customWidth="1"/>
    <col min="8682" max="8682" width="9.140625" style="39" customWidth="1"/>
    <col min="8683" max="8683" width="12" style="39" customWidth="1"/>
    <col min="8684" max="8684" width="14.85546875" style="39" customWidth="1"/>
    <col min="8685" max="8685" width="22.42578125" style="39" customWidth="1"/>
    <col min="8686" max="8686" width="14.85546875" style="39" customWidth="1"/>
    <col min="8687" max="8687" width="7.140625" style="39" customWidth="1"/>
    <col min="8688" max="8688" width="20.140625" style="39" customWidth="1"/>
    <col min="8689" max="8920" width="8.85546875" style="39" customWidth="1"/>
    <col min="8921" max="8921" width="8.140625" style="39" customWidth="1"/>
    <col min="8922" max="8922" width="14.5703125" style="39" customWidth="1"/>
    <col min="8923" max="8923" width="37.42578125" style="39" customWidth="1"/>
    <col min="8924" max="8924" width="63.140625" style="39" customWidth="1"/>
    <col min="8925" max="8925" width="20" style="39" customWidth="1"/>
    <col min="8926" max="8926" width="11.140625" style="39" customWidth="1"/>
    <col min="8927" max="8927" width="10.85546875" style="39" customWidth="1"/>
    <col min="8928" max="8928" width="21" style="39" customWidth="1"/>
    <col min="8929" max="8929" width="10.85546875" style="39" customWidth="1"/>
    <col min="8930" max="8930" width="17.42578125" style="39" customWidth="1"/>
    <col min="8931" max="8931" width="14.85546875" style="39" customWidth="1"/>
    <col min="8932" max="8932" width="15" style="39" customWidth="1"/>
    <col min="8933" max="8933" width="14.85546875" style="39" customWidth="1"/>
    <col min="8934" max="8934" width="7.140625" style="39" customWidth="1"/>
    <col min="8935" max="8936" width="20.140625" style="39" customWidth="1"/>
    <col min="8937" max="8937" width="18.42578125" style="39" customWidth="1"/>
    <col min="8938" max="8938" width="9.140625" style="39" customWidth="1"/>
    <col min="8939" max="8939" width="12" style="39" customWidth="1"/>
    <col min="8940" max="8940" width="14.85546875" style="39" customWidth="1"/>
    <col min="8941" max="8941" width="22.42578125" style="39" customWidth="1"/>
    <col min="8942" max="8942" width="14.85546875" style="39" customWidth="1"/>
    <col min="8943" max="8943" width="7.140625" style="39" customWidth="1"/>
    <col min="8944" max="8944" width="20.140625" style="39" customWidth="1"/>
    <col min="8945" max="9176" width="8.85546875" style="39" customWidth="1"/>
    <col min="9177" max="9177" width="8.140625" style="39" customWidth="1"/>
    <col min="9178" max="9178" width="14.5703125" style="39" customWidth="1"/>
    <col min="9179" max="9179" width="37.42578125" style="39" customWidth="1"/>
    <col min="9180" max="9180" width="63.140625" style="39" customWidth="1"/>
    <col min="9181" max="9181" width="20" style="39" customWidth="1"/>
    <col min="9182" max="9182" width="11.140625" style="39" customWidth="1"/>
    <col min="9183" max="9183" width="10.85546875" style="39" customWidth="1"/>
    <col min="9184" max="9184" width="21" style="39" customWidth="1"/>
    <col min="9185" max="9185" width="10.85546875" style="39" customWidth="1"/>
    <col min="9186" max="9186" width="17.42578125" style="39" customWidth="1"/>
    <col min="9187" max="9187" width="14.85546875" style="39" customWidth="1"/>
    <col min="9188" max="9188" width="15" style="39" customWidth="1"/>
    <col min="9189" max="9189" width="14.85546875" style="39" customWidth="1"/>
    <col min="9190" max="9190" width="7.140625" style="39" customWidth="1"/>
    <col min="9191" max="9192" width="20.140625" style="39" customWidth="1"/>
    <col min="9193" max="9193" width="18.42578125" style="39" customWidth="1"/>
    <col min="9194" max="9194" width="9.140625" style="39" customWidth="1"/>
    <col min="9195" max="9195" width="12" style="39" customWidth="1"/>
    <col min="9196" max="9196" width="14.85546875" style="39" customWidth="1"/>
    <col min="9197" max="9197" width="22.42578125" style="39" customWidth="1"/>
    <col min="9198" max="9198" width="14.85546875" style="39" customWidth="1"/>
    <col min="9199" max="9199" width="7.140625" style="39" customWidth="1"/>
    <col min="9200" max="9200" width="20.140625" style="39" customWidth="1"/>
    <col min="9201" max="9432" width="8.85546875" style="39" customWidth="1"/>
    <col min="9433" max="9433" width="8.140625" style="39" customWidth="1"/>
    <col min="9434" max="9434" width="14.5703125" style="39" customWidth="1"/>
    <col min="9435" max="9435" width="37.42578125" style="39" customWidth="1"/>
    <col min="9436" max="9436" width="63.140625" style="39" customWidth="1"/>
    <col min="9437" max="9437" width="20" style="39" customWidth="1"/>
    <col min="9438" max="9438" width="11.140625" style="39" customWidth="1"/>
    <col min="9439" max="9439" width="10.85546875" style="39" customWidth="1"/>
    <col min="9440" max="9440" width="21" style="39" customWidth="1"/>
    <col min="9441" max="9441" width="10.85546875" style="39" customWidth="1"/>
    <col min="9442" max="9442" width="17.42578125" style="39" customWidth="1"/>
    <col min="9443" max="9443" width="14.85546875" style="39" customWidth="1"/>
    <col min="9444" max="9444" width="15" style="39" customWidth="1"/>
    <col min="9445" max="9445" width="14.85546875" style="39" customWidth="1"/>
    <col min="9446" max="9446" width="7.140625" style="39" customWidth="1"/>
    <col min="9447" max="9448" width="20.140625" style="39" customWidth="1"/>
    <col min="9449" max="9449" width="18.42578125" style="39" customWidth="1"/>
    <col min="9450" max="9450" width="9.140625" style="39" customWidth="1"/>
    <col min="9451" max="9451" width="12" style="39" customWidth="1"/>
    <col min="9452" max="9452" width="14.85546875" style="39" customWidth="1"/>
    <col min="9453" max="9453" width="22.42578125" style="39" customWidth="1"/>
    <col min="9454" max="9454" width="14.85546875" style="39" customWidth="1"/>
    <col min="9455" max="9455" width="7.140625" style="39" customWidth="1"/>
    <col min="9456" max="9456" width="20.140625" style="39" customWidth="1"/>
    <col min="9457" max="9688" width="8.85546875" style="39" customWidth="1"/>
    <col min="9689" max="9689" width="8.140625" style="39" customWidth="1"/>
    <col min="9690" max="9690" width="14.5703125" style="39" customWidth="1"/>
    <col min="9691" max="9691" width="37.42578125" style="39" customWidth="1"/>
    <col min="9692" max="9692" width="63.140625" style="39" customWidth="1"/>
    <col min="9693" max="9693" width="20" style="39" customWidth="1"/>
    <col min="9694" max="9694" width="11.140625" style="39" customWidth="1"/>
    <col min="9695" max="9695" width="10.85546875" style="39" customWidth="1"/>
    <col min="9696" max="9696" width="21" style="39" customWidth="1"/>
    <col min="9697" max="9697" width="10.85546875" style="39" customWidth="1"/>
    <col min="9698" max="9698" width="17.42578125" style="39" customWidth="1"/>
    <col min="9699" max="9699" width="14.85546875" style="39" customWidth="1"/>
    <col min="9700" max="9700" width="15" style="39" customWidth="1"/>
    <col min="9701" max="9701" width="14.85546875" style="39" customWidth="1"/>
    <col min="9702" max="9702" width="7.140625" style="39" customWidth="1"/>
    <col min="9703" max="9704" width="20.140625" style="39" customWidth="1"/>
    <col min="9705" max="9705" width="18.42578125" style="39" customWidth="1"/>
    <col min="9706" max="9706" width="9.140625" style="39" customWidth="1"/>
    <col min="9707" max="9707" width="12" style="39" customWidth="1"/>
    <col min="9708" max="9708" width="14.85546875" style="39" customWidth="1"/>
    <col min="9709" max="9709" width="22.42578125" style="39" customWidth="1"/>
    <col min="9710" max="9710" width="14.85546875" style="39" customWidth="1"/>
    <col min="9711" max="9711" width="7.140625" style="39" customWidth="1"/>
    <col min="9712" max="9712" width="20.140625" style="39" customWidth="1"/>
    <col min="9713" max="9944" width="8.85546875" style="39" customWidth="1"/>
    <col min="9945" max="9945" width="8.140625" style="39" customWidth="1"/>
    <col min="9946" max="9946" width="14.5703125" style="39" customWidth="1"/>
    <col min="9947" max="9947" width="37.42578125" style="39" customWidth="1"/>
    <col min="9948" max="9948" width="63.140625" style="39" customWidth="1"/>
    <col min="9949" max="9949" width="20" style="39" customWidth="1"/>
    <col min="9950" max="9950" width="11.140625" style="39" customWidth="1"/>
    <col min="9951" max="9951" width="10.85546875" style="39" customWidth="1"/>
    <col min="9952" max="9952" width="21" style="39" customWidth="1"/>
    <col min="9953" max="9953" width="10.85546875" style="39" customWidth="1"/>
    <col min="9954" max="9954" width="17.42578125" style="39" customWidth="1"/>
    <col min="9955" max="9955" width="14.85546875" style="39" customWidth="1"/>
    <col min="9956" max="9956" width="15" style="39" customWidth="1"/>
    <col min="9957" max="9957" width="14.85546875" style="39" customWidth="1"/>
    <col min="9958" max="9958" width="7.140625" style="39" customWidth="1"/>
    <col min="9959" max="9960" width="20.140625" style="39" customWidth="1"/>
    <col min="9961" max="9961" width="18.42578125" style="39" customWidth="1"/>
    <col min="9962" max="9962" width="9.140625" style="39" customWidth="1"/>
    <col min="9963" max="9963" width="12" style="39" customWidth="1"/>
    <col min="9964" max="9964" width="14.85546875" style="39" customWidth="1"/>
    <col min="9965" max="9965" width="22.42578125" style="39" customWidth="1"/>
    <col min="9966" max="9966" width="14.85546875" style="39" customWidth="1"/>
    <col min="9967" max="9967" width="7.140625" style="39" customWidth="1"/>
    <col min="9968" max="9968" width="20.140625" style="39" customWidth="1"/>
    <col min="9969" max="10200" width="8.85546875" style="39" customWidth="1"/>
    <col min="10201" max="10201" width="8.140625" style="39" customWidth="1"/>
    <col min="10202" max="10202" width="14.5703125" style="39" customWidth="1"/>
    <col min="10203" max="10203" width="37.42578125" style="39" customWidth="1"/>
    <col min="10204" max="10204" width="63.140625" style="39" customWidth="1"/>
    <col min="10205" max="10205" width="20" style="39" customWidth="1"/>
    <col min="10206" max="10206" width="11.140625" style="39" customWidth="1"/>
    <col min="10207" max="10207" width="10.85546875" style="39" customWidth="1"/>
    <col min="10208" max="10208" width="21" style="39" customWidth="1"/>
    <col min="10209" max="10209" width="10.85546875" style="39" customWidth="1"/>
    <col min="10210" max="10210" width="17.42578125" style="39" customWidth="1"/>
    <col min="10211" max="10211" width="14.85546875" style="39" customWidth="1"/>
    <col min="10212" max="10212" width="15" style="39" customWidth="1"/>
    <col min="10213" max="10213" width="14.85546875" style="39" customWidth="1"/>
    <col min="10214" max="10214" width="7.140625" style="39" customWidth="1"/>
    <col min="10215" max="10216" width="20.140625" style="39" customWidth="1"/>
    <col min="10217" max="10217" width="18.42578125" style="39" customWidth="1"/>
    <col min="10218" max="10218" width="9.140625" style="39" customWidth="1"/>
    <col min="10219" max="10219" width="12" style="39" customWidth="1"/>
    <col min="10220" max="10220" width="14.85546875" style="39" customWidth="1"/>
    <col min="10221" max="10221" width="22.42578125" style="39" customWidth="1"/>
    <col min="10222" max="10222" width="14.85546875" style="39" customWidth="1"/>
    <col min="10223" max="10223" width="7.140625" style="39" customWidth="1"/>
    <col min="10224" max="10224" width="20.140625" style="39" customWidth="1"/>
    <col min="10225" max="10456" width="8.85546875" style="39" customWidth="1"/>
    <col min="10457" max="10457" width="8.140625" style="39" customWidth="1"/>
    <col min="10458" max="10458" width="14.5703125" style="39" customWidth="1"/>
    <col min="10459" max="10459" width="37.42578125" style="39" customWidth="1"/>
    <col min="10460" max="10460" width="63.140625" style="39" customWidth="1"/>
    <col min="10461" max="10461" width="20" style="39" customWidth="1"/>
    <col min="10462" max="10462" width="11.140625" style="39" customWidth="1"/>
    <col min="10463" max="10463" width="10.85546875" style="39" customWidth="1"/>
    <col min="10464" max="10464" width="21" style="39" customWidth="1"/>
    <col min="10465" max="10465" width="10.85546875" style="39" customWidth="1"/>
    <col min="10466" max="10466" width="17.42578125" style="39" customWidth="1"/>
    <col min="10467" max="10467" width="14.85546875" style="39" customWidth="1"/>
    <col min="10468" max="10468" width="15" style="39" customWidth="1"/>
    <col min="10469" max="10469" width="14.85546875" style="39" customWidth="1"/>
    <col min="10470" max="10470" width="7.140625" style="39" customWidth="1"/>
    <col min="10471" max="10472" width="20.140625" style="39" customWidth="1"/>
    <col min="10473" max="10473" width="18.42578125" style="39" customWidth="1"/>
    <col min="10474" max="10474" width="9.140625" style="39" customWidth="1"/>
    <col min="10475" max="10475" width="12" style="39" customWidth="1"/>
    <col min="10476" max="10476" width="14.85546875" style="39" customWidth="1"/>
    <col min="10477" max="10477" width="22.42578125" style="39" customWidth="1"/>
    <col min="10478" max="10478" width="14.85546875" style="39" customWidth="1"/>
    <col min="10479" max="10479" width="7.140625" style="39" customWidth="1"/>
    <col min="10480" max="10480" width="20.140625" style="39" customWidth="1"/>
    <col min="10481" max="10712" width="8.85546875" style="39" customWidth="1"/>
    <col min="10713" max="10713" width="8.140625" style="39" customWidth="1"/>
    <col min="10714" max="10714" width="14.5703125" style="39" customWidth="1"/>
    <col min="10715" max="10715" width="37.42578125" style="39" customWidth="1"/>
    <col min="10716" max="10716" width="63.140625" style="39" customWidth="1"/>
    <col min="10717" max="10717" width="20" style="39" customWidth="1"/>
    <col min="10718" max="10718" width="11.140625" style="39" customWidth="1"/>
    <col min="10719" max="10719" width="10.85546875" style="39" customWidth="1"/>
    <col min="10720" max="10720" width="21" style="39" customWidth="1"/>
    <col min="10721" max="10721" width="10.85546875" style="39" customWidth="1"/>
    <col min="10722" max="10722" width="17.42578125" style="39" customWidth="1"/>
    <col min="10723" max="10723" width="14.85546875" style="39" customWidth="1"/>
    <col min="10724" max="10724" width="15" style="39" customWidth="1"/>
    <col min="10725" max="10725" width="14.85546875" style="39" customWidth="1"/>
    <col min="10726" max="10726" width="7.140625" style="39" customWidth="1"/>
    <col min="10727" max="10728" width="20.140625" style="39" customWidth="1"/>
    <col min="10729" max="10729" width="18.42578125" style="39" customWidth="1"/>
    <col min="10730" max="10730" width="9.140625" style="39" customWidth="1"/>
    <col min="10731" max="10731" width="12" style="39" customWidth="1"/>
    <col min="10732" max="10732" width="14.85546875" style="39" customWidth="1"/>
    <col min="10733" max="10733" width="22.42578125" style="39" customWidth="1"/>
    <col min="10734" max="10734" width="14.85546875" style="39" customWidth="1"/>
    <col min="10735" max="10735" width="7.140625" style="39" customWidth="1"/>
    <col min="10736" max="10736" width="20.140625" style="39" customWidth="1"/>
    <col min="10737" max="10968" width="8.85546875" style="39" customWidth="1"/>
    <col min="10969" max="10969" width="8.140625" style="39" customWidth="1"/>
    <col min="10970" max="10970" width="14.5703125" style="39" customWidth="1"/>
    <col min="10971" max="10971" width="37.42578125" style="39" customWidth="1"/>
    <col min="10972" max="10972" width="63.140625" style="39" customWidth="1"/>
    <col min="10973" max="10973" width="20" style="39" customWidth="1"/>
    <col min="10974" max="10974" width="11.140625" style="39" customWidth="1"/>
    <col min="10975" max="10975" width="10.85546875" style="39" customWidth="1"/>
    <col min="10976" max="10976" width="21" style="39" customWidth="1"/>
    <col min="10977" max="10977" width="10.85546875" style="39" customWidth="1"/>
    <col min="10978" max="10978" width="17.42578125" style="39" customWidth="1"/>
    <col min="10979" max="10979" width="14.85546875" style="39" customWidth="1"/>
    <col min="10980" max="10980" width="15" style="39" customWidth="1"/>
    <col min="10981" max="10981" width="14.85546875" style="39" customWidth="1"/>
    <col min="10982" max="10982" width="7.140625" style="39" customWidth="1"/>
    <col min="10983" max="10984" width="20.140625" style="39" customWidth="1"/>
    <col min="10985" max="10985" width="18.42578125" style="39" customWidth="1"/>
    <col min="10986" max="10986" width="9.140625" style="39" customWidth="1"/>
    <col min="10987" max="10987" width="12" style="39" customWidth="1"/>
    <col min="10988" max="10988" width="14.85546875" style="39" customWidth="1"/>
    <col min="10989" max="10989" width="22.42578125" style="39" customWidth="1"/>
    <col min="10990" max="10990" width="14.85546875" style="39" customWidth="1"/>
    <col min="10991" max="10991" width="7.140625" style="39" customWidth="1"/>
    <col min="10992" max="10992" width="20.140625" style="39" customWidth="1"/>
    <col min="10993" max="11224" width="8.85546875" style="39" customWidth="1"/>
    <col min="11225" max="11225" width="8.140625" style="39" customWidth="1"/>
    <col min="11226" max="11226" width="14.5703125" style="39" customWidth="1"/>
    <col min="11227" max="11227" width="37.42578125" style="39" customWidth="1"/>
    <col min="11228" max="11228" width="63.140625" style="39" customWidth="1"/>
    <col min="11229" max="11229" width="20" style="39" customWidth="1"/>
    <col min="11230" max="11230" width="11.140625" style="39" customWidth="1"/>
    <col min="11231" max="11231" width="10.85546875" style="39" customWidth="1"/>
    <col min="11232" max="11232" width="21" style="39" customWidth="1"/>
    <col min="11233" max="11233" width="10.85546875" style="39" customWidth="1"/>
    <col min="11234" max="11234" width="17.42578125" style="39" customWidth="1"/>
    <col min="11235" max="11235" width="14.85546875" style="39" customWidth="1"/>
    <col min="11236" max="11236" width="15" style="39" customWidth="1"/>
    <col min="11237" max="11237" width="14.85546875" style="39" customWidth="1"/>
    <col min="11238" max="11238" width="7.140625" style="39" customWidth="1"/>
    <col min="11239" max="11240" width="20.140625" style="39" customWidth="1"/>
    <col min="11241" max="11241" width="18.42578125" style="39" customWidth="1"/>
    <col min="11242" max="11242" width="9.140625" style="39" customWidth="1"/>
    <col min="11243" max="11243" width="12" style="39" customWidth="1"/>
    <col min="11244" max="11244" width="14.85546875" style="39" customWidth="1"/>
    <col min="11245" max="11245" width="22.42578125" style="39" customWidth="1"/>
    <col min="11246" max="11246" width="14.85546875" style="39" customWidth="1"/>
    <col min="11247" max="11247" width="7.140625" style="39" customWidth="1"/>
    <col min="11248" max="11248" width="20.140625" style="39" customWidth="1"/>
    <col min="11249" max="11480" width="8.85546875" style="39" customWidth="1"/>
    <col min="11481" max="11481" width="8.140625" style="39" customWidth="1"/>
    <col min="11482" max="11482" width="14.5703125" style="39" customWidth="1"/>
    <col min="11483" max="11483" width="37.42578125" style="39" customWidth="1"/>
    <col min="11484" max="11484" width="63.140625" style="39" customWidth="1"/>
    <col min="11485" max="11485" width="20" style="39" customWidth="1"/>
    <col min="11486" max="11486" width="11.140625" style="39" customWidth="1"/>
    <col min="11487" max="11487" width="10.85546875" style="39" customWidth="1"/>
    <col min="11488" max="11488" width="21" style="39" customWidth="1"/>
    <col min="11489" max="11489" width="10.85546875" style="39" customWidth="1"/>
    <col min="11490" max="11490" width="17.42578125" style="39" customWidth="1"/>
    <col min="11491" max="11491" width="14.85546875" style="39" customWidth="1"/>
    <col min="11492" max="11492" width="15" style="39" customWidth="1"/>
    <col min="11493" max="11493" width="14.85546875" style="39" customWidth="1"/>
    <col min="11494" max="11494" width="7.140625" style="39" customWidth="1"/>
    <col min="11495" max="11496" width="20.140625" style="39" customWidth="1"/>
    <col min="11497" max="11497" width="18.42578125" style="39" customWidth="1"/>
    <col min="11498" max="11498" width="9.140625" style="39" customWidth="1"/>
    <col min="11499" max="11499" width="12" style="39" customWidth="1"/>
    <col min="11500" max="11500" width="14.85546875" style="39" customWidth="1"/>
    <col min="11501" max="11501" width="22.42578125" style="39" customWidth="1"/>
    <col min="11502" max="11502" width="14.85546875" style="39" customWidth="1"/>
    <col min="11503" max="11503" width="7.140625" style="39" customWidth="1"/>
    <col min="11504" max="11504" width="20.140625" style="39" customWidth="1"/>
    <col min="11505" max="11736" width="8.85546875" style="39" customWidth="1"/>
    <col min="11737" max="11737" width="8.140625" style="39" customWidth="1"/>
    <col min="11738" max="11738" width="14.5703125" style="39" customWidth="1"/>
    <col min="11739" max="11739" width="37.42578125" style="39" customWidth="1"/>
    <col min="11740" max="11740" width="63.140625" style="39" customWidth="1"/>
    <col min="11741" max="11741" width="20" style="39" customWidth="1"/>
    <col min="11742" max="11742" width="11.140625" style="39" customWidth="1"/>
    <col min="11743" max="11743" width="10.85546875" style="39" customWidth="1"/>
    <col min="11744" max="11744" width="21" style="39" customWidth="1"/>
    <col min="11745" max="11745" width="10.85546875" style="39" customWidth="1"/>
    <col min="11746" max="11746" width="17.42578125" style="39" customWidth="1"/>
    <col min="11747" max="11747" width="14.85546875" style="39" customWidth="1"/>
    <col min="11748" max="11748" width="15" style="39" customWidth="1"/>
    <col min="11749" max="11749" width="14.85546875" style="39" customWidth="1"/>
    <col min="11750" max="11750" width="7.140625" style="39" customWidth="1"/>
    <col min="11751" max="11752" width="20.140625" style="39" customWidth="1"/>
    <col min="11753" max="11753" width="18.42578125" style="39" customWidth="1"/>
    <col min="11754" max="11754" width="9.140625" style="39" customWidth="1"/>
    <col min="11755" max="11755" width="12" style="39" customWidth="1"/>
    <col min="11756" max="11756" width="14.85546875" style="39" customWidth="1"/>
    <col min="11757" max="11757" width="22.42578125" style="39" customWidth="1"/>
    <col min="11758" max="11758" width="14.85546875" style="39" customWidth="1"/>
    <col min="11759" max="11759" width="7.140625" style="39" customWidth="1"/>
    <col min="11760" max="11760" width="20.140625" style="39" customWidth="1"/>
    <col min="11761" max="11992" width="8.85546875" style="39" customWidth="1"/>
    <col min="11993" max="11993" width="8.140625" style="39" customWidth="1"/>
    <col min="11994" max="11994" width="14.5703125" style="39" customWidth="1"/>
    <col min="11995" max="11995" width="37.42578125" style="39" customWidth="1"/>
    <col min="11996" max="11996" width="63.140625" style="39" customWidth="1"/>
    <col min="11997" max="11997" width="20" style="39" customWidth="1"/>
    <col min="11998" max="11998" width="11.140625" style="39" customWidth="1"/>
    <col min="11999" max="11999" width="10.85546875" style="39" customWidth="1"/>
    <col min="12000" max="12000" width="21" style="39" customWidth="1"/>
    <col min="12001" max="12001" width="10.85546875" style="39" customWidth="1"/>
    <col min="12002" max="12002" width="17.42578125" style="39" customWidth="1"/>
    <col min="12003" max="12003" width="14.85546875" style="39" customWidth="1"/>
    <col min="12004" max="12004" width="15" style="39" customWidth="1"/>
    <col min="12005" max="12005" width="14.85546875" style="39" customWidth="1"/>
    <col min="12006" max="12006" width="7.140625" style="39" customWidth="1"/>
    <col min="12007" max="12008" width="20.140625" style="39" customWidth="1"/>
    <col min="12009" max="12009" width="18.42578125" style="39" customWidth="1"/>
    <col min="12010" max="12010" width="9.140625" style="39" customWidth="1"/>
    <col min="12011" max="12011" width="12" style="39" customWidth="1"/>
    <col min="12012" max="12012" width="14.85546875" style="39" customWidth="1"/>
    <col min="12013" max="12013" width="22.42578125" style="39" customWidth="1"/>
    <col min="12014" max="12014" width="14.85546875" style="39" customWidth="1"/>
    <col min="12015" max="12015" width="7.140625" style="39" customWidth="1"/>
    <col min="12016" max="12016" width="20.140625" style="39" customWidth="1"/>
    <col min="12017" max="12248" width="8.85546875" style="39" customWidth="1"/>
    <col min="12249" max="12249" width="8.140625" style="39" customWidth="1"/>
    <col min="12250" max="12250" width="14.5703125" style="39" customWidth="1"/>
    <col min="12251" max="12251" width="37.42578125" style="39" customWidth="1"/>
    <col min="12252" max="12252" width="63.140625" style="39" customWidth="1"/>
    <col min="12253" max="12253" width="20" style="39" customWidth="1"/>
    <col min="12254" max="12254" width="11.140625" style="39" customWidth="1"/>
    <col min="12255" max="12255" width="10.85546875" style="39" customWidth="1"/>
    <col min="12256" max="12256" width="21" style="39" customWidth="1"/>
    <col min="12257" max="12257" width="10.85546875" style="39" customWidth="1"/>
    <col min="12258" max="12258" width="17.42578125" style="39" customWidth="1"/>
    <col min="12259" max="12259" width="14.85546875" style="39" customWidth="1"/>
    <col min="12260" max="12260" width="15" style="39" customWidth="1"/>
    <col min="12261" max="12261" width="14.85546875" style="39" customWidth="1"/>
    <col min="12262" max="12262" width="7.140625" style="39" customWidth="1"/>
    <col min="12263" max="12264" width="20.140625" style="39" customWidth="1"/>
    <col min="12265" max="12265" width="18.42578125" style="39" customWidth="1"/>
    <col min="12266" max="12266" width="9.140625" style="39" customWidth="1"/>
    <col min="12267" max="12267" width="12" style="39" customWidth="1"/>
    <col min="12268" max="12268" width="14.85546875" style="39" customWidth="1"/>
    <col min="12269" max="12269" width="22.42578125" style="39" customWidth="1"/>
    <col min="12270" max="12270" width="14.85546875" style="39" customWidth="1"/>
    <col min="12271" max="12271" width="7.140625" style="39" customWidth="1"/>
    <col min="12272" max="12272" width="20.140625" style="39" customWidth="1"/>
    <col min="12273" max="12504" width="8.85546875" style="39" customWidth="1"/>
    <col min="12505" max="12505" width="8.140625" style="39" customWidth="1"/>
    <col min="12506" max="12506" width="14.5703125" style="39" customWidth="1"/>
    <col min="12507" max="12507" width="37.42578125" style="39" customWidth="1"/>
    <col min="12508" max="12508" width="63.140625" style="39" customWidth="1"/>
    <col min="12509" max="12509" width="20" style="39" customWidth="1"/>
    <col min="12510" max="12510" width="11.140625" style="39" customWidth="1"/>
    <col min="12511" max="12511" width="10.85546875" style="39" customWidth="1"/>
    <col min="12512" max="12512" width="21" style="39" customWidth="1"/>
    <col min="12513" max="12513" width="10.85546875" style="39" customWidth="1"/>
    <col min="12514" max="12514" width="17.42578125" style="39" customWidth="1"/>
    <col min="12515" max="12515" width="14.85546875" style="39" customWidth="1"/>
    <col min="12516" max="12516" width="15" style="39" customWidth="1"/>
    <col min="12517" max="12517" width="14.85546875" style="39" customWidth="1"/>
    <col min="12518" max="12518" width="7.140625" style="39" customWidth="1"/>
    <col min="12519" max="12520" width="20.140625" style="39" customWidth="1"/>
    <col min="12521" max="12521" width="18.42578125" style="39" customWidth="1"/>
    <col min="12522" max="12522" width="9.140625" style="39" customWidth="1"/>
    <col min="12523" max="12523" width="12" style="39" customWidth="1"/>
    <col min="12524" max="12524" width="14.85546875" style="39" customWidth="1"/>
    <col min="12525" max="12525" width="22.42578125" style="39" customWidth="1"/>
    <col min="12526" max="12526" width="14.85546875" style="39" customWidth="1"/>
    <col min="12527" max="12527" width="7.140625" style="39" customWidth="1"/>
    <col min="12528" max="12528" width="20.140625" style="39" customWidth="1"/>
    <col min="12529" max="12760" width="8.85546875" style="39" customWidth="1"/>
    <col min="12761" max="12761" width="8.140625" style="39" customWidth="1"/>
    <col min="12762" max="12762" width="14.5703125" style="39" customWidth="1"/>
    <col min="12763" max="12763" width="37.42578125" style="39" customWidth="1"/>
    <col min="12764" max="12764" width="63.140625" style="39" customWidth="1"/>
    <col min="12765" max="12765" width="20" style="39" customWidth="1"/>
    <col min="12766" max="12766" width="11.140625" style="39" customWidth="1"/>
    <col min="12767" max="12767" width="10.85546875" style="39" customWidth="1"/>
    <col min="12768" max="12768" width="21" style="39" customWidth="1"/>
    <col min="12769" max="12769" width="10.85546875" style="39" customWidth="1"/>
    <col min="12770" max="12770" width="17.42578125" style="39" customWidth="1"/>
    <col min="12771" max="12771" width="14.85546875" style="39" customWidth="1"/>
    <col min="12772" max="12772" width="15" style="39" customWidth="1"/>
    <col min="12773" max="12773" width="14.85546875" style="39" customWidth="1"/>
    <col min="12774" max="12774" width="7.140625" style="39" customWidth="1"/>
    <col min="12775" max="12776" width="20.140625" style="39" customWidth="1"/>
    <col min="12777" max="12777" width="18.42578125" style="39" customWidth="1"/>
    <col min="12778" max="12778" width="9.140625" style="39" customWidth="1"/>
    <col min="12779" max="12779" width="12" style="39" customWidth="1"/>
    <col min="12780" max="12780" width="14.85546875" style="39" customWidth="1"/>
    <col min="12781" max="12781" width="22.42578125" style="39" customWidth="1"/>
    <col min="12782" max="12782" width="14.85546875" style="39" customWidth="1"/>
    <col min="12783" max="12783" width="7.140625" style="39" customWidth="1"/>
    <col min="12784" max="12784" width="20.140625" style="39" customWidth="1"/>
    <col min="12785" max="13016" width="8.85546875" style="39" customWidth="1"/>
    <col min="13017" max="13017" width="8.140625" style="39" customWidth="1"/>
    <col min="13018" max="13018" width="14.5703125" style="39" customWidth="1"/>
    <col min="13019" max="13019" width="37.42578125" style="39" customWidth="1"/>
    <col min="13020" max="13020" width="63.140625" style="39" customWidth="1"/>
    <col min="13021" max="13021" width="20" style="39" customWidth="1"/>
    <col min="13022" max="13022" width="11.140625" style="39" customWidth="1"/>
    <col min="13023" max="13023" width="10.85546875" style="39" customWidth="1"/>
    <col min="13024" max="13024" width="21" style="39" customWidth="1"/>
    <col min="13025" max="13025" width="10.85546875" style="39" customWidth="1"/>
    <col min="13026" max="13026" width="17.42578125" style="39" customWidth="1"/>
    <col min="13027" max="13027" width="14.85546875" style="39" customWidth="1"/>
    <col min="13028" max="13028" width="15" style="39" customWidth="1"/>
    <col min="13029" max="13029" width="14.85546875" style="39" customWidth="1"/>
    <col min="13030" max="13030" width="7.140625" style="39" customWidth="1"/>
    <col min="13031" max="13032" width="20.140625" style="39" customWidth="1"/>
    <col min="13033" max="13033" width="18.42578125" style="39" customWidth="1"/>
    <col min="13034" max="13034" width="9.140625" style="39" customWidth="1"/>
    <col min="13035" max="13035" width="12" style="39" customWidth="1"/>
    <col min="13036" max="13036" width="14.85546875" style="39" customWidth="1"/>
    <col min="13037" max="13037" width="22.42578125" style="39" customWidth="1"/>
    <col min="13038" max="13038" width="14.85546875" style="39" customWidth="1"/>
    <col min="13039" max="13039" width="7.140625" style="39" customWidth="1"/>
    <col min="13040" max="13040" width="20.140625" style="39" customWidth="1"/>
    <col min="13041" max="13272" width="8.85546875" style="39" customWidth="1"/>
    <col min="13273" max="13273" width="8.140625" style="39" customWidth="1"/>
    <col min="13274" max="13274" width="14.5703125" style="39" customWidth="1"/>
    <col min="13275" max="13275" width="37.42578125" style="39" customWidth="1"/>
    <col min="13276" max="13276" width="63.140625" style="39" customWidth="1"/>
    <col min="13277" max="13277" width="20" style="39" customWidth="1"/>
    <col min="13278" max="13278" width="11.140625" style="39" customWidth="1"/>
    <col min="13279" max="13279" width="10.85546875" style="39" customWidth="1"/>
    <col min="13280" max="13280" width="21" style="39" customWidth="1"/>
    <col min="13281" max="13281" width="10.85546875" style="39" customWidth="1"/>
    <col min="13282" max="13282" width="17.42578125" style="39" customWidth="1"/>
    <col min="13283" max="13283" width="14.85546875" style="39" customWidth="1"/>
    <col min="13284" max="13284" width="15" style="39" customWidth="1"/>
    <col min="13285" max="13285" width="14.85546875" style="39" customWidth="1"/>
    <col min="13286" max="13286" width="7.140625" style="39" customWidth="1"/>
    <col min="13287" max="13288" width="20.140625" style="39" customWidth="1"/>
    <col min="13289" max="13289" width="18.42578125" style="39" customWidth="1"/>
    <col min="13290" max="13290" width="9.140625" style="39" customWidth="1"/>
    <col min="13291" max="13291" width="12" style="39" customWidth="1"/>
    <col min="13292" max="13292" width="14.85546875" style="39" customWidth="1"/>
    <col min="13293" max="13293" width="22.42578125" style="39" customWidth="1"/>
    <col min="13294" max="13294" width="14.85546875" style="39" customWidth="1"/>
    <col min="13295" max="13295" width="7.140625" style="39" customWidth="1"/>
    <col min="13296" max="13296" width="20.140625" style="39" customWidth="1"/>
    <col min="13297" max="13528" width="8.85546875" style="39" customWidth="1"/>
    <col min="13529" max="13529" width="8.140625" style="39" customWidth="1"/>
    <col min="13530" max="13530" width="14.5703125" style="39" customWidth="1"/>
    <col min="13531" max="13531" width="37.42578125" style="39" customWidth="1"/>
    <col min="13532" max="13532" width="63.140625" style="39" customWidth="1"/>
    <col min="13533" max="13533" width="20" style="39" customWidth="1"/>
    <col min="13534" max="13534" width="11.140625" style="39" customWidth="1"/>
    <col min="13535" max="13535" width="10.85546875" style="39" customWidth="1"/>
    <col min="13536" max="13536" width="21" style="39" customWidth="1"/>
    <col min="13537" max="13537" width="10.85546875" style="39" customWidth="1"/>
    <col min="13538" max="13538" width="17.42578125" style="39" customWidth="1"/>
    <col min="13539" max="13539" width="14.85546875" style="39" customWidth="1"/>
    <col min="13540" max="13540" width="15" style="39" customWidth="1"/>
    <col min="13541" max="13541" width="14.85546875" style="39" customWidth="1"/>
    <col min="13542" max="13542" width="7.140625" style="39" customWidth="1"/>
    <col min="13543" max="13544" width="20.140625" style="39" customWidth="1"/>
    <col min="13545" max="13545" width="18.42578125" style="39" customWidth="1"/>
    <col min="13546" max="13546" width="9.140625" style="39" customWidth="1"/>
    <col min="13547" max="13547" width="12" style="39" customWidth="1"/>
    <col min="13548" max="13548" width="14.85546875" style="39" customWidth="1"/>
    <col min="13549" max="13549" width="22.42578125" style="39" customWidth="1"/>
    <col min="13550" max="13550" width="14.85546875" style="39" customWidth="1"/>
    <col min="13551" max="13551" width="7.140625" style="39" customWidth="1"/>
    <col min="13552" max="13552" width="20.140625" style="39" customWidth="1"/>
    <col min="13553" max="13784" width="8.85546875" style="39" customWidth="1"/>
    <col min="13785" max="13785" width="8.140625" style="39" customWidth="1"/>
    <col min="13786" max="13786" width="14.5703125" style="39" customWidth="1"/>
    <col min="13787" max="13787" width="37.42578125" style="39" customWidth="1"/>
    <col min="13788" max="13788" width="63.140625" style="39" customWidth="1"/>
    <col min="13789" max="13789" width="20" style="39" customWidth="1"/>
    <col min="13790" max="13790" width="11.140625" style="39" customWidth="1"/>
    <col min="13791" max="13791" width="10.85546875" style="39" customWidth="1"/>
    <col min="13792" max="13792" width="21" style="39" customWidth="1"/>
    <col min="13793" max="13793" width="10.85546875" style="39" customWidth="1"/>
    <col min="13794" max="13794" width="17.42578125" style="39" customWidth="1"/>
    <col min="13795" max="13795" width="14.85546875" style="39" customWidth="1"/>
    <col min="13796" max="13796" width="15" style="39" customWidth="1"/>
    <col min="13797" max="13797" width="14.85546875" style="39" customWidth="1"/>
    <col min="13798" max="13798" width="7.140625" style="39" customWidth="1"/>
    <col min="13799" max="13800" width="20.140625" style="39" customWidth="1"/>
    <col min="13801" max="13801" width="18.42578125" style="39" customWidth="1"/>
    <col min="13802" max="13802" width="9.140625" style="39" customWidth="1"/>
    <col min="13803" max="13803" width="12" style="39" customWidth="1"/>
    <col min="13804" max="13804" width="14.85546875" style="39" customWidth="1"/>
    <col min="13805" max="13805" width="22.42578125" style="39" customWidth="1"/>
    <col min="13806" max="13806" width="14.85546875" style="39" customWidth="1"/>
    <col min="13807" max="13807" width="7.140625" style="39" customWidth="1"/>
    <col min="13808" max="13808" width="20.140625" style="39" customWidth="1"/>
    <col min="13809" max="14040" width="8.85546875" style="39" customWidth="1"/>
    <col min="14041" max="14041" width="8.140625" style="39" customWidth="1"/>
    <col min="14042" max="14042" width="14.5703125" style="39" customWidth="1"/>
    <col min="14043" max="14043" width="37.42578125" style="39" customWidth="1"/>
    <col min="14044" max="14044" width="63.140625" style="39" customWidth="1"/>
    <col min="14045" max="14045" width="20" style="39" customWidth="1"/>
    <col min="14046" max="14046" width="11.140625" style="39" customWidth="1"/>
    <col min="14047" max="14047" width="10.85546875" style="39" customWidth="1"/>
    <col min="14048" max="14048" width="21" style="39" customWidth="1"/>
    <col min="14049" max="14049" width="10.85546875" style="39" customWidth="1"/>
    <col min="14050" max="14050" width="17.42578125" style="39" customWidth="1"/>
    <col min="14051" max="14051" width="14.85546875" style="39" customWidth="1"/>
    <col min="14052" max="14052" width="15" style="39" customWidth="1"/>
    <col min="14053" max="14053" width="14.85546875" style="39" customWidth="1"/>
    <col min="14054" max="14054" width="7.140625" style="39" customWidth="1"/>
    <col min="14055" max="14056" width="20.140625" style="39" customWidth="1"/>
    <col min="14057" max="14057" width="18.42578125" style="39" customWidth="1"/>
    <col min="14058" max="14058" width="9.140625" style="39" customWidth="1"/>
    <col min="14059" max="14059" width="12" style="39" customWidth="1"/>
    <col min="14060" max="14060" width="14.85546875" style="39" customWidth="1"/>
    <col min="14061" max="14061" width="22.42578125" style="39" customWidth="1"/>
    <col min="14062" max="14062" width="14.85546875" style="39" customWidth="1"/>
    <col min="14063" max="14063" width="7.140625" style="39" customWidth="1"/>
    <col min="14064" max="14064" width="20.140625" style="39" customWidth="1"/>
    <col min="14065" max="14296" width="8.85546875" style="39" customWidth="1"/>
    <col min="14297" max="14297" width="8.140625" style="39" customWidth="1"/>
    <col min="14298" max="14298" width="14.5703125" style="39" customWidth="1"/>
    <col min="14299" max="14299" width="37.42578125" style="39" customWidth="1"/>
    <col min="14300" max="14300" width="63.140625" style="39" customWidth="1"/>
    <col min="14301" max="14301" width="20" style="39" customWidth="1"/>
    <col min="14302" max="14302" width="11.140625" style="39" customWidth="1"/>
    <col min="14303" max="14303" width="10.85546875" style="39" customWidth="1"/>
    <col min="14304" max="14304" width="21" style="39" customWidth="1"/>
    <col min="14305" max="14305" width="10.85546875" style="39" customWidth="1"/>
    <col min="14306" max="14306" width="17.42578125" style="39" customWidth="1"/>
    <col min="14307" max="14307" width="14.85546875" style="39" customWidth="1"/>
    <col min="14308" max="14308" width="15" style="39" customWidth="1"/>
    <col min="14309" max="14309" width="14.85546875" style="39" customWidth="1"/>
    <col min="14310" max="14310" width="7.140625" style="39" customWidth="1"/>
    <col min="14311" max="14312" width="20.140625" style="39" customWidth="1"/>
    <col min="14313" max="14313" width="18.42578125" style="39" customWidth="1"/>
    <col min="14314" max="14314" width="9.140625" style="39" customWidth="1"/>
    <col min="14315" max="14315" width="12" style="39" customWidth="1"/>
    <col min="14316" max="14316" width="14.85546875" style="39" customWidth="1"/>
    <col min="14317" max="14317" width="22.42578125" style="39" customWidth="1"/>
    <col min="14318" max="14318" width="14.85546875" style="39" customWidth="1"/>
    <col min="14319" max="14319" width="7.140625" style="39" customWidth="1"/>
    <col min="14320" max="14320" width="20.140625" style="39" customWidth="1"/>
    <col min="14321" max="14552" width="8.85546875" style="39" customWidth="1"/>
    <col min="14553" max="14553" width="8.140625" style="39" customWidth="1"/>
    <col min="14554" max="14554" width="14.5703125" style="39" customWidth="1"/>
    <col min="14555" max="14555" width="37.42578125" style="39" customWidth="1"/>
    <col min="14556" max="14556" width="63.140625" style="39" customWidth="1"/>
    <col min="14557" max="14557" width="20" style="39" customWidth="1"/>
    <col min="14558" max="14558" width="11.140625" style="39" customWidth="1"/>
    <col min="14559" max="14559" width="10.85546875" style="39" customWidth="1"/>
    <col min="14560" max="14560" width="21" style="39" customWidth="1"/>
    <col min="14561" max="14561" width="10.85546875" style="39" customWidth="1"/>
    <col min="14562" max="14562" width="17.42578125" style="39" customWidth="1"/>
    <col min="14563" max="14563" width="14.85546875" style="39" customWidth="1"/>
    <col min="14564" max="14564" width="15" style="39" customWidth="1"/>
    <col min="14565" max="14565" width="14.85546875" style="39" customWidth="1"/>
    <col min="14566" max="14566" width="7.140625" style="39" customWidth="1"/>
    <col min="14567" max="14568" width="20.140625" style="39" customWidth="1"/>
    <col min="14569" max="14569" width="18.42578125" style="39" customWidth="1"/>
    <col min="14570" max="14570" width="9.140625" style="39" customWidth="1"/>
    <col min="14571" max="14571" width="12" style="39" customWidth="1"/>
    <col min="14572" max="14572" width="14.85546875" style="39" customWidth="1"/>
    <col min="14573" max="14573" width="22.42578125" style="39" customWidth="1"/>
    <col min="14574" max="14574" width="14.85546875" style="39" customWidth="1"/>
    <col min="14575" max="14575" width="7.140625" style="39" customWidth="1"/>
    <col min="14576" max="14576" width="20.140625" style="39" customWidth="1"/>
    <col min="14577" max="14808" width="8.85546875" style="39" customWidth="1"/>
    <col min="14809" max="14809" width="8.140625" style="39" customWidth="1"/>
    <col min="14810" max="14810" width="14.5703125" style="39" customWidth="1"/>
    <col min="14811" max="14811" width="37.42578125" style="39" customWidth="1"/>
    <col min="14812" max="14812" width="63.140625" style="39" customWidth="1"/>
    <col min="14813" max="14813" width="20" style="39" customWidth="1"/>
    <col min="14814" max="14814" width="11.140625" style="39" customWidth="1"/>
    <col min="14815" max="14815" width="10.85546875" style="39" customWidth="1"/>
    <col min="14816" max="14816" width="21" style="39" customWidth="1"/>
    <col min="14817" max="14817" width="10.85546875" style="39" customWidth="1"/>
    <col min="14818" max="14818" width="17.42578125" style="39" customWidth="1"/>
    <col min="14819" max="14819" width="14.85546875" style="39" customWidth="1"/>
    <col min="14820" max="14820" width="15" style="39" customWidth="1"/>
    <col min="14821" max="14821" width="14.85546875" style="39" customWidth="1"/>
    <col min="14822" max="14822" width="7.140625" style="39" customWidth="1"/>
    <col min="14823" max="14824" width="20.140625" style="39" customWidth="1"/>
    <col min="14825" max="14825" width="18.42578125" style="39" customWidth="1"/>
    <col min="14826" max="14826" width="9.140625" style="39" customWidth="1"/>
    <col min="14827" max="14827" width="12" style="39" customWidth="1"/>
    <col min="14828" max="14828" width="14.85546875" style="39" customWidth="1"/>
    <col min="14829" max="14829" width="22.42578125" style="39" customWidth="1"/>
    <col min="14830" max="14830" width="14.85546875" style="39" customWidth="1"/>
    <col min="14831" max="14831" width="7.140625" style="39" customWidth="1"/>
    <col min="14832" max="14832" width="20.140625" style="39" customWidth="1"/>
    <col min="14833" max="15064" width="8.85546875" style="39" customWidth="1"/>
    <col min="15065" max="15065" width="8.140625" style="39" customWidth="1"/>
    <col min="15066" max="15066" width="14.5703125" style="39" customWidth="1"/>
    <col min="15067" max="15067" width="37.42578125" style="39" customWidth="1"/>
    <col min="15068" max="15068" width="63.140625" style="39" customWidth="1"/>
    <col min="15069" max="15069" width="20" style="39" customWidth="1"/>
    <col min="15070" max="15070" width="11.140625" style="39" customWidth="1"/>
    <col min="15071" max="15071" width="10.85546875" style="39" customWidth="1"/>
    <col min="15072" max="15072" width="21" style="39" customWidth="1"/>
    <col min="15073" max="15073" width="10.85546875" style="39" customWidth="1"/>
    <col min="15074" max="15074" width="17.42578125" style="39" customWidth="1"/>
    <col min="15075" max="15075" width="14.85546875" style="39" customWidth="1"/>
    <col min="15076" max="15076" width="15" style="39" customWidth="1"/>
    <col min="15077" max="15077" width="14.85546875" style="39" customWidth="1"/>
    <col min="15078" max="15078" width="7.140625" style="39" customWidth="1"/>
    <col min="15079" max="15080" width="20.140625" style="39" customWidth="1"/>
    <col min="15081" max="15081" width="18.42578125" style="39" customWidth="1"/>
    <col min="15082" max="15082" width="9.140625" style="39" customWidth="1"/>
    <col min="15083" max="15083" width="12" style="39" customWidth="1"/>
    <col min="15084" max="15084" width="14.85546875" style="39" customWidth="1"/>
    <col min="15085" max="15085" width="22.42578125" style="39" customWidth="1"/>
    <col min="15086" max="15086" width="14.85546875" style="39" customWidth="1"/>
    <col min="15087" max="15087" width="7.140625" style="39" customWidth="1"/>
    <col min="15088" max="15088" width="20.140625" style="39" customWidth="1"/>
    <col min="15089" max="15320" width="8.85546875" style="39" customWidth="1"/>
    <col min="15321" max="15321" width="8.140625" style="39" customWidth="1"/>
    <col min="15322" max="15322" width="14.5703125" style="39" customWidth="1"/>
    <col min="15323" max="15323" width="37.42578125" style="39" customWidth="1"/>
    <col min="15324" max="15324" width="63.140625" style="39" customWidth="1"/>
    <col min="15325" max="15325" width="20" style="39" customWidth="1"/>
    <col min="15326" max="15326" width="11.140625" style="39" customWidth="1"/>
    <col min="15327" max="15327" width="10.85546875" style="39" customWidth="1"/>
    <col min="15328" max="15328" width="21" style="39" customWidth="1"/>
    <col min="15329" max="15329" width="10.85546875" style="39" customWidth="1"/>
    <col min="15330" max="15330" width="17.42578125" style="39" customWidth="1"/>
    <col min="15331" max="15331" width="14.85546875" style="39" customWidth="1"/>
    <col min="15332" max="15332" width="15" style="39" customWidth="1"/>
    <col min="15333" max="15333" width="14.85546875" style="39" customWidth="1"/>
    <col min="15334" max="15334" width="7.140625" style="39" customWidth="1"/>
    <col min="15335" max="15336" width="20.140625" style="39" customWidth="1"/>
    <col min="15337" max="15337" width="18.42578125" style="39" customWidth="1"/>
    <col min="15338" max="15338" width="9.140625" style="39" customWidth="1"/>
    <col min="15339" max="15339" width="12" style="39" customWidth="1"/>
    <col min="15340" max="15340" width="14.85546875" style="39" customWidth="1"/>
    <col min="15341" max="15341" width="22.42578125" style="39" customWidth="1"/>
    <col min="15342" max="15342" width="14.85546875" style="39" customWidth="1"/>
    <col min="15343" max="15343" width="7.140625" style="39" customWidth="1"/>
    <col min="15344" max="15344" width="20.140625" style="39" customWidth="1"/>
    <col min="15345" max="15576" width="8.85546875" style="39" customWidth="1"/>
    <col min="15577" max="15577" width="8.140625" style="39" customWidth="1"/>
    <col min="15578" max="15578" width="14.5703125" style="39" customWidth="1"/>
    <col min="15579" max="15579" width="37.42578125" style="39" customWidth="1"/>
    <col min="15580" max="15580" width="63.140625" style="39" customWidth="1"/>
    <col min="15581" max="15581" width="20" style="39" customWidth="1"/>
    <col min="15582" max="15582" width="11.140625" style="39" customWidth="1"/>
    <col min="15583" max="15583" width="10.85546875" style="39" customWidth="1"/>
    <col min="15584" max="15584" width="21" style="39" customWidth="1"/>
    <col min="15585" max="15585" width="10.85546875" style="39" customWidth="1"/>
    <col min="15586" max="15586" width="17.42578125" style="39" customWidth="1"/>
    <col min="15587" max="15587" width="14.85546875" style="39" customWidth="1"/>
    <col min="15588" max="15588" width="15" style="39" customWidth="1"/>
    <col min="15589" max="15589" width="14.85546875" style="39" customWidth="1"/>
    <col min="15590" max="15590" width="7.140625" style="39" customWidth="1"/>
    <col min="15591" max="15592" width="20.140625" style="39" customWidth="1"/>
    <col min="15593" max="15593" width="18.42578125" style="39" customWidth="1"/>
    <col min="15594" max="15594" width="9.140625" style="39" customWidth="1"/>
    <col min="15595" max="15595" width="12" style="39" customWidth="1"/>
    <col min="15596" max="15596" width="14.85546875" style="39" customWidth="1"/>
    <col min="15597" max="15597" width="22.42578125" style="39" customWidth="1"/>
    <col min="15598" max="15598" width="14.85546875" style="39" customWidth="1"/>
    <col min="15599" max="15599" width="7.140625" style="39" customWidth="1"/>
    <col min="15600" max="15600" width="20.140625" style="39" customWidth="1"/>
    <col min="15601" max="15832" width="8.85546875" style="39" customWidth="1"/>
    <col min="15833" max="15833" width="8.140625" style="39" customWidth="1"/>
    <col min="15834" max="15834" width="14.5703125" style="39" customWidth="1"/>
    <col min="15835" max="15835" width="37.42578125" style="39" customWidth="1"/>
    <col min="15836" max="15836" width="63.140625" style="39" customWidth="1"/>
    <col min="15837" max="15837" width="20" style="39" customWidth="1"/>
    <col min="15838" max="15838" width="11.140625" style="39" customWidth="1"/>
    <col min="15839" max="15839" width="10.85546875" style="39" customWidth="1"/>
    <col min="15840" max="15840" width="21" style="39" customWidth="1"/>
    <col min="15841" max="15841" width="10.85546875" style="39" customWidth="1"/>
    <col min="15842" max="15842" width="17.42578125" style="39" customWidth="1"/>
    <col min="15843" max="15843" width="14.85546875" style="39" customWidth="1"/>
    <col min="15844" max="15844" width="15" style="39" customWidth="1"/>
    <col min="15845" max="15845" width="14.85546875" style="39" customWidth="1"/>
    <col min="15846" max="15846" width="7.140625" style="39" customWidth="1"/>
    <col min="15847" max="15848" width="20.140625" style="39" customWidth="1"/>
    <col min="15849" max="15849" width="18.42578125" style="39" customWidth="1"/>
    <col min="15850" max="15850" width="9.140625" style="39" customWidth="1"/>
    <col min="15851" max="15851" width="12" style="39" customWidth="1"/>
    <col min="15852" max="15852" width="14.85546875" style="39" customWidth="1"/>
    <col min="15853" max="15853" width="22.42578125" style="39" customWidth="1"/>
    <col min="15854" max="15854" width="14.85546875" style="39" customWidth="1"/>
    <col min="15855" max="15855" width="7.140625" style="39" customWidth="1"/>
    <col min="15856" max="15856" width="20.140625" style="39" customWidth="1"/>
    <col min="15857" max="16088" width="8.85546875" style="39" customWidth="1"/>
    <col min="16089" max="16089" width="8.140625" style="39" customWidth="1"/>
    <col min="16090" max="16090" width="14.5703125" style="39" customWidth="1"/>
    <col min="16091" max="16091" width="37.42578125" style="39" customWidth="1"/>
    <col min="16092" max="16092" width="63.140625" style="39" customWidth="1"/>
    <col min="16093" max="16093" width="20" style="39" customWidth="1"/>
    <col min="16094" max="16094" width="11.140625" style="39" customWidth="1"/>
    <col min="16095" max="16095" width="10.85546875" style="39" customWidth="1"/>
    <col min="16096" max="16096" width="21" style="39" customWidth="1"/>
    <col min="16097" max="16097" width="10.85546875" style="39" customWidth="1"/>
    <col min="16098" max="16098" width="17.42578125" style="39" customWidth="1"/>
    <col min="16099" max="16099" width="14.85546875" style="39" customWidth="1"/>
    <col min="16100" max="16100" width="15" style="39" customWidth="1"/>
    <col min="16101" max="16101" width="14.85546875" style="39" customWidth="1"/>
    <col min="16102" max="16102" width="7.140625" style="39" customWidth="1"/>
    <col min="16103" max="16104" width="20.140625" style="39" customWidth="1"/>
    <col min="16105" max="16105" width="18.42578125" style="39" customWidth="1"/>
    <col min="16106" max="16106" width="9.140625" style="39" customWidth="1"/>
    <col min="16107" max="16107" width="12" style="39" customWidth="1"/>
    <col min="16108" max="16108" width="14.85546875" style="39" customWidth="1"/>
    <col min="16109" max="16109" width="22.42578125" style="39" customWidth="1"/>
    <col min="16110" max="16110" width="14.85546875" style="39" customWidth="1"/>
    <col min="16111" max="16111" width="7.140625" style="39" customWidth="1"/>
    <col min="16112" max="16112" width="20.140625" style="39" customWidth="1"/>
    <col min="16113" max="16384" width="8.85546875" style="39" customWidth="1"/>
  </cols>
  <sheetData>
    <row r="1" spans="1:9" ht="15" customHeight="1">
      <c r="A1" s="63" t="s">
        <v>273</v>
      </c>
    </row>
    <row r="2" spans="1:9" s="77" customFormat="1" ht="15" customHeight="1">
      <c r="I2" s="341"/>
    </row>
    <row r="3" spans="1:9" s="40" customFormat="1" ht="25.5" customHeight="1">
      <c r="A3" s="76" t="s">
        <v>3</v>
      </c>
      <c r="B3" s="76" t="s">
        <v>274</v>
      </c>
      <c r="C3" s="76" t="s">
        <v>275</v>
      </c>
      <c r="D3" s="76" t="s">
        <v>7</v>
      </c>
      <c r="E3" s="76" t="s">
        <v>276</v>
      </c>
      <c r="F3" s="76" t="s">
        <v>277</v>
      </c>
      <c r="G3" s="76" t="s">
        <v>278</v>
      </c>
      <c r="H3" s="76" t="s">
        <v>279</v>
      </c>
      <c r="I3" s="64" t="s">
        <v>14</v>
      </c>
    </row>
    <row r="4" spans="1:9" s="40" customFormat="1" ht="38.25" customHeight="1">
      <c r="A4" s="38">
        <v>1</v>
      </c>
      <c r="B4" s="37" t="s">
        <v>280</v>
      </c>
      <c r="C4" s="37" t="s">
        <v>281</v>
      </c>
      <c r="D4" s="37" t="s">
        <v>46</v>
      </c>
      <c r="E4" s="342">
        <f>66+6</f>
        <v>72</v>
      </c>
      <c r="F4" s="342"/>
      <c r="G4" s="65" t="s">
        <v>282</v>
      </c>
      <c r="H4" s="343" t="s">
        <v>283</v>
      </c>
      <c r="I4" s="38" t="s">
        <v>284</v>
      </c>
    </row>
    <row r="5" spans="1:9" ht="12.75" customHeight="1">
      <c r="A5" s="38">
        <v>2</v>
      </c>
      <c r="B5" s="37" t="s">
        <v>230</v>
      </c>
      <c r="C5" s="37" t="s">
        <v>281</v>
      </c>
      <c r="D5" s="37" t="s">
        <v>285</v>
      </c>
      <c r="E5" s="342">
        <v>35</v>
      </c>
      <c r="F5" s="342" t="s">
        <v>286</v>
      </c>
      <c r="G5" s="65" t="s">
        <v>287</v>
      </c>
      <c r="H5" s="119" t="s">
        <v>288</v>
      </c>
      <c r="I5" s="38" t="s">
        <v>58</v>
      </c>
    </row>
    <row r="6" spans="1:9" ht="51" customHeight="1">
      <c r="A6" s="38">
        <v>3</v>
      </c>
      <c r="B6" s="65" t="s">
        <v>289</v>
      </c>
      <c r="C6" s="37" t="s">
        <v>281</v>
      </c>
      <c r="D6" s="65" t="s">
        <v>290</v>
      </c>
      <c r="E6" s="342">
        <v>137</v>
      </c>
      <c r="F6" s="342" t="s">
        <v>286</v>
      </c>
      <c r="G6" s="65" t="s">
        <v>291</v>
      </c>
      <c r="H6" s="37" t="s">
        <v>292</v>
      </c>
      <c r="I6" s="38" t="s">
        <v>293</v>
      </c>
    </row>
    <row r="7" spans="1:9" ht="12.75" customHeight="1">
      <c r="A7" s="38">
        <v>4</v>
      </c>
      <c r="B7" s="37" t="s">
        <v>294</v>
      </c>
      <c r="C7" s="37" t="s">
        <v>281</v>
      </c>
      <c r="D7" s="37" t="s">
        <v>295</v>
      </c>
      <c r="E7" s="342">
        <v>60</v>
      </c>
      <c r="F7" s="342"/>
      <c r="G7" s="65" t="s">
        <v>296</v>
      </c>
      <c r="H7" s="119" t="s">
        <v>297</v>
      </c>
      <c r="I7" s="38" t="s">
        <v>298</v>
      </c>
    </row>
    <row r="8" spans="1:9" ht="38.25" customHeight="1">
      <c r="A8" s="38">
        <v>5</v>
      </c>
      <c r="B8" s="37" t="s">
        <v>299</v>
      </c>
      <c r="C8" s="37" t="s">
        <v>281</v>
      </c>
      <c r="D8" s="37" t="s">
        <v>300</v>
      </c>
      <c r="E8" s="342">
        <v>18</v>
      </c>
      <c r="F8" s="342"/>
      <c r="G8" s="65" t="s">
        <v>301</v>
      </c>
      <c r="H8" s="65" t="s">
        <v>302</v>
      </c>
      <c r="I8" s="38" t="s">
        <v>303</v>
      </c>
    </row>
    <row r="9" spans="1:9" ht="38.25" customHeight="1">
      <c r="A9" s="38">
        <v>6</v>
      </c>
      <c r="B9" s="37" t="s">
        <v>304</v>
      </c>
      <c r="C9" s="37" t="s">
        <v>281</v>
      </c>
      <c r="D9" s="65" t="s">
        <v>305</v>
      </c>
      <c r="E9" s="342">
        <v>102</v>
      </c>
      <c r="F9" s="342"/>
      <c r="G9" s="65" t="s">
        <v>301</v>
      </c>
      <c r="H9" s="37" t="s">
        <v>306</v>
      </c>
      <c r="I9" s="38" t="s">
        <v>307</v>
      </c>
    </row>
    <row r="10" spans="1:9" ht="25.5" customHeight="1">
      <c r="A10" s="38">
        <v>7</v>
      </c>
      <c r="B10" s="37" t="s">
        <v>308</v>
      </c>
      <c r="C10" s="37" t="s">
        <v>281</v>
      </c>
      <c r="D10" s="65" t="s">
        <v>309</v>
      </c>
      <c r="E10" s="342">
        <v>26</v>
      </c>
      <c r="F10" s="342"/>
      <c r="G10" s="37" t="s">
        <v>301</v>
      </c>
      <c r="H10" s="37" t="s">
        <v>310</v>
      </c>
      <c r="I10" s="38" t="s">
        <v>311</v>
      </c>
    </row>
    <row r="11" spans="1:9" ht="12.75" customHeight="1">
      <c r="A11" s="38">
        <v>8</v>
      </c>
      <c r="B11" s="37" t="s">
        <v>312</v>
      </c>
      <c r="C11" s="37" t="s">
        <v>281</v>
      </c>
      <c r="D11" s="65" t="s">
        <v>313</v>
      </c>
      <c r="E11" s="342">
        <v>7</v>
      </c>
      <c r="F11" s="342"/>
      <c r="G11" s="65" t="s">
        <v>296</v>
      </c>
      <c r="H11" s="37" t="s">
        <v>314</v>
      </c>
      <c r="I11" s="38" t="s">
        <v>315</v>
      </c>
    </row>
    <row r="12" spans="1:9" ht="25.5" customHeight="1">
      <c r="A12" s="38">
        <v>9</v>
      </c>
      <c r="B12" s="37" t="s">
        <v>22</v>
      </c>
      <c r="C12" s="37" t="s">
        <v>281</v>
      </c>
      <c r="D12" s="65" t="s">
        <v>316</v>
      </c>
      <c r="E12" s="342">
        <v>103</v>
      </c>
      <c r="F12" s="342"/>
      <c r="G12" s="65" t="s">
        <v>301</v>
      </c>
      <c r="H12" s="37" t="s">
        <v>317</v>
      </c>
      <c r="I12" s="38" t="s">
        <v>32</v>
      </c>
    </row>
    <row r="13" spans="1:9" ht="38.25" customHeight="1">
      <c r="A13" s="38">
        <v>10</v>
      </c>
      <c r="B13" s="37" t="s">
        <v>318</v>
      </c>
      <c r="C13" s="37" t="s">
        <v>281</v>
      </c>
      <c r="D13" s="65" t="s">
        <v>319</v>
      </c>
      <c r="E13" s="342">
        <f>42+36+10</f>
        <v>88</v>
      </c>
      <c r="F13" s="342"/>
      <c r="G13" s="65" t="s">
        <v>320</v>
      </c>
      <c r="H13" s="344" t="s">
        <v>321</v>
      </c>
      <c r="I13" s="38" t="s">
        <v>322</v>
      </c>
    </row>
    <row r="14" spans="1:9" ht="12.75" customHeight="1">
      <c r="A14" s="38">
        <v>11</v>
      </c>
      <c r="B14" s="37" t="s">
        <v>323</v>
      </c>
      <c r="C14" s="37" t="s">
        <v>281</v>
      </c>
      <c r="D14" s="37" t="s">
        <v>324</v>
      </c>
      <c r="E14" s="342">
        <v>47</v>
      </c>
      <c r="F14" s="342"/>
      <c r="G14" s="65" t="s">
        <v>301</v>
      </c>
      <c r="H14" s="119" t="s">
        <v>325</v>
      </c>
      <c r="I14" s="38" t="s">
        <v>322</v>
      </c>
    </row>
    <row r="15" spans="1:9" ht="12.75" customHeight="1">
      <c r="A15" s="38">
        <v>12</v>
      </c>
      <c r="B15" s="37" t="s">
        <v>326</v>
      </c>
      <c r="C15" s="37" t="s">
        <v>281</v>
      </c>
      <c r="D15" s="37" t="s">
        <v>327</v>
      </c>
      <c r="E15" s="342">
        <v>77</v>
      </c>
      <c r="F15" s="342"/>
      <c r="G15" s="65" t="s">
        <v>296</v>
      </c>
      <c r="H15" s="119" t="s">
        <v>328</v>
      </c>
      <c r="I15" s="38" t="s">
        <v>307</v>
      </c>
    </row>
    <row r="16" spans="1:9" ht="25.5" customHeight="1">
      <c r="A16" s="38">
        <v>13</v>
      </c>
      <c r="B16" s="37" t="s">
        <v>329</v>
      </c>
      <c r="C16" s="37" t="s">
        <v>281</v>
      </c>
      <c r="D16" s="65" t="s">
        <v>330</v>
      </c>
      <c r="E16" s="342">
        <v>107</v>
      </c>
      <c r="F16" s="342" t="s">
        <v>286</v>
      </c>
      <c r="G16" s="65" t="s">
        <v>301</v>
      </c>
      <c r="H16" s="37" t="s">
        <v>331</v>
      </c>
      <c r="I16" s="38" t="s">
        <v>32</v>
      </c>
    </row>
    <row r="17" spans="1:9" ht="12.75" customHeight="1">
      <c r="A17" s="38">
        <v>14</v>
      </c>
      <c r="B17" s="37" t="s">
        <v>332</v>
      </c>
      <c r="C17" s="37" t="s">
        <v>281</v>
      </c>
      <c r="D17" s="65" t="s">
        <v>333</v>
      </c>
      <c r="E17" s="342">
        <v>16</v>
      </c>
      <c r="F17" s="342"/>
      <c r="G17" s="65" t="s">
        <v>334</v>
      </c>
      <c r="H17" s="37" t="s">
        <v>335</v>
      </c>
      <c r="I17" s="38" t="s">
        <v>336</v>
      </c>
    </row>
    <row r="18" spans="1:9" ht="12.75" customHeight="1">
      <c r="A18" s="38">
        <v>15</v>
      </c>
      <c r="B18" s="37" t="s">
        <v>337</v>
      </c>
      <c r="C18" s="37" t="s">
        <v>281</v>
      </c>
      <c r="D18" s="37" t="s">
        <v>338</v>
      </c>
      <c r="E18" s="342">
        <v>19</v>
      </c>
      <c r="F18" s="342"/>
      <c r="G18" s="65" t="s">
        <v>296</v>
      </c>
      <c r="H18" s="19" t="s">
        <v>339</v>
      </c>
      <c r="I18" s="38" t="s">
        <v>298</v>
      </c>
    </row>
    <row r="19" spans="1:9" ht="25.5" customHeight="1">
      <c r="A19" s="38">
        <v>16</v>
      </c>
      <c r="B19" s="37" t="s">
        <v>340</v>
      </c>
      <c r="C19" s="37" t="s">
        <v>281</v>
      </c>
      <c r="D19" s="37" t="s">
        <v>341</v>
      </c>
      <c r="E19" s="342">
        <v>52</v>
      </c>
      <c r="F19" s="342"/>
      <c r="G19" s="65" t="s">
        <v>342</v>
      </c>
      <c r="H19" s="119" t="s">
        <v>343</v>
      </c>
      <c r="I19" s="38" t="s">
        <v>307</v>
      </c>
    </row>
    <row r="20" spans="1:9" ht="12.75" customHeight="1">
      <c r="A20" s="38">
        <v>17</v>
      </c>
      <c r="B20" s="37" t="s">
        <v>344</v>
      </c>
      <c r="C20" s="37" t="s">
        <v>281</v>
      </c>
      <c r="D20" s="37" t="s">
        <v>345</v>
      </c>
      <c r="E20" s="342">
        <f>146-16</f>
        <v>130</v>
      </c>
      <c r="F20" s="342" t="s">
        <v>286</v>
      </c>
      <c r="G20" s="65" t="s">
        <v>346</v>
      </c>
      <c r="H20" s="37" t="s">
        <v>347</v>
      </c>
      <c r="I20" s="38" t="s">
        <v>315</v>
      </c>
    </row>
    <row r="21" spans="1:9" ht="12.75" customHeight="1">
      <c r="A21" s="38">
        <v>18</v>
      </c>
      <c r="B21" s="37" t="s">
        <v>348</v>
      </c>
      <c r="C21" s="37" t="s">
        <v>281</v>
      </c>
      <c r="D21" s="37" t="s">
        <v>341</v>
      </c>
      <c r="E21" s="342">
        <v>466</v>
      </c>
      <c r="F21" s="342" t="s">
        <v>286</v>
      </c>
      <c r="G21" s="65" t="s">
        <v>334</v>
      </c>
      <c r="H21" s="37" t="s">
        <v>349</v>
      </c>
      <c r="I21" s="38" t="s">
        <v>336</v>
      </c>
    </row>
    <row r="22" spans="1:9" ht="25.5" customHeight="1">
      <c r="A22" s="38">
        <v>19</v>
      </c>
      <c r="B22" s="37" t="s">
        <v>350</v>
      </c>
      <c r="C22" s="37" t="s">
        <v>281</v>
      </c>
      <c r="D22" s="37" t="s">
        <v>351</v>
      </c>
      <c r="E22" s="342">
        <f>27+7-8</f>
        <v>26</v>
      </c>
      <c r="F22" s="342"/>
      <c r="G22" s="65" t="s">
        <v>352</v>
      </c>
      <c r="H22" s="37" t="s">
        <v>353</v>
      </c>
      <c r="I22" s="38" t="s">
        <v>138</v>
      </c>
    </row>
    <row r="23" spans="1:9" ht="12.75" customHeight="1">
      <c r="A23" s="38">
        <v>20</v>
      </c>
      <c r="B23" s="37" t="s">
        <v>354</v>
      </c>
      <c r="C23" s="37" t="s">
        <v>281</v>
      </c>
      <c r="D23" s="37" t="s">
        <v>355</v>
      </c>
      <c r="E23" s="342">
        <v>28</v>
      </c>
      <c r="F23" s="342"/>
      <c r="G23" s="65" t="s">
        <v>296</v>
      </c>
      <c r="H23" s="19" t="s">
        <v>356</v>
      </c>
      <c r="I23" s="38" t="s">
        <v>322</v>
      </c>
    </row>
    <row r="24" spans="1:9" ht="38.25" customHeight="1">
      <c r="A24" s="38">
        <v>21</v>
      </c>
      <c r="B24" s="37" t="s">
        <v>357</v>
      </c>
      <c r="C24" s="37" t="s">
        <v>281</v>
      </c>
      <c r="D24" s="65" t="s">
        <v>358</v>
      </c>
      <c r="E24" s="342">
        <v>97</v>
      </c>
      <c r="F24" s="342" t="s">
        <v>286</v>
      </c>
      <c r="G24" s="65" t="s">
        <v>301</v>
      </c>
      <c r="H24" s="65" t="s">
        <v>359</v>
      </c>
      <c r="I24" s="38" t="s">
        <v>360</v>
      </c>
    </row>
    <row r="25" spans="1:9" ht="25.5" customHeight="1">
      <c r="A25" s="38">
        <v>22</v>
      </c>
      <c r="B25" s="37" t="s">
        <v>361</v>
      </c>
      <c r="C25" s="37" t="s">
        <v>281</v>
      </c>
      <c r="D25" s="65" t="s">
        <v>362</v>
      </c>
      <c r="E25" s="342">
        <v>25</v>
      </c>
      <c r="F25" s="342"/>
      <c r="G25" s="65" t="s">
        <v>301</v>
      </c>
      <c r="H25" s="37" t="s">
        <v>363</v>
      </c>
      <c r="I25" s="38" t="s">
        <v>364</v>
      </c>
    </row>
    <row r="26" spans="1:9" ht="12.75" customHeight="1">
      <c r="A26" s="38">
        <v>23</v>
      </c>
      <c r="B26" s="37" t="s">
        <v>365</v>
      </c>
      <c r="C26" s="37" t="s">
        <v>281</v>
      </c>
      <c r="D26" s="65" t="s">
        <v>366</v>
      </c>
      <c r="E26" s="342">
        <v>20</v>
      </c>
      <c r="F26" s="342"/>
      <c r="G26" s="65" t="s">
        <v>296</v>
      </c>
      <c r="H26" s="37" t="s">
        <v>367</v>
      </c>
      <c r="I26" s="38" t="s">
        <v>298</v>
      </c>
    </row>
    <row r="27" spans="1:9" ht="12.75" customHeight="1">
      <c r="A27" s="38">
        <v>24</v>
      </c>
      <c r="B27" s="37" t="s">
        <v>368</v>
      </c>
      <c r="C27" s="37" t="s">
        <v>281</v>
      </c>
      <c r="D27" s="65" t="s">
        <v>369</v>
      </c>
      <c r="E27" s="342">
        <v>144</v>
      </c>
      <c r="F27" s="342"/>
      <c r="G27" s="65" t="s">
        <v>301</v>
      </c>
      <c r="H27" s="37" t="s">
        <v>370</v>
      </c>
      <c r="I27" s="38" t="s">
        <v>315</v>
      </c>
    </row>
    <row r="28" spans="1:9" ht="25.5" customHeight="1">
      <c r="A28" s="38">
        <v>25</v>
      </c>
      <c r="B28" s="37" t="s">
        <v>371</v>
      </c>
      <c r="C28" s="37" t="s">
        <v>372</v>
      </c>
      <c r="D28" s="37" t="s">
        <v>373</v>
      </c>
      <c r="E28" s="342">
        <v>11</v>
      </c>
      <c r="F28" s="342"/>
      <c r="G28" s="65" t="s">
        <v>301</v>
      </c>
      <c r="H28" s="343" t="s">
        <v>374</v>
      </c>
      <c r="I28" s="38" t="s">
        <v>375</v>
      </c>
    </row>
    <row r="29" spans="1:9" ht="12.75" customHeight="1">
      <c r="A29" s="38">
        <v>26</v>
      </c>
      <c r="B29" s="37" t="s">
        <v>376</v>
      </c>
      <c r="C29" s="37" t="s">
        <v>372</v>
      </c>
      <c r="D29" s="37" t="s">
        <v>377</v>
      </c>
      <c r="E29" s="342">
        <v>9</v>
      </c>
      <c r="F29" s="342"/>
      <c r="G29" s="65" t="s">
        <v>334</v>
      </c>
      <c r="H29" s="343" t="s">
        <v>378</v>
      </c>
      <c r="I29" s="38" t="s">
        <v>322</v>
      </c>
    </row>
    <row r="30" spans="1:9" ht="25.5" customHeight="1">
      <c r="A30" s="38">
        <v>27</v>
      </c>
      <c r="B30" s="37" t="s">
        <v>379</v>
      </c>
      <c r="C30" s="37" t="s">
        <v>372</v>
      </c>
      <c r="D30" s="37" t="s">
        <v>380</v>
      </c>
      <c r="E30" s="342">
        <f>55+2</f>
        <v>57</v>
      </c>
      <c r="F30" s="342"/>
      <c r="G30" s="65" t="s">
        <v>381</v>
      </c>
      <c r="H30" s="119" t="s">
        <v>382</v>
      </c>
      <c r="I30" s="38" t="s">
        <v>322</v>
      </c>
    </row>
    <row r="31" spans="1:9" ht="12.75" customHeight="1">
      <c r="A31" s="38">
        <v>28</v>
      </c>
      <c r="B31" s="37" t="s">
        <v>383</v>
      </c>
      <c r="C31" s="37" t="s">
        <v>372</v>
      </c>
      <c r="D31" s="37" t="s">
        <v>384</v>
      </c>
      <c r="E31" s="342">
        <v>55</v>
      </c>
      <c r="F31" s="342"/>
      <c r="G31" s="65" t="s">
        <v>385</v>
      </c>
      <c r="H31" s="119" t="s">
        <v>386</v>
      </c>
      <c r="I31" s="38" t="s">
        <v>387</v>
      </c>
    </row>
    <row r="32" spans="1:9" ht="12.75" customHeight="1">
      <c r="A32" s="38">
        <v>29</v>
      </c>
      <c r="B32" s="37" t="s">
        <v>388</v>
      </c>
      <c r="C32" s="37" t="s">
        <v>372</v>
      </c>
      <c r="D32" s="37" t="s">
        <v>389</v>
      </c>
      <c r="E32" s="342">
        <v>18</v>
      </c>
      <c r="F32" s="342"/>
      <c r="G32" s="65" t="s">
        <v>301</v>
      </c>
      <c r="H32" s="119" t="s">
        <v>390</v>
      </c>
      <c r="I32" s="38" t="s">
        <v>322</v>
      </c>
    </row>
    <row r="33" spans="1:9" ht="12.75" customHeight="1">
      <c r="A33" s="38">
        <v>30</v>
      </c>
      <c r="B33" s="37" t="s">
        <v>391</v>
      </c>
      <c r="C33" s="37" t="s">
        <v>372</v>
      </c>
      <c r="D33" s="37" t="s">
        <v>355</v>
      </c>
      <c r="E33" s="342">
        <v>8</v>
      </c>
      <c r="F33" s="342"/>
      <c r="G33" s="65" t="s">
        <v>301</v>
      </c>
      <c r="H33" s="119" t="s">
        <v>392</v>
      </c>
      <c r="I33" s="38" t="s">
        <v>322</v>
      </c>
    </row>
    <row r="34" spans="1:9" ht="38.25" customHeight="1">
      <c r="A34" s="38">
        <v>31</v>
      </c>
      <c r="B34" s="37" t="s">
        <v>393</v>
      </c>
      <c r="C34" s="37" t="s">
        <v>372</v>
      </c>
      <c r="D34" s="37" t="s">
        <v>394</v>
      </c>
      <c r="E34" s="342">
        <v>223</v>
      </c>
      <c r="F34" s="342"/>
      <c r="G34" s="65" t="s">
        <v>301</v>
      </c>
      <c r="H34" s="343" t="s">
        <v>395</v>
      </c>
      <c r="I34" s="38" t="s">
        <v>387</v>
      </c>
    </row>
    <row r="35" spans="1:9" ht="12.75" customHeight="1">
      <c r="A35" s="38">
        <v>32</v>
      </c>
      <c r="B35" s="37" t="s">
        <v>396</v>
      </c>
      <c r="C35" s="37" t="s">
        <v>372</v>
      </c>
      <c r="D35" s="37" t="s">
        <v>355</v>
      </c>
      <c r="E35" s="342">
        <v>3</v>
      </c>
      <c r="F35" s="342"/>
      <c r="G35" s="65" t="s">
        <v>301</v>
      </c>
      <c r="H35" s="119" t="s">
        <v>397</v>
      </c>
      <c r="I35" s="38" t="s">
        <v>322</v>
      </c>
    </row>
    <row r="36" spans="1:9" ht="12.75" customHeight="1">
      <c r="A36" s="38">
        <v>33</v>
      </c>
      <c r="B36" s="37" t="s">
        <v>398</v>
      </c>
      <c r="C36" s="37" t="s">
        <v>372</v>
      </c>
      <c r="D36" s="37" t="s">
        <v>399</v>
      </c>
      <c r="E36" s="342">
        <v>6</v>
      </c>
      <c r="F36" s="342"/>
      <c r="G36" s="65" t="s">
        <v>334</v>
      </c>
      <c r="H36" s="119" t="s">
        <v>400</v>
      </c>
      <c r="I36" s="38" t="s">
        <v>322</v>
      </c>
    </row>
    <row r="37" spans="1:9" ht="12.75" customHeight="1">
      <c r="A37" s="38">
        <v>34</v>
      </c>
      <c r="B37" s="37" t="s">
        <v>401</v>
      </c>
      <c r="C37" s="37" t="s">
        <v>372</v>
      </c>
      <c r="D37" s="37" t="s">
        <v>399</v>
      </c>
      <c r="E37" s="342">
        <f>13+6</f>
        <v>19</v>
      </c>
      <c r="F37" s="342"/>
      <c r="G37" s="65" t="s">
        <v>402</v>
      </c>
      <c r="H37" s="343" t="s">
        <v>403</v>
      </c>
      <c r="I37" s="38" t="s">
        <v>322</v>
      </c>
    </row>
    <row r="38" spans="1:9" ht="25.5" customHeight="1">
      <c r="A38" s="38">
        <v>35</v>
      </c>
      <c r="B38" s="37" t="s">
        <v>404</v>
      </c>
      <c r="C38" s="37" t="s">
        <v>372</v>
      </c>
      <c r="D38" s="37" t="s">
        <v>405</v>
      </c>
      <c r="E38" s="342">
        <f>26+17</f>
        <v>43</v>
      </c>
      <c r="F38" s="342"/>
      <c r="G38" s="65" t="s">
        <v>406</v>
      </c>
      <c r="H38" s="343" t="s">
        <v>407</v>
      </c>
      <c r="I38" s="38" t="s">
        <v>322</v>
      </c>
    </row>
    <row r="39" spans="1:9" ht="25.5" customHeight="1">
      <c r="A39" s="38">
        <v>36</v>
      </c>
      <c r="B39" s="37" t="s">
        <v>408</v>
      </c>
      <c r="C39" s="37" t="s">
        <v>372</v>
      </c>
      <c r="D39" s="37" t="s">
        <v>409</v>
      </c>
      <c r="E39" s="342">
        <v>26</v>
      </c>
      <c r="F39" s="342"/>
      <c r="G39" s="65" t="s">
        <v>410</v>
      </c>
      <c r="H39" s="65" t="s">
        <v>411</v>
      </c>
      <c r="I39" s="38" t="s">
        <v>322</v>
      </c>
    </row>
    <row r="40" spans="1:9" ht="12.75" customHeight="1">
      <c r="A40" s="38">
        <v>37</v>
      </c>
      <c r="B40" s="37" t="s">
        <v>412</v>
      </c>
      <c r="C40" s="37" t="s">
        <v>372</v>
      </c>
      <c r="D40" s="37" t="s">
        <v>413</v>
      </c>
      <c r="E40" s="342">
        <v>29</v>
      </c>
      <c r="F40" s="342"/>
      <c r="G40" s="65" t="s">
        <v>296</v>
      </c>
      <c r="H40" s="119" t="s">
        <v>414</v>
      </c>
      <c r="I40" s="38" t="s">
        <v>322</v>
      </c>
    </row>
    <row r="41" spans="1:9" ht="38.25" customHeight="1">
      <c r="A41" s="38">
        <v>38</v>
      </c>
      <c r="B41" s="37" t="s">
        <v>415</v>
      </c>
      <c r="C41" s="37" t="s">
        <v>372</v>
      </c>
      <c r="D41" s="65" t="s">
        <v>416</v>
      </c>
      <c r="E41" s="342">
        <v>313</v>
      </c>
      <c r="F41" s="342"/>
      <c r="G41" s="65" t="s">
        <v>417</v>
      </c>
      <c r="H41" s="65" t="s">
        <v>418</v>
      </c>
      <c r="I41" s="38" t="s">
        <v>322</v>
      </c>
    </row>
    <row r="42" spans="1:9" ht="38.25" customHeight="1">
      <c r="A42" s="38">
        <v>39</v>
      </c>
      <c r="B42" s="37" t="s">
        <v>419</v>
      </c>
      <c r="C42" s="37" t="s">
        <v>372</v>
      </c>
      <c r="D42" s="65" t="s">
        <v>420</v>
      </c>
      <c r="E42" s="342">
        <v>122</v>
      </c>
      <c r="F42" s="342"/>
      <c r="G42" s="65" t="s">
        <v>301</v>
      </c>
      <c r="H42" s="19" t="s">
        <v>421</v>
      </c>
      <c r="I42" s="38" t="s">
        <v>322</v>
      </c>
    </row>
    <row r="43" spans="1:9" ht="12.75" customHeight="1">
      <c r="A43" s="38">
        <v>40</v>
      </c>
      <c r="B43" s="37" t="s">
        <v>422</v>
      </c>
      <c r="C43" s="37" t="s">
        <v>372</v>
      </c>
      <c r="D43" s="65" t="s">
        <v>399</v>
      </c>
      <c r="E43" s="342">
        <v>12</v>
      </c>
      <c r="F43" s="342"/>
      <c r="G43" s="65" t="s">
        <v>296</v>
      </c>
      <c r="H43" s="119" t="s">
        <v>423</v>
      </c>
      <c r="I43" s="38" t="s">
        <v>322</v>
      </c>
    </row>
    <row r="44" spans="1:9" ht="25.5" customHeight="1">
      <c r="A44" s="38">
        <v>41</v>
      </c>
      <c r="B44" s="37" t="s">
        <v>424</v>
      </c>
      <c r="C44" s="37" t="s">
        <v>372</v>
      </c>
      <c r="D44" s="65" t="s">
        <v>425</v>
      </c>
      <c r="E44" s="342">
        <f>29+4</f>
        <v>33</v>
      </c>
      <c r="F44" s="342"/>
      <c r="G44" s="65" t="s">
        <v>426</v>
      </c>
      <c r="H44" s="37" t="s">
        <v>427</v>
      </c>
      <c r="I44" s="38" t="s">
        <v>322</v>
      </c>
    </row>
    <row r="45" spans="1:9" ht="25.5" customHeight="1">
      <c r="A45" s="38">
        <v>42</v>
      </c>
      <c r="B45" s="37" t="s">
        <v>428</v>
      </c>
      <c r="C45" s="37" t="s">
        <v>372</v>
      </c>
      <c r="D45" s="65" t="s">
        <v>327</v>
      </c>
      <c r="E45" s="342">
        <v>6</v>
      </c>
      <c r="F45" s="342"/>
      <c r="G45" s="65" t="s">
        <v>429</v>
      </c>
      <c r="H45" s="119" t="s">
        <v>430</v>
      </c>
      <c r="I45" s="38" t="s">
        <v>322</v>
      </c>
    </row>
    <row r="46" spans="1:9" ht="25.5" customHeight="1">
      <c r="A46" s="38">
        <v>43</v>
      </c>
      <c r="B46" s="37" t="s">
        <v>431</v>
      </c>
      <c r="C46" s="37" t="s">
        <v>372</v>
      </c>
      <c r="D46" s="65" t="s">
        <v>432</v>
      </c>
      <c r="E46" s="342">
        <v>93</v>
      </c>
      <c r="F46" s="342"/>
      <c r="G46" s="65" t="s">
        <v>433</v>
      </c>
      <c r="H46" s="119" t="s">
        <v>434</v>
      </c>
      <c r="I46" s="38" t="s">
        <v>322</v>
      </c>
    </row>
    <row r="47" spans="1:9" ht="12.75" customHeight="1">
      <c r="A47" s="38">
        <v>44</v>
      </c>
      <c r="B47" s="37" t="s">
        <v>435</v>
      </c>
      <c r="C47" s="37" t="s">
        <v>372</v>
      </c>
      <c r="D47" s="37" t="s">
        <v>436</v>
      </c>
      <c r="E47" s="342">
        <v>57</v>
      </c>
      <c r="F47" s="342"/>
      <c r="G47" s="65" t="s">
        <v>296</v>
      </c>
      <c r="H47" s="119" t="s">
        <v>437</v>
      </c>
      <c r="I47" s="38" t="s">
        <v>322</v>
      </c>
    </row>
    <row r="48" spans="1:9" ht="12.75" customHeight="1">
      <c r="A48" s="38">
        <v>45</v>
      </c>
      <c r="B48" s="37" t="s">
        <v>438</v>
      </c>
      <c r="C48" s="37" t="s">
        <v>372</v>
      </c>
      <c r="D48" s="37" t="s">
        <v>373</v>
      </c>
      <c r="E48" s="342">
        <v>37</v>
      </c>
      <c r="F48" s="342"/>
      <c r="G48" s="65" t="s">
        <v>439</v>
      </c>
      <c r="H48" s="119" t="s">
        <v>440</v>
      </c>
      <c r="I48" s="38" t="s">
        <v>322</v>
      </c>
    </row>
    <row r="49" spans="1:9" ht="12.75" customHeight="1">
      <c r="A49" s="38">
        <v>46</v>
      </c>
      <c r="B49" s="37" t="s">
        <v>441</v>
      </c>
      <c r="C49" s="37" t="s">
        <v>372</v>
      </c>
      <c r="D49" s="37" t="s">
        <v>442</v>
      </c>
      <c r="E49" s="342">
        <v>8</v>
      </c>
      <c r="F49" s="342"/>
      <c r="G49" s="37" t="s">
        <v>301</v>
      </c>
      <c r="H49" s="119" t="s">
        <v>443</v>
      </c>
      <c r="I49" s="38" t="s">
        <v>322</v>
      </c>
    </row>
    <row r="50" spans="1:9" ht="15" customHeight="1">
      <c r="A50" s="38"/>
      <c r="B50" s="37"/>
      <c r="C50" s="37"/>
      <c r="D50" s="37"/>
      <c r="E50" s="342">
        <f>SUM(E4:E49)</f>
        <v>3090</v>
      </c>
      <c r="F50" s="342"/>
      <c r="G50" s="37"/>
      <c r="H50" s="37"/>
      <c r="I50" s="38"/>
    </row>
    <row r="52" spans="1:9" ht="15" customHeight="1">
      <c r="A52" s="39"/>
      <c r="B52" s="345" t="s">
        <v>444</v>
      </c>
      <c r="C52" s="64" t="s">
        <v>445</v>
      </c>
    </row>
    <row r="53" spans="1:9" ht="15" customHeight="1">
      <c r="A53" s="39"/>
      <c r="B53" s="119" t="s">
        <v>446</v>
      </c>
      <c r="C53" s="109">
        <v>5.4557947100134374</v>
      </c>
    </row>
    <row r="54" spans="1:9" ht="15" customHeight="1">
      <c r="A54" s="39"/>
      <c r="B54" s="119" t="s">
        <v>447</v>
      </c>
      <c r="C54" s="109">
        <v>1.129682760101395</v>
      </c>
    </row>
    <row r="55" spans="1:9" ht="15" customHeight="1">
      <c r="A55" s="39"/>
      <c r="B55" s="119" t="s">
        <v>448</v>
      </c>
      <c r="C55" s="109">
        <v>9.2411210228138465</v>
      </c>
    </row>
    <row r="56" spans="1:9" ht="15" customHeight="1">
      <c r="A56" s="39"/>
      <c r="B56" s="119" t="s">
        <v>449</v>
      </c>
      <c r="C56" s="109">
        <v>10.590183605058661</v>
      </c>
    </row>
    <row r="57" spans="1:9" ht="15" customHeight="1">
      <c r="A57" s="39"/>
      <c r="B57" s="119" t="s">
        <v>450</v>
      </c>
      <c r="C57" s="109">
        <v>6.1482882689457439</v>
      </c>
    </row>
    <row r="58" spans="1:9" ht="15" customHeight="1">
      <c r="A58" s="39"/>
      <c r="B58" s="119" t="s">
        <v>451</v>
      </c>
      <c r="C58" s="109">
        <v>7.8081496821021439</v>
      </c>
    </row>
    <row r="59" spans="1:9" ht="15" customHeight="1">
      <c r="A59" s="39"/>
      <c r="B59" s="119" t="s">
        <v>452</v>
      </c>
      <c r="C59" s="109">
        <v>10.069686465446789</v>
      </c>
    </row>
    <row r="60" spans="1:9" ht="15" customHeight="1">
      <c r="A60" s="39"/>
    </row>
  </sheetData>
  <pageMargins left="0.59055118110236227" right="0.15748031496062989" top="0.86614173228346458" bottom="0.19685039370078741" header="0.15748031496062989" footer="0.15748031496062989"/>
  <pageSetup paperSize="9" scale="75" orientation="portrait"/>
  <headerFooter alignWithMargins="0">
    <oddFooter>&amp;L_x000D_&amp;1#&amp;"Arial"&amp;7&amp;KDAD4CE Public&amp;C&amp;"Verdana"&amp;10 &amp;KC1C1C1_x000D_# Restricted</oddFooter>
  </headerFooter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>
    <tabColor rgb="FF92D050"/>
  </sheetPr>
  <dimension ref="A1:U793"/>
  <sheetViews>
    <sheetView topLeftCell="A34" zoomScale="80" zoomScaleNormal="80" workbookViewId="0">
      <selection activeCell="A21" sqref="A21"/>
    </sheetView>
  </sheetViews>
  <sheetFormatPr defaultColWidth="8.85546875" defaultRowHeight="14.25"/>
  <cols>
    <col min="1" max="1" width="4.140625" style="22" customWidth="1"/>
    <col min="2" max="3" width="8.5703125" style="22" customWidth="1"/>
    <col min="4" max="4" width="14.5703125" style="43" customWidth="1"/>
    <col min="5" max="5" width="20.5703125" style="22" customWidth="1"/>
    <col min="6" max="6" width="8.5703125" style="43" customWidth="1"/>
    <col min="7" max="7" width="32.5703125" style="22" customWidth="1"/>
    <col min="8" max="8" width="18.5703125" style="43" customWidth="1"/>
    <col min="9" max="9" width="62.5703125" style="22" customWidth="1"/>
    <col min="10" max="12" width="9.5703125" style="43" customWidth="1"/>
    <col min="13" max="13" width="10.5703125" style="43" customWidth="1"/>
    <col min="14" max="14" width="8.5703125" style="43" customWidth="1"/>
    <col min="15" max="15" width="10.5703125" style="43" customWidth="1"/>
    <col min="16" max="16" width="5.5703125" style="43" customWidth="1"/>
    <col min="17" max="17" width="1.5703125" style="22" customWidth="1"/>
    <col min="18" max="18" width="10.5703125" style="68" customWidth="1"/>
    <col min="19" max="19" width="1.5703125" style="22" customWidth="1"/>
    <col min="20" max="21" width="10.5703125" style="22" customWidth="1"/>
    <col min="22" max="22" width="8.85546875" style="122" customWidth="1"/>
    <col min="23" max="16384" width="8.85546875" style="122"/>
  </cols>
  <sheetData>
    <row r="1" spans="1:21" s="2" customFormat="1" ht="14.1" customHeight="1">
      <c r="A1" s="1" t="s">
        <v>453</v>
      </c>
      <c r="E1" s="20"/>
      <c r="R1" s="10"/>
    </row>
    <row r="2" spans="1:21" s="2" customFormat="1" ht="14.1" customHeight="1">
      <c r="A2" s="4" t="s">
        <v>454</v>
      </c>
      <c r="E2" s="20"/>
      <c r="H2" s="4"/>
      <c r="K2" s="4"/>
      <c r="L2" s="4"/>
      <c r="R2" s="336"/>
    </row>
    <row r="3" spans="1:21" s="6" customFormat="1" ht="14.1" customHeight="1">
      <c r="A3" s="16"/>
      <c r="B3" s="16"/>
      <c r="C3" s="16"/>
      <c r="D3" s="23"/>
      <c r="E3" s="16"/>
      <c r="F3" s="23"/>
      <c r="G3" s="15"/>
      <c r="H3" s="25"/>
      <c r="I3" s="15"/>
      <c r="J3" s="25"/>
      <c r="K3" s="25"/>
      <c r="L3" s="25"/>
      <c r="M3" s="25"/>
      <c r="N3" s="25"/>
      <c r="O3" s="25"/>
      <c r="P3" s="25"/>
      <c r="Q3" s="2"/>
      <c r="R3" s="355" t="s">
        <v>2</v>
      </c>
      <c r="S3" s="2"/>
      <c r="T3" s="25"/>
      <c r="U3" s="25"/>
    </row>
    <row r="4" spans="1:21" s="5" customFormat="1" ht="33" customHeight="1">
      <c r="A4" s="52" t="s">
        <v>3</v>
      </c>
      <c r="B4" s="52" t="s">
        <v>4</v>
      </c>
      <c r="C4" s="52" t="s">
        <v>5</v>
      </c>
      <c r="D4" s="21" t="s">
        <v>6</v>
      </c>
      <c r="E4" s="21" t="s">
        <v>7</v>
      </c>
      <c r="F4" s="21" t="s">
        <v>8</v>
      </c>
      <c r="G4" s="21" t="s">
        <v>9</v>
      </c>
      <c r="H4" s="21" t="s">
        <v>10</v>
      </c>
      <c r="I4" s="21" t="s">
        <v>11</v>
      </c>
      <c r="J4" s="21" t="s">
        <v>12</v>
      </c>
      <c r="K4" s="21" t="s">
        <v>13</v>
      </c>
      <c r="L4" s="21" t="s">
        <v>455</v>
      </c>
      <c r="M4" s="21" t="s">
        <v>15</v>
      </c>
      <c r="N4" s="21" t="s">
        <v>16</v>
      </c>
      <c r="O4" s="21" t="s">
        <v>17</v>
      </c>
      <c r="P4" s="21" t="s">
        <v>18</v>
      </c>
      <c r="Q4" s="3"/>
      <c r="R4" s="41" t="s">
        <v>19</v>
      </c>
      <c r="S4" s="3"/>
      <c r="T4" s="42" t="s">
        <v>20</v>
      </c>
      <c r="U4" s="42" t="s">
        <v>21</v>
      </c>
    </row>
    <row r="5" spans="1:21" ht="14.1" customHeight="1">
      <c r="A5" s="29">
        <v>1</v>
      </c>
      <c r="B5" s="19" t="s">
        <v>456</v>
      </c>
      <c r="C5" s="19" t="s">
        <v>280</v>
      </c>
      <c r="D5" s="29" t="s">
        <v>45</v>
      </c>
      <c r="E5" s="19" t="s">
        <v>46</v>
      </c>
      <c r="F5" s="29" t="s">
        <v>457</v>
      </c>
      <c r="G5" s="19" t="s">
        <v>458</v>
      </c>
      <c r="H5" s="29" t="s">
        <v>459</v>
      </c>
      <c r="I5" s="315" t="s">
        <v>460</v>
      </c>
      <c r="J5" s="29" t="s">
        <v>30</v>
      </c>
      <c r="K5" s="29" t="s">
        <v>461</v>
      </c>
      <c r="L5" s="29" t="s">
        <v>284</v>
      </c>
      <c r="M5" s="29">
        <v>83014020</v>
      </c>
      <c r="N5" s="29">
        <v>300</v>
      </c>
      <c r="O5" s="29">
        <v>60</v>
      </c>
      <c r="P5" s="29"/>
      <c r="R5" s="9">
        <v>2160.0774174400949</v>
      </c>
      <c r="T5" s="19"/>
      <c r="U5" s="7" t="s">
        <v>34</v>
      </c>
    </row>
    <row r="6" spans="1:21" ht="14.1" customHeight="1">
      <c r="A6" s="29">
        <v>2</v>
      </c>
      <c r="B6" s="19" t="s">
        <v>456</v>
      </c>
      <c r="C6" s="19" t="s">
        <v>280</v>
      </c>
      <c r="D6" s="29" t="s">
        <v>45</v>
      </c>
      <c r="E6" s="19" t="s">
        <v>46</v>
      </c>
      <c r="F6" s="29" t="s">
        <v>457</v>
      </c>
      <c r="G6" s="19" t="s">
        <v>462</v>
      </c>
      <c r="H6" s="29" t="s">
        <v>459</v>
      </c>
      <c r="I6" s="315" t="s">
        <v>463</v>
      </c>
      <c r="J6" s="29" t="s">
        <v>30</v>
      </c>
      <c r="K6" s="29" t="s">
        <v>461</v>
      </c>
      <c r="L6" s="29" t="s">
        <v>284</v>
      </c>
      <c r="M6" s="29">
        <v>83014020</v>
      </c>
      <c r="N6" s="29">
        <v>300</v>
      </c>
      <c r="O6" s="29">
        <v>60</v>
      </c>
      <c r="P6" s="29"/>
      <c r="R6" s="9">
        <v>1517.887137432125</v>
      </c>
      <c r="T6" s="19"/>
      <c r="U6" s="7" t="s">
        <v>34</v>
      </c>
    </row>
    <row r="7" spans="1:21" ht="14.1" customHeight="1">
      <c r="A7" s="29">
        <v>3</v>
      </c>
      <c r="B7" s="19" t="s">
        <v>456</v>
      </c>
      <c r="C7" s="19" t="s">
        <v>280</v>
      </c>
      <c r="D7" s="29" t="s">
        <v>45</v>
      </c>
      <c r="E7" s="19" t="s">
        <v>46</v>
      </c>
      <c r="F7" s="29" t="s">
        <v>457</v>
      </c>
      <c r="G7" s="19" t="s">
        <v>464</v>
      </c>
      <c r="H7" s="29" t="s">
        <v>465</v>
      </c>
      <c r="I7" s="315" t="s">
        <v>466</v>
      </c>
      <c r="J7" s="29" t="s">
        <v>30</v>
      </c>
      <c r="K7" s="29" t="s">
        <v>467</v>
      </c>
      <c r="L7" s="29" t="s">
        <v>284</v>
      </c>
      <c r="M7" s="29">
        <v>83014020</v>
      </c>
      <c r="N7" s="29">
        <v>300</v>
      </c>
      <c r="O7" s="29">
        <v>60</v>
      </c>
      <c r="P7" s="29"/>
      <c r="R7" s="9">
        <v>1517.887137432125</v>
      </c>
      <c r="T7" s="19"/>
      <c r="U7" s="7" t="s">
        <v>34</v>
      </c>
    </row>
    <row r="8" spans="1:21" ht="14.1" customHeight="1">
      <c r="A8" s="29">
        <v>4</v>
      </c>
      <c r="B8" s="19" t="s">
        <v>456</v>
      </c>
      <c r="C8" s="19" t="s">
        <v>280</v>
      </c>
      <c r="D8" s="29" t="s">
        <v>45</v>
      </c>
      <c r="E8" s="19" t="s">
        <v>46</v>
      </c>
      <c r="F8" s="29" t="s">
        <v>457</v>
      </c>
      <c r="G8" s="19" t="s">
        <v>468</v>
      </c>
      <c r="H8" s="29" t="s">
        <v>459</v>
      </c>
      <c r="I8" s="315" t="s">
        <v>469</v>
      </c>
      <c r="J8" s="29" t="s">
        <v>30</v>
      </c>
      <c r="K8" s="29" t="s">
        <v>461</v>
      </c>
      <c r="L8" s="29" t="s">
        <v>284</v>
      </c>
      <c r="M8" s="29">
        <v>83014020</v>
      </c>
      <c r="N8" s="29">
        <v>300</v>
      </c>
      <c r="O8" s="29">
        <v>60</v>
      </c>
      <c r="P8" s="29"/>
      <c r="R8" s="9">
        <v>1527.703097032482</v>
      </c>
      <c r="T8" s="19"/>
      <c r="U8" s="7" t="s">
        <v>34</v>
      </c>
    </row>
    <row r="9" spans="1:21" ht="14.1" customHeight="1">
      <c r="A9" s="29">
        <v>5</v>
      </c>
      <c r="B9" s="19" t="s">
        <v>456</v>
      </c>
      <c r="C9" s="19" t="s">
        <v>280</v>
      </c>
      <c r="D9" s="29" t="s">
        <v>45</v>
      </c>
      <c r="E9" s="19" t="s">
        <v>46</v>
      </c>
      <c r="F9" s="29" t="s">
        <v>457</v>
      </c>
      <c r="G9" s="19" t="s">
        <v>470</v>
      </c>
      <c r="H9" s="29" t="s">
        <v>465</v>
      </c>
      <c r="I9" s="315" t="s">
        <v>471</v>
      </c>
      <c r="J9" s="29" t="s">
        <v>30</v>
      </c>
      <c r="K9" s="29" t="s">
        <v>467</v>
      </c>
      <c r="L9" s="29" t="s">
        <v>284</v>
      </c>
      <c r="M9" s="29">
        <v>83014020</v>
      </c>
      <c r="N9" s="29">
        <v>300</v>
      </c>
      <c r="O9" s="29">
        <v>60</v>
      </c>
      <c r="P9" s="29"/>
      <c r="R9" s="9">
        <v>1527.703097032482</v>
      </c>
      <c r="T9" s="19"/>
      <c r="U9" s="7" t="s">
        <v>34</v>
      </c>
    </row>
    <row r="10" spans="1:21" ht="14.1" customHeight="1">
      <c r="A10" s="29">
        <v>6</v>
      </c>
      <c r="B10" s="19" t="s">
        <v>456</v>
      </c>
      <c r="C10" s="19" t="s">
        <v>280</v>
      </c>
      <c r="D10" s="29" t="s">
        <v>45</v>
      </c>
      <c r="E10" s="19" t="s">
        <v>46</v>
      </c>
      <c r="F10" s="29" t="s">
        <v>457</v>
      </c>
      <c r="G10" s="19" t="s">
        <v>472</v>
      </c>
      <c r="H10" s="29" t="s">
        <v>459</v>
      </c>
      <c r="I10" s="315" t="s">
        <v>473</v>
      </c>
      <c r="J10" s="29" t="s">
        <v>30</v>
      </c>
      <c r="K10" s="29" t="s">
        <v>461</v>
      </c>
      <c r="L10" s="29" t="s">
        <v>284</v>
      </c>
      <c r="M10" s="29">
        <v>83014020</v>
      </c>
      <c r="N10" s="29">
        <v>300</v>
      </c>
      <c r="O10" s="29">
        <v>60</v>
      </c>
      <c r="P10" s="29"/>
      <c r="R10" s="9">
        <v>2101.1816598379528</v>
      </c>
      <c r="T10" s="19"/>
      <c r="U10" s="7" t="s">
        <v>34</v>
      </c>
    </row>
    <row r="11" spans="1:21" ht="14.1" customHeight="1">
      <c r="A11" s="29">
        <v>7</v>
      </c>
      <c r="B11" s="19" t="s">
        <v>456</v>
      </c>
      <c r="C11" s="19" t="s">
        <v>280</v>
      </c>
      <c r="D11" s="29" t="s">
        <v>45</v>
      </c>
      <c r="E11" s="19" t="s">
        <v>46</v>
      </c>
      <c r="F11" s="29" t="s">
        <v>457</v>
      </c>
      <c r="G11" s="19" t="s">
        <v>474</v>
      </c>
      <c r="H11" s="29" t="s">
        <v>465</v>
      </c>
      <c r="I11" s="315" t="s">
        <v>473</v>
      </c>
      <c r="J11" s="29" t="s">
        <v>30</v>
      </c>
      <c r="K11" s="29" t="s">
        <v>467</v>
      </c>
      <c r="L11" s="29" t="s">
        <v>284</v>
      </c>
      <c r="M11" s="29">
        <v>83014020</v>
      </c>
      <c r="N11" s="29">
        <v>300</v>
      </c>
      <c r="O11" s="29">
        <v>60</v>
      </c>
      <c r="P11" s="29"/>
      <c r="R11" s="9">
        <v>2101.1816598379528</v>
      </c>
      <c r="T11" s="19"/>
      <c r="U11" s="7" t="s">
        <v>34</v>
      </c>
    </row>
    <row r="12" spans="1:21" ht="14.1" customHeight="1">
      <c r="A12" s="29">
        <v>8</v>
      </c>
      <c r="B12" s="19" t="s">
        <v>456</v>
      </c>
      <c r="C12" s="19" t="s">
        <v>280</v>
      </c>
      <c r="D12" s="29" t="s">
        <v>45</v>
      </c>
      <c r="E12" s="19" t="s">
        <v>46</v>
      </c>
      <c r="F12" s="29" t="s">
        <v>457</v>
      </c>
      <c r="G12" s="19" t="s">
        <v>475</v>
      </c>
      <c r="H12" s="29" t="s">
        <v>465</v>
      </c>
      <c r="I12" s="315" t="s">
        <v>476</v>
      </c>
      <c r="J12" s="29" t="s">
        <v>30</v>
      </c>
      <c r="K12" s="29" t="s">
        <v>467</v>
      </c>
      <c r="L12" s="29" t="s">
        <v>284</v>
      </c>
      <c r="M12" s="29">
        <v>83014020</v>
      </c>
      <c r="N12" s="29">
        <v>300</v>
      </c>
      <c r="O12" s="29">
        <v>60</v>
      </c>
      <c r="P12" s="29"/>
      <c r="R12" s="9">
        <v>1585.655012365359</v>
      </c>
      <c r="T12" s="19"/>
      <c r="U12" s="7" t="s">
        <v>34</v>
      </c>
    </row>
    <row r="13" spans="1:21" ht="14.1" customHeight="1">
      <c r="A13" s="29">
        <v>9</v>
      </c>
      <c r="B13" s="19" t="s">
        <v>456</v>
      </c>
      <c r="C13" s="19" t="s">
        <v>280</v>
      </c>
      <c r="D13" s="29" t="s">
        <v>45</v>
      </c>
      <c r="E13" s="19" t="s">
        <v>46</v>
      </c>
      <c r="F13" s="29" t="s">
        <v>457</v>
      </c>
      <c r="G13" s="19" t="s">
        <v>477</v>
      </c>
      <c r="H13" s="29" t="s">
        <v>459</v>
      </c>
      <c r="I13" s="315" t="s">
        <v>478</v>
      </c>
      <c r="J13" s="29" t="s">
        <v>30</v>
      </c>
      <c r="K13" s="29" t="s">
        <v>461</v>
      </c>
      <c r="L13" s="29" t="s">
        <v>284</v>
      </c>
      <c r="M13" s="29">
        <v>83014020</v>
      </c>
      <c r="N13" s="29">
        <v>300</v>
      </c>
      <c r="O13" s="29">
        <v>60</v>
      </c>
      <c r="P13" s="29"/>
      <c r="R13" s="9">
        <v>1579.614421842062</v>
      </c>
      <c r="T13" s="19"/>
      <c r="U13" s="7" t="s">
        <v>34</v>
      </c>
    </row>
    <row r="14" spans="1:21" ht="14.1" customHeight="1">
      <c r="A14" s="29">
        <v>10</v>
      </c>
      <c r="B14" s="19" t="s">
        <v>456</v>
      </c>
      <c r="C14" s="19" t="s">
        <v>280</v>
      </c>
      <c r="D14" s="29" t="s">
        <v>45</v>
      </c>
      <c r="E14" s="19" t="s">
        <v>46</v>
      </c>
      <c r="F14" s="29" t="s">
        <v>457</v>
      </c>
      <c r="G14" s="19" t="s">
        <v>479</v>
      </c>
      <c r="H14" s="29" t="s">
        <v>42</v>
      </c>
      <c r="I14" s="315" t="s">
        <v>480</v>
      </c>
      <c r="J14" s="29" t="s">
        <v>30</v>
      </c>
      <c r="K14" s="29" t="s">
        <v>481</v>
      </c>
      <c r="L14" s="29" t="s">
        <v>322</v>
      </c>
      <c r="M14" s="29">
        <v>85235910</v>
      </c>
      <c r="N14" s="29">
        <v>2000</v>
      </c>
      <c r="O14" s="29">
        <v>30</v>
      </c>
      <c r="P14" s="29"/>
      <c r="R14" s="9">
        <v>2.4539899000892458</v>
      </c>
      <c r="T14" s="7"/>
      <c r="U14" s="7" t="s">
        <v>34</v>
      </c>
    </row>
    <row r="15" spans="1:21" ht="14.1" customHeight="1">
      <c r="A15" s="29">
        <v>11</v>
      </c>
      <c r="B15" s="19" t="s">
        <v>456</v>
      </c>
      <c r="C15" s="19" t="s">
        <v>280</v>
      </c>
      <c r="D15" s="29" t="s">
        <v>45</v>
      </c>
      <c r="E15" s="19" t="s">
        <v>46</v>
      </c>
      <c r="F15" s="29" t="s">
        <v>457</v>
      </c>
      <c r="G15" s="19" t="s">
        <v>482</v>
      </c>
      <c r="H15" s="29" t="s">
        <v>42</v>
      </c>
      <c r="I15" s="315" t="s">
        <v>483</v>
      </c>
      <c r="J15" s="29" t="s">
        <v>30</v>
      </c>
      <c r="K15" s="29" t="s">
        <v>484</v>
      </c>
      <c r="L15" s="29" t="s">
        <v>322</v>
      </c>
      <c r="M15" s="29">
        <v>85235910</v>
      </c>
      <c r="N15" s="29">
        <v>5000</v>
      </c>
      <c r="O15" s="29">
        <v>35</v>
      </c>
      <c r="P15" s="29"/>
      <c r="R15" s="9">
        <v>3.9641375309133959</v>
      </c>
      <c r="T15" s="19"/>
      <c r="U15" s="7" t="s">
        <v>34</v>
      </c>
    </row>
    <row r="16" spans="1:21" ht="14.1" customHeight="1">
      <c r="A16" s="29">
        <v>12</v>
      </c>
      <c r="B16" s="19" t="s">
        <v>456</v>
      </c>
      <c r="C16" s="19" t="s">
        <v>280</v>
      </c>
      <c r="D16" s="29" t="s">
        <v>45</v>
      </c>
      <c r="E16" s="19" t="s">
        <v>46</v>
      </c>
      <c r="F16" s="29" t="s">
        <v>457</v>
      </c>
      <c r="G16" s="19" t="s">
        <v>485</v>
      </c>
      <c r="H16" s="29" t="s">
        <v>42</v>
      </c>
      <c r="I16" s="315" t="s">
        <v>486</v>
      </c>
      <c r="J16" s="29" t="s">
        <v>30</v>
      </c>
      <c r="K16" s="29" t="s">
        <v>481</v>
      </c>
      <c r="L16" s="29" t="s">
        <v>322</v>
      </c>
      <c r="M16" s="29">
        <v>83016000</v>
      </c>
      <c r="N16" s="29">
        <v>2000</v>
      </c>
      <c r="O16" s="29">
        <v>35</v>
      </c>
      <c r="P16" s="29"/>
      <c r="R16" s="9">
        <v>84.379498872299436</v>
      </c>
      <c r="T16" s="19"/>
      <c r="U16" s="7" t="s">
        <v>34</v>
      </c>
    </row>
    <row r="17" spans="1:21" ht="14.1" customHeight="1">
      <c r="A17" s="29">
        <v>13</v>
      </c>
      <c r="B17" s="19" t="s">
        <v>456</v>
      </c>
      <c r="C17" s="19" t="s">
        <v>280</v>
      </c>
      <c r="D17" s="29" t="s">
        <v>45</v>
      </c>
      <c r="E17" s="19" t="s">
        <v>487</v>
      </c>
      <c r="F17" s="29" t="s">
        <v>457</v>
      </c>
      <c r="G17" s="19" t="s">
        <v>488</v>
      </c>
      <c r="H17" s="29" t="s">
        <v>42</v>
      </c>
      <c r="I17" s="19" t="s">
        <v>489</v>
      </c>
      <c r="J17" s="29" t="s">
        <v>30</v>
      </c>
      <c r="K17" s="29" t="s">
        <v>481</v>
      </c>
      <c r="L17" s="29" t="s">
        <v>490</v>
      </c>
      <c r="M17" s="29" t="s">
        <v>491</v>
      </c>
      <c r="N17" s="29">
        <v>1000</v>
      </c>
      <c r="O17" s="29">
        <v>75</v>
      </c>
      <c r="P17" s="29"/>
      <c r="R17" s="9">
        <v>264.65337230193239</v>
      </c>
      <c r="T17" s="19"/>
      <c r="U17" s="7" t="s">
        <v>34</v>
      </c>
    </row>
    <row r="18" spans="1:21" ht="14.1" customHeight="1">
      <c r="A18" s="29">
        <v>14</v>
      </c>
      <c r="B18" s="19" t="s">
        <v>456</v>
      </c>
      <c r="C18" s="19" t="s">
        <v>280</v>
      </c>
      <c r="D18" s="29" t="s">
        <v>45</v>
      </c>
      <c r="E18" s="19" t="s">
        <v>46</v>
      </c>
      <c r="F18" s="29" t="s">
        <v>457</v>
      </c>
      <c r="G18" s="19" t="s">
        <v>492</v>
      </c>
      <c r="H18" s="29" t="s">
        <v>42</v>
      </c>
      <c r="I18" s="315" t="s">
        <v>493</v>
      </c>
      <c r="J18" s="29" t="s">
        <v>30</v>
      </c>
      <c r="K18" s="29" t="s">
        <v>484</v>
      </c>
      <c r="L18" s="29" t="s">
        <v>284</v>
      </c>
      <c r="M18" s="29">
        <v>83016000</v>
      </c>
      <c r="N18" s="29">
        <v>1000</v>
      </c>
      <c r="O18" s="29">
        <v>120</v>
      </c>
      <c r="P18" s="29"/>
      <c r="R18" s="9">
        <v>243.5113054703944</v>
      </c>
      <c r="T18" s="19"/>
      <c r="U18" s="7" t="s">
        <v>34</v>
      </c>
    </row>
    <row r="19" spans="1:21" ht="14.1" customHeight="1">
      <c r="A19" s="29">
        <v>15</v>
      </c>
      <c r="B19" s="19" t="s">
        <v>456</v>
      </c>
      <c r="C19" s="19" t="s">
        <v>280</v>
      </c>
      <c r="D19" s="29" t="s">
        <v>45</v>
      </c>
      <c r="E19" s="19" t="s">
        <v>487</v>
      </c>
      <c r="F19" s="29" t="s">
        <v>457</v>
      </c>
      <c r="G19" s="19" t="s">
        <v>494</v>
      </c>
      <c r="H19" s="29" t="s">
        <v>42</v>
      </c>
      <c r="I19" s="19" t="s">
        <v>495</v>
      </c>
      <c r="J19" s="29" t="s">
        <v>30</v>
      </c>
      <c r="K19" s="29" t="s">
        <v>481</v>
      </c>
      <c r="L19" s="29" t="s">
        <v>490</v>
      </c>
      <c r="M19" s="29" t="s">
        <v>491</v>
      </c>
      <c r="N19" s="29">
        <v>1000</v>
      </c>
      <c r="O19" s="29">
        <v>95</v>
      </c>
      <c r="P19" s="29"/>
      <c r="R19" s="9">
        <v>243.5113054703944</v>
      </c>
      <c r="T19" s="19"/>
      <c r="U19" s="7" t="s">
        <v>34</v>
      </c>
    </row>
    <row r="20" spans="1:21" ht="14.1" customHeight="1">
      <c r="A20" s="29">
        <v>16</v>
      </c>
      <c r="B20" s="19" t="s">
        <v>456</v>
      </c>
      <c r="C20" s="19" t="s">
        <v>280</v>
      </c>
      <c r="D20" s="29" t="s">
        <v>45</v>
      </c>
      <c r="E20" s="19" t="s">
        <v>487</v>
      </c>
      <c r="F20" s="29" t="s">
        <v>457</v>
      </c>
      <c r="G20" s="19" t="s">
        <v>496</v>
      </c>
      <c r="H20" s="29" t="s">
        <v>42</v>
      </c>
      <c r="I20" s="19" t="s">
        <v>497</v>
      </c>
      <c r="J20" s="29" t="s">
        <v>30</v>
      </c>
      <c r="K20" s="29" t="s">
        <v>481</v>
      </c>
      <c r="L20" s="29" t="s">
        <v>284</v>
      </c>
      <c r="M20" s="29">
        <v>83016000</v>
      </c>
      <c r="N20" s="29">
        <v>1000</v>
      </c>
      <c r="O20" s="29">
        <v>60</v>
      </c>
      <c r="P20" s="29"/>
      <c r="R20" s="9">
        <v>215.7623427540006</v>
      </c>
      <c r="T20" s="19"/>
      <c r="U20" s="7" t="s">
        <v>34</v>
      </c>
    </row>
    <row r="21" spans="1:21" ht="14.1" customHeight="1">
      <c r="A21" s="29">
        <v>17</v>
      </c>
      <c r="B21" s="19" t="s">
        <v>456</v>
      </c>
      <c r="C21" s="19" t="s">
        <v>280</v>
      </c>
      <c r="D21" s="29" t="s">
        <v>45</v>
      </c>
      <c r="E21" s="19" t="s">
        <v>487</v>
      </c>
      <c r="F21" s="29" t="s">
        <v>457</v>
      </c>
      <c r="G21" s="19" t="s">
        <v>498</v>
      </c>
      <c r="H21" s="29" t="s">
        <v>42</v>
      </c>
      <c r="I21" s="315" t="s">
        <v>499</v>
      </c>
      <c r="J21" s="29" t="s">
        <v>30</v>
      </c>
      <c r="K21" s="29" t="s">
        <v>481</v>
      </c>
      <c r="L21" s="29" t="s">
        <v>284</v>
      </c>
      <c r="M21" s="29">
        <v>83016000</v>
      </c>
      <c r="N21" s="29">
        <v>1000</v>
      </c>
      <c r="O21" s="29">
        <v>60</v>
      </c>
      <c r="P21" s="29"/>
      <c r="R21" s="9">
        <v>210.47682604611609</v>
      </c>
      <c r="T21" s="19"/>
      <c r="U21" s="7" t="s">
        <v>34</v>
      </c>
    </row>
    <row r="22" spans="1:21" ht="14.1" customHeight="1">
      <c r="A22" s="29">
        <v>18</v>
      </c>
      <c r="B22" s="19" t="s">
        <v>456</v>
      </c>
      <c r="C22" s="19" t="s">
        <v>280</v>
      </c>
      <c r="D22" s="29" t="s">
        <v>45</v>
      </c>
      <c r="E22" s="19" t="s">
        <v>487</v>
      </c>
      <c r="F22" s="29" t="s">
        <v>457</v>
      </c>
      <c r="G22" s="19" t="s">
        <v>500</v>
      </c>
      <c r="H22" s="29" t="s">
        <v>42</v>
      </c>
      <c r="I22" s="19" t="s">
        <v>501</v>
      </c>
      <c r="J22" s="29" t="s">
        <v>30</v>
      </c>
      <c r="K22" s="29" t="s">
        <v>481</v>
      </c>
      <c r="L22" s="29" t="s">
        <v>284</v>
      </c>
      <c r="M22" s="29">
        <v>83016000</v>
      </c>
      <c r="N22" s="29">
        <v>1000</v>
      </c>
      <c r="O22" s="29">
        <v>60</v>
      </c>
      <c r="P22" s="29"/>
      <c r="R22" s="9">
        <v>210.47682604611609</v>
      </c>
      <c r="T22" s="19"/>
      <c r="U22" s="7" t="s">
        <v>34</v>
      </c>
    </row>
    <row r="23" spans="1:21" ht="14.1" customHeight="1">
      <c r="A23" s="29">
        <v>19</v>
      </c>
      <c r="B23" s="19" t="s">
        <v>456</v>
      </c>
      <c r="C23" s="19" t="s">
        <v>280</v>
      </c>
      <c r="D23" s="29" t="s">
        <v>45</v>
      </c>
      <c r="E23" s="19" t="s">
        <v>46</v>
      </c>
      <c r="F23" s="29" t="s">
        <v>457</v>
      </c>
      <c r="G23" s="19" t="s">
        <v>502</v>
      </c>
      <c r="H23" s="29" t="s">
        <v>42</v>
      </c>
      <c r="I23" s="315" t="s">
        <v>503</v>
      </c>
      <c r="J23" s="29" t="s">
        <v>30</v>
      </c>
      <c r="K23" s="29" t="s">
        <v>504</v>
      </c>
      <c r="L23" s="29" t="s">
        <v>284</v>
      </c>
      <c r="M23" s="29">
        <v>83016000</v>
      </c>
      <c r="N23" s="29">
        <v>1000</v>
      </c>
      <c r="O23" s="29">
        <v>60</v>
      </c>
      <c r="P23" s="29"/>
      <c r="R23" s="9">
        <v>271.63780509449418</v>
      </c>
      <c r="T23" s="19"/>
      <c r="U23" s="7" t="s">
        <v>34</v>
      </c>
    </row>
    <row r="24" spans="1:21" ht="14.1" customHeight="1">
      <c r="A24" s="29">
        <v>20</v>
      </c>
      <c r="B24" s="19" t="s">
        <v>456</v>
      </c>
      <c r="C24" s="19" t="s">
        <v>280</v>
      </c>
      <c r="D24" s="29" t="s">
        <v>45</v>
      </c>
      <c r="E24" s="19" t="s">
        <v>487</v>
      </c>
      <c r="F24" s="29" t="s">
        <v>457</v>
      </c>
      <c r="G24" s="19" t="s">
        <v>505</v>
      </c>
      <c r="H24" s="29" t="s">
        <v>42</v>
      </c>
      <c r="I24" s="19" t="s">
        <v>506</v>
      </c>
      <c r="J24" s="29" t="s">
        <v>30</v>
      </c>
      <c r="K24" s="29" t="s">
        <v>481</v>
      </c>
      <c r="L24" s="29" t="s">
        <v>490</v>
      </c>
      <c r="M24" s="29" t="s">
        <v>491</v>
      </c>
      <c r="N24" s="29">
        <v>1000</v>
      </c>
      <c r="O24" s="29">
        <v>75</v>
      </c>
      <c r="P24" s="29"/>
      <c r="R24" s="9">
        <v>272.58164736375932</v>
      </c>
      <c r="T24" s="19"/>
      <c r="U24" s="7" t="s">
        <v>34</v>
      </c>
    </row>
    <row r="25" spans="1:21" ht="14.1" customHeight="1">
      <c r="A25" s="29">
        <v>21</v>
      </c>
      <c r="B25" s="19" t="s">
        <v>456</v>
      </c>
      <c r="C25" s="19" t="s">
        <v>280</v>
      </c>
      <c r="D25" s="29" t="s">
        <v>45</v>
      </c>
      <c r="E25" s="19" t="s">
        <v>487</v>
      </c>
      <c r="F25" s="29" t="s">
        <v>457</v>
      </c>
      <c r="G25" s="19" t="s">
        <v>507</v>
      </c>
      <c r="H25" s="29" t="s">
        <v>42</v>
      </c>
      <c r="I25" s="19" t="s">
        <v>508</v>
      </c>
      <c r="J25" s="29" t="s">
        <v>30</v>
      </c>
      <c r="K25" s="29" t="s">
        <v>481</v>
      </c>
      <c r="L25" s="29" t="s">
        <v>284</v>
      </c>
      <c r="M25" s="29">
        <v>83016000</v>
      </c>
      <c r="N25" s="29">
        <v>1000</v>
      </c>
      <c r="O25" s="29">
        <v>60</v>
      </c>
      <c r="P25" s="29"/>
      <c r="R25" s="9">
        <v>223.50184936197431</v>
      </c>
      <c r="T25" s="19"/>
      <c r="U25" s="7" t="s">
        <v>34</v>
      </c>
    </row>
    <row r="26" spans="1:21" ht="14.1" customHeight="1">
      <c r="A26" s="29">
        <v>22</v>
      </c>
      <c r="B26" s="19" t="s">
        <v>456</v>
      </c>
      <c r="C26" s="19" t="s">
        <v>280</v>
      </c>
      <c r="D26" s="29" t="s">
        <v>45</v>
      </c>
      <c r="E26" s="19" t="s">
        <v>487</v>
      </c>
      <c r="F26" s="29" t="s">
        <v>457</v>
      </c>
      <c r="G26" s="19" t="s">
        <v>509</v>
      </c>
      <c r="H26" s="29" t="s">
        <v>42</v>
      </c>
      <c r="I26" s="19" t="s">
        <v>510</v>
      </c>
      <c r="J26" s="29" t="s">
        <v>30</v>
      </c>
      <c r="K26" s="29" t="s">
        <v>481</v>
      </c>
      <c r="L26" s="29" t="s">
        <v>284</v>
      </c>
      <c r="M26" s="29">
        <v>83016000</v>
      </c>
      <c r="N26" s="29">
        <v>1000</v>
      </c>
      <c r="O26" s="29">
        <v>60</v>
      </c>
      <c r="P26" s="29"/>
      <c r="R26" s="9">
        <v>204.0586986151134</v>
      </c>
      <c r="T26" s="19"/>
      <c r="U26" s="7" t="s">
        <v>34</v>
      </c>
    </row>
    <row r="27" spans="1:21" ht="14.1" customHeight="1">
      <c r="A27" s="29">
        <v>23</v>
      </c>
      <c r="B27" s="19" t="s">
        <v>456</v>
      </c>
      <c r="C27" s="19" t="s">
        <v>280</v>
      </c>
      <c r="D27" s="29" t="s">
        <v>45</v>
      </c>
      <c r="E27" s="19" t="s">
        <v>487</v>
      </c>
      <c r="F27" s="29" t="s">
        <v>457</v>
      </c>
      <c r="G27" s="19" t="s">
        <v>511</v>
      </c>
      <c r="H27" s="29" t="s">
        <v>42</v>
      </c>
      <c r="I27" s="19" t="s">
        <v>512</v>
      </c>
      <c r="J27" s="29" t="s">
        <v>30</v>
      </c>
      <c r="K27" s="29" t="s">
        <v>481</v>
      </c>
      <c r="L27" s="29" t="s">
        <v>284</v>
      </c>
      <c r="M27" s="29">
        <v>83016000</v>
      </c>
      <c r="N27" s="29">
        <v>1000</v>
      </c>
      <c r="O27" s="29">
        <v>60</v>
      </c>
      <c r="P27" s="29"/>
      <c r="R27" s="9">
        <v>219.1601749233549</v>
      </c>
      <c r="T27" s="19"/>
      <c r="U27" s="7" t="s">
        <v>34</v>
      </c>
    </row>
    <row r="28" spans="1:21" ht="14.1" customHeight="1">
      <c r="A28" s="29">
        <v>24</v>
      </c>
      <c r="B28" s="19" t="s">
        <v>456</v>
      </c>
      <c r="C28" s="19" t="s">
        <v>280</v>
      </c>
      <c r="D28" s="29" t="s">
        <v>45</v>
      </c>
      <c r="E28" s="19" t="s">
        <v>487</v>
      </c>
      <c r="F28" s="29" t="s">
        <v>457</v>
      </c>
      <c r="G28" s="19" t="s">
        <v>513</v>
      </c>
      <c r="H28" s="29" t="s">
        <v>42</v>
      </c>
      <c r="I28" s="19" t="s">
        <v>514</v>
      </c>
      <c r="J28" s="29" t="s">
        <v>30</v>
      </c>
      <c r="K28" s="29" t="s">
        <v>481</v>
      </c>
      <c r="L28" s="29" t="s">
        <v>284</v>
      </c>
      <c r="M28" s="29">
        <v>83016000</v>
      </c>
      <c r="N28" s="29">
        <v>1000</v>
      </c>
      <c r="O28" s="29">
        <v>60</v>
      </c>
      <c r="P28" s="29"/>
      <c r="R28" s="9">
        <v>219.1601749233549</v>
      </c>
      <c r="T28" s="19"/>
      <c r="U28" s="7" t="s">
        <v>34</v>
      </c>
    </row>
    <row r="29" spans="1:21" ht="14.1" customHeight="1">
      <c r="A29" s="29">
        <v>25</v>
      </c>
      <c r="B29" s="19" t="s">
        <v>456</v>
      </c>
      <c r="C29" s="19" t="s">
        <v>280</v>
      </c>
      <c r="D29" s="29" t="s">
        <v>45</v>
      </c>
      <c r="E29" s="19" t="s">
        <v>46</v>
      </c>
      <c r="F29" s="29" t="s">
        <v>457</v>
      </c>
      <c r="G29" s="19" t="s">
        <v>515</v>
      </c>
      <c r="H29" s="29" t="s">
        <v>459</v>
      </c>
      <c r="I29" s="315" t="s">
        <v>516</v>
      </c>
      <c r="J29" s="29" t="s">
        <v>30</v>
      </c>
      <c r="K29" s="29" t="s">
        <v>461</v>
      </c>
      <c r="L29" s="29" t="s">
        <v>284</v>
      </c>
      <c r="M29" s="29">
        <v>83014020</v>
      </c>
      <c r="N29" s="29">
        <v>300</v>
      </c>
      <c r="O29" s="29">
        <v>60</v>
      </c>
      <c r="P29" s="29"/>
      <c r="R29" s="9">
        <v>1385.1829143734519</v>
      </c>
      <c r="T29" s="19"/>
      <c r="U29" s="7" t="s">
        <v>34</v>
      </c>
    </row>
    <row r="30" spans="1:21" ht="14.1" customHeight="1">
      <c r="A30" s="29">
        <v>26</v>
      </c>
      <c r="B30" s="19" t="s">
        <v>456</v>
      </c>
      <c r="C30" s="19" t="s">
        <v>280</v>
      </c>
      <c r="D30" s="29" t="s">
        <v>45</v>
      </c>
      <c r="E30" s="19" t="s">
        <v>46</v>
      </c>
      <c r="F30" s="29" t="s">
        <v>457</v>
      </c>
      <c r="G30" s="19" t="s">
        <v>517</v>
      </c>
      <c r="H30" s="29" t="s">
        <v>518</v>
      </c>
      <c r="I30" s="315" t="s">
        <v>519</v>
      </c>
      <c r="J30" s="29" t="s">
        <v>30</v>
      </c>
      <c r="K30" s="29" t="s">
        <v>520</v>
      </c>
      <c r="L30" s="29" t="s">
        <v>284</v>
      </c>
      <c r="M30" s="29">
        <v>83014020</v>
      </c>
      <c r="N30" s="29">
        <v>300</v>
      </c>
      <c r="O30" s="29">
        <v>60</v>
      </c>
      <c r="P30" s="29"/>
      <c r="R30" s="9">
        <v>1117.5092468098719</v>
      </c>
      <c r="T30" s="19"/>
      <c r="U30" s="7" t="s">
        <v>34</v>
      </c>
    </row>
    <row r="31" spans="1:21" ht="14.1" customHeight="1">
      <c r="A31" s="29">
        <v>27</v>
      </c>
      <c r="B31" s="19" t="s">
        <v>456</v>
      </c>
      <c r="C31" s="19" t="s">
        <v>280</v>
      </c>
      <c r="D31" s="29" t="s">
        <v>45</v>
      </c>
      <c r="E31" s="19" t="s">
        <v>46</v>
      </c>
      <c r="F31" s="29" t="s">
        <v>457</v>
      </c>
      <c r="G31" s="19" t="s">
        <v>521</v>
      </c>
      <c r="H31" s="29" t="s">
        <v>518</v>
      </c>
      <c r="I31" s="315" t="s">
        <v>522</v>
      </c>
      <c r="J31" s="29" t="s">
        <v>30</v>
      </c>
      <c r="K31" s="29" t="s">
        <v>520</v>
      </c>
      <c r="L31" s="29" t="s">
        <v>284</v>
      </c>
      <c r="M31" s="29">
        <v>83014020</v>
      </c>
      <c r="N31" s="29">
        <v>300</v>
      </c>
      <c r="O31" s="29">
        <v>60</v>
      </c>
      <c r="P31" s="29"/>
      <c r="R31" s="9">
        <v>1348.7506027798199</v>
      </c>
      <c r="T31" s="19"/>
      <c r="U31" s="7" t="s">
        <v>34</v>
      </c>
    </row>
    <row r="32" spans="1:21" ht="14.1" customHeight="1">
      <c r="A32" s="29">
        <v>28</v>
      </c>
      <c r="B32" s="19" t="s">
        <v>456</v>
      </c>
      <c r="C32" s="19" t="s">
        <v>280</v>
      </c>
      <c r="D32" s="29" t="s">
        <v>45</v>
      </c>
      <c r="E32" s="19" t="s">
        <v>46</v>
      </c>
      <c r="F32" s="29" t="s">
        <v>457</v>
      </c>
      <c r="G32" s="19" t="s">
        <v>523</v>
      </c>
      <c r="H32" s="29" t="s">
        <v>524</v>
      </c>
      <c r="I32" s="315" t="s">
        <v>525</v>
      </c>
      <c r="J32" s="29" t="s">
        <v>30</v>
      </c>
      <c r="K32" s="29" t="s">
        <v>526</v>
      </c>
      <c r="L32" s="29" t="s">
        <v>284</v>
      </c>
      <c r="M32" s="29">
        <v>83014020</v>
      </c>
      <c r="N32" s="29">
        <v>300</v>
      </c>
      <c r="O32" s="29">
        <v>60</v>
      </c>
      <c r="P32" s="29"/>
      <c r="R32" s="9">
        <v>1270.222925976964</v>
      </c>
      <c r="T32" s="19"/>
      <c r="U32" s="7" t="s">
        <v>34</v>
      </c>
    </row>
    <row r="33" spans="1:21" ht="14.1" customHeight="1">
      <c r="A33" s="29">
        <v>29</v>
      </c>
      <c r="B33" s="19" t="s">
        <v>456</v>
      </c>
      <c r="C33" s="19" t="s">
        <v>280</v>
      </c>
      <c r="D33" s="29" t="s">
        <v>45</v>
      </c>
      <c r="E33" s="19" t="s">
        <v>46</v>
      </c>
      <c r="F33" s="29" t="s">
        <v>457</v>
      </c>
      <c r="G33" s="19" t="s">
        <v>527</v>
      </c>
      <c r="H33" s="29" t="s">
        <v>524</v>
      </c>
      <c r="I33" s="315" t="s">
        <v>528</v>
      </c>
      <c r="J33" s="29" t="s">
        <v>30</v>
      </c>
      <c r="K33" s="29" t="s">
        <v>526</v>
      </c>
      <c r="L33" s="29" t="s">
        <v>284</v>
      </c>
      <c r="M33" s="29">
        <v>83014020</v>
      </c>
      <c r="N33" s="29">
        <v>300</v>
      </c>
      <c r="O33" s="29">
        <v>60</v>
      </c>
      <c r="P33" s="29"/>
      <c r="R33" s="9">
        <v>1605.286931566073</v>
      </c>
      <c r="T33" s="19"/>
      <c r="U33" s="7" t="s">
        <v>34</v>
      </c>
    </row>
    <row r="34" spans="1:21" ht="14.1" customHeight="1">
      <c r="A34" s="29">
        <v>30</v>
      </c>
      <c r="B34" s="19" t="s">
        <v>456</v>
      </c>
      <c r="C34" s="19" t="s">
        <v>280</v>
      </c>
      <c r="D34" s="29" t="s">
        <v>45</v>
      </c>
      <c r="E34" s="19" t="s">
        <v>46</v>
      </c>
      <c r="F34" s="29" t="s">
        <v>457</v>
      </c>
      <c r="G34" s="19" t="s">
        <v>529</v>
      </c>
      <c r="H34" s="29" t="s">
        <v>459</v>
      </c>
      <c r="I34" s="315" t="s">
        <v>530</v>
      </c>
      <c r="J34" s="29" t="s">
        <v>30</v>
      </c>
      <c r="K34" s="29" t="s">
        <v>461</v>
      </c>
      <c r="L34" s="29" t="s">
        <v>284</v>
      </c>
      <c r="M34" s="29">
        <v>83014020</v>
      </c>
      <c r="N34" s="29">
        <v>300</v>
      </c>
      <c r="O34" s="29">
        <v>60</v>
      </c>
      <c r="P34" s="29"/>
      <c r="R34" s="9">
        <v>1602.64417321213</v>
      </c>
      <c r="T34" s="19"/>
      <c r="U34" s="7" t="s">
        <v>34</v>
      </c>
    </row>
    <row r="35" spans="1:21" ht="14.1" customHeight="1">
      <c r="A35" s="29">
        <v>31</v>
      </c>
      <c r="B35" s="19" t="s">
        <v>456</v>
      </c>
      <c r="C35" s="19" t="s">
        <v>280</v>
      </c>
      <c r="D35" s="29" t="s">
        <v>45</v>
      </c>
      <c r="E35" s="19" t="s">
        <v>46</v>
      </c>
      <c r="F35" s="29" t="s">
        <v>457</v>
      </c>
      <c r="G35" s="19" t="s">
        <v>531</v>
      </c>
      <c r="H35" s="29" t="s">
        <v>465</v>
      </c>
      <c r="I35" s="315" t="s">
        <v>532</v>
      </c>
      <c r="J35" s="29" t="s">
        <v>30</v>
      </c>
      <c r="K35" s="29" t="s">
        <v>467</v>
      </c>
      <c r="L35" s="29" t="s">
        <v>284</v>
      </c>
      <c r="M35" s="29">
        <v>83014020</v>
      </c>
      <c r="N35" s="29">
        <v>300</v>
      </c>
      <c r="O35" s="29">
        <v>60</v>
      </c>
      <c r="P35" s="29"/>
      <c r="R35" s="9">
        <v>1610.572448273957</v>
      </c>
      <c r="T35" s="19"/>
      <c r="U35" s="7" t="s">
        <v>34</v>
      </c>
    </row>
    <row r="36" spans="1:21" ht="14.1" customHeight="1">
      <c r="A36" s="29">
        <v>32</v>
      </c>
      <c r="B36" s="19" t="s">
        <v>456</v>
      </c>
      <c r="C36" s="19" t="s">
        <v>280</v>
      </c>
      <c r="D36" s="29" t="s">
        <v>45</v>
      </c>
      <c r="E36" s="19" t="s">
        <v>46</v>
      </c>
      <c r="F36" s="29" t="s">
        <v>457</v>
      </c>
      <c r="G36" s="19" t="s">
        <v>533</v>
      </c>
      <c r="H36" s="29" t="s">
        <v>534</v>
      </c>
      <c r="I36" s="315" t="s">
        <v>535</v>
      </c>
      <c r="J36" s="29" t="s">
        <v>30</v>
      </c>
      <c r="K36" s="29" t="s">
        <v>536</v>
      </c>
      <c r="L36" s="29" t="s">
        <v>284</v>
      </c>
      <c r="M36" s="29">
        <v>83014020</v>
      </c>
      <c r="N36" s="29">
        <v>300</v>
      </c>
      <c r="O36" s="29">
        <v>60</v>
      </c>
      <c r="P36" s="29"/>
      <c r="R36" s="9">
        <v>1895.8015820458691</v>
      </c>
      <c r="T36" s="19"/>
      <c r="U36" s="7" t="s">
        <v>34</v>
      </c>
    </row>
    <row r="37" spans="1:21" ht="14.1" customHeight="1">
      <c r="A37" s="29">
        <v>33</v>
      </c>
      <c r="B37" s="19" t="s">
        <v>456</v>
      </c>
      <c r="C37" s="19" t="s">
        <v>280</v>
      </c>
      <c r="D37" s="29" t="s">
        <v>45</v>
      </c>
      <c r="E37" s="19" t="s">
        <v>46</v>
      </c>
      <c r="F37" s="29" t="s">
        <v>457</v>
      </c>
      <c r="G37" s="19" t="s">
        <v>537</v>
      </c>
      <c r="H37" s="29" t="s">
        <v>465</v>
      </c>
      <c r="I37" s="315" t="s">
        <v>538</v>
      </c>
      <c r="J37" s="29" t="s">
        <v>30</v>
      </c>
      <c r="K37" s="75" t="s">
        <v>467</v>
      </c>
      <c r="L37" s="75" t="s">
        <v>284</v>
      </c>
      <c r="M37" s="237">
        <v>83014020</v>
      </c>
      <c r="N37" s="237">
        <v>300</v>
      </c>
      <c r="O37" s="237">
        <v>60</v>
      </c>
      <c r="P37" s="237"/>
      <c r="R37" s="9">
        <v>1607.9296899200151</v>
      </c>
      <c r="T37" s="19"/>
      <c r="U37" s="7" t="s">
        <v>34</v>
      </c>
    </row>
    <row r="38" spans="1:21" ht="14.1" customHeight="1">
      <c r="A38" s="29">
        <v>34</v>
      </c>
      <c r="B38" s="19" t="s">
        <v>456</v>
      </c>
      <c r="C38" s="19" t="s">
        <v>280</v>
      </c>
      <c r="D38" s="29" t="s">
        <v>45</v>
      </c>
      <c r="E38" s="19" t="s">
        <v>46</v>
      </c>
      <c r="F38" s="29" t="s">
        <v>457</v>
      </c>
      <c r="G38" s="19" t="s">
        <v>539</v>
      </c>
      <c r="H38" s="29" t="s">
        <v>534</v>
      </c>
      <c r="I38" s="315" t="s">
        <v>540</v>
      </c>
      <c r="J38" s="29" t="s">
        <v>30</v>
      </c>
      <c r="K38" s="29" t="s">
        <v>536</v>
      </c>
      <c r="L38" s="29" t="s">
        <v>284</v>
      </c>
      <c r="M38" s="29">
        <v>83014020</v>
      </c>
      <c r="N38" s="29">
        <v>300</v>
      </c>
      <c r="O38" s="29">
        <v>60</v>
      </c>
      <c r="P38" s="29"/>
      <c r="R38" s="9">
        <v>1893.158823691927</v>
      </c>
      <c r="T38" s="19"/>
      <c r="U38" s="7" t="s">
        <v>34</v>
      </c>
    </row>
    <row r="39" spans="1:21" ht="14.1" customHeight="1">
      <c r="A39" s="29">
        <v>35</v>
      </c>
      <c r="B39" s="19" t="s">
        <v>456</v>
      </c>
      <c r="C39" s="19" t="s">
        <v>280</v>
      </c>
      <c r="D39" s="29" t="s">
        <v>45</v>
      </c>
      <c r="E39" s="19" t="s">
        <v>46</v>
      </c>
      <c r="F39" s="29" t="s">
        <v>457</v>
      </c>
      <c r="G39" s="19" t="s">
        <v>541</v>
      </c>
      <c r="H39" s="29" t="s">
        <v>459</v>
      </c>
      <c r="I39" s="315" t="s">
        <v>542</v>
      </c>
      <c r="J39" s="29" t="s">
        <v>30</v>
      </c>
      <c r="K39" s="29" t="s">
        <v>461</v>
      </c>
      <c r="L39" s="29" t="s">
        <v>284</v>
      </c>
      <c r="M39" s="29">
        <v>83014020</v>
      </c>
      <c r="N39" s="29">
        <v>300</v>
      </c>
      <c r="O39" s="29">
        <v>60</v>
      </c>
      <c r="P39" s="29"/>
      <c r="R39" s="9">
        <v>1795.565533049916</v>
      </c>
      <c r="T39" s="19"/>
      <c r="U39" s="7" t="s">
        <v>34</v>
      </c>
    </row>
    <row r="40" spans="1:21" ht="14.1" customHeight="1">
      <c r="A40" s="29">
        <v>36</v>
      </c>
      <c r="B40" s="19" t="s">
        <v>456</v>
      </c>
      <c r="C40" s="19" t="s">
        <v>280</v>
      </c>
      <c r="D40" s="29" t="s">
        <v>45</v>
      </c>
      <c r="E40" s="19" t="s">
        <v>46</v>
      </c>
      <c r="F40" s="29" t="s">
        <v>457</v>
      </c>
      <c r="G40" s="19" t="s">
        <v>543</v>
      </c>
      <c r="H40" s="29" t="s">
        <v>459</v>
      </c>
      <c r="I40" s="315" t="s">
        <v>544</v>
      </c>
      <c r="J40" s="29" t="s">
        <v>30</v>
      </c>
      <c r="K40" s="29" t="s">
        <v>461</v>
      </c>
      <c r="L40" s="29" t="s">
        <v>284</v>
      </c>
      <c r="M40" s="29">
        <v>83014020</v>
      </c>
      <c r="N40" s="29">
        <v>300</v>
      </c>
      <c r="O40" s="29">
        <v>60</v>
      </c>
      <c r="P40" s="29"/>
      <c r="R40" s="9">
        <v>1468.618570976487</v>
      </c>
      <c r="T40" s="19"/>
      <c r="U40" s="7" t="s">
        <v>34</v>
      </c>
    </row>
    <row r="41" spans="1:21" ht="14.1" customHeight="1">
      <c r="A41" s="29">
        <v>37</v>
      </c>
      <c r="B41" s="19" t="s">
        <v>456</v>
      </c>
      <c r="C41" s="19" t="s">
        <v>280</v>
      </c>
      <c r="D41" s="29" t="s">
        <v>45</v>
      </c>
      <c r="E41" s="19" t="s">
        <v>46</v>
      </c>
      <c r="F41" s="29" t="s">
        <v>457</v>
      </c>
      <c r="G41" s="19" t="s">
        <v>545</v>
      </c>
      <c r="H41" s="29" t="s">
        <v>459</v>
      </c>
      <c r="I41" s="315" t="s">
        <v>546</v>
      </c>
      <c r="J41" s="29" t="s">
        <v>30</v>
      </c>
      <c r="K41" s="29" t="s">
        <v>461</v>
      </c>
      <c r="L41" s="29" t="s">
        <v>284</v>
      </c>
      <c r="M41" s="29">
        <v>83014020</v>
      </c>
      <c r="N41" s="29">
        <v>300</v>
      </c>
      <c r="O41" s="29">
        <v>60</v>
      </c>
      <c r="P41" s="29"/>
      <c r="R41" s="9">
        <v>914.01685355631741</v>
      </c>
      <c r="T41" s="19"/>
      <c r="U41" s="7" t="s">
        <v>34</v>
      </c>
    </row>
    <row r="42" spans="1:21" ht="14.1" customHeight="1">
      <c r="A42" s="29">
        <v>38</v>
      </c>
      <c r="B42" s="19" t="s">
        <v>456</v>
      </c>
      <c r="C42" s="19" t="s">
        <v>280</v>
      </c>
      <c r="D42" s="29" t="s">
        <v>45</v>
      </c>
      <c r="E42" s="19" t="s">
        <v>46</v>
      </c>
      <c r="F42" s="29" t="s">
        <v>457</v>
      </c>
      <c r="G42" s="19" t="s">
        <v>547</v>
      </c>
      <c r="H42" s="29" t="s">
        <v>459</v>
      </c>
      <c r="I42" s="315" t="s">
        <v>548</v>
      </c>
      <c r="J42" s="29" t="s">
        <v>30</v>
      </c>
      <c r="K42" s="29" t="s">
        <v>461</v>
      </c>
      <c r="L42" s="29" t="s">
        <v>284</v>
      </c>
      <c r="M42" s="29">
        <v>83014020</v>
      </c>
      <c r="N42" s="29">
        <v>300</v>
      </c>
      <c r="O42" s="29">
        <v>60</v>
      </c>
      <c r="P42" s="29"/>
      <c r="R42" s="9">
        <v>794.33765381350338</v>
      </c>
      <c r="T42" s="19"/>
      <c r="U42" s="7" t="s">
        <v>34</v>
      </c>
    </row>
    <row r="43" spans="1:21" ht="14.1" customHeight="1">
      <c r="A43" s="29">
        <v>39</v>
      </c>
      <c r="B43" s="19" t="s">
        <v>456</v>
      </c>
      <c r="C43" s="19" t="s">
        <v>280</v>
      </c>
      <c r="D43" s="29" t="s">
        <v>45</v>
      </c>
      <c r="E43" s="19" t="s">
        <v>46</v>
      </c>
      <c r="F43" s="29" t="s">
        <v>457</v>
      </c>
      <c r="G43" s="19" t="s">
        <v>549</v>
      </c>
      <c r="H43" s="29" t="s">
        <v>459</v>
      </c>
      <c r="I43" s="315" t="s">
        <v>550</v>
      </c>
      <c r="J43" s="29" t="s">
        <v>30</v>
      </c>
      <c r="K43" s="29" t="s">
        <v>461</v>
      </c>
      <c r="L43" s="29" t="s">
        <v>284</v>
      </c>
      <c r="M43" s="29">
        <v>83014020</v>
      </c>
      <c r="N43" s="29">
        <v>300</v>
      </c>
      <c r="O43" s="29">
        <v>60</v>
      </c>
      <c r="P43" s="29"/>
      <c r="R43" s="9">
        <v>1129.212890948759</v>
      </c>
      <c r="T43" s="19"/>
      <c r="U43" s="7" t="s">
        <v>34</v>
      </c>
    </row>
    <row r="44" spans="1:21" ht="14.1" customHeight="1">
      <c r="A44" s="29">
        <v>40</v>
      </c>
      <c r="B44" s="19" t="s">
        <v>456</v>
      </c>
      <c r="C44" s="19" t="s">
        <v>280</v>
      </c>
      <c r="D44" s="29" t="s">
        <v>45</v>
      </c>
      <c r="E44" s="19" t="s">
        <v>46</v>
      </c>
      <c r="F44" s="29" t="s">
        <v>457</v>
      </c>
      <c r="G44" s="19" t="s">
        <v>551</v>
      </c>
      <c r="H44" s="29" t="s">
        <v>459</v>
      </c>
      <c r="I44" s="315" t="s">
        <v>552</v>
      </c>
      <c r="J44" s="29" t="s">
        <v>30</v>
      </c>
      <c r="K44" s="29" t="s">
        <v>461</v>
      </c>
      <c r="L44" s="29" t="s">
        <v>284</v>
      </c>
      <c r="M44" s="29">
        <v>83014020</v>
      </c>
      <c r="N44" s="29">
        <v>300</v>
      </c>
      <c r="O44" s="29">
        <v>60</v>
      </c>
      <c r="P44" s="29"/>
      <c r="R44" s="9">
        <v>1829.166317835753</v>
      </c>
      <c r="T44" s="19"/>
      <c r="U44" s="7" t="s">
        <v>34</v>
      </c>
    </row>
    <row r="45" spans="1:21" ht="14.1" customHeight="1">
      <c r="A45" s="29">
        <v>41</v>
      </c>
      <c r="B45" s="19" t="s">
        <v>456</v>
      </c>
      <c r="C45" s="19" t="s">
        <v>280</v>
      </c>
      <c r="D45" s="29" t="s">
        <v>45</v>
      </c>
      <c r="E45" s="19" t="s">
        <v>46</v>
      </c>
      <c r="F45" s="29" t="s">
        <v>457</v>
      </c>
      <c r="G45" s="19" t="s">
        <v>553</v>
      </c>
      <c r="H45" s="29" t="s">
        <v>459</v>
      </c>
      <c r="I45" s="315" t="s">
        <v>554</v>
      </c>
      <c r="J45" s="29" t="s">
        <v>30</v>
      </c>
      <c r="K45" s="29" t="s">
        <v>461</v>
      </c>
      <c r="L45" s="29" t="s">
        <v>284</v>
      </c>
      <c r="M45" s="29">
        <v>83014020</v>
      </c>
      <c r="N45" s="29">
        <v>300</v>
      </c>
      <c r="O45" s="29">
        <v>60</v>
      </c>
      <c r="P45" s="29"/>
      <c r="R45" s="9">
        <v>1571.8749152340879</v>
      </c>
      <c r="T45" s="19"/>
      <c r="U45" s="7" t="s">
        <v>34</v>
      </c>
    </row>
    <row r="46" spans="1:21" ht="14.1" customHeight="1">
      <c r="A46" s="29">
        <v>42</v>
      </c>
      <c r="B46" s="19" t="s">
        <v>456</v>
      </c>
      <c r="C46" s="19" t="s">
        <v>280</v>
      </c>
      <c r="D46" s="29" t="s">
        <v>45</v>
      </c>
      <c r="E46" s="19" t="s">
        <v>46</v>
      </c>
      <c r="F46" s="29" t="s">
        <v>457</v>
      </c>
      <c r="G46" s="19" t="s">
        <v>555</v>
      </c>
      <c r="H46" s="29" t="s">
        <v>459</v>
      </c>
      <c r="I46" s="315" t="s">
        <v>556</v>
      </c>
      <c r="J46" s="29" t="s">
        <v>30</v>
      </c>
      <c r="K46" s="29" t="s">
        <v>461</v>
      </c>
      <c r="L46" s="29" t="s">
        <v>284</v>
      </c>
      <c r="M46" s="29">
        <v>83014020</v>
      </c>
      <c r="N46" s="29">
        <v>300</v>
      </c>
      <c r="O46" s="29">
        <v>60</v>
      </c>
      <c r="P46" s="29"/>
      <c r="R46" s="9">
        <v>1631.336978197789</v>
      </c>
      <c r="T46" s="19"/>
      <c r="U46" s="7" t="s">
        <v>34</v>
      </c>
    </row>
    <row r="47" spans="1:21" ht="14.1" customHeight="1">
      <c r="A47" s="29">
        <v>43</v>
      </c>
      <c r="B47" s="19" t="s">
        <v>456</v>
      </c>
      <c r="C47" s="19" t="s">
        <v>280</v>
      </c>
      <c r="D47" s="29" t="s">
        <v>45</v>
      </c>
      <c r="E47" s="19" t="s">
        <v>46</v>
      </c>
      <c r="F47" s="29" t="s">
        <v>457</v>
      </c>
      <c r="G47" s="19" t="s">
        <v>557</v>
      </c>
      <c r="H47" s="29" t="s">
        <v>459</v>
      </c>
      <c r="I47" s="315" t="s">
        <v>558</v>
      </c>
      <c r="J47" s="29" t="s">
        <v>30</v>
      </c>
      <c r="K47" s="29" t="s">
        <v>461</v>
      </c>
      <c r="L47" s="29" t="s">
        <v>284</v>
      </c>
      <c r="M47" s="29">
        <v>83014020</v>
      </c>
      <c r="N47" s="29">
        <v>300</v>
      </c>
      <c r="O47" s="29">
        <v>60</v>
      </c>
      <c r="P47" s="29"/>
      <c r="R47" s="9">
        <v>1733.271943278419</v>
      </c>
      <c r="T47" s="19"/>
      <c r="U47" s="7" t="s">
        <v>34</v>
      </c>
    </row>
    <row r="48" spans="1:21" ht="14.1" customHeight="1">
      <c r="A48" s="29">
        <v>44</v>
      </c>
      <c r="B48" s="19" t="s">
        <v>456</v>
      </c>
      <c r="C48" s="19" t="s">
        <v>280</v>
      </c>
      <c r="D48" s="29" t="s">
        <v>45</v>
      </c>
      <c r="E48" s="19" t="s">
        <v>46</v>
      </c>
      <c r="F48" s="29" t="s">
        <v>457</v>
      </c>
      <c r="G48" s="19" t="s">
        <v>559</v>
      </c>
      <c r="H48" s="29" t="s">
        <v>459</v>
      </c>
      <c r="I48" s="315" t="s">
        <v>560</v>
      </c>
      <c r="J48" s="29" t="s">
        <v>30</v>
      </c>
      <c r="K48" s="29" t="s">
        <v>461</v>
      </c>
      <c r="L48" s="29" t="s">
        <v>284</v>
      </c>
      <c r="M48" s="29">
        <v>83014020</v>
      </c>
      <c r="N48" s="29">
        <v>300</v>
      </c>
      <c r="O48" s="29">
        <v>60</v>
      </c>
      <c r="P48" s="29"/>
      <c r="R48" s="9">
        <v>1790.091247888178</v>
      </c>
      <c r="T48" s="19"/>
      <c r="U48" s="7" t="s">
        <v>34</v>
      </c>
    </row>
    <row r="49" spans="1:21" s="22" customFormat="1" ht="14.1" customHeight="1">
      <c r="A49" s="29">
        <v>45</v>
      </c>
      <c r="B49" s="19" t="s">
        <v>456</v>
      </c>
      <c r="C49" s="19" t="s">
        <v>280</v>
      </c>
      <c r="D49" s="29" t="s">
        <v>45</v>
      </c>
      <c r="E49" s="19" t="s">
        <v>46</v>
      </c>
      <c r="F49" s="29" t="s">
        <v>457</v>
      </c>
      <c r="G49" s="238" t="s">
        <v>561</v>
      </c>
      <c r="H49" s="29" t="s">
        <v>459</v>
      </c>
      <c r="I49" s="238" t="s">
        <v>561</v>
      </c>
      <c r="J49" s="29" t="s">
        <v>30</v>
      </c>
      <c r="K49" s="29" t="s">
        <v>461</v>
      </c>
      <c r="L49" s="29" t="s">
        <v>284</v>
      </c>
      <c r="M49" s="29">
        <v>83014020</v>
      </c>
      <c r="N49" s="29">
        <v>300</v>
      </c>
      <c r="O49" s="29">
        <v>60</v>
      </c>
      <c r="P49" s="29"/>
      <c r="R49" s="9">
        <v>782.63400967461632</v>
      </c>
      <c r="T49" s="19"/>
      <c r="U49" s="7" t="s">
        <v>34</v>
      </c>
    </row>
    <row r="50" spans="1:21" s="22" customFormat="1" ht="14.1" customHeight="1">
      <c r="A50" s="29">
        <v>46</v>
      </c>
      <c r="B50" s="19" t="s">
        <v>456</v>
      </c>
      <c r="C50" s="19" t="s">
        <v>280</v>
      </c>
      <c r="D50" s="29" t="s">
        <v>45</v>
      </c>
      <c r="E50" s="19" t="s">
        <v>46</v>
      </c>
      <c r="F50" s="29" t="s">
        <v>457</v>
      </c>
      <c r="G50" s="238" t="s">
        <v>562</v>
      </c>
      <c r="H50" s="29" t="s">
        <v>459</v>
      </c>
      <c r="I50" s="238" t="s">
        <v>562</v>
      </c>
      <c r="J50" s="29" t="s">
        <v>30</v>
      </c>
      <c r="K50" s="29" t="s">
        <v>461</v>
      </c>
      <c r="L50" s="29" t="s">
        <v>284</v>
      </c>
      <c r="M50" s="29">
        <v>83014020</v>
      </c>
      <c r="N50" s="29">
        <v>300</v>
      </c>
      <c r="O50" s="29">
        <v>60</v>
      </c>
      <c r="P50" s="29"/>
      <c r="R50" s="9">
        <v>903.63458859440129</v>
      </c>
      <c r="T50" s="19"/>
      <c r="U50" s="7" t="s">
        <v>34</v>
      </c>
    </row>
    <row r="51" spans="1:21" s="22" customFormat="1" ht="14.1" customHeight="1">
      <c r="A51" s="29">
        <v>47</v>
      </c>
      <c r="B51" s="19" t="s">
        <v>456</v>
      </c>
      <c r="C51" s="19" t="s">
        <v>280</v>
      </c>
      <c r="D51" s="29" t="s">
        <v>45</v>
      </c>
      <c r="E51" s="19" t="s">
        <v>46</v>
      </c>
      <c r="F51" s="29" t="s">
        <v>457</v>
      </c>
      <c r="G51" s="238" t="s">
        <v>563</v>
      </c>
      <c r="H51" s="29" t="s">
        <v>459</v>
      </c>
      <c r="I51" s="238" t="s">
        <v>563</v>
      </c>
      <c r="J51" s="29" t="s">
        <v>30</v>
      </c>
      <c r="K51" s="29" t="s">
        <v>461</v>
      </c>
      <c r="L51" s="29" t="s">
        <v>284</v>
      </c>
      <c r="M51" s="29">
        <v>83014020</v>
      </c>
      <c r="N51" s="29">
        <v>300</v>
      </c>
      <c r="O51" s="29">
        <v>60</v>
      </c>
      <c r="P51" s="29"/>
      <c r="R51" s="9">
        <v>1109.9585086557511</v>
      </c>
      <c r="T51" s="19"/>
      <c r="U51" s="7" t="s">
        <v>34</v>
      </c>
    </row>
    <row r="52" spans="1:21" s="22" customFormat="1" ht="14.1" customHeight="1">
      <c r="A52" s="29">
        <v>48</v>
      </c>
      <c r="B52" s="19" t="s">
        <v>456</v>
      </c>
      <c r="C52" s="19" t="s">
        <v>280</v>
      </c>
      <c r="D52" s="29" t="s">
        <v>45</v>
      </c>
      <c r="E52" s="19" t="s">
        <v>46</v>
      </c>
      <c r="F52" s="29" t="s">
        <v>457</v>
      </c>
      <c r="G52" s="238" t="s">
        <v>564</v>
      </c>
      <c r="H52" s="29" t="s">
        <v>459</v>
      </c>
      <c r="I52" s="238" t="s">
        <v>564</v>
      </c>
      <c r="J52" s="29" t="s">
        <v>30</v>
      </c>
      <c r="K52" s="29" t="s">
        <v>461</v>
      </c>
      <c r="L52" s="29" t="s">
        <v>284</v>
      </c>
      <c r="M52" s="29">
        <v>83014020</v>
      </c>
      <c r="N52" s="29">
        <v>300</v>
      </c>
      <c r="O52" s="29">
        <v>60</v>
      </c>
      <c r="P52" s="29"/>
      <c r="R52" s="9">
        <v>1550.73284840255</v>
      </c>
      <c r="T52" s="19"/>
      <c r="U52" s="7" t="s">
        <v>34</v>
      </c>
    </row>
    <row r="53" spans="1:21" s="22" customFormat="1" ht="14.1" customHeight="1">
      <c r="A53" s="29">
        <v>49</v>
      </c>
      <c r="B53" s="19" t="s">
        <v>456</v>
      </c>
      <c r="C53" s="19" t="s">
        <v>280</v>
      </c>
      <c r="D53" s="29" t="s">
        <v>45</v>
      </c>
      <c r="E53" s="19" t="s">
        <v>46</v>
      </c>
      <c r="F53" s="29" t="s">
        <v>457</v>
      </c>
      <c r="G53" s="238" t="s">
        <v>565</v>
      </c>
      <c r="H53" s="29" t="s">
        <v>459</v>
      </c>
      <c r="I53" s="238" t="s">
        <v>565</v>
      </c>
      <c r="J53" s="29" t="s">
        <v>30</v>
      </c>
      <c r="K53" s="29" t="s">
        <v>461</v>
      </c>
      <c r="L53" s="29" t="s">
        <v>284</v>
      </c>
      <c r="M53" s="29">
        <v>83014020</v>
      </c>
      <c r="N53" s="29">
        <v>300</v>
      </c>
      <c r="O53" s="29">
        <v>60</v>
      </c>
      <c r="P53" s="29"/>
      <c r="R53" s="9">
        <v>1716.849087793207</v>
      </c>
      <c r="T53" s="19"/>
      <c r="U53" s="7" t="s">
        <v>34</v>
      </c>
    </row>
    <row r="54" spans="1:21" s="22" customFormat="1" ht="14.1" customHeight="1">
      <c r="A54" s="29">
        <v>50</v>
      </c>
      <c r="B54" s="19" t="s">
        <v>456</v>
      </c>
      <c r="C54" s="19" t="s">
        <v>280</v>
      </c>
      <c r="D54" s="29" t="s">
        <v>45</v>
      </c>
      <c r="E54" s="19" t="s">
        <v>46</v>
      </c>
      <c r="F54" s="29" t="s">
        <v>457</v>
      </c>
      <c r="G54" s="238" t="s">
        <v>566</v>
      </c>
      <c r="H54" s="29" t="s">
        <v>567</v>
      </c>
      <c r="I54" s="315" t="s">
        <v>568</v>
      </c>
      <c r="J54" s="29" t="s">
        <v>30</v>
      </c>
      <c r="K54" s="29" t="s">
        <v>569</v>
      </c>
      <c r="L54" s="29" t="s">
        <v>284</v>
      </c>
      <c r="M54" s="29">
        <v>83014020</v>
      </c>
      <c r="N54" s="29">
        <v>300</v>
      </c>
      <c r="O54" s="29">
        <v>60</v>
      </c>
      <c r="P54" s="29"/>
      <c r="R54" s="9">
        <v>1632.469588920907</v>
      </c>
      <c r="T54" s="19"/>
      <c r="U54" s="7" t="s">
        <v>34</v>
      </c>
    </row>
    <row r="55" spans="1:21" s="22" customFormat="1" ht="14.1" customHeight="1">
      <c r="A55" s="29">
        <v>51</v>
      </c>
      <c r="B55" s="19" t="s">
        <v>456</v>
      </c>
      <c r="C55" s="19" t="s">
        <v>280</v>
      </c>
      <c r="D55" s="29" t="s">
        <v>45</v>
      </c>
      <c r="E55" s="19" t="s">
        <v>46</v>
      </c>
      <c r="F55" s="29" t="s">
        <v>457</v>
      </c>
      <c r="G55" s="238" t="s">
        <v>570</v>
      </c>
      <c r="H55" s="29" t="s">
        <v>465</v>
      </c>
      <c r="I55" s="315" t="s">
        <v>571</v>
      </c>
      <c r="J55" s="29" t="s">
        <v>30</v>
      </c>
      <c r="K55" s="29" t="s">
        <v>467</v>
      </c>
      <c r="L55" s="29" t="s">
        <v>284</v>
      </c>
      <c r="M55" s="29">
        <v>83014020</v>
      </c>
      <c r="N55" s="29">
        <v>300</v>
      </c>
      <c r="O55" s="29">
        <v>60</v>
      </c>
      <c r="P55" s="29"/>
      <c r="R55" s="9">
        <v>1633.4134311901721</v>
      </c>
      <c r="T55" s="19"/>
      <c r="U55" s="7" t="s">
        <v>34</v>
      </c>
    </row>
    <row r="56" spans="1:21" s="22" customFormat="1" ht="14.1" customHeight="1">
      <c r="A56" s="29">
        <v>52</v>
      </c>
      <c r="B56" s="19" t="s">
        <v>456</v>
      </c>
      <c r="C56" s="19" t="s">
        <v>280</v>
      </c>
      <c r="D56" s="29" t="s">
        <v>45</v>
      </c>
      <c r="E56" s="19" t="s">
        <v>46</v>
      </c>
      <c r="F56" s="29" t="s">
        <v>457</v>
      </c>
      <c r="G56" s="238" t="s">
        <v>572</v>
      </c>
      <c r="H56" s="29" t="s">
        <v>459</v>
      </c>
      <c r="I56" s="315" t="s">
        <v>573</v>
      </c>
      <c r="J56" s="29" t="s">
        <v>30</v>
      </c>
      <c r="K56" s="29" t="s">
        <v>461</v>
      </c>
      <c r="L56" s="29" t="s">
        <v>284</v>
      </c>
      <c r="M56" s="29">
        <v>83014020</v>
      </c>
      <c r="N56" s="29">
        <v>300</v>
      </c>
      <c r="O56" s="29">
        <v>60</v>
      </c>
      <c r="P56" s="29"/>
      <c r="R56" s="9">
        <v>1628.5054513899941</v>
      </c>
      <c r="T56" s="19"/>
      <c r="U56" s="7" t="s">
        <v>34</v>
      </c>
    </row>
    <row r="57" spans="1:21" s="22" customFormat="1" ht="14.1" customHeight="1">
      <c r="A57" s="29">
        <v>53</v>
      </c>
      <c r="B57" s="19" t="s">
        <v>456</v>
      </c>
      <c r="C57" s="19" t="s">
        <v>280</v>
      </c>
      <c r="D57" s="29" t="s">
        <v>45</v>
      </c>
      <c r="E57" s="19" t="s">
        <v>46</v>
      </c>
      <c r="F57" s="29" t="s">
        <v>457</v>
      </c>
      <c r="G57" s="238" t="s">
        <v>574</v>
      </c>
      <c r="H57" s="29" t="s">
        <v>575</v>
      </c>
      <c r="I57" s="315" t="s">
        <v>576</v>
      </c>
      <c r="J57" s="29" t="s">
        <v>30</v>
      </c>
      <c r="K57" s="29" t="s">
        <v>461</v>
      </c>
      <c r="L57" s="29" t="s">
        <v>284</v>
      </c>
      <c r="M57" s="29">
        <v>83014020</v>
      </c>
      <c r="N57" s="29">
        <v>300</v>
      </c>
      <c r="O57" s="29">
        <v>60</v>
      </c>
      <c r="P57" s="29"/>
      <c r="R57" s="9">
        <v>2656.349682619682</v>
      </c>
      <c r="T57" s="19"/>
      <c r="U57" s="7" t="s">
        <v>34</v>
      </c>
    </row>
    <row r="58" spans="1:21" s="22" customFormat="1" ht="14.1" customHeight="1">
      <c r="A58" s="29">
        <v>54</v>
      </c>
      <c r="B58" s="19" t="s">
        <v>456</v>
      </c>
      <c r="C58" s="19" t="s">
        <v>280</v>
      </c>
      <c r="D58" s="29" t="s">
        <v>45</v>
      </c>
      <c r="E58" s="19" t="s">
        <v>46</v>
      </c>
      <c r="F58" s="29" t="s">
        <v>457</v>
      </c>
      <c r="G58" s="238" t="s">
        <v>577</v>
      </c>
      <c r="H58" s="29" t="s">
        <v>465</v>
      </c>
      <c r="I58" s="315" t="s">
        <v>578</v>
      </c>
      <c r="J58" s="29" t="s">
        <v>30</v>
      </c>
      <c r="K58" s="29" t="s">
        <v>467</v>
      </c>
      <c r="L58" s="29" t="s">
        <v>284</v>
      </c>
      <c r="M58" s="29">
        <v>83014020</v>
      </c>
      <c r="N58" s="29">
        <v>300</v>
      </c>
      <c r="O58" s="29">
        <v>60</v>
      </c>
      <c r="P58" s="29"/>
      <c r="R58" s="9">
        <v>2657.8598302505061</v>
      </c>
      <c r="T58" s="19"/>
      <c r="U58" s="7" t="s">
        <v>34</v>
      </c>
    </row>
    <row r="59" spans="1:21" s="22" customFormat="1" ht="14.1" customHeight="1">
      <c r="A59" s="29">
        <v>55</v>
      </c>
      <c r="B59" s="19" t="s">
        <v>456</v>
      </c>
      <c r="C59" s="19" t="s">
        <v>280</v>
      </c>
      <c r="D59" s="29" t="s">
        <v>45</v>
      </c>
      <c r="E59" s="19" t="s">
        <v>46</v>
      </c>
      <c r="F59" s="29" t="s">
        <v>457</v>
      </c>
      <c r="G59" s="238" t="s">
        <v>579</v>
      </c>
      <c r="H59" s="29" t="s">
        <v>459</v>
      </c>
      <c r="I59" s="238" t="s">
        <v>579</v>
      </c>
      <c r="J59" s="29" t="s">
        <v>30</v>
      </c>
      <c r="K59" s="29" t="s">
        <v>461</v>
      </c>
      <c r="L59" s="29" t="s">
        <v>284</v>
      </c>
      <c r="M59" s="29">
        <v>83014020</v>
      </c>
      <c r="N59" s="29">
        <v>300</v>
      </c>
      <c r="O59" s="29">
        <v>60</v>
      </c>
      <c r="P59" s="29"/>
      <c r="R59" s="9">
        <v>1942.0498532398581</v>
      </c>
      <c r="T59" s="19"/>
      <c r="U59" s="7" t="s">
        <v>34</v>
      </c>
    </row>
    <row r="60" spans="1:21" s="22" customFormat="1" ht="14.1" customHeight="1">
      <c r="A60" s="29">
        <v>56</v>
      </c>
      <c r="B60" s="19" t="s">
        <v>456</v>
      </c>
      <c r="C60" s="19" t="s">
        <v>280</v>
      </c>
      <c r="D60" s="29" t="s">
        <v>45</v>
      </c>
      <c r="E60" s="19" t="s">
        <v>46</v>
      </c>
      <c r="F60" s="29" t="s">
        <v>457</v>
      </c>
      <c r="G60" s="238" t="s">
        <v>580</v>
      </c>
      <c r="H60" s="29" t="s">
        <v>459</v>
      </c>
      <c r="I60" s="238" t="s">
        <v>580</v>
      </c>
      <c r="J60" s="29" t="s">
        <v>30</v>
      </c>
      <c r="K60" s="29" t="s">
        <v>461</v>
      </c>
      <c r="L60" s="29" t="s">
        <v>284</v>
      </c>
      <c r="M60" s="29">
        <v>83014020</v>
      </c>
      <c r="N60" s="29">
        <v>300</v>
      </c>
      <c r="O60" s="29">
        <v>60</v>
      </c>
      <c r="P60" s="29"/>
      <c r="R60" s="9">
        <v>1961.493003986719</v>
      </c>
      <c r="T60" s="19"/>
      <c r="U60" s="7" t="s">
        <v>34</v>
      </c>
    </row>
    <row r="61" spans="1:21" s="22" customFormat="1" ht="14.1" customHeight="1">
      <c r="A61" s="29">
        <v>57</v>
      </c>
      <c r="B61" s="19" t="s">
        <v>456</v>
      </c>
      <c r="C61" s="19" t="s">
        <v>280</v>
      </c>
      <c r="D61" s="29" t="s">
        <v>45</v>
      </c>
      <c r="E61" s="19" t="s">
        <v>46</v>
      </c>
      <c r="F61" s="29" t="s">
        <v>457</v>
      </c>
      <c r="G61" s="238" t="s">
        <v>581</v>
      </c>
      <c r="H61" s="29" t="s">
        <v>518</v>
      </c>
      <c r="I61" s="315" t="s">
        <v>582</v>
      </c>
      <c r="J61" s="29" t="s">
        <v>30</v>
      </c>
      <c r="K61" s="29" t="s">
        <v>520</v>
      </c>
      <c r="L61" s="29" t="s">
        <v>284</v>
      </c>
      <c r="M61" s="29">
        <v>83014020</v>
      </c>
      <c r="N61" s="29">
        <v>300</v>
      </c>
      <c r="O61" s="29">
        <v>60</v>
      </c>
      <c r="P61" s="29"/>
      <c r="R61" s="9">
        <v>1303.823710762802</v>
      </c>
      <c r="T61" s="19"/>
      <c r="U61" s="7" t="s">
        <v>34</v>
      </c>
    </row>
    <row r="62" spans="1:21" s="22" customFormat="1" ht="14.1" customHeight="1">
      <c r="A62" s="29">
        <v>58</v>
      </c>
      <c r="B62" s="19" t="s">
        <v>456</v>
      </c>
      <c r="C62" s="19" t="s">
        <v>280</v>
      </c>
      <c r="D62" s="29" t="s">
        <v>45</v>
      </c>
      <c r="E62" s="19" t="s">
        <v>46</v>
      </c>
      <c r="F62" s="29" t="s">
        <v>457</v>
      </c>
      <c r="G62" s="238" t="s">
        <v>583</v>
      </c>
      <c r="H62" s="29" t="s">
        <v>518</v>
      </c>
      <c r="I62" s="315" t="s">
        <v>582</v>
      </c>
      <c r="J62" s="29" t="s">
        <v>30</v>
      </c>
      <c r="K62" s="29" t="s">
        <v>520</v>
      </c>
      <c r="L62" s="29" t="s">
        <v>284</v>
      </c>
      <c r="M62" s="29">
        <v>83014020</v>
      </c>
      <c r="N62" s="29">
        <v>300</v>
      </c>
      <c r="O62" s="29">
        <v>60</v>
      </c>
      <c r="P62" s="29"/>
      <c r="R62" s="9">
        <v>1272.4881474232</v>
      </c>
      <c r="T62" s="19"/>
      <c r="U62" s="7" t="s">
        <v>34</v>
      </c>
    </row>
    <row r="63" spans="1:21" s="22" customFormat="1" ht="14.1" customHeight="1">
      <c r="A63" s="29">
        <v>59</v>
      </c>
      <c r="B63" s="19" t="s">
        <v>456</v>
      </c>
      <c r="C63" s="19" t="s">
        <v>280</v>
      </c>
      <c r="D63" s="29" t="s">
        <v>45</v>
      </c>
      <c r="E63" s="19" t="s">
        <v>46</v>
      </c>
      <c r="F63" s="29" t="s">
        <v>457</v>
      </c>
      <c r="G63" s="238" t="s">
        <v>584</v>
      </c>
      <c r="H63" s="29" t="s">
        <v>534</v>
      </c>
      <c r="I63" s="238" t="s">
        <v>584</v>
      </c>
      <c r="J63" s="29" t="s">
        <v>30</v>
      </c>
      <c r="K63" s="29" t="s">
        <v>536</v>
      </c>
      <c r="L63" s="29" t="s">
        <v>284</v>
      </c>
      <c r="M63" s="29">
        <v>83014020</v>
      </c>
      <c r="N63" s="29">
        <v>300</v>
      </c>
      <c r="O63" s="29">
        <v>60</v>
      </c>
      <c r="P63" s="29"/>
      <c r="R63" s="9">
        <v>1893.158823691927</v>
      </c>
      <c r="T63" s="19"/>
      <c r="U63" s="7" t="s">
        <v>34</v>
      </c>
    </row>
    <row r="64" spans="1:21" s="22" customFormat="1" ht="14.1" customHeight="1">
      <c r="A64" s="29">
        <v>60</v>
      </c>
      <c r="B64" s="19" t="s">
        <v>456</v>
      </c>
      <c r="C64" s="19" t="s">
        <v>280</v>
      </c>
      <c r="D64" s="29" t="s">
        <v>45</v>
      </c>
      <c r="E64" s="19" t="s">
        <v>46</v>
      </c>
      <c r="F64" s="29" t="s">
        <v>457</v>
      </c>
      <c r="G64" s="238" t="s">
        <v>585</v>
      </c>
      <c r="H64" s="29" t="s">
        <v>459</v>
      </c>
      <c r="I64" s="238" t="s">
        <v>585</v>
      </c>
      <c r="J64" s="29" t="s">
        <v>30</v>
      </c>
      <c r="K64" s="29" t="s">
        <v>461</v>
      </c>
      <c r="L64" s="29" t="s">
        <v>284</v>
      </c>
      <c r="M64" s="29">
        <v>83014020</v>
      </c>
      <c r="N64" s="29">
        <v>300</v>
      </c>
      <c r="O64" s="29">
        <v>60</v>
      </c>
      <c r="P64" s="29"/>
      <c r="R64" s="9">
        <v>1602.64417321213</v>
      </c>
      <c r="T64" s="19"/>
      <c r="U64" s="7" t="s">
        <v>34</v>
      </c>
    </row>
    <row r="65" spans="1:21" s="22" customFormat="1" ht="14.1" customHeight="1">
      <c r="A65" s="29">
        <v>61</v>
      </c>
      <c r="B65" s="19" t="s">
        <v>456</v>
      </c>
      <c r="C65" s="19" t="s">
        <v>280</v>
      </c>
      <c r="D65" s="29" t="s">
        <v>45</v>
      </c>
      <c r="E65" s="19" t="s">
        <v>46</v>
      </c>
      <c r="F65" s="29" t="s">
        <v>457</v>
      </c>
      <c r="G65" s="238" t="s">
        <v>586</v>
      </c>
      <c r="H65" s="29" t="s">
        <v>459</v>
      </c>
      <c r="I65" s="238" t="s">
        <v>586</v>
      </c>
      <c r="J65" s="29" t="s">
        <v>30</v>
      </c>
      <c r="K65" s="29" t="s">
        <v>461</v>
      </c>
      <c r="L65" s="29" t="s">
        <v>284</v>
      </c>
      <c r="M65" s="29">
        <v>83014020</v>
      </c>
      <c r="N65" s="29">
        <v>300</v>
      </c>
      <c r="O65" s="29">
        <v>60</v>
      </c>
      <c r="P65" s="29"/>
      <c r="R65" s="9">
        <v>1581.1245694728859</v>
      </c>
      <c r="T65" s="19"/>
      <c r="U65" s="7" t="s">
        <v>34</v>
      </c>
    </row>
    <row r="66" spans="1:21" s="22" customFormat="1" ht="14.1" customHeight="1">
      <c r="A66" s="29">
        <v>62</v>
      </c>
      <c r="B66" s="19" t="s">
        <v>456</v>
      </c>
      <c r="C66" s="19" t="s">
        <v>280</v>
      </c>
      <c r="D66" s="29" t="s">
        <v>45</v>
      </c>
      <c r="E66" s="19" t="s">
        <v>46</v>
      </c>
      <c r="F66" s="29" t="s">
        <v>457</v>
      </c>
      <c r="G66" s="238" t="s">
        <v>587</v>
      </c>
      <c r="H66" s="29" t="s">
        <v>534</v>
      </c>
      <c r="I66" s="315" t="s">
        <v>588</v>
      </c>
      <c r="J66" s="29" t="s">
        <v>30</v>
      </c>
      <c r="K66" s="29" t="s">
        <v>536</v>
      </c>
      <c r="L66" s="29" t="s">
        <v>284</v>
      </c>
      <c r="M66" s="29">
        <v>83014020</v>
      </c>
      <c r="N66" s="29">
        <v>300</v>
      </c>
      <c r="O66" s="29">
        <v>60</v>
      </c>
      <c r="P66" s="29"/>
      <c r="R66" s="9">
        <v>1580.74703256518</v>
      </c>
      <c r="T66" s="19"/>
      <c r="U66" s="7" t="s">
        <v>34</v>
      </c>
    </row>
    <row r="67" spans="1:21" s="22" customFormat="1" ht="14.1" customHeight="1">
      <c r="A67" s="29">
        <v>63</v>
      </c>
      <c r="B67" s="19" t="s">
        <v>456</v>
      </c>
      <c r="C67" s="19" t="s">
        <v>280</v>
      </c>
      <c r="D67" s="29" t="s">
        <v>45</v>
      </c>
      <c r="E67" s="19" t="s">
        <v>46</v>
      </c>
      <c r="F67" s="29" t="s">
        <v>457</v>
      </c>
      <c r="G67" s="238" t="s">
        <v>589</v>
      </c>
      <c r="H67" s="29" t="s">
        <v>534</v>
      </c>
      <c r="I67" s="238" t="s">
        <v>589</v>
      </c>
      <c r="J67" s="29" t="s">
        <v>30</v>
      </c>
      <c r="K67" s="29" t="s">
        <v>536</v>
      </c>
      <c r="L67" s="29" t="s">
        <v>284</v>
      </c>
      <c r="M67" s="29">
        <v>83014020</v>
      </c>
      <c r="N67" s="29">
        <v>300</v>
      </c>
      <c r="O67" s="29">
        <v>60</v>
      </c>
      <c r="P67" s="29"/>
      <c r="R67" s="9">
        <v>1871.4504514988289</v>
      </c>
      <c r="T67" s="19"/>
      <c r="U67" s="7" t="s">
        <v>34</v>
      </c>
    </row>
    <row r="68" spans="1:21" s="22" customFormat="1" ht="14.1" customHeight="1">
      <c r="A68" s="29">
        <v>64</v>
      </c>
      <c r="B68" s="19" t="s">
        <v>456</v>
      </c>
      <c r="C68" s="19" t="s">
        <v>280</v>
      </c>
      <c r="D68" s="29" t="s">
        <v>45</v>
      </c>
      <c r="E68" s="19" t="s">
        <v>46</v>
      </c>
      <c r="F68" s="29" t="s">
        <v>457</v>
      </c>
      <c r="G68" s="238" t="s">
        <v>590</v>
      </c>
      <c r="H68" s="29" t="s">
        <v>518</v>
      </c>
      <c r="I68" s="238" t="s">
        <v>590</v>
      </c>
      <c r="J68" s="29" t="s">
        <v>30</v>
      </c>
      <c r="K68" s="29" t="s">
        <v>520</v>
      </c>
      <c r="L68" s="29" t="s">
        <v>284</v>
      </c>
      <c r="M68" s="29">
        <v>83014020</v>
      </c>
      <c r="N68" s="29">
        <v>300</v>
      </c>
      <c r="O68" s="29">
        <v>60</v>
      </c>
      <c r="P68" s="29"/>
      <c r="R68" s="9">
        <v>1595.0934350580101</v>
      </c>
      <c r="T68" s="19"/>
      <c r="U68" s="7" t="s">
        <v>34</v>
      </c>
    </row>
    <row r="69" spans="1:21" s="22" customFormat="1" ht="14.1" customHeight="1">
      <c r="A69" s="29">
        <v>65</v>
      </c>
      <c r="B69" s="19" t="s">
        <v>456</v>
      </c>
      <c r="C69" s="19" t="s">
        <v>280</v>
      </c>
      <c r="D69" s="29" t="s">
        <v>45</v>
      </c>
      <c r="E69" s="19" t="s">
        <v>46</v>
      </c>
      <c r="F69" s="29" t="s">
        <v>457</v>
      </c>
      <c r="G69" s="238" t="s">
        <v>591</v>
      </c>
      <c r="H69" s="29" t="s">
        <v>534</v>
      </c>
      <c r="I69" s="315" t="s">
        <v>592</v>
      </c>
      <c r="J69" s="29" t="s">
        <v>30</v>
      </c>
      <c r="K69" s="29" t="s">
        <v>536</v>
      </c>
      <c r="L69" s="29" t="s">
        <v>284</v>
      </c>
      <c r="M69" s="29">
        <v>83014020</v>
      </c>
      <c r="N69" s="29">
        <v>300</v>
      </c>
      <c r="O69" s="29">
        <v>60</v>
      </c>
      <c r="P69" s="29"/>
      <c r="R69" s="9">
        <v>1871.827988406535</v>
      </c>
      <c r="T69" s="19"/>
      <c r="U69" s="7" t="s">
        <v>34</v>
      </c>
    </row>
    <row r="70" spans="1:21" s="22" customFormat="1" ht="14.1" customHeight="1">
      <c r="A70" s="29">
        <v>66</v>
      </c>
      <c r="B70" s="19" t="s">
        <v>456</v>
      </c>
      <c r="C70" s="19" t="s">
        <v>280</v>
      </c>
      <c r="D70" s="29" t="s">
        <v>45</v>
      </c>
      <c r="E70" s="19" t="s">
        <v>46</v>
      </c>
      <c r="F70" s="29" t="s">
        <v>457</v>
      </c>
      <c r="G70" s="238" t="s">
        <v>593</v>
      </c>
      <c r="H70" s="29" t="s">
        <v>459</v>
      </c>
      <c r="I70" s="238" t="s">
        <v>593</v>
      </c>
      <c r="J70" s="29" t="s">
        <v>30</v>
      </c>
      <c r="K70" s="29" t="s">
        <v>461</v>
      </c>
      <c r="L70" s="29" t="s">
        <v>284</v>
      </c>
      <c r="M70" s="29">
        <v>83014020</v>
      </c>
      <c r="N70" s="29">
        <v>300</v>
      </c>
      <c r="O70" s="29">
        <v>60</v>
      </c>
      <c r="P70" s="29"/>
      <c r="R70" s="9">
        <v>1299.482036324182</v>
      </c>
      <c r="T70" s="19"/>
      <c r="U70" s="7" t="s">
        <v>34</v>
      </c>
    </row>
    <row r="71" spans="1:21" s="314" customFormat="1" ht="14.1" customHeight="1">
      <c r="A71" s="263">
        <v>67</v>
      </c>
      <c r="B71" s="248" t="s">
        <v>456</v>
      </c>
      <c r="C71" s="248" t="s">
        <v>280</v>
      </c>
      <c r="D71" s="263" t="s">
        <v>45</v>
      </c>
      <c r="E71" s="248" t="s">
        <v>46</v>
      </c>
      <c r="F71" s="263" t="s">
        <v>457</v>
      </c>
      <c r="G71" s="248" t="s">
        <v>594</v>
      </c>
      <c r="H71" s="263" t="s">
        <v>518</v>
      </c>
      <c r="I71" s="248" t="s">
        <v>595</v>
      </c>
      <c r="J71" s="263" t="s">
        <v>30</v>
      </c>
      <c r="K71" s="263" t="s">
        <v>520</v>
      </c>
      <c r="L71" s="263" t="s">
        <v>284</v>
      </c>
      <c r="M71" s="263">
        <v>83014020</v>
      </c>
      <c r="N71" s="263">
        <v>300</v>
      </c>
      <c r="O71" s="263">
        <v>60</v>
      </c>
      <c r="P71" s="263"/>
      <c r="Q71" s="262"/>
      <c r="R71" s="319">
        <v>871.16641453168222</v>
      </c>
      <c r="S71" s="262"/>
      <c r="T71" s="248"/>
      <c r="U71" s="263" t="s">
        <v>34</v>
      </c>
    </row>
    <row r="72" spans="1:21" s="314" customFormat="1" ht="14.1" customHeight="1">
      <c r="A72" s="263">
        <v>68</v>
      </c>
      <c r="B72" s="248" t="s">
        <v>456</v>
      </c>
      <c r="C72" s="248" t="s">
        <v>280</v>
      </c>
      <c r="D72" s="263" t="s">
        <v>45</v>
      </c>
      <c r="E72" s="248" t="s">
        <v>46</v>
      </c>
      <c r="F72" s="263" t="s">
        <v>457</v>
      </c>
      <c r="G72" s="248" t="s">
        <v>596</v>
      </c>
      <c r="H72" s="263" t="s">
        <v>459</v>
      </c>
      <c r="I72" s="248" t="s">
        <v>597</v>
      </c>
      <c r="J72" s="263" t="s">
        <v>30</v>
      </c>
      <c r="K72" s="263" t="s">
        <v>461</v>
      </c>
      <c r="L72" s="263" t="s">
        <v>284</v>
      </c>
      <c r="M72" s="263">
        <v>83014020</v>
      </c>
      <c r="N72" s="263">
        <f>96*3</f>
        <v>288</v>
      </c>
      <c r="O72" s="263">
        <v>60</v>
      </c>
      <c r="P72" s="263"/>
      <c r="Q72" s="262"/>
      <c r="R72" s="319">
        <v>730.91145331888913</v>
      </c>
      <c r="S72" s="262"/>
      <c r="T72" s="248"/>
      <c r="U72" s="263" t="s">
        <v>34</v>
      </c>
    </row>
    <row r="73" spans="1:21" s="314" customFormat="1" ht="14.1" customHeight="1">
      <c r="A73" s="263">
        <v>69</v>
      </c>
      <c r="B73" s="248" t="s">
        <v>456</v>
      </c>
      <c r="C73" s="248" t="s">
        <v>280</v>
      </c>
      <c r="D73" s="263" t="s">
        <v>45</v>
      </c>
      <c r="E73" s="248" t="s">
        <v>46</v>
      </c>
      <c r="F73" s="263" t="s">
        <v>457</v>
      </c>
      <c r="G73" s="248" t="s">
        <v>598</v>
      </c>
      <c r="H73" s="263" t="s">
        <v>42</v>
      </c>
      <c r="I73" s="248" t="s">
        <v>598</v>
      </c>
      <c r="J73" s="263" t="s">
        <v>30</v>
      </c>
      <c r="K73" s="263" t="s">
        <v>481</v>
      </c>
      <c r="L73" s="263" t="s">
        <v>284</v>
      </c>
      <c r="M73" s="263">
        <v>83014020</v>
      </c>
      <c r="N73" s="263">
        <v>500</v>
      </c>
      <c r="O73" s="263">
        <v>60</v>
      </c>
      <c r="P73" s="263"/>
      <c r="Q73" s="262"/>
      <c r="R73" s="319">
        <v>169.1365346523049</v>
      </c>
      <c r="S73" s="262"/>
      <c r="T73" s="248"/>
      <c r="U73" s="263" t="s">
        <v>34</v>
      </c>
    </row>
    <row r="74" spans="1:21" s="314" customFormat="1" ht="14.1" customHeight="1">
      <c r="A74" s="263">
        <v>70</v>
      </c>
      <c r="B74" s="248" t="s">
        <v>456</v>
      </c>
      <c r="C74" s="248" t="s">
        <v>280</v>
      </c>
      <c r="D74" s="263" t="s">
        <v>45</v>
      </c>
      <c r="E74" s="248" t="s">
        <v>46</v>
      </c>
      <c r="F74" s="263" t="s">
        <v>457</v>
      </c>
      <c r="G74" s="248" t="s">
        <v>599</v>
      </c>
      <c r="H74" s="263" t="s">
        <v>459</v>
      </c>
      <c r="I74" s="248" t="s">
        <v>600</v>
      </c>
      <c r="J74" s="263" t="s">
        <v>30</v>
      </c>
      <c r="K74" s="263" t="s">
        <v>461</v>
      </c>
      <c r="L74" s="263" t="s">
        <v>284</v>
      </c>
      <c r="M74" s="263">
        <v>83014020</v>
      </c>
      <c r="N74" s="263">
        <f>96*3</f>
        <v>288</v>
      </c>
      <c r="O74" s="263">
        <v>60</v>
      </c>
      <c r="P74" s="263"/>
      <c r="Q74" s="262"/>
      <c r="R74" s="319">
        <v>753.18613087354527</v>
      </c>
      <c r="S74" s="262"/>
      <c r="T74" s="248"/>
      <c r="U74" s="263" t="s">
        <v>34</v>
      </c>
    </row>
    <row r="75" spans="1:21" s="314" customFormat="1" ht="14.1" customHeight="1">
      <c r="A75" s="263">
        <v>71</v>
      </c>
      <c r="B75" s="248" t="s">
        <v>456</v>
      </c>
      <c r="C75" s="248" t="s">
        <v>280</v>
      </c>
      <c r="D75" s="263" t="s">
        <v>45</v>
      </c>
      <c r="E75" s="248" t="s">
        <v>46</v>
      </c>
      <c r="F75" s="263" t="s">
        <v>457</v>
      </c>
      <c r="G75" s="248" t="s">
        <v>601</v>
      </c>
      <c r="H75" s="263" t="s">
        <v>602</v>
      </c>
      <c r="I75" s="248" t="s">
        <v>603</v>
      </c>
      <c r="J75" s="263" t="s">
        <v>30</v>
      </c>
      <c r="K75" s="263" t="s">
        <v>467</v>
      </c>
      <c r="L75" s="263" t="s">
        <v>284</v>
      </c>
      <c r="M75" s="263">
        <v>83014020</v>
      </c>
      <c r="N75" s="263">
        <v>300</v>
      </c>
      <c r="O75" s="263">
        <v>60</v>
      </c>
      <c r="P75" s="263"/>
      <c r="Q75" s="262"/>
      <c r="R75" s="319">
        <v>873.05409907021237</v>
      </c>
      <c r="S75" s="262"/>
      <c r="T75" s="248"/>
      <c r="U75" s="263" t="s">
        <v>34</v>
      </c>
    </row>
    <row r="76" spans="1:21" s="314" customFormat="1" ht="14.1" customHeight="1">
      <c r="A76" s="263">
        <v>72</v>
      </c>
      <c r="B76" s="248" t="s">
        <v>456</v>
      </c>
      <c r="C76" s="248" t="s">
        <v>280</v>
      </c>
      <c r="D76" s="263" t="s">
        <v>45</v>
      </c>
      <c r="E76" s="248" t="s">
        <v>46</v>
      </c>
      <c r="F76" s="263" t="s">
        <v>457</v>
      </c>
      <c r="G76" s="248" t="s">
        <v>604</v>
      </c>
      <c r="H76" s="263" t="s">
        <v>459</v>
      </c>
      <c r="I76" s="248" t="s">
        <v>605</v>
      </c>
      <c r="J76" s="263" t="s">
        <v>30</v>
      </c>
      <c r="K76" s="263" t="s">
        <v>461</v>
      </c>
      <c r="L76" s="263" t="s">
        <v>284</v>
      </c>
      <c r="M76" s="263">
        <v>83014020</v>
      </c>
      <c r="N76" s="263">
        <v>300</v>
      </c>
      <c r="O76" s="263">
        <v>60</v>
      </c>
      <c r="P76" s="263"/>
      <c r="Q76" s="262"/>
      <c r="R76" s="319">
        <v>846.24897862308376</v>
      </c>
      <c r="S76" s="262"/>
      <c r="T76" s="248"/>
      <c r="U76" s="263" t="s">
        <v>34</v>
      </c>
    </row>
    <row r="77" spans="1:21" ht="14.1" customHeight="1">
      <c r="H77" t="s">
        <v>42</v>
      </c>
      <c r="I77" s="43"/>
    </row>
    <row r="78" spans="1:21" ht="14.1" customHeight="1">
      <c r="A78" s="22" t="s">
        <v>606</v>
      </c>
      <c r="H78" t="s">
        <v>42</v>
      </c>
    </row>
    <row r="79" spans="1:21" ht="14.1" customHeight="1"/>
    <row r="80" spans="1:21" ht="14.1" customHeight="1"/>
    <row r="81" ht="14.1" customHeight="1"/>
    <row r="82" ht="14.1" customHeight="1"/>
    <row r="83" ht="14.1" customHeight="1"/>
    <row r="84" ht="14.1" customHeight="1"/>
    <row r="85" ht="14.1" customHeight="1"/>
    <row r="86" ht="14.1" customHeight="1"/>
    <row r="87" ht="14.1" customHeight="1"/>
    <row r="88" ht="14.1" customHeight="1"/>
    <row r="89" ht="14.1" customHeight="1"/>
    <row r="90" ht="14.1" customHeight="1"/>
    <row r="91" ht="14.1" customHeight="1"/>
    <row r="92" ht="14.1" customHeight="1"/>
    <row r="93" ht="14.1" customHeight="1"/>
    <row r="94" ht="14.1" customHeight="1"/>
    <row r="95" ht="14.1" customHeight="1"/>
    <row r="96" ht="14.1" customHeight="1"/>
    <row r="97" ht="14.1" customHeight="1"/>
    <row r="98" ht="14.1" customHeight="1"/>
    <row r="99" ht="14.1" customHeight="1"/>
    <row r="100" ht="14.1" customHeight="1"/>
    <row r="101" ht="14.1" customHeight="1"/>
    <row r="102" ht="14.1" customHeight="1"/>
    <row r="103" ht="14.1" customHeight="1"/>
    <row r="104" ht="14.1" customHeight="1"/>
    <row r="105" ht="14.1" customHeight="1"/>
    <row r="106" ht="14.1" customHeight="1"/>
    <row r="107" ht="14.1" customHeight="1"/>
    <row r="108" ht="14.1" customHeight="1"/>
    <row r="109" ht="14.1" customHeight="1"/>
    <row r="110" ht="14.1" customHeight="1"/>
    <row r="111" ht="14.1" customHeight="1"/>
    <row r="112" ht="14.1" customHeight="1"/>
    <row r="113" ht="14.1" customHeight="1"/>
    <row r="114" ht="14.1" customHeight="1"/>
    <row r="115" ht="14.1" customHeight="1"/>
    <row r="116" ht="14.1" customHeight="1"/>
    <row r="117" ht="14.1" customHeight="1"/>
    <row r="118" ht="14.1" customHeight="1"/>
    <row r="119" ht="14.1" customHeight="1"/>
    <row r="120" ht="14.1" customHeight="1"/>
    <row r="121" ht="14.1" customHeight="1"/>
    <row r="122" ht="14.1" customHeight="1"/>
    <row r="123" ht="14.1" customHeight="1"/>
    <row r="124" ht="14.1" customHeight="1"/>
    <row r="125" ht="14.1" customHeight="1"/>
    <row r="126" ht="14.1" customHeight="1"/>
    <row r="127" ht="14.1" customHeight="1"/>
    <row r="128" ht="14.1" customHeight="1"/>
    <row r="129" ht="14.1" customHeight="1"/>
    <row r="130" ht="14.1" customHeight="1"/>
    <row r="131" ht="14.1" customHeight="1"/>
    <row r="132" ht="14.1" customHeight="1"/>
    <row r="133" ht="14.1" customHeight="1"/>
    <row r="134" ht="14.1" customHeight="1"/>
    <row r="135" ht="14.1" customHeight="1"/>
    <row r="136" ht="14.1" customHeight="1"/>
    <row r="137" ht="14.1" customHeight="1"/>
    <row r="138" ht="14.1" customHeight="1"/>
    <row r="139" ht="14.1" customHeight="1"/>
    <row r="140" ht="14.1" customHeight="1"/>
    <row r="141" ht="14.1" customHeight="1"/>
    <row r="142" ht="14.1" customHeight="1"/>
    <row r="143" ht="14.1" customHeight="1"/>
    <row r="144" ht="14.1" customHeight="1"/>
    <row r="145" ht="14.1" customHeight="1"/>
    <row r="146" ht="14.1" customHeight="1"/>
    <row r="147" ht="14.1" customHeight="1"/>
    <row r="148" ht="14.1" customHeight="1"/>
    <row r="149" ht="14.1" customHeight="1"/>
    <row r="150" ht="14.1" customHeight="1"/>
    <row r="151" ht="14.1" customHeight="1"/>
    <row r="152" ht="14.1" customHeight="1"/>
    <row r="153" ht="14.1" customHeight="1"/>
    <row r="154" ht="14.1" customHeight="1"/>
    <row r="155" ht="14.1" customHeight="1"/>
    <row r="156" ht="14.1" customHeight="1"/>
    <row r="157" ht="14.1" customHeight="1"/>
    <row r="158" ht="14.1" customHeight="1"/>
    <row r="159" ht="14.1" customHeight="1"/>
    <row r="160" ht="14.1" customHeight="1"/>
    <row r="161" ht="14.1" customHeight="1"/>
    <row r="162" ht="14.1" customHeight="1"/>
    <row r="163" ht="14.1" customHeight="1"/>
    <row r="164" ht="14.1" customHeight="1"/>
    <row r="165" ht="14.1" customHeight="1"/>
    <row r="166" ht="14.1" customHeight="1"/>
    <row r="167" ht="14.1" customHeight="1"/>
    <row r="168" ht="14.1" customHeight="1"/>
    <row r="169" ht="14.1" customHeight="1"/>
    <row r="170" ht="14.1" customHeight="1"/>
    <row r="171" ht="14.1" customHeight="1"/>
    <row r="172" ht="14.1" customHeight="1"/>
    <row r="173" ht="14.1" customHeight="1"/>
    <row r="174" ht="14.1" customHeight="1"/>
    <row r="175" ht="14.1" customHeight="1"/>
    <row r="176" ht="14.1" customHeight="1"/>
    <row r="177" ht="14.1" customHeight="1"/>
    <row r="178" ht="14.1" customHeight="1"/>
    <row r="179" ht="14.1" customHeight="1"/>
    <row r="180" ht="14.1" customHeight="1"/>
    <row r="181" ht="14.1" customHeight="1"/>
    <row r="182" ht="14.1" customHeight="1"/>
    <row r="183" ht="14.1" customHeight="1"/>
    <row r="184" ht="14.1" customHeight="1"/>
    <row r="185" ht="14.1" customHeight="1"/>
    <row r="186" ht="14.1" customHeight="1"/>
    <row r="187" ht="14.1" customHeight="1"/>
    <row r="188" ht="14.1" customHeight="1"/>
    <row r="189" ht="14.1" customHeight="1"/>
    <row r="190" ht="14.1" customHeight="1"/>
    <row r="191" ht="14.1" customHeight="1"/>
    <row r="192" ht="14.1" customHeight="1"/>
    <row r="193" ht="14.1" customHeight="1"/>
    <row r="194" ht="14.1" customHeight="1"/>
    <row r="195" ht="14.1" customHeight="1"/>
    <row r="196" ht="14.1" customHeight="1"/>
    <row r="197" ht="14.1" customHeight="1"/>
    <row r="198" ht="14.1" customHeight="1"/>
    <row r="199" ht="14.1" customHeight="1"/>
    <row r="200" ht="14.1" customHeight="1"/>
    <row r="201" ht="14.1" customHeight="1"/>
    <row r="202" ht="14.1" customHeight="1"/>
    <row r="203" ht="14.1" customHeight="1"/>
    <row r="204" ht="14.1" customHeight="1"/>
    <row r="205" ht="14.1" customHeight="1"/>
    <row r="206" ht="14.1" customHeight="1"/>
    <row r="207" ht="14.1" customHeight="1"/>
    <row r="208" ht="14.1" customHeight="1"/>
    <row r="209" ht="14.1" customHeight="1"/>
    <row r="210" ht="14.1" customHeight="1"/>
    <row r="211" ht="14.1" customHeight="1"/>
    <row r="212" ht="14.1" customHeight="1"/>
    <row r="213" ht="14.1" customHeight="1"/>
    <row r="214" ht="14.1" customHeight="1"/>
    <row r="215" ht="14.1" customHeight="1"/>
    <row r="216" ht="14.1" customHeight="1"/>
    <row r="217" ht="14.1" customHeight="1"/>
    <row r="218" ht="14.1" customHeight="1"/>
    <row r="219" ht="14.1" customHeight="1"/>
    <row r="220" ht="14.1" customHeight="1"/>
    <row r="221" ht="14.1" customHeight="1"/>
    <row r="222" ht="14.1" customHeight="1"/>
    <row r="223" ht="14.1" customHeight="1"/>
    <row r="224" ht="14.1" customHeight="1"/>
    <row r="225" ht="14.1" customHeight="1"/>
    <row r="226" ht="14.1" customHeight="1"/>
    <row r="227" ht="14.1" customHeight="1"/>
    <row r="228" ht="14.1" customHeight="1"/>
    <row r="229" ht="14.1" customHeight="1"/>
    <row r="230" ht="14.1" customHeight="1"/>
    <row r="231" ht="14.1" customHeight="1"/>
    <row r="232" ht="14.1" customHeight="1"/>
    <row r="233" ht="14.1" customHeight="1"/>
    <row r="234" ht="14.1" customHeight="1"/>
    <row r="235" ht="14.1" customHeight="1"/>
    <row r="236" ht="14.1" customHeight="1"/>
    <row r="237" ht="14.1" customHeight="1"/>
    <row r="238" ht="14.1" customHeight="1"/>
    <row r="239" ht="14.1" customHeight="1"/>
    <row r="240" ht="14.1" customHeight="1"/>
    <row r="241" ht="14.1" customHeight="1"/>
    <row r="242" ht="14.1" customHeight="1"/>
    <row r="243" ht="14.1" customHeight="1"/>
    <row r="244" ht="14.1" customHeight="1"/>
    <row r="245" ht="14.1" customHeight="1"/>
    <row r="246" ht="14.1" customHeight="1"/>
    <row r="247" ht="14.1" customHeight="1"/>
    <row r="248" ht="14.1" customHeight="1"/>
    <row r="249" ht="14.1" customHeight="1"/>
    <row r="250" ht="14.1" customHeight="1"/>
    <row r="251" ht="14.1" customHeight="1"/>
    <row r="252" ht="14.1" customHeight="1"/>
    <row r="253" ht="14.1" customHeight="1"/>
    <row r="254" ht="14.1" customHeight="1"/>
    <row r="255" ht="14.1" customHeight="1"/>
    <row r="256" ht="14.1" customHeight="1"/>
    <row r="257" ht="14.1" customHeight="1"/>
    <row r="258" ht="14.1" customHeight="1"/>
    <row r="259" ht="14.1" customHeight="1"/>
    <row r="260" ht="14.1" customHeight="1"/>
    <row r="261" ht="14.1" customHeight="1"/>
    <row r="262" ht="14.1" customHeight="1"/>
    <row r="263" ht="14.1" customHeight="1"/>
    <row r="264" ht="14.1" customHeight="1"/>
    <row r="265" ht="14.1" customHeight="1"/>
    <row r="266" ht="14.1" customHeight="1"/>
    <row r="267" ht="14.1" customHeight="1"/>
    <row r="268" ht="14.1" customHeight="1"/>
    <row r="269" ht="14.1" customHeight="1"/>
    <row r="270" ht="14.1" customHeight="1"/>
    <row r="271" ht="14.1" customHeight="1"/>
    <row r="272" ht="14.1" customHeight="1"/>
    <row r="273" ht="14.1" customHeight="1"/>
    <row r="274" ht="14.1" customHeight="1"/>
    <row r="275" ht="14.1" customHeight="1"/>
    <row r="276" ht="14.1" customHeight="1"/>
    <row r="277" ht="14.1" customHeight="1"/>
    <row r="278" ht="14.1" customHeight="1"/>
    <row r="279" ht="14.1" customHeight="1"/>
    <row r="280" ht="14.1" customHeight="1"/>
    <row r="281" ht="14.1" customHeight="1"/>
    <row r="282" ht="14.1" customHeight="1"/>
    <row r="283" ht="14.1" customHeight="1"/>
    <row r="284" ht="14.1" customHeight="1"/>
    <row r="285" ht="14.1" customHeight="1"/>
    <row r="286" ht="14.1" customHeight="1"/>
    <row r="287" ht="14.1" customHeight="1"/>
    <row r="288" ht="14.1" customHeight="1"/>
    <row r="289" ht="14.1" customHeight="1"/>
    <row r="290" ht="14.1" customHeight="1"/>
    <row r="291" ht="14.1" customHeight="1"/>
    <row r="292" ht="14.1" customHeight="1"/>
    <row r="293" ht="14.1" customHeight="1"/>
    <row r="294" ht="14.1" customHeight="1"/>
    <row r="295" ht="14.1" customHeight="1"/>
    <row r="296" ht="14.1" customHeight="1"/>
    <row r="297" ht="14.1" customHeight="1"/>
    <row r="298" ht="14.1" customHeight="1"/>
    <row r="299" ht="14.1" customHeight="1"/>
    <row r="300" ht="14.1" customHeight="1"/>
    <row r="301" ht="14.1" customHeight="1"/>
    <row r="302" ht="14.1" customHeight="1"/>
    <row r="303" ht="14.1" customHeight="1"/>
    <row r="304" ht="14.1" customHeight="1"/>
    <row r="305" ht="14.1" customHeight="1"/>
    <row r="306" ht="14.1" customHeight="1"/>
    <row r="307" ht="14.1" customHeight="1"/>
    <row r="308" ht="14.1" customHeight="1"/>
    <row r="309" ht="14.1" customHeight="1"/>
    <row r="310" ht="14.1" customHeight="1"/>
    <row r="311" ht="14.1" customHeight="1"/>
    <row r="312" ht="14.1" customHeight="1"/>
    <row r="313" ht="14.1" customHeight="1"/>
    <row r="314" ht="14.1" customHeight="1"/>
    <row r="315" ht="14.1" customHeight="1"/>
    <row r="316" ht="14.1" customHeight="1"/>
    <row r="317" ht="14.1" customHeight="1"/>
    <row r="318" ht="14.1" customHeight="1"/>
    <row r="319" ht="14.1" customHeight="1"/>
    <row r="320" ht="14.1" customHeight="1"/>
    <row r="321" ht="14.1" customHeight="1"/>
    <row r="322" ht="14.1" customHeight="1"/>
    <row r="323" ht="14.1" customHeight="1"/>
    <row r="324" ht="14.1" customHeight="1"/>
    <row r="325" ht="14.1" customHeight="1"/>
    <row r="326" ht="14.1" customHeight="1"/>
    <row r="327" ht="14.1" customHeight="1"/>
    <row r="328" ht="14.1" customHeight="1"/>
    <row r="329" ht="14.1" customHeight="1"/>
    <row r="330" ht="14.1" customHeight="1"/>
    <row r="331" ht="14.1" customHeight="1"/>
    <row r="332" ht="14.1" customHeight="1"/>
    <row r="333" ht="14.1" customHeight="1"/>
    <row r="334" ht="14.1" customHeight="1"/>
    <row r="335" ht="14.1" customHeight="1"/>
    <row r="336" ht="14.1" customHeight="1"/>
    <row r="337" ht="14.1" customHeight="1"/>
    <row r="338" ht="14.1" customHeight="1"/>
    <row r="339" ht="14.1" customHeight="1"/>
    <row r="340" ht="14.1" customHeight="1"/>
    <row r="341" ht="14.1" customHeight="1"/>
    <row r="342" ht="14.1" customHeight="1"/>
    <row r="343" ht="14.1" customHeight="1"/>
    <row r="344" ht="14.1" customHeight="1"/>
    <row r="345" ht="14.1" customHeight="1"/>
    <row r="346" ht="14.1" customHeight="1"/>
    <row r="347" ht="14.1" customHeight="1"/>
    <row r="348" ht="14.1" customHeight="1"/>
    <row r="349" ht="14.1" customHeight="1"/>
    <row r="350" ht="14.1" customHeight="1"/>
    <row r="351" ht="14.1" customHeight="1"/>
    <row r="352" ht="14.1" customHeight="1"/>
    <row r="353" ht="14.1" customHeight="1"/>
    <row r="354" ht="14.1" customHeight="1"/>
    <row r="355" ht="14.1" customHeight="1"/>
    <row r="356" ht="14.1" customHeight="1"/>
    <row r="357" ht="14.1" customHeight="1"/>
    <row r="358" ht="14.1" customHeight="1"/>
    <row r="359" ht="14.1" customHeight="1"/>
    <row r="360" ht="14.1" customHeight="1"/>
    <row r="361" ht="14.1" customHeight="1"/>
    <row r="362" ht="14.1" customHeight="1"/>
    <row r="363" ht="14.1" customHeight="1"/>
    <row r="364" ht="14.1" customHeight="1"/>
    <row r="365" ht="14.1" customHeight="1"/>
    <row r="366" ht="14.1" customHeight="1"/>
    <row r="367" ht="14.1" customHeight="1"/>
    <row r="368" ht="14.1" customHeight="1"/>
    <row r="369" ht="14.1" customHeight="1"/>
    <row r="370" ht="14.1" customHeight="1"/>
    <row r="371" ht="14.1" customHeight="1"/>
    <row r="372" ht="14.1" customHeight="1"/>
    <row r="373" ht="14.1" customHeight="1"/>
    <row r="374" ht="14.1" customHeight="1"/>
    <row r="375" ht="14.1" customHeight="1"/>
    <row r="376" ht="14.1" customHeight="1"/>
    <row r="377" ht="14.1" customHeight="1"/>
    <row r="378" ht="14.1" customHeight="1"/>
    <row r="379" ht="14.1" customHeight="1"/>
    <row r="380" ht="14.1" customHeight="1"/>
    <row r="381" ht="14.1" customHeight="1"/>
    <row r="382" ht="14.1" customHeight="1"/>
    <row r="383" ht="14.1" customHeight="1"/>
    <row r="384" ht="14.1" customHeight="1"/>
    <row r="385" ht="14.1" customHeight="1"/>
    <row r="386" ht="14.1" customHeight="1"/>
    <row r="387" ht="14.1" customHeight="1"/>
    <row r="388" ht="14.1" customHeight="1"/>
    <row r="389" ht="14.1" customHeight="1"/>
    <row r="390" ht="14.1" customHeight="1"/>
    <row r="391" ht="14.1" customHeight="1"/>
    <row r="392" ht="14.1" customHeight="1"/>
    <row r="393" ht="14.1" customHeight="1"/>
    <row r="394" ht="14.1" customHeight="1"/>
    <row r="395" ht="14.1" customHeight="1"/>
    <row r="396" ht="14.1" customHeight="1"/>
    <row r="397" ht="14.1" customHeight="1"/>
    <row r="398" ht="14.1" customHeight="1"/>
    <row r="399" ht="14.1" customHeight="1"/>
    <row r="400" ht="14.1" customHeight="1"/>
    <row r="401" ht="14.1" customHeight="1"/>
    <row r="402" ht="14.1" customHeight="1"/>
    <row r="403" ht="14.1" customHeight="1"/>
    <row r="404" ht="14.1" customHeight="1"/>
    <row r="405" ht="14.1" customHeight="1"/>
    <row r="406" ht="14.1" customHeight="1"/>
    <row r="407" ht="14.1" customHeight="1"/>
    <row r="408" ht="14.1" customHeight="1"/>
    <row r="409" ht="14.1" customHeight="1"/>
    <row r="410" ht="14.1" customHeight="1"/>
    <row r="411" ht="14.1" customHeight="1"/>
    <row r="412" ht="14.1" customHeight="1"/>
    <row r="413" ht="14.1" customHeight="1"/>
    <row r="414" ht="14.1" customHeight="1"/>
    <row r="415" ht="14.1" customHeight="1"/>
    <row r="416" ht="14.1" customHeight="1"/>
    <row r="417" ht="14.1" customHeight="1"/>
    <row r="418" ht="14.1" customHeight="1"/>
    <row r="419" ht="14.1" customHeight="1"/>
    <row r="420" ht="14.1" customHeight="1"/>
    <row r="421" ht="14.1" customHeight="1"/>
    <row r="422" ht="14.1" customHeight="1"/>
    <row r="423" ht="14.1" customHeight="1"/>
    <row r="424" ht="14.1" customHeight="1"/>
    <row r="425" ht="14.1" customHeight="1"/>
    <row r="426" ht="14.1" customHeight="1"/>
    <row r="427" ht="14.1" customHeight="1"/>
    <row r="428" ht="14.1" customHeight="1"/>
    <row r="429" ht="14.1" customHeight="1"/>
    <row r="430" ht="14.1" customHeight="1"/>
    <row r="431" ht="14.1" customHeight="1"/>
    <row r="432" ht="14.1" customHeight="1"/>
    <row r="433" ht="14.1" customHeight="1"/>
    <row r="434" ht="14.1" customHeight="1"/>
    <row r="435" ht="14.1" customHeight="1"/>
    <row r="436" ht="14.1" customHeight="1"/>
    <row r="437" ht="14.1" customHeight="1"/>
    <row r="438" ht="14.1" customHeight="1"/>
    <row r="439" ht="14.1" customHeight="1"/>
    <row r="440" ht="14.1" customHeight="1"/>
    <row r="441" ht="14.1" customHeight="1"/>
    <row r="442" ht="14.1" customHeight="1"/>
    <row r="443" ht="14.1" customHeight="1"/>
    <row r="444" ht="14.1" customHeight="1"/>
    <row r="445" ht="14.1" customHeight="1"/>
    <row r="446" ht="14.1" customHeight="1"/>
    <row r="447" ht="14.1" customHeight="1"/>
    <row r="448" ht="14.1" customHeight="1"/>
    <row r="449" ht="14.1" customHeight="1"/>
    <row r="450" ht="14.1" customHeight="1"/>
    <row r="451" ht="14.1" customHeight="1"/>
    <row r="452" ht="14.1" customHeight="1"/>
    <row r="453" ht="14.1" customHeight="1"/>
    <row r="454" ht="14.1" customHeight="1"/>
    <row r="455" ht="14.1" customHeight="1"/>
    <row r="456" ht="14.1" customHeight="1"/>
    <row r="457" ht="14.1" customHeight="1"/>
    <row r="458" ht="14.1" customHeight="1"/>
    <row r="459" ht="14.1" customHeight="1"/>
    <row r="460" ht="14.1" customHeight="1"/>
    <row r="461" ht="14.1" customHeight="1"/>
    <row r="462" ht="14.1" customHeight="1"/>
    <row r="463" ht="14.1" customHeight="1"/>
    <row r="464" ht="14.1" customHeight="1"/>
    <row r="465" ht="14.1" customHeight="1"/>
    <row r="466" ht="14.1" customHeight="1"/>
    <row r="467" ht="14.1" customHeight="1"/>
    <row r="468" ht="14.1" customHeight="1"/>
    <row r="469" ht="14.1" customHeight="1"/>
    <row r="470" ht="14.1" customHeight="1"/>
    <row r="471" ht="14.1" customHeight="1"/>
    <row r="472" ht="14.1" customHeight="1"/>
    <row r="473" ht="14.1" customHeight="1"/>
    <row r="474" ht="14.1" customHeight="1"/>
    <row r="475" ht="14.1" customHeight="1"/>
    <row r="476" ht="14.1" customHeight="1"/>
    <row r="477" ht="14.1" customHeight="1"/>
    <row r="478" ht="14.1" customHeight="1"/>
    <row r="479" ht="14.1" customHeight="1"/>
    <row r="480" ht="14.1" customHeight="1"/>
    <row r="481" ht="14.1" customHeight="1"/>
    <row r="482" ht="14.1" customHeight="1"/>
    <row r="483" ht="14.1" customHeight="1"/>
    <row r="484" ht="14.1" customHeight="1"/>
    <row r="485" ht="14.1" customHeight="1"/>
    <row r="486" ht="14.1" customHeight="1"/>
    <row r="487" ht="14.1" customHeight="1"/>
    <row r="488" ht="14.1" customHeight="1"/>
    <row r="489" ht="14.1" customHeight="1"/>
    <row r="490" ht="14.1" customHeight="1"/>
    <row r="491" ht="14.1" customHeight="1"/>
    <row r="492" ht="14.1" customHeight="1"/>
    <row r="493" ht="14.1" customHeight="1"/>
    <row r="494" ht="14.1" customHeight="1"/>
    <row r="495" ht="14.1" customHeight="1"/>
    <row r="496" ht="14.1" customHeight="1"/>
    <row r="497" ht="14.1" customHeight="1"/>
    <row r="498" ht="14.1" customHeight="1"/>
    <row r="499" ht="14.1" customHeight="1"/>
    <row r="500" ht="14.1" customHeight="1"/>
    <row r="501" ht="14.1" customHeight="1"/>
    <row r="502" ht="14.1" customHeight="1"/>
    <row r="503" ht="14.1" customHeight="1"/>
    <row r="504" ht="14.1" customHeight="1"/>
    <row r="505" ht="14.1" customHeight="1"/>
    <row r="506" ht="14.1" customHeight="1"/>
    <row r="507" ht="14.1" customHeight="1"/>
    <row r="508" ht="14.1" customHeight="1"/>
    <row r="509" ht="14.1" customHeight="1"/>
    <row r="510" ht="14.1" customHeight="1"/>
    <row r="511" ht="14.1" customHeight="1"/>
    <row r="512" ht="14.1" customHeight="1"/>
    <row r="513" ht="14.1" customHeight="1"/>
    <row r="514" ht="14.1" customHeight="1"/>
    <row r="515" ht="14.1" customHeight="1"/>
    <row r="516" ht="14.1" customHeight="1"/>
    <row r="517" ht="14.1" customHeight="1"/>
    <row r="518" ht="14.1" customHeight="1"/>
    <row r="519" ht="14.1" customHeight="1"/>
    <row r="520" ht="14.1" customHeight="1"/>
    <row r="521" ht="14.1" customHeight="1"/>
    <row r="522" ht="14.1" customHeight="1"/>
    <row r="523" ht="14.1" customHeight="1"/>
    <row r="524" ht="14.1" customHeight="1"/>
    <row r="525" ht="14.1" customHeight="1"/>
    <row r="526" ht="14.1" customHeight="1"/>
    <row r="527" ht="14.1" customHeight="1"/>
    <row r="528" ht="14.1" customHeight="1"/>
    <row r="529" ht="14.1" customHeight="1"/>
    <row r="530" ht="14.1" customHeight="1"/>
    <row r="531" ht="14.1" customHeight="1"/>
    <row r="532" ht="14.1" customHeight="1"/>
    <row r="533" ht="14.1" customHeight="1"/>
    <row r="534" ht="14.1" customHeight="1"/>
    <row r="535" ht="14.1" customHeight="1"/>
    <row r="536" ht="14.1" customHeight="1"/>
    <row r="537" ht="14.1" customHeight="1"/>
    <row r="538" ht="14.1" customHeight="1"/>
    <row r="539" ht="14.1" customHeight="1"/>
    <row r="540" ht="14.1" customHeight="1"/>
    <row r="541" ht="14.1" customHeight="1"/>
    <row r="542" ht="14.1" customHeight="1"/>
    <row r="543" ht="14.1" customHeight="1"/>
    <row r="544" ht="14.1" customHeight="1"/>
    <row r="545" ht="14.1" customHeight="1"/>
    <row r="546" ht="14.1" customHeight="1"/>
    <row r="547" ht="14.1" customHeight="1"/>
    <row r="548" ht="14.1" customHeight="1"/>
    <row r="549" ht="14.1" customHeight="1"/>
    <row r="550" ht="14.1" customHeight="1"/>
    <row r="551" ht="14.1" customHeight="1"/>
    <row r="552" ht="14.1" customHeight="1"/>
    <row r="553" ht="14.1" customHeight="1"/>
    <row r="554" ht="14.1" customHeight="1"/>
    <row r="555" ht="14.1" customHeight="1"/>
    <row r="556" ht="14.1" customHeight="1"/>
    <row r="557" ht="14.1" customHeight="1"/>
    <row r="558" ht="14.1" customHeight="1"/>
    <row r="559" ht="14.1" customHeight="1"/>
    <row r="560" ht="14.1" customHeight="1"/>
    <row r="561" ht="14.1" customHeight="1"/>
    <row r="562" ht="14.1" customHeight="1"/>
    <row r="563" ht="14.1" customHeight="1"/>
    <row r="564" ht="14.1" customHeight="1"/>
    <row r="565" ht="14.1" customHeight="1"/>
    <row r="566" ht="14.1" customHeight="1"/>
    <row r="567" ht="14.1" customHeight="1"/>
    <row r="568" ht="14.1" customHeight="1"/>
    <row r="569" ht="14.1" customHeight="1"/>
    <row r="570" ht="14.1" customHeight="1"/>
    <row r="571" ht="14.1" customHeight="1"/>
    <row r="572" ht="14.1" customHeight="1"/>
    <row r="573" ht="14.1" customHeight="1"/>
    <row r="574" ht="14.1" customHeight="1"/>
    <row r="575" ht="14.1" customHeight="1"/>
    <row r="576" ht="14.1" customHeight="1"/>
    <row r="577" ht="14.1" customHeight="1"/>
    <row r="578" ht="14.1" customHeight="1"/>
    <row r="579" ht="14.1" customHeight="1"/>
    <row r="580" ht="14.1" customHeight="1"/>
    <row r="581" ht="14.1" customHeight="1"/>
    <row r="582" ht="14.1" customHeight="1"/>
    <row r="583" ht="14.1" customHeight="1"/>
    <row r="584" ht="14.1" customHeight="1"/>
    <row r="585" ht="14.1" customHeight="1"/>
    <row r="586" ht="14.1" customHeight="1"/>
    <row r="587" ht="14.1" customHeight="1"/>
    <row r="588" ht="14.1" customHeight="1"/>
    <row r="589" ht="14.1" customHeight="1"/>
    <row r="590" ht="14.1" customHeight="1"/>
    <row r="591" ht="14.1" customHeight="1"/>
    <row r="592" ht="14.1" customHeight="1"/>
    <row r="593" ht="14.1" customHeight="1"/>
    <row r="594" ht="14.1" customHeight="1"/>
    <row r="595" ht="14.1" customHeight="1"/>
    <row r="596" ht="14.1" customHeight="1"/>
    <row r="597" ht="14.1" customHeight="1"/>
    <row r="598" ht="14.1" customHeight="1"/>
    <row r="599" ht="14.1" customHeight="1"/>
    <row r="600" ht="14.1" customHeight="1"/>
    <row r="601" ht="14.1" customHeight="1"/>
    <row r="602" ht="14.1" customHeight="1"/>
    <row r="603" ht="14.1" customHeight="1"/>
    <row r="604" ht="14.1" customHeight="1"/>
    <row r="605" ht="14.1" customHeight="1"/>
    <row r="606" ht="14.1" customHeight="1"/>
    <row r="607" ht="14.1" customHeight="1"/>
    <row r="608" ht="14.1" customHeight="1"/>
    <row r="609" ht="14.1" customHeight="1"/>
    <row r="610" ht="14.1" customHeight="1"/>
    <row r="611" ht="14.1" customHeight="1"/>
    <row r="612" ht="14.1" customHeight="1"/>
    <row r="613" ht="14.1" customHeight="1"/>
    <row r="614" ht="14.1" customHeight="1"/>
    <row r="615" ht="14.1" customHeight="1"/>
    <row r="616" ht="14.1" customHeight="1"/>
    <row r="617" ht="14.1" customHeight="1"/>
    <row r="618" ht="14.1" customHeight="1"/>
    <row r="619" ht="14.1" customHeight="1"/>
    <row r="620" ht="14.1" customHeight="1"/>
    <row r="621" ht="14.1" customHeight="1"/>
    <row r="622" ht="14.1" customHeight="1"/>
    <row r="623" ht="14.1" customHeight="1"/>
    <row r="624" ht="14.1" customHeight="1"/>
    <row r="625" ht="14.1" customHeight="1"/>
    <row r="626" ht="14.1" customHeight="1"/>
    <row r="627" ht="14.1" customHeight="1"/>
    <row r="628" ht="14.1" customHeight="1"/>
    <row r="629" ht="14.1" customHeight="1"/>
    <row r="630" ht="14.1" customHeight="1"/>
    <row r="631" ht="14.1" customHeight="1"/>
    <row r="632" ht="14.1" customHeight="1"/>
    <row r="633" ht="14.1" customHeight="1"/>
    <row r="634" ht="14.1" customHeight="1"/>
    <row r="635" ht="14.1" customHeight="1"/>
    <row r="636" ht="14.1" customHeight="1"/>
    <row r="637" ht="14.1" customHeight="1"/>
    <row r="638" ht="14.1" customHeight="1"/>
    <row r="639" ht="14.1" customHeight="1"/>
    <row r="640" ht="14.1" customHeight="1"/>
    <row r="641" ht="14.1" customHeight="1"/>
    <row r="642" ht="14.1" customHeight="1"/>
    <row r="643" ht="14.1" customHeight="1"/>
    <row r="644" ht="14.1" customHeight="1"/>
    <row r="645" ht="14.1" customHeight="1"/>
    <row r="646" ht="14.1" customHeight="1"/>
    <row r="647" ht="14.1" customHeight="1"/>
    <row r="648" ht="14.1" customHeight="1"/>
    <row r="649" ht="14.1" customHeight="1"/>
    <row r="650" ht="14.1" customHeight="1"/>
    <row r="651" ht="14.1" customHeight="1"/>
    <row r="652" ht="14.1" customHeight="1"/>
    <row r="653" ht="14.1" customHeight="1"/>
    <row r="654" ht="14.1" customHeight="1"/>
    <row r="655" ht="14.1" customHeight="1"/>
    <row r="656" ht="14.1" customHeight="1"/>
    <row r="657" ht="14.1" customHeight="1"/>
    <row r="658" ht="14.1" customHeight="1"/>
    <row r="659" ht="14.1" customHeight="1"/>
    <row r="660" ht="14.1" customHeight="1"/>
    <row r="661" ht="14.1" customHeight="1"/>
    <row r="662" ht="14.1" customHeight="1"/>
    <row r="663" ht="14.1" customHeight="1"/>
    <row r="664" ht="14.1" customHeight="1"/>
    <row r="665" ht="14.1" customHeight="1"/>
    <row r="666" ht="14.1" customHeight="1"/>
    <row r="667" ht="14.1" customHeight="1"/>
    <row r="668" ht="14.1" customHeight="1"/>
    <row r="669" ht="14.1" customHeight="1"/>
    <row r="670" ht="14.1" customHeight="1"/>
    <row r="671" ht="14.1" customHeight="1"/>
    <row r="672" ht="14.1" customHeight="1"/>
    <row r="673" ht="14.1" customHeight="1"/>
    <row r="674" ht="14.1" customHeight="1"/>
    <row r="675" ht="14.1" customHeight="1"/>
    <row r="676" ht="14.1" customHeight="1"/>
    <row r="677" ht="14.1" customHeight="1"/>
    <row r="678" ht="14.1" customHeight="1"/>
    <row r="679" ht="14.1" customHeight="1"/>
    <row r="680" ht="14.1" customHeight="1"/>
    <row r="681" ht="14.1" customHeight="1"/>
    <row r="682" ht="14.1" customHeight="1"/>
    <row r="683" ht="14.1" customHeight="1"/>
    <row r="684" ht="14.1" customHeight="1"/>
    <row r="685" ht="14.1" customHeight="1"/>
    <row r="686" ht="14.1" customHeight="1"/>
    <row r="687" ht="14.1" customHeight="1"/>
    <row r="688" ht="14.1" customHeight="1"/>
    <row r="689" ht="14.1" customHeight="1"/>
    <row r="690" ht="14.1" customHeight="1"/>
    <row r="691" ht="14.1" customHeight="1"/>
    <row r="692" ht="14.1" customHeight="1"/>
    <row r="693" ht="14.1" customHeight="1"/>
    <row r="694" ht="14.1" customHeight="1"/>
    <row r="695" ht="14.1" customHeight="1"/>
    <row r="696" ht="14.1" customHeight="1"/>
    <row r="697" ht="14.1" customHeight="1"/>
    <row r="698" ht="14.1" customHeight="1"/>
    <row r="699" ht="14.1" customHeight="1"/>
    <row r="700" ht="14.1" customHeight="1"/>
    <row r="701" ht="14.1" customHeight="1"/>
    <row r="702" ht="14.1" customHeight="1"/>
    <row r="703" ht="14.1" customHeight="1"/>
    <row r="704" ht="14.1" customHeight="1"/>
    <row r="705" ht="14.1" customHeight="1"/>
    <row r="706" ht="14.1" customHeight="1"/>
    <row r="707" ht="14.1" customHeight="1"/>
    <row r="708" ht="14.1" customHeight="1"/>
    <row r="709" ht="14.1" customHeight="1"/>
    <row r="710" ht="14.1" customHeight="1"/>
    <row r="711" ht="14.1" customHeight="1"/>
    <row r="712" ht="14.1" customHeight="1"/>
    <row r="713" ht="14.1" customHeight="1"/>
    <row r="714" ht="14.1" customHeight="1"/>
    <row r="715" ht="14.1" customHeight="1"/>
    <row r="716" ht="14.1" customHeight="1"/>
    <row r="717" ht="14.1" customHeight="1"/>
    <row r="718" ht="14.1" customHeight="1"/>
    <row r="719" ht="14.1" customHeight="1"/>
    <row r="720" ht="14.1" customHeight="1"/>
    <row r="721" ht="14.1" customHeight="1"/>
    <row r="722" ht="14.1" customHeight="1"/>
    <row r="723" ht="14.1" customHeight="1"/>
    <row r="724" ht="14.1" customHeight="1"/>
    <row r="725" ht="14.1" customHeight="1"/>
    <row r="726" ht="14.1" customHeight="1"/>
    <row r="727" ht="14.1" customHeight="1"/>
    <row r="728" ht="14.1" customHeight="1"/>
    <row r="729" ht="14.1" customHeight="1"/>
    <row r="730" ht="14.1" customHeight="1"/>
    <row r="731" ht="14.1" customHeight="1"/>
    <row r="732" ht="14.1" customHeight="1"/>
    <row r="733" ht="14.1" customHeight="1"/>
    <row r="734" ht="14.1" customHeight="1"/>
    <row r="735" ht="14.1" customHeight="1"/>
    <row r="736" ht="14.1" customHeight="1"/>
    <row r="737" ht="14.1" customHeight="1"/>
    <row r="738" ht="14.1" customHeight="1"/>
    <row r="739" ht="14.1" customHeight="1"/>
    <row r="740" ht="14.1" customHeight="1"/>
    <row r="741" ht="14.1" customHeight="1"/>
    <row r="742" ht="14.1" customHeight="1"/>
    <row r="743" ht="14.1" customHeight="1"/>
    <row r="744" ht="14.1" customHeight="1"/>
    <row r="745" ht="14.1" customHeight="1"/>
    <row r="746" ht="14.1" customHeight="1"/>
    <row r="747" ht="14.1" customHeight="1"/>
    <row r="748" ht="14.1" customHeight="1"/>
    <row r="749" ht="14.1" customHeight="1"/>
    <row r="750" ht="14.1" customHeight="1"/>
    <row r="751" ht="14.1" customHeight="1"/>
    <row r="752" ht="14.1" customHeight="1"/>
    <row r="753" ht="14.1" customHeight="1"/>
    <row r="754" ht="14.1" customHeight="1"/>
    <row r="755" ht="14.1" customHeight="1"/>
    <row r="756" ht="14.1" customHeight="1"/>
    <row r="757" ht="14.1" customHeight="1"/>
    <row r="758" ht="14.1" customHeight="1"/>
    <row r="759" ht="14.1" customHeight="1"/>
    <row r="760" ht="14.1" customHeight="1"/>
    <row r="761" ht="14.1" customHeight="1"/>
    <row r="762" ht="14.1" customHeight="1"/>
    <row r="763" ht="14.1" customHeight="1"/>
    <row r="764" ht="14.1" customHeight="1"/>
    <row r="765" ht="14.1" customHeight="1"/>
    <row r="766" ht="14.1" customHeight="1"/>
    <row r="767" ht="14.1" customHeight="1"/>
    <row r="768" ht="14.1" customHeight="1"/>
    <row r="769" ht="14.1" customHeight="1"/>
    <row r="770" ht="14.1" customHeight="1"/>
    <row r="771" ht="14.1" customHeight="1"/>
    <row r="772" ht="14.1" customHeight="1"/>
    <row r="773" ht="14.1" customHeight="1"/>
    <row r="774" ht="14.1" customHeight="1"/>
    <row r="775" ht="14.1" customHeight="1"/>
    <row r="776" ht="14.1" customHeight="1"/>
    <row r="777" ht="14.1" customHeight="1"/>
    <row r="778" ht="14.1" customHeight="1"/>
    <row r="779" ht="14.1" customHeight="1"/>
    <row r="780" ht="14.1" customHeight="1"/>
    <row r="781" ht="14.1" customHeight="1"/>
    <row r="782" ht="14.1" customHeight="1"/>
    <row r="783" ht="14.1" customHeight="1"/>
    <row r="784" ht="14.1" customHeight="1"/>
    <row r="785" ht="14.1" customHeight="1"/>
    <row r="786" ht="14.1" customHeight="1"/>
    <row r="787" ht="14.1" customHeight="1"/>
    <row r="788" ht="14.1" customHeight="1"/>
    <row r="789" ht="14.1" customHeight="1"/>
    <row r="790" ht="14.1" customHeight="1"/>
    <row r="791" ht="14.1" customHeight="1"/>
    <row r="792" ht="14.1" customHeight="1"/>
    <row r="793" ht="14.1" customHeight="1"/>
  </sheetData>
  <conditionalFormatting sqref="G1:G48 G77:G1048576">
    <cfRule type="duplicateValues" dxfId="7" priority="7"/>
  </conditionalFormatting>
  <conditionalFormatting sqref="G71:G76">
    <cfRule type="duplicateValues" dxfId="6" priority="5"/>
  </conditionalFormatting>
  <conditionalFormatting sqref="I19:I20 I22 I24:I27">
    <cfRule type="duplicateValues" dxfId="5" priority="3"/>
  </conditionalFormatting>
  <conditionalFormatting sqref="I71:I76">
    <cfRule type="duplicateValues" dxfId="4" priority="2"/>
  </conditionalFormatting>
  <pageMargins left="0.7" right="0.7" top="0.75" bottom="0.75" header="0.3" footer="0.3"/>
  <pageSetup paperSize="9" orientation="portrait"/>
  <headerFooter>
    <oddFooter>&amp;L&amp;"Arial"&amp;7 &amp;KDAD4CE_x000D_# Internal_x000D_&amp;1#&amp;"Arial"&amp;7&amp;KDAD4CE Public</oddFooter>
  </headerFooter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6">
    <tabColor rgb="FF92D050"/>
    <pageSetUpPr fitToPage="1"/>
  </sheetPr>
  <dimension ref="A1:U793"/>
  <sheetViews>
    <sheetView zoomScale="80" zoomScaleNormal="80" workbookViewId="0">
      <pane ySplit="4" topLeftCell="A5" activePane="bottomLeft" state="frozen"/>
      <selection activeCell="A16" sqref="A16"/>
      <selection pane="bottomLeft" activeCell="A14" sqref="A14"/>
    </sheetView>
  </sheetViews>
  <sheetFormatPr defaultColWidth="8.85546875" defaultRowHeight="15" customHeight="1"/>
  <cols>
    <col min="1" max="1" width="4.140625" style="3" customWidth="1"/>
    <col min="2" max="3" width="8.5703125" style="20" customWidth="1"/>
    <col min="4" max="4" width="14.5703125" style="3" customWidth="1"/>
    <col min="5" max="5" width="20.5703125" style="20" customWidth="1"/>
    <col min="6" max="6" width="8.5703125" style="3" customWidth="1"/>
    <col min="7" max="7" width="32.5703125" style="2" customWidth="1"/>
    <col min="8" max="8" width="18.5703125" style="3" customWidth="1"/>
    <col min="9" max="9" width="62.5703125" style="2" customWidth="1"/>
    <col min="10" max="12" width="9.5703125" style="3" customWidth="1"/>
    <col min="13" max="13" width="10.5703125" style="3" customWidth="1"/>
    <col min="14" max="14" width="8.5703125" style="3" customWidth="1"/>
    <col min="15" max="15" width="10.5703125" style="3" customWidth="1"/>
    <col min="16" max="16" width="5.5703125" style="3" customWidth="1"/>
    <col min="17" max="17" width="1.5703125" style="2" customWidth="1"/>
    <col min="18" max="18" width="10.5703125" style="30" customWidth="1"/>
    <col min="19" max="19" width="1.5703125" style="2" customWidth="1"/>
    <col min="20" max="21" width="10.5703125" style="2" customWidth="1"/>
    <col min="22" max="212" width="8.85546875" style="2" customWidth="1"/>
    <col min="213" max="213" width="8.140625" style="2" customWidth="1"/>
    <col min="214" max="214" width="14.5703125" style="2" customWidth="1"/>
    <col min="215" max="215" width="37.42578125" style="2" customWidth="1"/>
    <col min="216" max="216" width="63.140625" style="2" customWidth="1"/>
    <col min="217" max="217" width="20" style="2" customWidth="1"/>
    <col min="218" max="218" width="11.140625" style="2" customWidth="1"/>
    <col min="219" max="219" width="10.85546875" style="2" customWidth="1"/>
    <col min="220" max="220" width="21" style="2" customWidth="1"/>
    <col min="221" max="221" width="10.85546875" style="2" customWidth="1"/>
    <col min="222" max="222" width="17.42578125" style="2" customWidth="1"/>
    <col min="223" max="223" width="14.85546875" style="2" customWidth="1"/>
    <col min="224" max="224" width="15" style="2" customWidth="1"/>
    <col min="225" max="225" width="14.85546875" style="2" customWidth="1"/>
    <col min="226" max="226" width="7.140625" style="2" customWidth="1"/>
    <col min="227" max="228" width="20.140625" style="2" customWidth="1"/>
    <col min="229" max="229" width="18.42578125" style="2" customWidth="1"/>
    <col min="230" max="230" width="9.140625" style="2" customWidth="1"/>
    <col min="231" max="231" width="12" style="2" customWidth="1"/>
    <col min="232" max="232" width="14.85546875" style="2" customWidth="1"/>
    <col min="233" max="233" width="22.42578125" style="2" customWidth="1"/>
    <col min="234" max="234" width="14.85546875" style="2" customWidth="1"/>
    <col min="235" max="235" width="7.140625" style="2" customWidth="1"/>
    <col min="236" max="236" width="20.140625" style="2" customWidth="1"/>
    <col min="237" max="468" width="8.85546875" style="2" customWidth="1"/>
    <col min="469" max="469" width="8.140625" style="2" customWidth="1"/>
    <col min="470" max="470" width="14.5703125" style="2" customWidth="1"/>
    <col min="471" max="471" width="37.42578125" style="2" customWidth="1"/>
    <col min="472" max="472" width="63.140625" style="2" customWidth="1"/>
    <col min="473" max="473" width="20" style="2" customWidth="1"/>
    <col min="474" max="474" width="11.140625" style="2" customWidth="1"/>
    <col min="475" max="475" width="10.85546875" style="2" customWidth="1"/>
    <col min="476" max="476" width="21" style="2" customWidth="1"/>
    <col min="477" max="477" width="10.85546875" style="2" customWidth="1"/>
    <col min="478" max="478" width="17.42578125" style="2" customWidth="1"/>
    <col min="479" max="479" width="14.85546875" style="2" customWidth="1"/>
    <col min="480" max="480" width="15" style="2" customWidth="1"/>
    <col min="481" max="481" width="14.85546875" style="2" customWidth="1"/>
    <col min="482" max="482" width="7.140625" style="2" customWidth="1"/>
    <col min="483" max="484" width="20.140625" style="2" customWidth="1"/>
    <col min="485" max="485" width="18.42578125" style="2" customWidth="1"/>
    <col min="486" max="486" width="9.140625" style="2" customWidth="1"/>
    <col min="487" max="487" width="12" style="2" customWidth="1"/>
    <col min="488" max="488" width="14.85546875" style="2" customWidth="1"/>
    <col min="489" max="489" width="22.42578125" style="2" customWidth="1"/>
    <col min="490" max="490" width="14.85546875" style="2" customWidth="1"/>
    <col min="491" max="491" width="7.140625" style="2" customWidth="1"/>
    <col min="492" max="492" width="20.140625" style="2" customWidth="1"/>
    <col min="493" max="724" width="8.85546875" style="2" customWidth="1"/>
    <col min="725" max="725" width="8.140625" style="2" customWidth="1"/>
    <col min="726" max="726" width="14.5703125" style="2" customWidth="1"/>
    <col min="727" max="727" width="37.42578125" style="2" customWidth="1"/>
    <col min="728" max="728" width="63.140625" style="2" customWidth="1"/>
    <col min="729" max="729" width="20" style="2" customWidth="1"/>
    <col min="730" max="730" width="11.140625" style="2" customWidth="1"/>
    <col min="731" max="731" width="10.85546875" style="2" customWidth="1"/>
    <col min="732" max="732" width="21" style="2" customWidth="1"/>
    <col min="733" max="733" width="10.85546875" style="2" customWidth="1"/>
    <col min="734" max="734" width="17.42578125" style="2" customWidth="1"/>
    <col min="735" max="735" width="14.85546875" style="2" customWidth="1"/>
    <col min="736" max="736" width="15" style="2" customWidth="1"/>
    <col min="737" max="737" width="14.85546875" style="2" customWidth="1"/>
    <col min="738" max="738" width="7.140625" style="2" customWidth="1"/>
    <col min="739" max="740" width="20.140625" style="2" customWidth="1"/>
    <col min="741" max="741" width="18.42578125" style="2" customWidth="1"/>
    <col min="742" max="742" width="9.140625" style="2" customWidth="1"/>
    <col min="743" max="743" width="12" style="2" customWidth="1"/>
    <col min="744" max="744" width="14.85546875" style="2" customWidth="1"/>
    <col min="745" max="745" width="22.42578125" style="2" customWidth="1"/>
    <col min="746" max="746" width="14.85546875" style="2" customWidth="1"/>
    <col min="747" max="747" width="7.140625" style="2" customWidth="1"/>
    <col min="748" max="748" width="20.140625" style="2" customWidth="1"/>
    <col min="749" max="980" width="8.85546875" style="2" customWidth="1"/>
    <col min="981" max="981" width="8.140625" style="2" customWidth="1"/>
    <col min="982" max="982" width="14.5703125" style="2" customWidth="1"/>
    <col min="983" max="983" width="37.42578125" style="2" customWidth="1"/>
    <col min="984" max="984" width="63.140625" style="2" customWidth="1"/>
    <col min="985" max="985" width="20" style="2" customWidth="1"/>
    <col min="986" max="986" width="11.140625" style="2" customWidth="1"/>
    <col min="987" max="987" width="10.85546875" style="2" customWidth="1"/>
    <col min="988" max="988" width="21" style="2" customWidth="1"/>
    <col min="989" max="989" width="10.85546875" style="2" customWidth="1"/>
    <col min="990" max="990" width="17.42578125" style="2" customWidth="1"/>
    <col min="991" max="991" width="14.85546875" style="2" customWidth="1"/>
    <col min="992" max="992" width="15" style="2" customWidth="1"/>
    <col min="993" max="993" width="14.85546875" style="2" customWidth="1"/>
    <col min="994" max="994" width="7.140625" style="2" customWidth="1"/>
    <col min="995" max="996" width="20.140625" style="2" customWidth="1"/>
    <col min="997" max="997" width="18.42578125" style="2" customWidth="1"/>
    <col min="998" max="998" width="9.140625" style="2" customWidth="1"/>
    <col min="999" max="999" width="12" style="2" customWidth="1"/>
    <col min="1000" max="1000" width="14.85546875" style="2" customWidth="1"/>
    <col min="1001" max="1001" width="22.42578125" style="2" customWidth="1"/>
    <col min="1002" max="1002" width="14.85546875" style="2" customWidth="1"/>
    <col min="1003" max="1003" width="7.140625" style="2" customWidth="1"/>
    <col min="1004" max="1004" width="20.140625" style="2" customWidth="1"/>
    <col min="1005" max="1236" width="8.85546875" style="2" customWidth="1"/>
    <col min="1237" max="1237" width="8.140625" style="2" customWidth="1"/>
    <col min="1238" max="1238" width="14.5703125" style="2" customWidth="1"/>
    <col min="1239" max="1239" width="37.42578125" style="2" customWidth="1"/>
    <col min="1240" max="1240" width="63.140625" style="2" customWidth="1"/>
    <col min="1241" max="1241" width="20" style="2" customWidth="1"/>
    <col min="1242" max="1242" width="11.140625" style="2" customWidth="1"/>
    <col min="1243" max="1243" width="10.85546875" style="2" customWidth="1"/>
    <col min="1244" max="1244" width="21" style="2" customWidth="1"/>
    <col min="1245" max="1245" width="10.85546875" style="2" customWidth="1"/>
    <col min="1246" max="1246" width="17.42578125" style="2" customWidth="1"/>
    <col min="1247" max="1247" width="14.85546875" style="2" customWidth="1"/>
    <col min="1248" max="1248" width="15" style="2" customWidth="1"/>
    <col min="1249" max="1249" width="14.85546875" style="2" customWidth="1"/>
    <col min="1250" max="1250" width="7.140625" style="2" customWidth="1"/>
    <col min="1251" max="1252" width="20.140625" style="2" customWidth="1"/>
    <col min="1253" max="1253" width="18.42578125" style="2" customWidth="1"/>
    <col min="1254" max="1254" width="9.140625" style="2" customWidth="1"/>
    <col min="1255" max="1255" width="12" style="2" customWidth="1"/>
    <col min="1256" max="1256" width="14.85546875" style="2" customWidth="1"/>
    <col min="1257" max="1257" width="22.42578125" style="2" customWidth="1"/>
    <col min="1258" max="1258" width="14.85546875" style="2" customWidth="1"/>
    <col min="1259" max="1259" width="7.140625" style="2" customWidth="1"/>
    <col min="1260" max="1260" width="20.140625" style="2" customWidth="1"/>
    <col min="1261" max="1492" width="8.85546875" style="2" customWidth="1"/>
    <col min="1493" max="1493" width="8.140625" style="2" customWidth="1"/>
    <col min="1494" max="1494" width="14.5703125" style="2" customWidth="1"/>
    <col min="1495" max="1495" width="37.42578125" style="2" customWidth="1"/>
    <col min="1496" max="1496" width="63.140625" style="2" customWidth="1"/>
    <col min="1497" max="1497" width="20" style="2" customWidth="1"/>
    <col min="1498" max="1498" width="11.140625" style="2" customWidth="1"/>
    <col min="1499" max="1499" width="10.85546875" style="2" customWidth="1"/>
    <col min="1500" max="1500" width="21" style="2" customWidth="1"/>
    <col min="1501" max="1501" width="10.85546875" style="2" customWidth="1"/>
    <col min="1502" max="1502" width="17.42578125" style="2" customWidth="1"/>
    <col min="1503" max="1503" width="14.85546875" style="2" customWidth="1"/>
    <col min="1504" max="1504" width="15" style="2" customWidth="1"/>
    <col min="1505" max="1505" width="14.85546875" style="2" customWidth="1"/>
    <col min="1506" max="1506" width="7.140625" style="2" customWidth="1"/>
    <col min="1507" max="1508" width="20.140625" style="2" customWidth="1"/>
    <col min="1509" max="1509" width="18.42578125" style="2" customWidth="1"/>
    <col min="1510" max="1510" width="9.140625" style="2" customWidth="1"/>
    <col min="1511" max="1511" width="12" style="2" customWidth="1"/>
    <col min="1512" max="1512" width="14.85546875" style="2" customWidth="1"/>
    <col min="1513" max="1513" width="22.42578125" style="2" customWidth="1"/>
    <col min="1514" max="1514" width="14.85546875" style="2" customWidth="1"/>
    <col min="1515" max="1515" width="7.140625" style="2" customWidth="1"/>
    <col min="1516" max="1516" width="20.140625" style="2" customWidth="1"/>
    <col min="1517" max="1748" width="8.85546875" style="2" customWidth="1"/>
    <col min="1749" max="1749" width="8.140625" style="2" customWidth="1"/>
    <col min="1750" max="1750" width="14.5703125" style="2" customWidth="1"/>
    <col min="1751" max="1751" width="37.42578125" style="2" customWidth="1"/>
    <col min="1752" max="1752" width="63.140625" style="2" customWidth="1"/>
    <col min="1753" max="1753" width="20" style="2" customWidth="1"/>
    <col min="1754" max="1754" width="11.140625" style="2" customWidth="1"/>
    <col min="1755" max="1755" width="10.85546875" style="2" customWidth="1"/>
    <col min="1756" max="1756" width="21" style="2" customWidth="1"/>
    <col min="1757" max="1757" width="10.85546875" style="2" customWidth="1"/>
    <col min="1758" max="1758" width="17.42578125" style="2" customWidth="1"/>
    <col min="1759" max="1759" width="14.85546875" style="2" customWidth="1"/>
    <col min="1760" max="1760" width="15" style="2" customWidth="1"/>
    <col min="1761" max="1761" width="14.85546875" style="2" customWidth="1"/>
    <col min="1762" max="1762" width="7.140625" style="2" customWidth="1"/>
    <col min="1763" max="1764" width="20.140625" style="2" customWidth="1"/>
    <col min="1765" max="1765" width="18.42578125" style="2" customWidth="1"/>
    <col min="1766" max="1766" width="9.140625" style="2" customWidth="1"/>
    <col min="1767" max="1767" width="12" style="2" customWidth="1"/>
    <col min="1768" max="1768" width="14.85546875" style="2" customWidth="1"/>
    <col min="1769" max="1769" width="22.42578125" style="2" customWidth="1"/>
    <col min="1770" max="1770" width="14.85546875" style="2" customWidth="1"/>
    <col min="1771" max="1771" width="7.140625" style="2" customWidth="1"/>
    <col min="1772" max="1772" width="20.140625" style="2" customWidth="1"/>
    <col min="1773" max="2004" width="8.85546875" style="2" customWidth="1"/>
    <col min="2005" max="2005" width="8.140625" style="2" customWidth="1"/>
    <col min="2006" max="2006" width="14.5703125" style="2" customWidth="1"/>
    <col min="2007" max="2007" width="37.42578125" style="2" customWidth="1"/>
    <col min="2008" max="2008" width="63.140625" style="2" customWidth="1"/>
    <col min="2009" max="2009" width="20" style="2" customWidth="1"/>
    <col min="2010" max="2010" width="11.140625" style="2" customWidth="1"/>
    <col min="2011" max="2011" width="10.85546875" style="2" customWidth="1"/>
    <col min="2012" max="2012" width="21" style="2" customWidth="1"/>
    <col min="2013" max="2013" width="10.85546875" style="2" customWidth="1"/>
    <col min="2014" max="2014" width="17.42578125" style="2" customWidth="1"/>
    <col min="2015" max="2015" width="14.85546875" style="2" customWidth="1"/>
    <col min="2016" max="2016" width="15" style="2" customWidth="1"/>
    <col min="2017" max="2017" width="14.85546875" style="2" customWidth="1"/>
    <col min="2018" max="2018" width="7.140625" style="2" customWidth="1"/>
    <col min="2019" max="2020" width="20.140625" style="2" customWidth="1"/>
    <col min="2021" max="2021" width="18.42578125" style="2" customWidth="1"/>
    <col min="2022" max="2022" width="9.140625" style="2" customWidth="1"/>
    <col min="2023" max="2023" width="12" style="2" customWidth="1"/>
    <col min="2024" max="2024" width="14.85546875" style="2" customWidth="1"/>
    <col min="2025" max="2025" width="22.42578125" style="2" customWidth="1"/>
    <col min="2026" max="2026" width="14.85546875" style="2" customWidth="1"/>
    <col min="2027" max="2027" width="7.140625" style="2" customWidth="1"/>
    <col min="2028" max="2028" width="20.140625" style="2" customWidth="1"/>
    <col min="2029" max="2260" width="8.85546875" style="2" customWidth="1"/>
    <col min="2261" max="2261" width="8.140625" style="2" customWidth="1"/>
    <col min="2262" max="2262" width="14.5703125" style="2" customWidth="1"/>
    <col min="2263" max="2263" width="37.42578125" style="2" customWidth="1"/>
    <col min="2264" max="2264" width="63.140625" style="2" customWidth="1"/>
    <col min="2265" max="2265" width="20" style="2" customWidth="1"/>
    <col min="2266" max="2266" width="11.140625" style="2" customWidth="1"/>
    <col min="2267" max="2267" width="10.85546875" style="2" customWidth="1"/>
    <col min="2268" max="2268" width="21" style="2" customWidth="1"/>
    <col min="2269" max="2269" width="10.85546875" style="2" customWidth="1"/>
    <col min="2270" max="2270" width="17.42578125" style="2" customWidth="1"/>
    <col min="2271" max="2271" width="14.85546875" style="2" customWidth="1"/>
    <col min="2272" max="2272" width="15" style="2" customWidth="1"/>
    <col min="2273" max="2273" width="14.85546875" style="2" customWidth="1"/>
    <col min="2274" max="2274" width="7.140625" style="2" customWidth="1"/>
    <col min="2275" max="2276" width="20.140625" style="2" customWidth="1"/>
    <col min="2277" max="2277" width="18.42578125" style="2" customWidth="1"/>
    <col min="2278" max="2278" width="9.140625" style="2" customWidth="1"/>
    <col min="2279" max="2279" width="12" style="2" customWidth="1"/>
    <col min="2280" max="2280" width="14.85546875" style="2" customWidth="1"/>
    <col min="2281" max="2281" width="22.42578125" style="2" customWidth="1"/>
    <col min="2282" max="2282" width="14.85546875" style="2" customWidth="1"/>
    <col min="2283" max="2283" width="7.140625" style="2" customWidth="1"/>
    <col min="2284" max="2284" width="20.140625" style="2" customWidth="1"/>
    <col min="2285" max="2516" width="8.85546875" style="2" customWidth="1"/>
    <col min="2517" max="2517" width="8.140625" style="2" customWidth="1"/>
    <col min="2518" max="2518" width="14.5703125" style="2" customWidth="1"/>
    <col min="2519" max="2519" width="37.42578125" style="2" customWidth="1"/>
    <col min="2520" max="2520" width="63.140625" style="2" customWidth="1"/>
    <col min="2521" max="2521" width="20" style="2" customWidth="1"/>
    <col min="2522" max="2522" width="11.140625" style="2" customWidth="1"/>
    <col min="2523" max="2523" width="10.85546875" style="2" customWidth="1"/>
    <col min="2524" max="2524" width="21" style="2" customWidth="1"/>
    <col min="2525" max="2525" width="10.85546875" style="2" customWidth="1"/>
    <col min="2526" max="2526" width="17.42578125" style="2" customWidth="1"/>
    <col min="2527" max="2527" width="14.85546875" style="2" customWidth="1"/>
    <col min="2528" max="2528" width="15" style="2" customWidth="1"/>
    <col min="2529" max="2529" width="14.85546875" style="2" customWidth="1"/>
    <col min="2530" max="2530" width="7.140625" style="2" customWidth="1"/>
    <col min="2531" max="2532" width="20.140625" style="2" customWidth="1"/>
    <col min="2533" max="2533" width="18.42578125" style="2" customWidth="1"/>
    <col min="2534" max="2534" width="9.140625" style="2" customWidth="1"/>
    <col min="2535" max="2535" width="12" style="2" customWidth="1"/>
    <col min="2536" max="2536" width="14.85546875" style="2" customWidth="1"/>
    <col min="2537" max="2537" width="22.42578125" style="2" customWidth="1"/>
    <col min="2538" max="2538" width="14.85546875" style="2" customWidth="1"/>
    <col min="2539" max="2539" width="7.140625" style="2" customWidth="1"/>
    <col min="2540" max="2540" width="20.140625" style="2" customWidth="1"/>
    <col min="2541" max="2772" width="8.85546875" style="2" customWidth="1"/>
    <col min="2773" max="2773" width="8.140625" style="2" customWidth="1"/>
    <col min="2774" max="2774" width="14.5703125" style="2" customWidth="1"/>
    <col min="2775" max="2775" width="37.42578125" style="2" customWidth="1"/>
    <col min="2776" max="2776" width="63.140625" style="2" customWidth="1"/>
    <col min="2777" max="2777" width="20" style="2" customWidth="1"/>
    <col min="2778" max="2778" width="11.140625" style="2" customWidth="1"/>
    <col min="2779" max="2779" width="10.85546875" style="2" customWidth="1"/>
    <col min="2780" max="2780" width="21" style="2" customWidth="1"/>
    <col min="2781" max="2781" width="10.85546875" style="2" customWidth="1"/>
    <col min="2782" max="2782" width="17.42578125" style="2" customWidth="1"/>
    <col min="2783" max="2783" width="14.85546875" style="2" customWidth="1"/>
    <col min="2784" max="2784" width="15" style="2" customWidth="1"/>
    <col min="2785" max="2785" width="14.85546875" style="2" customWidth="1"/>
    <col min="2786" max="2786" width="7.140625" style="2" customWidth="1"/>
    <col min="2787" max="2788" width="20.140625" style="2" customWidth="1"/>
    <col min="2789" max="2789" width="18.42578125" style="2" customWidth="1"/>
    <col min="2790" max="2790" width="9.140625" style="2" customWidth="1"/>
    <col min="2791" max="2791" width="12" style="2" customWidth="1"/>
    <col min="2792" max="2792" width="14.85546875" style="2" customWidth="1"/>
    <col min="2793" max="2793" width="22.42578125" style="2" customWidth="1"/>
    <col min="2794" max="2794" width="14.85546875" style="2" customWidth="1"/>
    <col min="2795" max="2795" width="7.140625" style="2" customWidth="1"/>
    <col min="2796" max="2796" width="20.140625" style="2" customWidth="1"/>
    <col min="2797" max="3028" width="8.85546875" style="2" customWidth="1"/>
    <col min="3029" max="3029" width="8.140625" style="2" customWidth="1"/>
    <col min="3030" max="3030" width="14.5703125" style="2" customWidth="1"/>
    <col min="3031" max="3031" width="37.42578125" style="2" customWidth="1"/>
    <col min="3032" max="3032" width="63.140625" style="2" customWidth="1"/>
    <col min="3033" max="3033" width="20" style="2" customWidth="1"/>
    <col min="3034" max="3034" width="11.140625" style="2" customWidth="1"/>
    <col min="3035" max="3035" width="10.85546875" style="2" customWidth="1"/>
    <col min="3036" max="3036" width="21" style="2" customWidth="1"/>
    <col min="3037" max="3037" width="10.85546875" style="2" customWidth="1"/>
    <col min="3038" max="3038" width="17.42578125" style="2" customWidth="1"/>
    <col min="3039" max="3039" width="14.85546875" style="2" customWidth="1"/>
    <col min="3040" max="3040" width="15" style="2" customWidth="1"/>
    <col min="3041" max="3041" width="14.85546875" style="2" customWidth="1"/>
    <col min="3042" max="3042" width="7.140625" style="2" customWidth="1"/>
    <col min="3043" max="3044" width="20.140625" style="2" customWidth="1"/>
    <col min="3045" max="3045" width="18.42578125" style="2" customWidth="1"/>
    <col min="3046" max="3046" width="9.140625" style="2" customWidth="1"/>
    <col min="3047" max="3047" width="12" style="2" customWidth="1"/>
    <col min="3048" max="3048" width="14.85546875" style="2" customWidth="1"/>
    <col min="3049" max="3049" width="22.42578125" style="2" customWidth="1"/>
    <col min="3050" max="3050" width="14.85546875" style="2" customWidth="1"/>
    <col min="3051" max="3051" width="7.140625" style="2" customWidth="1"/>
    <col min="3052" max="3052" width="20.140625" style="2" customWidth="1"/>
    <col min="3053" max="3284" width="8.85546875" style="2" customWidth="1"/>
    <col min="3285" max="3285" width="8.140625" style="2" customWidth="1"/>
    <col min="3286" max="3286" width="14.5703125" style="2" customWidth="1"/>
    <col min="3287" max="3287" width="37.42578125" style="2" customWidth="1"/>
    <col min="3288" max="3288" width="63.140625" style="2" customWidth="1"/>
    <col min="3289" max="3289" width="20" style="2" customWidth="1"/>
    <col min="3290" max="3290" width="11.140625" style="2" customWidth="1"/>
    <col min="3291" max="3291" width="10.85546875" style="2" customWidth="1"/>
    <col min="3292" max="3292" width="21" style="2" customWidth="1"/>
    <col min="3293" max="3293" width="10.85546875" style="2" customWidth="1"/>
    <col min="3294" max="3294" width="17.42578125" style="2" customWidth="1"/>
    <col min="3295" max="3295" width="14.85546875" style="2" customWidth="1"/>
    <col min="3296" max="3296" width="15" style="2" customWidth="1"/>
    <col min="3297" max="3297" width="14.85546875" style="2" customWidth="1"/>
    <col min="3298" max="3298" width="7.140625" style="2" customWidth="1"/>
    <col min="3299" max="3300" width="20.140625" style="2" customWidth="1"/>
    <col min="3301" max="3301" width="18.42578125" style="2" customWidth="1"/>
    <col min="3302" max="3302" width="9.140625" style="2" customWidth="1"/>
    <col min="3303" max="3303" width="12" style="2" customWidth="1"/>
    <col min="3304" max="3304" width="14.85546875" style="2" customWidth="1"/>
    <col min="3305" max="3305" width="22.42578125" style="2" customWidth="1"/>
    <col min="3306" max="3306" width="14.85546875" style="2" customWidth="1"/>
    <col min="3307" max="3307" width="7.140625" style="2" customWidth="1"/>
    <col min="3308" max="3308" width="20.140625" style="2" customWidth="1"/>
    <col min="3309" max="3540" width="8.85546875" style="2" customWidth="1"/>
    <col min="3541" max="3541" width="8.140625" style="2" customWidth="1"/>
    <col min="3542" max="3542" width="14.5703125" style="2" customWidth="1"/>
    <col min="3543" max="3543" width="37.42578125" style="2" customWidth="1"/>
    <col min="3544" max="3544" width="63.140625" style="2" customWidth="1"/>
    <col min="3545" max="3545" width="20" style="2" customWidth="1"/>
    <col min="3546" max="3546" width="11.140625" style="2" customWidth="1"/>
    <col min="3547" max="3547" width="10.85546875" style="2" customWidth="1"/>
    <col min="3548" max="3548" width="21" style="2" customWidth="1"/>
    <col min="3549" max="3549" width="10.85546875" style="2" customWidth="1"/>
    <col min="3550" max="3550" width="17.42578125" style="2" customWidth="1"/>
    <col min="3551" max="3551" width="14.85546875" style="2" customWidth="1"/>
    <col min="3552" max="3552" width="15" style="2" customWidth="1"/>
    <col min="3553" max="3553" width="14.85546875" style="2" customWidth="1"/>
    <col min="3554" max="3554" width="7.140625" style="2" customWidth="1"/>
    <col min="3555" max="3556" width="20.140625" style="2" customWidth="1"/>
    <col min="3557" max="3557" width="18.42578125" style="2" customWidth="1"/>
    <col min="3558" max="3558" width="9.140625" style="2" customWidth="1"/>
    <col min="3559" max="3559" width="12" style="2" customWidth="1"/>
    <col min="3560" max="3560" width="14.85546875" style="2" customWidth="1"/>
    <col min="3561" max="3561" width="22.42578125" style="2" customWidth="1"/>
    <col min="3562" max="3562" width="14.85546875" style="2" customWidth="1"/>
    <col min="3563" max="3563" width="7.140625" style="2" customWidth="1"/>
    <col min="3564" max="3564" width="20.140625" style="2" customWidth="1"/>
    <col min="3565" max="3796" width="8.85546875" style="2" customWidth="1"/>
    <col min="3797" max="3797" width="8.140625" style="2" customWidth="1"/>
    <col min="3798" max="3798" width="14.5703125" style="2" customWidth="1"/>
    <col min="3799" max="3799" width="37.42578125" style="2" customWidth="1"/>
    <col min="3800" max="3800" width="63.140625" style="2" customWidth="1"/>
    <col min="3801" max="3801" width="20" style="2" customWidth="1"/>
    <col min="3802" max="3802" width="11.140625" style="2" customWidth="1"/>
    <col min="3803" max="3803" width="10.85546875" style="2" customWidth="1"/>
    <col min="3804" max="3804" width="21" style="2" customWidth="1"/>
    <col min="3805" max="3805" width="10.85546875" style="2" customWidth="1"/>
    <col min="3806" max="3806" width="17.42578125" style="2" customWidth="1"/>
    <col min="3807" max="3807" width="14.85546875" style="2" customWidth="1"/>
    <col min="3808" max="3808" width="15" style="2" customWidth="1"/>
    <col min="3809" max="3809" width="14.85546875" style="2" customWidth="1"/>
    <col min="3810" max="3810" width="7.140625" style="2" customWidth="1"/>
    <col min="3811" max="3812" width="20.140625" style="2" customWidth="1"/>
    <col min="3813" max="3813" width="18.42578125" style="2" customWidth="1"/>
    <col min="3814" max="3814" width="9.140625" style="2" customWidth="1"/>
    <col min="3815" max="3815" width="12" style="2" customWidth="1"/>
    <col min="3816" max="3816" width="14.85546875" style="2" customWidth="1"/>
    <col min="3817" max="3817" width="22.42578125" style="2" customWidth="1"/>
    <col min="3818" max="3818" width="14.85546875" style="2" customWidth="1"/>
    <col min="3819" max="3819" width="7.140625" style="2" customWidth="1"/>
    <col min="3820" max="3820" width="20.140625" style="2" customWidth="1"/>
    <col min="3821" max="4052" width="8.85546875" style="2" customWidth="1"/>
    <col min="4053" max="4053" width="8.140625" style="2" customWidth="1"/>
    <col min="4054" max="4054" width="14.5703125" style="2" customWidth="1"/>
    <col min="4055" max="4055" width="37.42578125" style="2" customWidth="1"/>
    <col min="4056" max="4056" width="63.140625" style="2" customWidth="1"/>
    <col min="4057" max="4057" width="20" style="2" customWidth="1"/>
    <col min="4058" max="4058" width="11.140625" style="2" customWidth="1"/>
    <col min="4059" max="4059" width="10.85546875" style="2" customWidth="1"/>
    <col min="4060" max="4060" width="21" style="2" customWidth="1"/>
    <col min="4061" max="4061" width="10.85546875" style="2" customWidth="1"/>
    <col min="4062" max="4062" width="17.42578125" style="2" customWidth="1"/>
    <col min="4063" max="4063" width="14.85546875" style="2" customWidth="1"/>
    <col min="4064" max="4064" width="15" style="2" customWidth="1"/>
    <col min="4065" max="4065" width="14.85546875" style="2" customWidth="1"/>
    <col min="4066" max="4066" width="7.140625" style="2" customWidth="1"/>
    <col min="4067" max="4068" width="20.140625" style="2" customWidth="1"/>
    <col min="4069" max="4069" width="18.42578125" style="2" customWidth="1"/>
    <col min="4070" max="4070" width="9.140625" style="2" customWidth="1"/>
    <col min="4071" max="4071" width="12" style="2" customWidth="1"/>
    <col min="4072" max="4072" width="14.85546875" style="2" customWidth="1"/>
    <col min="4073" max="4073" width="22.42578125" style="2" customWidth="1"/>
    <col min="4074" max="4074" width="14.85546875" style="2" customWidth="1"/>
    <col min="4075" max="4075" width="7.140625" style="2" customWidth="1"/>
    <col min="4076" max="4076" width="20.140625" style="2" customWidth="1"/>
    <col min="4077" max="4308" width="8.85546875" style="2" customWidth="1"/>
    <col min="4309" max="4309" width="8.140625" style="2" customWidth="1"/>
    <col min="4310" max="4310" width="14.5703125" style="2" customWidth="1"/>
    <col min="4311" max="4311" width="37.42578125" style="2" customWidth="1"/>
    <col min="4312" max="4312" width="63.140625" style="2" customWidth="1"/>
    <col min="4313" max="4313" width="20" style="2" customWidth="1"/>
    <col min="4314" max="4314" width="11.140625" style="2" customWidth="1"/>
    <col min="4315" max="4315" width="10.85546875" style="2" customWidth="1"/>
    <col min="4316" max="4316" width="21" style="2" customWidth="1"/>
    <col min="4317" max="4317" width="10.85546875" style="2" customWidth="1"/>
    <col min="4318" max="4318" width="17.42578125" style="2" customWidth="1"/>
    <col min="4319" max="4319" width="14.85546875" style="2" customWidth="1"/>
    <col min="4320" max="4320" width="15" style="2" customWidth="1"/>
    <col min="4321" max="4321" width="14.85546875" style="2" customWidth="1"/>
    <col min="4322" max="4322" width="7.140625" style="2" customWidth="1"/>
    <col min="4323" max="4324" width="20.140625" style="2" customWidth="1"/>
    <col min="4325" max="4325" width="18.42578125" style="2" customWidth="1"/>
    <col min="4326" max="4326" width="9.140625" style="2" customWidth="1"/>
    <col min="4327" max="4327" width="12" style="2" customWidth="1"/>
    <col min="4328" max="4328" width="14.85546875" style="2" customWidth="1"/>
    <col min="4329" max="4329" width="22.42578125" style="2" customWidth="1"/>
    <col min="4330" max="4330" width="14.85546875" style="2" customWidth="1"/>
    <col min="4331" max="4331" width="7.140625" style="2" customWidth="1"/>
    <col min="4332" max="4332" width="20.140625" style="2" customWidth="1"/>
    <col min="4333" max="4564" width="8.85546875" style="2" customWidth="1"/>
    <col min="4565" max="4565" width="8.140625" style="2" customWidth="1"/>
    <col min="4566" max="4566" width="14.5703125" style="2" customWidth="1"/>
    <col min="4567" max="4567" width="37.42578125" style="2" customWidth="1"/>
    <col min="4568" max="4568" width="63.140625" style="2" customWidth="1"/>
    <col min="4569" max="4569" width="20" style="2" customWidth="1"/>
    <col min="4570" max="4570" width="11.140625" style="2" customWidth="1"/>
    <col min="4571" max="4571" width="10.85546875" style="2" customWidth="1"/>
    <col min="4572" max="4572" width="21" style="2" customWidth="1"/>
    <col min="4573" max="4573" width="10.85546875" style="2" customWidth="1"/>
    <col min="4574" max="4574" width="17.42578125" style="2" customWidth="1"/>
    <col min="4575" max="4575" width="14.85546875" style="2" customWidth="1"/>
    <col min="4576" max="4576" width="15" style="2" customWidth="1"/>
    <col min="4577" max="4577" width="14.85546875" style="2" customWidth="1"/>
    <col min="4578" max="4578" width="7.140625" style="2" customWidth="1"/>
    <col min="4579" max="4580" width="20.140625" style="2" customWidth="1"/>
    <col min="4581" max="4581" width="18.42578125" style="2" customWidth="1"/>
    <col min="4582" max="4582" width="9.140625" style="2" customWidth="1"/>
    <col min="4583" max="4583" width="12" style="2" customWidth="1"/>
    <col min="4584" max="4584" width="14.85546875" style="2" customWidth="1"/>
    <col min="4585" max="4585" width="22.42578125" style="2" customWidth="1"/>
    <col min="4586" max="4586" width="14.85546875" style="2" customWidth="1"/>
    <col min="4587" max="4587" width="7.140625" style="2" customWidth="1"/>
    <col min="4588" max="4588" width="20.140625" style="2" customWidth="1"/>
    <col min="4589" max="4820" width="8.85546875" style="2" customWidth="1"/>
    <col min="4821" max="4821" width="8.140625" style="2" customWidth="1"/>
    <col min="4822" max="4822" width="14.5703125" style="2" customWidth="1"/>
    <col min="4823" max="4823" width="37.42578125" style="2" customWidth="1"/>
    <col min="4824" max="4824" width="63.140625" style="2" customWidth="1"/>
    <col min="4825" max="4825" width="20" style="2" customWidth="1"/>
    <col min="4826" max="4826" width="11.140625" style="2" customWidth="1"/>
    <col min="4827" max="4827" width="10.85546875" style="2" customWidth="1"/>
    <col min="4828" max="4828" width="21" style="2" customWidth="1"/>
    <col min="4829" max="4829" width="10.85546875" style="2" customWidth="1"/>
    <col min="4830" max="4830" width="17.42578125" style="2" customWidth="1"/>
    <col min="4831" max="4831" width="14.85546875" style="2" customWidth="1"/>
    <col min="4832" max="4832" width="15" style="2" customWidth="1"/>
    <col min="4833" max="4833" width="14.85546875" style="2" customWidth="1"/>
    <col min="4834" max="4834" width="7.140625" style="2" customWidth="1"/>
    <col min="4835" max="4836" width="20.140625" style="2" customWidth="1"/>
    <col min="4837" max="4837" width="18.42578125" style="2" customWidth="1"/>
    <col min="4838" max="4838" width="9.140625" style="2" customWidth="1"/>
    <col min="4839" max="4839" width="12" style="2" customWidth="1"/>
    <col min="4840" max="4840" width="14.85546875" style="2" customWidth="1"/>
    <col min="4841" max="4841" width="22.42578125" style="2" customWidth="1"/>
    <col min="4842" max="4842" width="14.85546875" style="2" customWidth="1"/>
    <col min="4843" max="4843" width="7.140625" style="2" customWidth="1"/>
    <col min="4844" max="4844" width="20.140625" style="2" customWidth="1"/>
    <col min="4845" max="5076" width="8.85546875" style="2" customWidth="1"/>
    <col min="5077" max="5077" width="8.140625" style="2" customWidth="1"/>
    <col min="5078" max="5078" width="14.5703125" style="2" customWidth="1"/>
    <col min="5079" max="5079" width="37.42578125" style="2" customWidth="1"/>
    <col min="5080" max="5080" width="63.140625" style="2" customWidth="1"/>
    <col min="5081" max="5081" width="20" style="2" customWidth="1"/>
    <col min="5082" max="5082" width="11.140625" style="2" customWidth="1"/>
    <col min="5083" max="5083" width="10.85546875" style="2" customWidth="1"/>
    <col min="5084" max="5084" width="21" style="2" customWidth="1"/>
    <col min="5085" max="5085" width="10.85546875" style="2" customWidth="1"/>
    <col min="5086" max="5086" width="17.42578125" style="2" customWidth="1"/>
    <col min="5087" max="5087" width="14.85546875" style="2" customWidth="1"/>
    <col min="5088" max="5088" width="15" style="2" customWidth="1"/>
    <col min="5089" max="5089" width="14.85546875" style="2" customWidth="1"/>
    <col min="5090" max="5090" width="7.140625" style="2" customWidth="1"/>
    <col min="5091" max="5092" width="20.140625" style="2" customWidth="1"/>
    <col min="5093" max="5093" width="18.42578125" style="2" customWidth="1"/>
    <col min="5094" max="5094" width="9.140625" style="2" customWidth="1"/>
    <col min="5095" max="5095" width="12" style="2" customWidth="1"/>
    <col min="5096" max="5096" width="14.85546875" style="2" customWidth="1"/>
    <col min="5097" max="5097" width="22.42578125" style="2" customWidth="1"/>
    <col min="5098" max="5098" width="14.85546875" style="2" customWidth="1"/>
    <col min="5099" max="5099" width="7.140625" style="2" customWidth="1"/>
    <col min="5100" max="5100" width="20.140625" style="2" customWidth="1"/>
    <col min="5101" max="5332" width="8.85546875" style="2" customWidth="1"/>
    <col min="5333" max="5333" width="8.140625" style="2" customWidth="1"/>
    <col min="5334" max="5334" width="14.5703125" style="2" customWidth="1"/>
    <col min="5335" max="5335" width="37.42578125" style="2" customWidth="1"/>
    <col min="5336" max="5336" width="63.140625" style="2" customWidth="1"/>
    <col min="5337" max="5337" width="20" style="2" customWidth="1"/>
    <col min="5338" max="5338" width="11.140625" style="2" customWidth="1"/>
    <col min="5339" max="5339" width="10.85546875" style="2" customWidth="1"/>
    <col min="5340" max="5340" width="21" style="2" customWidth="1"/>
    <col min="5341" max="5341" width="10.85546875" style="2" customWidth="1"/>
    <col min="5342" max="5342" width="17.42578125" style="2" customWidth="1"/>
    <col min="5343" max="5343" width="14.85546875" style="2" customWidth="1"/>
    <col min="5344" max="5344" width="15" style="2" customWidth="1"/>
    <col min="5345" max="5345" width="14.85546875" style="2" customWidth="1"/>
    <col min="5346" max="5346" width="7.140625" style="2" customWidth="1"/>
    <col min="5347" max="5348" width="20.140625" style="2" customWidth="1"/>
    <col min="5349" max="5349" width="18.42578125" style="2" customWidth="1"/>
    <col min="5350" max="5350" width="9.140625" style="2" customWidth="1"/>
    <col min="5351" max="5351" width="12" style="2" customWidth="1"/>
    <col min="5352" max="5352" width="14.85546875" style="2" customWidth="1"/>
    <col min="5353" max="5353" width="22.42578125" style="2" customWidth="1"/>
    <col min="5354" max="5354" width="14.85546875" style="2" customWidth="1"/>
    <col min="5355" max="5355" width="7.140625" style="2" customWidth="1"/>
    <col min="5356" max="5356" width="20.140625" style="2" customWidth="1"/>
    <col min="5357" max="5588" width="8.85546875" style="2" customWidth="1"/>
    <col min="5589" max="5589" width="8.140625" style="2" customWidth="1"/>
    <col min="5590" max="5590" width="14.5703125" style="2" customWidth="1"/>
    <col min="5591" max="5591" width="37.42578125" style="2" customWidth="1"/>
    <col min="5592" max="5592" width="63.140625" style="2" customWidth="1"/>
    <col min="5593" max="5593" width="20" style="2" customWidth="1"/>
    <col min="5594" max="5594" width="11.140625" style="2" customWidth="1"/>
    <col min="5595" max="5595" width="10.85546875" style="2" customWidth="1"/>
    <col min="5596" max="5596" width="21" style="2" customWidth="1"/>
    <col min="5597" max="5597" width="10.85546875" style="2" customWidth="1"/>
    <col min="5598" max="5598" width="17.42578125" style="2" customWidth="1"/>
    <col min="5599" max="5599" width="14.85546875" style="2" customWidth="1"/>
    <col min="5600" max="5600" width="15" style="2" customWidth="1"/>
    <col min="5601" max="5601" width="14.85546875" style="2" customWidth="1"/>
    <col min="5602" max="5602" width="7.140625" style="2" customWidth="1"/>
    <col min="5603" max="5604" width="20.140625" style="2" customWidth="1"/>
    <col min="5605" max="5605" width="18.42578125" style="2" customWidth="1"/>
    <col min="5606" max="5606" width="9.140625" style="2" customWidth="1"/>
    <col min="5607" max="5607" width="12" style="2" customWidth="1"/>
    <col min="5608" max="5608" width="14.85546875" style="2" customWidth="1"/>
    <col min="5609" max="5609" width="22.42578125" style="2" customWidth="1"/>
    <col min="5610" max="5610" width="14.85546875" style="2" customWidth="1"/>
    <col min="5611" max="5611" width="7.140625" style="2" customWidth="1"/>
    <col min="5612" max="5612" width="20.140625" style="2" customWidth="1"/>
    <col min="5613" max="5844" width="8.85546875" style="2" customWidth="1"/>
    <col min="5845" max="5845" width="8.140625" style="2" customWidth="1"/>
    <col min="5846" max="5846" width="14.5703125" style="2" customWidth="1"/>
    <col min="5847" max="5847" width="37.42578125" style="2" customWidth="1"/>
    <col min="5848" max="5848" width="63.140625" style="2" customWidth="1"/>
    <col min="5849" max="5849" width="20" style="2" customWidth="1"/>
    <col min="5850" max="5850" width="11.140625" style="2" customWidth="1"/>
    <col min="5851" max="5851" width="10.85546875" style="2" customWidth="1"/>
    <col min="5852" max="5852" width="21" style="2" customWidth="1"/>
    <col min="5853" max="5853" width="10.85546875" style="2" customWidth="1"/>
    <col min="5854" max="5854" width="17.42578125" style="2" customWidth="1"/>
    <col min="5855" max="5855" width="14.85546875" style="2" customWidth="1"/>
    <col min="5856" max="5856" width="15" style="2" customWidth="1"/>
    <col min="5857" max="5857" width="14.85546875" style="2" customWidth="1"/>
    <col min="5858" max="5858" width="7.140625" style="2" customWidth="1"/>
    <col min="5859" max="5860" width="20.140625" style="2" customWidth="1"/>
    <col min="5861" max="5861" width="18.42578125" style="2" customWidth="1"/>
    <col min="5862" max="5862" width="9.140625" style="2" customWidth="1"/>
    <col min="5863" max="5863" width="12" style="2" customWidth="1"/>
    <col min="5864" max="5864" width="14.85546875" style="2" customWidth="1"/>
    <col min="5865" max="5865" width="22.42578125" style="2" customWidth="1"/>
    <col min="5866" max="5866" width="14.85546875" style="2" customWidth="1"/>
    <col min="5867" max="5867" width="7.140625" style="2" customWidth="1"/>
    <col min="5868" max="5868" width="20.140625" style="2" customWidth="1"/>
    <col min="5869" max="6100" width="8.85546875" style="2" customWidth="1"/>
    <col min="6101" max="6101" width="8.140625" style="2" customWidth="1"/>
    <col min="6102" max="6102" width="14.5703125" style="2" customWidth="1"/>
    <col min="6103" max="6103" width="37.42578125" style="2" customWidth="1"/>
    <col min="6104" max="6104" width="63.140625" style="2" customWidth="1"/>
    <col min="6105" max="6105" width="20" style="2" customWidth="1"/>
    <col min="6106" max="6106" width="11.140625" style="2" customWidth="1"/>
    <col min="6107" max="6107" width="10.85546875" style="2" customWidth="1"/>
    <col min="6108" max="6108" width="21" style="2" customWidth="1"/>
    <col min="6109" max="6109" width="10.85546875" style="2" customWidth="1"/>
    <col min="6110" max="6110" width="17.42578125" style="2" customWidth="1"/>
    <col min="6111" max="6111" width="14.85546875" style="2" customWidth="1"/>
    <col min="6112" max="6112" width="15" style="2" customWidth="1"/>
    <col min="6113" max="6113" width="14.85546875" style="2" customWidth="1"/>
    <col min="6114" max="6114" width="7.140625" style="2" customWidth="1"/>
    <col min="6115" max="6116" width="20.140625" style="2" customWidth="1"/>
    <col min="6117" max="6117" width="18.42578125" style="2" customWidth="1"/>
    <col min="6118" max="6118" width="9.140625" style="2" customWidth="1"/>
    <col min="6119" max="6119" width="12" style="2" customWidth="1"/>
    <col min="6120" max="6120" width="14.85546875" style="2" customWidth="1"/>
    <col min="6121" max="6121" width="22.42578125" style="2" customWidth="1"/>
    <col min="6122" max="6122" width="14.85546875" style="2" customWidth="1"/>
    <col min="6123" max="6123" width="7.140625" style="2" customWidth="1"/>
    <col min="6124" max="6124" width="20.140625" style="2" customWidth="1"/>
    <col min="6125" max="6356" width="8.85546875" style="2" customWidth="1"/>
    <col min="6357" max="6357" width="8.140625" style="2" customWidth="1"/>
    <col min="6358" max="6358" width="14.5703125" style="2" customWidth="1"/>
    <col min="6359" max="6359" width="37.42578125" style="2" customWidth="1"/>
    <col min="6360" max="6360" width="63.140625" style="2" customWidth="1"/>
    <col min="6361" max="6361" width="20" style="2" customWidth="1"/>
    <col min="6362" max="6362" width="11.140625" style="2" customWidth="1"/>
    <col min="6363" max="6363" width="10.85546875" style="2" customWidth="1"/>
    <col min="6364" max="6364" width="21" style="2" customWidth="1"/>
    <col min="6365" max="6365" width="10.85546875" style="2" customWidth="1"/>
    <col min="6366" max="6366" width="17.42578125" style="2" customWidth="1"/>
    <col min="6367" max="6367" width="14.85546875" style="2" customWidth="1"/>
    <col min="6368" max="6368" width="15" style="2" customWidth="1"/>
    <col min="6369" max="6369" width="14.85546875" style="2" customWidth="1"/>
    <col min="6370" max="6370" width="7.140625" style="2" customWidth="1"/>
    <col min="6371" max="6372" width="20.140625" style="2" customWidth="1"/>
    <col min="6373" max="6373" width="18.42578125" style="2" customWidth="1"/>
    <col min="6374" max="6374" width="9.140625" style="2" customWidth="1"/>
    <col min="6375" max="6375" width="12" style="2" customWidth="1"/>
    <col min="6376" max="6376" width="14.85546875" style="2" customWidth="1"/>
    <col min="6377" max="6377" width="22.42578125" style="2" customWidth="1"/>
    <col min="6378" max="6378" width="14.85546875" style="2" customWidth="1"/>
    <col min="6379" max="6379" width="7.140625" style="2" customWidth="1"/>
    <col min="6380" max="6380" width="20.140625" style="2" customWidth="1"/>
    <col min="6381" max="6612" width="8.85546875" style="2" customWidth="1"/>
    <col min="6613" max="6613" width="8.140625" style="2" customWidth="1"/>
    <col min="6614" max="6614" width="14.5703125" style="2" customWidth="1"/>
    <col min="6615" max="6615" width="37.42578125" style="2" customWidth="1"/>
    <col min="6616" max="6616" width="63.140625" style="2" customWidth="1"/>
    <col min="6617" max="6617" width="20" style="2" customWidth="1"/>
    <col min="6618" max="6618" width="11.140625" style="2" customWidth="1"/>
    <col min="6619" max="6619" width="10.85546875" style="2" customWidth="1"/>
    <col min="6620" max="6620" width="21" style="2" customWidth="1"/>
    <col min="6621" max="6621" width="10.85546875" style="2" customWidth="1"/>
    <col min="6622" max="6622" width="17.42578125" style="2" customWidth="1"/>
    <col min="6623" max="6623" width="14.85546875" style="2" customWidth="1"/>
    <col min="6624" max="6624" width="15" style="2" customWidth="1"/>
    <col min="6625" max="6625" width="14.85546875" style="2" customWidth="1"/>
    <col min="6626" max="6626" width="7.140625" style="2" customWidth="1"/>
    <col min="6627" max="6628" width="20.140625" style="2" customWidth="1"/>
    <col min="6629" max="6629" width="18.42578125" style="2" customWidth="1"/>
    <col min="6630" max="6630" width="9.140625" style="2" customWidth="1"/>
    <col min="6631" max="6631" width="12" style="2" customWidth="1"/>
    <col min="6632" max="6632" width="14.85546875" style="2" customWidth="1"/>
    <col min="6633" max="6633" width="22.42578125" style="2" customWidth="1"/>
    <col min="6634" max="6634" width="14.85546875" style="2" customWidth="1"/>
    <col min="6635" max="6635" width="7.140625" style="2" customWidth="1"/>
    <col min="6636" max="6636" width="20.140625" style="2" customWidth="1"/>
    <col min="6637" max="6868" width="8.85546875" style="2" customWidth="1"/>
    <col min="6869" max="6869" width="8.140625" style="2" customWidth="1"/>
    <col min="6870" max="6870" width="14.5703125" style="2" customWidth="1"/>
    <col min="6871" max="6871" width="37.42578125" style="2" customWidth="1"/>
    <col min="6872" max="6872" width="63.140625" style="2" customWidth="1"/>
    <col min="6873" max="6873" width="20" style="2" customWidth="1"/>
    <col min="6874" max="6874" width="11.140625" style="2" customWidth="1"/>
    <col min="6875" max="6875" width="10.85546875" style="2" customWidth="1"/>
    <col min="6876" max="6876" width="21" style="2" customWidth="1"/>
    <col min="6877" max="6877" width="10.85546875" style="2" customWidth="1"/>
    <col min="6878" max="6878" width="17.42578125" style="2" customWidth="1"/>
    <col min="6879" max="6879" width="14.85546875" style="2" customWidth="1"/>
    <col min="6880" max="6880" width="15" style="2" customWidth="1"/>
    <col min="6881" max="6881" width="14.85546875" style="2" customWidth="1"/>
    <col min="6882" max="6882" width="7.140625" style="2" customWidth="1"/>
    <col min="6883" max="6884" width="20.140625" style="2" customWidth="1"/>
    <col min="6885" max="6885" width="18.42578125" style="2" customWidth="1"/>
    <col min="6886" max="6886" width="9.140625" style="2" customWidth="1"/>
    <col min="6887" max="6887" width="12" style="2" customWidth="1"/>
    <col min="6888" max="6888" width="14.85546875" style="2" customWidth="1"/>
    <col min="6889" max="6889" width="22.42578125" style="2" customWidth="1"/>
    <col min="6890" max="6890" width="14.85546875" style="2" customWidth="1"/>
    <col min="6891" max="6891" width="7.140625" style="2" customWidth="1"/>
    <col min="6892" max="6892" width="20.140625" style="2" customWidth="1"/>
    <col min="6893" max="7124" width="8.85546875" style="2" customWidth="1"/>
    <col min="7125" max="7125" width="8.140625" style="2" customWidth="1"/>
    <col min="7126" max="7126" width="14.5703125" style="2" customWidth="1"/>
    <col min="7127" max="7127" width="37.42578125" style="2" customWidth="1"/>
    <col min="7128" max="7128" width="63.140625" style="2" customWidth="1"/>
    <col min="7129" max="7129" width="20" style="2" customWidth="1"/>
    <col min="7130" max="7130" width="11.140625" style="2" customWidth="1"/>
    <col min="7131" max="7131" width="10.85546875" style="2" customWidth="1"/>
    <col min="7132" max="7132" width="21" style="2" customWidth="1"/>
    <col min="7133" max="7133" width="10.85546875" style="2" customWidth="1"/>
    <col min="7134" max="7134" width="17.42578125" style="2" customWidth="1"/>
    <col min="7135" max="7135" width="14.85546875" style="2" customWidth="1"/>
    <col min="7136" max="7136" width="15" style="2" customWidth="1"/>
    <col min="7137" max="7137" width="14.85546875" style="2" customWidth="1"/>
    <col min="7138" max="7138" width="7.140625" style="2" customWidth="1"/>
    <col min="7139" max="7140" width="20.140625" style="2" customWidth="1"/>
    <col min="7141" max="7141" width="18.42578125" style="2" customWidth="1"/>
    <col min="7142" max="7142" width="9.140625" style="2" customWidth="1"/>
    <col min="7143" max="7143" width="12" style="2" customWidth="1"/>
    <col min="7144" max="7144" width="14.85546875" style="2" customWidth="1"/>
    <col min="7145" max="7145" width="22.42578125" style="2" customWidth="1"/>
    <col min="7146" max="7146" width="14.85546875" style="2" customWidth="1"/>
    <col min="7147" max="7147" width="7.140625" style="2" customWidth="1"/>
    <col min="7148" max="7148" width="20.140625" style="2" customWidth="1"/>
    <col min="7149" max="7380" width="8.85546875" style="2" customWidth="1"/>
    <col min="7381" max="7381" width="8.140625" style="2" customWidth="1"/>
    <col min="7382" max="7382" width="14.5703125" style="2" customWidth="1"/>
    <col min="7383" max="7383" width="37.42578125" style="2" customWidth="1"/>
    <col min="7384" max="7384" width="63.140625" style="2" customWidth="1"/>
    <col min="7385" max="7385" width="20" style="2" customWidth="1"/>
    <col min="7386" max="7386" width="11.140625" style="2" customWidth="1"/>
    <col min="7387" max="7387" width="10.85546875" style="2" customWidth="1"/>
    <col min="7388" max="7388" width="21" style="2" customWidth="1"/>
    <col min="7389" max="7389" width="10.85546875" style="2" customWidth="1"/>
    <col min="7390" max="7390" width="17.42578125" style="2" customWidth="1"/>
    <col min="7391" max="7391" width="14.85546875" style="2" customWidth="1"/>
    <col min="7392" max="7392" width="15" style="2" customWidth="1"/>
    <col min="7393" max="7393" width="14.85546875" style="2" customWidth="1"/>
    <col min="7394" max="7394" width="7.140625" style="2" customWidth="1"/>
    <col min="7395" max="7396" width="20.140625" style="2" customWidth="1"/>
    <col min="7397" max="7397" width="18.42578125" style="2" customWidth="1"/>
    <col min="7398" max="7398" width="9.140625" style="2" customWidth="1"/>
    <col min="7399" max="7399" width="12" style="2" customWidth="1"/>
    <col min="7400" max="7400" width="14.85546875" style="2" customWidth="1"/>
    <col min="7401" max="7401" width="22.42578125" style="2" customWidth="1"/>
    <col min="7402" max="7402" width="14.85546875" style="2" customWidth="1"/>
    <col min="7403" max="7403" width="7.140625" style="2" customWidth="1"/>
    <col min="7404" max="7404" width="20.140625" style="2" customWidth="1"/>
    <col min="7405" max="7636" width="8.85546875" style="2" customWidth="1"/>
    <col min="7637" max="7637" width="8.140625" style="2" customWidth="1"/>
    <col min="7638" max="7638" width="14.5703125" style="2" customWidth="1"/>
    <col min="7639" max="7639" width="37.42578125" style="2" customWidth="1"/>
    <col min="7640" max="7640" width="63.140625" style="2" customWidth="1"/>
    <col min="7641" max="7641" width="20" style="2" customWidth="1"/>
    <col min="7642" max="7642" width="11.140625" style="2" customWidth="1"/>
    <col min="7643" max="7643" width="10.85546875" style="2" customWidth="1"/>
    <col min="7644" max="7644" width="21" style="2" customWidth="1"/>
    <col min="7645" max="7645" width="10.85546875" style="2" customWidth="1"/>
    <col min="7646" max="7646" width="17.42578125" style="2" customWidth="1"/>
    <col min="7647" max="7647" width="14.85546875" style="2" customWidth="1"/>
    <col min="7648" max="7648" width="15" style="2" customWidth="1"/>
    <col min="7649" max="7649" width="14.85546875" style="2" customWidth="1"/>
    <col min="7650" max="7650" width="7.140625" style="2" customWidth="1"/>
    <col min="7651" max="7652" width="20.140625" style="2" customWidth="1"/>
    <col min="7653" max="7653" width="18.42578125" style="2" customWidth="1"/>
    <col min="7654" max="7654" width="9.140625" style="2" customWidth="1"/>
    <col min="7655" max="7655" width="12" style="2" customWidth="1"/>
    <col min="7656" max="7656" width="14.85546875" style="2" customWidth="1"/>
    <col min="7657" max="7657" width="22.42578125" style="2" customWidth="1"/>
    <col min="7658" max="7658" width="14.85546875" style="2" customWidth="1"/>
    <col min="7659" max="7659" width="7.140625" style="2" customWidth="1"/>
    <col min="7660" max="7660" width="20.140625" style="2" customWidth="1"/>
    <col min="7661" max="7892" width="8.85546875" style="2" customWidth="1"/>
    <col min="7893" max="7893" width="8.140625" style="2" customWidth="1"/>
    <col min="7894" max="7894" width="14.5703125" style="2" customWidth="1"/>
    <col min="7895" max="7895" width="37.42578125" style="2" customWidth="1"/>
    <col min="7896" max="7896" width="63.140625" style="2" customWidth="1"/>
    <col min="7897" max="7897" width="20" style="2" customWidth="1"/>
    <col min="7898" max="7898" width="11.140625" style="2" customWidth="1"/>
    <col min="7899" max="7899" width="10.85546875" style="2" customWidth="1"/>
    <col min="7900" max="7900" width="21" style="2" customWidth="1"/>
    <col min="7901" max="7901" width="10.85546875" style="2" customWidth="1"/>
    <col min="7902" max="7902" width="17.42578125" style="2" customWidth="1"/>
    <col min="7903" max="7903" width="14.85546875" style="2" customWidth="1"/>
    <col min="7904" max="7904" width="15" style="2" customWidth="1"/>
    <col min="7905" max="7905" width="14.85546875" style="2" customWidth="1"/>
    <col min="7906" max="7906" width="7.140625" style="2" customWidth="1"/>
    <col min="7907" max="7908" width="20.140625" style="2" customWidth="1"/>
    <col min="7909" max="7909" width="18.42578125" style="2" customWidth="1"/>
    <col min="7910" max="7910" width="9.140625" style="2" customWidth="1"/>
    <col min="7911" max="7911" width="12" style="2" customWidth="1"/>
    <col min="7912" max="7912" width="14.85546875" style="2" customWidth="1"/>
    <col min="7913" max="7913" width="22.42578125" style="2" customWidth="1"/>
    <col min="7914" max="7914" width="14.85546875" style="2" customWidth="1"/>
    <col min="7915" max="7915" width="7.140625" style="2" customWidth="1"/>
    <col min="7916" max="7916" width="20.140625" style="2" customWidth="1"/>
    <col min="7917" max="8148" width="8.85546875" style="2" customWidth="1"/>
    <col min="8149" max="8149" width="8.140625" style="2" customWidth="1"/>
    <col min="8150" max="8150" width="14.5703125" style="2" customWidth="1"/>
    <col min="8151" max="8151" width="37.42578125" style="2" customWidth="1"/>
    <col min="8152" max="8152" width="63.140625" style="2" customWidth="1"/>
    <col min="8153" max="8153" width="20" style="2" customWidth="1"/>
    <col min="8154" max="8154" width="11.140625" style="2" customWidth="1"/>
    <col min="8155" max="8155" width="10.85546875" style="2" customWidth="1"/>
    <col min="8156" max="8156" width="21" style="2" customWidth="1"/>
    <col min="8157" max="8157" width="10.85546875" style="2" customWidth="1"/>
    <col min="8158" max="8158" width="17.42578125" style="2" customWidth="1"/>
    <col min="8159" max="8159" width="14.85546875" style="2" customWidth="1"/>
    <col min="8160" max="8160" width="15" style="2" customWidth="1"/>
    <col min="8161" max="8161" width="14.85546875" style="2" customWidth="1"/>
    <col min="8162" max="8162" width="7.140625" style="2" customWidth="1"/>
    <col min="8163" max="8164" width="20.140625" style="2" customWidth="1"/>
    <col min="8165" max="8165" width="18.42578125" style="2" customWidth="1"/>
    <col min="8166" max="8166" width="9.140625" style="2" customWidth="1"/>
    <col min="8167" max="8167" width="12" style="2" customWidth="1"/>
    <col min="8168" max="8168" width="14.85546875" style="2" customWidth="1"/>
    <col min="8169" max="8169" width="22.42578125" style="2" customWidth="1"/>
    <col min="8170" max="8170" width="14.85546875" style="2" customWidth="1"/>
    <col min="8171" max="8171" width="7.140625" style="2" customWidth="1"/>
    <col min="8172" max="8172" width="20.140625" style="2" customWidth="1"/>
    <col min="8173" max="8404" width="8.85546875" style="2" customWidth="1"/>
    <col min="8405" max="8405" width="8.140625" style="2" customWidth="1"/>
    <col min="8406" max="8406" width="14.5703125" style="2" customWidth="1"/>
    <col min="8407" max="8407" width="37.42578125" style="2" customWidth="1"/>
    <col min="8408" max="8408" width="63.140625" style="2" customWidth="1"/>
    <col min="8409" max="8409" width="20" style="2" customWidth="1"/>
    <col min="8410" max="8410" width="11.140625" style="2" customWidth="1"/>
    <col min="8411" max="8411" width="10.85546875" style="2" customWidth="1"/>
    <col min="8412" max="8412" width="21" style="2" customWidth="1"/>
    <col min="8413" max="8413" width="10.85546875" style="2" customWidth="1"/>
    <col min="8414" max="8414" width="17.42578125" style="2" customWidth="1"/>
    <col min="8415" max="8415" width="14.85546875" style="2" customWidth="1"/>
    <col min="8416" max="8416" width="15" style="2" customWidth="1"/>
    <col min="8417" max="8417" width="14.85546875" style="2" customWidth="1"/>
    <col min="8418" max="8418" width="7.140625" style="2" customWidth="1"/>
    <col min="8419" max="8420" width="20.140625" style="2" customWidth="1"/>
    <col min="8421" max="8421" width="18.42578125" style="2" customWidth="1"/>
    <col min="8422" max="8422" width="9.140625" style="2" customWidth="1"/>
    <col min="8423" max="8423" width="12" style="2" customWidth="1"/>
    <col min="8424" max="8424" width="14.85546875" style="2" customWidth="1"/>
    <col min="8425" max="8425" width="22.42578125" style="2" customWidth="1"/>
    <col min="8426" max="8426" width="14.85546875" style="2" customWidth="1"/>
    <col min="8427" max="8427" width="7.140625" style="2" customWidth="1"/>
    <col min="8428" max="8428" width="20.140625" style="2" customWidth="1"/>
    <col min="8429" max="8660" width="8.85546875" style="2" customWidth="1"/>
    <col min="8661" max="8661" width="8.140625" style="2" customWidth="1"/>
    <col min="8662" max="8662" width="14.5703125" style="2" customWidth="1"/>
    <col min="8663" max="8663" width="37.42578125" style="2" customWidth="1"/>
    <col min="8664" max="8664" width="63.140625" style="2" customWidth="1"/>
    <col min="8665" max="8665" width="20" style="2" customWidth="1"/>
    <col min="8666" max="8666" width="11.140625" style="2" customWidth="1"/>
    <col min="8667" max="8667" width="10.85546875" style="2" customWidth="1"/>
    <col min="8668" max="8668" width="21" style="2" customWidth="1"/>
    <col min="8669" max="8669" width="10.85546875" style="2" customWidth="1"/>
    <col min="8670" max="8670" width="17.42578125" style="2" customWidth="1"/>
    <col min="8671" max="8671" width="14.85546875" style="2" customWidth="1"/>
    <col min="8672" max="8672" width="15" style="2" customWidth="1"/>
    <col min="8673" max="8673" width="14.85546875" style="2" customWidth="1"/>
    <col min="8674" max="8674" width="7.140625" style="2" customWidth="1"/>
    <col min="8675" max="8676" width="20.140625" style="2" customWidth="1"/>
    <col min="8677" max="8677" width="18.42578125" style="2" customWidth="1"/>
    <col min="8678" max="8678" width="9.140625" style="2" customWidth="1"/>
    <col min="8679" max="8679" width="12" style="2" customWidth="1"/>
    <col min="8680" max="8680" width="14.85546875" style="2" customWidth="1"/>
    <col min="8681" max="8681" width="22.42578125" style="2" customWidth="1"/>
    <col min="8682" max="8682" width="14.85546875" style="2" customWidth="1"/>
    <col min="8683" max="8683" width="7.140625" style="2" customWidth="1"/>
    <col min="8684" max="8684" width="20.140625" style="2" customWidth="1"/>
    <col min="8685" max="8916" width="8.85546875" style="2" customWidth="1"/>
    <col min="8917" max="8917" width="8.140625" style="2" customWidth="1"/>
    <col min="8918" max="8918" width="14.5703125" style="2" customWidth="1"/>
    <col min="8919" max="8919" width="37.42578125" style="2" customWidth="1"/>
    <col min="8920" max="8920" width="63.140625" style="2" customWidth="1"/>
    <col min="8921" max="8921" width="20" style="2" customWidth="1"/>
    <col min="8922" max="8922" width="11.140625" style="2" customWidth="1"/>
    <col min="8923" max="8923" width="10.85546875" style="2" customWidth="1"/>
    <col min="8924" max="8924" width="21" style="2" customWidth="1"/>
    <col min="8925" max="8925" width="10.85546875" style="2" customWidth="1"/>
    <col min="8926" max="8926" width="17.42578125" style="2" customWidth="1"/>
    <col min="8927" max="8927" width="14.85546875" style="2" customWidth="1"/>
    <col min="8928" max="8928" width="15" style="2" customWidth="1"/>
    <col min="8929" max="8929" width="14.85546875" style="2" customWidth="1"/>
    <col min="8930" max="8930" width="7.140625" style="2" customWidth="1"/>
    <col min="8931" max="8932" width="20.140625" style="2" customWidth="1"/>
    <col min="8933" max="8933" width="18.42578125" style="2" customWidth="1"/>
    <col min="8934" max="8934" width="9.140625" style="2" customWidth="1"/>
    <col min="8935" max="8935" width="12" style="2" customWidth="1"/>
    <col min="8936" max="8936" width="14.85546875" style="2" customWidth="1"/>
    <col min="8937" max="8937" width="22.42578125" style="2" customWidth="1"/>
    <col min="8938" max="8938" width="14.85546875" style="2" customWidth="1"/>
    <col min="8939" max="8939" width="7.140625" style="2" customWidth="1"/>
    <col min="8940" max="8940" width="20.140625" style="2" customWidth="1"/>
    <col min="8941" max="9172" width="8.85546875" style="2" customWidth="1"/>
    <col min="9173" max="9173" width="8.140625" style="2" customWidth="1"/>
    <col min="9174" max="9174" width="14.5703125" style="2" customWidth="1"/>
    <col min="9175" max="9175" width="37.42578125" style="2" customWidth="1"/>
    <col min="9176" max="9176" width="63.140625" style="2" customWidth="1"/>
    <col min="9177" max="9177" width="20" style="2" customWidth="1"/>
    <col min="9178" max="9178" width="11.140625" style="2" customWidth="1"/>
    <col min="9179" max="9179" width="10.85546875" style="2" customWidth="1"/>
    <col min="9180" max="9180" width="21" style="2" customWidth="1"/>
    <col min="9181" max="9181" width="10.85546875" style="2" customWidth="1"/>
    <col min="9182" max="9182" width="17.42578125" style="2" customWidth="1"/>
    <col min="9183" max="9183" width="14.85546875" style="2" customWidth="1"/>
    <col min="9184" max="9184" width="15" style="2" customWidth="1"/>
    <col min="9185" max="9185" width="14.85546875" style="2" customWidth="1"/>
    <col min="9186" max="9186" width="7.140625" style="2" customWidth="1"/>
    <col min="9187" max="9188" width="20.140625" style="2" customWidth="1"/>
    <col min="9189" max="9189" width="18.42578125" style="2" customWidth="1"/>
    <col min="9190" max="9190" width="9.140625" style="2" customWidth="1"/>
    <col min="9191" max="9191" width="12" style="2" customWidth="1"/>
    <col min="9192" max="9192" width="14.85546875" style="2" customWidth="1"/>
    <col min="9193" max="9193" width="22.42578125" style="2" customWidth="1"/>
    <col min="9194" max="9194" width="14.85546875" style="2" customWidth="1"/>
    <col min="9195" max="9195" width="7.140625" style="2" customWidth="1"/>
    <col min="9196" max="9196" width="20.140625" style="2" customWidth="1"/>
    <col min="9197" max="9428" width="8.85546875" style="2" customWidth="1"/>
    <col min="9429" max="9429" width="8.140625" style="2" customWidth="1"/>
    <col min="9430" max="9430" width="14.5703125" style="2" customWidth="1"/>
    <col min="9431" max="9431" width="37.42578125" style="2" customWidth="1"/>
    <col min="9432" max="9432" width="63.140625" style="2" customWidth="1"/>
    <col min="9433" max="9433" width="20" style="2" customWidth="1"/>
    <col min="9434" max="9434" width="11.140625" style="2" customWidth="1"/>
    <col min="9435" max="9435" width="10.85546875" style="2" customWidth="1"/>
    <col min="9436" max="9436" width="21" style="2" customWidth="1"/>
    <col min="9437" max="9437" width="10.85546875" style="2" customWidth="1"/>
    <col min="9438" max="9438" width="17.42578125" style="2" customWidth="1"/>
    <col min="9439" max="9439" width="14.85546875" style="2" customWidth="1"/>
    <col min="9440" max="9440" width="15" style="2" customWidth="1"/>
    <col min="9441" max="9441" width="14.85546875" style="2" customWidth="1"/>
    <col min="9442" max="9442" width="7.140625" style="2" customWidth="1"/>
    <col min="9443" max="9444" width="20.140625" style="2" customWidth="1"/>
    <col min="9445" max="9445" width="18.42578125" style="2" customWidth="1"/>
    <col min="9446" max="9446" width="9.140625" style="2" customWidth="1"/>
    <col min="9447" max="9447" width="12" style="2" customWidth="1"/>
    <col min="9448" max="9448" width="14.85546875" style="2" customWidth="1"/>
    <col min="9449" max="9449" width="22.42578125" style="2" customWidth="1"/>
    <col min="9450" max="9450" width="14.85546875" style="2" customWidth="1"/>
    <col min="9451" max="9451" width="7.140625" style="2" customWidth="1"/>
    <col min="9452" max="9452" width="20.140625" style="2" customWidth="1"/>
    <col min="9453" max="9684" width="8.85546875" style="2" customWidth="1"/>
    <col min="9685" max="9685" width="8.140625" style="2" customWidth="1"/>
    <col min="9686" max="9686" width="14.5703125" style="2" customWidth="1"/>
    <col min="9687" max="9687" width="37.42578125" style="2" customWidth="1"/>
    <col min="9688" max="9688" width="63.140625" style="2" customWidth="1"/>
    <col min="9689" max="9689" width="20" style="2" customWidth="1"/>
    <col min="9690" max="9690" width="11.140625" style="2" customWidth="1"/>
    <col min="9691" max="9691" width="10.85546875" style="2" customWidth="1"/>
    <col min="9692" max="9692" width="21" style="2" customWidth="1"/>
    <col min="9693" max="9693" width="10.85546875" style="2" customWidth="1"/>
    <col min="9694" max="9694" width="17.42578125" style="2" customWidth="1"/>
    <col min="9695" max="9695" width="14.85546875" style="2" customWidth="1"/>
    <col min="9696" max="9696" width="15" style="2" customWidth="1"/>
    <col min="9697" max="9697" width="14.85546875" style="2" customWidth="1"/>
    <col min="9698" max="9698" width="7.140625" style="2" customWidth="1"/>
    <col min="9699" max="9700" width="20.140625" style="2" customWidth="1"/>
    <col min="9701" max="9701" width="18.42578125" style="2" customWidth="1"/>
    <col min="9702" max="9702" width="9.140625" style="2" customWidth="1"/>
    <col min="9703" max="9703" width="12" style="2" customWidth="1"/>
    <col min="9704" max="9704" width="14.85546875" style="2" customWidth="1"/>
    <col min="9705" max="9705" width="22.42578125" style="2" customWidth="1"/>
    <col min="9706" max="9706" width="14.85546875" style="2" customWidth="1"/>
    <col min="9707" max="9707" width="7.140625" style="2" customWidth="1"/>
    <col min="9708" max="9708" width="20.140625" style="2" customWidth="1"/>
    <col min="9709" max="9940" width="8.85546875" style="2" customWidth="1"/>
    <col min="9941" max="9941" width="8.140625" style="2" customWidth="1"/>
    <col min="9942" max="9942" width="14.5703125" style="2" customWidth="1"/>
    <col min="9943" max="9943" width="37.42578125" style="2" customWidth="1"/>
    <col min="9944" max="9944" width="63.140625" style="2" customWidth="1"/>
    <col min="9945" max="9945" width="20" style="2" customWidth="1"/>
    <col min="9946" max="9946" width="11.140625" style="2" customWidth="1"/>
    <col min="9947" max="9947" width="10.85546875" style="2" customWidth="1"/>
    <col min="9948" max="9948" width="21" style="2" customWidth="1"/>
    <col min="9949" max="9949" width="10.85546875" style="2" customWidth="1"/>
    <col min="9950" max="9950" width="17.42578125" style="2" customWidth="1"/>
    <col min="9951" max="9951" width="14.85546875" style="2" customWidth="1"/>
    <col min="9952" max="9952" width="15" style="2" customWidth="1"/>
    <col min="9953" max="9953" width="14.85546875" style="2" customWidth="1"/>
    <col min="9954" max="9954" width="7.140625" style="2" customWidth="1"/>
    <col min="9955" max="9956" width="20.140625" style="2" customWidth="1"/>
    <col min="9957" max="9957" width="18.42578125" style="2" customWidth="1"/>
    <col min="9958" max="9958" width="9.140625" style="2" customWidth="1"/>
    <col min="9959" max="9959" width="12" style="2" customWidth="1"/>
    <col min="9960" max="9960" width="14.85546875" style="2" customWidth="1"/>
    <col min="9961" max="9961" width="22.42578125" style="2" customWidth="1"/>
    <col min="9962" max="9962" width="14.85546875" style="2" customWidth="1"/>
    <col min="9963" max="9963" width="7.140625" style="2" customWidth="1"/>
    <col min="9964" max="9964" width="20.140625" style="2" customWidth="1"/>
    <col min="9965" max="10196" width="8.85546875" style="2" customWidth="1"/>
    <col min="10197" max="10197" width="8.140625" style="2" customWidth="1"/>
    <col min="10198" max="10198" width="14.5703125" style="2" customWidth="1"/>
    <col min="10199" max="10199" width="37.42578125" style="2" customWidth="1"/>
    <col min="10200" max="10200" width="63.140625" style="2" customWidth="1"/>
    <col min="10201" max="10201" width="20" style="2" customWidth="1"/>
    <col min="10202" max="10202" width="11.140625" style="2" customWidth="1"/>
    <col min="10203" max="10203" width="10.85546875" style="2" customWidth="1"/>
    <col min="10204" max="10204" width="21" style="2" customWidth="1"/>
    <col min="10205" max="10205" width="10.85546875" style="2" customWidth="1"/>
    <col min="10206" max="10206" width="17.42578125" style="2" customWidth="1"/>
    <col min="10207" max="10207" width="14.85546875" style="2" customWidth="1"/>
    <col min="10208" max="10208" width="15" style="2" customWidth="1"/>
    <col min="10209" max="10209" width="14.85546875" style="2" customWidth="1"/>
    <col min="10210" max="10210" width="7.140625" style="2" customWidth="1"/>
    <col min="10211" max="10212" width="20.140625" style="2" customWidth="1"/>
    <col min="10213" max="10213" width="18.42578125" style="2" customWidth="1"/>
    <col min="10214" max="10214" width="9.140625" style="2" customWidth="1"/>
    <col min="10215" max="10215" width="12" style="2" customWidth="1"/>
    <col min="10216" max="10216" width="14.85546875" style="2" customWidth="1"/>
    <col min="10217" max="10217" width="22.42578125" style="2" customWidth="1"/>
    <col min="10218" max="10218" width="14.85546875" style="2" customWidth="1"/>
    <col min="10219" max="10219" width="7.140625" style="2" customWidth="1"/>
    <col min="10220" max="10220" width="20.140625" style="2" customWidth="1"/>
    <col min="10221" max="10452" width="8.85546875" style="2" customWidth="1"/>
    <col min="10453" max="10453" width="8.140625" style="2" customWidth="1"/>
    <col min="10454" max="10454" width="14.5703125" style="2" customWidth="1"/>
    <col min="10455" max="10455" width="37.42578125" style="2" customWidth="1"/>
    <col min="10456" max="10456" width="63.140625" style="2" customWidth="1"/>
    <col min="10457" max="10457" width="20" style="2" customWidth="1"/>
    <col min="10458" max="10458" width="11.140625" style="2" customWidth="1"/>
    <col min="10459" max="10459" width="10.85546875" style="2" customWidth="1"/>
    <col min="10460" max="10460" width="21" style="2" customWidth="1"/>
    <col min="10461" max="10461" width="10.85546875" style="2" customWidth="1"/>
    <col min="10462" max="10462" width="17.42578125" style="2" customWidth="1"/>
    <col min="10463" max="10463" width="14.85546875" style="2" customWidth="1"/>
    <col min="10464" max="10464" width="15" style="2" customWidth="1"/>
    <col min="10465" max="10465" width="14.85546875" style="2" customWidth="1"/>
    <col min="10466" max="10466" width="7.140625" style="2" customWidth="1"/>
    <col min="10467" max="10468" width="20.140625" style="2" customWidth="1"/>
    <col min="10469" max="10469" width="18.42578125" style="2" customWidth="1"/>
    <col min="10470" max="10470" width="9.140625" style="2" customWidth="1"/>
    <col min="10471" max="10471" width="12" style="2" customWidth="1"/>
    <col min="10472" max="10472" width="14.85546875" style="2" customWidth="1"/>
    <col min="10473" max="10473" width="22.42578125" style="2" customWidth="1"/>
    <col min="10474" max="10474" width="14.85546875" style="2" customWidth="1"/>
    <col min="10475" max="10475" width="7.140625" style="2" customWidth="1"/>
    <col min="10476" max="10476" width="20.140625" style="2" customWidth="1"/>
    <col min="10477" max="10708" width="8.85546875" style="2" customWidth="1"/>
    <col min="10709" max="10709" width="8.140625" style="2" customWidth="1"/>
    <col min="10710" max="10710" width="14.5703125" style="2" customWidth="1"/>
    <col min="10711" max="10711" width="37.42578125" style="2" customWidth="1"/>
    <col min="10712" max="10712" width="63.140625" style="2" customWidth="1"/>
    <col min="10713" max="10713" width="20" style="2" customWidth="1"/>
    <col min="10714" max="10714" width="11.140625" style="2" customWidth="1"/>
    <col min="10715" max="10715" width="10.85546875" style="2" customWidth="1"/>
    <col min="10716" max="10716" width="21" style="2" customWidth="1"/>
    <col min="10717" max="10717" width="10.85546875" style="2" customWidth="1"/>
    <col min="10718" max="10718" width="17.42578125" style="2" customWidth="1"/>
    <col min="10719" max="10719" width="14.85546875" style="2" customWidth="1"/>
    <col min="10720" max="10720" width="15" style="2" customWidth="1"/>
    <col min="10721" max="10721" width="14.85546875" style="2" customWidth="1"/>
    <col min="10722" max="10722" width="7.140625" style="2" customWidth="1"/>
    <col min="10723" max="10724" width="20.140625" style="2" customWidth="1"/>
    <col min="10725" max="10725" width="18.42578125" style="2" customWidth="1"/>
    <col min="10726" max="10726" width="9.140625" style="2" customWidth="1"/>
    <col min="10727" max="10727" width="12" style="2" customWidth="1"/>
    <col min="10728" max="10728" width="14.85546875" style="2" customWidth="1"/>
    <col min="10729" max="10729" width="22.42578125" style="2" customWidth="1"/>
    <col min="10730" max="10730" width="14.85546875" style="2" customWidth="1"/>
    <col min="10731" max="10731" width="7.140625" style="2" customWidth="1"/>
    <col min="10732" max="10732" width="20.140625" style="2" customWidth="1"/>
    <col min="10733" max="10964" width="8.85546875" style="2" customWidth="1"/>
    <col min="10965" max="10965" width="8.140625" style="2" customWidth="1"/>
    <col min="10966" max="10966" width="14.5703125" style="2" customWidth="1"/>
    <col min="10967" max="10967" width="37.42578125" style="2" customWidth="1"/>
    <col min="10968" max="10968" width="63.140625" style="2" customWidth="1"/>
    <col min="10969" max="10969" width="20" style="2" customWidth="1"/>
    <col min="10970" max="10970" width="11.140625" style="2" customWidth="1"/>
    <col min="10971" max="10971" width="10.85546875" style="2" customWidth="1"/>
    <col min="10972" max="10972" width="21" style="2" customWidth="1"/>
    <col min="10973" max="10973" width="10.85546875" style="2" customWidth="1"/>
    <col min="10974" max="10974" width="17.42578125" style="2" customWidth="1"/>
    <col min="10975" max="10975" width="14.85546875" style="2" customWidth="1"/>
    <col min="10976" max="10976" width="15" style="2" customWidth="1"/>
    <col min="10977" max="10977" width="14.85546875" style="2" customWidth="1"/>
    <col min="10978" max="10978" width="7.140625" style="2" customWidth="1"/>
    <col min="10979" max="10980" width="20.140625" style="2" customWidth="1"/>
    <col min="10981" max="10981" width="18.42578125" style="2" customWidth="1"/>
    <col min="10982" max="10982" width="9.140625" style="2" customWidth="1"/>
    <col min="10983" max="10983" width="12" style="2" customWidth="1"/>
    <col min="10984" max="10984" width="14.85546875" style="2" customWidth="1"/>
    <col min="10985" max="10985" width="22.42578125" style="2" customWidth="1"/>
    <col min="10986" max="10986" width="14.85546875" style="2" customWidth="1"/>
    <col min="10987" max="10987" width="7.140625" style="2" customWidth="1"/>
    <col min="10988" max="10988" width="20.140625" style="2" customWidth="1"/>
    <col min="10989" max="11220" width="8.85546875" style="2" customWidth="1"/>
    <col min="11221" max="11221" width="8.140625" style="2" customWidth="1"/>
    <col min="11222" max="11222" width="14.5703125" style="2" customWidth="1"/>
    <col min="11223" max="11223" width="37.42578125" style="2" customWidth="1"/>
    <col min="11224" max="11224" width="63.140625" style="2" customWidth="1"/>
    <col min="11225" max="11225" width="20" style="2" customWidth="1"/>
    <col min="11226" max="11226" width="11.140625" style="2" customWidth="1"/>
    <col min="11227" max="11227" width="10.85546875" style="2" customWidth="1"/>
    <col min="11228" max="11228" width="21" style="2" customWidth="1"/>
    <col min="11229" max="11229" width="10.85546875" style="2" customWidth="1"/>
    <col min="11230" max="11230" width="17.42578125" style="2" customWidth="1"/>
    <col min="11231" max="11231" width="14.85546875" style="2" customWidth="1"/>
    <col min="11232" max="11232" width="15" style="2" customWidth="1"/>
    <col min="11233" max="11233" width="14.85546875" style="2" customWidth="1"/>
    <col min="11234" max="11234" width="7.140625" style="2" customWidth="1"/>
    <col min="11235" max="11236" width="20.140625" style="2" customWidth="1"/>
    <col min="11237" max="11237" width="18.42578125" style="2" customWidth="1"/>
    <col min="11238" max="11238" width="9.140625" style="2" customWidth="1"/>
    <col min="11239" max="11239" width="12" style="2" customWidth="1"/>
    <col min="11240" max="11240" width="14.85546875" style="2" customWidth="1"/>
    <col min="11241" max="11241" width="22.42578125" style="2" customWidth="1"/>
    <col min="11242" max="11242" width="14.85546875" style="2" customWidth="1"/>
    <col min="11243" max="11243" width="7.140625" style="2" customWidth="1"/>
    <col min="11244" max="11244" width="20.140625" style="2" customWidth="1"/>
    <col min="11245" max="11476" width="8.85546875" style="2" customWidth="1"/>
    <col min="11477" max="11477" width="8.140625" style="2" customWidth="1"/>
    <col min="11478" max="11478" width="14.5703125" style="2" customWidth="1"/>
    <col min="11479" max="11479" width="37.42578125" style="2" customWidth="1"/>
    <col min="11480" max="11480" width="63.140625" style="2" customWidth="1"/>
    <col min="11481" max="11481" width="20" style="2" customWidth="1"/>
    <col min="11482" max="11482" width="11.140625" style="2" customWidth="1"/>
    <col min="11483" max="11483" width="10.85546875" style="2" customWidth="1"/>
    <col min="11484" max="11484" width="21" style="2" customWidth="1"/>
    <col min="11485" max="11485" width="10.85546875" style="2" customWidth="1"/>
    <col min="11486" max="11486" width="17.42578125" style="2" customWidth="1"/>
    <col min="11487" max="11487" width="14.85546875" style="2" customWidth="1"/>
    <col min="11488" max="11488" width="15" style="2" customWidth="1"/>
    <col min="11489" max="11489" width="14.85546875" style="2" customWidth="1"/>
    <col min="11490" max="11490" width="7.140625" style="2" customWidth="1"/>
    <col min="11491" max="11492" width="20.140625" style="2" customWidth="1"/>
    <col min="11493" max="11493" width="18.42578125" style="2" customWidth="1"/>
    <col min="11494" max="11494" width="9.140625" style="2" customWidth="1"/>
    <col min="11495" max="11495" width="12" style="2" customWidth="1"/>
    <col min="11496" max="11496" width="14.85546875" style="2" customWidth="1"/>
    <col min="11497" max="11497" width="22.42578125" style="2" customWidth="1"/>
    <col min="11498" max="11498" width="14.85546875" style="2" customWidth="1"/>
    <col min="11499" max="11499" width="7.140625" style="2" customWidth="1"/>
    <col min="11500" max="11500" width="20.140625" style="2" customWidth="1"/>
    <col min="11501" max="11732" width="8.85546875" style="2" customWidth="1"/>
    <col min="11733" max="11733" width="8.140625" style="2" customWidth="1"/>
    <col min="11734" max="11734" width="14.5703125" style="2" customWidth="1"/>
    <col min="11735" max="11735" width="37.42578125" style="2" customWidth="1"/>
    <col min="11736" max="11736" width="63.140625" style="2" customWidth="1"/>
    <col min="11737" max="11737" width="20" style="2" customWidth="1"/>
    <col min="11738" max="11738" width="11.140625" style="2" customWidth="1"/>
    <col min="11739" max="11739" width="10.85546875" style="2" customWidth="1"/>
    <col min="11740" max="11740" width="21" style="2" customWidth="1"/>
    <col min="11741" max="11741" width="10.85546875" style="2" customWidth="1"/>
    <col min="11742" max="11742" width="17.42578125" style="2" customWidth="1"/>
    <col min="11743" max="11743" width="14.85546875" style="2" customWidth="1"/>
    <col min="11744" max="11744" width="15" style="2" customWidth="1"/>
    <col min="11745" max="11745" width="14.85546875" style="2" customWidth="1"/>
    <col min="11746" max="11746" width="7.140625" style="2" customWidth="1"/>
    <col min="11747" max="11748" width="20.140625" style="2" customWidth="1"/>
    <col min="11749" max="11749" width="18.42578125" style="2" customWidth="1"/>
    <col min="11750" max="11750" width="9.140625" style="2" customWidth="1"/>
    <col min="11751" max="11751" width="12" style="2" customWidth="1"/>
    <col min="11752" max="11752" width="14.85546875" style="2" customWidth="1"/>
    <col min="11753" max="11753" width="22.42578125" style="2" customWidth="1"/>
    <col min="11754" max="11754" width="14.85546875" style="2" customWidth="1"/>
    <col min="11755" max="11755" width="7.140625" style="2" customWidth="1"/>
    <col min="11756" max="11756" width="20.140625" style="2" customWidth="1"/>
    <col min="11757" max="11988" width="8.85546875" style="2" customWidth="1"/>
    <col min="11989" max="11989" width="8.140625" style="2" customWidth="1"/>
    <col min="11990" max="11990" width="14.5703125" style="2" customWidth="1"/>
    <col min="11991" max="11991" width="37.42578125" style="2" customWidth="1"/>
    <col min="11992" max="11992" width="63.140625" style="2" customWidth="1"/>
    <col min="11993" max="11993" width="20" style="2" customWidth="1"/>
    <col min="11994" max="11994" width="11.140625" style="2" customWidth="1"/>
    <col min="11995" max="11995" width="10.85546875" style="2" customWidth="1"/>
    <col min="11996" max="11996" width="21" style="2" customWidth="1"/>
    <col min="11997" max="11997" width="10.85546875" style="2" customWidth="1"/>
    <col min="11998" max="11998" width="17.42578125" style="2" customWidth="1"/>
    <col min="11999" max="11999" width="14.85546875" style="2" customWidth="1"/>
    <col min="12000" max="12000" width="15" style="2" customWidth="1"/>
    <col min="12001" max="12001" width="14.85546875" style="2" customWidth="1"/>
    <col min="12002" max="12002" width="7.140625" style="2" customWidth="1"/>
    <col min="12003" max="12004" width="20.140625" style="2" customWidth="1"/>
    <col min="12005" max="12005" width="18.42578125" style="2" customWidth="1"/>
    <col min="12006" max="12006" width="9.140625" style="2" customWidth="1"/>
    <col min="12007" max="12007" width="12" style="2" customWidth="1"/>
    <col min="12008" max="12008" width="14.85546875" style="2" customWidth="1"/>
    <col min="12009" max="12009" width="22.42578125" style="2" customWidth="1"/>
    <col min="12010" max="12010" width="14.85546875" style="2" customWidth="1"/>
    <col min="12011" max="12011" width="7.140625" style="2" customWidth="1"/>
    <col min="12012" max="12012" width="20.140625" style="2" customWidth="1"/>
    <col min="12013" max="12244" width="8.85546875" style="2" customWidth="1"/>
    <col min="12245" max="12245" width="8.140625" style="2" customWidth="1"/>
    <col min="12246" max="12246" width="14.5703125" style="2" customWidth="1"/>
    <col min="12247" max="12247" width="37.42578125" style="2" customWidth="1"/>
    <col min="12248" max="12248" width="63.140625" style="2" customWidth="1"/>
    <col min="12249" max="12249" width="20" style="2" customWidth="1"/>
    <col min="12250" max="12250" width="11.140625" style="2" customWidth="1"/>
    <col min="12251" max="12251" width="10.85546875" style="2" customWidth="1"/>
    <col min="12252" max="12252" width="21" style="2" customWidth="1"/>
    <col min="12253" max="12253" width="10.85546875" style="2" customWidth="1"/>
    <col min="12254" max="12254" width="17.42578125" style="2" customWidth="1"/>
    <col min="12255" max="12255" width="14.85546875" style="2" customWidth="1"/>
    <col min="12256" max="12256" width="15" style="2" customWidth="1"/>
    <col min="12257" max="12257" width="14.85546875" style="2" customWidth="1"/>
    <col min="12258" max="12258" width="7.140625" style="2" customWidth="1"/>
    <col min="12259" max="12260" width="20.140625" style="2" customWidth="1"/>
    <col min="12261" max="12261" width="18.42578125" style="2" customWidth="1"/>
    <col min="12262" max="12262" width="9.140625" style="2" customWidth="1"/>
    <col min="12263" max="12263" width="12" style="2" customWidth="1"/>
    <col min="12264" max="12264" width="14.85546875" style="2" customWidth="1"/>
    <col min="12265" max="12265" width="22.42578125" style="2" customWidth="1"/>
    <col min="12266" max="12266" width="14.85546875" style="2" customWidth="1"/>
    <col min="12267" max="12267" width="7.140625" style="2" customWidth="1"/>
    <col min="12268" max="12268" width="20.140625" style="2" customWidth="1"/>
    <col min="12269" max="12500" width="8.85546875" style="2" customWidth="1"/>
    <col min="12501" max="12501" width="8.140625" style="2" customWidth="1"/>
    <col min="12502" max="12502" width="14.5703125" style="2" customWidth="1"/>
    <col min="12503" max="12503" width="37.42578125" style="2" customWidth="1"/>
    <col min="12504" max="12504" width="63.140625" style="2" customWidth="1"/>
    <col min="12505" max="12505" width="20" style="2" customWidth="1"/>
    <col min="12506" max="12506" width="11.140625" style="2" customWidth="1"/>
    <col min="12507" max="12507" width="10.85546875" style="2" customWidth="1"/>
    <col min="12508" max="12508" width="21" style="2" customWidth="1"/>
    <col min="12509" max="12509" width="10.85546875" style="2" customWidth="1"/>
    <col min="12510" max="12510" width="17.42578125" style="2" customWidth="1"/>
    <col min="12511" max="12511" width="14.85546875" style="2" customWidth="1"/>
    <col min="12512" max="12512" width="15" style="2" customWidth="1"/>
    <col min="12513" max="12513" width="14.85546875" style="2" customWidth="1"/>
    <col min="12514" max="12514" width="7.140625" style="2" customWidth="1"/>
    <col min="12515" max="12516" width="20.140625" style="2" customWidth="1"/>
    <col min="12517" max="12517" width="18.42578125" style="2" customWidth="1"/>
    <col min="12518" max="12518" width="9.140625" style="2" customWidth="1"/>
    <col min="12519" max="12519" width="12" style="2" customWidth="1"/>
    <col min="12520" max="12520" width="14.85546875" style="2" customWidth="1"/>
    <col min="12521" max="12521" width="22.42578125" style="2" customWidth="1"/>
    <col min="12522" max="12522" width="14.85546875" style="2" customWidth="1"/>
    <col min="12523" max="12523" width="7.140625" style="2" customWidth="1"/>
    <col min="12524" max="12524" width="20.140625" style="2" customWidth="1"/>
    <col min="12525" max="12756" width="8.85546875" style="2" customWidth="1"/>
    <col min="12757" max="12757" width="8.140625" style="2" customWidth="1"/>
    <col min="12758" max="12758" width="14.5703125" style="2" customWidth="1"/>
    <col min="12759" max="12759" width="37.42578125" style="2" customWidth="1"/>
    <col min="12760" max="12760" width="63.140625" style="2" customWidth="1"/>
    <col min="12761" max="12761" width="20" style="2" customWidth="1"/>
    <col min="12762" max="12762" width="11.140625" style="2" customWidth="1"/>
    <col min="12763" max="12763" width="10.85546875" style="2" customWidth="1"/>
    <col min="12764" max="12764" width="21" style="2" customWidth="1"/>
    <col min="12765" max="12765" width="10.85546875" style="2" customWidth="1"/>
    <col min="12766" max="12766" width="17.42578125" style="2" customWidth="1"/>
    <col min="12767" max="12767" width="14.85546875" style="2" customWidth="1"/>
    <col min="12768" max="12768" width="15" style="2" customWidth="1"/>
    <col min="12769" max="12769" width="14.85546875" style="2" customWidth="1"/>
    <col min="12770" max="12770" width="7.140625" style="2" customWidth="1"/>
    <col min="12771" max="12772" width="20.140625" style="2" customWidth="1"/>
    <col min="12773" max="12773" width="18.42578125" style="2" customWidth="1"/>
    <col min="12774" max="12774" width="9.140625" style="2" customWidth="1"/>
    <col min="12775" max="12775" width="12" style="2" customWidth="1"/>
    <col min="12776" max="12776" width="14.85546875" style="2" customWidth="1"/>
    <col min="12777" max="12777" width="22.42578125" style="2" customWidth="1"/>
    <col min="12778" max="12778" width="14.85546875" style="2" customWidth="1"/>
    <col min="12779" max="12779" width="7.140625" style="2" customWidth="1"/>
    <col min="12780" max="12780" width="20.140625" style="2" customWidth="1"/>
    <col min="12781" max="13012" width="8.85546875" style="2" customWidth="1"/>
    <col min="13013" max="13013" width="8.140625" style="2" customWidth="1"/>
    <col min="13014" max="13014" width="14.5703125" style="2" customWidth="1"/>
    <col min="13015" max="13015" width="37.42578125" style="2" customWidth="1"/>
    <col min="13016" max="13016" width="63.140625" style="2" customWidth="1"/>
    <col min="13017" max="13017" width="20" style="2" customWidth="1"/>
    <col min="13018" max="13018" width="11.140625" style="2" customWidth="1"/>
    <col min="13019" max="13019" width="10.85546875" style="2" customWidth="1"/>
    <col min="13020" max="13020" width="21" style="2" customWidth="1"/>
    <col min="13021" max="13021" width="10.85546875" style="2" customWidth="1"/>
    <col min="13022" max="13022" width="17.42578125" style="2" customWidth="1"/>
    <col min="13023" max="13023" width="14.85546875" style="2" customWidth="1"/>
    <col min="13024" max="13024" width="15" style="2" customWidth="1"/>
    <col min="13025" max="13025" width="14.85546875" style="2" customWidth="1"/>
    <col min="13026" max="13026" width="7.140625" style="2" customWidth="1"/>
    <col min="13027" max="13028" width="20.140625" style="2" customWidth="1"/>
    <col min="13029" max="13029" width="18.42578125" style="2" customWidth="1"/>
    <col min="13030" max="13030" width="9.140625" style="2" customWidth="1"/>
    <col min="13031" max="13031" width="12" style="2" customWidth="1"/>
    <col min="13032" max="13032" width="14.85546875" style="2" customWidth="1"/>
    <col min="13033" max="13033" width="22.42578125" style="2" customWidth="1"/>
    <col min="13034" max="13034" width="14.85546875" style="2" customWidth="1"/>
    <col min="13035" max="13035" width="7.140625" style="2" customWidth="1"/>
    <col min="13036" max="13036" width="20.140625" style="2" customWidth="1"/>
    <col min="13037" max="13268" width="8.85546875" style="2" customWidth="1"/>
    <col min="13269" max="13269" width="8.140625" style="2" customWidth="1"/>
    <col min="13270" max="13270" width="14.5703125" style="2" customWidth="1"/>
    <col min="13271" max="13271" width="37.42578125" style="2" customWidth="1"/>
    <col min="13272" max="13272" width="63.140625" style="2" customWidth="1"/>
    <col min="13273" max="13273" width="20" style="2" customWidth="1"/>
    <col min="13274" max="13274" width="11.140625" style="2" customWidth="1"/>
    <col min="13275" max="13275" width="10.85546875" style="2" customWidth="1"/>
    <col min="13276" max="13276" width="21" style="2" customWidth="1"/>
    <col min="13277" max="13277" width="10.85546875" style="2" customWidth="1"/>
    <col min="13278" max="13278" width="17.42578125" style="2" customWidth="1"/>
    <col min="13279" max="13279" width="14.85546875" style="2" customWidth="1"/>
    <col min="13280" max="13280" width="15" style="2" customWidth="1"/>
    <col min="13281" max="13281" width="14.85546875" style="2" customWidth="1"/>
    <col min="13282" max="13282" width="7.140625" style="2" customWidth="1"/>
    <col min="13283" max="13284" width="20.140625" style="2" customWidth="1"/>
    <col min="13285" max="13285" width="18.42578125" style="2" customWidth="1"/>
    <col min="13286" max="13286" width="9.140625" style="2" customWidth="1"/>
    <col min="13287" max="13287" width="12" style="2" customWidth="1"/>
    <col min="13288" max="13288" width="14.85546875" style="2" customWidth="1"/>
    <col min="13289" max="13289" width="22.42578125" style="2" customWidth="1"/>
    <col min="13290" max="13290" width="14.85546875" style="2" customWidth="1"/>
    <col min="13291" max="13291" width="7.140625" style="2" customWidth="1"/>
    <col min="13292" max="13292" width="20.140625" style="2" customWidth="1"/>
    <col min="13293" max="13524" width="8.85546875" style="2" customWidth="1"/>
    <col min="13525" max="13525" width="8.140625" style="2" customWidth="1"/>
    <col min="13526" max="13526" width="14.5703125" style="2" customWidth="1"/>
    <col min="13527" max="13527" width="37.42578125" style="2" customWidth="1"/>
    <col min="13528" max="13528" width="63.140625" style="2" customWidth="1"/>
    <col min="13529" max="13529" width="20" style="2" customWidth="1"/>
    <col min="13530" max="13530" width="11.140625" style="2" customWidth="1"/>
    <col min="13531" max="13531" width="10.85546875" style="2" customWidth="1"/>
    <col min="13532" max="13532" width="21" style="2" customWidth="1"/>
    <col min="13533" max="13533" width="10.85546875" style="2" customWidth="1"/>
    <col min="13534" max="13534" width="17.42578125" style="2" customWidth="1"/>
    <col min="13535" max="13535" width="14.85546875" style="2" customWidth="1"/>
    <col min="13536" max="13536" width="15" style="2" customWidth="1"/>
    <col min="13537" max="13537" width="14.85546875" style="2" customWidth="1"/>
    <col min="13538" max="13538" width="7.140625" style="2" customWidth="1"/>
    <col min="13539" max="13540" width="20.140625" style="2" customWidth="1"/>
    <col min="13541" max="13541" width="18.42578125" style="2" customWidth="1"/>
    <col min="13542" max="13542" width="9.140625" style="2" customWidth="1"/>
    <col min="13543" max="13543" width="12" style="2" customWidth="1"/>
    <col min="13544" max="13544" width="14.85546875" style="2" customWidth="1"/>
    <col min="13545" max="13545" width="22.42578125" style="2" customWidth="1"/>
    <col min="13546" max="13546" width="14.85546875" style="2" customWidth="1"/>
    <col min="13547" max="13547" width="7.140625" style="2" customWidth="1"/>
    <col min="13548" max="13548" width="20.140625" style="2" customWidth="1"/>
    <col min="13549" max="13780" width="8.85546875" style="2" customWidth="1"/>
    <col min="13781" max="13781" width="8.140625" style="2" customWidth="1"/>
    <col min="13782" max="13782" width="14.5703125" style="2" customWidth="1"/>
    <col min="13783" max="13783" width="37.42578125" style="2" customWidth="1"/>
    <col min="13784" max="13784" width="63.140625" style="2" customWidth="1"/>
    <col min="13785" max="13785" width="20" style="2" customWidth="1"/>
    <col min="13786" max="13786" width="11.140625" style="2" customWidth="1"/>
    <col min="13787" max="13787" width="10.85546875" style="2" customWidth="1"/>
    <col min="13788" max="13788" width="21" style="2" customWidth="1"/>
    <col min="13789" max="13789" width="10.85546875" style="2" customWidth="1"/>
    <col min="13790" max="13790" width="17.42578125" style="2" customWidth="1"/>
    <col min="13791" max="13791" width="14.85546875" style="2" customWidth="1"/>
    <col min="13792" max="13792" width="15" style="2" customWidth="1"/>
    <col min="13793" max="13793" width="14.85546875" style="2" customWidth="1"/>
    <col min="13794" max="13794" width="7.140625" style="2" customWidth="1"/>
    <col min="13795" max="13796" width="20.140625" style="2" customWidth="1"/>
    <col min="13797" max="13797" width="18.42578125" style="2" customWidth="1"/>
    <col min="13798" max="13798" width="9.140625" style="2" customWidth="1"/>
    <col min="13799" max="13799" width="12" style="2" customWidth="1"/>
    <col min="13800" max="13800" width="14.85546875" style="2" customWidth="1"/>
    <col min="13801" max="13801" width="22.42578125" style="2" customWidth="1"/>
    <col min="13802" max="13802" width="14.85546875" style="2" customWidth="1"/>
    <col min="13803" max="13803" width="7.140625" style="2" customWidth="1"/>
    <col min="13804" max="13804" width="20.140625" style="2" customWidth="1"/>
    <col min="13805" max="14036" width="8.85546875" style="2" customWidth="1"/>
    <col min="14037" max="14037" width="8.140625" style="2" customWidth="1"/>
    <col min="14038" max="14038" width="14.5703125" style="2" customWidth="1"/>
    <col min="14039" max="14039" width="37.42578125" style="2" customWidth="1"/>
    <col min="14040" max="14040" width="63.140625" style="2" customWidth="1"/>
    <col min="14041" max="14041" width="20" style="2" customWidth="1"/>
    <col min="14042" max="14042" width="11.140625" style="2" customWidth="1"/>
    <col min="14043" max="14043" width="10.85546875" style="2" customWidth="1"/>
    <col min="14044" max="14044" width="21" style="2" customWidth="1"/>
    <col min="14045" max="14045" width="10.85546875" style="2" customWidth="1"/>
    <col min="14046" max="14046" width="17.42578125" style="2" customWidth="1"/>
    <col min="14047" max="14047" width="14.85546875" style="2" customWidth="1"/>
    <col min="14048" max="14048" width="15" style="2" customWidth="1"/>
    <col min="14049" max="14049" width="14.85546875" style="2" customWidth="1"/>
    <col min="14050" max="14050" width="7.140625" style="2" customWidth="1"/>
    <col min="14051" max="14052" width="20.140625" style="2" customWidth="1"/>
    <col min="14053" max="14053" width="18.42578125" style="2" customWidth="1"/>
    <col min="14054" max="14054" width="9.140625" style="2" customWidth="1"/>
    <col min="14055" max="14055" width="12" style="2" customWidth="1"/>
    <col min="14056" max="14056" width="14.85546875" style="2" customWidth="1"/>
    <col min="14057" max="14057" width="22.42578125" style="2" customWidth="1"/>
    <col min="14058" max="14058" width="14.85546875" style="2" customWidth="1"/>
    <col min="14059" max="14059" width="7.140625" style="2" customWidth="1"/>
    <col min="14060" max="14060" width="20.140625" style="2" customWidth="1"/>
    <col min="14061" max="14292" width="8.85546875" style="2" customWidth="1"/>
    <col min="14293" max="14293" width="8.140625" style="2" customWidth="1"/>
    <col min="14294" max="14294" width="14.5703125" style="2" customWidth="1"/>
    <col min="14295" max="14295" width="37.42578125" style="2" customWidth="1"/>
    <col min="14296" max="14296" width="63.140625" style="2" customWidth="1"/>
    <col min="14297" max="14297" width="20" style="2" customWidth="1"/>
    <col min="14298" max="14298" width="11.140625" style="2" customWidth="1"/>
    <col min="14299" max="14299" width="10.85546875" style="2" customWidth="1"/>
    <col min="14300" max="14300" width="21" style="2" customWidth="1"/>
    <col min="14301" max="14301" width="10.85546875" style="2" customWidth="1"/>
    <col min="14302" max="14302" width="17.42578125" style="2" customWidth="1"/>
    <col min="14303" max="14303" width="14.85546875" style="2" customWidth="1"/>
    <col min="14304" max="14304" width="15" style="2" customWidth="1"/>
    <col min="14305" max="14305" width="14.85546875" style="2" customWidth="1"/>
    <col min="14306" max="14306" width="7.140625" style="2" customWidth="1"/>
    <col min="14307" max="14308" width="20.140625" style="2" customWidth="1"/>
    <col min="14309" max="14309" width="18.42578125" style="2" customWidth="1"/>
    <col min="14310" max="14310" width="9.140625" style="2" customWidth="1"/>
    <col min="14311" max="14311" width="12" style="2" customWidth="1"/>
    <col min="14312" max="14312" width="14.85546875" style="2" customWidth="1"/>
    <col min="14313" max="14313" width="22.42578125" style="2" customWidth="1"/>
    <col min="14314" max="14314" width="14.85546875" style="2" customWidth="1"/>
    <col min="14315" max="14315" width="7.140625" style="2" customWidth="1"/>
    <col min="14316" max="14316" width="20.140625" style="2" customWidth="1"/>
    <col min="14317" max="14548" width="8.85546875" style="2" customWidth="1"/>
    <col min="14549" max="14549" width="8.140625" style="2" customWidth="1"/>
    <col min="14550" max="14550" width="14.5703125" style="2" customWidth="1"/>
    <col min="14551" max="14551" width="37.42578125" style="2" customWidth="1"/>
    <col min="14552" max="14552" width="63.140625" style="2" customWidth="1"/>
    <col min="14553" max="14553" width="20" style="2" customWidth="1"/>
    <col min="14554" max="14554" width="11.140625" style="2" customWidth="1"/>
    <col min="14555" max="14555" width="10.85546875" style="2" customWidth="1"/>
    <col min="14556" max="14556" width="21" style="2" customWidth="1"/>
    <col min="14557" max="14557" width="10.85546875" style="2" customWidth="1"/>
    <col min="14558" max="14558" width="17.42578125" style="2" customWidth="1"/>
    <col min="14559" max="14559" width="14.85546875" style="2" customWidth="1"/>
    <col min="14560" max="14560" width="15" style="2" customWidth="1"/>
    <col min="14561" max="14561" width="14.85546875" style="2" customWidth="1"/>
    <col min="14562" max="14562" width="7.140625" style="2" customWidth="1"/>
    <col min="14563" max="14564" width="20.140625" style="2" customWidth="1"/>
    <col min="14565" max="14565" width="18.42578125" style="2" customWidth="1"/>
    <col min="14566" max="14566" width="9.140625" style="2" customWidth="1"/>
    <col min="14567" max="14567" width="12" style="2" customWidth="1"/>
    <col min="14568" max="14568" width="14.85546875" style="2" customWidth="1"/>
    <col min="14569" max="14569" width="22.42578125" style="2" customWidth="1"/>
    <col min="14570" max="14570" width="14.85546875" style="2" customWidth="1"/>
    <col min="14571" max="14571" width="7.140625" style="2" customWidth="1"/>
    <col min="14572" max="14572" width="20.140625" style="2" customWidth="1"/>
    <col min="14573" max="14804" width="8.85546875" style="2" customWidth="1"/>
    <col min="14805" max="14805" width="8.140625" style="2" customWidth="1"/>
    <col min="14806" max="14806" width="14.5703125" style="2" customWidth="1"/>
    <col min="14807" max="14807" width="37.42578125" style="2" customWidth="1"/>
    <col min="14808" max="14808" width="63.140625" style="2" customWidth="1"/>
    <col min="14809" max="14809" width="20" style="2" customWidth="1"/>
    <col min="14810" max="14810" width="11.140625" style="2" customWidth="1"/>
    <col min="14811" max="14811" width="10.85546875" style="2" customWidth="1"/>
    <col min="14812" max="14812" width="21" style="2" customWidth="1"/>
    <col min="14813" max="14813" width="10.85546875" style="2" customWidth="1"/>
    <col min="14814" max="14814" width="17.42578125" style="2" customWidth="1"/>
    <col min="14815" max="14815" width="14.85546875" style="2" customWidth="1"/>
    <col min="14816" max="14816" width="15" style="2" customWidth="1"/>
    <col min="14817" max="14817" width="14.85546875" style="2" customWidth="1"/>
    <col min="14818" max="14818" width="7.140625" style="2" customWidth="1"/>
    <col min="14819" max="14820" width="20.140625" style="2" customWidth="1"/>
    <col min="14821" max="14821" width="18.42578125" style="2" customWidth="1"/>
    <col min="14822" max="14822" width="9.140625" style="2" customWidth="1"/>
    <col min="14823" max="14823" width="12" style="2" customWidth="1"/>
    <col min="14824" max="14824" width="14.85546875" style="2" customWidth="1"/>
    <col min="14825" max="14825" width="22.42578125" style="2" customWidth="1"/>
    <col min="14826" max="14826" width="14.85546875" style="2" customWidth="1"/>
    <col min="14827" max="14827" width="7.140625" style="2" customWidth="1"/>
    <col min="14828" max="14828" width="20.140625" style="2" customWidth="1"/>
    <col min="14829" max="15060" width="8.85546875" style="2" customWidth="1"/>
    <col min="15061" max="15061" width="8.140625" style="2" customWidth="1"/>
    <col min="15062" max="15062" width="14.5703125" style="2" customWidth="1"/>
    <col min="15063" max="15063" width="37.42578125" style="2" customWidth="1"/>
    <col min="15064" max="15064" width="63.140625" style="2" customWidth="1"/>
    <col min="15065" max="15065" width="20" style="2" customWidth="1"/>
    <col min="15066" max="15066" width="11.140625" style="2" customWidth="1"/>
    <col min="15067" max="15067" width="10.85546875" style="2" customWidth="1"/>
    <col min="15068" max="15068" width="21" style="2" customWidth="1"/>
    <col min="15069" max="15069" width="10.85546875" style="2" customWidth="1"/>
    <col min="15070" max="15070" width="17.42578125" style="2" customWidth="1"/>
    <col min="15071" max="15071" width="14.85546875" style="2" customWidth="1"/>
    <col min="15072" max="15072" width="15" style="2" customWidth="1"/>
    <col min="15073" max="15073" width="14.85546875" style="2" customWidth="1"/>
    <col min="15074" max="15074" width="7.140625" style="2" customWidth="1"/>
    <col min="15075" max="15076" width="20.140625" style="2" customWidth="1"/>
    <col min="15077" max="15077" width="18.42578125" style="2" customWidth="1"/>
    <col min="15078" max="15078" width="9.140625" style="2" customWidth="1"/>
    <col min="15079" max="15079" width="12" style="2" customWidth="1"/>
    <col min="15080" max="15080" width="14.85546875" style="2" customWidth="1"/>
    <col min="15081" max="15081" width="22.42578125" style="2" customWidth="1"/>
    <col min="15082" max="15082" width="14.85546875" style="2" customWidth="1"/>
    <col min="15083" max="15083" width="7.140625" style="2" customWidth="1"/>
    <col min="15084" max="15084" width="20.140625" style="2" customWidth="1"/>
    <col min="15085" max="15316" width="8.85546875" style="2" customWidth="1"/>
    <col min="15317" max="15317" width="8.140625" style="2" customWidth="1"/>
    <col min="15318" max="15318" width="14.5703125" style="2" customWidth="1"/>
    <col min="15319" max="15319" width="37.42578125" style="2" customWidth="1"/>
    <col min="15320" max="15320" width="63.140625" style="2" customWidth="1"/>
    <col min="15321" max="15321" width="20" style="2" customWidth="1"/>
    <col min="15322" max="15322" width="11.140625" style="2" customWidth="1"/>
    <col min="15323" max="15323" width="10.85546875" style="2" customWidth="1"/>
    <col min="15324" max="15324" width="21" style="2" customWidth="1"/>
    <col min="15325" max="15325" width="10.85546875" style="2" customWidth="1"/>
    <col min="15326" max="15326" width="17.42578125" style="2" customWidth="1"/>
    <col min="15327" max="15327" width="14.85546875" style="2" customWidth="1"/>
    <col min="15328" max="15328" width="15" style="2" customWidth="1"/>
    <col min="15329" max="15329" width="14.85546875" style="2" customWidth="1"/>
    <col min="15330" max="15330" width="7.140625" style="2" customWidth="1"/>
    <col min="15331" max="15332" width="20.140625" style="2" customWidth="1"/>
    <col min="15333" max="15333" width="18.42578125" style="2" customWidth="1"/>
    <col min="15334" max="15334" width="9.140625" style="2" customWidth="1"/>
    <col min="15335" max="15335" width="12" style="2" customWidth="1"/>
    <col min="15336" max="15336" width="14.85546875" style="2" customWidth="1"/>
    <col min="15337" max="15337" width="22.42578125" style="2" customWidth="1"/>
    <col min="15338" max="15338" width="14.85546875" style="2" customWidth="1"/>
    <col min="15339" max="15339" width="7.140625" style="2" customWidth="1"/>
    <col min="15340" max="15340" width="20.140625" style="2" customWidth="1"/>
    <col min="15341" max="15572" width="8.85546875" style="2" customWidth="1"/>
    <col min="15573" max="15573" width="8.140625" style="2" customWidth="1"/>
    <col min="15574" max="15574" width="14.5703125" style="2" customWidth="1"/>
    <col min="15575" max="15575" width="37.42578125" style="2" customWidth="1"/>
    <col min="15576" max="15576" width="63.140625" style="2" customWidth="1"/>
    <col min="15577" max="15577" width="20" style="2" customWidth="1"/>
    <col min="15578" max="15578" width="11.140625" style="2" customWidth="1"/>
    <col min="15579" max="15579" width="10.85546875" style="2" customWidth="1"/>
    <col min="15580" max="15580" width="21" style="2" customWidth="1"/>
    <col min="15581" max="15581" width="10.85546875" style="2" customWidth="1"/>
    <col min="15582" max="15582" width="17.42578125" style="2" customWidth="1"/>
    <col min="15583" max="15583" width="14.85546875" style="2" customWidth="1"/>
    <col min="15584" max="15584" width="15" style="2" customWidth="1"/>
    <col min="15585" max="15585" width="14.85546875" style="2" customWidth="1"/>
    <col min="15586" max="15586" width="7.140625" style="2" customWidth="1"/>
    <col min="15587" max="15588" width="20.140625" style="2" customWidth="1"/>
    <col min="15589" max="15589" width="18.42578125" style="2" customWidth="1"/>
    <col min="15590" max="15590" width="9.140625" style="2" customWidth="1"/>
    <col min="15591" max="15591" width="12" style="2" customWidth="1"/>
    <col min="15592" max="15592" width="14.85546875" style="2" customWidth="1"/>
    <col min="15593" max="15593" width="22.42578125" style="2" customWidth="1"/>
    <col min="15594" max="15594" width="14.85546875" style="2" customWidth="1"/>
    <col min="15595" max="15595" width="7.140625" style="2" customWidth="1"/>
    <col min="15596" max="15596" width="20.140625" style="2" customWidth="1"/>
    <col min="15597" max="15828" width="8.85546875" style="2" customWidth="1"/>
    <col min="15829" max="15829" width="8.140625" style="2" customWidth="1"/>
    <col min="15830" max="15830" width="14.5703125" style="2" customWidth="1"/>
    <col min="15831" max="15831" width="37.42578125" style="2" customWidth="1"/>
    <col min="15832" max="15832" width="63.140625" style="2" customWidth="1"/>
    <col min="15833" max="15833" width="20" style="2" customWidth="1"/>
    <col min="15834" max="15834" width="11.140625" style="2" customWidth="1"/>
    <col min="15835" max="15835" width="10.85546875" style="2" customWidth="1"/>
    <col min="15836" max="15836" width="21" style="2" customWidth="1"/>
    <col min="15837" max="15837" width="10.85546875" style="2" customWidth="1"/>
    <col min="15838" max="15838" width="17.42578125" style="2" customWidth="1"/>
    <col min="15839" max="15839" width="14.85546875" style="2" customWidth="1"/>
    <col min="15840" max="15840" width="15" style="2" customWidth="1"/>
    <col min="15841" max="15841" width="14.85546875" style="2" customWidth="1"/>
    <col min="15842" max="15842" width="7.140625" style="2" customWidth="1"/>
    <col min="15843" max="15844" width="20.140625" style="2" customWidth="1"/>
    <col min="15845" max="15845" width="18.42578125" style="2" customWidth="1"/>
    <col min="15846" max="15846" width="9.140625" style="2" customWidth="1"/>
    <col min="15847" max="15847" width="12" style="2" customWidth="1"/>
    <col min="15848" max="15848" width="14.85546875" style="2" customWidth="1"/>
    <col min="15849" max="15849" width="22.42578125" style="2" customWidth="1"/>
    <col min="15850" max="15850" width="14.85546875" style="2" customWidth="1"/>
    <col min="15851" max="15851" width="7.140625" style="2" customWidth="1"/>
    <col min="15852" max="15852" width="20.140625" style="2" customWidth="1"/>
    <col min="15853" max="16084" width="8.85546875" style="2" customWidth="1"/>
    <col min="16085" max="16085" width="8.140625" style="2" customWidth="1"/>
    <col min="16086" max="16086" width="14.5703125" style="2" customWidth="1"/>
    <col min="16087" max="16087" width="37.42578125" style="2" customWidth="1"/>
    <col min="16088" max="16088" width="63.140625" style="2" customWidth="1"/>
    <col min="16089" max="16089" width="20" style="2" customWidth="1"/>
    <col min="16090" max="16090" width="11.140625" style="2" customWidth="1"/>
    <col min="16091" max="16091" width="10.85546875" style="2" customWidth="1"/>
    <col min="16092" max="16092" width="21" style="2" customWidth="1"/>
    <col min="16093" max="16093" width="10.85546875" style="2" customWidth="1"/>
    <col min="16094" max="16094" width="17.42578125" style="2" customWidth="1"/>
    <col min="16095" max="16095" width="14.85546875" style="2" customWidth="1"/>
    <col min="16096" max="16096" width="15" style="2" customWidth="1"/>
    <col min="16097" max="16097" width="14.85546875" style="2" customWidth="1"/>
    <col min="16098" max="16098" width="7.140625" style="2" customWidth="1"/>
    <col min="16099" max="16100" width="20.140625" style="2" customWidth="1"/>
    <col min="16101" max="16101" width="18.42578125" style="2" customWidth="1"/>
    <col min="16102" max="16102" width="9.140625" style="2" customWidth="1"/>
    <col min="16103" max="16103" width="12" style="2" customWidth="1"/>
    <col min="16104" max="16104" width="14.85546875" style="2" customWidth="1"/>
    <col min="16105" max="16105" width="22.42578125" style="2" customWidth="1"/>
    <col min="16106" max="16106" width="14.85546875" style="2" customWidth="1"/>
    <col min="16107" max="16107" width="7.140625" style="2" customWidth="1"/>
    <col min="16108" max="16108" width="20.140625" style="2" customWidth="1"/>
    <col min="16109" max="16384" width="8.85546875" style="2" customWidth="1"/>
  </cols>
  <sheetData>
    <row r="1" spans="1:21" ht="14.1" customHeight="1">
      <c r="A1" s="1" t="s">
        <v>607</v>
      </c>
      <c r="B1" s="2"/>
      <c r="C1" s="2"/>
      <c r="D1" s="2"/>
      <c r="F1" s="2"/>
      <c r="H1" s="2"/>
      <c r="J1" s="2"/>
      <c r="K1" s="2"/>
      <c r="L1" s="2"/>
      <c r="M1" s="2"/>
      <c r="N1" s="2"/>
      <c r="O1" s="2"/>
      <c r="P1" s="2"/>
      <c r="R1" s="10"/>
    </row>
    <row r="2" spans="1:21" ht="14.1" customHeight="1">
      <c r="A2" s="4" t="s">
        <v>608</v>
      </c>
      <c r="B2" s="2"/>
      <c r="C2" s="2"/>
      <c r="D2" s="2"/>
      <c r="F2" s="2"/>
      <c r="H2" s="4"/>
      <c r="J2" s="2"/>
      <c r="K2" s="4"/>
      <c r="L2" s="2"/>
      <c r="M2" s="2"/>
      <c r="N2" s="2"/>
      <c r="O2" s="2"/>
      <c r="P2" s="2"/>
      <c r="R2" s="336"/>
    </row>
    <row r="3" spans="1:21" s="6" customFormat="1" ht="14.1" customHeight="1">
      <c r="A3" s="3"/>
      <c r="B3" s="16"/>
      <c r="C3" s="16"/>
      <c r="D3" s="23"/>
      <c r="E3" s="16"/>
      <c r="F3" s="23"/>
      <c r="G3" s="15"/>
      <c r="H3" s="25"/>
      <c r="I3" s="15"/>
      <c r="J3" s="25"/>
      <c r="K3" s="25"/>
      <c r="L3" s="25"/>
      <c r="M3" s="25"/>
      <c r="N3" s="25"/>
      <c r="O3" s="25"/>
      <c r="P3" s="25"/>
      <c r="Q3" s="2"/>
      <c r="R3" s="355" t="s">
        <v>2</v>
      </c>
      <c r="S3" s="2"/>
      <c r="T3" s="2"/>
      <c r="U3" s="2"/>
    </row>
    <row r="4" spans="1:21" s="5" customFormat="1" ht="33" customHeight="1">
      <c r="A4" s="21" t="s">
        <v>3</v>
      </c>
      <c r="B4" s="52" t="s">
        <v>4</v>
      </c>
      <c r="C4" s="52" t="s">
        <v>5</v>
      </c>
      <c r="D4" s="21" t="s">
        <v>6</v>
      </c>
      <c r="E4" s="21" t="s">
        <v>7</v>
      </c>
      <c r="F4" s="21" t="s">
        <v>8</v>
      </c>
      <c r="G4" s="21" t="s">
        <v>9</v>
      </c>
      <c r="H4" s="21" t="s">
        <v>10</v>
      </c>
      <c r="I4" s="21" t="s">
        <v>11</v>
      </c>
      <c r="J4" s="21" t="s">
        <v>12</v>
      </c>
      <c r="K4" s="21" t="s">
        <v>13</v>
      </c>
      <c r="L4" s="21" t="s">
        <v>455</v>
      </c>
      <c r="M4" s="21" t="s">
        <v>15</v>
      </c>
      <c r="N4" s="21" t="s">
        <v>16</v>
      </c>
      <c r="O4" s="21" t="s">
        <v>17</v>
      </c>
      <c r="P4" s="21" t="s">
        <v>18</v>
      </c>
      <c r="Q4" s="3"/>
      <c r="R4" s="41" t="s">
        <v>19</v>
      </c>
      <c r="S4" s="3"/>
      <c r="T4" s="42" t="s">
        <v>20</v>
      </c>
      <c r="U4" s="42" t="s">
        <v>21</v>
      </c>
    </row>
    <row r="5" spans="1:21" ht="14.1" customHeight="1">
      <c r="A5" s="7">
        <v>1</v>
      </c>
      <c r="B5" s="14" t="s">
        <v>609</v>
      </c>
      <c r="C5" s="14" t="s">
        <v>610</v>
      </c>
      <c r="D5" s="7" t="s">
        <v>611</v>
      </c>
      <c r="E5" s="14" t="s">
        <v>355</v>
      </c>
      <c r="F5" s="7" t="s">
        <v>26</v>
      </c>
      <c r="G5" s="8" t="s">
        <v>612</v>
      </c>
      <c r="H5" s="12" t="s">
        <v>518</v>
      </c>
      <c r="I5" s="8" t="s">
        <v>613</v>
      </c>
      <c r="J5" s="7" t="s">
        <v>30</v>
      </c>
      <c r="K5" s="7" t="s">
        <v>520</v>
      </c>
      <c r="L5" s="7" t="s">
        <v>58</v>
      </c>
      <c r="M5" s="7">
        <v>83026000</v>
      </c>
      <c r="N5" s="7">
        <v>1</v>
      </c>
      <c r="O5" s="7" t="s">
        <v>614</v>
      </c>
      <c r="P5" s="7" t="s">
        <v>286</v>
      </c>
      <c r="R5" s="9">
        <v>168.41298851314619</v>
      </c>
      <c r="T5" s="7" t="s">
        <v>34</v>
      </c>
      <c r="U5" s="7" t="s">
        <v>34</v>
      </c>
    </row>
    <row r="6" spans="1:21" ht="14.1" customHeight="1">
      <c r="A6" s="7">
        <v>2</v>
      </c>
      <c r="B6" s="14" t="s">
        <v>609</v>
      </c>
      <c r="C6" s="14" t="s">
        <v>610</v>
      </c>
      <c r="D6" s="7" t="s">
        <v>611</v>
      </c>
      <c r="E6" s="14" t="s">
        <v>355</v>
      </c>
      <c r="F6" s="7" t="s">
        <v>26</v>
      </c>
      <c r="G6" s="8" t="s">
        <v>615</v>
      </c>
      <c r="H6" s="12" t="s">
        <v>518</v>
      </c>
      <c r="I6" s="8" t="s">
        <v>616</v>
      </c>
      <c r="J6" s="7" t="s">
        <v>30</v>
      </c>
      <c r="K6" s="7" t="s">
        <v>520</v>
      </c>
      <c r="L6" s="7" t="s">
        <v>58</v>
      </c>
      <c r="M6" s="7">
        <v>83026000</v>
      </c>
      <c r="N6" s="7">
        <v>1</v>
      </c>
      <c r="O6" s="7" t="s">
        <v>614</v>
      </c>
      <c r="P6" s="7" t="s">
        <v>286</v>
      </c>
      <c r="R6" s="9">
        <v>264.64898194922978</v>
      </c>
      <c r="T6" s="7" t="s">
        <v>34</v>
      </c>
      <c r="U6" s="7" t="s">
        <v>34</v>
      </c>
    </row>
    <row r="7" spans="1:21" ht="14.1" customHeight="1">
      <c r="A7" s="7">
        <v>3</v>
      </c>
      <c r="B7" s="14" t="s">
        <v>609</v>
      </c>
      <c r="C7" s="14" t="s">
        <v>610</v>
      </c>
      <c r="D7" s="7" t="s">
        <v>611</v>
      </c>
      <c r="E7" s="14" t="s">
        <v>355</v>
      </c>
      <c r="F7" s="7" t="s">
        <v>26</v>
      </c>
      <c r="G7" s="8" t="s">
        <v>617</v>
      </c>
      <c r="H7" s="7" t="s">
        <v>518</v>
      </c>
      <c r="I7" s="8" t="s">
        <v>618</v>
      </c>
      <c r="J7" s="7" t="s">
        <v>30</v>
      </c>
      <c r="K7" s="7" t="s">
        <v>520</v>
      </c>
      <c r="L7" s="7" t="s">
        <v>58</v>
      </c>
      <c r="M7" s="7">
        <v>83026000</v>
      </c>
      <c r="N7" s="7">
        <v>1</v>
      </c>
      <c r="O7" s="7" t="s">
        <v>619</v>
      </c>
      <c r="P7" s="7" t="s">
        <v>286</v>
      </c>
      <c r="R7" s="9">
        <v>1136.787672463737</v>
      </c>
      <c r="T7" s="7" t="s">
        <v>34</v>
      </c>
      <c r="U7" s="7" t="s">
        <v>34</v>
      </c>
    </row>
    <row r="8" spans="1:21" ht="14.1" customHeight="1">
      <c r="A8" s="7">
        <v>4</v>
      </c>
      <c r="B8" s="14" t="s">
        <v>609</v>
      </c>
      <c r="C8" s="14" t="s">
        <v>610</v>
      </c>
      <c r="D8" s="7" t="s">
        <v>611</v>
      </c>
      <c r="E8" s="14" t="s">
        <v>355</v>
      </c>
      <c r="F8" s="7" t="s">
        <v>26</v>
      </c>
      <c r="G8" s="13" t="s">
        <v>620</v>
      </c>
      <c r="H8" s="7" t="s">
        <v>518</v>
      </c>
      <c r="I8" s="8" t="s">
        <v>621</v>
      </c>
      <c r="J8" s="7" t="s">
        <v>30</v>
      </c>
      <c r="K8" s="7" t="s">
        <v>520</v>
      </c>
      <c r="L8" s="7" t="s">
        <v>58</v>
      </c>
      <c r="M8" s="7">
        <v>83026000</v>
      </c>
      <c r="N8" s="7">
        <v>1</v>
      </c>
      <c r="O8" s="7" t="s">
        <v>619</v>
      </c>
      <c r="P8" s="7" t="s">
        <v>286</v>
      </c>
      <c r="R8" s="9">
        <v>1558.121761433348</v>
      </c>
      <c r="T8" s="7" t="s">
        <v>34</v>
      </c>
      <c r="U8" s="7" t="s">
        <v>34</v>
      </c>
    </row>
    <row r="9" spans="1:21" ht="14.1" customHeight="1">
      <c r="A9" s="7">
        <v>5</v>
      </c>
      <c r="B9" s="14" t="s">
        <v>609</v>
      </c>
      <c r="C9" s="14" t="s">
        <v>610</v>
      </c>
      <c r="D9" s="7" t="s">
        <v>611</v>
      </c>
      <c r="E9" s="14" t="s">
        <v>355</v>
      </c>
      <c r="F9" s="7" t="s">
        <v>26</v>
      </c>
      <c r="G9" s="13" t="s">
        <v>622</v>
      </c>
      <c r="H9" s="12" t="s">
        <v>459</v>
      </c>
      <c r="I9" s="8" t="s">
        <v>621</v>
      </c>
      <c r="J9" s="7" t="s">
        <v>30</v>
      </c>
      <c r="K9" s="12" t="s">
        <v>461</v>
      </c>
      <c r="L9" s="7" t="s">
        <v>58</v>
      </c>
      <c r="M9" s="7">
        <v>83026000</v>
      </c>
      <c r="N9" s="7">
        <v>1</v>
      </c>
      <c r="O9" s="7" t="s">
        <v>619</v>
      </c>
      <c r="P9" s="7" t="s">
        <v>286</v>
      </c>
      <c r="R9" s="9">
        <v>1668.253293433861</v>
      </c>
      <c r="T9" s="7" t="s">
        <v>34</v>
      </c>
      <c r="U9" s="7" t="s">
        <v>34</v>
      </c>
    </row>
    <row r="10" spans="1:21" ht="14.1" customHeight="1">
      <c r="A10" s="7">
        <v>6</v>
      </c>
      <c r="B10" s="14" t="s">
        <v>609</v>
      </c>
      <c r="C10" s="14" t="s">
        <v>610</v>
      </c>
      <c r="D10" s="7" t="s">
        <v>611</v>
      </c>
      <c r="E10" s="14" t="s">
        <v>355</v>
      </c>
      <c r="F10" s="7" t="s">
        <v>26</v>
      </c>
      <c r="G10" s="13" t="s">
        <v>623</v>
      </c>
      <c r="H10" s="12" t="s">
        <v>624</v>
      </c>
      <c r="I10" s="8" t="s">
        <v>621</v>
      </c>
      <c r="J10" s="7" t="s">
        <v>30</v>
      </c>
      <c r="K10" s="12" t="s">
        <v>536</v>
      </c>
      <c r="L10" s="7" t="s">
        <v>58</v>
      </c>
      <c r="M10" s="7">
        <v>83026000</v>
      </c>
      <c r="N10" s="7">
        <v>1</v>
      </c>
      <c r="O10" s="7" t="s">
        <v>619</v>
      </c>
      <c r="P10" s="7" t="s">
        <v>286</v>
      </c>
      <c r="R10" s="9">
        <v>1668.253293433861</v>
      </c>
      <c r="T10" s="7" t="s">
        <v>34</v>
      </c>
      <c r="U10" s="7" t="s">
        <v>34</v>
      </c>
    </row>
    <row r="11" spans="1:21" ht="14.1" customHeight="1">
      <c r="A11" s="7">
        <v>7</v>
      </c>
      <c r="B11" s="14" t="s">
        <v>609</v>
      </c>
      <c r="C11" s="14" t="s">
        <v>610</v>
      </c>
      <c r="D11" s="7" t="s">
        <v>611</v>
      </c>
      <c r="E11" s="14" t="s">
        <v>355</v>
      </c>
      <c r="F11" s="7" t="s">
        <v>26</v>
      </c>
      <c r="G11" s="13" t="s">
        <v>625</v>
      </c>
      <c r="H11" s="12" t="s">
        <v>626</v>
      </c>
      <c r="I11" s="8" t="s">
        <v>621</v>
      </c>
      <c r="J11" s="7" t="s">
        <v>30</v>
      </c>
      <c r="K11" s="239"/>
      <c r="L11" s="7" t="s">
        <v>58</v>
      </c>
      <c r="M11" s="7">
        <v>83026000</v>
      </c>
      <c r="N11" s="7">
        <v>1</v>
      </c>
      <c r="O11" s="7" t="s">
        <v>619</v>
      </c>
      <c r="P11" s="7" t="s">
        <v>286</v>
      </c>
      <c r="R11" s="9">
        <v>1915.330991313273</v>
      </c>
      <c r="T11" s="7" t="s">
        <v>34</v>
      </c>
      <c r="U11" s="7" t="s">
        <v>34</v>
      </c>
    </row>
    <row r="12" spans="1:21" ht="14.1" customHeight="1">
      <c r="A12" s="7">
        <v>8</v>
      </c>
      <c r="B12" s="14" t="s">
        <v>609</v>
      </c>
      <c r="C12" s="14" t="s">
        <v>610</v>
      </c>
      <c r="D12" s="7" t="s">
        <v>611</v>
      </c>
      <c r="E12" s="14" t="s">
        <v>355</v>
      </c>
      <c r="F12" s="7" t="s">
        <v>26</v>
      </c>
      <c r="G12" s="13" t="s">
        <v>627</v>
      </c>
      <c r="H12" s="12" t="s">
        <v>628</v>
      </c>
      <c r="I12" s="8" t="s">
        <v>621</v>
      </c>
      <c r="J12" s="7" t="s">
        <v>30</v>
      </c>
      <c r="K12" s="12" t="s">
        <v>31</v>
      </c>
      <c r="L12" s="7" t="s">
        <v>58</v>
      </c>
      <c r="M12" s="7">
        <v>83026000</v>
      </c>
      <c r="N12" s="7">
        <v>1</v>
      </c>
      <c r="O12" s="7" t="s">
        <v>619</v>
      </c>
      <c r="P12" s="7" t="s">
        <v>286</v>
      </c>
      <c r="R12" s="9">
        <v>1736.247543625482</v>
      </c>
      <c r="T12" s="7" t="s">
        <v>34</v>
      </c>
      <c r="U12" s="7" t="s">
        <v>34</v>
      </c>
    </row>
    <row r="13" spans="1:21" ht="14.1" customHeight="1">
      <c r="A13" s="7">
        <v>9</v>
      </c>
      <c r="B13" s="14" t="s">
        <v>609</v>
      </c>
      <c r="C13" s="14" t="s">
        <v>610</v>
      </c>
      <c r="D13" s="7" t="s">
        <v>611</v>
      </c>
      <c r="E13" s="14" t="s">
        <v>355</v>
      </c>
      <c r="F13" s="7" t="s">
        <v>26</v>
      </c>
      <c r="G13" s="13" t="s">
        <v>629</v>
      </c>
      <c r="H13" s="12" t="s">
        <v>630</v>
      </c>
      <c r="I13" s="8" t="s">
        <v>621</v>
      </c>
      <c r="J13" s="7" t="s">
        <v>30</v>
      </c>
      <c r="K13" s="12" t="s">
        <v>31</v>
      </c>
      <c r="L13" s="7" t="s">
        <v>58</v>
      </c>
      <c r="M13" s="7">
        <v>83026000</v>
      </c>
      <c r="N13" s="7">
        <v>1</v>
      </c>
      <c r="O13" s="7" t="s">
        <v>619</v>
      </c>
      <c r="P13" s="7" t="s">
        <v>286</v>
      </c>
      <c r="R13" s="9">
        <v>1694.589094564418</v>
      </c>
      <c r="T13" s="7" t="s">
        <v>34</v>
      </c>
      <c r="U13" s="7" t="s">
        <v>34</v>
      </c>
    </row>
    <row r="14" spans="1:21" ht="14.1" customHeight="1">
      <c r="A14" s="7">
        <v>10</v>
      </c>
      <c r="B14" s="14" t="s">
        <v>609</v>
      </c>
      <c r="C14" s="14" t="s">
        <v>610</v>
      </c>
      <c r="D14" s="7" t="s">
        <v>611</v>
      </c>
      <c r="E14" s="14" t="s">
        <v>355</v>
      </c>
      <c r="F14" s="7" t="s">
        <v>26</v>
      </c>
      <c r="G14" s="13" t="s">
        <v>631</v>
      </c>
      <c r="H14" s="12" t="s">
        <v>632</v>
      </c>
      <c r="I14" s="8" t="s">
        <v>621</v>
      </c>
      <c r="J14" s="7" t="s">
        <v>30</v>
      </c>
      <c r="K14" s="12" t="s">
        <v>633</v>
      </c>
      <c r="L14" s="7" t="s">
        <v>58</v>
      </c>
      <c r="M14" s="7">
        <v>83026000</v>
      </c>
      <c r="N14" s="7">
        <v>1</v>
      </c>
      <c r="O14" s="7" t="s">
        <v>619</v>
      </c>
      <c r="P14" s="7" t="s">
        <v>286</v>
      </c>
      <c r="R14" s="9">
        <v>1668.253293433861</v>
      </c>
      <c r="T14" s="7" t="s">
        <v>34</v>
      </c>
      <c r="U14" s="7" t="s">
        <v>34</v>
      </c>
    </row>
    <row r="15" spans="1:21" ht="14.1" customHeight="1">
      <c r="A15" s="7">
        <v>11</v>
      </c>
      <c r="B15" s="14" t="s">
        <v>609</v>
      </c>
      <c r="C15" s="14" t="s">
        <v>610</v>
      </c>
      <c r="D15" s="7" t="s">
        <v>611</v>
      </c>
      <c r="E15" s="14" t="s">
        <v>355</v>
      </c>
      <c r="F15" s="7" t="s">
        <v>26</v>
      </c>
      <c r="G15" s="13" t="s">
        <v>634</v>
      </c>
      <c r="H15" s="240" t="s">
        <v>518</v>
      </c>
      <c r="I15" s="8" t="s">
        <v>635</v>
      </c>
      <c r="J15" s="7" t="s">
        <v>30</v>
      </c>
      <c r="K15" s="240" t="s">
        <v>520</v>
      </c>
      <c r="L15" s="7" t="s">
        <v>58</v>
      </c>
      <c r="M15" s="7">
        <v>83026000</v>
      </c>
      <c r="N15" s="7">
        <v>1</v>
      </c>
      <c r="O15" s="7" t="s">
        <v>636</v>
      </c>
      <c r="P15" s="7" t="s">
        <v>286</v>
      </c>
      <c r="R15" s="9">
        <v>2190.3312106052631</v>
      </c>
      <c r="T15" s="7" t="s">
        <v>34</v>
      </c>
      <c r="U15" s="7" t="s">
        <v>34</v>
      </c>
    </row>
    <row r="16" spans="1:21" ht="14.1" customHeight="1">
      <c r="A16" s="7">
        <v>12</v>
      </c>
      <c r="B16" s="14" t="s">
        <v>609</v>
      </c>
      <c r="C16" s="14" t="s">
        <v>610</v>
      </c>
      <c r="D16" s="7" t="s">
        <v>611</v>
      </c>
      <c r="E16" s="14" t="s">
        <v>355</v>
      </c>
      <c r="F16" s="7" t="s">
        <v>26</v>
      </c>
      <c r="G16" s="13" t="s">
        <v>637</v>
      </c>
      <c r="H16" s="12" t="s">
        <v>459</v>
      </c>
      <c r="I16" s="8" t="s">
        <v>635</v>
      </c>
      <c r="J16" s="7" t="s">
        <v>30</v>
      </c>
      <c r="K16" s="12" t="s">
        <v>461</v>
      </c>
      <c r="L16" s="7" t="s">
        <v>58</v>
      </c>
      <c r="M16" s="7">
        <v>83026000</v>
      </c>
      <c r="N16" s="7">
        <v>1</v>
      </c>
      <c r="O16" s="7" t="s">
        <v>636</v>
      </c>
      <c r="P16" s="7" t="s">
        <v>286</v>
      </c>
      <c r="R16" s="9">
        <v>2301.0026030567578</v>
      </c>
      <c r="T16" s="7" t="s">
        <v>34</v>
      </c>
      <c r="U16" s="7" t="s">
        <v>34</v>
      </c>
    </row>
    <row r="17" spans="1:21" ht="14.1" customHeight="1">
      <c r="A17" s="7">
        <v>13</v>
      </c>
      <c r="B17" s="14" t="s">
        <v>609</v>
      </c>
      <c r="C17" s="14" t="s">
        <v>610</v>
      </c>
      <c r="D17" s="7" t="s">
        <v>611</v>
      </c>
      <c r="E17" s="14" t="s">
        <v>355</v>
      </c>
      <c r="F17" s="7" t="s">
        <v>26</v>
      </c>
      <c r="G17" s="13" t="s">
        <v>638</v>
      </c>
      <c r="H17" s="12" t="s">
        <v>624</v>
      </c>
      <c r="I17" s="8" t="s">
        <v>635</v>
      </c>
      <c r="J17" s="7" t="s">
        <v>30</v>
      </c>
      <c r="K17" s="12" t="s">
        <v>536</v>
      </c>
      <c r="L17" s="7" t="s">
        <v>58</v>
      </c>
      <c r="M17" s="7">
        <v>83026000</v>
      </c>
      <c r="N17" s="7">
        <v>1</v>
      </c>
      <c r="O17" s="7" t="s">
        <v>636</v>
      </c>
      <c r="P17" s="7" t="s">
        <v>286</v>
      </c>
      <c r="R17" s="9">
        <v>2301.0026030567578</v>
      </c>
      <c r="T17" s="7" t="s">
        <v>34</v>
      </c>
      <c r="U17" s="7" t="s">
        <v>34</v>
      </c>
    </row>
    <row r="18" spans="1:21" ht="14.1" customHeight="1">
      <c r="A18" s="7">
        <v>14</v>
      </c>
      <c r="B18" s="14" t="s">
        <v>609</v>
      </c>
      <c r="C18" s="14" t="s">
        <v>610</v>
      </c>
      <c r="D18" s="7" t="s">
        <v>611</v>
      </c>
      <c r="E18" s="14" t="s">
        <v>355</v>
      </c>
      <c r="F18" s="7" t="s">
        <v>26</v>
      </c>
      <c r="G18" s="13" t="s">
        <v>639</v>
      </c>
      <c r="H18" s="12" t="s">
        <v>626</v>
      </c>
      <c r="I18" s="8" t="s">
        <v>640</v>
      </c>
      <c r="J18" s="7" t="s">
        <v>30</v>
      </c>
      <c r="K18" s="239"/>
      <c r="L18" s="7" t="s">
        <v>58</v>
      </c>
      <c r="M18" s="7">
        <v>83026000</v>
      </c>
      <c r="N18" s="7">
        <v>1</v>
      </c>
      <c r="O18" s="7" t="s">
        <v>636</v>
      </c>
      <c r="P18" s="7" t="s">
        <v>286</v>
      </c>
      <c r="R18" s="9">
        <v>2349.3611897583901</v>
      </c>
      <c r="T18" s="7" t="s">
        <v>34</v>
      </c>
      <c r="U18" s="7" t="s">
        <v>34</v>
      </c>
    </row>
    <row r="19" spans="1:21" ht="14.1" customHeight="1">
      <c r="A19" s="7">
        <v>15</v>
      </c>
      <c r="B19" s="14" t="s">
        <v>609</v>
      </c>
      <c r="C19" s="14" t="s">
        <v>610</v>
      </c>
      <c r="D19" s="7" t="s">
        <v>611</v>
      </c>
      <c r="E19" s="14" t="s">
        <v>355</v>
      </c>
      <c r="F19" s="7" t="s">
        <v>26</v>
      </c>
      <c r="G19" s="13" t="s">
        <v>641</v>
      </c>
      <c r="H19" s="240" t="s">
        <v>518</v>
      </c>
      <c r="I19" s="8" t="s">
        <v>640</v>
      </c>
      <c r="J19" s="7" t="s">
        <v>30</v>
      </c>
      <c r="K19" s="240" t="s">
        <v>520</v>
      </c>
      <c r="L19" s="7" t="s">
        <v>58</v>
      </c>
      <c r="M19" s="7">
        <v>83026000</v>
      </c>
      <c r="N19" s="7">
        <v>1</v>
      </c>
      <c r="O19" s="7" t="s">
        <v>636</v>
      </c>
      <c r="P19" s="7" t="s">
        <v>286</v>
      </c>
      <c r="R19" s="9">
        <v>2211.0219491940188</v>
      </c>
      <c r="T19" s="7" t="s">
        <v>34</v>
      </c>
      <c r="U19" s="7" t="s">
        <v>34</v>
      </c>
    </row>
    <row r="20" spans="1:21" ht="14.1" customHeight="1">
      <c r="A20" s="7">
        <v>16</v>
      </c>
      <c r="B20" s="14" t="s">
        <v>609</v>
      </c>
      <c r="C20" s="14" t="s">
        <v>610</v>
      </c>
      <c r="D20" s="7" t="s">
        <v>611</v>
      </c>
      <c r="E20" s="14" t="s">
        <v>355</v>
      </c>
      <c r="F20" s="7" t="s">
        <v>26</v>
      </c>
      <c r="G20" s="13" t="s">
        <v>642</v>
      </c>
      <c r="H20" s="12" t="s">
        <v>459</v>
      </c>
      <c r="I20" s="8" t="s">
        <v>640</v>
      </c>
      <c r="J20" s="7" t="s">
        <v>30</v>
      </c>
      <c r="K20" s="12" t="s">
        <v>461</v>
      </c>
      <c r="L20" s="7" t="s">
        <v>58</v>
      </c>
      <c r="M20" s="7">
        <v>83026000</v>
      </c>
      <c r="N20" s="7">
        <v>1</v>
      </c>
      <c r="O20" s="7" t="s">
        <v>636</v>
      </c>
      <c r="P20" s="7" t="s">
        <v>286</v>
      </c>
      <c r="R20" s="9">
        <v>2321.6933416455158</v>
      </c>
      <c r="T20" s="7" t="s">
        <v>34</v>
      </c>
      <c r="U20" s="7" t="s">
        <v>34</v>
      </c>
    </row>
    <row r="21" spans="1:21" ht="14.1" customHeight="1">
      <c r="A21" s="7">
        <v>17</v>
      </c>
      <c r="B21" s="14" t="s">
        <v>609</v>
      </c>
      <c r="C21" s="14" t="s">
        <v>610</v>
      </c>
      <c r="D21" s="7" t="s">
        <v>611</v>
      </c>
      <c r="E21" s="14" t="s">
        <v>355</v>
      </c>
      <c r="F21" s="7" t="s">
        <v>26</v>
      </c>
      <c r="G21" s="13" t="s">
        <v>643</v>
      </c>
      <c r="H21" s="12" t="s">
        <v>624</v>
      </c>
      <c r="I21" s="8" t="s">
        <v>640</v>
      </c>
      <c r="J21" s="7" t="s">
        <v>30</v>
      </c>
      <c r="K21" s="12" t="s">
        <v>536</v>
      </c>
      <c r="L21" s="7" t="s">
        <v>58</v>
      </c>
      <c r="M21" s="7">
        <v>83026000</v>
      </c>
      <c r="N21" s="7">
        <v>1</v>
      </c>
      <c r="O21" s="7" t="s">
        <v>636</v>
      </c>
      <c r="P21" s="7" t="s">
        <v>286</v>
      </c>
      <c r="R21" s="9">
        <v>2321.6933416455158</v>
      </c>
      <c r="T21" s="7" t="s">
        <v>34</v>
      </c>
      <c r="U21" s="7" t="s">
        <v>34</v>
      </c>
    </row>
    <row r="22" spans="1:21" ht="14.1" customHeight="1">
      <c r="A22" s="7">
        <v>18</v>
      </c>
      <c r="B22" s="14" t="s">
        <v>609</v>
      </c>
      <c r="C22" s="14" t="s">
        <v>610</v>
      </c>
      <c r="D22" s="7" t="s">
        <v>611</v>
      </c>
      <c r="E22" s="14" t="s">
        <v>355</v>
      </c>
      <c r="F22" s="7" t="s">
        <v>26</v>
      </c>
      <c r="G22" s="13" t="s">
        <v>644</v>
      </c>
      <c r="H22" s="12" t="s">
        <v>626</v>
      </c>
      <c r="I22" s="8" t="s">
        <v>640</v>
      </c>
      <c r="J22" s="7" t="s">
        <v>30</v>
      </c>
      <c r="K22" s="239"/>
      <c r="L22" s="7" t="s">
        <v>58</v>
      </c>
      <c r="M22" s="7">
        <v>83026000</v>
      </c>
      <c r="N22" s="7">
        <v>1</v>
      </c>
      <c r="O22" s="7" t="s">
        <v>636</v>
      </c>
      <c r="P22" s="7" t="s">
        <v>286</v>
      </c>
      <c r="R22" s="9">
        <v>2543.036126548508</v>
      </c>
      <c r="T22" s="7" t="s">
        <v>34</v>
      </c>
      <c r="U22" s="7" t="s">
        <v>34</v>
      </c>
    </row>
    <row r="23" spans="1:21" ht="14.1" customHeight="1">
      <c r="A23" s="7">
        <v>19</v>
      </c>
      <c r="B23" s="14" t="s">
        <v>609</v>
      </c>
      <c r="C23" s="14" t="s">
        <v>610</v>
      </c>
      <c r="D23" s="7" t="s">
        <v>611</v>
      </c>
      <c r="E23" s="14" t="s">
        <v>355</v>
      </c>
      <c r="F23" s="7" t="s">
        <v>26</v>
      </c>
      <c r="G23" s="13" t="s">
        <v>645</v>
      </c>
      <c r="H23" s="12" t="s">
        <v>628</v>
      </c>
      <c r="I23" s="8" t="s">
        <v>640</v>
      </c>
      <c r="J23" s="7" t="s">
        <v>30</v>
      </c>
      <c r="K23" s="12" t="s">
        <v>31</v>
      </c>
      <c r="L23" s="7" t="s">
        <v>58</v>
      </c>
      <c r="M23" s="7">
        <v>83026000</v>
      </c>
      <c r="N23" s="7">
        <v>1</v>
      </c>
      <c r="O23" s="7" t="s">
        <v>636</v>
      </c>
      <c r="P23" s="7" t="s">
        <v>286</v>
      </c>
      <c r="R23" s="9">
        <v>2404.4562960005478</v>
      </c>
      <c r="T23" s="7" t="s">
        <v>34</v>
      </c>
      <c r="U23" s="7" t="s">
        <v>34</v>
      </c>
    </row>
    <row r="24" spans="1:21" ht="14.1" customHeight="1">
      <c r="A24" s="7">
        <v>20</v>
      </c>
      <c r="B24" s="14" t="s">
        <v>609</v>
      </c>
      <c r="C24" s="14" t="s">
        <v>610</v>
      </c>
      <c r="D24" s="7" t="s">
        <v>611</v>
      </c>
      <c r="E24" s="14" t="s">
        <v>355</v>
      </c>
      <c r="F24" s="7" t="s">
        <v>26</v>
      </c>
      <c r="G24" s="13" t="s">
        <v>646</v>
      </c>
      <c r="H24" s="12" t="s">
        <v>630</v>
      </c>
      <c r="I24" s="8" t="s">
        <v>640</v>
      </c>
      <c r="J24" s="7" t="s">
        <v>30</v>
      </c>
      <c r="K24" s="12" t="s">
        <v>31</v>
      </c>
      <c r="L24" s="7" t="s">
        <v>58</v>
      </c>
      <c r="M24" s="7">
        <v>83026000</v>
      </c>
      <c r="N24" s="7">
        <v>1</v>
      </c>
      <c r="O24" s="7" t="s">
        <v>636</v>
      </c>
      <c r="P24" s="7" t="s">
        <v>286</v>
      </c>
      <c r="R24" s="9">
        <v>2343.3464401686351</v>
      </c>
      <c r="T24" s="7" t="s">
        <v>34</v>
      </c>
      <c r="U24" s="7" t="s">
        <v>34</v>
      </c>
    </row>
    <row r="25" spans="1:21" ht="14.1" customHeight="1">
      <c r="A25" s="7">
        <v>21</v>
      </c>
      <c r="B25" s="14" t="s">
        <v>609</v>
      </c>
      <c r="C25" s="14" t="s">
        <v>610</v>
      </c>
      <c r="D25" s="7" t="s">
        <v>611</v>
      </c>
      <c r="E25" s="14" t="s">
        <v>355</v>
      </c>
      <c r="F25" s="7" t="s">
        <v>26</v>
      </c>
      <c r="G25" s="13" t="s">
        <v>647</v>
      </c>
      <c r="H25" s="12" t="s">
        <v>632</v>
      </c>
      <c r="I25" s="8" t="s">
        <v>648</v>
      </c>
      <c r="J25" s="7" t="s">
        <v>30</v>
      </c>
      <c r="K25" s="12" t="s">
        <v>633</v>
      </c>
      <c r="L25" s="7" t="s">
        <v>58</v>
      </c>
      <c r="M25" s="7">
        <v>83026000</v>
      </c>
      <c r="N25" s="7">
        <v>1</v>
      </c>
      <c r="O25" s="7" t="s">
        <v>636</v>
      </c>
      <c r="P25" s="7"/>
      <c r="R25" s="9">
        <v>2321.6933416455158</v>
      </c>
      <c r="T25" s="7" t="s">
        <v>34</v>
      </c>
      <c r="U25" s="7" t="s">
        <v>34</v>
      </c>
    </row>
    <row r="26" spans="1:21" ht="14.1" customHeight="1">
      <c r="A26" s="7">
        <v>22</v>
      </c>
      <c r="B26" s="14" t="s">
        <v>609</v>
      </c>
      <c r="C26" s="14" t="s">
        <v>610</v>
      </c>
      <c r="D26" s="7" t="s">
        <v>611</v>
      </c>
      <c r="E26" s="14" t="s">
        <v>355</v>
      </c>
      <c r="F26" s="7" t="s">
        <v>26</v>
      </c>
      <c r="G26" s="13" t="s">
        <v>649</v>
      </c>
      <c r="H26" s="12" t="s">
        <v>628</v>
      </c>
      <c r="I26" s="257" t="s">
        <v>635</v>
      </c>
      <c r="J26" s="7" t="s">
        <v>30</v>
      </c>
      <c r="K26" s="12" t="s">
        <v>31</v>
      </c>
      <c r="L26" s="7" t="s">
        <v>58</v>
      </c>
      <c r="M26" s="7">
        <v>83026000</v>
      </c>
      <c r="N26" s="7">
        <v>1</v>
      </c>
      <c r="O26" s="7" t="s">
        <v>636</v>
      </c>
      <c r="P26" s="7" t="s">
        <v>286</v>
      </c>
      <c r="R26" s="9">
        <v>2383.7655574117898</v>
      </c>
      <c r="T26" s="7" t="s">
        <v>34</v>
      </c>
      <c r="U26" s="7" t="s">
        <v>34</v>
      </c>
    </row>
    <row r="27" spans="1:21" ht="14.1" customHeight="1">
      <c r="A27" s="7">
        <v>23</v>
      </c>
      <c r="B27" s="14" t="s">
        <v>609</v>
      </c>
      <c r="C27" s="14" t="s">
        <v>610</v>
      </c>
      <c r="D27" s="7" t="s">
        <v>611</v>
      </c>
      <c r="E27" s="14" t="s">
        <v>355</v>
      </c>
      <c r="F27" s="7" t="s">
        <v>26</v>
      </c>
      <c r="G27" s="13" t="s">
        <v>650</v>
      </c>
      <c r="H27" s="12" t="s">
        <v>630</v>
      </c>
      <c r="I27" s="257" t="s">
        <v>635</v>
      </c>
      <c r="J27" s="7" t="s">
        <v>30</v>
      </c>
      <c r="K27" s="12" t="s">
        <v>31</v>
      </c>
      <c r="L27" s="7" t="s">
        <v>58</v>
      </c>
      <c r="M27" s="7">
        <v>83026000</v>
      </c>
      <c r="N27" s="7">
        <v>1</v>
      </c>
      <c r="O27" s="7" t="s">
        <v>636</v>
      </c>
      <c r="P27" s="7" t="s">
        <v>286</v>
      </c>
      <c r="R27" s="9">
        <v>2322.6557015798762</v>
      </c>
      <c r="T27" s="7" t="s">
        <v>34</v>
      </c>
      <c r="U27" s="7" t="s">
        <v>34</v>
      </c>
    </row>
    <row r="28" spans="1:21" ht="14.1" customHeight="1">
      <c r="A28" s="7">
        <v>24</v>
      </c>
      <c r="B28" s="14" t="s">
        <v>609</v>
      </c>
      <c r="C28" s="14" t="s">
        <v>610</v>
      </c>
      <c r="D28" s="7" t="s">
        <v>611</v>
      </c>
      <c r="E28" s="14" t="s">
        <v>355</v>
      </c>
      <c r="F28" s="7" t="s">
        <v>26</v>
      </c>
      <c r="G28" s="13" t="s">
        <v>651</v>
      </c>
      <c r="H28" s="12" t="s">
        <v>632</v>
      </c>
      <c r="I28" s="257" t="s">
        <v>635</v>
      </c>
      <c r="J28" s="7" t="s">
        <v>30</v>
      </c>
      <c r="K28" s="12" t="s">
        <v>633</v>
      </c>
      <c r="L28" s="7" t="s">
        <v>58</v>
      </c>
      <c r="M28" s="7">
        <v>83026000</v>
      </c>
      <c r="N28" s="7">
        <v>1</v>
      </c>
      <c r="O28" s="7" t="s">
        <v>636</v>
      </c>
      <c r="P28" s="7" t="s">
        <v>286</v>
      </c>
      <c r="R28" s="9">
        <v>2301.0026030567578</v>
      </c>
      <c r="T28" s="7" t="s">
        <v>34</v>
      </c>
      <c r="U28" s="7" t="s">
        <v>34</v>
      </c>
    </row>
    <row r="29" spans="1:21" ht="14.1" customHeight="1">
      <c r="A29" s="7">
        <v>25</v>
      </c>
      <c r="B29" s="14" t="s">
        <v>609</v>
      </c>
      <c r="C29" s="14" t="s">
        <v>610</v>
      </c>
      <c r="D29" s="7" t="s">
        <v>611</v>
      </c>
      <c r="E29" s="14" t="s">
        <v>355</v>
      </c>
      <c r="F29" s="7" t="s">
        <v>26</v>
      </c>
      <c r="G29" s="13" t="s">
        <v>652</v>
      </c>
      <c r="H29" s="12" t="s">
        <v>653</v>
      </c>
      <c r="I29" s="8" t="s">
        <v>654</v>
      </c>
      <c r="J29" s="7" t="s">
        <v>30</v>
      </c>
      <c r="K29" s="7" t="s">
        <v>520</v>
      </c>
      <c r="L29" s="7" t="s">
        <v>58</v>
      </c>
      <c r="M29" s="7">
        <v>83026000</v>
      </c>
      <c r="N29" s="7">
        <v>1</v>
      </c>
      <c r="O29" s="7" t="s">
        <v>655</v>
      </c>
      <c r="P29" s="7"/>
      <c r="R29" s="9">
        <v>2093.132857234817</v>
      </c>
      <c r="T29" s="7" t="s">
        <v>34</v>
      </c>
      <c r="U29" s="7" t="s">
        <v>34</v>
      </c>
    </row>
    <row r="30" spans="1:21" ht="14.1" customHeight="1">
      <c r="A30" s="7">
        <v>26</v>
      </c>
      <c r="B30" s="14" t="s">
        <v>609</v>
      </c>
      <c r="C30" s="14" t="s">
        <v>610</v>
      </c>
      <c r="D30" s="7" t="s">
        <v>611</v>
      </c>
      <c r="E30" s="14" t="s">
        <v>355</v>
      </c>
      <c r="F30" s="7" t="s">
        <v>26</v>
      </c>
      <c r="G30" s="13" t="s">
        <v>656</v>
      </c>
      <c r="H30" s="12" t="s">
        <v>653</v>
      </c>
      <c r="I30" s="8" t="s">
        <v>657</v>
      </c>
      <c r="J30" s="7" t="s">
        <v>30</v>
      </c>
      <c r="K30" s="239"/>
      <c r="L30" s="7" t="s">
        <v>58</v>
      </c>
      <c r="M30" s="7">
        <v>83026000</v>
      </c>
      <c r="N30" s="7">
        <v>1</v>
      </c>
      <c r="O30" s="7" t="s">
        <v>655</v>
      </c>
      <c r="P30" s="7"/>
      <c r="R30" s="9">
        <v>2458.3484523247539</v>
      </c>
      <c r="T30" s="7" t="s">
        <v>34</v>
      </c>
      <c r="U30" s="7" t="s">
        <v>34</v>
      </c>
    </row>
    <row r="31" spans="1:21" ht="14.1" customHeight="1">
      <c r="A31" s="7">
        <v>27</v>
      </c>
      <c r="B31" s="14" t="s">
        <v>609</v>
      </c>
      <c r="C31" s="14" t="s">
        <v>610</v>
      </c>
      <c r="D31" s="7" t="s">
        <v>658</v>
      </c>
      <c r="E31" s="14" t="s">
        <v>659</v>
      </c>
      <c r="F31" s="7" t="s">
        <v>26</v>
      </c>
      <c r="G31" s="13" t="s">
        <v>660</v>
      </c>
      <c r="H31" s="12" t="s">
        <v>518</v>
      </c>
      <c r="I31" s="257" t="s">
        <v>661</v>
      </c>
      <c r="J31" s="7" t="s">
        <v>30</v>
      </c>
      <c r="K31" s="239" t="s">
        <v>520</v>
      </c>
      <c r="L31" s="7" t="s">
        <v>58</v>
      </c>
      <c r="M31" s="7">
        <v>83026000</v>
      </c>
      <c r="N31" s="7">
        <v>1</v>
      </c>
      <c r="O31" s="7" t="s">
        <v>614</v>
      </c>
      <c r="P31" s="7" t="s">
        <v>286</v>
      </c>
      <c r="R31" s="9">
        <v>2515.022533025071</v>
      </c>
      <c r="T31" s="7" t="s">
        <v>34</v>
      </c>
      <c r="U31" s="7" t="s">
        <v>34</v>
      </c>
    </row>
    <row r="32" spans="1:21" ht="14.1" customHeight="1">
      <c r="A32" s="7">
        <v>28</v>
      </c>
      <c r="B32" s="14" t="s">
        <v>609</v>
      </c>
      <c r="C32" s="14" t="s">
        <v>610</v>
      </c>
      <c r="D32" s="7" t="s">
        <v>658</v>
      </c>
      <c r="E32" s="14" t="s">
        <v>659</v>
      </c>
      <c r="F32" s="7" t="s">
        <v>26</v>
      </c>
      <c r="G32" s="13" t="s">
        <v>662</v>
      </c>
      <c r="H32" s="12" t="s">
        <v>518</v>
      </c>
      <c r="I32" s="257" t="s">
        <v>663</v>
      </c>
      <c r="J32" s="7" t="s">
        <v>30</v>
      </c>
      <c r="K32" s="239" t="s">
        <v>520</v>
      </c>
      <c r="L32" s="7" t="s">
        <v>58</v>
      </c>
      <c r="M32" s="7">
        <v>83026000</v>
      </c>
      <c r="N32" s="7">
        <v>1</v>
      </c>
      <c r="O32" s="7" t="s">
        <v>614</v>
      </c>
      <c r="P32" s="7" t="s">
        <v>286</v>
      </c>
      <c r="R32" s="9">
        <v>4182.8998019187238</v>
      </c>
      <c r="T32" s="7" t="s">
        <v>34</v>
      </c>
      <c r="U32" s="7" t="s">
        <v>34</v>
      </c>
    </row>
    <row r="33" spans="1:21" ht="14.1" customHeight="1">
      <c r="A33" s="7">
        <v>29</v>
      </c>
      <c r="B33" s="14" t="s">
        <v>609</v>
      </c>
      <c r="C33" s="14" t="s">
        <v>610</v>
      </c>
      <c r="D33" s="7" t="s">
        <v>658</v>
      </c>
      <c r="E33" s="14" t="s">
        <v>659</v>
      </c>
      <c r="F33" s="7" t="s">
        <v>26</v>
      </c>
      <c r="G33" s="13" t="s">
        <v>664</v>
      </c>
      <c r="H33" s="12" t="s">
        <v>518</v>
      </c>
      <c r="I33" s="257" t="s">
        <v>665</v>
      </c>
      <c r="J33" s="7" t="s">
        <v>30</v>
      </c>
      <c r="K33" s="12" t="s">
        <v>520</v>
      </c>
      <c r="L33" s="7" t="s">
        <v>58</v>
      </c>
      <c r="M33" s="7">
        <v>83026000</v>
      </c>
      <c r="N33" s="7">
        <v>1</v>
      </c>
      <c r="O33" s="7" t="s">
        <v>614</v>
      </c>
      <c r="P33" s="7" t="s">
        <v>286</v>
      </c>
      <c r="R33" s="9">
        <v>3478.626258920583</v>
      </c>
      <c r="T33" s="7" t="s">
        <v>34</v>
      </c>
      <c r="U33" s="7" t="s">
        <v>34</v>
      </c>
    </row>
    <row r="34" spans="1:21" ht="14.1" customHeight="1">
      <c r="A34" s="7">
        <v>30</v>
      </c>
      <c r="B34" s="14" t="s">
        <v>609</v>
      </c>
      <c r="C34" s="14" t="s">
        <v>610</v>
      </c>
      <c r="D34" s="7" t="s">
        <v>658</v>
      </c>
      <c r="E34" s="14" t="s">
        <v>659</v>
      </c>
      <c r="F34" s="7" t="s">
        <v>26</v>
      </c>
      <c r="G34" s="13" t="s">
        <v>666</v>
      </c>
      <c r="H34" s="12" t="s">
        <v>518</v>
      </c>
      <c r="I34" s="257" t="s">
        <v>667</v>
      </c>
      <c r="J34" s="7" t="s">
        <v>30</v>
      </c>
      <c r="K34" s="239" t="s">
        <v>520</v>
      </c>
      <c r="L34" s="7" t="s">
        <v>58</v>
      </c>
      <c r="M34" s="7">
        <v>83026000</v>
      </c>
      <c r="N34" s="7">
        <v>1</v>
      </c>
      <c r="O34" s="7" t="s">
        <v>614</v>
      </c>
      <c r="P34" s="7" t="s">
        <v>286</v>
      </c>
      <c r="R34" s="9">
        <v>1224.6147525709241</v>
      </c>
      <c r="T34" s="7" t="s">
        <v>34</v>
      </c>
      <c r="U34" s="7" t="s">
        <v>34</v>
      </c>
    </row>
    <row r="35" spans="1:21" ht="14.1" customHeight="1">
      <c r="A35" s="7">
        <v>31</v>
      </c>
      <c r="B35" s="14" t="s">
        <v>609</v>
      </c>
      <c r="C35" s="14" t="s">
        <v>610</v>
      </c>
      <c r="D35" s="7" t="s">
        <v>658</v>
      </c>
      <c r="E35" s="14" t="s">
        <v>659</v>
      </c>
      <c r="F35" s="7" t="s">
        <v>26</v>
      </c>
      <c r="G35" s="13" t="s">
        <v>668</v>
      </c>
      <c r="H35" s="12" t="s">
        <v>518</v>
      </c>
      <c r="I35" s="257" t="s">
        <v>669</v>
      </c>
      <c r="J35" s="7" t="s">
        <v>30</v>
      </c>
      <c r="K35" s="12" t="s">
        <v>520</v>
      </c>
      <c r="L35" s="7" t="s">
        <v>58</v>
      </c>
      <c r="M35" s="7">
        <v>83026000</v>
      </c>
      <c r="N35" s="7">
        <v>1</v>
      </c>
      <c r="O35" s="7" t="s">
        <v>614</v>
      </c>
      <c r="P35" s="7" t="s">
        <v>286</v>
      </c>
      <c r="R35" s="9">
        <v>2872.3218961281159</v>
      </c>
      <c r="T35" s="7" t="s">
        <v>34</v>
      </c>
      <c r="U35" s="7" t="s">
        <v>34</v>
      </c>
    </row>
    <row r="36" spans="1:21" ht="14.1" customHeight="1">
      <c r="A36" s="7">
        <v>32</v>
      </c>
      <c r="B36" s="14" t="s">
        <v>609</v>
      </c>
      <c r="C36" s="14" t="s">
        <v>610</v>
      </c>
      <c r="D36" s="7" t="s">
        <v>658</v>
      </c>
      <c r="E36" s="14" t="s">
        <v>659</v>
      </c>
      <c r="F36" s="7" t="s">
        <v>26</v>
      </c>
      <c r="G36" s="13" t="s">
        <v>670</v>
      </c>
      <c r="H36" s="12" t="s">
        <v>518</v>
      </c>
      <c r="I36" s="257" t="s">
        <v>671</v>
      </c>
      <c r="J36" s="7" t="s">
        <v>30</v>
      </c>
      <c r="K36" s="12" t="s">
        <v>520</v>
      </c>
      <c r="L36" s="7" t="s">
        <v>58</v>
      </c>
      <c r="M36" s="7">
        <v>83026000</v>
      </c>
      <c r="N36" s="7">
        <v>1</v>
      </c>
      <c r="O36" s="7" t="s">
        <v>614</v>
      </c>
      <c r="P36" s="7" t="s">
        <v>286</v>
      </c>
      <c r="R36" s="9">
        <v>4496.4972267927687</v>
      </c>
      <c r="T36" s="7" t="s">
        <v>34</v>
      </c>
      <c r="U36" s="7" t="s">
        <v>34</v>
      </c>
    </row>
    <row r="37" spans="1:21" ht="14.1" customHeight="1">
      <c r="A37" s="7">
        <v>33</v>
      </c>
      <c r="B37" s="14" t="s">
        <v>609</v>
      </c>
      <c r="C37" s="14" t="s">
        <v>610</v>
      </c>
      <c r="D37" s="7" t="s">
        <v>658</v>
      </c>
      <c r="E37" s="14" t="s">
        <v>659</v>
      </c>
      <c r="F37" s="7" t="s">
        <v>26</v>
      </c>
      <c r="G37" s="13" t="s">
        <v>672</v>
      </c>
      <c r="H37" s="12" t="s">
        <v>518</v>
      </c>
      <c r="I37" s="257" t="s">
        <v>673</v>
      </c>
      <c r="J37" s="7" t="s">
        <v>30</v>
      </c>
      <c r="K37" s="240" t="s">
        <v>520</v>
      </c>
      <c r="L37" s="7" t="s">
        <v>58</v>
      </c>
      <c r="M37" s="7">
        <v>83026000</v>
      </c>
      <c r="N37" s="7">
        <v>1</v>
      </c>
      <c r="O37" s="7" t="s">
        <v>614</v>
      </c>
      <c r="P37" s="7" t="s">
        <v>286</v>
      </c>
      <c r="R37" s="9">
        <v>3585.960140175328</v>
      </c>
      <c r="T37" s="7" t="s">
        <v>34</v>
      </c>
      <c r="U37" s="7" t="s">
        <v>34</v>
      </c>
    </row>
    <row r="38" spans="1:21" ht="14.1" customHeight="1">
      <c r="A38" s="7">
        <v>34</v>
      </c>
      <c r="B38" s="123" t="s">
        <v>609</v>
      </c>
      <c r="C38" s="123" t="s">
        <v>610</v>
      </c>
      <c r="D38" s="124" t="s">
        <v>611</v>
      </c>
      <c r="E38" s="123" t="s">
        <v>355</v>
      </c>
      <c r="F38" s="124" t="s">
        <v>26</v>
      </c>
      <c r="G38" s="18" t="s">
        <v>674</v>
      </c>
      <c r="H38" s="124" t="s">
        <v>518</v>
      </c>
      <c r="I38" s="258" t="s">
        <v>675</v>
      </c>
      <c r="J38" s="124" t="s">
        <v>30</v>
      </c>
      <c r="K38" s="124" t="s">
        <v>520</v>
      </c>
      <c r="L38" s="124" t="s">
        <v>58</v>
      </c>
      <c r="M38" s="124">
        <v>83026000</v>
      </c>
      <c r="N38" s="124">
        <v>1</v>
      </c>
      <c r="O38" s="124" t="s">
        <v>614</v>
      </c>
      <c r="P38" s="124" t="s">
        <v>286</v>
      </c>
      <c r="R38" s="9">
        <v>174.08739129684699</v>
      </c>
      <c r="T38" s="7" t="s">
        <v>34</v>
      </c>
      <c r="U38" s="7" t="s">
        <v>34</v>
      </c>
    </row>
    <row r="39" spans="1:21" ht="14.1" customHeight="1">
      <c r="A39" s="7">
        <v>35</v>
      </c>
      <c r="B39" s="14" t="s">
        <v>609</v>
      </c>
      <c r="C39" s="14" t="s">
        <v>610</v>
      </c>
      <c r="D39" s="7" t="s">
        <v>611</v>
      </c>
      <c r="E39" s="14" t="s">
        <v>355</v>
      </c>
      <c r="F39" s="7" t="s">
        <v>26</v>
      </c>
      <c r="G39" s="8" t="s">
        <v>676</v>
      </c>
      <c r="H39" s="7" t="s">
        <v>518</v>
      </c>
      <c r="I39" s="257" t="s">
        <v>677</v>
      </c>
      <c r="J39" s="7" t="s">
        <v>30</v>
      </c>
      <c r="K39" s="7" t="s">
        <v>520</v>
      </c>
      <c r="L39" s="7" t="s">
        <v>58</v>
      </c>
      <c r="M39" s="7">
        <v>83026000</v>
      </c>
      <c r="N39" s="7">
        <v>1</v>
      </c>
      <c r="O39" s="7" t="s">
        <v>614</v>
      </c>
      <c r="P39" s="7" t="s">
        <v>286</v>
      </c>
      <c r="R39" s="9">
        <v>195.21799879218841</v>
      </c>
      <c r="T39" s="7" t="s">
        <v>34</v>
      </c>
      <c r="U39" s="7" t="s">
        <v>34</v>
      </c>
    </row>
    <row r="40" spans="1:21" ht="14.1" customHeight="1">
      <c r="H40" t="s">
        <v>42</v>
      </c>
    </row>
    <row r="41" spans="1:21" ht="14.1" customHeight="1">
      <c r="A41" s="2" t="s">
        <v>678</v>
      </c>
      <c r="H41" t="s">
        <v>42</v>
      </c>
    </row>
    <row r="42" spans="1:21" ht="14.1" customHeight="1">
      <c r="A42" s="2" t="s">
        <v>679</v>
      </c>
      <c r="H42" t="s">
        <v>42</v>
      </c>
    </row>
    <row r="43" spans="1:21" ht="14.1" customHeight="1"/>
    <row r="44" spans="1:21" ht="14.1" customHeight="1"/>
    <row r="45" spans="1:21" ht="14.1" customHeight="1"/>
    <row r="46" spans="1:21" ht="14.1" customHeight="1"/>
    <row r="47" spans="1:21" ht="14.1" customHeight="1"/>
    <row r="48" spans="1:21" ht="14.1" customHeight="1"/>
    <row r="49" ht="14.1" customHeight="1"/>
    <row r="50" ht="14.1" customHeight="1"/>
    <row r="51" ht="14.1" customHeight="1"/>
    <row r="52" ht="14.1" customHeight="1"/>
    <row r="53" ht="14.1" customHeight="1"/>
    <row r="54" ht="14.1" customHeight="1"/>
    <row r="55" ht="14.1" customHeight="1"/>
    <row r="56" ht="14.1" customHeight="1"/>
    <row r="57" ht="14.1" customHeight="1"/>
    <row r="58" ht="14.1" customHeight="1"/>
    <row r="59" ht="14.1" customHeight="1"/>
    <row r="60" ht="14.1" customHeight="1"/>
    <row r="61" ht="14.1" customHeight="1"/>
    <row r="62" ht="14.1" customHeight="1"/>
    <row r="63" ht="14.1" customHeight="1"/>
    <row r="64" ht="14.1" customHeight="1"/>
    <row r="65" ht="14.1" customHeight="1"/>
    <row r="66" ht="14.1" customHeight="1"/>
    <row r="67" ht="14.1" customHeight="1"/>
    <row r="68" ht="14.1" customHeight="1"/>
    <row r="69" ht="14.1" customHeight="1"/>
    <row r="70" ht="14.1" customHeight="1"/>
    <row r="71" ht="14.1" customHeight="1"/>
    <row r="72" ht="14.1" customHeight="1"/>
    <row r="73" ht="14.1" customHeight="1"/>
    <row r="74" ht="14.1" customHeight="1"/>
    <row r="75" ht="14.1" customHeight="1"/>
    <row r="76" ht="14.1" customHeight="1"/>
    <row r="77" ht="14.1" customHeight="1"/>
    <row r="78" ht="14.1" customHeight="1"/>
    <row r="79" ht="14.1" customHeight="1"/>
    <row r="80" ht="14.1" customHeight="1"/>
    <row r="81" ht="14.1" customHeight="1"/>
    <row r="82" ht="14.1" customHeight="1"/>
    <row r="83" ht="14.1" customHeight="1"/>
    <row r="84" ht="14.1" customHeight="1"/>
    <row r="85" ht="14.1" customHeight="1"/>
    <row r="86" ht="14.1" customHeight="1"/>
    <row r="87" ht="14.1" customHeight="1"/>
    <row r="88" ht="14.1" customHeight="1"/>
    <row r="89" ht="14.1" customHeight="1"/>
    <row r="90" ht="14.1" customHeight="1"/>
    <row r="91" ht="14.1" customHeight="1"/>
    <row r="92" ht="14.1" customHeight="1"/>
    <row r="93" ht="14.1" customHeight="1"/>
    <row r="94" ht="14.1" customHeight="1"/>
    <row r="95" ht="14.1" customHeight="1"/>
    <row r="96" ht="14.1" customHeight="1"/>
    <row r="97" ht="14.1" customHeight="1"/>
    <row r="98" ht="14.1" customHeight="1"/>
    <row r="99" ht="14.1" customHeight="1"/>
    <row r="100" ht="14.1" customHeight="1"/>
    <row r="101" ht="14.1" customHeight="1"/>
    <row r="102" ht="14.1" customHeight="1"/>
    <row r="103" ht="14.1" customHeight="1"/>
    <row r="104" ht="14.1" customHeight="1"/>
    <row r="105" ht="14.1" customHeight="1"/>
    <row r="106" ht="14.1" customHeight="1"/>
    <row r="107" ht="14.1" customHeight="1"/>
    <row r="108" ht="14.1" customHeight="1"/>
    <row r="109" ht="14.1" customHeight="1"/>
    <row r="110" ht="14.1" customHeight="1"/>
    <row r="111" ht="14.1" customHeight="1"/>
    <row r="112" ht="14.1" customHeight="1"/>
    <row r="113" ht="14.1" customHeight="1"/>
    <row r="114" ht="14.1" customHeight="1"/>
    <row r="115" ht="14.1" customHeight="1"/>
    <row r="116" ht="14.1" customHeight="1"/>
    <row r="117" ht="14.1" customHeight="1"/>
    <row r="118" ht="14.1" customHeight="1"/>
    <row r="119" ht="14.1" customHeight="1"/>
    <row r="120" ht="14.1" customHeight="1"/>
    <row r="121" ht="14.1" customHeight="1"/>
    <row r="122" ht="14.1" customHeight="1"/>
    <row r="123" ht="14.1" customHeight="1"/>
    <row r="124" ht="14.1" customHeight="1"/>
    <row r="125" ht="14.1" customHeight="1"/>
    <row r="126" ht="14.1" customHeight="1"/>
    <row r="127" ht="14.1" customHeight="1"/>
    <row r="128" ht="14.1" customHeight="1"/>
    <row r="129" ht="14.1" customHeight="1"/>
    <row r="130" ht="14.1" customHeight="1"/>
    <row r="131" ht="14.1" customHeight="1"/>
    <row r="132" ht="14.1" customHeight="1"/>
    <row r="133" ht="14.1" customHeight="1"/>
    <row r="134" ht="14.1" customHeight="1"/>
    <row r="135" ht="14.1" customHeight="1"/>
    <row r="136" ht="14.1" customHeight="1"/>
    <row r="137" ht="14.1" customHeight="1"/>
    <row r="138" ht="14.1" customHeight="1"/>
    <row r="139" ht="14.1" customHeight="1"/>
    <row r="140" ht="14.1" customHeight="1"/>
    <row r="141" ht="14.1" customHeight="1"/>
    <row r="142" ht="14.1" customHeight="1"/>
    <row r="143" ht="14.1" customHeight="1"/>
    <row r="144" ht="14.1" customHeight="1"/>
    <row r="145" ht="14.1" customHeight="1"/>
    <row r="146" ht="14.1" customHeight="1"/>
    <row r="147" ht="14.1" customHeight="1"/>
    <row r="148" ht="14.1" customHeight="1"/>
    <row r="149" ht="14.1" customHeight="1"/>
    <row r="150" ht="14.1" customHeight="1"/>
    <row r="151" ht="14.1" customHeight="1"/>
    <row r="152" ht="14.1" customHeight="1"/>
    <row r="153" ht="14.1" customHeight="1"/>
    <row r="154" ht="14.1" customHeight="1"/>
    <row r="155" ht="14.1" customHeight="1"/>
    <row r="156" ht="14.1" customHeight="1"/>
    <row r="157" ht="14.1" customHeight="1"/>
    <row r="158" ht="14.1" customHeight="1"/>
    <row r="159" ht="14.1" customHeight="1"/>
    <row r="160" ht="14.1" customHeight="1"/>
    <row r="161" ht="14.1" customHeight="1"/>
    <row r="162" ht="14.1" customHeight="1"/>
    <row r="163" ht="14.1" customHeight="1"/>
    <row r="164" ht="14.1" customHeight="1"/>
    <row r="165" ht="14.1" customHeight="1"/>
    <row r="166" ht="14.1" customHeight="1"/>
    <row r="167" ht="14.1" customHeight="1"/>
    <row r="168" ht="14.1" customHeight="1"/>
    <row r="169" ht="14.1" customHeight="1"/>
    <row r="170" ht="14.1" customHeight="1"/>
    <row r="171" ht="14.1" customHeight="1"/>
    <row r="172" ht="14.1" customHeight="1"/>
    <row r="173" ht="14.1" customHeight="1"/>
    <row r="174" ht="14.1" customHeight="1"/>
    <row r="175" ht="14.1" customHeight="1"/>
    <row r="176" ht="14.1" customHeight="1"/>
    <row r="177" ht="14.1" customHeight="1"/>
    <row r="178" ht="14.1" customHeight="1"/>
    <row r="179" ht="14.1" customHeight="1"/>
    <row r="180" ht="14.1" customHeight="1"/>
    <row r="181" ht="14.1" customHeight="1"/>
    <row r="182" ht="14.1" customHeight="1"/>
    <row r="183" ht="14.1" customHeight="1"/>
    <row r="184" ht="14.1" customHeight="1"/>
    <row r="185" ht="14.1" customHeight="1"/>
    <row r="186" ht="14.1" customHeight="1"/>
    <row r="187" ht="14.1" customHeight="1"/>
    <row r="188" ht="14.1" customHeight="1"/>
    <row r="189" ht="14.1" customHeight="1"/>
    <row r="190" ht="14.1" customHeight="1"/>
    <row r="191" ht="14.1" customHeight="1"/>
    <row r="192" ht="14.1" customHeight="1"/>
    <row r="193" ht="14.1" customHeight="1"/>
    <row r="194" ht="14.1" customHeight="1"/>
    <row r="195" ht="14.1" customHeight="1"/>
    <row r="196" ht="14.1" customHeight="1"/>
    <row r="197" ht="14.1" customHeight="1"/>
    <row r="198" ht="14.1" customHeight="1"/>
    <row r="199" ht="14.1" customHeight="1"/>
    <row r="200" ht="14.1" customHeight="1"/>
    <row r="201" ht="14.1" customHeight="1"/>
    <row r="202" ht="14.1" customHeight="1"/>
    <row r="203" ht="14.1" customHeight="1"/>
    <row r="204" ht="14.1" customHeight="1"/>
    <row r="205" ht="14.1" customHeight="1"/>
    <row r="206" ht="14.1" customHeight="1"/>
    <row r="207" ht="14.1" customHeight="1"/>
    <row r="208" ht="14.1" customHeight="1"/>
    <row r="209" ht="14.1" customHeight="1"/>
    <row r="210" ht="14.1" customHeight="1"/>
    <row r="211" ht="14.1" customHeight="1"/>
    <row r="212" ht="14.1" customHeight="1"/>
    <row r="213" ht="14.1" customHeight="1"/>
    <row r="214" ht="14.1" customHeight="1"/>
    <row r="215" ht="14.1" customHeight="1"/>
    <row r="216" ht="14.1" customHeight="1"/>
    <row r="217" ht="14.1" customHeight="1"/>
    <row r="218" ht="14.1" customHeight="1"/>
    <row r="219" ht="14.1" customHeight="1"/>
    <row r="220" ht="14.1" customHeight="1"/>
    <row r="221" ht="14.1" customHeight="1"/>
    <row r="222" ht="14.1" customHeight="1"/>
    <row r="223" ht="14.1" customHeight="1"/>
    <row r="224" ht="14.1" customHeight="1"/>
    <row r="225" ht="14.1" customHeight="1"/>
    <row r="226" ht="14.1" customHeight="1"/>
    <row r="227" ht="14.1" customHeight="1"/>
    <row r="228" ht="14.1" customHeight="1"/>
    <row r="229" ht="14.1" customHeight="1"/>
    <row r="230" ht="14.1" customHeight="1"/>
    <row r="231" ht="14.1" customHeight="1"/>
    <row r="232" ht="14.1" customHeight="1"/>
    <row r="233" ht="14.1" customHeight="1"/>
    <row r="234" ht="14.1" customHeight="1"/>
    <row r="235" ht="14.1" customHeight="1"/>
    <row r="236" ht="14.1" customHeight="1"/>
    <row r="237" ht="14.1" customHeight="1"/>
    <row r="238" ht="14.1" customHeight="1"/>
    <row r="239" ht="14.1" customHeight="1"/>
    <row r="240" ht="14.1" customHeight="1"/>
    <row r="241" ht="14.1" customHeight="1"/>
    <row r="242" ht="14.1" customHeight="1"/>
    <row r="243" ht="14.1" customHeight="1"/>
    <row r="244" ht="14.1" customHeight="1"/>
    <row r="245" ht="14.1" customHeight="1"/>
    <row r="246" ht="14.1" customHeight="1"/>
    <row r="247" ht="14.1" customHeight="1"/>
    <row r="248" ht="14.1" customHeight="1"/>
    <row r="249" ht="14.1" customHeight="1"/>
    <row r="250" ht="14.1" customHeight="1"/>
    <row r="251" ht="14.1" customHeight="1"/>
    <row r="252" ht="14.1" customHeight="1"/>
    <row r="253" ht="14.1" customHeight="1"/>
    <row r="254" ht="14.1" customHeight="1"/>
    <row r="255" ht="14.1" customHeight="1"/>
    <row r="256" ht="14.1" customHeight="1"/>
    <row r="257" ht="14.1" customHeight="1"/>
    <row r="258" ht="14.1" customHeight="1"/>
    <row r="259" ht="14.1" customHeight="1"/>
    <row r="260" ht="14.1" customHeight="1"/>
    <row r="261" ht="14.1" customHeight="1"/>
    <row r="262" ht="14.1" customHeight="1"/>
    <row r="263" ht="14.1" customHeight="1"/>
    <row r="264" ht="14.1" customHeight="1"/>
    <row r="265" ht="14.1" customHeight="1"/>
    <row r="266" ht="14.1" customHeight="1"/>
    <row r="267" ht="14.1" customHeight="1"/>
    <row r="268" ht="14.1" customHeight="1"/>
    <row r="269" ht="14.1" customHeight="1"/>
    <row r="270" ht="14.1" customHeight="1"/>
    <row r="271" ht="14.1" customHeight="1"/>
    <row r="272" ht="14.1" customHeight="1"/>
    <row r="273" ht="14.1" customHeight="1"/>
    <row r="274" ht="14.1" customHeight="1"/>
    <row r="275" ht="14.1" customHeight="1"/>
    <row r="276" ht="14.1" customHeight="1"/>
    <row r="277" ht="14.1" customHeight="1"/>
    <row r="278" ht="14.1" customHeight="1"/>
    <row r="279" ht="14.1" customHeight="1"/>
    <row r="280" ht="14.1" customHeight="1"/>
    <row r="281" ht="14.1" customHeight="1"/>
    <row r="282" ht="14.1" customHeight="1"/>
    <row r="283" ht="14.1" customHeight="1"/>
    <row r="284" ht="14.1" customHeight="1"/>
    <row r="285" ht="14.1" customHeight="1"/>
    <row r="286" ht="14.1" customHeight="1"/>
    <row r="287" ht="14.1" customHeight="1"/>
    <row r="288" ht="14.1" customHeight="1"/>
    <row r="289" ht="14.1" customHeight="1"/>
    <row r="290" ht="14.1" customHeight="1"/>
    <row r="291" ht="14.1" customHeight="1"/>
    <row r="292" ht="14.1" customHeight="1"/>
    <row r="293" ht="14.1" customHeight="1"/>
    <row r="294" ht="14.1" customHeight="1"/>
    <row r="295" ht="14.1" customHeight="1"/>
    <row r="296" ht="14.1" customHeight="1"/>
    <row r="297" ht="14.1" customHeight="1"/>
    <row r="298" ht="14.1" customHeight="1"/>
    <row r="299" ht="14.1" customHeight="1"/>
    <row r="300" ht="14.1" customHeight="1"/>
    <row r="301" ht="14.1" customHeight="1"/>
    <row r="302" ht="14.1" customHeight="1"/>
    <row r="303" ht="14.1" customHeight="1"/>
    <row r="304" ht="14.1" customHeight="1"/>
    <row r="305" ht="14.1" customHeight="1"/>
    <row r="306" ht="14.1" customHeight="1"/>
    <row r="307" ht="14.1" customHeight="1"/>
    <row r="308" ht="14.1" customHeight="1"/>
    <row r="309" ht="14.1" customHeight="1"/>
    <row r="310" ht="14.1" customHeight="1"/>
    <row r="311" ht="14.1" customHeight="1"/>
    <row r="312" ht="14.1" customHeight="1"/>
    <row r="313" ht="14.1" customHeight="1"/>
    <row r="314" ht="14.1" customHeight="1"/>
    <row r="315" ht="14.1" customHeight="1"/>
    <row r="316" ht="14.1" customHeight="1"/>
    <row r="317" ht="14.1" customHeight="1"/>
    <row r="318" ht="14.1" customHeight="1"/>
    <row r="319" ht="14.1" customHeight="1"/>
    <row r="320" ht="14.1" customHeight="1"/>
    <row r="321" ht="14.1" customHeight="1"/>
    <row r="322" ht="14.1" customHeight="1"/>
    <row r="323" ht="14.1" customHeight="1"/>
    <row r="324" ht="14.1" customHeight="1"/>
    <row r="325" ht="14.1" customHeight="1"/>
    <row r="326" ht="14.1" customHeight="1"/>
    <row r="327" ht="14.1" customHeight="1"/>
    <row r="328" ht="14.1" customHeight="1"/>
    <row r="329" ht="14.1" customHeight="1"/>
    <row r="330" ht="14.1" customHeight="1"/>
    <row r="331" ht="14.1" customHeight="1"/>
    <row r="332" ht="14.1" customHeight="1"/>
    <row r="333" ht="14.1" customHeight="1"/>
    <row r="334" ht="14.1" customHeight="1"/>
    <row r="335" ht="14.1" customHeight="1"/>
    <row r="336" ht="14.1" customHeight="1"/>
    <row r="337" ht="14.1" customHeight="1"/>
    <row r="338" ht="14.1" customHeight="1"/>
    <row r="339" ht="14.1" customHeight="1"/>
    <row r="340" ht="14.1" customHeight="1"/>
    <row r="341" ht="14.1" customHeight="1"/>
    <row r="342" ht="14.1" customHeight="1"/>
    <row r="343" ht="14.1" customHeight="1"/>
    <row r="344" ht="14.1" customHeight="1"/>
    <row r="345" ht="14.1" customHeight="1"/>
    <row r="346" ht="14.1" customHeight="1"/>
    <row r="347" ht="14.1" customHeight="1"/>
    <row r="348" ht="14.1" customHeight="1"/>
    <row r="349" ht="14.1" customHeight="1"/>
    <row r="350" ht="14.1" customHeight="1"/>
    <row r="351" ht="14.1" customHeight="1"/>
    <row r="352" ht="14.1" customHeight="1"/>
    <row r="353" ht="14.1" customHeight="1"/>
    <row r="354" ht="14.1" customHeight="1"/>
    <row r="355" ht="14.1" customHeight="1"/>
    <row r="356" ht="14.1" customHeight="1"/>
    <row r="357" ht="14.1" customHeight="1"/>
    <row r="358" ht="14.1" customHeight="1"/>
    <row r="359" ht="14.1" customHeight="1"/>
    <row r="360" ht="14.1" customHeight="1"/>
    <row r="361" ht="14.1" customHeight="1"/>
    <row r="362" ht="14.1" customHeight="1"/>
    <row r="363" ht="14.1" customHeight="1"/>
    <row r="364" ht="14.1" customHeight="1"/>
    <row r="365" ht="14.1" customHeight="1"/>
    <row r="366" ht="14.1" customHeight="1"/>
    <row r="367" ht="14.1" customHeight="1"/>
    <row r="368" ht="14.1" customHeight="1"/>
    <row r="369" ht="14.1" customHeight="1"/>
    <row r="370" ht="14.1" customHeight="1"/>
    <row r="371" ht="14.1" customHeight="1"/>
    <row r="372" ht="14.1" customHeight="1"/>
    <row r="373" ht="14.1" customHeight="1"/>
    <row r="374" ht="14.1" customHeight="1"/>
    <row r="375" ht="14.1" customHeight="1"/>
    <row r="376" ht="14.1" customHeight="1"/>
    <row r="377" ht="14.1" customHeight="1"/>
    <row r="378" ht="14.1" customHeight="1"/>
    <row r="379" ht="14.1" customHeight="1"/>
    <row r="380" ht="14.1" customHeight="1"/>
    <row r="381" ht="14.1" customHeight="1"/>
    <row r="382" ht="14.1" customHeight="1"/>
    <row r="383" ht="14.1" customHeight="1"/>
    <row r="384" ht="14.1" customHeight="1"/>
    <row r="385" ht="14.1" customHeight="1"/>
    <row r="386" ht="14.1" customHeight="1"/>
    <row r="387" ht="14.1" customHeight="1"/>
    <row r="388" ht="14.1" customHeight="1"/>
    <row r="389" ht="14.1" customHeight="1"/>
    <row r="390" ht="14.1" customHeight="1"/>
    <row r="391" ht="14.1" customHeight="1"/>
    <row r="392" ht="14.1" customHeight="1"/>
    <row r="393" ht="14.1" customHeight="1"/>
    <row r="394" ht="14.1" customHeight="1"/>
    <row r="395" ht="14.1" customHeight="1"/>
    <row r="396" ht="14.1" customHeight="1"/>
    <row r="397" ht="14.1" customHeight="1"/>
    <row r="398" ht="14.1" customHeight="1"/>
    <row r="399" ht="14.1" customHeight="1"/>
    <row r="400" ht="14.1" customHeight="1"/>
    <row r="401" ht="14.1" customHeight="1"/>
    <row r="402" ht="14.1" customHeight="1"/>
    <row r="403" ht="14.1" customHeight="1"/>
    <row r="404" ht="14.1" customHeight="1"/>
    <row r="405" ht="14.1" customHeight="1"/>
    <row r="406" ht="14.1" customHeight="1"/>
    <row r="407" ht="14.1" customHeight="1"/>
    <row r="408" ht="14.1" customHeight="1"/>
    <row r="409" ht="14.1" customHeight="1"/>
    <row r="410" ht="14.1" customHeight="1"/>
    <row r="411" ht="14.1" customHeight="1"/>
    <row r="412" ht="14.1" customHeight="1"/>
    <row r="413" ht="14.1" customHeight="1"/>
    <row r="414" ht="14.1" customHeight="1"/>
    <row r="415" ht="14.1" customHeight="1"/>
    <row r="416" ht="14.1" customHeight="1"/>
    <row r="417" ht="14.1" customHeight="1"/>
    <row r="418" ht="14.1" customHeight="1"/>
    <row r="419" ht="14.1" customHeight="1"/>
    <row r="420" ht="14.1" customHeight="1"/>
    <row r="421" ht="14.1" customHeight="1"/>
    <row r="422" ht="14.1" customHeight="1"/>
    <row r="423" ht="14.1" customHeight="1"/>
    <row r="424" ht="14.1" customHeight="1"/>
    <row r="425" ht="14.1" customHeight="1"/>
    <row r="426" ht="14.1" customHeight="1"/>
    <row r="427" ht="14.1" customHeight="1"/>
    <row r="428" ht="14.1" customHeight="1"/>
    <row r="429" ht="14.1" customHeight="1"/>
    <row r="430" ht="14.1" customHeight="1"/>
    <row r="431" ht="14.1" customHeight="1"/>
    <row r="432" ht="14.1" customHeight="1"/>
    <row r="433" ht="14.1" customHeight="1"/>
    <row r="434" ht="14.1" customHeight="1"/>
    <row r="435" ht="14.1" customHeight="1"/>
    <row r="436" ht="14.1" customHeight="1"/>
    <row r="437" ht="14.1" customHeight="1"/>
    <row r="438" ht="14.1" customHeight="1"/>
    <row r="439" ht="14.1" customHeight="1"/>
    <row r="440" ht="14.1" customHeight="1"/>
    <row r="441" ht="14.1" customHeight="1"/>
    <row r="442" ht="14.1" customHeight="1"/>
    <row r="443" ht="14.1" customHeight="1"/>
    <row r="444" ht="14.1" customHeight="1"/>
    <row r="445" ht="14.1" customHeight="1"/>
    <row r="446" ht="14.1" customHeight="1"/>
    <row r="447" ht="14.1" customHeight="1"/>
    <row r="448" ht="14.1" customHeight="1"/>
    <row r="449" ht="14.1" customHeight="1"/>
    <row r="450" ht="14.1" customHeight="1"/>
    <row r="451" ht="14.1" customHeight="1"/>
    <row r="452" ht="14.1" customHeight="1"/>
    <row r="453" ht="14.1" customHeight="1"/>
    <row r="454" ht="14.1" customHeight="1"/>
    <row r="455" ht="14.1" customHeight="1"/>
    <row r="456" ht="14.1" customHeight="1"/>
    <row r="457" ht="14.1" customHeight="1"/>
    <row r="458" ht="14.1" customHeight="1"/>
    <row r="459" ht="14.1" customHeight="1"/>
    <row r="460" ht="14.1" customHeight="1"/>
    <row r="461" ht="14.1" customHeight="1"/>
    <row r="462" ht="14.1" customHeight="1"/>
    <row r="463" ht="14.1" customHeight="1"/>
    <row r="464" ht="14.1" customHeight="1"/>
    <row r="465" ht="14.1" customHeight="1"/>
    <row r="466" ht="14.1" customHeight="1"/>
    <row r="467" ht="14.1" customHeight="1"/>
    <row r="468" ht="14.1" customHeight="1"/>
    <row r="469" ht="14.1" customHeight="1"/>
    <row r="470" ht="14.1" customHeight="1"/>
    <row r="471" ht="14.1" customHeight="1"/>
    <row r="472" ht="14.1" customHeight="1"/>
    <row r="473" ht="14.1" customHeight="1"/>
    <row r="474" ht="14.1" customHeight="1"/>
    <row r="475" ht="14.1" customHeight="1"/>
    <row r="476" ht="14.1" customHeight="1"/>
    <row r="477" ht="14.1" customHeight="1"/>
    <row r="478" ht="14.1" customHeight="1"/>
    <row r="479" ht="14.1" customHeight="1"/>
    <row r="480" ht="14.1" customHeight="1"/>
    <row r="481" ht="14.1" customHeight="1"/>
    <row r="482" ht="14.1" customHeight="1"/>
    <row r="483" ht="14.1" customHeight="1"/>
    <row r="484" ht="14.1" customHeight="1"/>
    <row r="485" ht="14.1" customHeight="1"/>
    <row r="486" ht="14.1" customHeight="1"/>
    <row r="487" ht="14.1" customHeight="1"/>
    <row r="488" ht="14.1" customHeight="1"/>
    <row r="489" ht="14.1" customHeight="1"/>
    <row r="490" ht="14.1" customHeight="1"/>
    <row r="491" ht="14.1" customHeight="1"/>
    <row r="492" ht="14.1" customHeight="1"/>
    <row r="493" ht="14.1" customHeight="1"/>
    <row r="494" ht="14.1" customHeight="1"/>
    <row r="495" ht="14.1" customHeight="1"/>
    <row r="496" ht="14.1" customHeight="1"/>
    <row r="497" ht="14.1" customHeight="1"/>
    <row r="498" ht="14.1" customHeight="1"/>
    <row r="499" ht="14.1" customHeight="1"/>
    <row r="500" ht="14.1" customHeight="1"/>
    <row r="501" ht="14.1" customHeight="1"/>
    <row r="502" ht="14.1" customHeight="1"/>
    <row r="503" ht="14.1" customHeight="1"/>
    <row r="504" ht="14.1" customHeight="1"/>
    <row r="505" ht="14.1" customHeight="1"/>
    <row r="506" ht="14.1" customHeight="1"/>
    <row r="507" ht="14.1" customHeight="1"/>
    <row r="508" ht="14.1" customHeight="1"/>
    <row r="509" ht="14.1" customHeight="1"/>
    <row r="510" ht="14.1" customHeight="1"/>
    <row r="511" ht="14.1" customHeight="1"/>
    <row r="512" ht="14.1" customHeight="1"/>
    <row r="513" ht="14.1" customHeight="1"/>
    <row r="514" ht="14.1" customHeight="1"/>
    <row r="515" ht="14.1" customHeight="1"/>
    <row r="516" ht="14.1" customHeight="1"/>
    <row r="517" ht="14.1" customHeight="1"/>
    <row r="518" ht="14.1" customHeight="1"/>
    <row r="519" ht="14.1" customHeight="1"/>
    <row r="520" ht="14.1" customHeight="1"/>
    <row r="521" ht="14.1" customHeight="1"/>
    <row r="522" ht="14.1" customHeight="1"/>
    <row r="523" ht="14.1" customHeight="1"/>
    <row r="524" ht="14.1" customHeight="1"/>
    <row r="525" ht="14.1" customHeight="1"/>
    <row r="526" ht="14.1" customHeight="1"/>
    <row r="527" ht="14.1" customHeight="1"/>
    <row r="528" ht="14.1" customHeight="1"/>
    <row r="529" ht="14.1" customHeight="1"/>
    <row r="530" ht="14.1" customHeight="1"/>
    <row r="531" ht="14.1" customHeight="1"/>
    <row r="532" ht="14.1" customHeight="1"/>
    <row r="533" ht="14.1" customHeight="1"/>
    <row r="534" ht="14.1" customHeight="1"/>
    <row r="535" ht="14.1" customHeight="1"/>
    <row r="536" ht="14.1" customHeight="1"/>
    <row r="537" ht="14.1" customHeight="1"/>
    <row r="538" ht="14.1" customHeight="1"/>
    <row r="539" ht="14.1" customHeight="1"/>
    <row r="540" ht="14.1" customHeight="1"/>
    <row r="541" ht="14.1" customHeight="1"/>
    <row r="542" ht="14.1" customHeight="1"/>
    <row r="543" ht="14.1" customHeight="1"/>
    <row r="544" ht="14.1" customHeight="1"/>
    <row r="545" ht="14.1" customHeight="1"/>
    <row r="546" ht="14.1" customHeight="1"/>
    <row r="547" ht="14.1" customHeight="1"/>
    <row r="548" ht="14.1" customHeight="1"/>
    <row r="549" ht="14.1" customHeight="1"/>
    <row r="550" ht="14.1" customHeight="1"/>
    <row r="551" ht="14.1" customHeight="1"/>
    <row r="552" ht="14.1" customHeight="1"/>
    <row r="553" ht="14.1" customHeight="1"/>
    <row r="554" ht="14.1" customHeight="1"/>
    <row r="555" ht="14.1" customHeight="1"/>
    <row r="556" ht="14.1" customHeight="1"/>
    <row r="557" ht="14.1" customHeight="1"/>
    <row r="558" ht="14.1" customHeight="1"/>
    <row r="559" ht="14.1" customHeight="1"/>
    <row r="560" ht="14.1" customHeight="1"/>
    <row r="561" ht="14.1" customHeight="1"/>
    <row r="562" ht="14.1" customHeight="1"/>
    <row r="563" ht="14.1" customHeight="1"/>
    <row r="564" ht="14.1" customHeight="1"/>
    <row r="565" ht="14.1" customHeight="1"/>
    <row r="566" ht="14.1" customHeight="1"/>
    <row r="567" ht="14.1" customHeight="1"/>
    <row r="568" ht="14.1" customHeight="1"/>
    <row r="569" ht="14.1" customHeight="1"/>
    <row r="570" ht="14.1" customHeight="1"/>
    <row r="571" ht="14.1" customHeight="1"/>
    <row r="572" ht="14.1" customHeight="1"/>
    <row r="573" ht="14.1" customHeight="1"/>
    <row r="574" ht="14.1" customHeight="1"/>
    <row r="575" ht="14.1" customHeight="1"/>
    <row r="576" ht="14.1" customHeight="1"/>
    <row r="577" ht="14.1" customHeight="1"/>
    <row r="578" ht="14.1" customHeight="1"/>
    <row r="579" ht="14.1" customHeight="1"/>
    <row r="580" ht="14.1" customHeight="1"/>
    <row r="581" ht="14.1" customHeight="1"/>
    <row r="582" ht="14.1" customHeight="1"/>
    <row r="583" ht="14.1" customHeight="1"/>
    <row r="584" ht="14.1" customHeight="1"/>
    <row r="585" ht="14.1" customHeight="1"/>
    <row r="586" ht="14.1" customHeight="1"/>
    <row r="587" ht="14.1" customHeight="1"/>
    <row r="588" ht="14.1" customHeight="1"/>
    <row r="589" ht="14.1" customHeight="1"/>
    <row r="590" ht="14.1" customHeight="1"/>
    <row r="591" ht="14.1" customHeight="1"/>
    <row r="592" ht="14.1" customHeight="1"/>
    <row r="593" ht="14.1" customHeight="1"/>
    <row r="594" ht="14.1" customHeight="1"/>
    <row r="595" ht="14.1" customHeight="1"/>
    <row r="596" ht="14.1" customHeight="1"/>
    <row r="597" ht="14.1" customHeight="1"/>
    <row r="598" ht="14.1" customHeight="1"/>
    <row r="599" ht="14.1" customHeight="1"/>
    <row r="600" ht="14.1" customHeight="1"/>
    <row r="601" ht="14.1" customHeight="1"/>
    <row r="602" ht="14.1" customHeight="1"/>
    <row r="603" ht="14.1" customHeight="1"/>
    <row r="604" ht="14.1" customHeight="1"/>
    <row r="605" ht="14.1" customHeight="1"/>
    <row r="606" ht="14.1" customHeight="1"/>
    <row r="607" ht="14.1" customHeight="1"/>
    <row r="608" ht="14.1" customHeight="1"/>
    <row r="609" ht="14.1" customHeight="1"/>
    <row r="610" ht="14.1" customHeight="1"/>
    <row r="611" ht="14.1" customHeight="1"/>
    <row r="612" ht="14.1" customHeight="1"/>
    <row r="613" ht="14.1" customHeight="1"/>
    <row r="614" ht="14.1" customHeight="1"/>
    <row r="615" ht="14.1" customHeight="1"/>
    <row r="616" ht="14.1" customHeight="1"/>
    <row r="617" ht="14.1" customHeight="1"/>
    <row r="618" ht="14.1" customHeight="1"/>
    <row r="619" ht="14.1" customHeight="1"/>
    <row r="620" ht="14.1" customHeight="1"/>
    <row r="621" ht="14.1" customHeight="1"/>
    <row r="622" ht="14.1" customHeight="1"/>
    <row r="623" ht="14.1" customHeight="1"/>
    <row r="624" ht="14.1" customHeight="1"/>
    <row r="625" ht="14.1" customHeight="1"/>
    <row r="626" ht="14.1" customHeight="1"/>
    <row r="627" ht="14.1" customHeight="1"/>
    <row r="628" ht="14.1" customHeight="1"/>
    <row r="629" ht="14.1" customHeight="1"/>
    <row r="630" ht="14.1" customHeight="1"/>
    <row r="631" ht="14.1" customHeight="1"/>
    <row r="632" ht="14.1" customHeight="1"/>
    <row r="633" ht="14.1" customHeight="1"/>
    <row r="634" ht="14.1" customHeight="1"/>
    <row r="635" ht="14.1" customHeight="1"/>
    <row r="636" ht="14.1" customHeight="1"/>
    <row r="637" ht="14.1" customHeight="1"/>
    <row r="638" ht="14.1" customHeight="1"/>
    <row r="639" ht="14.1" customHeight="1"/>
    <row r="640" ht="14.1" customHeight="1"/>
    <row r="641" ht="14.1" customHeight="1"/>
    <row r="642" ht="14.1" customHeight="1"/>
    <row r="643" ht="14.1" customHeight="1"/>
    <row r="644" ht="14.1" customHeight="1"/>
    <row r="645" ht="14.1" customHeight="1"/>
    <row r="646" ht="14.1" customHeight="1"/>
    <row r="647" ht="14.1" customHeight="1"/>
    <row r="648" ht="14.1" customHeight="1"/>
    <row r="649" ht="14.1" customHeight="1"/>
    <row r="650" ht="14.1" customHeight="1"/>
    <row r="651" ht="14.1" customHeight="1"/>
    <row r="652" ht="14.1" customHeight="1"/>
    <row r="653" ht="14.1" customHeight="1"/>
    <row r="654" ht="14.1" customHeight="1"/>
    <row r="655" ht="14.1" customHeight="1"/>
    <row r="656" ht="14.1" customHeight="1"/>
    <row r="657" ht="14.1" customHeight="1"/>
    <row r="658" ht="14.1" customHeight="1"/>
    <row r="659" ht="14.1" customHeight="1"/>
    <row r="660" ht="14.1" customHeight="1"/>
    <row r="661" ht="14.1" customHeight="1"/>
    <row r="662" ht="14.1" customHeight="1"/>
    <row r="663" ht="14.1" customHeight="1"/>
    <row r="664" ht="14.1" customHeight="1"/>
    <row r="665" ht="14.1" customHeight="1"/>
    <row r="666" ht="14.1" customHeight="1"/>
    <row r="667" ht="14.1" customHeight="1"/>
    <row r="668" ht="14.1" customHeight="1"/>
    <row r="669" ht="14.1" customHeight="1"/>
    <row r="670" ht="14.1" customHeight="1"/>
    <row r="671" ht="14.1" customHeight="1"/>
    <row r="672" ht="14.1" customHeight="1"/>
    <row r="673" ht="14.1" customHeight="1"/>
    <row r="674" ht="14.1" customHeight="1"/>
    <row r="675" ht="14.1" customHeight="1"/>
    <row r="676" ht="14.1" customHeight="1"/>
    <row r="677" ht="14.1" customHeight="1"/>
    <row r="678" ht="14.1" customHeight="1"/>
    <row r="679" ht="14.1" customHeight="1"/>
    <row r="680" ht="14.1" customHeight="1"/>
    <row r="681" ht="14.1" customHeight="1"/>
    <row r="682" ht="14.1" customHeight="1"/>
    <row r="683" ht="14.1" customHeight="1"/>
    <row r="684" ht="14.1" customHeight="1"/>
    <row r="685" ht="14.1" customHeight="1"/>
    <row r="686" ht="14.1" customHeight="1"/>
    <row r="687" ht="14.1" customHeight="1"/>
    <row r="688" ht="14.1" customHeight="1"/>
    <row r="689" ht="14.1" customHeight="1"/>
    <row r="690" ht="14.1" customHeight="1"/>
    <row r="691" ht="14.1" customHeight="1"/>
    <row r="692" ht="14.1" customHeight="1"/>
    <row r="693" ht="14.1" customHeight="1"/>
    <row r="694" ht="14.1" customHeight="1"/>
    <row r="695" ht="14.1" customHeight="1"/>
    <row r="696" ht="14.1" customHeight="1"/>
    <row r="697" ht="14.1" customHeight="1"/>
    <row r="698" ht="14.1" customHeight="1"/>
    <row r="699" ht="14.1" customHeight="1"/>
    <row r="700" ht="14.1" customHeight="1"/>
    <row r="701" ht="14.1" customHeight="1"/>
    <row r="702" ht="14.1" customHeight="1"/>
    <row r="703" ht="14.1" customHeight="1"/>
    <row r="704" ht="14.1" customHeight="1"/>
    <row r="705" ht="14.1" customHeight="1"/>
    <row r="706" ht="14.1" customHeight="1"/>
    <row r="707" ht="14.1" customHeight="1"/>
    <row r="708" ht="14.1" customHeight="1"/>
    <row r="709" ht="14.1" customHeight="1"/>
    <row r="710" ht="14.1" customHeight="1"/>
    <row r="711" ht="14.1" customHeight="1"/>
    <row r="712" ht="14.1" customHeight="1"/>
    <row r="713" ht="14.1" customHeight="1"/>
    <row r="714" ht="14.1" customHeight="1"/>
    <row r="715" ht="14.1" customHeight="1"/>
    <row r="716" ht="14.1" customHeight="1"/>
    <row r="717" ht="14.1" customHeight="1"/>
    <row r="718" ht="14.1" customHeight="1"/>
    <row r="719" ht="14.1" customHeight="1"/>
    <row r="720" ht="14.1" customHeight="1"/>
    <row r="721" ht="14.1" customHeight="1"/>
    <row r="722" ht="14.1" customHeight="1"/>
    <row r="723" ht="14.1" customHeight="1"/>
    <row r="724" ht="14.1" customHeight="1"/>
    <row r="725" ht="14.1" customHeight="1"/>
    <row r="726" ht="14.1" customHeight="1"/>
    <row r="727" ht="14.1" customHeight="1"/>
    <row r="728" ht="14.1" customHeight="1"/>
    <row r="729" ht="14.1" customHeight="1"/>
    <row r="730" ht="14.1" customHeight="1"/>
    <row r="731" ht="14.1" customHeight="1"/>
    <row r="732" ht="14.1" customHeight="1"/>
    <row r="733" ht="14.1" customHeight="1"/>
    <row r="734" ht="14.1" customHeight="1"/>
    <row r="735" ht="14.1" customHeight="1"/>
    <row r="736" ht="14.1" customHeight="1"/>
    <row r="737" ht="14.1" customHeight="1"/>
    <row r="738" ht="14.1" customHeight="1"/>
    <row r="739" ht="14.1" customHeight="1"/>
    <row r="740" ht="14.1" customHeight="1"/>
    <row r="741" ht="14.1" customHeight="1"/>
    <row r="742" ht="14.1" customHeight="1"/>
    <row r="743" ht="14.1" customHeight="1"/>
    <row r="744" ht="14.1" customHeight="1"/>
    <row r="745" ht="14.1" customHeight="1"/>
    <row r="746" ht="14.1" customHeight="1"/>
    <row r="747" ht="14.1" customHeight="1"/>
    <row r="748" ht="14.1" customHeight="1"/>
    <row r="749" ht="14.1" customHeight="1"/>
    <row r="750" ht="14.1" customHeight="1"/>
    <row r="751" ht="14.1" customHeight="1"/>
    <row r="752" ht="14.1" customHeight="1"/>
    <row r="753" ht="14.1" customHeight="1"/>
    <row r="754" ht="14.1" customHeight="1"/>
    <row r="755" ht="14.1" customHeight="1"/>
    <row r="756" ht="14.1" customHeight="1"/>
    <row r="757" ht="14.1" customHeight="1"/>
    <row r="758" ht="14.1" customHeight="1"/>
    <row r="759" ht="14.1" customHeight="1"/>
    <row r="760" ht="14.1" customHeight="1"/>
    <row r="761" ht="14.1" customHeight="1"/>
    <row r="762" ht="14.1" customHeight="1"/>
    <row r="763" ht="14.1" customHeight="1"/>
    <row r="764" ht="14.1" customHeight="1"/>
    <row r="765" ht="14.1" customHeight="1"/>
    <row r="766" ht="14.1" customHeight="1"/>
    <row r="767" ht="14.1" customHeight="1"/>
    <row r="768" ht="14.1" customHeight="1"/>
    <row r="769" ht="14.1" customHeight="1"/>
    <row r="770" ht="14.1" customHeight="1"/>
    <row r="771" ht="14.1" customHeight="1"/>
    <row r="772" ht="14.1" customHeight="1"/>
    <row r="773" ht="14.1" customHeight="1"/>
    <row r="774" ht="14.1" customHeight="1"/>
    <row r="775" ht="14.1" customHeight="1"/>
    <row r="776" ht="14.1" customHeight="1"/>
    <row r="777" ht="14.1" customHeight="1"/>
    <row r="778" ht="14.1" customHeight="1"/>
    <row r="779" ht="14.1" customHeight="1"/>
    <row r="780" ht="14.1" customHeight="1"/>
    <row r="781" ht="14.1" customHeight="1"/>
    <row r="782" ht="14.1" customHeight="1"/>
    <row r="783" ht="14.1" customHeight="1"/>
    <row r="784" ht="14.1" customHeight="1"/>
    <row r="785" ht="14.1" customHeight="1"/>
    <row r="786" ht="14.1" customHeight="1"/>
    <row r="787" ht="14.1" customHeight="1"/>
    <row r="788" ht="14.1" customHeight="1"/>
    <row r="789" ht="14.1" customHeight="1"/>
    <row r="790" ht="14.1" customHeight="1"/>
    <row r="791" ht="14.1" customHeight="1"/>
    <row r="792" ht="14.1" customHeight="1"/>
    <row r="793" ht="14.1" customHeight="1"/>
  </sheetData>
  <pageMargins left="0.61" right="0.16" top="0.87" bottom="0.21" header="0.16" footer="0.16"/>
  <pageSetup paperSize="8" scale="47" orientation="portrait"/>
  <headerFooter alignWithMargins="0">
    <oddFooter>&amp;L_x000D_&amp;1#&amp;"Arial"&amp;7&amp;KDAD4CE Public&amp;C&amp;"Verdana"&amp;10 &amp;KC1C1C1_x000D_# Restricted</oddFooter>
  </headerFooter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11">
    <tabColor rgb="FF92D050"/>
    <pageSetUpPr fitToPage="1"/>
  </sheetPr>
  <dimension ref="A1:U793"/>
  <sheetViews>
    <sheetView zoomScale="80" zoomScaleNormal="80" workbookViewId="0">
      <pane xSplit="2" ySplit="4" topLeftCell="C88" activePane="bottomRight" state="frozen"/>
      <selection activeCell="A16" sqref="A16"/>
      <selection pane="topRight" activeCell="A16" sqref="A16"/>
      <selection pane="bottomLeft" activeCell="A16" sqref="A16"/>
      <selection pane="bottomRight" activeCell="D90" sqref="D90:E90"/>
    </sheetView>
  </sheetViews>
  <sheetFormatPr defaultColWidth="8.85546875" defaultRowHeight="12.75"/>
  <cols>
    <col min="1" max="1" width="4.140625" style="3" customWidth="1"/>
    <col min="2" max="3" width="8.5703125" style="20" customWidth="1"/>
    <col min="4" max="4" width="14.5703125" style="3" customWidth="1"/>
    <col min="5" max="5" width="20.5703125" style="20" customWidth="1"/>
    <col min="6" max="6" width="8.5703125" style="3" customWidth="1"/>
    <col min="7" max="7" width="32.5703125" style="2" customWidth="1"/>
    <col min="8" max="8" width="18.5703125" style="3" customWidth="1"/>
    <col min="9" max="9" width="62.5703125" style="2" customWidth="1"/>
    <col min="10" max="12" width="9.5703125" style="3" customWidth="1"/>
    <col min="13" max="13" width="10.5703125" style="3" customWidth="1"/>
    <col min="14" max="14" width="8.5703125" style="3" customWidth="1"/>
    <col min="15" max="15" width="10.5703125" style="3" customWidth="1"/>
    <col min="16" max="16" width="5.5703125" style="3" customWidth="1"/>
    <col min="17" max="17" width="1.5703125" style="10" customWidth="1"/>
    <col min="18" max="18" width="10.5703125" style="30" customWidth="1"/>
    <col min="19" max="19" width="1.5703125" style="2" customWidth="1"/>
    <col min="20" max="21" width="10.5703125" style="2" customWidth="1"/>
    <col min="22" max="183" width="8.85546875" style="141" customWidth="1"/>
    <col min="184" max="184" width="8.140625" style="141" customWidth="1"/>
    <col min="185" max="185" width="14.5703125" style="141" customWidth="1"/>
    <col min="186" max="186" width="37.42578125" style="141" customWidth="1"/>
    <col min="187" max="187" width="63.140625" style="141" customWidth="1"/>
    <col min="188" max="188" width="20" style="141" customWidth="1"/>
    <col min="189" max="189" width="11.140625" style="141" customWidth="1"/>
    <col min="190" max="190" width="10.85546875" style="141" customWidth="1"/>
    <col min="191" max="191" width="21" style="141" customWidth="1"/>
    <col min="192" max="192" width="10.85546875" style="141" customWidth="1"/>
    <col min="193" max="193" width="17.42578125" style="141" customWidth="1"/>
    <col min="194" max="194" width="14.85546875" style="141" customWidth="1"/>
    <col min="195" max="195" width="15" style="141" customWidth="1"/>
    <col min="196" max="196" width="14.85546875" style="141" customWidth="1"/>
    <col min="197" max="197" width="7.140625" style="141" customWidth="1"/>
    <col min="198" max="199" width="20.140625" style="141" customWidth="1"/>
    <col min="200" max="200" width="18.42578125" style="141" customWidth="1"/>
    <col min="201" max="201" width="9.140625" style="141" customWidth="1"/>
    <col min="202" max="202" width="12" style="141" customWidth="1"/>
    <col min="203" max="203" width="14.85546875" style="141" customWidth="1"/>
    <col min="204" max="204" width="22.42578125" style="141" customWidth="1"/>
    <col min="205" max="205" width="14.85546875" style="141" customWidth="1"/>
    <col min="206" max="206" width="7.140625" style="141" customWidth="1"/>
    <col min="207" max="207" width="20.140625" style="141" customWidth="1"/>
    <col min="208" max="439" width="8.85546875" style="141" customWidth="1"/>
    <col min="440" max="440" width="8.140625" style="141" customWidth="1"/>
    <col min="441" max="441" width="14.5703125" style="141" customWidth="1"/>
    <col min="442" max="442" width="37.42578125" style="141" customWidth="1"/>
    <col min="443" max="443" width="63.140625" style="141" customWidth="1"/>
    <col min="444" max="444" width="20" style="141" customWidth="1"/>
    <col min="445" max="445" width="11.140625" style="141" customWidth="1"/>
    <col min="446" max="446" width="10.85546875" style="141" customWidth="1"/>
    <col min="447" max="447" width="21" style="141" customWidth="1"/>
    <col min="448" max="448" width="10.85546875" style="141" customWidth="1"/>
    <col min="449" max="449" width="17.42578125" style="141" customWidth="1"/>
    <col min="450" max="450" width="14.85546875" style="141" customWidth="1"/>
    <col min="451" max="451" width="15" style="141" customWidth="1"/>
    <col min="452" max="452" width="14.85546875" style="141" customWidth="1"/>
    <col min="453" max="453" width="7.140625" style="141" customWidth="1"/>
    <col min="454" max="455" width="20.140625" style="141" customWidth="1"/>
    <col min="456" max="456" width="18.42578125" style="141" customWidth="1"/>
    <col min="457" max="457" width="9.140625" style="141" customWidth="1"/>
    <col min="458" max="458" width="12" style="141" customWidth="1"/>
    <col min="459" max="459" width="14.85546875" style="141" customWidth="1"/>
    <col min="460" max="460" width="22.42578125" style="141" customWidth="1"/>
    <col min="461" max="461" width="14.85546875" style="141" customWidth="1"/>
    <col min="462" max="462" width="7.140625" style="141" customWidth="1"/>
    <col min="463" max="463" width="20.140625" style="141" customWidth="1"/>
    <col min="464" max="695" width="8.85546875" style="141" customWidth="1"/>
    <col min="696" max="696" width="8.140625" style="141" customWidth="1"/>
    <col min="697" max="697" width="14.5703125" style="141" customWidth="1"/>
    <col min="698" max="698" width="37.42578125" style="141" customWidth="1"/>
    <col min="699" max="699" width="63.140625" style="141" customWidth="1"/>
    <col min="700" max="700" width="20" style="141" customWidth="1"/>
    <col min="701" max="701" width="11.140625" style="141" customWidth="1"/>
    <col min="702" max="702" width="10.85546875" style="141" customWidth="1"/>
    <col min="703" max="703" width="21" style="141" customWidth="1"/>
    <col min="704" max="704" width="10.85546875" style="141" customWidth="1"/>
    <col min="705" max="705" width="17.42578125" style="141" customWidth="1"/>
    <col min="706" max="706" width="14.85546875" style="141" customWidth="1"/>
    <col min="707" max="707" width="15" style="141" customWidth="1"/>
    <col min="708" max="708" width="14.85546875" style="141" customWidth="1"/>
    <col min="709" max="709" width="7.140625" style="141" customWidth="1"/>
    <col min="710" max="711" width="20.140625" style="141" customWidth="1"/>
    <col min="712" max="712" width="18.42578125" style="141" customWidth="1"/>
    <col min="713" max="713" width="9.140625" style="141" customWidth="1"/>
    <col min="714" max="714" width="12" style="141" customWidth="1"/>
    <col min="715" max="715" width="14.85546875" style="141" customWidth="1"/>
    <col min="716" max="716" width="22.42578125" style="141" customWidth="1"/>
    <col min="717" max="717" width="14.85546875" style="141" customWidth="1"/>
    <col min="718" max="718" width="7.140625" style="141" customWidth="1"/>
    <col min="719" max="719" width="20.140625" style="141" customWidth="1"/>
    <col min="720" max="951" width="8.85546875" style="141" customWidth="1"/>
    <col min="952" max="952" width="8.140625" style="141" customWidth="1"/>
    <col min="953" max="953" width="14.5703125" style="141" customWidth="1"/>
    <col min="954" max="954" width="37.42578125" style="141" customWidth="1"/>
    <col min="955" max="955" width="63.140625" style="141" customWidth="1"/>
    <col min="956" max="956" width="20" style="141" customWidth="1"/>
    <col min="957" max="957" width="11.140625" style="141" customWidth="1"/>
    <col min="958" max="958" width="10.85546875" style="141" customWidth="1"/>
    <col min="959" max="959" width="21" style="141" customWidth="1"/>
    <col min="960" max="960" width="10.85546875" style="141" customWidth="1"/>
    <col min="961" max="961" width="17.42578125" style="141" customWidth="1"/>
    <col min="962" max="962" width="14.85546875" style="141" customWidth="1"/>
    <col min="963" max="963" width="15" style="141" customWidth="1"/>
    <col min="964" max="964" width="14.85546875" style="141" customWidth="1"/>
    <col min="965" max="965" width="7.140625" style="141" customWidth="1"/>
    <col min="966" max="967" width="20.140625" style="141" customWidth="1"/>
    <col min="968" max="968" width="18.42578125" style="141" customWidth="1"/>
    <col min="969" max="969" width="9.140625" style="141" customWidth="1"/>
    <col min="970" max="970" width="12" style="141" customWidth="1"/>
    <col min="971" max="971" width="14.85546875" style="141" customWidth="1"/>
    <col min="972" max="972" width="22.42578125" style="141" customWidth="1"/>
    <col min="973" max="973" width="14.85546875" style="141" customWidth="1"/>
    <col min="974" max="974" width="7.140625" style="141" customWidth="1"/>
    <col min="975" max="975" width="20.140625" style="141" customWidth="1"/>
    <col min="976" max="1207" width="8.85546875" style="141" customWidth="1"/>
    <col min="1208" max="1208" width="8.140625" style="141" customWidth="1"/>
    <col min="1209" max="1209" width="14.5703125" style="141" customWidth="1"/>
    <col min="1210" max="1210" width="37.42578125" style="141" customWidth="1"/>
    <col min="1211" max="1211" width="63.140625" style="141" customWidth="1"/>
    <col min="1212" max="1212" width="20" style="141" customWidth="1"/>
    <col min="1213" max="1213" width="11.140625" style="141" customWidth="1"/>
    <col min="1214" max="1214" width="10.85546875" style="141" customWidth="1"/>
    <col min="1215" max="1215" width="21" style="141" customWidth="1"/>
    <col min="1216" max="1216" width="10.85546875" style="141" customWidth="1"/>
    <col min="1217" max="1217" width="17.42578125" style="141" customWidth="1"/>
    <col min="1218" max="1218" width="14.85546875" style="141" customWidth="1"/>
    <col min="1219" max="1219" width="15" style="141" customWidth="1"/>
    <col min="1220" max="1220" width="14.85546875" style="141" customWidth="1"/>
    <col min="1221" max="1221" width="7.140625" style="141" customWidth="1"/>
    <col min="1222" max="1223" width="20.140625" style="141" customWidth="1"/>
    <col min="1224" max="1224" width="18.42578125" style="141" customWidth="1"/>
    <col min="1225" max="1225" width="9.140625" style="141" customWidth="1"/>
    <col min="1226" max="1226" width="12" style="141" customWidth="1"/>
    <col min="1227" max="1227" width="14.85546875" style="141" customWidth="1"/>
    <col min="1228" max="1228" width="22.42578125" style="141" customWidth="1"/>
    <col min="1229" max="1229" width="14.85546875" style="141" customWidth="1"/>
    <col min="1230" max="1230" width="7.140625" style="141" customWidth="1"/>
    <col min="1231" max="1231" width="20.140625" style="141" customWidth="1"/>
    <col min="1232" max="1463" width="8.85546875" style="141" customWidth="1"/>
    <col min="1464" max="1464" width="8.140625" style="141" customWidth="1"/>
    <col min="1465" max="1465" width="14.5703125" style="141" customWidth="1"/>
    <col min="1466" max="1466" width="37.42578125" style="141" customWidth="1"/>
    <col min="1467" max="1467" width="63.140625" style="141" customWidth="1"/>
    <col min="1468" max="1468" width="20" style="141" customWidth="1"/>
    <col min="1469" max="1469" width="11.140625" style="141" customWidth="1"/>
    <col min="1470" max="1470" width="10.85546875" style="141" customWidth="1"/>
    <col min="1471" max="1471" width="21" style="141" customWidth="1"/>
    <col min="1472" max="1472" width="10.85546875" style="141" customWidth="1"/>
    <col min="1473" max="1473" width="17.42578125" style="141" customWidth="1"/>
    <col min="1474" max="1474" width="14.85546875" style="141" customWidth="1"/>
    <col min="1475" max="1475" width="15" style="141" customWidth="1"/>
    <col min="1476" max="1476" width="14.85546875" style="141" customWidth="1"/>
    <col min="1477" max="1477" width="7.140625" style="141" customWidth="1"/>
    <col min="1478" max="1479" width="20.140625" style="141" customWidth="1"/>
    <col min="1480" max="1480" width="18.42578125" style="141" customWidth="1"/>
    <col min="1481" max="1481" width="9.140625" style="141" customWidth="1"/>
    <col min="1482" max="1482" width="12" style="141" customWidth="1"/>
    <col min="1483" max="1483" width="14.85546875" style="141" customWidth="1"/>
    <col min="1484" max="1484" width="22.42578125" style="141" customWidth="1"/>
    <col min="1485" max="1485" width="14.85546875" style="141" customWidth="1"/>
    <col min="1486" max="1486" width="7.140625" style="141" customWidth="1"/>
    <col min="1487" max="1487" width="20.140625" style="141" customWidth="1"/>
    <col min="1488" max="1719" width="8.85546875" style="141" customWidth="1"/>
    <col min="1720" max="1720" width="8.140625" style="141" customWidth="1"/>
    <col min="1721" max="1721" width="14.5703125" style="141" customWidth="1"/>
    <col min="1722" max="1722" width="37.42578125" style="141" customWidth="1"/>
    <col min="1723" max="1723" width="63.140625" style="141" customWidth="1"/>
    <col min="1724" max="1724" width="20" style="141" customWidth="1"/>
    <col min="1725" max="1725" width="11.140625" style="141" customWidth="1"/>
    <col min="1726" max="1726" width="10.85546875" style="141" customWidth="1"/>
    <col min="1727" max="1727" width="21" style="141" customWidth="1"/>
    <col min="1728" max="1728" width="10.85546875" style="141" customWidth="1"/>
    <col min="1729" max="1729" width="17.42578125" style="141" customWidth="1"/>
    <col min="1730" max="1730" width="14.85546875" style="141" customWidth="1"/>
    <col min="1731" max="1731" width="15" style="141" customWidth="1"/>
    <col min="1732" max="1732" width="14.85546875" style="141" customWidth="1"/>
    <col min="1733" max="1733" width="7.140625" style="141" customWidth="1"/>
    <col min="1734" max="1735" width="20.140625" style="141" customWidth="1"/>
    <col min="1736" max="1736" width="18.42578125" style="141" customWidth="1"/>
    <col min="1737" max="1737" width="9.140625" style="141" customWidth="1"/>
    <col min="1738" max="1738" width="12" style="141" customWidth="1"/>
    <col min="1739" max="1739" width="14.85546875" style="141" customWidth="1"/>
    <col min="1740" max="1740" width="22.42578125" style="141" customWidth="1"/>
    <col min="1741" max="1741" width="14.85546875" style="141" customWidth="1"/>
    <col min="1742" max="1742" width="7.140625" style="141" customWidth="1"/>
    <col min="1743" max="1743" width="20.140625" style="141" customWidth="1"/>
    <col min="1744" max="1975" width="8.85546875" style="141" customWidth="1"/>
    <col min="1976" max="1976" width="8.140625" style="141" customWidth="1"/>
    <col min="1977" max="1977" width="14.5703125" style="141" customWidth="1"/>
    <col min="1978" max="1978" width="37.42578125" style="141" customWidth="1"/>
    <col min="1979" max="1979" width="63.140625" style="141" customWidth="1"/>
    <col min="1980" max="1980" width="20" style="141" customWidth="1"/>
    <col min="1981" max="1981" width="11.140625" style="141" customWidth="1"/>
    <col min="1982" max="1982" width="10.85546875" style="141" customWidth="1"/>
    <col min="1983" max="1983" width="21" style="141" customWidth="1"/>
    <col min="1984" max="1984" width="10.85546875" style="141" customWidth="1"/>
    <col min="1985" max="1985" width="17.42578125" style="141" customWidth="1"/>
    <col min="1986" max="1986" width="14.85546875" style="141" customWidth="1"/>
    <col min="1987" max="1987" width="15" style="141" customWidth="1"/>
    <col min="1988" max="1988" width="14.85546875" style="141" customWidth="1"/>
    <col min="1989" max="1989" width="7.140625" style="141" customWidth="1"/>
    <col min="1990" max="1991" width="20.140625" style="141" customWidth="1"/>
    <col min="1992" max="1992" width="18.42578125" style="141" customWidth="1"/>
    <col min="1993" max="1993" width="9.140625" style="141" customWidth="1"/>
    <col min="1994" max="1994" width="12" style="141" customWidth="1"/>
    <col min="1995" max="1995" width="14.85546875" style="141" customWidth="1"/>
    <col min="1996" max="1996" width="22.42578125" style="141" customWidth="1"/>
    <col min="1997" max="1997" width="14.85546875" style="141" customWidth="1"/>
    <col min="1998" max="1998" width="7.140625" style="141" customWidth="1"/>
    <col min="1999" max="1999" width="20.140625" style="141" customWidth="1"/>
    <col min="2000" max="2231" width="8.85546875" style="141" customWidth="1"/>
    <col min="2232" max="2232" width="8.140625" style="141" customWidth="1"/>
    <col min="2233" max="2233" width="14.5703125" style="141" customWidth="1"/>
    <col min="2234" max="2234" width="37.42578125" style="141" customWidth="1"/>
    <col min="2235" max="2235" width="63.140625" style="141" customWidth="1"/>
    <col min="2236" max="2236" width="20" style="141" customWidth="1"/>
    <col min="2237" max="2237" width="11.140625" style="141" customWidth="1"/>
    <col min="2238" max="2238" width="10.85546875" style="141" customWidth="1"/>
    <col min="2239" max="2239" width="21" style="141" customWidth="1"/>
    <col min="2240" max="2240" width="10.85546875" style="141" customWidth="1"/>
    <col min="2241" max="2241" width="17.42578125" style="141" customWidth="1"/>
    <col min="2242" max="2242" width="14.85546875" style="141" customWidth="1"/>
    <col min="2243" max="2243" width="15" style="141" customWidth="1"/>
    <col min="2244" max="2244" width="14.85546875" style="141" customWidth="1"/>
    <col min="2245" max="2245" width="7.140625" style="141" customWidth="1"/>
    <col min="2246" max="2247" width="20.140625" style="141" customWidth="1"/>
    <col min="2248" max="2248" width="18.42578125" style="141" customWidth="1"/>
    <col min="2249" max="2249" width="9.140625" style="141" customWidth="1"/>
    <col min="2250" max="2250" width="12" style="141" customWidth="1"/>
    <col min="2251" max="2251" width="14.85546875" style="141" customWidth="1"/>
    <col min="2252" max="2252" width="22.42578125" style="141" customWidth="1"/>
    <col min="2253" max="2253" width="14.85546875" style="141" customWidth="1"/>
    <col min="2254" max="2254" width="7.140625" style="141" customWidth="1"/>
    <col min="2255" max="2255" width="20.140625" style="141" customWidth="1"/>
    <col min="2256" max="2487" width="8.85546875" style="141" customWidth="1"/>
    <col min="2488" max="2488" width="8.140625" style="141" customWidth="1"/>
    <col min="2489" max="2489" width="14.5703125" style="141" customWidth="1"/>
    <col min="2490" max="2490" width="37.42578125" style="141" customWidth="1"/>
    <col min="2491" max="2491" width="63.140625" style="141" customWidth="1"/>
    <col min="2492" max="2492" width="20" style="141" customWidth="1"/>
    <col min="2493" max="2493" width="11.140625" style="141" customWidth="1"/>
    <col min="2494" max="2494" width="10.85546875" style="141" customWidth="1"/>
    <col min="2495" max="2495" width="21" style="141" customWidth="1"/>
    <col min="2496" max="2496" width="10.85546875" style="141" customWidth="1"/>
    <col min="2497" max="2497" width="17.42578125" style="141" customWidth="1"/>
    <col min="2498" max="2498" width="14.85546875" style="141" customWidth="1"/>
    <col min="2499" max="2499" width="15" style="141" customWidth="1"/>
    <col min="2500" max="2500" width="14.85546875" style="141" customWidth="1"/>
    <col min="2501" max="2501" width="7.140625" style="141" customWidth="1"/>
    <col min="2502" max="2503" width="20.140625" style="141" customWidth="1"/>
    <col min="2504" max="2504" width="18.42578125" style="141" customWidth="1"/>
    <col min="2505" max="2505" width="9.140625" style="141" customWidth="1"/>
    <col min="2506" max="2506" width="12" style="141" customWidth="1"/>
    <col min="2507" max="2507" width="14.85546875" style="141" customWidth="1"/>
    <col min="2508" max="2508" width="22.42578125" style="141" customWidth="1"/>
    <col min="2509" max="2509" width="14.85546875" style="141" customWidth="1"/>
    <col min="2510" max="2510" width="7.140625" style="141" customWidth="1"/>
    <col min="2511" max="2511" width="20.140625" style="141" customWidth="1"/>
    <col min="2512" max="2743" width="8.85546875" style="141" customWidth="1"/>
    <col min="2744" max="2744" width="8.140625" style="141" customWidth="1"/>
    <col min="2745" max="2745" width="14.5703125" style="141" customWidth="1"/>
    <col min="2746" max="2746" width="37.42578125" style="141" customWidth="1"/>
    <col min="2747" max="2747" width="63.140625" style="141" customWidth="1"/>
    <col min="2748" max="2748" width="20" style="141" customWidth="1"/>
    <col min="2749" max="2749" width="11.140625" style="141" customWidth="1"/>
    <col min="2750" max="2750" width="10.85546875" style="141" customWidth="1"/>
    <col min="2751" max="2751" width="21" style="141" customWidth="1"/>
    <col min="2752" max="2752" width="10.85546875" style="141" customWidth="1"/>
    <col min="2753" max="2753" width="17.42578125" style="141" customWidth="1"/>
    <col min="2754" max="2754" width="14.85546875" style="141" customWidth="1"/>
    <col min="2755" max="2755" width="15" style="141" customWidth="1"/>
    <col min="2756" max="2756" width="14.85546875" style="141" customWidth="1"/>
    <col min="2757" max="2757" width="7.140625" style="141" customWidth="1"/>
    <col min="2758" max="2759" width="20.140625" style="141" customWidth="1"/>
    <col min="2760" max="2760" width="18.42578125" style="141" customWidth="1"/>
    <col min="2761" max="2761" width="9.140625" style="141" customWidth="1"/>
    <col min="2762" max="2762" width="12" style="141" customWidth="1"/>
    <col min="2763" max="2763" width="14.85546875" style="141" customWidth="1"/>
    <col min="2764" max="2764" width="22.42578125" style="141" customWidth="1"/>
    <col min="2765" max="2765" width="14.85546875" style="141" customWidth="1"/>
    <col min="2766" max="2766" width="7.140625" style="141" customWidth="1"/>
    <col min="2767" max="2767" width="20.140625" style="141" customWidth="1"/>
    <col min="2768" max="2999" width="8.85546875" style="141" customWidth="1"/>
    <col min="3000" max="3000" width="8.140625" style="141" customWidth="1"/>
    <col min="3001" max="3001" width="14.5703125" style="141" customWidth="1"/>
    <col min="3002" max="3002" width="37.42578125" style="141" customWidth="1"/>
    <col min="3003" max="3003" width="63.140625" style="141" customWidth="1"/>
    <col min="3004" max="3004" width="20" style="141" customWidth="1"/>
    <col min="3005" max="3005" width="11.140625" style="141" customWidth="1"/>
    <col min="3006" max="3006" width="10.85546875" style="141" customWidth="1"/>
    <col min="3007" max="3007" width="21" style="141" customWidth="1"/>
    <col min="3008" max="3008" width="10.85546875" style="141" customWidth="1"/>
    <col min="3009" max="3009" width="17.42578125" style="141" customWidth="1"/>
    <col min="3010" max="3010" width="14.85546875" style="141" customWidth="1"/>
    <col min="3011" max="3011" width="15" style="141" customWidth="1"/>
    <col min="3012" max="3012" width="14.85546875" style="141" customWidth="1"/>
    <col min="3013" max="3013" width="7.140625" style="141" customWidth="1"/>
    <col min="3014" max="3015" width="20.140625" style="141" customWidth="1"/>
    <col min="3016" max="3016" width="18.42578125" style="141" customWidth="1"/>
    <col min="3017" max="3017" width="9.140625" style="141" customWidth="1"/>
    <col min="3018" max="3018" width="12" style="141" customWidth="1"/>
    <col min="3019" max="3019" width="14.85546875" style="141" customWidth="1"/>
    <col min="3020" max="3020" width="22.42578125" style="141" customWidth="1"/>
    <col min="3021" max="3021" width="14.85546875" style="141" customWidth="1"/>
    <col min="3022" max="3022" width="7.140625" style="141" customWidth="1"/>
    <col min="3023" max="3023" width="20.140625" style="141" customWidth="1"/>
    <col min="3024" max="3255" width="8.85546875" style="141" customWidth="1"/>
    <col min="3256" max="3256" width="8.140625" style="141" customWidth="1"/>
    <col min="3257" max="3257" width="14.5703125" style="141" customWidth="1"/>
    <col min="3258" max="3258" width="37.42578125" style="141" customWidth="1"/>
    <col min="3259" max="3259" width="63.140625" style="141" customWidth="1"/>
    <col min="3260" max="3260" width="20" style="141" customWidth="1"/>
    <col min="3261" max="3261" width="11.140625" style="141" customWidth="1"/>
    <col min="3262" max="3262" width="10.85546875" style="141" customWidth="1"/>
    <col min="3263" max="3263" width="21" style="141" customWidth="1"/>
    <col min="3264" max="3264" width="10.85546875" style="141" customWidth="1"/>
    <col min="3265" max="3265" width="17.42578125" style="141" customWidth="1"/>
    <col min="3266" max="3266" width="14.85546875" style="141" customWidth="1"/>
    <col min="3267" max="3267" width="15" style="141" customWidth="1"/>
    <col min="3268" max="3268" width="14.85546875" style="141" customWidth="1"/>
    <col min="3269" max="3269" width="7.140625" style="141" customWidth="1"/>
    <col min="3270" max="3271" width="20.140625" style="141" customWidth="1"/>
    <col min="3272" max="3272" width="18.42578125" style="141" customWidth="1"/>
    <col min="3273" max="3273" width="9.140625" style="141" customWidth="1"/>
    <col min="3274" max="3274" width="12" style="141" customWidth="1"/>
    <col min="3275" max="3275" width="14.85546875" style="141" customWidth="1"/>
    <col min="3276" max="3276" width="22.42578125" style="141" customWidth="1"/>
    <col min="3277" max="3277" width="14.85546875" style="141" customWidth="1"/>
    <col min="3278" max="3278" width="7.140625" style="141" customWidth="1"/>
    <col min="3279" max="3279" width="20.140625" style="141" customWidth="1"/>
    <col min="3280" max="3511" width="8.85546875" style="141" customWidth="1"/>
    <col min="3512" max="3512" width="8.140625" style="141" customWidth="1"/>
    <col min="3513" max="3513" width="14.5703125" style="141" customWidth="1"/>
    <col min="3514" max="3514" width="37.42578125" style="141" customWidth="1"/>
    <col min="3515" max="3515" width="63.140625" style="141" customWidth="1"/>
    <col min="3516" max="3516" width="20" style="141" customWidth="1"/>
    <col min="3517" max="3517" width="11.140625" style="141" customWidth="1"/>
    <col min="3518" max="3518" width="10.85546875" style="141" customWidth="1"/>
    <col min="3519" max="3519" width="21" style="141" customWidth="1"/>
    <col min="3520" max="3520" width="10.85546875" style="141" customWidth="1"/>
    <col min="3521" max="3521" width="17.42578125" style="141" customWidth="1"/>
    <col min="3522" max="3522" width="14.85546875" style="141" customWidth="1"/>
    <col min="3523" max="3523" width="15" style="141" customWidth="1"/>
    <col min="3524" max="3524" width="14.85546875" style="141" customWidth="1"/>
    <col min="3525" max="3525" width="7.140625" style="141" customWidth="1"/>
    <col min="3526" max="3527" width="20.140625" style="141" customWidth="1"/>
    <col min="3528" max="3528" width="18.42578125" style="141" customWidth="1"/>
    <col min="3529" max="3529" width="9.140625" style="141" customWidth="1"/>
    <col min="3530" max="3530" width="12" style="141" customWidth="1"/>
    <col min="3531" max="3531" width="14.85546875" style="141" customWidth="1"/>
    <col min="3532" max="3532" width="22.42578125" style="141" customWidth="1"/>
    <col min="3533" max="3533" width="14.85546875" style="141" customWidth="1"/>
    <col min="3534" max="3534" width="7.140625" style="141" customWidth="1"/>
    <col min="3535" max="3535" width="20.140625" style="141" customWidth="1"/>
    <col min="3536" max="3767" width="8.85546875" style="141" customWidth="1"/>
    <col min="3768" max="3768" width="8.140625" style="141" customWidth="1"/>
    <col min="3769" max="3769" width="14.5703125" style="141" customWidth="1"/>
    <col min="3770" max="3770" width="37.42578125" style="141" customWidth="1"/>
    <col min="3771" max="3771" width="63.140625" style="141" customWidth="1"/>
    <col min="3772" max="3772" width="20" style="141" customWidth="1"/>
    <col min="3773" max="3773" width="11.140625" style="141" customWidth="1"/>
    <col min="3774" max="3774" width="10.85546875" style="141" customWidth="1"/>
    <col min="3775" max="3775" width="21" style="141" customWidth="1"/>
    <col min="3776" max="3776" width="10.85546875" style="141" customWidth="1"/>
    <col min="3777" max="3777" width="17.42578125" style="141" customWidth="1"/>
    <col min="3778" max="3778" width="14.85546875" style="141" customWidth="1"/>
    <col min="3779" max="3779" width="15" style="141" customWidth="1"/>
    <col min="3780" max="3780" width="14.85546875" style="141" customWidth="1"/>
    <col min="3781" max="3781" width="7.140625" style="141" customWidth="1"/>
    <col min="3782" max="3783" width="20.140625" style="141" customWidth="1"/>
    <col min="3784" max="3784" width="18.42578125" style="141" customWidth="1"/>
    <col min="3785" max="3785" width="9.140625" style="141" customWidth="1"/>
    <col min="3786" max="3786" width="12" style="141" customWidth="1"/>
    <col min="3787" max="3787" width="14.85546875" style="141" customWidth="1"/>
    <col min="3788" max="3788" width="22.42578125" style="141" customWidth="1"/>
    <col min="3789" max="3789" width="14.85546875" style="141" customWidth="1"/>
    <col min="3790" max="3790" width="7.140625" style="141" customWidth="1"/>
    <col min="3791" max="3791" width="20.140625" style="141" customWidth="1"/>
    <col min="3792" max="4023" width="8.85546875" style="141" customWidth="1"/>
    <col min="4024" max="4024" width="8.140625" style="141" customWidth="1"/>
    <col min="4025" max="4025" width="14.5703125" style="141" customWidth="1"/>
    <col min="4026" max="4026" width="37.42578125" style="141" customWidth="1"/>
    <col min="4027" max="4027" width="63.140625" style="141" customWidth="1"/>
    <col min="4028" max="4028" width="20" style="141" customWidth="1"/>
    <col min="4029" max="4029" width="11.140625" style="141" customWidth="1"/>
    <col min="4030" max="4030" width="10.85546875" style="141" customWidth="1"/>
    <col min="4031" max="4031" width="21" style="141" customWidth="1"/>
    <col min="4032" max="4032" width="10.85546875" style="141" customWidth="1"/>
    <col min="4033" max="4033" width="17.42578125" style="141" customWidth="1"/>
    <col min="4034" max="4034" width="14.85546875" style="141" customWidth="1"/>
    <col min="4035" max="4035" width="15" style="141" customWidth="1"/>
    <col min="4036" max="4036" width="14.85546875" style="141" customWidth="1"/>
    <col min="4037" max="4037" width="7.140625" style="141" customWidth="1"/>
    <col min="4038" max="4039" width="20.140625" style="141" customWidth="1"/>
    <col min="4040" max="4040" width="18.42578125" style="141" customWidth="1"/>
    <col min="4041" max="4041" width="9.140625" style="141" customWidth="1"/>
    <col min="4042" max="4042" width="12" style="141" customWidth="1"/>
    <col min="4043" max="4043" width="14.85546875" style="141" customWidth="1"/>
    <col min="4044" max="4044" width="22.42578125" style="141" customWidth="1"/>
    <col min="4045" max="4045" width="14.85546875" style="141" customWidth="1"/>
    <col min="4046" max="4046" width="7.140625" style="141" customWidth="1"/>
    <col min="4047" max="4047" width="20.140625" style="141" customWidth="1"/>
    <col min="4048" max="4279" width="8.85546875" style="141" customWidth="1"/>
    <col min="4280" max="4280" width="8.140625" style="141" customWidth="1"/>
    <col min="4281" max="4281" width="14.5703125" style="141" customWidth="1"/>
    <col min="4282" max="4282" width="37.42578125" style="141" customWidth="1"/>
    <col min="4283" max="4283" width="63.140625" style="141" customWidth="1"/>
    <col min="4284" max="4284" width="20" style="141" customWidth="1"/>
    <col min="4285" max="4285" width="11.140625" style="141" customWidth="1"/>
    <col min="4286" max="4286" width="10.85546875" style="141" customWidth="1"/>
    <col min="4287" max="4287" width="21" style="141" customWidth="1"/>
    <col min="4288" max="4288" width="10.85546875" style="141" customWidth="1"/>
    <col min="4289" max="4289" width="17.42578125" style="141" customWidth="1"/>
    <col min="4290" max="4290" width="14.85546875" style="141" customWidth="1"/>
    <col min="4291" max="4291" width="15" style="141" customWidth="1"/>
    <col min="4292" max="4292" width="14.85546875" style="141" customWidth="1"/>
    <col min="4293" max="4293" width="7.140625" style="141" customWidth="1"/>
    <col min="4294" max="4295" width="20.140625" style="141" customWidth="1"/>
    <col min="4296" max="4296" width="18.42578125" style="141" customWidth="1"/>
    <col min="4297" max="4297" width="9.140625" style="141" customWidth="1"/>
    <col min="4298" max="4298" width="12" style="141" customWidth="1"/>
    <col min="4299" max="4299" width="14.85546875" style="141" customWidth="1"/>
    <col min="4300" max="4300" width="22.42578125" style="141" customWidth="1"/>
    <col min="4301" max="4301" width="14.85546875" style="141" customWidth="1"/>
    <col min="4302" max="4302" width="7.140625" style="141" customWidth="1"/>
    <col min="4303" max="4303" width="20.140625" style="141" customWidth="1"/>
    <col min="4304" max="4535" width="8.85546875" style="141" customWidth="1"/>
    <col min="4536" max="4536" width="8.140625" style="141" customWidth="1"/>
    <col min="4537" max="4537" width="14.5703125" style="141" customWidth="1"/>
    <col min="4538" max="4538" width="37.42578125" style="141" customWidth="1"/>
    <col min="4539" max="4539" width="63.140625" style="141" customWidth="1"/>
    <col min="4540" max="4540" width="20" style="141" customWidth="1"/>
    <col min="4541" max="4541" width="11.140625" style="141" customWidth="1"/>
    <col min="4542" max="4542" width="10.85546875" style="141" customWidth="1"/>
    <col min="4543" max="4543" width="21" style="141" customWidth="1"/>
    <col min="4544" max="4544" width="10.85546875" style="141" customWidth="1"/>
    <col min="4545" max="4545" width="17.42578125" style="141" customWidth="1"/>
    <col min="4546" max="4546" width="14.85546875" style="141" customWidth="1"/>
    <col min="4547" max="4547" width="15" style="141" customWidth="1"/>
    <col min="4548" max="4548" width="14.85546875" style="141" customWidth="1"/>
    <col min="4549" max="4549" width="7.140625" style="141" customWidth="1"/>
    <col min="4550" max="4551" width="20.140625" style="141" customWidth="1"/>
    <col min="4552" max="4552" width="18.42578125" style="141" customWidth="1"/>
    <col min="4553" max="4553" width="9.140625" style="141" customWidth="1"/>
    <col min="4554" max="4554" width="12" style="141" customWidth="1"/>
    <col min="4555" max="4555" width="14.85546875" style="141" customWidth="1"/>
    <col min="4556" max="4556" width="22.42578125" style="141" customWidth="1"/>
    <col min="4557" max="4557" width="14.85546875" style="141" customWidth="1"/>
    <col min="4558" max="4558" width="7.140625" style="141" customWidth="1"/>
    <col min="4559" max="4559" width="20.140625" style="141" customWidth="1"/>
    <col min="4560" max="4791" width="8.85546875" style="141" customWidth="1"/>
    <col min="4792" max="4792" width="8.140625" style="141" customWidth="1"/>
    <col min="4793" max="4793" width="14.5703125" style="141" customWidth="1"/>
    <col min="4794" max="4794" width="37.42578125" style="141" customWidth="1"/>
    <col min="4795" max="4795" width="63.140625" style="141" customWidth="1"/>
    <col min="4796" max="4796" width="20" style="141" customWidth="1"/>
    <col min="4797" max="4797" width="11.140625" style="141" customWidth="1"/>
    <col min="4798" max="4798" width="10.85546875" style="141" customWidth="1"/>
    <col min="4799" max="4799" width="21" style="141" customWidth="1"/>
    <col min="4800" max="4800" width="10.85546875" style="141" customWidth="1"/>
    <col min="4801" max="4801" width="17.42578125" style="141" customWidth="1"/>
    <col min="4802" max="4802" width="14.85546875" style="141" customWidth="1"/>
    <col min="4803" max="4803" width="15" style="141" customWidth="1"/>
    <col min="4804" max="4804" width="14.85546875" style="141" customWidth="1"/>
    <col min="4805" max="4805" width="7.140625" style="141" customWidth="1"/>
    <col min="4806" max="4807" width="20.140625" style="141" customWidth="1"/>
    <col min="4808" max="4808" width="18.42578125" style="141" customWidth="1"/>
    <col min="4809" max="4809" width="9.140625" style="141" customWidth="1"/>
    <col min="4810" max="4810" width="12" style="141" customWidth="1"/>
    <col min="4811" max="4811" width="14.85546875" style="141" customWidth="1"/>
    <col min="4812" max="4812" width="22.42578125" style="141" customWidth="1"/>
    <col min="4813" max="4813" width="14.85546875" style="141" customWidth="1"/>
    <col min="4814" max="4814" width="7.140625" style="141" customWidth="1"/>
    <col min="4815" max="4815" width="20.140625" style="141" customWidth="1"/>
    <col min="4816" max="5047" width="8.85546875" style="141" customWidth="1"/>
    <col min="5048" max="5048" width="8.140625" style="141" customWidth="1"/>
    <col min="5049" max="5049" width="14.5703125" style="141" customWidth="1"/>
    <col min="5050" max="5050" width="37.42578125" style="141" customWidth="1"/>
    <col min="5051" max="5051" width="63.140625" style="141" customWidth="1"/>
    <col min="5052" max="5052" width="20" style="141" customWidth="1"/>
    <col min="5053" max="5053" width="11.140625" style="141" customWidth="1"/>
    <col min="5054" max="5054" width="10.85546875" style="141" customWidth="1"/>
    <col min="5055" max="5055" width="21" style="141" customWidth="1"/>
    <col min="5056" max="5056" width="10.85546875" style="141" customWidth="1"/>
    <col min="5057" max="5057" width="17.42578125" style="141" customWidth="1"/>
    <col min="5058" max="5058" width="14.85546875" style="141" customWidth="1"/>
    <col min="5059" max="5059" width="15" style="141" customWidth="1"/>
    <col min="5060" max="5060" width="14.85546875" style="141" customWidth="1"/>
    <col min="5061" max="5061" width="7.140625" style="141" customWidth="1"/>
    <col min="5062" max="5063" width="20.140625" style="141" customWidth="1"/>
    <col min="5064" max="5064" width="18.42578125" style="141" customWidth="1"/>
    <col min="5065" max="5065" width="9.140625" style="141" customWidth="1"/>
    <col min="5066" max="5066" width="12" style="141" customWidth="1"/>
    <col min="5067" max="5067" width="14.85546875" style="141" customWidth="1"/>
    <col min="5068" max="5068" width="22.42578125" style="141" customWidth="1"/>
    <col min="5069" max="5069" width="14.85546875" style="141" customWidth="1"/>
    <col min="5070" max="5070" width="7.140625" style="141" customWidth="1"/>
    <col min="5071" max="5071" width="20.140625" style="141" customWidth="1"/>
    <col min="5072" max="5303" width="8.85546875" style="141" customWidth="1"/>
    <col min="5304" max="5304" width="8.140625" style="141" customWidth="1"/>
    <col min="5305" max="5305" width="14.5703125" style="141" customWidth="1"/>
    <col min="5306" max="5306" width="37.42578125" style="141" customWidth="1"/>
    <col min="5307" max="5307" width="63.140625" style="141" customWidth="1"/>
    <col min="5308" max="5308" width="20" style="141" customWidth="1"/>
    <col min="5309" max="5309" width="11.140625" style="141" customWidth="1"/>
    <col min="5310" max="5310" width="10.85546875" style="141" customWidth="1"/>
    <col min="5311" max="5311" width="21" style="141" customWidth="1"/>
    <col min="5312" max="5312" width="10.85546875" style="141" customWidth="1"/>
    <col min="5313" max="5313" width="17.42578125" style="141" customWidth="1"/>
    <col min="5314" max="5314" width="14.85546875" style="141" customWidth="1"/>
    <col min="5315" max="5315" width="15" style="141" customWidth="1"/>
    <col min="5316" max="5316" width="14.85546875" style="141" customWidth="1"/>
    <col min="5317" max="5317" width="7.140625" style="141" customWidth="1"/>
    <col min="5318" max="5319" width="20.140625" style="141" customWidth="1"/>
    <col min="5320" max="5320" width="18.42578125" style="141" customWidth="1"/>
    <col min="5321" max="5321" width="9.140625" style="141" customWidth="1"/>
    <col min="5322" max="5322" width="12" style="141" customWidth="1"/>
    <col min="5323" max="5323" width="14.85546875" style="141" customWidth="1"/>
    <col min="5324" max="5324" width="22.42578125" style="141" customWidth="1"/>
    <col min="5325" max="5325" width="14.85546875" style="141" customWidth="1"/>
    <col min="5326" max="5326" width="7.140625" style="141" customWidth="1"/>
    <col min="5327" max="5327" width="20.140625" style="141" customWidth="1"/>
    <col min="5328" max="5559" width="8.85546875" style="141" customWidth="1"/>
    <col min="5560" max="5560" width="8.140625" style="141" customWidth="1"/>
    <col min="5561" max="5561" width="14.5703125" style="141" customWidth="1"/>
    <col min="5562" max="5562" width="37.42578125" style="141" customWidth="1"/>
    <col min="5563" max="5563" width="63.140625" style="141" customWidth="1"/>
    <col min="5564" max="5564" width="20" style="141" customWidth="1"/>
    <col min="5565" max="5565" width="11.140625" style="141" customWidth="1"/>
    <col min="5566" max="5566" width="10.85546875" style="141" customWidth="1"/>
    <col min="5567" max="5567" width="21" style="141" customWidth="1"/>
    <col min="5568" max="5568" width="10.85546875" style="141" customWidth="1"/>
    <col min="5569" max="5569" width="17.42578125" style="141" customWidth="1"/>
    <col min="5570" max="5570" width="14.85546875" style="141" customWidth="1"/>
    <col min="5571" max="5571" width="15" style="141" customWidth="1"/>
    <col min="5572" max="5572" width="14.85546875" style="141" customWidth="1"/>
    <col min="5573" max="5573" width="7.140625" style="141" customWidth="1"/>
    <col min="5574" max="5575" width="20.140625" style="141" customWidth="1"/>
    <col min="5576" max="5576" width="18.42578125" style="141" customWidth="1"/>
    <col min="5577" max="5577" width="9.140625" style="141" customWidth="1"/>
    <col min="5578" max="5578" width="12" style="141" customWidth="1"/>
    <col min="5579" max="5579" width="14.85546875" style="141" customWidth="1"/>
    <col min="5580" max="5580" width="22.42578125" style="141" customWidth="1"/>
    <col min="5581" max="5581" width="14.85546875" style="141" customWidth="1"/>
    <col min="5582" max="5582" width="7.140625" style="141" customWidth="1"/>
    <col min="5583" max="5583" width="20.140625" style="141" customWidth="1"/>
    <col min="5584" max="5815" width="8.85546875" style="141" customWidth="1"/>
    <col min="5816" max="5816" width="8.140625" style="141" customWidth="1"/>
    <col min="5817" max="5817" width="14.5703125" style="141" customWidth="1"/>
    <col min="5818" max="5818" width="37.42578125" style="141" customWidth="1"/>
    <col min="5819" max="5819" width="63.140625" style="141" customWidth="1"/>
    <col min="5820" max="5820" width="20" style="141" customWidth="1"/>
    <col min="5821" max="5821" width="11.140625" style="141" customWidth="1"/>
    <col min="5822" max="5822" width="10.85546875" style="141" customWidth="1"/>
    <col min="5823" max="5823" width="21" style="141" customWidth="1"/>
    <col min="5824" max="5824" width="10.85546875" style="141" customWidth="1"/>
    <col min="5825" max="5825" width="17.42578125" style="141" customWidth="1"/>
    <col min="5826" max="5826" width="14.85546875" style="141" customWidth="1"/>
    <col min="5827" max="5827" width="15" style="141" customWidth="1"/>
    <col min="5828" max="5828" width="14.85546875" style="141" customWidth="1"/>
    <col min="5829" max="5829" width="7.140625" style="141" customWidth="1"/>
    <col min="5830" max="5831" width="20.140625" style="141" customWidth="1"/>
    <col min="5832" max="5832" width="18.42578125" style="141" customWidth="1"/>
    <col min="5833" max="5833" width="9.140625" style="141" customWidth="1"/>
    <col min="5834" max="5834" width="12" style="141" customWidth="1"/>
    <col min="5835" max="5835" width="14.85546875" style="141" customWidth="1"/>
    <col min="5836" max="5836" width="22.42578125" style="141" customWidth="1"/>
    <col min="5837" max="5837" width="14.85546875" style="141" customWidth="1"/>
    <col min="5838" max="5838" width="7.140625" style="141" customWidth="1"/>
    <col min="5839" max="5839" width="20.140625" style="141" customWidth="1"/>
    <col min="5840" max="6071" width="8.85546875" style="141" customWidth="1"/>
    <col min="6072" max="6072" width="8.140625" style="141" customWidth="1"/>
    <col min="6073" max="6073" width="14.5703125" style="141" customWidth="1"/>
    <col min="6074" max="6074" width="37.42578125" style="141" customWidth="1"/>
    <col min="6075" max="6075" width="63.140625" style="141" customWidth="1"/>
    <col min="6076" max="6076" width="20" style="141" customWidth="1"/>
    <col min="6077" max="6077" width="11.140625" style="141" customWidth="1"/>
    <col min="6078" max="6078" width="10.85546875" style="141" customWidth="1"/>
    <col min="6079" max="6079" width="21" style="141" customWidth="1"/>
    <col min="6080" max="6080" width="10.85546875" style="141" customWidth="1"/>
    <col min="6081" max="6081" width="17.42578125" style="141" customWidth="1"/>
    <col min="6082" max="6082" width="14.85546875" style="141" customWidth="1"/>
    <col min="6083" max="6083" width="15" style="141" customWidth="1"/>
    <col min="6084" max="6084" width="14.85546875" style="141" customWidth="1"/>
    <col min="6085" max="6085" width="7.140625" style="141" customWidth="1"/>
    <col min="6086" max="6087" width="20.140625" style="141" customWidth="1"/>
    <col min="6088" max="6088" width="18.42578125" style="141" customWidth="1"/>
    <col min="6089" max="6089" width="9.140625" style="141" customWidth="1"/>
    <col min="6090" max="6090" width="12" style="141" customWidth="1"/>
    <col min="6091" max="6091" width="14.85546875" style="141" customWidth="1"/>
    <col min="6092" max="6092" width="22.42578125" style="141" customWidth="1"/>
    <col min="6093" max="6093" width="14.85546875" style="141" customWidth="1"/>
    <col min="6094" max="6094" width="7.140625" style="141" customWidth="1"/>
    <col min="6095" max="6095" width="20.140625" style="141" customWidth="1"/>
    <col min="6096" max="6327" width="8.85546875" style="141" customWidth="1"/>
    <col min="6328" max="6328" width="8.140625" style="141" customWidth="1"/>
    <col min="6329" max="6329" width="14.5703125" style="141" customWidth="1"/>
    <col min="6330" max="6330" width="37.42578125" style="141" customWidth="1"/>
    <col min="6331" max="6331" width="63.140625" style="141" customWidth="1"/>
    <col min="6332" max="6332" width="20" style="141" customWidth="1"/>
    <col min="6333" max="6333" width="11.140625" style="141" customWidth="1"/>
    <col min="6334" max="6334" width="10.85546875" style="141" customWidth="1"/>
    <col min="6335" max="6335" width="21" style="141" customWidth="1"/>
    <col min="6336" max="6336" width="10.85546875" style="141" customWidth="1"/>
    <col min="6337" max="6337" width="17.42578125" style="141" customWidth="1"/>
    <col min="6338" max="6338" width="14.85546875" style="141" customWidth="1"/>
    <col min="6339" max="6339" width="15" style="141" customWidth="1"/>
    <col min="6340" max="6340" width="14.85546875" style="141" customWidth="1"/>
    <col min="6341" max="6341" width="7.140625" style="141" customWidth="1"/>
    <col min="6342" max="6343" width="20.140625" style="141" customWidth="1"/>
    <col min="6344" max="6344" width="18.42578125" style="141" customWidth="1"/>
    <col min="6345" max="6345" width="9.140625" style="141" customWidth="1"/>
    <col min="6346" max="6346" width="12" style="141" customWidth="1"/>
    <col min="6347" max="6347" width="14.85546875" style="141" customWidth="1"/>
    <col min="6348" max="6348" width="22.42578125" style="141" customWidth="1"/>
    <col min="6349" max="6349" width="14.85546875" style="141" customWidth="1"/>
    <col min="6350" max="6350" width="7.140625" style="141" customWidth="1"/>
    <col min="6351" max="6351" width="20.140625" style="141" customWidth="1"/>
    <col min="6352" max="6583" width="8.85546875" style="141" customWidth="1"/>
    <col min="6584" max="6584" width="8.140625" style="141" customWidth="1"/>
    <col min="6585" max="6585" width="14.5703125" style="141" customWidth="1"/>
    <col min="6586" max="6586" width="37.42578125" style="141" customWidth="1"/>
    <col min="6587" max="6587" width="63.140625" style="141" customWidth="1"/>
    <col min="6588" max="6588" width="20" style="141" customWidth="1"/>
    <col min="6589" max="6589" width="11.140625" style="141" customWidth="1"/>
    <col min="6590" max="6590" width="10.85546875" style="141" customWidth="1"/>
    <col min="6591" max="6591" width="21" style="141" customWidth="1"/>
    <col min="6592" max="6592" width="10.85546875" style="141" customWidth="1"/>
    <col min="6593" max="6593" width="17.42578125" style="141" customWidth="1"/>
    <col min="6594" max="6594" width="14.85546875" style="141" customWidth="1"/>
    <col min="6595" max="6595" width="15" style="141" customWidth="1"/>
    <col min="6596" max="6596" width="14.85546875" style="141" customWidth="1"/>
    <col min="6597" max="6597" width="7.140625" style="141" customWidth="1"/>
    <col min="6598" max="6599" width="20.140625" style="141" customWidth="1"/>
    <col min="6600" max="6600" width="18.42578125" style="141" customWidth="1"/>
    <col min="6601" max="6601" width="9.140625" style="141" customWidth="1"/>
    <col min="6602" max="6602" width="12" style="141" customWidth="1"/>
    <col min="6603" max="6603" width="14.85546875" style="141" customWidth="1"/>
    <col min="6604" max="6604" width="22.42578125" style="141" customWidth="1"/>
    <col min="6605" max="6605" width="14.85546875" style="141" customWidth="1"/>
    <col min="6606" max="6606" width="7.140625" style="141" customWidth="1"/>
    <col min="6607" max="6607" width="20.140625" style="141" customWidth="1"/>
    <col min="6608" max="6839" width="8.85546875" style="141" customWidth="1"/>
    <col min="6840" max="6840" width="8.140625" style="141" customWidth="1"/>
    <col min="6841" max="6841" width="14.5703125" style="141" customWidth="1"/>
    <col min="6842" max="6842" width="37.42578125" style="141" customWidth="1"/>
    <col min="6843" max="6843" width="63.140625" style="141" customWidth="1"/>
    <col min="6844" max="6844" width="20" style="141" customWidth="1"/>
    <col min="6845" max="6845" width="11.140625" style="141" customWidth="1"/>
    <col min="6846" max="6846" width="10.85546875" style="141" customWidth="1"/>
    <col min="6847" max="6847" width="21" style="141" customWidth="1"/>
    <col min="6848" max="6848" width="10.85546875" style="141" customWidth="1"/>
    <col min="6849" max="6849" width="17.42578125" style="141" customWidth="1"/>
    <col min="6850" max="6850" width="14.85546875" style="141" customWidth="1"/>
    <col min="6851" max="6851" width="15" style="141" customWidth="1"/>
    <col min="6852" max="6852" width="14.85546875" style="141" customWidth="1"/>
    <col min="6853" max="6853" width="7.140625" style="141" customWidth="1"/>
    <col min="6854" max="6855" width="20.140625" style="141" customWidth="1"/>
    <col min="6856" max="6856" width="18.42578125" style="141" customWidth="1"/>
    <col min="6857" max="6857" width="9.140625" style="141" customWidth="1"/>
    <col min="6858" max="6858" width="12" style="141" customWidth="1"/>
    <col min="6859" max="6859" width="14.85546875" style="141" customWidth="1"/>
    <col min="6860" max="6860" width="22.42578125" style="141" customWidth="1"/>
    <col min="6861" max="6861" width="14.85546875" style="141" customWidth="1"/>
    <col min="6862" max="6862" width="7.140625" style="141" customWidth="1"/>
    <col min="6863" max="6863" width="20.140625" style="141" customWidth="1"/>
    <col min="6864" max="7095" width="8.85546875" style="141" customWidth="1"/>
    <col min="7096" max="7096" width="8.140625" style="141" customWidth="1"/>
    <col min="7097" max="7097" width="14.5703125" style="141" customWidth="1"/>
    <col min="7098" max="7098" width="37.42578125" style="141" customWidth="1"/>
    <col min="7099" max="7099" width="63.140625" style="141" customWidth="1"/>
    <col min="7100" max="7100" width="20" style="141" customWidth="1"/>
    <col min="7101" max="7101" width="11.140625" style="141" customWidth="1"/>
    <col min="7102" max="7102" width="10.85546875" style="141" customWidth="1"/>
    <col min="7103" max="7103" width="21" style="141" customWidth="1"/>
    <col min="7104" max="7104" width="10.85546875" style="141" customWidth="1"/>
    <col min="7105" max="7105" width="17.42578125" style="141" customWidth="1"/>
    <col min="7106" max="7106" width="14.85546875" style="141" customWidth="1"/>
    <col min="7107" max="7107" width="15" style="141" customWidth="1"/>
    <col min="7108" max="7108" width="14.85546875" style="141" customWidth="1"/>
    <col min="7109" max="7109" width="7.140625" style="141" customWidth="1"/>
    <col min="7110" max="7111" width="20.140625" style="141" customWidth="1"/>
    <col min="7112" max="7112" width="18.42578125" style="141" customWidth="1"/>
    <col min="7113" max="7113" width="9.140625" style="141" customWidth="1"/>
    <col min="7114" max="7114" width="12" style="141" customWidth="1"/>
    <col min="7115" max="7115" width="14.85546875" style="141" customWidth="1"/>
    <col min="7116" max="7116" width="22.42578125" style="141" customWidth="1"/>
    <col min="7117" max="7117" width="14.85546875" style="141" customWidth="1"/>
    <col min="7118" max="7118" width="7.140625" style="141" customWidth="1"/>
    <col min="7119" max="7119" width="20.140625" style="141" customWidth="1"/>
    <col min="7120" max="7351" width="8.85546875" style="141" customWidth="1"/>
    <col min="7352" max="7352" width="8.140625" style="141" customWidth="1"/>
    <col min="7353" max="7353" width="14.5703125" style="141" customWidth="1"/>
    <col min="7354" max="7354" width="37.42578125" style="141" customWidth="1"/>
    <col min="7355" max="7355" width="63.140625" style="141" customWidth="1"/>
    <col min="7356" max="7356" width="20" style="141" customWidth="1"/>
    <col min="7357" max="7357" width="11.140625" style="141" customWidth="1"/>
    <col min="7358" max="7358" width="10.85546875" style="141" customWidth="1"/>
    <col min="7359" max="7359" width="21" style="141" customWidth="1"/>
    <col min="7360" max="7360" width="10.85546875" style="141" customWidth="1"/>
    <col min="7361" max="7361" width="17.42578125" style="141" customWidth="1"/>
    <col min="7362" max="7362" width="14.85546875" style="141" customWidth="1"/>
    <col min="7363" max="7363" width="15" style="141" customWidth="1"/>
    <col min="7364" max="7364" width="14.85546875" style="141" customWidth="1"/>
    <col min="7365" max="7365" width="7.140625" style="141" customWidth="1"/>
    <col min="7366" max="7367" width="20.140625" style="141" customWidth="1"/>
    <col min="7368" max="7368" width="18.42578125" style="141" customWidth="1"/>
    <col min="7369" max="7369" width="9.140625" style="141" customWidth="1"/>
    <col min="7370" max="7370" width="12" style="141" customWidth="1"/>
    <col min="7371" max="7371" width="14.85546875" style="141" customWidth="1"/>
    <col min="7372" max="7372" width="22.42578125" style="141" customWidth="1"/>
    <col min="7373" max="7373" width="14.85546875" style="141" customWidth="1"/>
    <col min="7374" max="7374" width="7.140625" style="141" customWidth="1"/>
    <col min="7375" max="7375" width="20.140625" style="141" customWidth="1"/>
    <col min="7376" max="7607" width="8.85546875" style="141" customWidth="1"/>
    <col min="7608" max="7608" width="8.140625" style="141" customWidth="1"/>
    <col min="7609" max="7609" width="14.5703125" style="141" customWidth="1"/>
    <col min="7610" max="7610" width="37.42578125" style="141" customWidth="1"/>
    <col min="7611" max="7611" width="63.140625" style="141" customWidth="1"/>
    <col min="7612" max="7612" width="20" style="141" customWidth="1"/>
    <col min="7613" max="7613" width="11.140625" style="141" customWidth="1"/>
    <col min="7614" max="7614" width="10.85546875" style="141" customWidth="1"/>
    <col min="7615" max="7615" width="21" style="141" customWidth="1"/>
    <col min="7616" max="7616" width="10.85546875" style="141" customWidth="1"/>
    <col min="7617" max="7617" width="17.42578125" style="141" customWidth="1"/>
    <col min="7618" max="7618" width="14.85546875" style="141" customWidth="1"/>
    <col min="7619" max="7619" width="15" style="141" customWidth="1"/>
    <col min="7620" max="7620" width="14.85546875" style="141" customWidth="1"/>
    <col min="7621" max="7621" width="7.140625" style="141" customWidth="1"/>
    <col min="7622" max="7623" width="20.140625" style="141" customWidth="1"/>
    <col min="7624" max="7624" width="18.42578125" style="141" customWidth="1"/>
    <col min="7625" max="7625" width="9.140625" style="141" customWidth="1"/>
    <col min="7626" max="7626" width="12" style="141" customWidth="1"/>
    <col min="7627" max="7627" width="14.85546875" style="141" customWidth="1"/>
    <col min="7628" max="7628" width="22.42578125" style="141" customWidth="1"/>
    <col min="7629" max="7629" width="14.85546875" style="141" customWidth="1"/>
    <col min="7630" max="7630" width="7.140625" style="141" customWidth="1"/>
    <col min="7631" max="7631" width="20.140625" style="141" customWidth="1"/>
    <col min="7632" max="7863" width="8.85546875" style="141" customWidth="1"/>
    <col min="7864" max="7864" width="8.140625" style="141" customWidth="1"/>
    <col min="7865" max="7865" width="14.5703125" style="141" customWidth="1"/>
    <col min="7866" max="7866" width="37.42578125" style="141" customWidth="1"/>
    <col min="7867" max="7867" width="63.140625" style="141" customWidth="1"/>
    <col min="7868" max="7868" width="20" style="141" customWidth="1"/>
    <col min="7869" max="7869" width="11.140625" style="141" customWidth="1"/>
    <col min="7870" max="7870" width="10.85546875" style="141" customWidth="1"/>
    <col min="7871" max="7871" width="21" style="141" customWidth="1"/>
    <col min="7872" max="7872" width="10.85546875" style="141" customWidth="1"/>
    <col min="7873" max="7873" width="17.42578125" style="141" customWidth="1"/>
    <col min="7874" max="7874" width="14.85546875" style="141" customWidth="1"/>
    <col min="7875" max="7875" width="15" style="141" customWidth="1"/>
    <col min="7876" max="7876" width="14.85546875" style="141" customWidth="1"/>
    <col min="7877" max="7877" width="7.140625" style="141" customWidth="1"/>
    <col min="7878" max="7879" width="20.140625" style="141" customWidth="1"/>
    <col min="7880" max="7880" width="18.42578125" style="141" customWidth="1"/>
    <col min="7881" max="7881" width="9.140625" style="141" customWidth="1"/>
    <col min="7882" max="7882" width="12" style="141" customWidth="1"/>
    <col min="7883" max="7883" width="14.85546875" style="141" customWidth="1"/>
    <col min="7884" max="7884" width="22.42578125" style="141" customWidth="1"/>
    <col min="7885" max="7885" width="14.85546875" style="141" customWidth="1"/>
    <col min="7886" max="7886" width="7.140625" style="141" customWidth="1"/>
    <col min="7887" max="7887" width="20.140625" style="141" customWidth="1"/>
    <col min="7888" max="8119" width="8.85546875" style="141" customWidth="1"/>
    <col min="8120" max="8120" width="8.140625" style="141" customWidth="1"/>
    <col min="8121" max="8121" width="14.5703125" style="141" customWidth="1"/>
    <col min="8122" max="8122" width="37.42578125" style="141" customWidth="1"/>
    <col min="8123" max="8123" width="63.140625" style="141" customWidth="1"/>
    <col min="8124" max="8124" width="20" style="141" customWidth="1"/>
    <col min="8125" max="8125" width="11.140625" style="141" customWidth="1"/>
    <col min="8126" max="8126" width="10.85546875" style="141" customWidth="1"/>
    <col min="8127" max="8127" width="21" style="141" customWidth="1"/>
    <col min="8128" max="8128" width="10.85546875" style="141" customWidth="1"/>
    <col min="8129" max="8129" width="17.42578125" style="141" customWidth="1"/>
    <col min="8130" max="8130" width="14.85546875" style="141" customWidth="1"/>
    <col min="8131" max="8131" width="15" style="141" customWidth="1"/>
    <col min="8132" max="8132" width="14.85546875" style="141" customWidth="1"/>
    <col min="8133" max="8133" width="7.140625" style="141" customWidth="1"/>
    <col min="8134" max="8135" width="20.140625" style="141" customWidth="1"/>
    <col min="8136" max="8136" width="18.42578125" style="141" customWidth="1"/>
    <col min="8137" max="8137" width="9.140625" style="141" customWidth="1"/>
    <col min="8138" max="8138" width="12" style="141" customWidth="1"/>
    <col min="8139" max="8139" width="14.85546875" style="141" customWidth="1"/>
    <col min="8140" max="8140" width="22.42578125" style="141" customWidth="1"/>
    <col min="8141" max="8141" width="14.85546875" style="141" customWidth="1"/>
    <col min="8142" max="8142" width="7.140625" style="141" customWidth="1"/>
    <col min="8143" max="8143" width="20.140625" style="141" customWidth="1"/>
    <col min="8144" max="8375" width="8.85546875" style="141" customWidth="1"/>
    <col min="8376" max="8376" width="8.140625" style="141" customWidth="1"/>
    <col min="8377" max="8377" width="14.5703125" style="141" customWidth="1"/>
    <col min="8378" max="8378" width="37.42578125" style="141" customWidth="1"/>
    <col min="8379" max="8379" width="63.140625" style="141" customWidth="1"/>
    <col min="8380" max="8380" width="20" style="141" customWidth="1"/>
    <col min="8381" max="8381" width="11.140625" style="141" customWidth="1"/>
    <col min="8382" max="8382" width="10.85546875" style="141" customWidth="1"/>
    <col min="8383" max="8383" width="21" style="141" customWidth="1"/>
    <col min="8384" max="8384" width="10.85546875" style="141" customWidth="1"/>
    <col min="8385" max="8385" width="17.42578125" style="141" customWidth="1"/>
    <col min="8386" max="8386" width="14.85546875" style="141" customWidth="1"/>
    <col min="8387" max="8387" width="15" style="141" customWidth="1"/>
    <col min="8388" max="8388" width="14.85546875" style="141" customWidth="1"/>
    <col min="8389" max="8389" width="7.140625" style="141" customWidth="1"/>
    <col min="8390" max="8391" width="20.140625" style="141" customWidth="1"/>
    <col min="8392" max="8392" width="18.42578125" style="141" customWidth="1"/>
    <col min="8393" max="8393" width="9.140625" style="141" customWidth="1"/>
    <col min="8394" max="8394" width="12" style="141" customWidth="1"/>
    <col min="8395" max="8395" width="14.85546875" style="141" customWidth="1"/>
    <col min="8396" max="8396" width="22.42578125" style="141" customWidth="1"/>
    <col min="8397" max="8397" width="14.85546875" style="141" customWidth="1"/>
    <col min="8398" max="8398" width="7.140625" style="141" customWidth="1"/>
    <col min="8399" max="8399" width="20.140625" style="141" customWidth="1"/>
    <col min="8400" max="8631" width="8.85546875" style="141" customWidth="1"/>
    <col min="8632" max="8632" width="8.140625" style="141" customWidth="1"/>
    <col min="8633" max="8633" width="14.5703125" style="141" customWidth="1"/>
    <col min="8634" max="8634" width="37.42578125" style="141" customWidth="1"/>
    <col min="8635" max="8635" width="63.140625" style="141" customWidth="1"/>
    <col min="8636" max="8636" width="20" style="141" customWidth="1"/>
    <col min="8637" max="8637" width="11.140625" style="141" customWidth="1"/>
    <col min="8638" max="8638" width="10.85546875" style="141" customWidth="1"/>
    <col min="8639" max="8639" width="21" style="141" customWidth="1"/>
    <col min="8640" max="8640" width="10.85546875" style="141" customWidth="1"/>
    <col min="8641" max="8641" width="17.42578125" style="141" customWidth="1"/>
    <col min="8642" max="8642" width="14.85546875" style="141" customWidth="1"/>
    <col min="8643" max="8643" width="15" style="141" customWidth="1"/>
    <col min="8644" max="8644" width="14.85546875" style="141" customWidth="1"/>
    <col min="8645" max="8645" width="7.140625" style="141" customWidth="1"/>
    <col min="8646" max="8647" width="20.140625" style="141" customWidth="1"/>
    <col min="8648" max="8648" width="18.42578125" style="141" customWidth="1"/>
    <col min="8649" max="8649" width="9.140625" style="141" customWidth="1"/>
    <col min="8650" max="8650" width="12" style="141" customWidth="1"/>
    <col min="8651" max="8651" width="14.85546875" style="141" customWidth="1"/>
    <col min="8652" max="8652" width="22.42578125" style="141" customWidth="1"/>
    <col min="8653" max="8653" width="14.85546875" style="141" customWidth="1"/>
    <col min="8654" max="8654" width="7.140625" style="141" customWidth="1"/>
    <col min="8655" max="8655" width="20.140625" style="141" customWidth="1"/>
    <col min="8656" max="8887" width="8.85546875" style="141" customWidth="1"/>
    <col min="8888" max="8888" width="8.140625" style="141" customWidth="1"/>
    <col min="8889" max="8889" width="14.5703125" style="141" customWidth="1"/>
    <col min="8890" max="8890" width="37.42578125" style="141" customWidth="1"/>
    <col min="8891" max="8891" width="63.140625" style="141" customWidth="1"/>
    <col min="8892" max="8892" width="20" style="141" customWidth="1"/>
    <col min="8893" max="8893" width="11.140625" style="141" customWidth="1"/>
    <col min="8894" max="8894" width="10.85546875" style="141" customWidth="1"/>
    <col min="8895" max="8895" width="21" style="141" customWidth="1"/>
    <col min="8896" max="8896" width="10.85546875" style="141" customWidth="1"/>
    <col min="8897" max="8897" width="17.42578125" style="141" customWidth="1"/>
    <col min="8898" max="8898" width="14.85546875" style="141" customWidth="1"/>
    <col min="8899" max="8899" width="15" style="141" customWidth="1"/>
    <col min="8900" max="8900" width="14.85546875" style="141" customWidth="1"/>
    <col min="8901" max="8901" width="7.140625" style="141" customWidth="1"/>
    <col min="8902" max="8903" width="20.140625" style="141" customWidth="1"/>
    <col min="8904" max="8904" width="18.42578125" style="141" customWidth="1"/>
    <col min="8905" max="8905" width="9.140625" style="141" customWidth="1"/>
    <col min="8906" max="8906" width="12" style="141" customWidth="1"/>
    <col min="8907" max="8907" width="14.85546875" style="141" customWidth="1"/>
    <col min="8908" max="8908" width="22.42578125" style="141" customWidth="1"/>
    <col min="8909" max="8909" width="14.85546875" style="141" customWidth="1"/>
    <col min="8910" max="8910" width="7.140625" style="141" customWidth="1"/>
    <col min="8911" max="8911" width="20.140625" style="141" customWidth="1"/>
    <col min="8912" max="9143" width="8.85546875" style="141" customWidth="1"/>
    <col min="9144" max="9144" width="8.140625" style="141" customWidth="1"/>
    <col min="9145" max="9145" width="14.5703125" style="141" customWidth="1"/>
    <col min="9146" max="9146" width="37.42578125" style="141" customWidth="1"/>
    <col min="9147" max="9147" width="63.140625" style="141" customWidth="1"/>
    <col min="9148" max="9148" width="20" style="141" customWidth="1"/>
    <col min="9149" max="9149" width="11.140625" style="141" customWidth="1"/>
    <col min="9150" max="9150" width="10.85546875" style="141" customWidth="1"/>
    <col min="9151" max="9151" width="21" style="141" customWidth="1"/>
    <col min="9152" max="9152" width="10.85546875" style="141" customWidth="1"/>
    <col min="9153" max="9153" width="17.42578125" style="141" customWidth="1"/>
    <col min="9154" max="9154" width="14.85546875" style="141" customWidth="1"/>
    <col min="9155" max="9155" width="15" style="141" customWidth="1"/>
    <col min="9156" max="9156" width="14.85546875" style="141" customWidth="1"/>
    <col min="9157" max="9157" width="7.140625" style="141" customWidth="1"/>
    <col min="9158" max="9159" width="20.140625" style="141" customWidth="1"/>
    <col min="9160" max="9160" width="18.42578125" style="141" customWidth="1"/>
    <col min="9161" max="9161" width="9.140625" style="141" customWidth="1"/>
    <col min="9162" max="9162" width="12" style="141" customWidth="1"/>
    <col min="9163" max="9163" width="14.85546875" style="141" customWidth="1"/>
    <col min="9164" max="9164" width="22.42578125" style="141" customWidth="1"/>
    <col min="9165" max="9165" width="14.85546875" style="141" customWidth="1"/>
    <col min="9166" max="9166" width="7.140625" style="141" customWidth="1"/>
    <col min="9167" max="9167" width="20.140625" style="141" customWidth="1"/>
    <col min="9168" max="9399" width="8.85546875" style="141" customWidth="1"/>
    <col min="9400" max="9400" width="8.140625" style="141" customWidth="1"/>
    <col min="9401" max="9401" width="14.5703125" style="141" customWidth="1"/>
    <col min="9402" max="9402" width="37.42578125" style="141" customWidth="1"/>
    <col min="9403" max="9403" width="63.140625" style="141" customWidth="1"/>
    <col min="9404" max="9404" width="20" style="141" customWidth="1"/>
    <col min="9405" max="9405" width="11.140625" style="141" customWidth="1"/>
    <col min="9406" max="9406" width="10.85546875" style="141" customWidth="1"/>
    <col min="9407" max="9407" width="21" style="141" customWidth="1"/>
    <col min="9408" max="9408" width="10.85546875" style="141" customWidth="1"/>
    <col min="9409" max="9409" width="17.42578125" style="141" customWidth="1"/>
    <col min="9410" max="9410" width="14.85546875" style="141" customWidth="1"/>
    <col min="9411" max="9411" width="15" style="141" customWidth="1"/>
    <col min="9412" max="9412" width="14.85546875" style="141" customWidth="1"/>
    <col min="9413" max="9413" width="7.140625" style="141" customWidth="1"/>
    <col min="9414" max="9415" width="20.140625" style="141" customWidth="1"/>
    <col min="9416" max="9416" width="18.42578125" style="141" customWidth="1"/>
    <col min="9417" max="9417" width="9.140625" style="141" customWidth="1"/>
    <col min="9418" max="9418" width="12" style="141" customWidth="1"/>
    <col min="9419" max="9419" width="14.85546875" style="141" customWidth="1"/>
    <col min="9420" max="9420" width="22.42578125" style="141" customWidth="1"/>
    <col min="9421" max="9421" width="14.85546875" style="141" customWidth="1"/>
    <col min="9422" max="9422" width="7.140625" style="141" customWidth="1"/>
    <col min="9423" max="9423" width="20.140625" style="141" customWidth="1"/>
    <col min="9424" max="9655" width="8.85546875" style="141" customWidth="1"/>
    <col min="9656" max="9656" width="8.140625" style="141" customWidth="1"/>
    <col min="9657" max="9657" width="14.5703125" style="141" customWidth="1"/>
    <col min="9658" max="9658" width="37.42578125" style="141" customWidth="1"/>
    <col min="9659" max="9659" width="63.140625" style="141" customWidth="1"/>
    <col min="9660" max="9660" width="20" style="141" customWidth="1"/>
    <col min="9661" max="9661" width="11.140625" style="141" customWidth="1"/>
    <col min="9662" max="9662" width="10.85546875" style="141" customWidth="1"/>
    <col min="9663" max="9663" width="21" style="141" customWidth="1"/>
    <col min="9664" max="9664" width="10.85546875" style="141" customWidth="1"/>
    <col min="9665" max="9665" width="17.42578125" style="141" customWidth="1"/>
    <col min="9666" max="9666" width="14.85546875" style="141" customWidth="1"/>
    <col min="9667" max="9667" width="15" style="141" customWidth="1"/>
    <col min="9668" max="9668" width="14.85546875" style="141" customWidth="1"/>
    <col min="9669" max="9669" width="7.140625" style="141" customWidth="1"/>
    <col min="9670" max="9671" width="20.140625" style="141" customWidth="1"/>
    <col min="9672" max="9672" width="18.42578125" style="141" customWidth="1"/>
    <col min="9673" max="9673" width="9.140625" style="141" customWidth="1"/>
    <col min="9674" max="9674" width="12" style="141" customWidth="1"/>
    <col min="9675" max="9675" width="14.85546875" style="141" customWidth="1"/>
    <col min="9676" max="9676" width="22.42578125" style="141" customWidth="1"/>
    <col min="9677" max="9677" width="14.85546875" style="141" customWidth="1"/>
    <col min="9678" max="9678" width="7.140625" style="141" customWidth="1"/>
    <col min="9679" max="9679" width="20.140625" style="141" customWidth="1"/>
    <col min="9680" max="9911" width="8.85546875" style="141" customWidth="1"/>
    <col min="9912" max="9912" width="8.140625" style="141" customWidth="1"/>
    <col min="9913" max="9913" width="14.5703125" style="141" customWidth="1"/>
    <col min="9914" max="9914" width="37.42578125" style="141" customWidth="1"/>
    <col min="9915" max="9915" width="63.140625" style="141" customWidth="1"/>
    <col min="9916" max="9916" width="20" style="141" customWidth="1"/>
    <col min="9917" max="9917" width="11.140625" style="141" customWidth="1"/>
    <col min="9918" max="9918" width="10.85546875" style="141" customWidth="1"/>
    <col min="9919" max="9919" width="21" style="141" customWidth="1"/>
    <col min="9920" max="9920" width="10.85546875" style="141" customWidth="1"/>
    <col min="9921" max="9921" width="17.42578125" style="141" customWidth="1"/>
    <col min="9922" max="9922" width="14.85546875" style="141" customWidth="1"/>
    <col min="9923" max="9923" width="15" style="141" customWidth="1"/>
    <col min="9924" max="9924" width="14.85546875" style="141" customWidth="1"/>
    <col min="9925" max="9925" width="7.140625" style="141" customWidth="1"/>
    <col min="9926" max="9927" width="20.140625" style="141" customWidth="1"/>
    <col min="9928" max="9928" width="18.42578125" style="141" customWidth="1"/>
    <col min="9929" max="9929" width="9.140625" style="141" customWidth="1"/>
    <col min="9930" max="9930" width="12" style="141" customWidth="1"/>
    <col min="9931" max="9931" width="14.85546875" style="141" customWidth="1"/>
    <col min="9932" max="9932" width="22.42578125" style="141" customWidth="1"/>
    <col min="9933" max="9933" width="14.85546875" style="141" customWidth="1"/>
    <col min="9934" max="9934" width="7.140625" style="141" customWidth="1"/>
    <col min="9935" max="9935" width="20.140625" style="141" customWidth="1"/>
    <col min="9936" max="10167" width="8.85546875" style="141" customWidth="1"/>
    <col min="10168" max="10168" width="8.140625" style="141" customWidth="1"/>
    <col min="10169" max="10169" width="14.5703125" style="141" customWidth="1"/>
    <col min="10170" max="10170" width="37.42578125" style="141" customWidth="1"/>
    <col min="10171" max="10171" width="63.140625" style="141" customWidth="1"/>
    <col min="10172" max="10172" width="20" style="141" customWidth="1"/>
    <col min="10173" max="10173" width="11.140625" style="141" customWidth="1"/>
    <col min="10174" max="10174" width="10.85546875" style="141" customWidth="1"/>
    <col min="10175" max="10175" width="21" style="141" customWidth="1"/>
    <col min="10176" max="10176" width="10.85546875" style="141" customWidth="1"/>
    <col min="10177" max="10177" width="17.42578125" style="141" customWidth="1"/>
    <col min="10178" max="10178" width="14.85546875" style="141" customWidth="1"/>
    <col min="10179" max="10179" width="15" style="141" customWidth="1"/>
    <col min="10180" max="10180" width="14.85546875" style="141" customWidth="1"/>
    <col min="10181" max="10181" width="7.140625" style="141" customWidth="1"/>
    <col min="10182" max="10183" width="20.140625" style="141" customWidth="1"/>
    <col min="10184" max="10184" width="18.42578125" style="141" customWidth="1"/>
    <col min="10185" max="10185" width="9.140625" style="141" customWidth="1"/>
    <col min="10186" max="10186" width="12" style="141" customWidth="1"/>
    <col min="10187" max="10187" width="14.85546875" style="141" customWidth="1"/>
    <col min="10188" max="10188" width="22.42578125" style="141" customWidth="1"/>
    <col min="10189" max="10189" width="14.85546875" style="141" customWidth="1"/>
    <col min="10190" max="10190" width="7.140625" style="141" customWidth="1"/>
    <col min="10191" max="10191" width="20.140625" style="141" customWidth="1"/>
    <col min="10192" max="10423" width="8.85546875" style="141" customWidth="1"/>
    <col min="10424" max="10424" width="8.140625" style="141" customWidth="1"/>
    <col min="10425" max="10425" width="14.5703125" style="141" customWidth="1"/>
    <col min="10426" max="10426" width="37.42578125" style="141" customWidth="1"/>
    <col min="10427" max="10427" width="63.140625" style="141" customWidth="1"/>
    <col min="10428" max="10428" width="20" style="141" customWidth="1"/>
    <col min="10429" max="10429" width="11.140625" style="141" customWidth="1"/>
    <col min="10430" max="10430" width="10.85546875" style="141" customWidth="1"/>
    <col min="10431" max="10431" width="21" style="141" customWidth="1"/>
    <col min="10432" max="10432" width="10.85546875" style="141" customWidth="1"/>
    <col min="10433" max="10433" width="17.42578125" style="141" customWidth="1"/>
    <col min="10434" max="10434" width="14.85546875" style="141" customWidth="1"/>
    <col min="10435" max="10435" width="15" style="141" customWidth="1"/>
    <col min="10436" max="10436" width="14.85546875" style="141" customWidth="1"/>
    <col min="10437" max="10437" width="7.140625" style="141" customWidth="1"/>
    <col min="10438" max="10439" width="20.140625" style="141" customWidth="1"/>
    <col min="10440" max="10440" width="18.42578125" style="141" customWidth="1"/>
    <col min="10441" max="10441" width="9.140625" style="141" customWidth="1"/>
    <col min="10442" max="10442" width="12" style="141" customWidth="1"/>
    <col min="10443" max="10443" width="14.85546875" style="141" customWidth="1"/>
    <col min="10444" max="10444" width="22.42578125" style="141" customWidth="1"/>
    <col min="10445" max="10445" width="14.85546875" style="141" customWidth="1"/>
    <col min="10446" max="10446" width="7.140625" style="141" customWidth="1"/>
    <col min="10447" max="10447" width="20.140625" style="141" customWidth="1"/>
    <col min="10448" max="10679" width="8.85546875" style="141" customWidth="1"/>
    <col min="10680" max="10680" width="8.140625" style="141" customWidth="1"/>
    <col min="10681" max="10681" width="14.5703125" style="141" customWidth="1"/>
    <col min="10682" max="10682" width="37.42578125" style="141" customWidth="1"/>
    <col min="10683" max="10683" width="63.140625" style="141" customWidth="1"/>
    <col min="10684" max="10684" width="20" style="141" customWidth="1"/>
    <col min="10685" max="10685" width="11.140625" style="141" customWidth="1"/>
    <col min="10686" max="10686" width="10.85546875" style="141" customWidth="1"/>
    <col min="10687" max="10687" width="21" style="141" customWidth="1"/>
    <col min="10688" max="10688" width="10.85546875" style="141" customWidth="1"/>
    <col min="10689" max="10689" width="17.42578125" style="141" customWidth="1"/>
    <col min="10690" max="10690" width="14.85546875" style="141" customWidth="1"/>
    <col min="10691" max="10691" width="15" style="141" customWidth="1"/>
    <col min="10692" max="10692" width="14.85546875" style="141" customWidth="1"/>
    <col min="10693" max="10693" width="7.140625" style="141" customWidth="1"/>
    <col min="10694" max="10695" width="20.140625" style="141" customWidth="1"/>
    <col min="10696" max="10696" width="18.42578125" style="141" customWidth="1"/>
    <col min="10697" max="10697" width="9.140625" style="141" customWidth="1"/>
    <col min="10698" max="10698" width="12" style="141" customWidth="1"/>
    <col min="10699" max="10699" width="14.85546875" style="141" customWidth="1"/>
    <col min="10700" max="10700" width="22.42578125" style="141" customWidth="1"/>
    <col min="10701" max="10701" width="14.85546875" style="141" customWidth="1"/>
    <col min="10702" max="10702" width="7.140625" style="141" customWidth="1"/>
    <col min="10703" max="10703" width="20.140625" style="141" customWidth="1"/>
    <col min="10704" max="10935" width="8.85546875" style="141" customWidth="1"/>
    <col min="10936" max="10936" width="8.140625" style="141" customWidth="1"/>
    <col min="10937" max="10937" width="14.5703125" style="141" customWidth="1"/>
    <col min="10938" max="10938" width="37.42578125" style="141" customWidth="1"/>
    <col min="10939" max="10939" width="63.140625" style="141" customWidth="1"/>
    <col min="10940" max="10940" width="20" style="141" customWidth="1"/>
    <col min="10941" max="10941" width="11.140625" style="141" customWidth="1"/>
    <col min="10942" max="10942" width="10.85546875" style="141" customWidth="1"/>
    <col min="10943" max="10943" width="21" style="141" customWidth="1"/>
    <col min="10944" max="10944" width="10.85546875" style="141" customWidth="1"/>
    <col min="10945" max="10945" width="17.42578125" style="141" customWidth="1"/>
    <col min="10946" max="10946" width="14.85546875" style="141" customWidth="1"/>
    <col min="10947" max="10947" width="15" style="141" customWidth="1"/>
    <col min="10948" max="10948" width="14.85546875" style="141" customWidth="1"/>
    <col min="10949" max="10949" width="7.140625" style="141" customWidth="1"/>
    <col min="10950" max="10951" width="20.140625" style="141" customWidth="1"/>
    <col min="10952" max="10952" width="18.42578125" style="141" customWidth="1"/>
    <col min="10953" max="10953" width="9.140625" style="141" customWidth="1"/>
    <col min="10954" max="10954" width="12" style="141" customWidth="1"/>
    <col min="10955" max="10955" width="14.85546875" style="141" customWidth="1"/>
    <col min="10956" max="10956" width="22.42578125" style="141" customWidth="1"/>
    <col min="10957" max="10957" width="14.85546875" style="141" customWidth="1"/>
    <col min="10958" max="10958" width="7.140625" style="141" customWidth="1"/>
    <col min="10959" max="10959" width="20.140625" style="141" customWidth="1"/>
    <col min="10960" max="11191" width="8.85546875" style="141" customWidth="1"/>
    <col min="11192" max="11192" width="8.140625" style="141" customWidth="1"/>
    <col min="11193" max="11193" width="14.5703125" style="141" customWidth="1"/>
    <col min="11194" max="11194" width="37.42578125" style="141" customWidth="1"/>
    <col min="11195" max="11195" width="63.140625" style="141" customWidth="1"/>
    <col min="11196" max="11196" width="20" style="141" customWidth="1"/>
    <col min="11197" max="11197" width="11.140625" style="141" customWidth="1"/>
    <col min="11198" max="11198" width="10.85546875" style="141" customWidth="1"/>
    <col min="11199" max="11199" width="21" style="141" customWidth="1"/>
    <col min="11200" max="11200" width="10.85546875" style="141" customWidth="1"/>
    <col min="11201" max="11201" width="17.42578125" style="141" customWidth="1"/>
    <col min="11202" max="11202" width="14.85546875" style="141" customWidth="1"/>
    <col min="11203" max="11203" width="15" style="141" customWidth="1"/>
    <col min="11204" max="11204" width="14.85546875" style="141" customWidth="1"/>
    <col min="11205" max="11205" width="7.140625" style="141" customWidth="1"/>
    <col min="11206" max="11207" width="20.140625" style="141" customWidth="1"/>
    <col min="11208" max="11208" width="18.42578125" style="141" customWidth="1"/>
    <col min="11209" max="11209" width="9.140625" style="141" customWidth="1"/>
    <col min="11210" max="11210" width="12" style="141" customWidth="1"/>
    <col min="11211" max="11211" width="14.85546875" style="141" customWidth="1"/>
    <col min="11212" max="11212" width="22.42578125" style="141" customWidth="1"/>
    <col min="11213" max="11213" width="14.85546875" style="141" customWidth="1"/>
    <col min="11214" max="11214" width="7.140625" style="141" customWidth="1"/>
    <col min="11215" max="11215" width="20.140625" style="141" customWidth="1"/>
    <col min="11216" max="11447" width="8.85546875" style="141" customWidth="1"/>
    <col min="11448" max="11448" width="8.140625" style="141" customWidth="1"/>
    <col min="11449" max="11449" width="14.5703125" style="141" customWidth="1"/>
    <col min="11450" max="11450" width="37.42578125" style="141" customWidth="1"/>
    <col min="11451" max="11451" width="63.140625" style="141" customWidth="1"/>
    <col min="11452" max="11452" width="20" style="141" customWidth="1"/>
    <col min="11453" max="11453" width="11.140625" style="141" customWidth="1"/>
    <col min="11454" max="11454" width="10.85546875" style="141" customWidth="1"/>
    <col min="11455" max="11455" width="21" style="141" customWidth="1"/>
    <col min="11456" max="11456" width="10.85546875" style="141" customWidth="1"/>
    <col min="11457" max="11457" width="17.42578125" style="141" customWidth="1"/>
    <col min="11458" max="11458" width="14.85546875" style="141" customWidth="1"/>
    <col min="11459" max="11459" width="15" style="141" customWidth="1"/>
    <col min="11460" max="11460" width="14.85546875" style="141" customWidth="1"/>
    <col min="11461" max="11461" width="7.140625" style="141" customWidth="1"/>
    <col min="11462" max="11463" width="20.140625" style="141" customWidth="1"/>
    <col min="11464" max="11464" width="18.42578125" style="141" customWidth="1"/>
    <col min="11465" max="11465" width="9.140625" style="141" customWidth="1"/>
    <col min="11466" max="11466" width="12" style="141" customWidth="1"/>
    <col min="11467" max="11467" width="14.85546875" style="141" customWidth="1"/>
    <col min="11468" max="11468" width="22.42578125" style="141" customWidth="1"/>
    <col min="11469" max="11469" width="14.85546875" style="141" customWidth="1"/>
    <col min="11470" max="11470" width="7.140625" style="141" customWidth="1"/>
    <col min="11471" max="11471" width="20.140625" style="141" customWidth="1"/>
    <col min="11472" max="11703" width="8.85546875" style="141" customWidth="1"/>
    <col min="11704" max="11704" width="8.140625" style="141" customWidth="1"/>
    <col min="11705" max="11705" width="14.5703125" style="141" customWidth="1"/>
    <col min="11706" max="11706" width="37.42578125" style="141" customWidth="1"/>
    <col min="11707" max="11707" width="63.140625" style="141" customWidth="1"/>
    <col min="11708" max="11708" width="20" style="141" customWidth="1"/>
    <col min="11709" max="11709" width="11.140625" style="141" customWidth="1"/>
    <col min="11710" max="11710" width="10.85546875" style="141" customWidth="1"/>
    <col min="11711" max="11711" width="21" style="141" customWidth="1"/>
    <col min="11712" max="11712" width="10.85546875" style="141" customWidth="1"/>
    <col min="11713" max="11713" width="17.42578125" style="141" customWidth="1"/>
    <col min="11714" max="11714" width="14.85546875" style="141" customWidth="1"/>
    <col min="11715" max="11715" width="15" style="141" customWidth="1"/>
    <col min="11716" max="11716" width="14.85546875" style="141" customWidth="1"/>
    <col min="11717" max="11717" width="7.140625" style="141" customWidth="1"/>
    <col min="11718" max="11719" width="20.140625" style="141" customWidth="1"/>
    <col min="11720" max="11720" width="18.42578125" style="141" customWidth="1"/>
    <col min="11721" max="11721" width="9.140625" style="141" customWidth="1"/>
    <col min="11722" max="11722" width="12" style="141" customWidth="1"/>
    <col min="11723" max="11723" width="14.85546875" style="141" customWidth="1"/>
    <col min="11724" max="11724" width="22.42578125" style="141" customWidth="1"/>
    <col min="11725" max="11725" width="14.85546875" style="141" customWidth="1"/>
    <col min="11726" max="11726" width="7.140625" style="141" customWidth="1"/>
    <col min="11727" max="11727" width="20.140625" style="141" customWidth="1"/>
    <col min="11728" max="11959" width="8.85546875" style="141" customWidth="1"/>
    <col min="11960" max="11960" width="8.140625" style="141" customWidth="1"/>
    <col min="11961" max="11961" width="14.5703125" style="141" customWidth="1"/>
    <col min="11962" max="11962" width="37.42578125" style="141" customWidth="1"/>
    <col min="11963" max="11963" width="63.140625" style="141" customWidth="1"/>
    <col min="11964" max="11964" width="20" style="141" customWidth="1"/>
    <col min="11965" max="11965" width="11.140625" style="141" customWidth="1"/>
    <col min="11966" max="11966" width="10.85546875" style="141" customWidth="1"/>
    <col min="11967" max="11967" width="21" style="141" customWidth="1"/>
    <col min="11968" max="11968" width="10.85546875" style="141" customWidth="1"/>
    <col min="11969" max="11969" width="17.42578125" style="141" customWidth="1"/>
    <col min="11970" max="11970" width="14.85546875" style="141" customWidth="1"/>
    <col min="11971" max="11971" width="15" style="141" customWidth="1"/>
    <col min="11972" max="11972" width="14.85546875" style="141" customWidth="1"/>
    <col min="11973" max="11973" width="7.140625" style="141" customWidth="1"/>
    <col min="11974" max="11975" width="20.140625" style="141" customWidth="1"/>
    <col min="11976" max="11976" width="18.42578125" style="141" customWidth="1"/>
    <col min="11977" max="11977" width="9.140625" style="141" customWidth="1"/>
    <col min="11978" max="11978" width="12" style="141" customWidth="1"/>
    <col min="11979" max="11979" width="14.85546875" style="141" customWidth="1"/>
    <col min="11980" max="11980" width="22.42578125" style="141" customWidth="1"/>
    <col min="11981" max="11981" width="14.85546875" style="141" customWidth="1"/>
    <col min="11982" max="11982" width="7.140625" style="141" customWidth="1"/>
    <col min="11983" max="11983" width="20.140625" style="141" customWidth="1"/>
    <col min="11984" max="12215" width="8.85546875" style="141" customWidth="1"/>
    <col min="12216" max="12216" width="8.140625" style="141" customWidth="1"/>
    <col min="12217" max="12217" width="14.5703125" style="141" customWidth="1"/>
    <col min="12218" max="12218" width="37.42578125" style="141" customWidth="1"/>
    <col min="12219" max="12219" width="63.140625" style="141" customWidth="1"/>
    <col min="12220" max="12220" width="20" style="141" customWidth="1"/>
    <col min="12221" max="12221" width="11.140625" style="141" customWidth="1"/>
    <col min="12222" max="12222" width="10.85546875" style="141" customWidth="1"/>
    <col min="12223" max="12223" width="21" style="141" customWidth="1"/>
    <col min="12224" max="12224" width="10.85546875" style="141" customWidth="1"/>
    <col min="12225" max="12225" width="17.42578125" style="141" customWidth="1"/>
    <col min="12226" max="12226" width="14.85546875" style="141" customWidth="1"/>
    <col min="12227" max="12227" width="15" style="141" customWidth="1"/>
    <col min="12228" max="12228" width="14.85546875" style="141" customWidth="1"/>
    <col min="12229" max="12229" width="7.140625" style="141" customWidth="1"/>
    <col min="12230" max="12231" width="20.140625" style="141" customWidth="1"/>
    <col min="12232" max="12232" width="18.42578125" style="141" customWidth="1"/>
    <col min="12233" max="12233" width="9.140625" style="141" customWidth="1"/>
    <col min="12234" max="12234" width="12" style="141" customWidth="1"/>
    <col min="12235" max="12235" width="14.85546875" style="141" customWidth="1"/>
    <col min="12236" max="12236" width="22.42578125" style="141" customWidth="1"/>
    <col min="12237" max="12237" width="14.85546875" style="141" customWidth="1"/>
    <col min="12238" max="12238" width="7.140625" style="141" customWidth="1"/>
    <col min="12239" max="12239" width="20.140625" style="141" customWidth="1"/>
    <col min="12240" max="12471" width="8.85546875" style="141" customWidth="1"/>
    <col min="12472" max="12472" width="8.140625" style="141" customWidth="1"/>
    <col min="12473" max="12473" width="14.5703125" style="141" customWidth="1"/>
    <col min="12474" max="12474" width="37.42578125" style="141" customWidth="1"/>
    <col min="12475" max="12475" width="63.140625" style="141" customWidth="1"/>
    <col min="12476" max="12476" width="20" style="141" customWidth="1"/>
    <col min="12477" max="12477" width="11.140625" style="141" customWidth="1"/>
    <col min="12478" max="12478" width="10.85546875" style="141" customWidth="1"/>
    <col min="12479" max="12479" width="21" style="141" customWidth="1"/>
    <col min="12480" max="12480" width="10.85546875" style="141" customWidth="1"/>
    <col min="12481" max="12481" width="17.42578125" style="141" customWidth="1"/>
    <col min="12482" max="12482" width="14.85546875" style="141" customWidth="1"/>
    <col min="12483" max="12483" width="15" style="141" customWidth="1"/>
    <col min="12484" max="12484" width="14.85546875" style="141" customWidth="1"/>
    <col min="12485" max="12485" width="7.140625" style="141" customWidth="1"/>
    <col min="12486" max="12487" width="20.140625" style="141" customWidth="1"/>
    <col min="12488" max="12488" width="18.42578125" style="141" customWidth="1"/>
    <col min="12489" max="12489" width="9.140625" style="141" customWidth="1"/>
    <col min="12490" max="12490" width="12" style="141" customWidth="1"/>
    <col min="12491" max="12491" width="14.85546875" style="141" customWidth="1"/>
    <col min="12492" max="12492" width="22.42578125" style="141" customWidth="1"/>
    <col min="12493" max="12493" width="14.85546875" style="141" customWidth="1"/>
    <col min="12494" max="12494" width="7.140625" style="141" customWidth="1"/>
    <col min="12495" max="12495" width="20.140625" style="141" customWidth="1"/>
    <col min="12496" max="12727" width="8.85546875" style="141" customWidth="1"/>
    <col min="12728" max="12728" width="8.140625" style="141" customWidth="1"/>
    <col min="12729" max="12729" width="14.5703125" style="141" customWidth="1"/>
    <col min="12730" max="12730" width="37.42578125" style="141" customWidth="1"/>
    <col min="12731" max="12731" width="63.140625" style="141" customWidth="1"/>
    <col min="12732" max="12732" width="20" style="141" customWidth="1"/>
    <col min="12733" max="12733" width="11.140625" style="141" customWidth="1"/>
    <col min="12734" max="12734" width="10.85546875" style="141" customWidth="1"/>
    <col min="12735" max="12735" width="21" style="141" customWidth="1"/>
    <col min="12736" max="12736" width="10.85546875" style="141" customWidth="1"/>
    <col min="12737" max="12737" width="17.42578125" style="141" customWidth="1"/>
    <col min="12738" max="12738" width="14.85546875" style="141" customWidth="1"/>
    <col min="12739" max="12739" width="15" style="141" customWidth="1"/>
    <col min="12740" max="12740" width="14.85546875" style="141" customWidth="1"/>
    <col min="12741" max="12741" width="7.140625" style="141" customWidth="1"/>
    <col min="12742" max="12743" width="20.140625" style="141" customWidth="1"/>
    <col min="12744" max="12744" width="18.42578125" style="141" customWidth="1"/>
    <col min="12745" max="12745" width="9.140625" style="141" customWidth="1"/>
    <col min="12746" max="12746" width="12" style="141" customWidth="1"/>
    <col min="12747" max="12747" width="14.85546875" style="141" customWidth="1"/>
    <col min="12748" max="12748" width="22.42578125" style="141" customWidth="1"/>
    <col min="12749" max="12749" width="14.85546875" style="141" customWidth="1"/>
    <col min="12750" max="12750" width="7.140625" style="141" customWidth="1"/>
    <col min="12751" max="12751" width="20.140625" style="141" customWidth="1"/>
    <col min="12752" max="12983" width="8.85546875" style="141" customWidth="1"/>
    <col min="12984" max="12984" width="8.140625" style="141" customWidth="1"/>
    <col min="12985" max="12985" width="14.5703125" style="141" customWidth="1"/>
    <col min="12986" max="12986" width="37.42578125" style="141" customWidth="1"/>
    <col min="12987" max="12987" width="63.140625" style="141" customWidth="1"/>
    <col min="12988" max="12988" width="20" style="141" customWidth="1"/>
    <col min="12989" max="12989" width="11.140625" style="141" customWidth="1"/>
    <col min="12990" max="12990" width="10.85546875" style="141" customWidth="1"/>
    <col min="12991" max="12991" width="21" style="141" customWidth="1"/>
    <col min="12992" max="12992" width="10.85546875" style="141" customWidth="1"/>
    <col min="12993" max="12993" width="17.42578125" style="141" customWidth="1"/>
    <col min="12994" max="12994" width="14.85546875" style="141" customWidth="1"/>
    <col min="12995" max="12995" width="15" style="141" customWidth="1"/>
    <col min="12996" max="12996" width="14.85546875" style="141" customWidth="1"/>
    <col min="12997" max="12997" width="7.140625" style="141" customWidth="1"/>
    <col min="12998" max="12999" width="20.140625" style="141" customWidth="1"/>
    <col min="13000" max="13000" width="18.42578125" style="141" customWidth="1"/>
    <col min="13001" max="13001" width="9.140625" style="141" customWidth="1"/>
    <col min="13002" max="13002" width="12" style="141" customWidth="1"/>
    <col min="13003" max="13003" width="14.85546875" style="141" customWidth="1"/>
    <col min="13004" max="13004" width="22.42578125" style="141" customWidth="1"/>
    <col min="13005" max="13005" width="14.85546875" style="141" customWidth="1"/>
    <col min="13006" max="13006" width="7.140625" style="141" customWidth="1"/>
    <col min="13007" max="13007" width="20.140625" style="141" customWidth="1"/>
    <col min="13008" max="13239" width="8.85546875" style="141" customWidth="1"/>
    <col min="13240" max="13240" width="8.140625" style="141" customWidth="1"/>
    <col min="13241" max="13241" width="14.5703125" style="141" customWidth="1"/>
    <col min="13242" max="13242" width="37.42578125" style="141" customWidth="1"/>
    <col min="13243" max="13243" width="63.140625" style="141" customWidth="1"/>
    <col min="13244" max="13244" width="20" style="141" customWidth="1"/>
    <col min="13245" max="13245" width="11.140625" style="141" customWidth="1"/>
    <col min="13246" max="13246" width="10.85546875" style="141" customWidth="1"/>
    <col min="13247" max="13247" width="21" style="141" customWidth="1"/>
    <col min="13248" max="13248" width="10.85546875" style="141" customWidth="1"/>
    <col min="13249" max="13249" width="17.42578125" style="141" customWidth="1"/>
    <col min="13250" max="13250" width="14.85546875" style="141" customWidth="1"/>
    <col min="13251" max="13251" width="15" style="141" customWidth="1"/>
    <col min="13252" max="13252" width="14.85546875" style="141" customWidth="1"/>
    <col min="13253" max="13253" width="7.140625" style="141" customWidth="1"/>
    <col min="13254" max="13255" width="20.140625" style="141" customWidth="1"/>
    <col min="13256" max="13256" width="18.42578125" style="141" customWidth="1"/>
    <col min="13257" max="13257" width="9.140625" style="141" customWidth="1"/>
    <col min="13258" max="13258" width="12" style="141" customWidth="1"/>
    <col min="13259" max="13259" width="14.85546875" style="141" customWidth="1"/>
    <col min="13260" max="13260" width="22.42578125" style="141" customWidth="1"/>
    <col min="13261" max="13261" width="14.85546875" style="141" customWidth="1"/>
    <col min="13262" max="13262" width="7.140625" style="141" customWidth="1"/>
    <col min="13263" max="13263" width="20.140625" style="141" customWidth="1"/>
    <col min="13264" max="13495" width="8.85546875" style="141" customWidth="1"/>
    <col min="13496" max="13496" width="8.140625" style="141" customWidth="1"/>
    <col min="13497" max="13497" width="14.5703125" style="141" customWidth="1"/>
    <col min="13498" max="13498" width="37.42578125" style="141" customWidth="1"/>
    <col min="13499" max="13499" width="63.140625" style="141" customWidth="1"/>
    <col min="13500" max="13500" width="20" style="141" customWidth="1"/>
    <col min="13501" max="13501" width="11.140625" style="141" customWidth="1"/>
    <col min="13502" max="13502" width="10.85546875" style="141" customWidth="1"/>
    <col min="13503" max="13503" width="21" style="141" customWidth="1"/>
    <col min="13504" max="13504" width="10.85546875" style="141" customWidth="1"/>
    <col min="13505" max="13505" width="17.42578125" style="141" customWidth="1"/>
    <col min="13506" max="13506" width="14.85546875" style="141" customWidth="1"/>
    <col min="13507" max="13507" width="15" style="141" customWidth="1"/>
    <col min="13508" max="13508" width="14.85546875" style="141" customWidth="1"/>
    <col min="13509" max="13509" width="7.140625" style="141" customWidth="1"/>
    <col min="13510" max="13511" width="20.140625" style="141" customWidth="1"/>
    <col min="13512" max="13512" width="18.42578125" style="141" customWidth="1"/>
    <col min="13513" max="13513" width="9.140625" style="141" customWidth="1"/>
    <col min="13514" max="13514" width="12" style="141" customWidth="1"/>
    <col min="13515" max="13515" width="14.85546875" style="141" customWidth="1"/>
    <col min="13516" max="13516" width="22.42578125" style="141" customWidth="1"/>
    <col min="13517" max="13517" width="14.85546875" style="141" customWidth="1"/>
    <col min="13518" max="13518" width="7.140625" style="141" customWidth="1"/>
    <col min="13519" max="13519" width="20.140625" style="141" customWidth="1"/>
    <col min="13520" max="13751" width="8.85546875" style="141" customWidth="1"/>
    <col min="13752" max="13752" width="8.140625" style="141" customWidth="1"/>
    <col min="13753" max="13753" width="14.5703125" style="141" customWidth="1"/>
    <col min="13754" max="13754" width="37.42578125" style="141" customWidth="1"/>
    <col min="13755" max="13755" width="63.140625" style="141" customWidth="1"/>
    <col min="13756" max="13756" width="20" style="141" customWidth="1"/>
    <col min="13757" max="13757" width="11.140625" style="141" customWidth="1"/>
    <col min="13758" max="13758" width="10.85546875" style="141" customWidth="1"/>
    <col min="13759" max="13759" width="21" style="141" customWidth="1"/>
    <col min="13760" max="13760" width="10.85546875" style="141" customWidth="1"/>
    <col min="13761" max="13761" width="17.42578125" style="141" customWidth="1"/>
    <col min="13762" max="13762" width="14.85546875" style="141" customWidth="1"/>
    <col min="13763" max="13763" width="15" style="141" customWidth="1"/>
    <col min="13764" max="13764" width="14.85546875" style="141" customWidth="1"/>
    <col min="13765" max="13765" width="7.140625" style="141" customWidth="1"/>
    <col min="13766" max="13767" width="20.140625" style="141" customWidth="1"/>
    <col min="13768" max="13768" width="18.42578125" style="141" customWidth="1"/>
    <col min="13769" max="13769" width="9.140625" style="141" customWidth="1"/>
    <col min="13770" max="13770" width="12" style="141" customWidth="1"/>
    <col min="13771" max="13771" width="14.85546875" style="141" customWidth="1"/>
    <col min="13772" max="13772" width="22.42578125" style="141" customWidth="1"/>
    <col min="13773" max="13773" width="14.85546875" style="141" customWidth="1"/>
    <col min="13774" max="13774" width="7.140625" style="141" customWidth="1"/>
    <col min="13775" max="13775" width="20.140625" style="141" customWidth="1"/>
    <col min="13776" max="14007" width="8.85546875" style="141" customWidth="1"/>
    <col min="14008" max="14008" width="8.140625" style="141" customWidth="1"/>
    <col min="14009" max="14009" width="14.5703125" style="141" customWidth="1"/>
    <col min="14010" max="14010" width="37.42578125" style="141" customWidth="1"/>
    <col min="14011" max="14011" width="63.140625" style="141" customWidth="1"/>
    <col min="14012" max="14012" width="20" style="141" customWidth="1"/>
    <col min="14013" max="14013" width="11.140625" style="141" customWidth="1"/>
    <col min="14014" max="14014" width="10.85546875" style="141" customWidth="1"/>
    <col min="14015" max="14015" width="21" style="141" customWidth="1"/>
    <col min="14016" max="14016" width="10.85546875" style="141" customWidth="1"/>
    <col min="14017" max="14017" width="17.42578125" style="141" customWidth="1"/>
    <col min="14018" max="14018" width="14.85546875" style="141" customWidth="1"/>
    <col min="14019" max="14019" width="15" style="141" customWidth="1"/>
    <col min="14020" max="14020" width="14.85546875" style="141" customWidth="1"/>
    <col min="14021" max="14021" width="7.140625" style="141" customWidth="1"/>
    <col min="14022" max="14023" width="20.140625" style="141" customWidth="1"/>
    <col min="14024" max="14024" width="18.42578125" style="141" customWidth="1"/>
    <col min="14025" max="14025" width="9.140625" style="141" customWidth="1"/>
    <col min="14026" max="14026" width="12" style="141" customWidth="1"/>
    <col min="14027" max="14027" width="14.85546875" style="141" customWidth="1"/>
    <col min="14028" max="14028" width="22.42578125" style="141" customWidth="1"/>
    <col min="14029" max="14029" width="14.85546875" style="141" customWidth="1"/>
    <col min="14030" max="14030" width="7.140625" style="141" customWidth="1"/>
    <col min="14031" max="14031" width="20.140625" style="141" customWidth="1"/>
    <col min="14032" max="14263" width="8.85546875" style="141" customWidth="1"/>
    <col min="14264" max="14264" width="8.140625" style="141" customWidth="1"/>
    <col min="14265" max="14265" width="14.5703125" style="141" customWidth="1"/>
    <col min="14266" max="14266" width="37.42578125" style="141" customWidth="1"/>
    <col min="14267" max="14267" width="63.140625" style="141" customWidth="1"/>
    <col min="14268" max="14268" width="20" style="141" customWidth="1"/>
    <col min="14269" max="14269" width="11.140625" style="141" customWidth="1"/>
    <col min="14270" max="14270" width="10.85546875" style="141" customWidth="1"/>
    <col min="14271" max="14271" width="21" style="141" customWidth="1"/>
    <col min="14272" max="14272" width="10.85546875" style="141" customWidth="1"/>
    <col min="14273" max="14273" width="17.42578125" style="141" customWidth="1"/>
    <col min="14274" max="14274" width="14.85546875" style="141" customWidth="1"/>
    <col min="14275" max="14275" width="15" style="141" customWidth="1"/>
    <col min="14276" max="14276" width="14.85546875" style="141" customWidth="1"/>
    <col min="14277" max="14277" width="7.140625" style="141" customWidth="1"/>
    <col min="14278" max="14279" width="20.140625" style="141" customWidth="1"/>
    <col min="14280" max="14280" width="18.42578125" style="141" customWidth="1"/>
    <col min="14281" max="14281" width="9.140625" style="141" customWidth="1"/>
    <col min="14282" max="14282" width="12" style="141" customWidth="1"/>
    <col min="14283" max="14283" width="14.85546875" style="141" customWidth="1"/>
    <col min="14284" max="14284" width="22.42578125" style="141" customWidth="1"/>
    <col min="14285" max="14285" width="14.85546875" style="141" customWidth="1"/>
    <col min="14286" max="14286" width="7.140625" style="141" customWidth="1"/>
    <col min="14287" max="14287" width="20.140625" style="141" customWidth="1"/>
    <col min="14288" max="14519" width="8.85546875" style="141" customWidth="1"/>
    <col min="14520" max="14520" width="8.140625" style="141" customWidth="1"/>
    <col min="14521" max="14521" width="14.5703125" style="141" customWidth="1"/>
    <col min="14522" max="14522" width="37.42578125" style="141" customWidth="1"/>
    <col min="14523" max="14523" width="63.140625" style="141" customWidth="1"/>
    <col min="14524" max="14524" width="20" style="141" customWidth="1"/>
    <col min="14525" max="14525" width="11.140625" style="141" customWidth="1"/>
    <col min="14526" max="14526" width="10.85546875" style="141" customWidth="1"/>
    <col min="14527" max="14527" width="21" style="141" customWidth="1"/>
    <col min="14528" max="14528" width="10.85546875" style="141" customWidth="1"/>
    <col min="14529" max="14529" width="17.42578125" style="141" customWidth="1"/>
    <col min="14530" max="14530" width="14.85546875" style="141" customWidth="1"/>
    <col min="14531" max="14531" width="15" style="141" customWidth="1"/>
    <col min="14532" max="14532" width="14.85546875" style="141" customWidth="1"/>
    <col min="14533" max="14533" width="7.140625" style="141" customWidth="1"/>
    <col min="14534" max="14535" width="20.140625" style="141" customWidth="1"/>
    <col min="14536" max="14536" width="18.42578125" style="141" customWidth="1"/>
    <col min="14537" max="14537" width="9.140625" style="141" customWidth="1"/>
    <col min="14538" max="14538" width="12" style="141" customWidth="1"/>
    <col min="14539" max="14539" width="14.85546875" style="141" customWidth="1"/>
    <col min="14540" max="14540" width="22.42578125" style="141" customWidth="1"/>
    <col min="14541" max="14541" width="14.85546875" style="141" customWidth="1"/>
    <col min="14542" max="14542" width="7.140625" style="141" customWidth="1"/>
    <col min="14543" max="14543" width="20.140625" style="141" customWidth="1"/>
    <col min="14544" max="14775" width="8.85546875" style="141" customWidth="1"/>
    <col min="14776" max="14776" width="8.140625" style="141" customWidth="1"/>
    <col min="14777" max="14777" width="14.5703125" style="141" customWidth="1"/>
    <col min="14778" max="14778" width="37.42578125" style="141" customWidth="1"/>
    <col min="14779" max="14779" width="63.140625" style="141" customWidth="1"/>
    <col min="14780" max="14780" width="20" style="141" customWidth="1"/>
    <col min="14781" max="14781" width="11.140625" style="141" customWidth="1"/>
    <col min="14782" max="14782" width="10.85546875" style="141" customWidth="1"/>
    <col min="14783" max="14783" width="21" style="141" customWidth="1"/>
    <col min="14784" max="14784" width="10.85546875" style="141" customWidth="1"/>
    <col min="14785" max="14785" width="17.42578125" style="141" customWidth="1"/>
    <col min="14786" max="14786" width="14.85546875" style="141" customWidth="1"/>
    <col min="14787" max="14787" width="15" style="141" customWidth="1"/>
    <col min="14788" max="14788" width="14.85546875" style="141" customWidth="1"/>
    <col min="14789" max="14789" width="7.140625" style="141" customWidth="1"/>
    <col min="14790" max="14791" width="20.140625" style="141" customWidth="1"/>
    <col min="14792" max="14792" width="18.42578125" style="141" customWidth="1"/>
    <col min="14793" max="14793" width="9.140625" style="141" customWidth="1"/>
    <col min="14794" max="14794" width="12" style="141" customWidth="1"/>
    <col min="14795" max="14795" width="14.85546875" style="141" customWidth="1"/>
    <col min="14796" max="14796" width="22.42578125" style="141" customWidth="1"/>
    <col min="14797" max="14797" width="14.85546875" style="141" customWidth="1"/>
    <col min="14798" max="14798" width="7.140625" style="141" customWidth="1"/>
    <col min="14799" max="14799" width="20.140625" style="141" customWidth="1"/>
    <col min="14800" max="15031" width="8.85546875" style="141" customWidth="1"/>
    <col min="15032" max="15032" width="8.140625" style="141" customWidth="1"/>
    <col min="15033" max="15033" width="14.5703125" style="141" customWidth="1"/>
    <col min="15034" max="15034" width="37.42578125" style="141" customWidth="1"/>
    <col min="15035" max="15035" width="63.140625" style="141" customWidth="1"/>
    <col min="15036" max="15036" width="20" style="141" customWidth="1"/>
    <col min="15037" max="15037" width="11.140625" style="141" customWidth="1"/>
    <col min="15038" max="15038" width="10.85546875" style="141" customWidth="1"/>
    <col min="15039" max="15039" width="21" style="141" customWidth="1"/>
    <col min="15040" max="15040" width="10.85546875" style="141" customWidth="1"/>
    <col min="15041" max="15041" width="17.42578125" style="141" customWidth="1"/>
    <col min="15042" max="15042" width="14.85546875" style="141" customWidth="1"/>
    <col min="15043" max="15043" width="15" style="141" customWidth="1"/>
    <col min="15044" max="15044" width="14.85546875" style="141" customWidth="1"/>
    <col min="15045" max="15045" width="7.140625" style="141" customWidth="1"/>
    <col min="15046" max="15047" width="20.140625" style="141" customWidth="1"/>
    <col min="15048" max="15048" width="18.42578125" style="141" customWidth="1"/>
    <col min="15049" max="15049" width="9.140625" style="141" customWidth="1"/>
    <col min="15050" max="15050" width="12" style="141" customWidth="1"/>
    <col min="15051" max="15051" width="14.85546875" style="141" customWidth="1"/>
    <col min="15052" max="15052" width="22.42578125" style="141" customWidth="1"/>
    <col min="15053" max="15053" width="14.85546875" style="141" customWidth="1"/>
    <col min="15054" max="15054" width="7.140625" style="141" customWidth="1"/>
    <col min="15055" max="15055" width="20.140625" style="141" customWidth="1"/>
    <col min="15056" max="15287" width="8.85546875" style="141" customWidth="1"/>
    <col min="15288" max="15288" width="8.140625" style="141" customWidth="1"/>
    <col min="15289" max="15289" width="14.5703125" style="141" customWidth="1"/>
    <col min="15290" max="15290" width="37.42578125" style="141" customWidth="1"/>
    <col min="15291" max="15291" width="63.140625" style="141" customWidth="1"/>
    <col min="15292" max="15292" width="20" style="141" customWidth="1"/>
    <col min="15293" max="15293" width="11.140625" style="141" customWidth="1"/>
    <col min="15294" max="15294" width="10.85546875" style="141" customWidth="1"/>
    <col min="15295" max="15295" width="21" style="141" customWidth="1"/>
    <col min="15296" max="15296" width="10.85546875" style="141" customWidth="1"/>
    <col min="15297" max="15297" width="17.42578125" style="141" customWidth="1"/>
    <col min="15298" max="15298" width="14.85546875" style="141" customWidth="1"/>
    <col min="15299" max="15299" width="15" style="141" customWidth="1"/>
    <col min="15300" max="15300" width="14.85546875" style="141" customWidth="1"/>
    <col min="15301" max="15301" width="7.140625" style="141" customWidth="1"/>
    <col min="15302" max="15303" width="20.140625" style="141" customWidth="1"/>
    <col min="15304" max="15304" width="18.42578125" style="141" customWidth="1"/>
    <col min="15305" max="15305" width="9.140625" style="141" customWidth="1"/>
    <col min="15306" max="15306" width="12" style="141" customWidth="1"/>
    <col min="15307" max="15307" width="14.85546875" style="141" customWidth="1"/>
    <col min="15308" max="15308" width="22.42578125" style="141" customWidth="1"/>
    <col min="15309" max="15309" width="14.85546875" style="141" customWidth="1"/>
    <col min="15310" max="15310" width="7.140625" style="141" customWidth="1"/>
    <col min="15311" max="15311" width="20.140625" style="141" customWidth="1"/>
    <col min="15312" max="15543" width="8.85546875" style="141" customWidth="1"/>
    <col min="15544" max="15544" width="8.140625" style="141" customWidth="1"/>
    <col min="15545" max="15545" width="14.5703125" style="141" customWidth="1"/>
    <col min="15546" max="15546" width="37.42578125" style="141" customWidth="1"/>
    <col min="15547" max="15547" width="63.140625" style="141" customWidth="1"/>
    <col min="15548" max="15548" width="20" style="141" customWidth="1"/>
    <col min="15549" max="15549" width="11.140625" style="141" customWidth="1"/>
    <col min="15550" max="15550" width="10.85546875" style="141" customWidth="1"/>
    <col min="15551" max="15551" width="21" style="141" customWidth="1"/>
    <col min="15552" max="15552" width="10.85546875" style="141" customWidth="1"/>
    <col min="15553" max="15553" width="17.42578125" style="141" customWidth="1"/>
    <col min="15554" max="15554" width="14.85546875" style="141" customWidth="1"/>
    <col min="15555" max="15555" width="15" style="141" customWidth="1"/>
    <col min="15556" max="15556" width="14.85546875" style="141" customWidth="1"/>
    <col min="15557" max="15557" width="7.140625" style="141" customWidth="1"/>
    <col min="15558" max="15559" width="20.140625" style="141" customWidth="1"/>
    <col min="15560" max="15560" width="18.42578125" style="141" customWidth="1"/>
    <col min="15561" max="15561" width="9.140625" style="141" customWidth="1"/>
    <col min="15562" max="15562" width="12" style="141" customWidth="1"/>
    <col min="15563" max="15563" width="14.85546875" style="141" customWidth="1"/>
    <col min="15564" max="15564" width="22.42578125" style="141" customWidth="1"/>
    <col min="15565" max="15565" width="14.85546875" style="141" customWidth="1"/>
    <col min="15566" max="15566" width="7.140625" style="141" customWidth="1"/>
    <col min="15567" max="15567" width="20.140625" style="141" customWidth="1"/>
    <col min="15568" max="15799" width="8.85546875" style="141" customWidth="1"/>
    <col min="15800" max="15800" width="8.140625" style="141" customWidth="1"/>
    <col min="15801" max="15801" width="14.5703125" style="141" customWidth="1"/>
    <col min="15802" max="15802" width="37.42578125" style="141" customWidth="1"/>
    <col min="15803" max="15803" width="63.140625" style="141" customWidth="1"/>
    <col min="15804" max="15804" width="20" style="141" customWidth="1"/>
    <col min="15805" max="15805" width="11.140625" style="141" customWidth="1"/>
    <col min="15806" max="15806" width="10.85546875" style="141" customWidth="1"/>
    <col min="15807" max="15807" width="21" style="141" customWidth="1"/>
    <col min="15808" max="15808" width="10.85546875" style="141" customWidth="1"/>
    <col min="15809" max="15809" width="17.42578125" style="141" customWidth="1"/>
    <col min="15810" max="15810" width="14.85546875" style="141" customWidth="1"/>
    <col min="15811" max="15811" width="15" style="141" customWidth="1"/>
    <col min="15812" max="15812" width="14.85546875" style="141" customWidth="1"/>
    <col min="15813" max="15813" width="7.140625" style="141" customWidth="1"/>
    <col min="15814" max="15815" width="20.140625" style="141" customWidth="1"/>
    <col min="15816" max="15816" width="18.42578125" style="141" customWidth="1"/>
    <col min="15817" max="15817" width="9.140625" style="141" customWidth="1"/>
    <col min="15818" max="15818" width="12" style="141" customWidth="1"/>
    <col min="15819" max="15819" width="14.85546875" style="141" customWidth="1"/>
    <col min="15820" max="15820" width="22.42578125" style="141" customWidth="1"/>
    <col min="15821" max="15821" width="14.85546875" style="141" customWidth="1"/>
    <col min="15822" max="15822" width="7.140625" style="141" customWidth="1"/>
    <col min="15823" max="15823" width="20.140625" style="141" customWidth="1"/>
    <col min="15824" max="16055" width="8.85546875" style="141" customWidth="1"/>
    <col min="16056" max="16056" width="8.140625" style="141" customWidth="1"/>
    <col min="16057" max="16057" width="14.5703125" style="141" customWidth="1"/>
    <col min="16058" max="16058" width="37.42578125" style="141" customWidth="1"/>
    <col min="16059" max="16059" width="63.140625" style="141" customWidth="1"/>
    <col min="16060" max="16060" width="20" style="141" customWidth="1"/>
    <col min="16061" max="16061" width="11.140625" style="141" customWidth="1"/>
    <col min="16062" max="16062" width="10.85546875" style="141" customWidth="1"/>
    <col min="16063" max="16063" width="21" style="141" customWidth="1"/>
    <col min="16064" max="16064" width="10.85546875" style="141" customWidth="1"/>
    <col min="16065" max="16065" width="17.42578125" style="141" customWidth="1"/>
    <col min="16066" max="16066" width="14.85546875" style="141" customWidth="1"/>
    <col min="16067" max="16067" width="15" style="141" customWidth="1"/>
    <col min="16068" max="16068" width="14.85546875" style="141" customWidth="1"/>
    <col min="16069" max="16069" width="7.140625" style="141" customWidth="1"/>
    <col min="16070" max="16071" width="20.140625" style="141" customWidth="1"/>
    <col min="16072" max="16072" width="18.42578125" style="141" customWidth="1"/>
    <col min="16073" max="16073" width="9.140625" style="141" customWidth="1"/>
    <col min="16074" max="16074" width="12" style="141" customWidth="1"/>
    <col min="16075" max="16075" width="14.85546875" style="141" customWidth="1"/>
    <col min="16076" max="16076" width="22.42578125" style="141" customWidth="1"/>
    <col min="16077" max="16077" width="14.85546875" style="141" customWidth="1"/>
    <col min="16078" max="16078" width="7.140625" style="141" customWidth="1"/>
    <col min="16079" max="16079" width="20.140625" style="141" customWidth="1"/>
    <col min="16080" max="16384" width="8.85546875" style="141" customWidth="1"/>
  </cols>
  <sheetData>
    <row r="1" spans="1:21" s="2" customFormat="1" ht="14.1" customHeight="1">
      <c r="A1" s="1" t="s">
        <v>680</v>
      </c>
      <c r="E1" s="20"/>
      <c r="Q1" s="10"/>
      <c r="R1" s="10"/>
    </row>
    <row r="2" spans="1:21" s="2" customFormat="1" ht="14.1" customHeight="1">
      <c r="A2" s="4" t="s">
        <v>681</v>
      </c>
      <c r="E2" s="20"/>
      <c r="H2" s="4"/>
      <c r="K2" s="4"/>
      <c r="R2" s="336"/>
      <c r="S2" s="4"/>
    </row>
    <row r="3" spans="1:21" s="2" customFormat="1" ht="14.1" customHeight="1">
      <c r="A3" s="25"/>
      <c r="B3" s="20"/>
      <c r="C3" s="20"/>
      <c r="D3" s="3"/>
      <c r="E3" s="20"/>
      <c r="F3" s="3"/>
      <c r="H3" s="3"/>
      <c r="J3" s="3"/>
      <c r="K3" s="3"/>
      <c r="L3" s="3"/>
      <c r="M3" s="3"/>
      <c r="N3" s="3"/>
      <c r="O3" s="3"/>
      <c r="P3" s="25"/>
      <c r="Q3" s="10"/>
      <c r="R3" s="355" t="s">
        <v>2</v>
      </c>
    </row>
    <row r="4" spans="1:21" s="3" customFormat="1" ht="33" customHeight="1">
      <c r="A4" s="21" t="s">
        <v>3</v>
      </c>
      <c r="B4" s="52" t="s">
        <v>4</v>
      </c>
      <c r="C4" s="52" t="s">
        <v>5</v>
      </c>
      <c r="D4" s="21" t="s">
        <v>6</v>
      </c>
      <c r="E4" s="21" t="s">
        <v>7</v>
      </c>
      <c r="F4" s="21" t="s">
        <v>8</v>
      </c>
      <c r="G4" s="21" t="s">
        <v>9</v>
      </c>
      <c r="H4" s="21" t="s">
        <v>10</v>
      </c>
      <c r="I4" s="21" t="s">
        <v>11</v>
      </c>
      <c r="J4" s="21" t="s">
        <v>12</v>
      </c>
      <c r="K4" s="21" t="s">
        <v>13</v>
      </c>
      <c r="L4" s="21" t="s">
        <v>14</v>
      </c>
      <c r="M4" s="21" t="s">
        <v>15</v>
      </c>
      <c r="N4" s="21" t="s">
        <v>16</v>
      </c>
      <c r="O4" s="21" t="s">
        <v>682</v>
      </c>
      <c r="P4" s="21" t="s">
        <v>18</v>
      </c>
      <c r="Q4" s="30"/>
      <c r="R4" s="41" t="s">
        <v>19</v>
      </c>
      <c r="T4" s="42" t="s">
        <v>20</v>
      </c>
      <c r="U4" s="42" t="s">
        <v>21</v>
      </c>
    </row>
    <row r="5" spans="1:21" s="2" customFormat="1" ht="14.1" customHeight="1">
      <c r="A5" s="7">
        <v>1</v>
      </c>
      <c r="B5" s="14" t="s">
        <v>683</v>
      </c>
      <c r="C5" s="14" t="s">
        <v>683</v>
      </c>
      <c r="D5" s="7" t="s">
        <v>684</v>
      </c>
      <c r="E5" s="14" t="s">
        <v>413</v>
      </c>
      <c r="F5" s="7" t="s">
        <v>685</v>
      </c>
      <c r="G5" s="8" t="s">
        <v>686</v>
      </c>
      <c r="H5" s="7" t="s">
        <v>687</v>
      </c>
      <c r="I5" s="11" t="s">
        <v>688</v>
      </c>
      <c r="J5" s="7" t="s">
        <v>30</v>
      </c>
      <c r="K5" s="7" t="s">
        <v>689</v>
      </c>
      <c r="L5" s="7" t="s">
        <v>293</v>
      </c>
      <c r="M5" s="7"/>
      <c r="N5" s="7">
        <v>1</v>
      </c>
      <c r="O5" s="7"/>
      <c r="P5" s="7"/>
      <c r="Q5" s="10"/>
      <c r="R5" s="9">
        <v>322.98282454251529</v>
      </c>
      <c r="T5" s="7" t="s">
        <v>34</v>
      </c>
      <c r="U5" s="7"/>
    </row>
    <row r="6" spans="1:21" s="2" customFormat="1" ht="14.1" customHeight="1">
      <c r="A6" s="7">
        <v>2</v>
      </c>
      <c r="B6" s="14" t="s">
        <v>683</v>
      </c>
      <c r="C6" s="14" t="s">
        <v>683</v>
      </c>
      <c r="D6" s="7" t="s">
        <v>252</v>
      </c>
      <c r="E6" s="14" t="s">
        <v>409</v>
      </c>
      <c r="F6" s="7" t="s">
        <v>685</v>
      </c>
      <c r="G6" s="8" t="s">
        <v>690</v>
      </c>
      <c r="H6" s="7">
        <v>630</v>
      </c>
      <c r="I6" s="11" t="s">
        <v>691</v>
      </c>
      <c r="J6" s="7" t="s">
        <v>30</v>
      </c>
      <c r="K6" s="7"/>
      <c r="L6" s="7" t="s">
        <v>293</v>
      </c>
      <c r="M6" s="7"/>
      <c r="N6" s="7">
        <v>1</v>
      </c>
      <c r="O6" s="7"/>
      <c r="P6" s="7"/>
      <c r="Q6" s="10"/>
      <c r="R6" s="9">
        <v>8515.3449533096828</v>
      </c>
      <c r="T6" s="7" t="s">
        <v>34</v>
      </c>
      <c r="U6" s="8"/>
    </row>
    <row r="7" spans="1:21" s="2" customFormat="1" ht="14.1" customHeight="1">
      <c r="A7" s="7">
        <v>3</v>
      </c>
      <c r="B7" s="14" t="s">
        <v>683</v>
      </c>
      <c r="C7" s="14" t="s">
        <v>683</v>
      </c>
      <c r="D7" s="7" t="s">
        <v>24</v>
      </c>
      <c r="E7" s="14" t="s">
        <v>25</v>
      </c>
      <c r="F7" s="7" t="s">
        <v>685</v>
      </c>
      <c r="G7" s="8" t="s">
        <v>692</v>
      </c>
      <c r="H7" s="7">
        <v>626</v>
      </c>
      <c r="I7" s="11" t="s">
        <v>693</v>
      </c>
      <c r="J7" s="7" t="s">
        <v>30</v>
      </c>
      <c r="K7" s="7"/>
      <c r="L7" s="7" t="s">
        <v>293</v>
      </c>
      <c r="M7" s="7"/>
      <c r="N7" s="7">
        <v>1</v>
      </c>
      <c r="O7" s="7"/>
      <c r="P7" s="7"/>
      <c r="R7" s="9">
        <v>1484.0975841924351</v>
      </c>
      <c r="T7" s="7" t="s">
        <v>34</v>
      </c>
      <c r="U7" s="8"/>
    </row>
    <row r="8" spans="1:21" s="2" customFormat="1" ht="14.1" customHeight="1">
      <c r="A8" s="7">
        <v>4</v>
      </c>
      <c r="B8" s="14" t="s">
        <v>683</v>
      </c>
      <c r="C8" s="14" t="s">
        <v>683</v>
      </c>
      <c r="D8" s="7" t="s">
        <v>24</v>
      </c>
      <c r="E8" s="14" t="s">
        <v>25</v>
      </c>
      <c r="F8" s="7" t="s">
        <v>685</v>
      </c>
      <c r="G8" s="8" t="s">
        <v>694</v>
      </c>
      <c r="H8" s="7">
        <v>626</v>
      </c>
      <c r="I8" s="11" t="s">
        <v>695</v>
      </c>
      <c r="J8" s="7" t="s">
        <v>30</v>
      </c>
      <c r="K8" s="7"/>
      <c r="L8" s="7" t="s">
        <v>293</v>
      </c>
      <c r="M8" s="7"/>
      <c r="N8" s="7">
        <v>1</v>
      </c>
      <c r="O8" s="7"/>
      <c r="P8" s="7"/>
      <c r="R8" s="9">
        <v>1484.0975841924351</v>
      </c>
      <c r="T8" s="7" t="s">
        <v>34</v>
      </c>
      <c r="U8" s="8"/>
    </row>
    <row r="9" spans="1:21" s="2" customFormat="1" ht="14.1" customHeight="1">
      <c r="A9" s="7">
        <v>5</v>
      </c>
      <c r="B9" s="14" t="s">
        <v>683</v>
      </c>
      <c r="C9" s="14" t="s">
        <v>683</v>
      </c>
      <c r="D9" s="7" t="s">
        <v>24</v>
      </c>
      <c r="E9" s="14" t="s">
        <v>25</v>
      </c>
      <c r="F9" s="7" t="s">
        <v>685</v>
      </c>
      <c r="G9" s="8" t="s">
        <v>696</v>
      </c>
      <c r="H9" s="7" t="s">
        <v>697</v>
      </c>
      <c r="I9" s="11" t="s">
        <v>698</v>
      </c>
      <c r="J9" s="7" t="s">
        <v>30</v>
      </c>
      <c r="K9" s="7"/>
      <c r="L9" s="7" t="s">
        <v>293</v>
      </c>
      <c r="M9" s="7"/>
      <c r="N9" s="7">
        <v>1</v>
      </c>
      <c r="O9" s="7"/>
      <c r="P9" s="7"/>
      <c r="Q9" s="10"/>
      <c r="R9" s="9">
        <v>2404.9101020874609</v>
      </c>
      <c r="T9" s="7" t="s">
        <v>34</v>
      </c>
      <c r="U9" s="8"/>
    </row>
    <row r="10" spans="1:21" s="2" customFormat="1" ht="14.1" customHeight="1">
      <c r="A10" s="7">
        <v>6</v>
      </c>
      <c r="B10" s="14" t="s">
        <v>683</v>
      </c>
      <c r="C10" s="14" t="s">
        <v>683</v>
      </c>
      <c r="D10" s="7" t="s">
        <v>24</v>
      </c>
      <c r="E10" s="14" t="s">
        <v>25</v>
      </c>
      <c r="F10" s="7" t="s">
        <v>685</v>
      </c>
      <c r="G10" s="8" t="s">
        <v>699</v>
      </c>
      <c r="H10" s="7">
        <v>652</v>
      </c>
      <c r="I10" s="11" t="s">
        <v>700</v>
      </c>
      <c r="J10" s="7" t="s">
        <v>30</v>
      </c>
      <c r="K10" s="7"/>
      <c r="L10" s="7" t="s">
        <v>293</v>
      </c>
      <c r="M10" s="7"/>
      <c r="N10" s="7">
        <v>1</v>
      </c>
      <c r="O10" s="7"/>
      <c r="P10" s="7"/>
      <c r="R10" s="9">
        <v>1501.8418188546179</v>
      </c>
      <c r="T10" s="7" t="s">
        <v>34</v>
      </c>
      <c r="U10" s="8"/>
    </row>
    <row r="11" spans="1:21" s="2" customFormat="1" ht="14.1" customHeight="1">
      <c r="A11" s="7">
        <v>7</v>
      </c>
      <c r="B11" s="14" t="s">
        <v>683</v>
      </c>
      <c r="C11" s="14" t="s">
        <v>683</v>
      </c>
      <c r="D11" s="7" t="s">
        <v>24</v>
      </c>
      <c r="E11" s="14" t="s">
        <v>25</v>
      </c>
      <c r="F11" s="7" t="s">
        <v>685</v>
      </c>
      <c r="G11" s="8" t="s">
        <v>701</v>
      </c>
      <c r="H11" s="7">
        <v>626</v>
      </c>
      <c r="I11" s="11" t="s">
        <v>702</v>
      </c>
      <c r="J11" s="7" t="s">
        <v>30</v>
      </c>
      <c r="K11" s="7"/>
      <c r="L11" s="7" t="s">
        <v>293</v>
      </c>
      <c r="M11" s="7"/>
      <c r="N11" s="7">
        <v>1</v>
      </c>
      <c r="O11" s="7"/>
      <c r="P11" s="7"/>
      <c r="R11" s="9">
        <v>1484.0975841924351</v>
      </c>
      <c r="T11" s="7" t="s">
        <v>34</v>
      </c>
      <c r="U11" s="8"/>
    </row>
    <row r="12" spans="1:21" s="2" customFormat="1" ht="14.1" customHeight="1">
      <c r="A12" s="7">
        <v>8</v>
      </c>
      <c r="B12" s="14" t="s">
        <v>683</v>
      </c>
      <c r="C12" s="14" t="s">
        <v>683</v>
      </c>
      <c r="D12" s="7" t="s">
        <v>24</v>
      </c>
      <c r="E12" s="14" t="s">
        <v>25</v>
      </c>
      <c r="F12" s="7" t="s">
        <v>685</v>
      </c>
      <c r="G12" s="8" t="s">
        <v>703</v>
      </c>
      <c r="H12" s="7">
        <v>626</v>
      </c>
      <c r="I12" s="11" t="s">
        <v>704</v>
      </c>
      <c r="J12" s="7" t="s">
        <v>30</v>
      </c>
      <c r="K12" s="7"/>
      <c r="L12" s="7" t="s">
        <v>293</v>
      </c>
      <c r="M12" s="7"/>
      <c r="N12" s="7">
        <v>1</v>
      </c>
      <c r="O12" s="7"/>
      <c r="P12" s="7"/>
      <c r="R12" s="9">
        <v>1484.0975841924351</v>
      </c>
      <c r="T12" s="7" t="s">
        <v>34</v>
      </c>
      <c r="U12" s="8"/>
    </row>
    <row r="13" spans="1:21" s="2" customFormat="1" ht="14.1" customHeight="1">
      <c r="A13" s="7">
        <v>9</v>
      </c>
      <c r="B13" s="14" t="s">
        <v>683</v>
      </c>
      <c r="C13" s="14" t="s">
        <v>683</v>
      </c>
      <c r="D13" s="7" t="s">
        <v>24</v>
      </c>
      <c r="E13" s="14" t="s">
        <v>25</v>
      </c>
      <c r="F13" s="7" t="s">
        <v>685</v>
      </c>
      <c r="G13" s="8" t="s">
        <v>705</v>
      </c>
      <c r="H13" s="7">
        <v>628</v>
      </c>
      <c r="I13" s="11" t="s">
        <v>706</v>
      </c>
      <c r="J13" s="7" t="s">
        <v>30</v>
      </c>
      <c r="K13" s="7"/>
      <c r="L13" s="7" t="s">
        <v>293</v>
      </c>
      <c r="M13" s="7"/>
      <c r="N13" s="7">
        <v>1</v>
      </c>
      <c r="O13" s="7"/>
      <c r="P13" s="7"/>
      <c r="Q13" s="10"/>
      <c r="R13" s="9">
        <v>1717.7929300624719</v>
      </c>
      <c r="T13" s="7" t="s">
        <v>34</v>
      </c>
      <c r="U13" s="8"/>
    </row>
    <row r="14" spans="1:21" s="2" customFormat="1" ht="14.1" customHeight="1">
      <c r="A14" s="7">
        <v>10</v>
      </c>
      <c r="B14" s="14" t="s">
        <v>683</v>
      </c>
      <c r="C14" s="14" t="s">
        <v>683</v>
      </c>
      <c r="D14" s="7" t="s">
        <v>35</v>
      </c>
      <c r="E14" s="14" t="s">
        <v>36</v>
      </c>
      <c r="F14" s="7" t="s">
        <v>685</v>
      </c>
      <c r="G14" s="8" t="s">
        <v>707</v>
      </c>
      <c r="H14" s="7" t="s">
        <v>42</v>
      </c>
      <c r="I14" s="11" t="s">
        <v>708</v>
      </c>
      <c r="J14" s="7" t="s">
        <v>30</v>
      </c>
      <c r="K14" s="7"/>
      <c r="L14" s="7" t="s">
        <v>293</v>
      </c>
      <c r="M14" s="7"/>
      <c r="N14" s="7">
        <v>1</v>
      </c>
      <c r="O14" s="7"/>
      <c r="P14" s="7"/>
      <c r="R14" s="9">
        <v>4795.2850332282387</v>
      </c>
      <c r="T14" s="7" t="s">
        <v>34</v>
      </c>
      <c r="U14" s="8"/>
    </row>
    <row r="15" spans="1:21" s="2" customFormat="1" ht="14.1" customHeight="1">
      <c r="A15" s="7">
        <v>11</v>
      </c>
      <c r="B15" s="14" t="s">
        <v>683</v>
      </c>
      <c r="C15" s="14" t="s">
        <v>683</v>
      </c>
      <c r="D15" s="7" t="s">
        <v>35</v>
      </c>
      <c r="E15" s="14" t="s">
        <v>36</v>
      </c>
      <c r="F15" s="7" t="s">
        <v>685</v>
      </c>
      <c r="G15" s="257" t="s">
        <v>709</v>
      </c>
      <c r="H15" s="7" t="s">
        <v>42</v>
      </c>
      <c r="I15" s="11" t="s">
        <v>710</v>
      </c>
      <c r="J15" s="7" t="s">
        <v>30</v>
      </c>
      <c r="K15" s="7"/>
      <c r="L15" s="7" t="s">
        <v>293</v>
      </c>
      <c r="M15" s="7"/>
      <c r="N15" s="7">
        <v>1</v>
      </c>
      <c r="O15" s="7"/>
      <c r="P15" s="7"/>
      <c r="Q15" s="10"/>
      <c r="R15" s="9">
        <v>397.54636381445778</v>
      </c>
      <c r="T15" s="7" t="s">
        <v>34</v>
      </c>
      <c r="U15" s="8"/>
    </row>
    <row r="16" spans="1:21" s="2" customFormat="1" ht="14.1" customHeight="1">
      <c r="A16" s="7">
        <v>12</v>
      </c>
      <c r="B16" s="14" t="s">
        <v>711</v>
      </c>
      <c r="C16" s="14" t="s">
        <v>711</v>
      </c>
      <c r="D16" s="7" t="s">
        <v>24</v>
      </c>
      <c r="E16" s="14" t="s">
        <v>25</v>
      </c>
      <c r="F16" s="7" t="s">
        <v>712</v>
      </c>
      <c r="G16" s="8" t="s">
        <v>713</v>
      </c>
      <c r="H16" s="7">
        <v>630</v>
      </c>
      <c r="I16" s="11" t="s">
        <v>714</v>
      </c>
      <c r="J16" s="7" t="s">
        <v>30</v>
      </c>
      <c r="K16" s="7"/>
      <c r="L16" s="7" t="s">
        <v>293</v>
      </c>
      <c r="M16" s="7"/>
      <c r="N16" s="7">
        <v>1</v>
      </c>
      <c r="O16" s="7"/>
      <c r="P16" s="7"/>
      <c r="Q16" s="10"/>
      <c r="R16" s="9">
        <v>6283.7242918592929</v>
      </c>
      <c r="T16" s="7" t="s">
        <v>34</v>
      </c>
      <c r="U16" s="8"/>
    </row>
    <row r="17" spans="1:21" s="2" customFormat="1" ht="14.1" customHeight="1">
      <c r="A17" s="7">
        <v>13</v>
      </c>
      <c r="B17" s="14" t="s">
        <v>715</v>
      </c>
      <c r="C17" s="14" t="s">
        <v>715</v>
      </c>
      <c r="D17" s="110" t="s">
        <v>30</v>
      </c>
      <c r="E17" s="305" t="s">
        <v>716</v>
      </c>
      <c r="F17" s="7" t="s">
        <v>717</v>
      </c>
      <c r="G17" s="8" t="s">
        <v>718</v>
      </c>
      <c r="H17" s="7" t="s">
        <v>42</v>
      </c>
      <c r="I17" s="11" t="s">
        <v>719</v>
      </c>
      <c r="J17" s="7" t="s">
        <v>30</v>
      </c>
      <c r="K17" s="7"/>
      <c r="L17" s="7" t="s">
        <v>293</v>
      </c>
      <c r="M17" s="7"/>
      <c r="N17" s="7">
        <v>1</v>
      </c>
      <c r="O17" s="7"/>
      <c r="P17" s="7"/>
      <c r="Q17" s="10"/>
      <c r="R17" s="9">
        <v>510.42989921856298</v>
      </c>
      <c r="T17" s="7" t="s">
        <v>34</v>
      </c>
      <c r="U17" s="8"/>
    </row>
    <row r="18" spans="1:21" s="2" customFormat="1" ht="14.1" customHeight="1">
      <c r="A18" s="7">
        <v>14</v>
      </c>
      <c r="B18" s="14" t="s">
        <v>715</v>
      </c>
      <c r="C18" s="14" t="s">
        <v>715</v>
      </c>
      <c r="D18" s="110" t="s">
        <v>30</v>
      </c>
      <c r="E18" s="305" t="s">
        <v>716</v>
      </c>
      <c r="F18" s="7" t="s">
        <v>717</v>
      </c>
      <c r="G18" s="8" t="s">
        <v>720</v>
      </c>
      <c r="H18" s="7" t="s">
        <v>42</v>
      </c>
      <c r="I18" s="11" t="s">
        <v>721</v>
      </c>
      <c r="J18" s="7" t="s">
        <v>30</v>
      </c>
      <c r="K18" s="7"/>
      <c r="L18" s="7" t="s">
        <v>293</v>
      </c>
      <c r="M18" s="7"/>
      <c r="N18" s="7">
        <v>1</v>
      </c>
      <c r="O18" s="7"/>
      <c r="P18" s="7"/>
      <c r="Q18" s="10"/>
      <c r="R18" s="9">
        <v>402.45434361463629</v>
      </c>
      <c r="T18" s="7" t="s">
        <v>34</v>
      </c>
      <c r="U18" s="8"/>
    </row>
    <row r="19" spans="1:21" s="2" customFormat="1" ht="14.1" customHeight="1">
      <c r="A19" s="7">
        <v>15</v>
      </c>
      <c r="B19" s="14" t="s">
        <v>715</v>
      </c>
      <c r="C19" s="14" t="s">
        <v>715</v>
      </c>
      <c r="D19" s="110" t="s">
        <v>30</v>
      </c>
      <c r="E19" s="305" t="s">
        <v>716</v>
      </c>
      <c r="F19" s="7" t="s">
        <v>717</v>
      </c>
      <c r="G19" s="8" t="s">
        <v>722</v>
      </c>
      <c r="H19" s="7" t="s">
        <v>42</v>
      </c>
      <c r="I19" s="11" t="s">
        <v>723</v>
      </c>
      <c r="J19" s="7" t="s">
        <v>30</v>
      </c>
      <c r="K19" s="7"/>
      <c r="L19" s="7" t="s">
        <v>293</v>
      </c>
      <c r="M19" s="7"/>
      <c r="N19" s="7">
        <v>1</v>
      </c>
      <c r="O19" s="7"/>
      <c r="P19" s="7"/>
      <c r="Q19" s="10"/>
      <c r="R19" s="9">
        <v>237.84825185480369</v>
      </c>
      <c r="T19" s="7" t="s">
        <v>34</v>
      </c>
      <c r="U19" s="8"/>
    </row>
    <row r="20" spans="1:21" s="2" customFormat="1" ht="14.1" customHeight="1">
      <c r="A20" s="7">
        <v>16</v>
      </c>
      <c r="B20" s="14" t="s">
        <v>715</v>
      </c>
      <c r="C20" s="14" t="s">
        <v>715</v>
      </c>
      <c r="D20" s="7" t="s">
        <v>24</v>
      </c>
      <c r="E20" s="14" t="s">
        <v>25</v>
      </c>
      <c r="F20" s="7" t="s">
        <v>717</v>
      </c>
      <c r="G20" s="8" t="s">
        <v>724</v>
      </c>
      <c r="H20" s="7" t="s">
        <v>42</v>
      </c>
      <c r="I20" s="11" t="s">
        <v>725</v>
      </c>
      <c r="J20" s="7" t="s">
        <v>30</v>
      </c>
      <c r="K20" s="7"/>
      <c r="L20" s="7" t="s">
        <v>293</v>
      </c>
      <c r="M20" s="7"/>
      <c r="N20" s="7">
        <v>1</v>
      </c>
      <c r="O20" s="7"/>
      <c r="P20" s="7"/>
      <c r="Q20" s="10"/>
      <c r="R20" s="9">
        <v>4471.1695979626056</v>
      </c>
      <c r="T20" s="7" t="s">
        <v>34</v>
      </c>
      <c r="U20" s="8"/>
    </row>
    <row r="21" spans="1:21" s="2" customFormat="1" ht="14.1" customHeight="1">
      <c r="A21" s="7">
        <v>17</v>
      </c>
      <c r="B21" s="14" t="s">
        <v>715</v>
      </c>
      <c r="C21" s="14" t="s">
        <v>715</v>
      </c>
      <c r="D21" s="7" t="s">
        <v>24</v>
      </c>
      <c r="E21" s="14" t="s">
        <v>25</v>
      </c>
      <c r="F21" s="7" t="s">
        <v>717</v>
      </c>
      <c r="G21" s="8" t="s">
        <v>726</v>
      </c>
      <c r="H21" s="7" t="s">
        <v>42</v>
      </c>
      <c r="I21" s="11" t="s">
        <v>727</v>
      </c>
      <c r="J21" s="7" t="s">
        <v>30</v>
      </c>
      <c r="K21" s="7"/>
      <c r="L21" s="7" t="s">
        <v>293</v>
      </c>
      <c r="M21" s="7"/>
      <c r="N21" s="7">
        <v>1</v>
      </c>
      <c r="O21" s="7"/>
      <c r="P21" s="7"/>
      <c r="Q21" s="10"/>
      <c r="R21" s="9">
        <v>4132.5189917502894</v>
      </c>
      <c r="T21" s="7" t="s">
        <v>34</v>
      </c>
      <c r="U21" s="8"/>
    </row>
    <row r="22" spans="1:21" s="2" customFormat="1" ht="14.1" customHeight="1">
      <c r="A22" s="7">
        <v>18</v>
      </c>
      <c r="B22" s="14" t="s">
        <v>715</v>
      </c>
      <c r="C22" s="14" t="s">
        <v>715</v>
      </c>
      <c r="D22" s="7" t="s">
        <v>24</v>
      </c>
      <c r="E22" s="14" t="s">
        <v>25</v>
      </c>
      <c r="F22" s="7" t="s">
        <v>717</v>
      </c>
      <c r="G22" s="8" t="s">
        <v>728</v>
      </c>
      <c r="H22" s="7">
        <v>626</v>
      </c>
      <c r="I22" s="11" t="s">
        <v>729</v>
      </c>
      <c r="J22" s="7" t="s">
        <v>30</v>
      </c>
      <c r="K22" s="7"/>
      <c r="L22" s="7" t="s">
        <v>293</v>
      </c>
      <c r="M22" s="7"/>
      <c r="N22" s="7">
        <v>1</v>
      </c>
      <c r="O22" s="7"/>
      <c r="P22" s="7"/>
      <c r="Q22" s="10"/>
      <c r="R22" s="9">
        <v>574.23363662088354</v>
      </c>
      <c r="T22" s="7" t="s">
        <v>34</v>
      </c>
      <c r="U22" s="8"/>
    </row>
    <row r="23" spans="1:21" s="2" customFormat="1" ht="14.1" customHeight="1">
      <c r="A23" s="7">
        <v>19</v>
      </c>
      <c r="B23" s="14" t="s">
        <v>715</v>
      </c>
      <c r="C23" s="14" t="s">
        <v>715</v>
      </c>
      <c r="D23" s="7" t="s">
        <v>45</v>
      </c>
      <c r="E23" s="136" t="s">
        <v>46</v>
      </c>
      <c r="F23" s="7" t="s">
        <v>717</v>
      </c>
      <c r="G23" s="8" t="s">
        <v>730</v>
      </c>
      <c r="H23" s="7" t="s">
        <v>42</v>
      </c>
      <c r="I23" s="11" t="s">
        <v>731</v>
      </c>
      <c r="J23" s="7" t="s">
        <v>30</v>
      </c>
      <c r="K23" s="7"/>
      <c r="L23" s="7" t="s">
        <v>293</v>
      </c>
      <c r="M23" s="7"/>
      <c r="N23" s="7">
        <v>1</v>
      </c>
      <c r="O23" s="7"/>
      <c r="P23" s="7"/>
      <c r="Q23" s="10"/>
      <c r="R23" s="9">
        <v>1187.7311116431949</v>
      </c>
      <c r="T23" s="7" t="s">
        <v>34</v>
      </c>
      <c r="U23" s="8"/>
    </row>
    <row r="24" spans="1:21" s="2" customFormat="1" ht="14.1" customHeight="1">
      <c r="A24" s="7">
        <v>20</v>
      </c>
      <c r="B24" s="14" t="s">
        <v>715</v>
      </c>
      <c r="C24" s="14" t="s">
        <v>715</v>
      </c>
      <c r="D24" s="7" t="s">
        <v>45</v>
      </c>
      <c r="E24" s="136" t="s">
        <v>46</v>
      </c>
      <c r="F24" s="7" t="s">
        <v>717</v>
      </c>
      <c r="G24" s="8" t="s">
        <v>732</v>
      </c>
      <c r="H24" s="7" t="s">
        <v>42</v>
      </c>
      <c r="I24" s="11" t="s">
        <v>733</v>
      </c>
      <c r="J24" s="7" t="s">
        <v>30</v>
      </c>
      <c r="K24" s="7"/>
      <c r="L24" s="7" t="s">
        <v>293</v>
      </c>
      <c r="M24" s="7"/>
      <c r="N24" s="7">
        <v>1</v>
      </c>
      <c r="O24" s="7"/>
      <c r="P24" s="7"/>
      <c r="Q24" s="10"/>
      <c r="R24" s="9">
        <v>1653.989192660152</v>
      </c>
      <c r="T24" s="7" t="s">
        <v>34</v>
      </c>
      <c r="U24" s="8"/>
    </row>
    <row r="25" spans="1:21" s="2" customFormat="1" ht="14.1" customHeight="1">
      <c r="A25" s="7">
        <v>21</v>
      </c>
      <c r="B25" s="14" t="s">
        <v>715</v>
      </c>
      <c r="C25" s="14" t="s">
        <v>715</v>
      </c>
      <c r="D25" s="7" t="s">
        <v>45</v>
      </c>
      <c r="E25" s="136" t="s">
        <v>46</v>
      </c>
      <c r="F25" s="7" t="s">
        <v>717</v>
      </c>
      <c r="G25" s="8" t="s">
        <v>734</v>
      </c>
      <c r="H25" s="7" t="s">
        <v>42</v>
      </c>
      <c r="I25" s="11" t="s">
        <v>735</v>
      </c>
      <c r="J25" s="7" t="s">
        <v>30</v>
      </c>
      <c r="K25" s="7"/>
      <c r="L25" s="7" t="s">
        <v>293</v>
      </c>
      <c r="M25" s="7"/>
      <c r="N25" s="7">
        <v>1</v>
      </c>
      <c r="O25" s="7"/>
      <c r="P25" s="7"/>
      <c r="Q25" s="10"/>
      <c r="R25" s="9">
        <v>5300.6181841927701</v>
      </c>
      <c r="T25" s="7" t="s">
        <v>34</v>
      </c>
      <c r="U25" s="8"/>
    </row>
    <row r="26" spans="1:21" s="2" customFormat="1" ht="14.1" customHeight="1">
      <c r="A26" s="7">
        <v>22</v>
      </c>
      <c r="B26" s="14" t="s">
        <v>715</v>
      </c>
      <c r="C26" s="14" t="s">
        <v>715</v>
      </c>
      <c r="D26" s="7" t="s">
        <v>45</v>
      </c>
      <c r="E26" s="136" t="s">
        <v>46</v>
      </c>
      <c r="F26" s="7" t="s">
        <v>717</v>
      </c>
      <c r="G26" s="257" t="s">
        <v>736</v>
      </c>
      <c r="H26" s="7" t="s">
        <v>42</v>
      </c>
      <c r="I26" s="269" t="s">
        <v>737</v>
      </c>
      <c r="J26" s="7" t="s">
        <v>30</v>
      </c>
      <c r="K26" s="7"/>
      <c r="L26" s="7" t="s">
        <v>293</v>
      </c>
      <c r="M26" s="7"/>
      <c r="N26" s="7">
        <v>1</v>
      </c>
      <c r="O26" s="7"/>
      <c r="P26" s="7"/>
      <c r="Q26" s="140"/>
      <c r="R26" s="9">
        <v>5891.8409816604262</v>
      </c>
      <c r="T26" s="7" t="s">
        <v>34</v>
      </c>
      <c r="U26" s="8"/>
    </row>
    <row r="27" spans="1:21" s="2" customFormat="1" ht="14.1" customHeight="1">
      <c r="A27" s="7">
        <v>23</v>
      </c>
      <c r="B27" s="14" t="s">
        <v>715</v>
      </c>
      <c r="C27" s="14" t="s">
        <v>715</v>
      </c>
      <c r="D27" s="7" t="s">
        <v>45</v>
      </c>
      <c r="E27" s="136" t="s">
        <v>46</v>
      </c>
      <c r="F27" s="7" t="s">
        <v>717</v>
      </c>
      <c r="G27" s="257" t="s">
        <v>738</v>
      </c>
      <c r="H27" t="s">
        <v>42</v>
      </c>
      <c r="I27" s="269" t="s">
        <v>739</v>
      </c>
      <c r="J27" s="7" t="s">
        <v>30</v>
      </c>
      <c r="K27" s="7"/>
      <c r="L27" s="7" t="s">
        <v>293</v>
      </c>
      <c r="M27" s="7"/>
      <c r="N27" s="7">
        <v>1</v>
      </c>
      <c r="O27" s="7"/>
      <c r="P27" s="7"/>
      <c r="Q27" s="140"/>
      <c r="R27" s="9">
        <v>6632.5683945796718</v>
      </c>
      <c r="T27" s="7" t="s">
        <v>34</v>
      </c>
      <c r="U27" s="8"/>
    </row>
    <row r="28" spans="1:21" ht="14.1" customHeight="1">
      <c r="A28" s="7">
        <v>24</v>
      </c>
      <c r="B28" s="14" t="s">
        <v>715</v>
      </c>
      <c r="C28" s="14" t="s">
        <v>715</v>
      </c>
      <c r="D28" s="7" t="s">
        <v>45</v>
      </c>
      <c r="E28" s="136" t="s">
        <v>46</v>
      </c>
      <c r="F28" s="7" t="s">
        <v>717</v>
      </c>
      <c r="G28" s="8" t="s">
        <v>740</v>
      </c>
      <c r="H28" s="7" t="s">
        <v>459</v>
      </c>
      <c r="I28" s="11" t="s">
        <v>741</v>
      </c>
      <c r="J28" s="7" t="s">
        <v>30</v>
      </c>
      <c r="K28" s="7"/>
      <c r="L28" s="7" t="s">
        <v>293</v>
      </c>
      <c r="M28" s="7">
        <v>84719000</v>
      </c>
      <c r="N28" s="7">
        <v>1</v>
      </c>
      <c r="O28" s="7"/>
      <c r="P28" s="7"/>
      <c r="R28" s="9">
        <v>5076.3612610153841</v>
      </c>
      <c r="T28" s="7" t="s">
        <v>34</v>
      </c>
      <c r="U28" s="8"/>
    </row>
    <row r="29" spans="1:21" ht="14.1" customHeight="1">
      <c r="A29" s="7">
        <v>25</v>
      </c>
      <c r="B29" s="14" t="s">
        <v>715</v>
      </c>
      <c r="C29" s="14" t="s">
        <v>715</v>
      </c>
      <c r="D29" s="7" t="s">
        <v>45</v>
      </c>
      <c r="E29" s="136" t="s">
        <v>46</v>
      </c>
      <c r="F29" s="7" t="s">
        <v>717</v>
      </c>
      <c r="G29" s="8" t="s">
        <v>742</v>
      </c>
      <c r="H29" s="7" t="s">
        <v>459</v>
      </c>
      <c r="I29" s="11" t="s">
        <v>743</v>
      </c>
      <c r="J29" s="7" t="s">
        <v>30</v>
      </c>
      <c r="K29" s="7"/>
      <c r="L29" s="7" t="s">
        <v>293</v>
      </c>
      <c r="M29" s="7">
        <v>84719000</v>
      </c>
      <c r="N29" s="7">
        <v>1</v>
      </c>
      <c r="O29" s="7"/>
      <c r="P29" s="7"/>
      <c r="R29" s="9">
        <v>5185.0918904347227</v>
      </c>
      <c r="T29" s="7" t="s">
        <v>34</v>
      </c>
      <c r="U29" s="8"/>
    </row>
    <row r="30" spans="1:21" ht="14.1" customHeight="1">
      <c r="A30" s="7">
        <v>26</v>
      </c>
      <c r="B30" s="14" t="s">
        <v>715</v>
      </c>
      <c r="C30" s="14" t="s">
        <v>715</v>
      </c>
      <c r="D30" s="7" t="s">
        <v>45</v>
      </c>
      <c r="E30" s="136" t="s">
        <v>46</v>
      </c>
      <c r="F30" s="7" t="s">
        <v>717</v>
      </c>
      <c r="G30" s="8" t="s">
        <v>744</v>
      </c>
      <c r="H30" s="7" t="s">
        <v>459</v>
      </c>
      <c r="I30" s="11" t="s">
        <v>745</v>
      </c>
      <c r="J30" s="7" t="s">
        <v>30</v>
      </c>
      <c r="K30" s="7"/>
      <c r="L30" s="7" t="s">
        <v>293</v>
      </c>
      <c r="M30" s="7">
        <v>84719000</v>
      </c>
      <c r="N30" s="7">
        <v>1</v>
      </c>
      <c r="O30" s="7"/>
      <c r="P30" s="7"/>
      <c r="R30" s="9">
        <v>5817.0886739346306</v>
      </c>
      <c r="T30" s="7" t="s">
        <v>34</v>
      </c>
      <c r="U30" s="8"/>
    </row>
    <row r="31" spans="1:21" ht="14.1" customHeight="1">
      <c r="A31" s="7">
        <v>27</v>
      </c>
      <c r="B31" s="14" t="s">
        <v>715</v>
      </c>
      <c r="C31" s="14" t="s">
        <v>715</v>
      </c>
      <c r="D31" s="7" t="s">
        <v>45</v>
      </c>
      <c r="E31" s="136" t="s">
        <v>46</v>
      </c>
      <c r="F31" s="7" t="s">
        <v>717</v>
      </c>
      <c r="G31" s="8" t="s">
        <v>746</v>
      </c>
      <c r="H31" s="7" t="s">
        <v>459</v>
      </c>
      <c r="I31" s="11" t="s">
        <v>747</v>
      </c>
      <c r="J31" s="7" t="s">
        <v>30</v>
      </c>
      <c r="K31" s="7"/>
      <c r="L31" s="7" t="s">
        <v>293</v>
      </c>
      <c r="M31" s="7">
        <v>84719000</v>
      </c>
      <c r="N31" s="7">
        <v>1</v>
      </c>
      <c r="O31" s="7"/>
      <c r="P31" s="7"/>
      <c r="R31" s="9">
        <v>5667.5840584830376</v>
      </c>
      <c r="T31" s="7" t="s">
        <v>34</v>
      </c>
      <c r="U31" s="8"/>
    </row>
    <row r="32" spans="1:21" ht="14.1" customHeight="1">
      <c r="A32" s="7">
        <v>28</v>
      </c>
      <c r="B32" s="14" t="s">
        <v>715</v>
      </c>
      <c r="C32" s="14" t="s">
        <v>715</v>
      </c>
      <c r="D32" s="7" t="s">
        <v>45</v>
      </c>
      <c r="E32" s="136" t="s">
        <v>46</v>
      </c>
      <c r="F32" s="7" t="s">
        <v>717</v>
      </c>
      <c r="G32" s="8" t="s">
        <v>748</v>
      </c>
      <c r="H32" s="7" t="s">
        <v>459</v>
      </c>
      <c r="I32" s="11" t="s">
        <v>749</v>
      </c>
      <c r="J32" s="7" t="s">
        <v>30</v>
      </c>
      <c r="K32" s="7"/>
      <c r="L32" s="7" t="s">
        <v>293</v>
      </c>
      <c r="M32" s="7">
        <v>84719000</v>
      </c>
      <c r="N32" s="7">
        <v>1</v>
      </c>
      <c r="O32" s="7"/>
      <c r="P32" s="7"/>
      <c r="R32" s="9">
        <v>5783.1103522410867</v>
      </c>
      <c r="T32" s="7" t="s">
        <v>34</v>
      </c>
      <c r="U32" s="8"/>
    </row>
    <row r="33" spans="1:21" ht="14.1" customHeight="1">
      <c r="A33" s="7">
        <v>29</v>
      </c>
      <c r="B33" s="14" t="s">
        <v>715</v>
      </c>
      <c r="C33" s="14" t="s">
        <v>715</v>
      </c>
      <c r="D33" s="7" t="s">
        <v>45</v>
      </c>
      <c r="E33" s="136" t="s">
        <v>46</v>
      </c>
      <c r="F33" s="7" t="s">
        <v>717</v>
      </c>
      <c r="G33" s="8" t="s">
        <v>750</v>
      </c>
      <c r="H33" s="7" t="s">
        <v>459</v>
      </c>
      <c r="I33" s="11" t="s">
        <v>751</v>
      </c>
      <c r="J33" s="7" t="s">
        <v>30</v>
      </c>
      <c r="K33" s="7"/>
      <c r="L33" s="7" t="s">
        <v>293</v>
      </c>
      <c r="M33" s="7">
        <v>84719000</v>
      </c>
      <c r="N33" s="7">
        <v>1</v>
      </c>
      <c r="O33" s="7"/>
      <c r="P33" s="7"/>
      <c r="R33" s="9">
        <v>6408.3114714022859</v>
      </c>
      <c r="T33" s="7" t="s">
        <v>34</v>
      </c>
      <c r="U33" s="8"/>
    </row>
    <row r="34" spans="1:21" ht="14.1" customHeight="1">
      <c r="A34" s="7">
        <v>30</v>
      </c>
      <c r="B34" s="14" t="s">
        <v>715</v>
      </c>
      <c r="C34" s="14" t="s">
        <v>715</v>
      </c>
      <c r="D34" s="7" t="s">
        <v>45</v>
      </c>
      <c r="E34" s="136" t="s">
        <v>46</v>
      </c>
      <c r="F34" s="7" t="s">
        <v>717</v>
      </c>
      <c r="G34" s="8" t="s">
        <v>752</v>
      </c>
      <c r="H34" s="7" t="s">
        <v>459</v>
      </c>
      <c r="I34" s="11" t="s">
        <v>753</v>
      </c>
      <c r="J34" s="7" t="s">
        <v>30</v>
      </c>
      <c r="K34" s="7"/>
      <c r="L34" s="7" t="s">
        <v>293</v>
      </c>
      <c r="M34" s="7">
        <v>84719000</v>
      </c>
      <c r="N34" s="7">
        <v>1</v>
      </c>
      <c r="O34" s="7"/>
      <c r="P34" s="7"/>
      <c r="R34" s="9">
        <v>2854.1790222576451</v>
      </c>
      <c r="T34" s="7" t="s">
        <v>34</v>
      </c>
      <c r="U34" s="8"/>
    </row>
    <row r="35" spans="1:21" ht="14.1" customHeight="1">
      <c r="A35" s="7">
        <v>31</v>
      </c>
      <c r="B35" s="14" t="s">
        <v>715</v>
      </c>
      <c r="C35" s="14" t="s">
        <v>715</v>
      </c>
      <c r="D35" s="7" t="s">
        <v>45</v>
      </c>
      <c r="E35" s="136" t="s">
        <v>46</v>
      </c>
      <c r="F35" s="7" t="s">
        <v>717</v>
      </c>
      <c r="G35" s="8" t="s">
        <v>754</v>
      </c>
      <c r="H35" s="7" t="s">
        <v>459</v>
      </c>
      <c r="I35" s="11" t="s">
        <v>755</v>
      </c>
      <c r="J35" s="7" t="s">
        <v>30</v>
      </c>
      <c r="K35" s="7"/>
      <c r="L35" s="7" t="s">
        <v>293</v>
      </c>
      <c r="M35" s="7">
        <v>84719000</v>
      </c>
      <c r="N35" s="7">
        <v>1</v>
      </c>
      <c r="O35" s="7"/>
      <c r="P35" s="7"/>
      <c r="R35" s="9">
        <v>3594.906435176892</v>
      </c>
      <c r="T35" s="7" t="s">
        <v>34</v>
      </c>
      <c r="U35" s="8"/>
    </row>
    <row r="36" spans="1:21" ht="14.1" customHeight="1">
      <c r="A36" s="7">
        <v>32</v>
      </c>
      <c r="B36" s="14" t="s">
        <v>715</v>
      </c>
      <c r="C36" s="14" t="s">
        <v>715</v>
      </c>
      <c r="D36" s="7" t="s">
        <v>45</v>
      </c>
      <c r="E36" s="136" t="s">
        <v>46</v>
      </c>
      <c r="F36" s="7" t="s">
        <v>717</v>
      </c>
      <c r="G36" s="8" t="s">
        <v>756</v>
      </c>
      <c r="H36" s="7" t="s">
        <v>459</v>
      </c>
      <c r="I36" s="11" t="s">
        <v>757</v>
      </c>
      <c r="J36" s="7" t="s">
        <v>30</v>
      </c>
      <c r="K36" s="7"/>
      <c r="L36" s="7" t="s">
        <v>293</v>
      </c>
      <c r="M36" s="7">
        <v>84719000</v>
      </c>
      <c r="N36" s="7">
        <v>1</v>
      </c>
      <c r="O36" s="7"/>
      <c r="P36" s="7"/>
      <c r="R36" s="9">
        <v>2969.7053160156929</v>
      </c>
      <c r="T36" s="7" t="s">
        <v>34</v>
      </c>
      <c r="U36" s="8"/>
    </row>
    <row r="37" spans="1:21" s="2" customFormat="1" ht="14.1" customHeight="1">
      <c r="A37" s="7">
        <v>33</v>
      </c>
      <c r="B37" s="14" t="s">
        <v>758</v>
      </c>
      <c r="C37" s="14" t="s">
        <v>758</v>
      </c>
      <c r="D37" s="110" t="s">
        <v>30</v>
      </c>
      <c r="E37" s="305" t="s">
        <v>716</v>
      </c>
      <c r="F37" s="7" t="s">
        <v>759</v>
      </c>
      <c r="G37" s="8" t="s">
        <v>760</v>
      </c>
      <c r="H37" s="7" t="s">
        <v>42</v>
      </c>
      <c r="I37" s="11" t="s">
        <v>761</v>
      </c>
      <c r="J37" s="7" t="s">
        <v>30</v>
      </c>
      <c r="K37" s="7"/>
      <c r="L37" s="7" t="s">
        <v>293</v>
      </c>
      <c r="M37" s="7"/>
      <c r="N37" s="7">
        <v>1</v>
      </c>
      <c r="O37" s="7"/>
      <c r="P37" s="7"/>
      <c r="Q37" s="10"/>
      <c r="R37" s="9">
        <v>211.98697367694021</v>
      </c>
      <c r="T37" s="7" t="s">
        <v>34</v>
      </c>
      <c r="U37" s="8"/>
    </row>
    <row r="38" spans="1:21" s="2" customFormat="1" ht="14.1" customHeight="1">
      <c r="A38" s="7">
        <v>34</v>
      </c>
      <c r="B38" s="14" t="s">
        <v>758</v>
      </c>
      <c r="C38" s="14" t="s">
        <v>758</v>
      </c>
      <c r="D38" s="110" t="s">
        <v>30</v>
      </c>
      <c r="E38" s="305" t="s">
        <v>716</v>
      </c>
      <c r="F38" s="7" t="s">
        <v>759</v>
      </c>
      <c r="G38" s="8" t="s">
        <v>762</v>
      </c>
      <c r="H38" s="7" t="s">
        <v>42</v>
      </c>
      <c r="I38" s="11" t="s">
        <v>763</v>
      </c>
      <c r="J38" s="7" t="s">
        <v>30</v>
      </c>
      <c r="K38" s="7"/>
      <c r="L38" s="7" t="s">
        <v>293</v>
      </c>
      <c r="M38" s="7"/>
      <c r="N38" s="7">
        <v>1</v>
      </c>
      <c r="O38" s="7"/>
      <c r="P38" s="7"/>
      <c r="Q38" s="10"/>
      <c r="R38" s="9">
        <v>89.853784034036963</v>
      </c>
      <c r="T38" s="7" t="s">
        <v>34</v>
      </c>
      <c r="U38" s="8"/>
    </row>
    <row r="39" spans="1:21" s="2" customFormat="1" ht="14.1" customHeight="1">
      <c r="A39" s="7">
        <v>35</v>
      </c>
      <c r="B39" s="14" t="s">
        <v>758</v>
      </c>
      <c r="C39" s="14" t="s">
        <v>758</v>
      </c>
      <c r="D39" s="110" t="s">
        <v>30</v>
      </c>
      <c r="E39" s="305" t="s">
        <v>716</v>
      </c>
      <c r="F39" s="7" t="s">
        <v>759</v>
      </c>
      <c r="G39" s="8" t="s">
        <v>764</v>
      </c>
      <c r="H39" s="7" t="s">
        <v>42</v>
      </c>
      <c r="I39" s="11" t="s">
        <v>765</v>
      </c>
      <c r="J39" s="7" t="s">
        <v>30</v>
      </c>
      <c r="K39" s="7"/>
      <c r="L39" s="7" t="s">
        <v>293</v>
      </c>
      <c r="M39" s="7"/>
      <c r="N39" s="7">
        <v>1</v>
      </c>
      <c r="O39" s="7"/>
      <c r="P39" s="7"/>
      <c r="Q39" s="10"/>
      <c r="R39" s="9">
        <v>217.46125883867771</v>
      </c>
      <c r="T39" s="7" t="s">
        <v>34</v>
      </c>
      <c r="U39" s="8"/>
    </row>
    <row r="40" spans="1:21" s="2" customFormat="1" ht="14.1" customHeight="1">
      <c r="A40" s="7">
        <v>36</v>
      </c>
      <c r="B40" s="14" t="s">
        <v>758</v>
      </c>
      <c r="C40" s="14" t="s">
        <v>758</v>
      </c>
      <c r="D40" s="110" t="s">
        <v>30</v>
      </c>
      <c r="E40" s="305" t="s">
        <v>716</v>
      </c>
      <c r="F40" s="7" t="s">
        <v>759</v>
      </c>
      <c r="G40" s="8" t="s">
        <v>766</v>
      </c>
      <c r="H40" s="7" t="s">
        <v>42</v>
      </c>
      <c r="I40" s="11" t="s">
        <v>767</v>
      </c>
      <c r="J40" s="7" t="s">
        <v>30</v>
      </c>
      <c r="K40" s="7"/>
      <c r="L40" s="7" t="s">
        <v>293</v>
      </c>
      <c r="M40" s="7"/>
      <c r="N40" s="7">
        <v>1</v>
      </c>
      <c r="O40" s="7"/>
      <c r="P40" s="7"/>
      <c r="Q40" s="10"/>
      <c r="R40" s="9">
        <v>121.3781158274911</v>
      </c>
      <c r="T40" s="7" t="s">
        <v>34</v>
      </c>
      <c r="U40" s="8"/>
    </row>
    <row r="41" spans="1:21" s="2" customFormat="1" ht="14.1" customHeight="1">
      <c r="A41" s="7">
        <v>37</v>
      </c>
      <c r="B41" s="14" t="s">
        <v>758</v>
      </c>
      <c r="C41" s="14" t="s">
        <v>758</v>
      </c>
      <c r="D41" s="110" t="s">
        <v>30</v>
      </c>
      <c r="E41" s="305" t="s">
        <v>716</v>
      </c>
      <c r="F41" s="7" t="s">
        <v>759</v>
      </c>
      <c r="G41" s="8" t="s">
        <v>768</v>
      </c>
      <c r="H41" s="7" t="s">
        <v>42</v>
      </c>
      <c r="I41" s="11" t="s">
        <v>769</v>
      </c>
      <c r="J41" s="7" t="s">
        <v>30</v>
      </c>
      <c r="K41" s="7"/>
      <c r="L41" s="7" t="s">
        <v>293</v>
      </c>
      <c r="M41" s="7"/>
      <c r="N41" s="7">
        <v>1</v>
      </c>
      <c r="O41" s="7"/>
      <c r="P41" s="7"/>
      <c r="Q41" s="10"/>
      <c r="R41" s="9">
        <v>112.1284615886932</v>
      </c>
      <c r="T41" s="7" t="s">
        <v>34</v>
      </c>
      <c r="U41" s="8"/>
    </row>
    <row r="42" spans="1:21" s="2" customFormat="1" ht="14.1" customHeight="1">
      <c r="A42" s="7">
        <v>38</v>
      </c>
      <c r="B42" s="14" t="s">
        <v>758</v>
      </c>
      <c r="C42" s="14" t="s">
        <v>758</v>
      </c>
      <c r="D42" s="110" t="s">
        <v>30</v>
      </c>
      <c r="E42" s="305" t="s">
        <v>716</v>
      </c>
      <c r="F42" s="7" t="s">
        <v>759</v>
      </c>
      <c r="G42" s="8" t="s">
        <v>770</v>
      </c>
      <c r="H42" s="7" t="s">
        <v>42</v>
      </c>
      <c r="I42" s="11" t="s">
        <v>771</v>
      </c>
      <c r="J42" s="7" t="s">
        <v>30</v>
      </c>
      <c r="K42" s="7"/>
      <c r="L42" s="7" t="s">
        <v>293</v>
      </c>
      <c r="M42" s="7"/>
      <c r="N42" s="7">
        <v>1</v>
      </c>
      <c r="O42" s="7"/>
      <c r="P42" s="7"/>
      <c r="Q42" s="10"/>
      <c r="R42" s="9">
        <v>116.65890448116571</v>
      </c>
      <c r="T42" s="7" t="s">
        <v>34</v>
      </c>
      <c r="U42" s="8"/>
    </row>
    <row r="43" spans="1:21" s="2" customFormat="1" ht="14.1" customHeight="1">
      <c r="A43" s="7">
        <v>39</v>
      </c>
      <c r="B43" s="14" t="s">
        <v>758</v>
      </c>
      <c r="C43" s="14" t="s">
        <v>758</v>
      </c>
      <c r="D43" s="110" t="s">
        <v>30</v>
      </c>
      <c r="E43" s="305" t="s">
        <v>716</v>
      </c>
      <c r="F43" s="7" t="s">
        <v>759</v>
      </c>
      <c r="G43" s="8" t="s">
        <v>772</v>
      </c>
      <c r="H43" s="7" t="s">
        <v>42</v>
      </c>
      <c r="I43" s="11" t="s">
        <v>767</v>
      </c>
      <c r="J43" s="7" t="s">
        <v>30</v>
      </c>
      <c r="K43" s="7"/>
      <c r="L43" s="7" t="s">
        <v>293</v>
      </c>
      <c r="M43" s="7"/>
      <c r="N43" s="7">
        <v>1</v>
      </c>
      <c r="O43" s="7"/>
      <c r="P43" s="7"/>
      <c r="Q43" s="10"/>
      <c r="R43" s="9">
        <v>117.9802836581368</v>
      </c>
      <c r="T43" s="7" t="s">
        <v>34</v>
      </c>
      <c r="U43" s="8"/>
    </row>
    <row r="44" spans="1:21" s="2" customFormat="1" ht="14.1" customHeight="1">
      <c r="A44" s="7">
        <v>40</v>
      </c>
      <c r="B44" s="14" t="s">
        <v>758</v>
      </c>
      <c r="C44" s="14" t="s">
        <v>758</v>
      </c>
      <c r="D44" s="7" t="s">
        <v>773</v>
      </c>
      <c r="E44" s="14" t="s">
        <v>399</v>
      </c>
      <c r="F44" s="7" t="s">
        <v>759</v>
      </c>
      <c r="G44" s="8" t="s">
        <v>774</v>
      </c>
      <c r="H44" s="7" t="s">
        <v>42</v>
      </c>
      <c r="I44" s="11" t="s">
        <v>775</v>
      </c>
      <c r="J44" s="7" t="s">
        <v>30</v>
      </c>
      <c r="K44" s="7"/>
      <c r="L44" s="7" t="s">
        <v>293</v>
      </c>
      <c r="M44" s="7"/>
      <c r="N44" s="7">
        <v>1</v>
      </c>
      <c r="O44" s="7"/>
      <c r="P44" s="7"/>
      <c r="Q44" s="10"/>
      <c r="R44" s="9">
        <v>100.8023543575121</v>
      </c>
      <c r="T44" s="7" t="s">
        <v>34</v>
      </c>
      <c r="U44" s="8"/>
    </row>
    <row r="45" spans="1:21" s="2" customFormat="1" ht="14.1" customHeight="1">
      <c r="A45" s="7">
        <v>41</v>
      </c>
      <c r="B45" s="14" t="s">
        <v>758</v>
      </c>
      <c r="C45" s="14" t="s">
        <v>758</v>
      </c>
      <c r="D45" s="7" t="s">
        <v>773</v>
      </c>
      <c r="E45" s="14" t="s">
        <v>399</v>
      </c>
      <c r="F45" s="7" t="s">
        <v>759</v>
      </c>
      <c r="G45" s="8" t="s">
        <v>776</v>
      </c>
      <c r="H45" s="7" t="s">
        <v>42</v>
      </c>
      <c r="I45" s="270" t="s">
        <v>777</v>
      </c>
      <c r="J45" s="7" t="s">
        <v>30</v>
      </c>
      <c r="K45" s="7"/>
      <c r="L45" s="7" t="s">
        <v>293</v>
      </c>
      <c r="M45" s="7"/>
      <c r="N45" s="7">
        <v>1</v>
      </c>
      <c r="O45" s="7"/>
      <c r="P45" s="110" t="s">
        <v>286</v>
      </c>
      <c r="Q45" s="10"/>
      <c r="R45" s="9">
        <v>176.30973589871971</v>
      </c>
      <c r="T45" s="7" t="s">
        <v>34</v>
      </c>
      <c r="U45" s="8"/>
    </row>
    <row r="46" spans="1:21" s="2" customFormat="1" ht="14.1" customHeight="1">
      <c r="A46" s="7">
        <v>42</v>
      </c>
      <c r="B46" s="14" t="s">
        <v>758</v>
      </c>
      <c r="C46" s="14" t="s">
        <v>758</v>
      </c>
      <c r="D46" s="7" t="s">
        <v>773</v>
      </c>
      <c r="E46" s="14" t="s">
        <v>399</v>
      </c>
      <c r="F46" s="7" t="s">
        <v>759</v>
      </c>
      <c r="G46" s="8" t="s">
        <v>778</v>
      </c>
      <c r="H46" s="7" t="s">
        <v>42</v>
      </c>
      <c r="I46" s="270" t="s">
        <v>777</v>
      </c>
      <c r="J46" s="7" t="s">
        <v>30</v>
      </c>
      <c r="K46" s="7"/>
      <c r="L46" s="7" t="s">
        <v>293</v>
      </c>
      <c r="M46" s="7"/>
      <c r="N46" s="7">
        <v>1</v>
      </c>
      <c r="O46" s="7"/>
      <c r="P46" s="110" t="s">
        <v>286</v>
      </c>
      <c r="Q46" s="10"/>
      <c r="R46" s="9">
        <v>179.518799614221</v>
      </c>
      <c r="T46" s="7" t="s">
        <v>34</v>
      </c>
      <c r="U46" s="8"/>
    </row>
    <row r="47" spans="1:21" s="2" customFormat="1" ht="14.1" customHeight="1">
      <c r="A47" s="7">
        <v>43</v>
      </c>
      <c r="B47" s="14" t="s">
        <v>758</v>
      </c>
      <c r="C47" s="14" t="s">
        <v>758</v>
      </c>
      <c r="D47" s="7" t="s">
        <v>773</v>
      </c>
      <c r="E47" s="14" t="s">
        <v>399</v>
      </c>
      <c r="F47" s="7" t="s">
        <v>759</v>
      </c>
      <c r="G47" s="8" t="s">
        <v>779</v>
      </c>
      <c r="H47" s="7" t="s">
        <v>42</v>
      </c>
      <c r="I47" s="270" t="s">
        <v>780</v>
      </c>
      <c r="J47" s="7" t="s">
        <v>30</v>
      </c>
      <c r="K47" s="7"/>
      <c r="L47" s="7" t="s">
        <v>293</v>
      </c>
      <c r="M47" s="7"/>
      <c r="N47" s="7">
        <v>1</v>
      </c>
      <c r="O47" s="7"/>
      <c r="P47" s="110" t="s">
        <v>286</v>
      </c>
      <c r="R47" s="9">
        <v>270.69396282522911</v>
      </c>
      <c r="T47" s="7" t="s">
        <v>34</v>
      </c>
      <c r="U47" s="8"/>
    </row>
    <row r="48" spans="1:21" s="2" customFormat="1" ht="14.1" customHeight="1">
      <c r="A48" s="7">
        <v>44</v>
      </c>
      <c r="B48" s="14" t="s">
        <v>758</v>
      </c>
      <c r="C48" s="14" t="s">
        <v>758</v>
      </c>
      <c r="D48" s="7" t="s">
        <v>773</v>
      </c>
      <c r="E48" s="14" t="s">
        <v>399</v>
      </c>
      <c r="F48" s="7" t="s">
        <v>759</v>
      </c>
      <c r="G48" s="8" t="s">
        <v>781</v>
      </c>
      <c r="H48" s="7" t="s">
        <v>42</v>
      </c>
      <c r="I48" s="270" t="s">
        <v>780</v>
      </c>
      <c r="J48" s="7" t="s">
        <v>30</v>
      </c>
      <c r="K48" s="7"/>
      <c r="L48" s="7" t="s">
        <v>293</v>
      </c>
      <c r="M48" s="7"/>
      <c r="N48" s="7">
        <v>1</v>
      </c>
      <c r="O48" s="7"/>
      <c r="P48" s="110" t="s">
        <v>286</v>
      </c>
      <c r="R48" s="9">
        <v>644.64426990805941</v>
      </c>
      <c r="T48" s="7" t="s">
        <v>34</v>
      </c>
      <c r="U48" s="8"/>
    </row>
    <row r="49" spans="1:21" s="2" customFormat="1" ht="14.1" customHeight="1">
      <c r="A49" s="7">
        <v>45</v>
      </c>
      <c r="B49" s="14" t="s">
        <v>758</v>
      </c>
      <c r="C49" s="14" t="s">
        <v>758</v>
      </c>
      <c r="D49" s="7" t="s">
        <v>773</v>
      </c>
      <c r="E49" s="14" t="s">
        <v>399</v>
      </c>
      <c r="F49" s="7" t="s">
        <v>759</v>
      </c>
      <c r="G49" s="257" t="s">
        <v>782</v>
      </c>
      <c r="H49" s="7" t="s">
        <v>42</v>
      </c>
      <c r="I49" s="270" t="s">
        <v>783</v>
      </c>
      <c r="J49" s="7" t="s">
        <v>30</v>
      </c>
      <c r="K49" s="7"/>
      <c r="L49" s="7" t="s">
        <v>293</v>
      </c>
      <c r="M49" s="7"/>
      <c r="N49" s="7">
        <v>1</v>
      </c>
      <c r="O49" s="7"/>
      <c r="P49" s="110" t="s">
        <v>286</v>
      </c>
      <c r="R49" s="9">
        <v>1193.3941652587851</v>
      </c>
      <c r="T49" s="7" t="s">
        <v>34</v>
      </c>
      <c r="U49" s="8"/>
    </row>
    <row r="50" spans="1:21" s="2" customFormat="1" ht="14.1" customHeight="1">
      <c r="A50" s="7">
        <v>46</v>
      </c>
      <c r="B50" s="14" t="s">
        <v>758</v>
      </c>
      <c r="C50" s="14" t="s">
        <v>758</v>
      </c>
      <c r="D50" s="7" t="s">
        <v>773</v>
      </c>
      <c r="E50" s="14" t="s">
        <v>399</v>
      </c>
      <c r="F50" s="7" t="s">
        <v>759</v>
      </c>
      <c r="G50" s="8" t="s">
        <v>784</v>
      </c>
      <c r="H50" s="7" t="s">
        <v>42</v>
      </c>
      <c r="I50" s="270" t="s">
        <v>780</v>
      </c>
      <c r="J50" s="7" t="s">
        <v>30</v>
      </c>
      <c r="K50" s="7"/>
      <c r="L50" s="7" t="s">
        <v>293</v>
      </c>
      <c r="M50" s="7"/>
      <c r="N50" s="7">
        <v>1</v>
      </c>
      <c r="O50" s="7"/>
      <c r="P50" s="110" t="s">
        <v>286</v>
      </c>
      <c r="R50" s="9">
        <v>528.74043924230602</v>
      </c>
      <c r="T50" s="7" t="s">
        <v>34</v>
      </c>
      <c r="U50" s="8"/>
    </row>
    <row r="51" spans="1:21" s="2" customFormat="1" ht="14.1" customHeight="1">
      <c r="A51" s="7">
        <v>47</v>
      </c>
      <c r="B51" s="14" t="s">
        <v>758</v>
      </c>
      <c r="C51" s="14" t="s">
        <v>758</v>
      </c>
      <c r="D51" s="7" t="s">
        <v>773</v>
      </c>
      <c r="E51" s="14" t="s">
        <v>399</v>
      </c>
      <c r="F51" s="7" t="s">
        <v>759</v>
      </c>
      <c r="G51" s="8" t="s">
        <v>785</v>
      </c>
      <c r="H51" s="7" t="s">
        <v>42</v>
      </c>
      <c r="I51" s="270" t="s">
        <v>780</v>
      </c>
      <c r="J51" s="7" t="s">
        <v>30</v>
      </c>
      <c r="K51" s="7"/>
      <c r="L51" s="7" t="s">
        <v>293</v>
      </c>
      <c r="M51" s="7"/>
      <c r="N51" s="7">
        <v>1</v>
      </c>
      <c r="O51" s="7"/>
      <c r="P51" s="110" t="s">
        <v>286</v>
      </c>
      <c r="Q51" s="10"/>
      <c r="R51" s="9">
        <v>281.07622778714523</v>
      </c>
      <c r="T51" s="7" t="s">
        <v>34</v>
      </c>
      <c r="U51" s="8"/>
    </row>
    <row r="52" spans="1:21" s="2" customFormat="1" ht="14.1" customHeight="1">
      <c r="A52" s="7">
        <v>48</v>
      </c>
      <c r="B52" s="14" t="s">
        <v>758</v>
      </c>
      <c r="C52" s="14" t="s">
        <v>758</v>
      </c>
      <c r="D52" s="7" t="s">
        <v>773</v>
      </c>
      <c r="E52" s="14" t="s">
        <v>399</v>
      </c>
      <c r="F52" s="7" t="s">
        <v>759</v>
      </c>
      <c r="G52" s="8" t="s">
        <v>786</v>
      </c>
      <c r="H52" s="7" t="s">
        <v>42</v>
      </c>
      <c r="I52" s="270" t="s">
        <v>787</v>
      </c>
      <c r="J52" s="7" t="s">
        <v>30</v>
      </c>
      <c r="K52" s="7"/>
      <c r="L52" s="7" t="s">
        <v>293</v>
      </c>
      <c r="M52" s="7"/>
      <c r="N52" s="7">
        <v>1</v>
      </c>
      <c r="O52" s="7"/>
      <c r="P52" s="110" t="s">
        <v>286</v>
      </c>
      <c r="Q52" s="10"/>
      <c r="R52" s="9">
        <v>347.90026045111381</v>
      </c>
      <c r="T52" s="7" t="s">
        <v>34</v>
      </c>
      <c r="U52" s="8"/>
    </row>
    <row r="53" spans="1:21" s="2" customFormat="1" ht="14.1" customHeight="1">
      <c r="A53" s="7">
        <v>49</v>
      </c>
      <c r="B53" s="14" t="s">
        <v>758</v>
      </c>
      <c r="C53" s="14" t="s">
        <v>758</v>
      </c>
      <c r="D53" s="7" t="s">
        <v>773</v>
      </c>
      <c r="E53" s="14" t="s">
        <v>399</v>
      </c>
      <c r="F53" s="7" t="s">
        <v>759</v>
      </c>
      <c r="G53" s="8" t="s">
        <v>788</v>
      </c>
      <c r="H53" s="7" t="s">
        <v>42</v>
      </c>
      <c r="I53" s="11" t="s">
        <v>789</v>
      </c>
      <c r="J53" s="7" t="s">
        <v>30</v>
      </c>
      <c r="K53" s="7"/>
      <c r="L53" s="7" t="s">
        <v>293</v>
      </c>
      <c r="M53" s="7"/>
      <c r="N53" s="7">
        <v>1</v>
      </c>
      <c r="O53" s="7"/>
      <c r="P53" s="7"/>
      <c r="Q53" s="10"/>
      <c r="R53" s="9">
        <v>197.82933963796381</v>
      </c>
      <c r="T53" s="7" t="s">
        <v>34</v>
      </c>
      <c r="U53" s="8"/>
    </row>
    <row r="54" spans="1:21" s="2" customFormat="1" ht="14.1" customHeight="1">
      <c r="A54" s="7">
        <v>50</v>
      </c>
      <c r="B54" s="14" t="s">
        <v>758</v>
      </c>
      <c r="C54" s="14" t="s">
        <v>758</v>
      </c>
      <c r="D54" s="7" t="s">
        <v>773</v>
      </c>
      <c r="E54" s="14" t="s">
        <v>399</v>
      </c>
      <c r="F54" s="7" t="s">
        <v>759</v>
      </c>
      <c r="G54" s="8" t="s">
        <v>790</v>
      </c>
      <c r="H54" s="7" t="s">
        <v>42</v>
      </c>
      <c r="I54" s="11" t="s">
        <v>791</v>
      </c>
      <c r="J54" s="7" t="s">
        <v>30</v>
      </c>
      <c r="K54" s="7"/>
      <c r="L54" s="7" t="s">
        <v>293</v>
      </c>
      <c r="M54" s="7"/>
      <c r="N54" s="7">
        <v>1</v>
      </c>
      <c r="O54" s="7"/>
      <c r="P54" s="7"/>
      <c r="Q54" s="10"/>
      <c r="R54" s="9">
        <v>77.206297625884716</v>
      </c>
      <c r="T54" s="7" t="s">
        <v>34</v>
      </c>
      <c r="U54" s="8"/>
    </row>
    <row r="55" spans="1:21" s="2" customFormat="1" ht="14.1" customHeight="1">
      <c r="A55" s="7">
        <v>51</v>
      </c>
      <c r="B55" s="14" t="s">
        <v>758</v>
      </c>
      <c r="C55" s="14" t="s">
        <v>758</v>
      </c>
      <c r="D55" s="7" t="s">
        <v>773</v>
      </c>
      <c r="E55" s="14" t="s">
        <v>399</v>
      </c>
      <c r="F55" s="7" t="s">
        <v>759</v>
      </c>
      <c r="G55" s="8" t="s">
        <v>792</v>
      </c>
      <c r="H55" s="7" t="s">
        <v>42</v>
      </c>
      <c r="I55" s="270" t="s">
        <v>780</v>
      </c>
      <c r="J55" s="7" t="s">
        <v>30</v>
      </c>
      <c r="K55" s="7"/>
      <c r="L55" s="7" t="s">
        <v>293</v>
      </c>
      <c r="M55" s="7"/>
      <c r="N55" s="7">
        <v>1</v>
      </c>
      <c r="O55" s="7"/>
      <c r="P55" s="110" t="s">
        <v>286</v>
      </c>
      <c r="Q55" s="10"/>
      <c r="R55" s="9">
        <v>645.39934372347159</v>
      </c>
      <c r="T55" s="7" t="s">
        <v>34</v>
      </c>
      <c r="U55" s="8"/>
    </row>
    <row r="56" spans="1:21" s="2" customFormat="1" ht="14.1" customHeight="1">
      <c r="A56" s="7">
        <v>52</v>
      </c>
      <c r="B56" s="14" t="s">
        <v>758</v>
      </c>
      <c r="C56" s="14" t="s">
        <v>758</v>
      </c>
      <c r="D56" s="110" t="s">
        <v>30</v>
      </c>
      <c r="E56" s="305" t="s">
        <v>716</v>
      </c>
      <c r="F56" s="7" t="s">
        <v>759</v>
      </c>
      <c r="G56" s="8" t="s">
        <v>793</v>
      </c>
      <c r="H56" s="135" t="s">
        <v>42</v>
      </c>
      <c r="I56" s="11" t="s">
        <v>794</v>
      </c>
      <c r="J56" s="7" t="s">
        <v>30</v>
      </c>
      <c r="K56" s="7"/>
      <c r="L56" s="7" t="s">
        <v>293</v>
      </c>
      <c r="M56" s="7"/>
      <c r="N56" s="7">
        <v>1</v>
      </c>
      <c r="O56" s="7"/>
      <c r="P56" s="7"/>
      <c r="Q56" s="10"/>
      <c r="R56" s="9">
        <v>300.14184162630011</v>
      </c>
      <c r="T56" s="7" t="s">
        <v>34</v>
      </c>
      <c r="U56" s="8"/>
    </row>
    <row r="57" spans="1:21" s="2" customFormat="1" ht="14.1" customHeight="1">
      <c r="A57" s="7">
        <v>53</v>
      </c>
      <c r="B57" s="14" t="s">
        <v>758</v>
      </c>
      <c r="C57" s="14" t="s">
        <v>758</v>
      </c>
      <c r="D57" s="110" t="s">
        <v>30</v>
      </c>
      <c r="E57" s="305" t="s">
        <v>716</v>
      </c>
      <c r="F57" s="7" t="s">
        <v>759</v>
      </c>
      <c r="G57" s="8" t="s">
        <v>795</v>
      </c>
      <c r="H57" s="135" t="s">
        <v>42</v>
      </c>
      <c r="I57" s="11" t="s">
        <v>796</v>
      </c>
      <c r="J57" s="7" t="s">
        <v>30</v>
      </c>
      <c r="K57" s="7"/>
      <c r="L57" s="7" t="s">
        <v>293</v>
      </c>
      <c r="M57" s="7"/>
      <c r="N57" s="7">
        <v>1</v>
      </c>
      <c r="O57" s="7"/>
      <c r="P57" s="7"/>
      <c r="Q57" s="10"/>
      <c r="R57" s="9">
        <v>657.10298786235876</v>
      </c>
      <c r="T57" s="7" t="s">
        <v>34</v>
      </c>
      <c r="U57" s="8"/>
    </row>
    <row r="58" spans="1:21" s="2" customFormat="1" ht="14.1" customHeight="1">
      <c r="A58" s="7">
        <v>54</v>
      </c>
      <c r="B58" s="14" t="s">
        <v>797</v>
      </c>
      <c r="C58" s="14" t="s">
        <v>797</v>
      </c>
      <c r="D58" s="7" t="s">
        <v>798</v>
      </c>
      <c r="E58" s="14" t="s">
        <v>799</v>
      </c>
      <c r="F58" s="7" t="s">
        <v>800</v>
      </c>
      <c r="G58" s="8" t="s">
        <v>801</v>
      </c>
      <c r="H58" s="7" t="s">
        <v>42</v>
      </c>
      <c r="I58" s="11" t="s">
        <v>802</v>
      </c>
      <c r="J58" s="7" t="s">
        <v>30</v>
      </c>
      <c r="K58" s="7"/>
      <c r="L58" s="7" t="s">
        <v>293</v>
      </c>
      <c r="M58" s="7"/>
      <c r="N58" s="7">
        <v>1</v>
      </c>
      <c r="O58" s="7"/>
      <c r="P58" s="7"/>
      <c r="R58" s="9">
        <v>324.68174062719248</v>
      </c>
      <c r="T58" s="7" t="s">
        <v>34</v>
      </c>
      <c r="U58" s="8"/>
    </row>
    <row r="59" spans="1:21" s="2" customFormat="1" ht="14.1" customHeight="1">
      <c r="A59" s="7">
        <v>55</v>
      </c>
      <c r="B59" s="14" t="s">
        <v>803</v>
      </c>
      <c r="C59" s="14" t="s">
        <v>803</v>
      </c>
      <c r="D59" s="7" t="s">
        <v>804</v>
      </c>
      <c r="E59" s="14" t="s">
        <v>805</v>
      </c>
      <c r="F59" s="7" t="s">
        <v>806</v>
      </c>
      <c r="G59" s="8" t="s">
        <v>807</v>
      </c>
      <c r="H59" s="7" t="s">
        <v>808</v>
      </c>
      <c r="I59" s="270" t="s">
        <v>809</v>
      </c>
      <c r="J59" s="7" t="s">
        <v>30</v>
      </c>
      <c r="K59" s="7"/>
      <c r="L59" s="7" t="s">
        <v>293</v>
      </c>
      <c r="M59" s="7"/>
      <c r="N59" s="7">
        <v>1</v>
      </c>
      <c r="O59" s="7"/>
      <c r="P59" s="110" t="s">
        <v>286</v>
      </c>
      <c r="R59" s="9">
        <v>4013.4060973690339</v>
      </c>
      <c r="T59" s="7" t="s">
        <v>34</v>
      </c>
      <c r="U59" s="8"/>
    </row>
    <row r="60" spans="1:21" s="2" customFormat="1" ht="14.1" customHeight="1">
      <c r="A60" s="7">
        <v>56</v>
      </c>
      <c r="B60" s="14" t="s">
        <v>803</v>
      </c>
      <c r="C60" s="14" t="s">
        <v>803</v>
      </c>
      <c r="D60" s="306" t="s">
        <v>810</v>
      </c>
      <c r="E60" s="305" t="s">
        <v>811</v>
      </c>
      <c r="F60" s="7" t="s">
        <v>806</v>
      </c>
      <c r="G60" s="8" t="s">
        <v>812</v>
      </c>
      <c r="H60" s="7" t="s">
        <v>42</v>
      </c>
      <c r="I60" s="270" t="s">
        <v>813</v>
      </c>
      <c r="J60" s="7" t="s">
        <v>30</v>
      </c>
      <c r="K60" s="7"/>
      <c r="L60" s="7" t="s">
        <v>293</v>
      </c>
      <c r="M60" s="7"/>
      <c r="N60" s="7">
        <v>1</v>
      </c>
      <c r="O60" s="7"/>
      <c r="P60" s="110" t="s">
        <v>286</v>
      </c>
      <c r="R60" s="9">
        <v>2952.3386182612148</v>
      </c>
      <c r="T60" s="7" t="s">
        <v>34</v>
      </c>
      <c r="U60" s="8"/>
    </row>
    <row r="61" spans="1:21" s="2" customFormat="1" ht="14.1" customHeight="1">
      <c r="A61" s="7">
        <v>57</v>
      </c>
      <c r="B61" s="14" t="s">
        <v>803</v>
      </c>
      <c r="C61" s="14" t="s">
        <v>803</v>
      </c>
      <c r="D61" s="306" t="s">
        <v>810</v>
      </c>
      <c r="E61" s="305" t="s">
        <v>811</v>
      </c>
      <c r="F61" s="7" t="s">
        <v>806</v>
      </c>
      <c r="G61" s="8" t="s">
        <v>814</v>
      </c>
      <c r="H61" s="7" t="s">
        <v>42</v>
      </c>
      <c r="I61" s="270" t="s">
        <v>815</v>
      </c>
      <c r="J61" s="7" t="s">
        <v>30</v>
      </c>
      <c r="K61" s="7"/>
      <c r="L61" s="7" t="s">
        <v>293</v>
      </c>
      <c r="M61" s="7"/>
      <c r="N61" s="7">
        <v>1</v>
      </c>
      <c r="O61" s="7"/>
      <c r="P61" s="110" t="s">
        <v>286</v>
      </c>
      <c r="R61" s="9">
        <v>2952.3386182612148</v>
      </c>
      <c r="T61" s="7" t="s">
        <v>34</v>
      </c>
      <c r="U61" s="8"/>
    </row>
    <row r="62" spans="1:21" s="2" customFormat="1" ht="14.1" customHeight="1">
      <c r="A62" s="7">
        <v>58</v>
      </c>
      <c r="B62" s="14" t="s">
        <v>803</v>
      </c>
      <c r="C62" s="14" t="s">
        <v>803</v>
      </c>
      <c r="D62" s="306" t="s">
        <v>810</v>
      </c>
      <c r="E62" s="305" t="s">
        <v>811</v>
      </c>
      <c r="F62" s="7" t="s">
        <v>806</v>
      </c>
      <c r="G62" s="8" t="s">
        <v>816</v>
      </c>
      <c r="H62" s="7" t="s">
        <v>42</v>
      </c>
      <c r="I62" s="270" t="s">
        <v>815</v>
      </c>
      <c r="J62" s="7" t="s">
        <v>30</v>
      </c>
      <c r="K62" s="7"/>
      <c r="L62" s="7" t="s">
        <v>293</v>
      </c>
      <c r="M62" s="7"/>
      <c r="N62" s="7">
        <v>1</v>
      </c>
      <c r="O62" s="7"/>
      <c r="P62" s="110" t="s">
        <v>286</v>
      </c>
      <c r="R62" s="9">
        <v>2952.3386182612148</v>
      </c>
      <c r="T62" s="7" t="s">
        <v>34</v>
      </c>
      <c r="U62" s="8"/>
    </row>
    <row r="63" spans="1:21" s="2" customFormat="1" ht="14.1" customHeight="1">
      <c r="A63" s="7">
        <v>59</v>
      </c>
      <c r="B63" s="14" t="s">
        <v>817</v>
      </c>
      <c r="C63" s="14" t="s">
        <v>817</v>
      </c>
      <c r="D63" s="7" t="s">
        <v>39</v>
      </c>
      <c r="E63" s="14" t="s">
        <v>818</v>
      </c>
      <c r="F63" s="7" t="s">
        <v>819</v>
      </c>
      <c r="G63" s="8" t="s">
        <v>820</v>
      </c>
      <c r="H63" s="7" t="s">
        <v>821</v>
      </c>
      <c r="I63" s="11" t="s">
        <v>822</v>
      </c>
      <c r="J63" s="7" t="s">
        <v>30</v>
      </c>
      <c r="K63" s="7"/>
      <c r="L63" s="7" t="s">
        <v>293</v>
      </c>
      <c r="M63" s="7"/>
      <c r="N63" s="7">
        <v>1</v>
      </c>
      <c r="O63" s="7"/>
      <c r="P63" s="7"/>
      <c r="R63" s="9">
        <v>1704.012832931202</v>
      </c>
      <c r="T63" s="7" t="s">
        <v>34</v>
      </c>
      <c r="U63" s="8"/>
    </row>
    <row r="64" spans="1:21" s="2" customFormat="1" ht="14.1" customHeight="1">
      <c r="A64" s="7">
        <v>60</v>
      </c>
      <c r="B64" s="14" t="s">
        <v>817</v>
      </c>
      <c r="C64" s="14" t="s">
        <v>817</v>
      </c>
      <c r="D64" s="7" t="s">
        <v>39</v>
      </c>
      <c r="E64" s="14" t="s">
        <v>818</v>
      </c>
      <c r="F64" s="7" t="s">
        <v>819</v>
      </c>
      <c r="G64" s="8" t="s">
        <v>823</v>
      </c>
      <c r="H64" s="7" t="s">
        <v>821</v>
      </c>
      <c r="I64" s="11" t="s">
        <v>822</v>
      </c>
      <c r="J64" s="7" t="s">
        <v>30</v>
      </c>
      <c r="K64" s="7"/>
      <c r="L64" s="7" t="s">
        <v>293</v>
      </c>
      <c r="M64" s="7"/>
      <c r="N64" s="7">
        <v>1</v>
      </c>
      <c r="O64" s="7"/>
      <c r="P64" s="7"/>
      <c r="R64" s="9">
        <v>1838.793508982257</v>
      </c>
      <c r="T64" s="7" t="s">
        <v>34</v>
      </c>
      <c r="U64" s="8"/>
    </row>
    <row r="65" spans="1:21" s="2" customFormat="1" ht="14.1" customHeight="1">
      <c r="A65" s="7">
        <v>61</v>
      </c>
      <c r="B65" s="14" t="s">
        <v>817</v>
      </c>
      <c r="C65" s="14" t="s">
        <v>817</v>
      </c>
      <c r="D65" s="7" t="s">
        <v>39</v>
      </c>
      <c r="E65" s="14" t="s">
        <v>818</v>
      </c>
      <c r="F65" s="7" t="s">
        <v>819</v>
      </c>
      <c r="G65" s="8" t="s">
        <v>824</v>
      </c>
      <c r="H65" s="7" t="s">
        <v>825</v>
      </c>
      <c r="I65" s="11" t="s">
        <v>826</v>
      </c>
      <c r="J65" s="7" t="s">
        <v>30</v>
      </c>
      <c r="K65" s="7"/>
      <c r="L65" s="7" t="s">
        <v>293</v>
      </c>
      <c r="M65" s="7"/>
      <c r="N65" s="7">
        <v>1</v>
      </c>
      <c r="O65" s="7"/>
      <c r="P65" s="7"/>
      <c r="R65" s="9">
        <v>192.54382293007919</v>
      </c>
      <c r="T65" s="7" t="s">
        <v>34</v>
      </c>
      <c r="U65" s="8"/>
    </row>
    <row r="66" spans="1:21" s="2" customFormat="1" ht="14.1" customHeight="1">
      <c r="A66" s="7">
        <v>62</v>
      </c>
      <c r="B66" s="14" t="s">
        <v>817</v>
      </c>
      <c r="C66" s="14" t="s">
        <v>817</v>
      </c>
      <c r="D66" s="306" t="s">
        <v>260</v>
      </c>
      <c r="E66" s="305" t="s">
        <v>827</v>
      </c>
      <c r="F66" s="7" t="s">
        <v>819</v>
      </c>
      <c r="G66" s="8" t="s">
        <v>828</v>
      </c>
      <c r="H66" s="7" t="s">
        <v>825</v>
      </c>
      <c r="I66" s="270" t="s">
        <v>829</v>
      </c>
      <c r="J66" s="7" t="s">
        <v>30</v>
      </c>
      <c r="K66" s="7"/>
      <c r="L66" s="7" t="s">
        <v>293</v>
      </c>
      <c r="M66" s="7"/>
      <c r="N66" s="7">
        <v>1</v>
      </c>
      <c r="O66" s="7"/>
      <c r="P66" s="110" t="s">
        <v>286</v>
      </c>
      <c r="R66" s="9">
        <v>223.31308090812129</v>
      </c>
      <c r="T66" s="7" t="s">
        <v>34</v>
      </c>
      <c r="U66" s="8"/>
    </row>
    <row r="67" spans="1:21" s="2" customFormat="1" ht="14.1" customHeight="1">
      <c r="A67" s="7">
        <v>63</v>
      </c>
      <c r="B67" s="14" t="s">
        <v>817</v>
      </c>
      <c r="C67" s="14" t="s">
        <v>817</v>
      </c>
      <c r="D67" s="7" t="s">
        <v>658</v>
      </c>
      <c r="E67" s="14" t="s">
        <v>830</v>
      </c>
      <c r="F67" s="7" t="s">
        <v>819</v>
      </c>
      <c r="G67" s="8" t="s">
        <v>831</v>
      </c>
      <c r="H67" s="7" t="s">
        <v>459</v>
      </c>
      <c r="I67" s="11" t="s">
        <v>832</v>
      </c>
      <c r="J67" s="7" t="s">
        <v>30</v>
      </c>
      <c r="K67" s="7"/>
      <c r="L67" s="7" t="s">
        <v>293</v>
      </c>
      <c r="M67" s="7"/>
      <c r="N67" s="7">
        <v>1</v>
      </c>
      <c r="O67" s="7"/>
      <c r="P67" s="7"/>
      <c r="R67" s="9">
        <v>1501.8418188546179</v>
      </c>
      <c r="T67" s="7" t="s">
        <v>34</v>
      </c>
      <c r="U67" s="8"/>
    </row>
    <row r="68" spans="1:21" s="2" customFormat="1" ht="14.1" customHeight="1">
      <c r="A68" s="7">
        <v>64</v>
      </c>
      <c r="B68" s="14" t="s">
        <v>817</v>
      </c>
      <c r="C68" s="14" t="s">
        <v>817</v>
      </c>
      <c r="D68" s="7" t="s">
        <v>658</v>
      </c>
      <c r="E68" s="14" t="s">
        <v>830</v>
      </c>
      <c r="F68" s="7" t="s">
        <v>819</v>
      </c>
      <c r="G68" s="8" t="s">
        <v>833</v>
      </c>
      <c r="H68" s="7" t="s">
        <v>459</v>
      </c>
      <c r="I68" s="11" t="s">
        <v>834</v>
      </c>
      <c r="J68" s="7" t="s">
        <v>30</v>
      </c>
      <c r="K68" s="7"/>
      <c r="L68" s="7" t="s">
        <v>293</v>
      </c>
      <c r="M68" s="7"/>
      <c r="N68" s="7">
        <v>1</v>
      </c>
      <c r="O68" s="7"/>
      <c r="P68" s="7"/>
      <c r="R68" s="9">
        <v>246.5316007320427</v>
      </c>
      <c r="T68" s="7" t="s">
        <v>34</v>
      </c>
      <c r="U68" s="8"/>
    </row>
    <row r="69" spans="1:21" s="2" customFormat="1" ht="14.1" customHeight="1">
      <c r="A69" s="7">
        <v>65</v>
      </c>
      <c r="B69" s="14" t="s">
        <v>817</v>
      </c>
      <c r="C69" s="14" t="s">
        <v>817</v>
      </c>
      <c r="D69" s="7" t="s">
        <v>658</v>
      </c>
      <c r="E69" s="14" t="s">
        <v>830</v>
      </c>
      <c r="F69" s="7" t="s">
        <v>819</v>
      </c>
      <c r="G69" s="8" t="s">
        <v>835</v>
      </c>
      <c r="H69" s="7" t="s">
        <v>459</v>
      </c>
      <c r="I69" s="11" t="s">
        <v>834</v>
      </c>
      <c r="J69" s="7" t="s">
        <v>30</v>
      </c>
      <c r="K69" s="7"/>
      <c r="L69" s="7" t="s">
        <v>293</v>
      </c>
      <c r="M69" s="7"/>
      <c r="N69" s="7">
        <v>1</v>
      </c>
      <c r="O69" s="7"/>
      <c r="P69" s="7"/>
      <c r="R69" s="9">
        <v>246.5316007320427</v>
      </c>
      <c r="T69" s="7" t="s">
        <v>34</v>
      </c>
      <c r="U69" s="8"/>
    </row>
    <row r="70" spans="1:21" s="2" customFormat="1" ht="14.1" customHeight="1">
      <c r="A70" s="7">
        <v>66</v>
      </c>
      <c r="B70" s="14" t="s">
        <v>817</v>
      </c>
      <c r="C70" s="14" t="s">
        <v>817</v>
      </c>
      <c r="D70" s="7" t="s">
        <v>658</v>
      </c>
      <c r="E70" s="14" t="s">
        <v>830</v>
      </c>
      <c r="F70" s="7" t="s">
        <v>819</v>
      </c>
      <c r="G70" s="8" t="s">
        <v>836</v>
      </c>
      <c r="H70" s="7" t="s">
        <v>821</v>
      </c>
      <c r="I70" s="11" t="s">
        <v>837</v>
      </c>
      <c r="J70" s="7" t="s">
        <v>30</v>
      </c>
      <c r="K70" s="7"/>
      <c r="L70" s="7" t="s">
        <v>293</v>
      </c>
      <c r="M70" s="7"/>
      <c r="N70" s="7">
        <v>1</v>
      </c>
      <c r="O70" s="7"/>
      <c r="P70" s="7"/>
      <c r="R70" s="9">
        <v>866.44720318535678</v>
      </c>
      <c r="T70" s="7" t="s">
        <v>34</v>
      </c>
      <c r="U70" s="8"/>
    </row>
    <row r="71" spans="1:21" s="2" customFormat="1" ht="14.1" customHeight="1">
      <c r="A71" s="7">
        <v>67</v>
      </c>
      <c r="B71" s="14" t="s">
        <v>817</v>
      </c>
      <c r="C71" s="14" t="s">
        <v>817</v>
      </c>
      <c r="D71" s="7" t="s">
        <v>838</v>
      </c>
      <c r="E71" s="14" t="s">
        <v>839</v>
      </c>
      <c r="F71" s="7" t="s">
        <v>819</v>
      </c>
      <c r="G71" s="8" t="s">
        <v>840</v>
      </c>
      <c r="H71" s="7" t="s">
        <v>821</v>
      </c>
      <c r="I71" s="270" t="s">
        <v>841</v>
      </c>
      <c r="J71" s="7" t="s">
        <v>30</v>
      </c>
      <c r="K71" s="7"/>
      <c r="L71" s="7" t="s">
        <v>293</v>
      </c>
      <c r="M71" s="7"/>
      <c r="N71" s="7">
        <v>1</v>
      </c>
      <c r="O71" s="7"/>
      <c r="P71" s="110" t="s">
        <v>286</v>
      </c>
      <c r="R71" s="9">
        <v>616.14023337625372</v>
      </c>
      <c r="T71" s="7" t="s">
        <v>34</v>
      </c>
      <c r="U71" s="8"/>
    </row>
    <row r="72" spans="1:21" s="2" customFormat="1" ht="14.1" customHeight="1">
      <c r="A72" s="7">
        <v>68</v>
      </c>
      <c r="B72" s="14" t="s">
        <v>817</v>
      </c>
      <c r="C72" s="14" t="s">
        <v>817</v>
      </c>
      <c r="D72" s="7" t="s">
        <v>838</v>
      </c>
      <c r="E72" s="14" t="s">
        <v>839</v>
      </c>
      <c r="F72" s="7" t="s">
        <v>819</v>
      </c>
      <c r="G72" s="8" t="s">
        <v>842</v>
      </c>
      <c r="H72" s="7" t="s">
        <v>821</v>
      </c>
      <c r="I72" s="11" t="s">
        <v>843</v>
      </c>
      <c r="J72" s="7" t="s">
        <v>30</v>
      </c>
      <c r="K72" s="7"/>
      <c r="L72" s="7" t="s">
        <v>293</v>
      </c>
      <c r="M72" s="7"/>
      <c r="N72" s="7">
        <v>1</v>
      </c>
      <c r="O72" s="7"/>
      <c r="P72" s="7"/>
      <c r="R72" s="9">
        <v>153.0912160747983</v>
      </c>
      <c r="T72" s="7" t="s">
        <v>34</v>
      </c>
      <c r="U72" s="8"/>
    </row>
    <row r="73" spans="1:21" s="2" customFormat="1" ht="14.1" customHeight="1">
      <c r="A73" s="7">
        <v>69</v>
      </c>
      <c r="B73" s="14" t="s">
        <v>817</v>
      </c>
      <c r="C73" s="14" t="s">
        <v>817</v>
      </c>
      <c r="D73" s="7" t="s">
        <v>844</v>
      </c>
      <c r="E73" s="14" t="s">
        <v>845</v>
      </c>
      <c r="F73" s="7" t="s">
        <v>819</v>
      </c>
      <c r="G73" s="8" t="s">
        <v>846</v>
      </c>
      <c r="H73" s="7" t="s">
        <v>847</v>
      </c>
      <c r="I73" s="270" t="s">
        <v>848</v>
      </c>
      <c r="J73" s="7" t="s">
        <v>30</v>
      </c>
      <c r="K73" s="7"/>
      <c r="L73" s="7" t="s">
        <v>293</v>
      </c>
      <c r="M73" s="7"/>
      <c r="N73" s="7">
        <v>1</v>
      </c>
      <c r="O73" s="7"/>
      <c r="P73" s="110" t="s">
        <v>286</v>
      </c>
      <c r="R73" s="9">
        <v>127.0411694430817</v>
      </c>
      <c r="T73" s="7" t="s">
        <v>34</v>
      </c>
      <c r="U73" s="8"/>
    </row>
    <row r="74" spans="1:21" s="2" customFormat="1" ht="14.1" customHeight="1">
      <c r="A74" s="7">
        <v>70</v>
      </c>
      <c r="B74" s="14" t="s">
        <v>817</v>
      </c>
      <c r="C74" s="14" t="s">
        <v>817</v>
      </c>
      <c r="D74" s="7" t="s">
        <v>844</v>
      </c>
      <c r="E74" s="14" t="s">
        <v>845</v>
      </c>
      <c r="F74" s="7" t="s">
        <v>819</v>
      </c>
      <c r="G74" s="8" t="s">
        <v>849</v>
      </c>
      <c r="H74" s="7" t="s">
        <v>847</v>
      </c>
      <c r="I74" s="11" t="s">
        <v>850</v>
      </c>
      <c r="J74" s="7" t="s">
        <v>30</v>
      </c>
      <c r="K74" s="7"/>
      <c r="L74" s="7" t="s">
        <v>293</v>
      </c>
      <c r="M74" s="7"/>
      <c r="N74" s="7">
        <v>1</v>
      </c>
      <c r="O74" s="7"/>
      <c r="P74" s="7"/>
      <c r="R74" s="9">
        <v>186.69200086063569</v>
      </c>
      <c r="T74" s="7" t="s">
        <v>34</v>
      </c>
      <c r="U74" s="8"/>
    </row>
    <row r="75" spans="1:21" s="2" customFormat="1" ht="14.1" customHeight="1">
      <c r="A75" s="7">
        <v>71</v>
      </c>
      <c r="B75" s="14" t="s">
        <v>817</v>
      </c>
      <c r="C75" s="14" t="s">
        <v>817</v>
      </c>
      <c r="D75" s="7" t="s">
        <v>844</v>
      </c>
      <c r="E75" s="14" t="s">
        <v>845</v>
      </c>
      <c r="F75" s="7" t="s">
        <v>819</v>
      </c>
      <c r="G75" s="8" t="s">
        <v>851</v>
      </c>
      <c r="H75" s="7" t="s">
        <v>825</v>
      </c>
      <c r="I75" s="11" t="s">
        <v>852</v>
      </c>
      <c r="J75" s="7" t="s">
        <v>30</v>
      </c>
      <c r="K75" s="7"/>
      <c r="L75" s="7" t="s">
        <v>293</v>
      </c>
      <c r="M75" s="7"/>
      <c r="N75" s="7">
        <v>1</v>
      </c>
      <c r="O75" s="7"/>
      <c r="P75" s="7"/>
      <c r="R75" s="9">
        <v>72.298317825706249</v>
      </c>
      <c r="T75" s="7" t="s">
        <v>34</v>
      </c>
      <c r="U75" s="8"/>
    </row>
    <row r="76" spans="1:21" s="2" customFormat="1" ht="14.1" customHeight="1">
      <c r="A76" s="7">
        <v>72</v>
      </c>
      <c r="B76" s="14" t="s">
        <v>817</v>
      </c>
      <c r="C76" s="14" t="s">
        <v>817</v>
      </c>
      <c r="D76" s="7" t="s">
        <v>844</v>
      </c>
      <c r="E76" s="14" t="s">
        <v>845</v>
      </c>
      <c r="F76" s="7" t="s">
        <v>819</v>
      </c>
      <c r="G76" s="8" t="s">
        <v>853</v>
      </c>
      <c r="H76" s="7" t="s">
        <v>825</v>
      </c>
      <c r="I76" s="11" t="s">
        <v>852</v>
      </c>
      <c r="J76" s="7" t="s">
        <v>30</v>
      </c>
      <c r="K76" s="7"/>
      <c r="L76" s="7" t="s">
        <v>293</v>
      </c>
      <c r="M76" s="7"/>
      <c r="N76" s="7">
        <v>1</v>
      </c>
      <c r="O76" s="7"/>
      <c r="P76" s="7"/>
      <c r="R76" s="9">
        <v>88.532404857065856</v>
      </c>
      <c r="T76" s="7" t="s">
        <v>34</v>
      </c>
      <c r="U76" s="8"/>
    </row>
    <row r="77" spans="1:21" s="2" customFormat="1" ht="14.1" customHeight="1">
      <c r="A77" s="7">
        <v>73</v>
      </c>
      <c r="B77" s="14" t="s">
        <v>817</v>
      </c>
      <c r="C77" s="14" t="s">
        <v>817</v>
      </c>
      <c r="D77" s="7" t="s">
        <v>844</v>
      </c>
      <c r="E77" s="14" t="s">
        <v>845</v>
      </c>
      <c r="F77" s="7" t="s">
        <v>819</v>
      </c>
      <c r="G77" s="8" t="s">
        <v>854</v>
      </c>
      <c r="H77" s="7" t="s">
        <v>825</v>
      </c>
      <c r="I77" s="11" t="s">
        <v>852</v>
      </c>
      <c r="J77" s="7" t="s">
        <v>30</v>
      </c>
      <c r="K77" s="7"/>
      <c r="L77" s="7" t="s">
        <v>293</v>
      </c>
      <c r="M77" s="7"/>
      <c r="N77" s="7">
        <v>1</v>
      </c>
      <c r="O77" s="7"/>
      <c r="P77" s="7"/>
      <c r="R77" s="9">
        <v>121.3781158274911</v>
      </c>
      <c r="T77" s="7" t="s">
        <v>34</v>
      </c>
      <c r="U77" s="8"/>
    </row>
    <row r="78" spans="1:21" s="2" customFormat="1" ht="14.1" customHeight="1">
      <c r="A78" s="7">
        <v>74</v>
      </c>
      <c r="B78" s="14" t="s">
        <v>855</v>
      </c>
      <c r="C78" s="14" t="s">
        <v>855</v>
      </c>
      <c r="D78" s="7" t="s">
        <v>611</v>
      </c>
      <c r="E78" s="14" t="s">
        <v>856</v>
      </c>
      <c r="F78" s="7" t="s">
        <v>857</v>
      </c>
      <c r="G78" s="8" t="s">
        <v>858</v>
      </c>
      <c r="H78" s="7">
        <v>689</v>
      </c>
      <c r="I78" s="11" t="s">
        <v>859</v>
      </c>
      <c r="J78" s="7" t="s">
        <v>30</v>
      </c>
      <c r="K78" s="7"/>
      <c r="L78" s="7" t="s">
        <v>293</v>
      </c>
      <c r="M78" s="7"/>
      <c r="N78" s="7">
        <v>1</v>
      </c>
      <c r="O78" s="7"/>
      <c r="P78" s="7"/>
      <c r="R78" s="9">
        <v>5136.3896293406442</v>
      </c>
      <c r="T78" s="7" t="s">
        <v>34</v>
      </c>
      <c r="U78" s="8"/>
    </row>
    <row r="79" spans="1:21" s="2" customFormat="1" ht="14.1" customHeight="1">
      <c r="A79" s="7">
        <v>75</v>
      </c>
      <c r="B79" s="14" t="s">
        <v>855</v>
      </c>
      <c r="C79" s="14" t="s">
        <v>855</v>
      </c>
      <c r="D79" s="7" t="s">
        <v>684</v>
      </c>
      <c r="E79" s="14" t="s">
        <v>413</v>
      </c>
      <c r="F79" s="7" t="s">
        <v>857</v>
      </c>
      <c r="G79" s="8" t="s">
        <v>860</v>
      </c>
      <c r="H79" s="7" t="s">
        <v>42</v>
      </c>
      <c r="I79" s="11" t="s">
        <v>861</v>
      </c>
      <c r="J79" s="7" t="s">
        <v>30</v>
      </c>
      <c r="K79" s="7"/>
      <c r="L79" s="7" t="s">
        <v>293</v>
      </c>
      <c r="M79" s="7"/>
      <c r="N79" s="7">
        <v>1</v>
      </c>
      <c r="O79" s="7"/>
      <c r="P79" s="7"/>
      <c r="R79" s="9">
        <v>775.27203997434856</v>
      </c>
      <c r="T79" s="7" t="s">
        <v>34</v>
      </c>
      <c r="U79" s="8"/>
    </row>
    <row r="80" spans="1:21" s="2" customFormat="1" ht="14.1" customHeight="1">
      <c r="A80" s="7">
        <v>76</v>
      </c>
      <c r="B80" s="14" t="s">
        <v>855</v>
      </c>
      <c r="C80" s="14" t="s">
        <v>855</v>
      </c>
      <c r="D80" s="7" t="s">
        <v>45</v>
      </c>
      <c r="E80" s="142" t="s">
        <v>46</v>
      </c>
      <c r="F80" s="7" t="s">
        <v>857</v>
      </c>
      <c r="G80" s="8" t="s">
        <v>862</v>
      </c>
      <c r="H80" s="7" t="s">
        <v>825</v>
      </c>
      <c r="I80" s="11" t="s">
        <v>863</v>
      </c>
      <c r="J80" s="7" t="s">
        <v>30</v>
      </c>
      <c r="K80" s="7"/>
      <c r="L80" s="7" t="s">
        <v>293</v>
      </c>
      <c r="M80" s="7"/>
      <c r="N80" s="7">
        <v>1</v>
      </c>
      <c r="O80" s="7"/>
      <c r="P80" s="7"/>
      <c r="R80" s="9">
        <v>14461.17371277207</v>
      </c>
      <c r="T80" s="7" t="s">
        <v>34</v>
      </c>
      <c r="U80" s="8"/>
    </row>
    <row r="81" spans="1:21" s="2" customFormat="1" ht="14.1" customHeight="1">
      <c r="A81" s="7">
        <v>77</v>
      </c>
      <c r="B81" s="14" t="s">
        <v>855</v>
      </c>
      <c r="C81" s="14" t="s">
        <v>855</v>
      </c>
      <c r="D81" s="7" t="s">
        <v>35</v>
      </c>
      <c r="E81" s="142" t="s">
        <v>864</v>
      </c>
      <c r="F81" s="7" t="s">
        <v>857</v>
      </c>
      <c r="G81" s="8" t="s">
        <v>865</v>
      </c>
      <c r="H81" s="7" t="s">
        <v>825</v>
      </c>
      <c r="I81" s="11" t="s">
        <v>866</v>
      </c>
      <c r="J81" s="7" t="s">
        <v>30</v>
      </c>
      <c r="K81" s="7"/>
      <c r="L81" s="7" t="s">
        <v>293</v>
      </c>
      <c r="M81" s="7"/>
      <c r="N81" s="7">
        <v>1</v>
      </c>
      <c r="O81" s="7"/>
      <c r="P81" s="7"/>
      <c r="R81" s="9">
        <v>8371.1258545659748</v>
      </c>
      <c r="T81" s="7" t="s">
        <v>34</v>
      </c>
      <c r="U81" s="8"/>
    </row>
    <row r="82" spans="1:21" s="2" customFormat="1" ht="14.1" customHeight="1">
      <c r="A82" s="7">
        <v>78</v>
      </c>
      <c r="B82" s="14" t="s">
        <v>855</v>
      </c>
      <c r="C82" s="14" t="s">
        <v>855</v>
      </c>
      <c r="D82" s="7" t="s">
        <v>45</v>
      </c>
      <c r="E82" s="142" t="s">
        <v>46</v>
      </c>
      <c r="F82" s="7" t="s">
        <v>857</v>
      </c>
      <c r="G82" s="8" t="s">
        <v>867</v>
      </c>
      <c r="H82" s="17" t="s">
        <v>868</v>
      </c>
      <c r="I82" s="11" t="s">
        <v>869</v>
      </c>
      <c r="J82" s="7" t="s">
        <v>30</v>
      </c>
      <c r="K82" s="7"/>
      <c r="L82" s="7" t="s">
        <v>293</v>
      </c>
      <c r="M82" s="7"/>
      <c r="N82" s="7">
        <v>1</v>
      </c>
      <c r="O82" s="7"/>
      <c r="P82" s="7"/>
      <c r="R82" s="9">
        <v>11636.8201062232</v>
      </c>
      <c r="T82" s="7" t="s">
        <v>34</v>
      </c>
      <c r="U82" s="8"/>
    </row>
    <row r="83" spans="1:21" s="2" customFormat="1" ht="14.1" customHeight="1">
      <c r="A83" s="7">
        <v>79</v>
      </c>
      <c r="B83" s="14" t="s">
        <v>855</v>
      </c>
      <c r="C83" s="14" t="s">
        <v>855</v>
      </c>
      <c r="D83" s="7" t="s">
        <v>35</v>
      </c>
      <c r="E83" s="142" t="s">
        <v>864</v>
      </c>
      <c r="F83" s="7" t="s">
        <v>857</v>
      </c>
      <c r="G83" s="8" t="s">
        <v>870</v>
      </c>
      <c r="H83" s="17" t="s">
        <v>868</v>
      </c>
      <c r="I83" s="11" t="s">
        <v>871</v>
      </c>
      <c r="J83" s="7" t="s">
        <v>30</v>
      </c>
      <c r="K83" s="7"/>
      <c r="L83" s="7" t="s">
        <v>293</v>
      </c>
      <c r="M83" s="7"/>
      <c r="N83" s="7">
        <v>1</v>
      </c>
      <c r="O83" s="7"/>
      <c r="P83" s="7"/>
      <c r="R83" s="9">
        <v>6730.3504536755336</v>
      </c>
      <c r="T83" s="7" t="s">
        <v>34</v>
      </c>
      <c r="U83" s="8"/>
    </row>
    <row r="84" spans="1:21" s="2" customFormat="1" ht="14.1" customHeight="1">
      <c r="A84" s="7">
        <v>80</v>
      </c>
      <c r="B84" s="14" t="s">
        <v>855</v>
      </c>
      <c r="C84" s="14" t="s">
        <v>855</v>
      </c>
      <c r="D84" s="7" t="s">
        <v>45</v>
      </c>
      <c r="E84" s="142" t="s">
        <v>46</v>
      </c>
      <c r="F84" s="7" t="s">
        <v>857</v>
      </c>
      <c r="G84" s="8" t="s">
        <v>872</v>
      </c>
      <c r="H84" s="7" t="s">
        <v>825</v>
      </c>
      <c r="I84" s="11" t="s">
        <v>869</v>
      </c>
      <c r="J84" s="7" t="s">
        <v>30</v>
      </c>
      <c r="K84" s="7"/>
      <c r="L84" s="7" t="s">
        <v>293</v>
      </c>
      <c r="M84" s="7"/>
      <c r="N84" s="7">
        <v>1</v>
      </c>
      <c r="O84" s="7"/>
      <c r="P84" s="7"/>
      <c r="R84" s="9">
        <v>14461.17371277207</v>
      </c>
      <c r="T84" s="7" t="s">
        <v>34</v>
      </c>
      <c r="U84" s="8"/>
    </row>
    <row r="85" spans="1:21" s="2" customFormat="1" ht="14.1" customHeight="1">
      <c r="A85" s="7">
        <v>81</v>
      </c>
      <c r="B85" s="14" t="s">
        <v>855</v>
      </c>
      <c r="C85" s="14" t="s">
        <v>855</v>
      </c>
      <c r="D85" s="7" t="s">
        <v>45</v>
      </c>
      <c r="E85" s="142" t="s">
        <v>46</v>
      </c>
      <c r="F85" s="7" t="s">
        <v>857</v>
      </c>
      <c r="G85" s="8" t="s">
        <v>873</v>
      </c>
      <c r="H85" s="17" t="s">
        <v>868</v>
      </c>
      <c r="I85" s="11" t="s">
        <v>869</v>
      </c>
      <c r="J85" s="7" t="s">
        <v>30</v>
      </c>
      <c r="K85" s="7"/>
      <c r="L85" s="7" t="s">
        <v>293</v>
      </c>
      <c r="M85" s="7"/>
      <c r="N85" s="7">
        <v>1</v>
      </c>
      <c r="O85" s="7"/>
      <c r="P85" s="7"/>
      <c r="R85" s="9">
        <v>14493.453118380939</v>
      </c>
      <c r="T85" s="7" t="s">
        <v>34</v>
      </c>
      <c r="U85" s="8"/>
    </row>
    <row r="86" spans="1:21" s="2" customFormat="1" ht="14.1" customHeight="1">
      <c r="A86" s="7">
        <v>82</v>
      </c>
      <c r="B86" s="14" t="s">
        <v>855</v>
      </c>
      <c r="C86" s="14" t="s">
        <v>855</v>
      </c>
      <c r="D86" s="7" t="s">
        <v>45</v>
      </c>
      <c r="E86" s="142" t="s">
        <v>46</v>
      </c>
      <c r="F86" s="7" t="s">
        <v>857</v>
      </c>
      <c r="G86" s="8" t="s">
        <v>874</v>
      </c>
      <c r="H86" s="7">
        <v>626</v>
      </c>
      <c r="I86" s="11" t="s">
        <v>875</v>
      </c>
      <c r="J86" s="7" t="s">
        <v>30</v>
      </c>
      <c r="K86" s="7"/>
      <c r="L86" s="7"/>
      <c r="M86" s="7"/>
      <c r="N86" s="7"/>
      <c r="O86" s="7"/>
      <c r="P86" s="7"/>
      <c r="R86" s="9">
        <v>14152.15975381468</v>
      </c>
      <c r="T86" s="7"/>
      <c r="U86" s="8"/>
    </row>
    <row r="87" spans="1:21" s="2" customFormat="1" ht="14.1" customHeight="1">
      <c r="A87" s="7">
        <v>83</v>
      </c>
      <c r="B87" s="14" t="s">
        <v>855</v>
      </c>
      <c r="C87" s="14" t="s">
        <v>855</v>
      </c>
      <c r="D87" s="7" t="s">
        <v>45</v>
      </c>
      <c r="E87" s="142" t="s">
        <v>46</v>
      </c>
      <c r="F87" s="7" t="s">
        <v>857</v>
      </c>
      <c r="G87" s="8" t="s">
        <v>876</v>
      </c>
      <c r="H87" s="7" t="s">
        <v>877</v>
      </c>
      <c r="I87" s="11" t="s">
        <v>878</v>
      </c>
      <c r="J87" s="7" t="s">
        <v>30</v>
      </c>
      <c r="K87" s="7"/>
      <c r="L87" s="7" t="s">
        <v>293</v>
      </c>
      <c r="M87" s="7"/>
      <c r="N87" s="7">
        <v>1</v>
      </c>
      <c r="O87" s="7"/>
      <c r="P87" s="7"/>
      <c r="R87" s="9">
        <v>3845.2134049859942</v>
      </c>
      <c r="T87" s="7" t="s">
        <v>34</v>
      </c>
      <c r="U87" s="8"/>
    </row>
    <row r="88" spans="1:21" s="2" customFormat="1" ht="14.1" customHeight="1">
      <c r="A88" s="7">
        <v>84</v>
      </c>
      <c r="B88" s="14" t="s">
        <v>879</v>
      </c>
      <c r="C88" s="14" t="s">
        <v>879</v>
      </c>
      <c r="D88" s="110" t="s">
        <v>30</v>
      </c>
      <c r="E88" s="307" t="s">
        <v>716</v>
      </c>
      <c r="F88" s="7" t="s">
        <v>880</v>
      </c>
      <c r="G88" s="8" t="s">
        <v>881</v>
      </c>
      <c r="H88" s="7">
        <v>630</v>
      </c>
      <c r="I88" s="11" t="s">
        <v>882</v>
      </c>
      <c r="J88" s="7" t="s">
        <v>30</v>
      </c>
      <c r="K88" s="7"/>
      <c r="L88" s="7" t="s">
        <v>293</v>
      </c>
      <c r="M88" s="7"/>
      <c r="N88" s="7">
        <v>1</v>
      </c>
      <c r="O88" s="7"/>
      <c r="P88" s="7"/>
      <c r="Q88" s="10"/>
      <c r="R88" s="9">
        <v>2497.4066444754399</v>
      </c>
      <c r="T88" s="7" t="s">
        <v>34</v>
      </c>
      <c r="U88" s="8"/>
    </row>
    <row r="89" spans="1:21" s="2" customFormat="1" ht="14.1" customHeight="1">
      <c r="A89" s="7">
        <v>85</v>
      </c>
      <c r="B89" s="14" t="s">
        <v>879</v>
      </c>
      <c r="C89" s="14" t="s">
        <v>879</v>
      </c>
      <c r="D89" s="110" t="s">
        <v>30</v>
      </c>
      <c r="E89" s="307" t="s">
        <v>716</v>
      </c>
      <c r="F89" s="7" t="s">
        <v>880</v>
      </c>
      <c r="G89" s="8" t="s">
        <v>883</v>
      </c>
      <c r="H89" s="7" t="s">
        <v>42</v>
      </c>
      <c r="I89" s="11" t="s">
        <v>884</v>
      </c>
      <c r="J89" s="7" t="s">
        <v>30</v>
      </c>
      <c r="K89" s="7"/>
      <c r="L89" s="7" t="s">
        <v>293</v>
      </c>
      <c r="M89" s="7"/>
      <c r="N89" s="7">
        <v>1</v>
      </c>
      <c r="O89" s="7"/>
      <c r="P89" s="7"/>
      <c r="Q89" s="10"/>
      <c r="R89" s="9">
        <v>3022.3717146406862</v>
      </c>
      <c r="T89" s="7" t="s">
        <v>34</v>
      </c>
      <c r="U89" s="8"/>
    </row>
    <row r="90" spans="1:21" s="2" customFormat="1" ht="14.1" customHeight="1">
      <c r="A90" s="7">
        <v>86</v>
      </c>
      <c r="B90" s="14" t="s">
        <v>879</v>
      </c>
      <c r="C90" s="14" t="s">
        <v>879</v>
      </c>
      <c r="D90" s="110" t="s">
        <v>30</v>
      </c>
      <c r="E90" s="305" t="s">
        <v>716</v>
      </c>
      <c r="F90" s="7" t="s">
        <v>880</v>
      </c>
      <c r="G90" s="8" t="s">
        <v>885</v>
      </c>
      <c r="H90" s="7" t="s">
        <v>459</v>
      </c>
      <c r="I90" s="11" t="s">
        <v>886</v>
      </c>
      <c r="J90" s="7" t="s">
        <v>30</v>
      </c>
      <c r="K90" s="7" t="s">
        <v>461</v>
      </c>
      <c r="L90" s="7" t="s">
        <v>293</v>
      </c>
      <c r="M90" s="7"/>
      <c r="N90" s="7">
        <v>1</v>
      </c>
      <c r="O90" s="7"/>
      <c r="P90" s="7"/>
      <c r="Q90" s="10"/>
      <c r="R90" s="9">
        <v>168.1926923830398</v>
      </c>
      <c r="T90" s="7" t="s">
        <v>34</v>
      </c>
      <c r="U90" s="8"/>
    </row>
    <row r="91" spans="1:21" s="2" customFormat="1" ht="14.1" customHeight="1">
      <c r="A91" s="7">
        <v>87</v>
      </c>
      <c r="B91" s="14" t="s">
        <v>879</v>
      </c>
      <c r="C91" s="14" t="s">
        <v>879</v>
      </c>
      <c r="D91" s="110" t="s">
        <v>30</v>
      </c>
      <c r="E91" s="305" t="s">
        <v>716</v>
      </c>
      <c r="F91" s="7" t="s">
        <v>880</v>
      </c>
      <c r="G91" s="8" t="s">
        <v>887</v>
      </c>
      <c r="H91" s="143" t="s">
        <v>632</v>
      </c>
      <c r="I91" s="11" t="s">
        <v>888</v>
      </c>
      <c r="J91" s="7" t="s">
        <v>30</v>
      </c>
      <c r="K91" s="7" t="s">
        <v>633</v>
      </c>
      <c r="L91" s="7" t="s">
        <v>293</v>
      </c>
      <c r="M91" s="7"/>
      <c r="N91" s="7">
        <v>1</v>
      </c>
      <c r="O91" s="7"/>
      <c r="P91" s="7"/>
      <c r="Q91" s="10"/>
      <c r="R91" s="9">
        <v>219.1601749233549</v>
      </c>
      <c r="T91" s="7" t="s">
        <v>34</v>
      </c>
      <c r="U91" s="8"/>
    </row>
    <row r="92" spans="1:21" s="2" customFormat="1" ht="14.1" customHeight="1">
      <c r="A92" s="7">
        <v>88</v>
      </c>
      <c r="B92" s="14" t="s">
        <v>879</v>
      </c>
      <c r="C92" s="14" t="s">
        <v>879</v>
      </c>
      <c r="D92" s="110" t="s">
        <v>30</v>
      </c>
      <c r="E92" s="305" t="s">
        <v>716</v>
      </c>
      <c r="F92" s="7" t="s">
        <v>880</v>
      </c>
      <c r="G92" s="8" t="s">
        <v>889</v>
      </c>
      <c r="H92" s="7" t="s">
        <v>632</v>
      </c>
      <c r="I92" s="11" t="s">
        <v>890</v>
      </c>
      <c r="J92" s="7" t="s">
        <v>30</v>
      </c>
      <c r="K92" s="7" t="s">
        <v>633</v>
      </c>
      <c r="L92" s="7" t="s">
        <v>293</v>
      </c>
      <c r="M92" s="7"/>
      <c r="N92" s="7">
        <v>1</v>
      </c>
      <c r="O92" s="7"/>
      <c r="P92" s="7"/>
      <c r="Q92" s="10"/>
      <c r="R92" s="9">
        <v>168.1926923830398</v>
      </c>
      <c r="T92" s="7" t="s">
        <v>34</v>
      </c>
      <c r="U92" s="8"/>
    </row>
    <row r="93" spans="1:21" s="2" customFormat="1" ht="14.1" customHeight="1">
      <c r="A93" s="7">
        <v>89</v>
      </c>
      <c r="B93" s="14" t="s">
        <v>879</v>
      </c>
      <c r="C93" s="14" t="s">
        <v>879</v>
      </c>
      <c r="D93" s="110" t="s">
        <v>30</v>
      </c>
      <c r="E93" s="305" t="s">
        <v>716</v>
      </c>
      <c r="F93" s="7" t="s">
        <v>880</v>
      </c>
      <c r="G93" s="8" t="s">
        <v>891</v>
      </c>
      <c r="H93" s="7" t="s">
        <v>42</v>
      </c>
      <c r="I93" s="11" t="s">
        <v>892</v>
      </c>
      <c r="J93" s="7" t="s">
        <v>30</v>
      </c>
      <c r="K93" s="7"/>
      <c r="L93" s="7" t="s">
        <v>293</v>
      </c>
      <c r="M93" s="7"/>
      <c r="N93" s="7">
        <v>1</v>
      </c>
      <c r="O93" s="7"/>
      <c r="P93" s="7"/>
      <c r="Q93" s="10"/>
      <c r="R93" s="9">
        <v>688.06101429425382</v>
      </c>
      <c r="T93" s="7" t="s">
        <v>34</v>
      </c>
      <c r="U93" s="8"/>
    </row>
    <row r="94" spans="1:21" s="2" customFormat="1" ht="14.1" customHeight="1">
      <c r="A94" s="7">
        <v>90</v>
      </c>
      <c r="B94" s="14" t="s">
        <v>879</v>
      </c>
      <c r="C94" s="14" t="s">
        <v>879</v>
      </c>
      <c r="D94" s="110" t="s">
        <v>30</v>
      </c>
      <c r="E94" s="305" t="s">
        <v>716</v>
      </c>
      <c r="F94" s="7" t="s">
        <v>880</v>
      </c>
      <c r="G94" s="8" t="s">
        <v>893</v>
      </c>
      <c r="H94" s="7" t="s">
        <v>42</v>
      </c>
      <c r="I94" s="11" t="s">
        <v>894</v>
      </c>
      <c r="J94" s="7" t="s">
        <v>30</v>
      </c>
      <c r="K94" s="7"/>
      <c r="L94" s="7" t="s">
        <v>293</v>
      </c>
      <c r="M94" s="7"/>
      <c r="N94" s="7">
        <v>1</v>
      </c>
      <c r="O94" s="7"/>
      <c r="P94" s="7"/>
      <c r="Q94" s="10"/>
      <c r="R94" s="9">
        <v>1501.8418188546179</v>
      </c>
      <c r="T94" s="7" t="s">
        <v>34</v>
      </c>
      <c r="U94" s="8"/>
    </row>
    <row r="95" spans="1:21" s="2" customFormat="1" ht="14.1" customHeight="1">
      <c r="A95" s="7">
        <v>91</v>
      </c>
      <c r="B95" s="14" t="s">
        <v>879</v>
      </c>
      <c r="C95" s="14" t="s">
        <v>879</v>
      </c>
      <c r="D95" s="110" t="s">
        <v>30</v>
      </c>
      <c r="E95" s="305" t="s">
        <v>716</v>
      </c>
      <c r="F95" s="7" t="s">
        <v>880</v>
      </c>
      <c r="G95" s="8" t="s">
        <v>895</v>
      </c>
      <c r="H95" s="7" t="s">
        <v>459</v>
      </c>
      <c r="I95" s="11" t="s">
        <v>896</v>
      </c>
      <c r="J95" s="7" t="s">
        <v>30</v>
      </c>
      <c r="K95" s="7" t="s">
        <v>461</v>
      </c>
      <c r="L95" s="7" t="s">
        <v>293</v>
      </c>
      <c r="M95" s="7"/>
      <c r="N95" s="7">
        <v>1</v>
      </c>
      <c r="O95" s="7"/>
      <c r="P95" s="7"/>
      <c r="Q95" s="10"/>
      <c r="R95" s="9">
        <v>219.1601749233549</v>
      </c>
      <c r="T95" s="7" t="s">
        <v>34</v>
      </c>
      <c r="U95" s="8"/>
    </row>
    <row r="96" spans="1:21" s="2" customFormat="1" ht="14.1" customHeight="1">
      <c r="A96" s="7">
        <v>92</v>
      </c>
      <c r="B96" s="14" t="s">
        <v>879</v>
      </c>
      <c r="C96" s="14" t="s">
        <v>879</v>
      </c>
      <c r="D96" s="110" t="s">
        <v>30</v>
      </c>
      <c r="E96" s="305" t="s">
        <v>716</v>
      </c>
      <c r="F96" s="7" t="s">
        <v>880</v>
      </c>
      <c r="G96" s="8" t="s">
        <v>897</v>
      </c>
      <c r="H96" s="7" t="s">
        <v>42</v>
      </c>
      <c r="I96" s="11" t="s">
        <v>898</v>
      </c>
      <c r="J96" s="7" t="s">
        <v>30</v>
      </c>
      <c r="K96" s="7"/>
      <c r="L96" s="7" t="s">
        <v>293</v>
      </c>
      <c r="M96" s="7"/>
      <c r="N96" s="7">
        <v>1</v>
      </c>
      <c r="O96" s="7"/>
      <c r="P96" s="7"/>
      <c r="Q96" s="10"/>
      <c r="R96" s="9">
        <v>1085.6073781087121</v>
      </c>
      <c r="T96" s="7" t="s">
        <v>34</v>
      </c>
      <c r="U96" s="8"/>
    </row>
    <row r="97" spans="1:21" s="2" customFormat="1" ht="14.1" customHeight="1">
      <c r="A97" s="7">
        <v>93</v>
      </c>
      <c r="B97" s="14" t="s">
        <v>879</v>
      </c>
      <c r="C97" s="14" t="s">
        <v>879</v>
      </c>
      <c r="D97" s="110" t="s">
        <v>30</v>
      </c>
      <c r="E97" s="305" t="s">
        <v>716</v>
      </c>
      <c r="F97" s="7" t="s">
        <v>880</v>
      </c>
      <c r="G97" s="8" t="s">
        <v>899</v>
      </c>
      <c r="H97" s="7" t="s">
        <v>42</v>
      </c>
      <c r="I97" s="11" t="s">
        <v>900</v>
      </c>
      <c r="J97" s="7" t="s">
        <v>30</v>
      </c>
      <c r="K97" s="7"/>
      <c r="L97" s="7" t="s">
        <v>293</v>
      </c>
      <c r="M97" s="7"/>
      <c r="N97" s="7">
        <v>1</v>
      </c>
      <c r="O97" s="7"/>
      <c r="P97" s="7"/>
      <c r="Q97" s="10"/>
      <c r="R97" s="9">
        <v>397.54636381445778</v>
      </c>
      <c r="T97" s="7" t="s">
        <v>34</v>
      </c>
      <c r="U97" s="8"/>
    </row>
    <row r="98" spans="1:21" s="2" customFormat="1" ht="14.1" customHeight="1">
      <c r="A98" s="7">
        <v>94</v>
      </c>
      <c r="B98" s="14" t="s">
        <v>879</v>
      </c>
      <c r="C98" s="14" t="s">
        <v>879</v>
      </c>
      <c r="D98" s="110" t="s">
        <v>30</v>
      </c>
      <c r="E98" s="305" t="s">
        <v>716</v>
      </c>
      <c r="F98" s="7" t="s">
        <v>880</v>
      </c>
      <c r="G98" s="8" t="s">
        <v>901</v>
      </c>
      <c r="H98" s="7" t="s">
        <v>42</v>
      </c>
      <c r="I98" s="11" t="s">
        <v>902</v>
      </c>
      <c r="J98" s="7" t="s">
        <v>30</v>
      </c>
      <c r="K98" s="7"/>
      <c r="L98" s="7" t="s">
        <v>293</v>
      </c>
      <c r="M98" s="7"/>
      <c r="N98" s="7">
        <v>1</v>
      </c>
      <c r="O98" s="7"/>
      <c r="P98" s="7"/>
      <c r="Q98" s="10"/>
      <c r="R98" s="9">
        <v>1590.1854552578311</v>
      </c>
      <c r="T98" s="7" t="s">
        <v>34</v>
      </c>
      <c r="U98" s="8"/>
    </row>
    <row r="99" spans="1:21" s="2" customFormat="1" ht="14.1" customHeight="1">
      <c r="A99" s="7">
        <v>95</v>
      </c>
      <c r="B99" s="14" t="s">
        <v>879</v>
      </c>
      <c r="C99" s="14" t="s">
        <v>879</v>
      </c>
      <c r="D99" s="110" t="s">
        <v>30</v>
      </c>
      <c r="E99" s="305" t="s">
        <v>716</v>
      </c>
      <c r="F99" s="7" t="s">
        <v>880</v>
      </c>
      <c r="G99" s="8" t="s">
        <v>903</v>
      </c>
      <c r="H99" s="7" t="s">
        <v>42</v>
      </c>
      <c r="I99" s="11" t="s">
        <v>904</v>
      </c>
      <c r="J99" s="7" t="s">
        <v>30</v>
      </c>
      <c r="K99" s="7"/>
      <c r="L99" s="7" t="s">
        <v>293</v>
      </c>
      <c r="M99" s="7"/>
      <c r="N99" s="7">
        <v>1</v>
      </c>
      <c r="O99" s="7"/>
      <c r="P99" s="7"/>
      <c r="Q99" s="10"/>
      <c r="R99" s="9">
        <v>968.38216826598682</v>
      </c>
      <c r="T99" s="7" t="s">
        <v>34</v>
      </c>
      <c r="U99" s="8"/>
    </row>
    <row r="100" spans="1:21" s="2" customFormat="1" ht="14.1" customHeight="1">
      <c r="A100" s="7">
        <v>96</v>
      </c>
      <c r="B100" s="14" t="s">
        <v>879</v>
      </c>
      <c r="C100" s="14" t="s">
        <v>879</v>
      </c>
      <c r="D100" s="7" t="s">
        <v>773</v>
      </c>
      <c r="E100" s="14" t="s">
        <v>399</v>
      </c>
      <c r="F100" s="7" t="s">
        <v>880</v>
      </c>
      <c r="G100" s="8" t="s">
        <v>905</v>
      </c>
      <c r="H100" s="7" t="s">
        <v>42</v>
      </c>
      <c r="I100" s="11" t="s">
        <v>906</v>
      </c>
      <c r="J100" s="7" t="s">
        <v>30</v>
      </c>
      <c r="K100" s="7"/>
      <c r="L100" s="7" t="s">
        <v>293</v>
      </c>
      <c r="M100" s="7"/>
      <c r="N100" s="7">
        <v>1</v>
      </c>
      <c r="O100" s="7"/>
      <c r="P100" s="7"/>
      <c r="Q100" s="10"/>
      <c r="R100" s="9">
        <v>1895.990350499721</v>
      </c>
      <c r="T100" s="7" t="s">
        <v>34</v>
      </c>
      <c r="U100" s="8"/>
    </row>
    <row r="101" spans="1:21" s="2" customFormat="1" ht="14.1" customHeight="1">
      <c r="A101" s="7">
        <v>97</v>
      </c>
      <c r="B101" s="14" t="s">
        <v>879</v>
      </c>
      <c r="C101" s="14" t="s">
        <v>879</v>
      </c>
      <c r="D101" s="7" t="s">
        <v>118</v>
      </c>
      <c r="E101" s="136" t="s">
        <v>373</v>
      </c>
      <c r="F101" s="7" t="s">
        <v>880</v>
      </c>
      <c r="G101" s="8" t="s">
        <v>907</v>
      </c>
      <c r="H101" s="7" t="s">
        <v>42</v>
      </c>
      <c r="I101" s="11" t="s">
        <v>908</v>
      </c>
      <c r="J101" s="7" t="s">
        <v>30</v>
      </c>
      <c r="K101" s="7"/>
      <c r="L101" s="7" t="s">
        <v>293</v>
      </c>
      <c r="M101" s="7"/>
      <c r="N101" s="7">
        <v>1</v>
      </c>
      <c r="O101" s="7"/>
      <c r="P101" s="7"/>
      <c r="Q101" s="10"/>
      <c r="R101" s="9">
        <v>4177.8234206750139</v>
      </c>
      <c r="T101" s="7" t="s">
        <v>34</v>
      </c>
      <c r="U101" s="8"/>
    </row>
    <row r="102" spans="1:21" s="2" customFormat="1" ht="14.1" customHeight="1">
      <c r="A102" s="7">
        <v>98</v>
      </c>
      <c r="B102" s="14" t="s">
        <v>879</v>
      </c>
      <c r="C102" s="14" t="s">
        <v>879</v>
      </c>
      <c r="D102" s="7" t="s">
        <v>118</v>
      </c>
      <c r="E102" s="136" t="s">
        <v>373</v>
      </c>
      <c r="F102" s="7" t="s">
        <v>880</v>
      </c>
      <c r="G102" s="8" t="s">
        <v>909</v>
      </c>
      <c r="H102" s="7" t="s">
        <v>42</v>
      </c>
      <c r="I102" s="11" t="s">
        <v>910</v>
      </c>
      <c r="J102" s="7" t="s">
        <v>30</v>
      </c>
      <c r="K102" s="7"/>
      <c r="L102" s="7" t="s">
        <v>293</v>
      </c>
      <c r="M102" s="7"/>
      <c r="N102" s="7">
        <v>1</v>
      </c>
      <c r="O102" s="7"/>
      <c r="P102" s="7"/>
      <c r="Q102" s="10"/>
      <c r="R102" s="9">
        <v>2101.3704282918061</v>
      </c>
      <c r="T102" s="7" t="s">
        <v>34</v>
      </c>
      <c r="U102" s="8"/>
    </row>
    <row r="103" spans="1:21" s="2" customFormat="1" ht="14.1" customHeight="1">
      <c r="A103" s="7">
        <v>99</v>
      </c>
      <c r="B103" s="14" t="s">
        <v>879</v>
      </c>
      <c r="C103" s="14" t="s">
        <v>879</v>
      </c>
      <c r="D103" s="7" t="s">
        <v>118</v>
      </c>
      <c r="E103" s="136" t="s">
        <v>373</v>
      </c>
      <c r="F103" s="7" t="s">
        <v>880</v>
      </c>
      <c r="G103" s="8" t="s">
        <v>911</v>
      </c>
      <c r="H103" s="7" t="s">
        <v>42</v>
      </c>
      <c r="I103" s="11" t="s">
        <v>912</v>
      </c>
      <c r="J103" s="7" t="s">
        <v>30</v>
      </c>
      <c r="K103" s="7"/>
      <c r="L103" s="7" t="s">
        <v>293</v>
      </c>
      <c r="M103" s="7"/>
      <c r="N103" s="7">
        <v>1</v>
      </c>
      <c r="O103" s="7"/>
      <c r="P103" s="7"/>
      <c r="Q103" s="10"/>
      <c r="R103" s="9">
        <v>2142.899488139471</v>
      </c>
      <c r="T103" s="7" t="s">
        <v>34</v>
      </c>
      <c r="U103" s="8"/>
    </row>
    <row r="104" spans="1:21" s="2" customFormat="1" ht="14.1" customHeight="1">
      <c r="A104" s="7">
        <v>100</v>
      </c>
      <c r="B104" s="14" t="s">
        <v>879</v>
      </c>
      <c r="C104" s="14" t="s">
        <v>879</v>
      </c>
      <c r="D104" s="7" t="s">
        <v>118</v>
      </c>
      <c r="E104" s="136" t="s">
        <v>373</v>
      </c>
      <c r="F104" s="7" t="s">
        <v>880</v>
      </c>
      <c r="G104" s="8" t="s">
        <v>913</v>
      </c>
      <c r="H104" s="7" t="s">
        <v>42</v>
      </c>
      <c r="I104" s="11" t="s">
        <v>910</v>
      </c>
      <c r="J104" s="7" t="s">
        <v>30</v>
      </c>
      <c r="K104" s="7"/>
      <c r="L104" s="7" t="s">
        <v>293</v>
      </c>
      <c r="M104" s="7"/>
      <c r="N104" s="7">
        <v>1</v>
      </c>
      <c r="O104" s="7"/>
      <c r="P104" s="7"/>
      <c r="Q104" s="10"/>
      <c r="R104" s="9">
        <v>2101.3704282918061</v>
      </c>
      <c r="T104" s="7" t="s">
        <v>34</v>
      </c>
      <c r="U104" s="8"/>
    </row>
    <row r="105" spans="1:21" s="2" customFormat="1" ht="14.1" customHeight="1">
      <c r="A105" s="7">
        <v>101</v>
      </c>
      <c r="B105" s="14" t="s">
        <v>879</v>
      </c>
      <c r="C105" s="14" t="s">
        <v>879</v>
      </c>
      <c r="D105" s="7" t="s">
        <v>118</v>
      </c>
      <c r="E105" s="136" t="s">
        <v>373</v>
      </c>
      <c r="F105" s="7" t="s">
        <v>880</v>
      </c>
      <c r="G105" s="8" t="s">
        <v>914</v>
      </c>
      <c r="H105" s="7" t="s">
        <v>42</v>
      </c>
      <c r="I105" s="11" t="s">
        <v>915</v>
      </c>
      <c r="J105" s="7" t="s">
        <v>30</v>
      </c>
      <c r="K105" s="7"/>
      <c r="L105" s="7" t="s">
        <v>293</v>
      </c>
      <c r="M105" s="7"/>
      <c r="N105" s="7">
        <v>1</v>
      </c>
      <c r="O105" s="7"/>
      <c r="P105" s="7"/>
      <c r="Q105" s="10"/>
      <c r="R105" s="9">
        <v>2736.765043961067</v>
      </c>
      <c r="T105" s="7" t="s">
        <v>34</v>
      </c>
      <c r="U105" s="8"/>
    </row>
    <row r="106" spans="1:21" s="2" customFormat="1" ht="14.1" customHeight="1">
      <c r="A106" s="7">
        <v>102</v>
      </c>
      <c r="B106" s="14" t="s">
        <v>879</v>
      </c>
      <c r="C106" s="14" t="s">
        <v>879</v>
      </c>
      <c r="D106" s="7" t="s">
        <v>118</v>
      </c>
      <c r="E106" s="136" t="s">
        <v>373</v>
      </c>
      <c r="F106" s="7" t="s">
        <v>880</v>
      </c>
      <c r="G106" s="8" t="s">
        <v>916</v>
      </c>
      <c r="H106" s="7" t="s">
        <v>42</v>
      </c>
      <c r="I106" s="11" t="s">
        <v>917</v>
      </c>
      <c r="J106" s="7" t="s">
        <v>30</v>
      </c>
      <c r="K106" s="7"/>
      <c r="L106" s="7" t="s">
        <v>293</v>
      </c>
      <c r="M106" s="7"/>
      <c r="N106" s="7">
        <v>1</v>
      </c>
      <c r="O106" s="7"/>
      <c r="P106" s="7"/>
      <c r="Q106" s="10"/>
      <c r="R106" s="9">
        <v>2529.1197447227469</v>
      </c>
      <c r="T106" s="7" t="s">
        <v>34</v>
      </c>
      <c r="U106" s="8"/>
    </row>
    <row r="107" spans="1:21" s="2" customFormat="1" ht="14.1" customHeight="1">
      <c r="A107" s="7">
        <v>103</v>
      </c>
      <c r="B107" s="14" t="s">
        <v>879</v>
      </c>
      <c r="C107" s="14" t="s">
        <v>879</v>
      </c>
      <c r="D107" s="7" t="s">
        <v>118</v>
      </c>
      <c r="E107" s="136" t="s">
        <v>373</v>
      </c>
      <c r="F107" s="7" t="s">
        <v>880</v>
      </c>
      <c r="G107" s="8" t="s">
        <v>918</v>
      </c>
      <c r="H107" s="7" t="s">
        <v>42</v>
      </c>
      <c r="I107" s="11" t="s">
        <v>919</v>
      </c>
      <c r="J107" s="7" t="s">
        <v>30</v>
      </c>
      <c r="K107" s="7"/>
      <c r="L107" s="7" t="s">
        <v>293</v>
      </c>
      <c r="M107" s="7"/>
      <c r="N107" s="7">
        <v>1</v>
      </c>
      <c r="O107" s="7"/>
      <c r="P107" s="7"/>
      <c r="Q107" s="10"/>
      <c r="R107" s="9">
        <v>2736.765043961067</v>
      </c>
      <c r="T107" s="7" t="s">
        <v>34</v>
      </c>
      <c r="U107" s="8"/>
    </row>
    <row r="108" spans="1:21" s="2" customFormat="1" ht="14.1" customHeight="1">
      <c r="A108" s="7">
        <v>104</v>
      </c>
      <c r="B108" s="14" t="s">
        <v>879</v>
      </c>
      <c r="C108" s="14" t="s">
        <v>879</v>
      </c>
      <c r="D108" s="7" t="s">
        <v>118</v>
      </c>
      <c r="E108" s="136" t="s">
        <v>373</v>
      </c>
      <c r="F108" s="7" t="s">
        <v>880</v>
      </c>
      <c r="G108" s="8" t="s">
        <v>920</v>
      </c>
      <c r="H108" s="7" t="s">
        <v>42</v>
      </c>
      <c r="I108" s="11" t="s">
        <v>921</v>
      </c>
      <c r="J108" s="7" t="s">
        <v>30</v>
      </c>
      <c r="K108" s="7"/>
      <c r="L108" s="7" t="s">
        <v>293</v>
      </c>
      <c r="M108" s="7"/>
      <c r="N108" s="7">
        <v>1</v>
      </c>
      <c r="O108" s="7"/>
      <c r="P108" s="7"/>
      <c r="Q108" s="10"/>
      <c r="R108" s="9">
        <v>2142.899488139471</v>
      </c>
      <c r="T108" s="7" t="s">
        <v>34</v>
      </c>
      <c r="U108" s="8"/>
    </row>
    <row r="109" spans="1:21" s="2" customFormat="1" ht="14.1" customHeight="1">
      <c r="A109" s="7">
        <v>105</v>
      </c>
      <c r="B109" s="14" t="s">
        <v>879</v>
      </c>
      <c r="C109" s="14" t="s">
        <v>879</v>
      </c>
      <c r="D109" s="7" t="s">
        <v>118</v>
      </c>
      <c r="E109" s="136" t="s">
        <v>373</v>
      </c>
      <c r="F109" s="7" t="s">
        <v>880</v>
      </c>
      <c r="G109" s="8" t="s">
        <v>922</v>
      </c>
      <c r="H109" s="7" t="s">
        <v>42</v>
      </c>
      <c r="I109" s="11" t="s">
        <v>923</v>
      </c>
      <c r="J109" s="7" t="s">
        <v>30</v>
      </c>
      <c r="K109" s="7"/>
      <c r="L109" s="7" t="s">
        <v>293</v>
      </c>
      <c r="M109" s="7"/>
      <c r="N109" s="7">
        <v>1</v>
      </c>
      <c r="O109" s="7"/>
      <c r="P109" s="7"/>
      <c r="Q109" s="10"/>
      <c r="R109" s="9">
        <v>2736.765043961067</v>
      </c>
      <c r="T109" s="7" t="s">
        <v>34</v>
      </c>
      <c r="U109" s="8"/>
    </row>
    <row r="110" spans="1:21" s="2" customFormat="1" ht="14.1" customHeight="1">
      <c r="A110" s="7">
        <v>106</v>
      </c>
      <c r="B110" s="14" t="s">
        <v>879</v>
      </c>
      <c r="C110" s="14" t="s">
        <v>879</v>
      </c>
      <c r="D110" s="7" t="s">
        <v>118</v>
      </c>
      <c r="E110" s="136" t="s">
        <v>373</v>
      </c>
      <c r="F110" s="7" t="s">
        <v>880</v>
      </c>
      <c r="G110" s="8" t="s">
        <v>924</v>
      </c>
      <c r="H110" s="7" t="s">
        <v>42</v>
      </c>
      <c r="I110" s="11" t="s">
        <v>925</v>
      </c>
      <c r="J110" s="7" t="s">
        <v>30</v>
      </c>
      <c r="K110" s="7"/>
      <c r="L110" s="7" t="s">
        <v>293</v>
      </c>
      <c r="M110" s="7"/>
      <c r="N110" s="7">
        <v>1</v>
      </c>
      <c r="O110" s="7"/>
      <c r="P110" s="7"/>
      <c r="Q110" s="10"/>
      <c r="R110" s="9">
        <v>5204.91257808929</v>
      </c>
      <c r="T110" s="7" t="s">
        <v>34</v>
      </c>
      <c r="U110" s="8"/>
    </row>
    <row r="111" spans="1:21" s="2" customFormat="1" ht="14.1" customHeight="1">
      <c r="A111" s="7">
        <v>107</v>
      </c>
      <c r="B111" s="14" t="s">
        <v>879</v>
      </c>
      <c r="C111" s="14" t="s">
        <v>879</v>
      </c>
      <c r="D111" s="7" t="s">
        <v>118</v>
      </c>
      <c r="E111" s="136" t="s">
        <v>373</v>
      </c>
      <c r="F111" s="7" t="s">
        <v>880</v>
      </c>
      <c r="G111" s="8" t="s">
        <v>926</v>
      </c>
      <c r="H111" s="7" t="s">
        <v>42</v>
      </c>
      <c r="I111" s="11" t="s">
        <v>927</v>
      </c>
      <c r="J111" s="7" t="s">
        <v>30</v>
      </c>
      <c r="K111" s="7"/>
      <c r="L111" s="7" t="s">
        <v>293</v>
      </c>
      <c r="M111" s="7"/>
      <c r="N111" s="7">
        <v>1</v>
      </c>
      <c r="O111" s="7"/>
      <c r="P111" s="7"/>
      <c r="Q111" s="10"/>
      <c r="R111" s="9">
        <v>3073.1504287271482</v>
      </c>
      <c r="T111" s="7" t="s">
        <v>34</v>
      </c>
      <c r="U111" s="8"/>
    </row>
    <row r="112" spans="1:21" s="2" customFormat="1" ht="14.1" customHeight="1">
      <c r="A112" s="7">
        <v>108</v>
      </c>
      <c r="B112" s="14" t="s">
        <v>879</v>
      </c>
      <c r="C112" s="14" t="s">
        <v>879</v>
      </c>
      <c r="D112" s="7" t="s">
        <v>118</v>
      </c>
      <c r="E112" s="136" t="s">
        <v>373</v>
      </c>
      <c r="F112" s="7" t="s">
        <v>880</v>
      </c>
      <c r="G112" s="8" t="s">
        <v>928</v>
      </c>
      <c r="H112" s="7" t="s">
        <v>42</v>
      </c>
      <c r="I112" s="11" t="s">
        <v>929</v>
      </c>
      <c r="J112" s="7" t="s">
        <v>30</v>
      </c>
      <c r="K112" s="7"/>
      <c r="L112" s="7" t="s">
        <v>293</v>
      </c>
      <c r="M112" s="7"/>
      <c r="N112" s="7">
        <v>1</v>
      </c>
      <c r="O112" s="7"/>
      <c r="P112" s="7"/>
      <c r="Q112" s="10"/>
      <c r="R112" s="9">
        <v>2321.851982392132</v>
      </c>
      <c r="T112" s="7" t="s">
        <v>34</v>
      </c>
      <c r="U112" s="8"/>
    </row>
    <row r="113" spans="1:21" s="2" customFormat="1" ht="14.1" customHeight="1">
      <c r="A113" s="7">
        <v>109</v>
      </c>
      <c r="B113" s="14" t="s">
        <v>879</v>
      </c>
      <c r="C113" s="14" t="s">
        <v>879</v>
      </c>
      <c r="D113" s="7" t="s">
        <v>118</v>
      </c>
      <c r="E113" s="136" t="s">
        <v>373</v>
      </c>
      <c r="F113" s="7" t="s">
        <v>880</v>
      </c>
      <c r="G113" s="8" t="s">
        <v>930</v>
      </c>
      <c r="H113" s="7" t="s">
        <v>42</v>
      </c>
      <c r="I113" s="11" t="s">
        <v>931</v>
      </c>
      <c r="J113" s="7" t="s">
        <v>30</v>
      </c>
      <c r="K113" s="7"/>
      <c r="L113" s="7" t="s">
        <v>293</v>
      </c>
      <c r="M113" s="7"/>
      <c r="N113" s="7">
        <v>1</v>
      </c>
      <c r="O113" s="7"/>
      <c r="P113" s="7"/>
      <c r="Q113" s="10"/>
      <c r="R113" s="9">
        <v>5998.1176211796756</v>
      </c>
      <c r="T113" s="7" t="s">
        <v>34</v>
      </c>
      <c r="U113" s="8"/>
    </row>
    <row r="114" spans="1:21" s="2" customFormat="1" ht="14.1" customHeight="1">
      <c r="A114" s="7">
        <v>110</v>
      </c>
      <c r="B114" s="14" t="s">
        <v>879</v>
      </c>
      <c r="C114" s="14" t="s">
        <v>879</v>
      </c>
      <c r="D114" s="7" t="s">
        <v>118</v>
      </c>
      <c r="E114" s="136" t="s">
        <v>373</v>
      </c>
      <c r="F114" s="7" t="s">
        <v>880</v>
      </c>
      <c r="G114" s="8" t="s">
        <v>932</v>
      </c>
      <c r="H114" s="7" t="s">
        <v>42</v>
      </c>
      <c r="I114" s="11" t="s">
        <v>933</v>
      </c>
      <c r="J114" s="7" t="s">
        <v>30</v>
      </c>
      <c r="K114" s="7"/>
      <c r="L114" s="7" t="s">
        <v>293</v>
      </c>
      <c r="M114" s="7"/>
      <c r="N114" s="7">
        <v>1</v>
      </c>
      <c r="O114" s="7"/>
      <c r="P114" s="7"/>
      <c r="Q114" s="10"/>
      <c r="R114" s="9">
        <v>278.24470097934977</v>
      </c>
      <c r="T114" s="7" t="s">
        <v>34</v>
      </c>
      <c r="U114" s="8"/>
    </row>
    <row r="115" spans="1:21" s="2" customFormat="1" ht="14.1" customHeight="1">
      <c r="A115" s="7">
        <v>111</v>
      </c>
      <c r="B115" s="14" t="s">
        <v>879</v>
      </c>
      <c r="C115" s="14" t="s">
        <v>879</v>
      </c>
      <c r="D115" s="7" t="s">
        <v>118</v>
      </c>
      <c r="E115" s="136" t="s">
        <v>373</v>
      </c>
      <c r="F115" s="7" t="s">
        <v>880</v>
      </c>
      <c r="G115" s="8" t="s">
        <v>934</v>
      </c>
      <c r="H115" s="7" t="s">
        <v>42</v>
      </c>
      <c r="I115" s="11" t="s">
        <v>935</v>
      </c>
      <c r="J115" s="7" t="s">
        <v>30</v>
      </c>
      <c r="K115" s="7"/>
      <c r="L115" s="7" t="s">
        <v>293</v>
      </c>
      <c r="M115" s="7"/>
      <c r="N115" s="7">
        <v>1</v>
      </c>
      <c r="O115" s="7"/>
      <c r="P115" s="7"/>
      <c r="Q115" s="10"/>
      <c r="R115" s="9">
        <v>352.99700870514528</v>
      </c>
      <c r="T115" s="7" t="s">
        <v>34</v>
      </c>
      <c r="U115" s="8"/>
    </row>
    <row r="116" spans="1:21" s="2" customFormat="1" ht="14.1" customHeight="1">
      <c r="A116" s="7">
        <v>112</v>
      </c>
      <c r="B116" s="14" t="s">
        <v>879</v>
      </c>
      <c r="C116" s="14" t="s">
        <v>879</v>
      </c>
      <c r="D116" s="7" t="s">
        <v>118</v>
      </c>
      <c r="E116" s="136" t="s">
        <v>373</v>
      </c>
      <c r="F116" s="7" t="s">
        <v>880</v>
      </c>
      <c r="G116" s="8" t="s">
        <v>936</v>
      </c>
      <c r="H116" s="7" t="s">
        <v>42</v>
      </c>
      <c r="I116" s="11" t="s">
        <v>937</v>
      </c>
      <c r="J116" s="7" t="s">
        <v>30</v>
      </c>
      <c r="K116" s="7"/>
      <c r="L116" s="7" t="s">
        <v>293</v>
      </c>
      <c r="M116" s="7"/>
      <c r="N116" s="7">
        <v>1</v>
      </c>
      <c r="O116" s="7"/>
      <c r="P116" s="7"/>
      <c r="Q116" s="10"/>
      <c r="R116" s="9">
        <v>490.04290620243711</v>
      </c>
      <c r="T116" s="7" t="s">
        <v>34</v>
      </c>
      <c r="U116" s="8"/>
    </row>
    <row r="117" spans="1:21" s="2" customFormat="1" ht="14.1" customHeight="1">
      <c r="A117" s="7">
        <v>113</v>
      </c>
      <c r="B117" s="14" t="s">
        <v>879</v>
      </c>
      <c r="C117" s="14" t="s">
        <v>879</v>
      </c>
      <c r="D117" s="7" t="s">
        <v>118</v>
      </c>
      <c r="E117" s="136" t="s">
        <v>373</v>
      </c>
      <c r="F117" s="7" t="s">
        <v>880</v>
      </c>
      <c r="G117" s="8" t="s">
        <v>938</v>
      </c>
      <c r="H117" s="7" t="s">
        <v>42</v>
      </c>
      <c r="I117" s="11" t="s">
        <v>939</v>
      </c>
      <c r="J117" s="7" t="s">
        <v>30</v>
      </c>
      <c r="K117" s="7"/>
      <c r="L117" s="7" t="s">
        <v>293</v>
      </c>
      <c r="M117" s="7"/>
      <c r="N117" s="7">
        <v>1</v>
      </c>
      <c r="O117" s="7"/>
      <c r="P117" s="7"/>
      <c r="Q117" s="10"/>
      <c r="R117" s="9">
        <v>423.59641044617439</v>
      </c>
      <c r="T117" s="7" t="s">
        <v>34</v>
      </c>
      <c r="U117" s="8"/>
    </row>
    <row r="118" spans="1:21" s="2" customFormat="1" ht="14.1" customHeight="1">
      <c r="A118" s="7">
        <v>114</v>
      </c>
      <c r="B118" s="14" t="s">
        <v>879</v>
      </c>
      <c r="C118" s="14" t="s">
        <v>879</v>
      </c>
      <c r="D118" s="7" t="s">
        <v>118</v>
      </c>
      <c r="E118" s="136" t="s">
        <v>373</v>
      </c>
      <c r="F118" s="7" t="s">
        <v>880</v>
      </c>
      <c r="G118" s="8" t="s">
        <v>940</v>
      </c>
      <c r="H118" s="7" t="s">
        <v>42</v>
      </c>
      <c r="I118" s="11" t="s">
        <v>941</v>
      </c>
      <c r="J118" s="7" t="s">
        <v>30</v>
      </c>
      <c r="K118" s="7"/>
      <c r="L118" s="7" t="s">
        <v>293</v>
      </c>
      <c r="M118" s="7"/>
      <c r="N118" s="7">
        <v>1</v>
      </c>
      <c r="O118" s="7"/>
      <c r="P118" s="7"/>
      <c r="Q118" s="10"/>
      <c r="R118" s="9">
        <v>843.03991490758233</v>
      </c>
      <c r="T118" s="7" t="s">
        <v>34</v>
      </c>
      <c r="U118" s="8"/>
    </row>
    <row r="119" spans="1:21" s="2" customFormat="1" ht="14.1" customHeight="1">
      <c r="A119" s="7">
        <v>115</v>
      </c>
      <c r="B119" s="14" t="s">
        <v>879</v>
      </c>
      <c r="C119" s="14" t="s">
        <v>879</v>
      </c>
      <c r="D119" s="7" t="s">
        <v>118</v>
      </c>
      <c r="E119" s="136" t="s">
        <v>373</v>
      </c>
      <c r="F119" s="7" t="s">
        <v>880</v>
      </c>
      <c r="G119" s="8" t="s">
        <v>942</v>
      </c>
      <c r="H119" s="7" t="s">
        <v>42</v>
      </c>
      <c r="I119" s="11" t="s">
        <v>943</v>
      </c>
      <c r="J119" s="7" t="s">
        <v>30</v>
      </c>
      <c r="K119" s="7"/>
      <c r="L119" s="7" t="s">
        <v>293</v>
      </c>
      <c r="M119" s="7"/>
      <c r="N119" s="7">
        <v>1</v>
      </c>
      <c r="O119" s="7"/>
      <c r="P119" s="7"/>
      <c r="Q119" s="10"/>
      <c r="R119" s="9">
        <v>959.32128248104198</v>
      </c>
      <c r="T119" s="7" t="s">
        <v>34</v>
      </c>
      <c r="U119" s="8"/>
    </row>
    <row r="120" spans="1:21" s="2" customFormat="1" ht="14.1" customHeight="1">
      <c r="A120" s="7">
        <v>116</v>
      </c>
      <c r="B120" s="14" t="s">
        <v>879</v>
      </c>
      <c r="C120" s="14" t="s">
        <v>879</v>
      </c>
      <c r="D120" s="7" t="s">
        <v>944</v>
      </c>
      <c r="E120" s="136" t="s">
        <v>945</v>
      </c>
      <c r="F120" s="7" t="s">
        <v>880</v>
      </c>
      <c r="G120" s="8" t="s">
        <v>946</v>
      </c>
      <c r="H120" s="7" t="s">
        <v>42</v>
      </c>
      <c r="I120" s="11" t="s">
        <v>947</v>
      </c>
      <c r="J120" s="7" t="s">
        <v>30</v>
      </c>
      <c r="K120" s="7"/>
      <c r="L120" s="7" t="s">
        <v>293</v>
      </c>
      <c r="M120" s="7"/>
      <c r="N120" s="7">
        <v>1</v>
      </c>
      <c r="O120" s="7"/>
      <c r="P120" s="7"/>
      <c r="Q120" s="10"/>
      <c r="R120" s="9">
        <v>326.19188825801672</v>
      </c>
      <c r="T120" s="7" t="s">
        <v>34</v>
      </c>
      <c r="U120" s="8"/>
    </row>
    <row r="121" spans="1:21" s="2" customFormat="1" ht="14.1" customHeight="1">
      <c r="A121" s="7">
        <v>117</v>
      </c>
      <c r="B121" s="14" t="s">
        <v>879</v>
      </c>
      <c r="C121" s="14" t="s">
        <v>879</v>
      </c>
      <c r="D121" s="110" t="s">
        <v>30</v>
      </c>
      <c r="E121" s="305" t="s">
        <v>716</v>
      </c>
      <c r="F121" s="7" t="s">
        <v>880</v>
      </c>
      <c r="G121" s="8" t="s">
        <v>948</v>
      </c>
      <c r="H121" s="7" t="s">
        <v>42</v>
      </c>
      <c r="I121" s="270" t="s">
        <v>949</v>
      </c>
      <c r="J121" s="7" t="s">
        <v>30</v>
      </c>
      <c r="K121" s="7"/>
      <c r="L121" s="7" t="s">
        <v>293</v>
      </c>
      <c r="M121" s="7"/>
      <c r="N121" s="7">
        <v>1</v>
      </c>
      <c r="O121" s="7"/>
      <c r="P121" s="110" t="s">
        <v>286</v>
      </c>
      <c r="Q121" s="10"/>
      <c r="R121" s="9">
        <v>2797.5484861017399</v>
      </c>
      <c r="T121" s="7" t="s">
        <v>34</v>
      </c>
      <c r="U121" s="8"/>
    </row>
    <row r="122" spans="1:21" s="2" customFormat="1" ht="14.1" customHeight="1">
      <c r="A122" s="7">
        <v>118</v>
      </c>
      <c r="B122" s="14" t="s">
        <v>879</v>
      </c>
      <c r="C122" s="14" t="s">
        <v>879</v>
      </c>
      <c r="D122" s="110" t="s">
        <v>30</v>
      </c>
      <c r="E122" s="305" t="s">
        <v>716</v>
      </c>
      <c r="F122" s="7" t="s">
        <v>880</v>
      </c>
      <c r="G122" s="8" t="s">
        <v>950</v>
      </c>
      <c r="H122" s="7" t="s">
        <v>42</v>
      </c>
      <c r="I122" s="11" t="s">
        <v>951</v>
      </c>
      <c r="J122" s="7" t="s">
        <v>30</v>
      </c>
      <c r="K122" s="7"/>
      <c r="L122" s="7" t="s">
        <v>293</v>
      </c>
      <c r="M122" s="7"/>
      <c r="N122" s="7">
        <v>1</v>
      </c>
      <c r="O122" s="7"/>
      <c r="P122" s="7"/>
      <c r="Q122" s="10"/>
      <c r="R122" s="9">
        <v>2508.732751706621</v>
      </c>
      <c r="T122" s="7" t="s">
        <v>34</v>
      </c>
      <c r="U122" s="8"/>
    </row>
    <row r="123" spans="1:21" s="2" customFormat="1" ht="14.1" customHeight="1">
      <c r="A123" s="7">
        <v>119</v>
      </c>
      <c r="B123" s="14" t="s">
        <v>879</v>
      </c>
      <c r="C123" s="14" t="s">
        <v>879</v>
      </c>
      <c r="D123" s="110" t="s">
        <v>30</v>
      </c>
      <c r="E123" s="305" t="s">
        <v>716</v>
      </c>
      <c r="F123" s="7" t="s">
        <v>880</v>
      </c>
      <c r="G123" s="8" t="s">
        <v>952</v>
      </c>
      <c r="H123" s="7" t="s">
        <v>42</v>
      </c>
      <c r="I123" s="11" t="s">
        <v>953</v>
      </c>
      <c r="J123" s="7" t="s">
        <v>30</v>
      </c>
      <c r="K123" s="7"/>
      <c r="L123" s="7" t="s">
        <v>293</v>
      </c>
      <c r="M123" s="7"/>
      <c r="N123" s="7">
        <v>1</v>
      </c>
      <c r="O123" s="7"/>
      <c r="P123" s="7"/>
      <c r="Q123" s="10"/>
      <c r="R123" s="9">
        <v>3505.43018805056</v>
      </c>
      <c r="T123" s="7" t="s">
        <v>34</v>
      </c>
      <c r="U123" s="8"/>
    </row>
    <row r="124" spans="1:21" s="2" customFormat="1" ht="14.1" customHeight="1">
      <c r="A124" s="7">
        <v>120</v>
      </c>
      <c r="B124" s="14" t="s">
        <v>879</v>
      </c>
      <c r="C124" s="14" t="s">
        <v>879</v>
      </c>
      <c r="D124" s="110" t="s">
        <v>30</v>
      </c>
      <c r="E124" s="305" t="s">
        <v>716</v>
      </c>
      <c r="F124" s="7" t="s">
        <v>880</v>
      </c>
      <c r="G124" s="8" t="s">
        <v>954</v>
      </c>
      <c r="H124" s="7" t="s">
        <v>42</v>
      </c>
      <c r="I124" s="11" t="s">
        <v>955</v>
      </c>
      <c r="J124" s="7" t="s">
        <v>30</v>
      </c>
      <c r="K124" s="7"/>
      <c r="L124" s="7" t="s">
        <v>293</v>
      </c>
      <c r="M124" s="7"/>
      <c r="N124" s="7">
        <v>1</v>
      </c>
      <c r="O124" s="7"/>
      <c r="P124" s="7"/>
      <c r="Q124" s="10"/>
      <c r="R124" s="9">
        <v>739.02849683456895</v>
      </c>
      <c r="T124" s="7" t="s">
        <v>34</v>
      </c>
      <c r="U124" s="8"/>
    </row>
    <row r="125" spans="1:21" s="2" customFormat="1" ht="14.1" customHeight="1">
      <c r="A125" s="7">
        <v>121</v>
      </c>
      <c r="B125" s="14" t="s">
        <v>879</v>
      </c>
      <c r="C125" s="14" t="s">
        <v>879</v>
      </c>
      <c r="D125" s="110" t="s">
        <v>30</v>
      </c>
      <c r="E125" s="305" t="s">
        <v>716</v>
      </c>
      <c r="F125" s="7" t="s">
        <v>880</v>
      </c>
      <c r="G125" s="8" t="s">
        <v>956</v>
      </c>
      <c r="H125" s="7" t="s">
        <v>42</v>
      </c>
      <c r="I125" s="11" t="s">
        <v>957</v>
      </c>
      <c r="J125" s="7" t="s">
        <v>30</v>
      </c>
      <c r="K125" s="7"/>
      <c r="L125" s="7" t="s">
        <v>293</v>
      </c>
      <c r="M125" s="7"/>
      <c r="N125" s="7">
        <v>1</v>
      </c>
      <c r="O125" s="7"/>
      <c r="P125" s="7"/>
      <c r="Q125" s="10"/>
      <c r="R125" s="9">
        <v>897.02769270954582</v>
      </c>
      <c r="T125" s="7" t="s">
        <v>34</v>
      </c>
      <c r="U125" s="8"/>
    </row>
    <row r="126" spans="1:21" s="2" customFormat="1" ht="14.1" customHeight="1">
      <c r="A126" s="7">
        <v>122</v>
      </c>
      <c r="B126" s="14" t="s">
        <v>879</v>
      </c>
      <c r="C126" s="14" t="s">
        <v>879</v>
      </c>
      <c r="D126" s="110" t="s">
        <v>30</v>
      </c>
      <c r="E126" s="305" t="s">
        <v>716</v>
      </c>
      <c r="F126" s="7" t="s">
        <v>880</v>
      </c>
      <c r="G126" s="8" t="s">
        <v>958</v>
      </c>
      <c r="H126" s="7" t="s">
        <v>42</v>
      </c>
      <c r="I126" s="11" t="s">
        <v>959</v>
      </c>
      <c r="J126" s="7" t="s">
        <v>30</v>
      </c>
      <c r="K126" s="7"/>
      <c r="L126" s="7" t="s">
        <v>293</v>
      </c>
      <c r="M126" s="7"/>
      <c r="N126" s="7">
        <v>1</v>
      </c>
      <c r="O126" s="7"/>
      <c r="P126" s="7"/>
      <c r="Q126" s="10"/>
      <c r="R126" s="9">
        <v>259.93416095560701</v>
      </c>
      <c r="T126" s="7" t="s">
        <v>34</v>
      </c>
      <c r="U126" s="8"/>
    </row>
    <row r="127" spans="1:21" s="2" customFormat="1" ht="14.1" customHeight="1">
      <c r="A127" s="7">
        <v>123</v>
      </c>
      <c r="B127" s="14" t="s">
        <v>960</v>
      </c>
      <c r="C127" s="14" t="s">
        <v>960</v>
      </c>
      <c r="D127" s="7" t="s">
        <v>944</v>
      </c>
      <c r="E127" s="136" t="s">
        <v>945</v>
      </c>
      <c r="F127" s="7" t="s">
        <v>961</v>
      </c>
      <c r="G127" s="8" t="s">
        <v>962</v>
      </c>
      <c r="H127" s="7" t="s">
        <v>42</v>
      </c>
      <c r="I127" s="11" t="s">
        <v>963</v>
      </c>
      <c r="J127" s="7" t="s">
        <v>30</v>
      </c>
      <c r="K127" s="7"/>
      <c r="L127" s="7" t="s">
        <v>293</v>
      </c>
      <c r="M127" s="7"/>
      <c r="N127" s="7">
        <v>1</v>
      </c>
      <c r="O127" s="7"/>
      <c r="P127" s="7"/>
      <c r="Q127" s="10"/>
      <c r="R127" s="9">
        <v>780.18001977452707</v>
      </c>
      <c r="T127" s="7" t="s">
        <v>34</v>
      </c>
      <c r="U127" s="8"/>
    </row>
    <row r="128" spans="1:21" s="2" customFormat="1" ht="14.1" customHeight="1">
      <c r="A128" s="7">
        <v>124</v>
      </c>
      <c r="B128" s="14" t="s">
        <v>960</v>
      </c>
      <c r="C128" s="14" t="s">
        <v>960</v>
      </c>
      <c r="D128" s="7" t="s">
        <v>944</v>
      </c>
      <c r="E128" s="136" t="s">
        <v>945</v>
      </c>
      <c r="F128" s="7" t="s">
        <v>961</v>
      </c>
      <c r="G128" s="8" t="s">
        <v>964</v>
      </c>
      <c r="H128" s="7" t="s">
        <v>42</v>
      </c>
      <c r="I128" s="11" t="s">
        <v>965</v>
      </c>
      <c r="J128" s="7" t="s">
        <v>30</v>
      </c>
      <c r="K128" s="7"/>
      <c r="L128" s="7" t="s">
        <v>293</v>
      </c>
      <c r="M128" s="7"/>
      <c r="N128" s="7">
        <v>1</v>
      </c>
      <c r="O128" s="7"/>
      <c r="P128" s="7"/>
      <c r="Q128" s="10"/>
      <c r="R128" s="9">
        <v>979.14197013560886</v>
      </c>
      <c r="T128" s="7" t="s">
        <v>34</v>
      </c>
      <c r="U128" s="8"/>
    </row>
    <row r="129" spans="1:21" s="2" customFormat="1" ht="14.1" customHeight="1">
      <c r="A129" s="7">
        <v>125</v>
      </c>
      <c r="B129" s="14" t="s">
        <v>960</v>
      </c>
      <c r="C129" s="14" t="s">
        <v>960</v>
      </c>
      <c r="D129" s="7" t="s">
        <v>944</v>
      </c>
      <c r="E129" s="136" t="s">
        <v>945</v>
      </c>
      <c r="F129" s="7" t="s">
        <v>961</v>
      </c>
      <c r="G129" s="8" t="s">
        <v>966</v>
      </c>
      <c r="H129" s="7" t="s">
        <v>42</v>
      </c>
      <c r="I129" s="11" t="s">
        <v>967</v>
      </c>
      <c r="J129" s="7" t="s">
        <v>30</v>
      </c>
      <c r="K129" s="7"/>
      <c r="L129" s="7" t="s">
        <v>293</v>
      </c>
      <c r="M129" s="7"/>
      <c r="N129" s="7">
        <v>1</v>
      </c>
      <c r="O129" s="7"/>
      <c r="P129" s="7"/>
      <c r="Q129" s="10"/>
      <c r="R129" s="9">
        <v>979.14197013560886</v>
      </c>
      <c r="T129" s="7" t="s">
        <v>34</v>
      </c>
      <c r="U129" s="8"/>
    </row>
    <row r="130" spans="1:21" s="2" customFormat="1" ht="14.1" customHeight="1">
      <c r="A130" s="7">
        <v>126</v>
      </c>
      <c r="B130" s="14" t="s">
        <v>960</v>
      </c>
      <c r="C130" s="14" t="s">
        <v>960</v>
      </c>
      <c r="D130" s="7" t="s">
        <v>944</v>
      </c>
      <c r="E130" s="136" t="s">
        <v>945</v>
      </c>
      <c r="F130" s="7" t="s">
        <v>961</v>
      </c>
      <c r="G130" s="8" t="s">
        <v>968</v>
      </c>
      <c r="H130" s="7" t="s">
        <v>121</v>
      </c>
      <c r="I130" s="11" t="s">
        <v>969</v>
      </c>
      <c r="J130" s="7" t="s">
        <v>30</v>
      </c>
      <c r="K130" s="7" t="s">
        <v>31</v>
      </c>
      <c r="L130" s="7" t="s">
        <v>293</v>
      </c>
      <c r="M130" s="7"/>
      <c r="N130" s="7">
        <v>1</v>
      </c>
      <c r="O130" s="7"/>
      <c r="P130" s="7"/>
      <c r="R130" s="9">
        <v>925.34296078749855</v>
      </c>
      <c r="T130" s="7" t="s">
        <v>34</v>
      </c>
      <c r="U130" s="8"/>
    </row>
    <row r="131" spans="1:21" s="2" customFormat="1" ht="14.1" customHeight="1">
      <c r="A131" s="7">
        <v>127</v>
      </c>
      <c r="B131" s="14" t="s">
        <v>960</v>
      </c>
      <c r="C131" s="14" t="s">
        <v>960</v>
      </c>
      <c r="D131" s="7" t="s">
        <v>944</v>
      </c>
      <c r="E131" s="136" t="s">
        <v>945</v>
      </c>
      <c r="F131" s="7" t="s">
        <v>961</v>
      </c>
      <c r="G131" s="8" t="s">
        <v>970</v>
      </c>
      <c r="H131" s="7" t="s">
        <v>459</v>
      </c>
      <c r="I131" s="11" t="s">
        <v>971</v>
      </c>
      <c r="J131" s="7" t="s">
        <v>30</v>
      </c>
      <c r="K131" s="7" t="s">
        <v>461</v>
      </c>
      <c r="L131" s="7" t="s">
        <v>293</v>
      </c>
      <c r="M131" s="7"/>
      <c r="N131" s="7">
        <v>1</v>
      </c>
      <c r="O131" s="7"/>
      <c r="P131" s="7"/>
      <c r="R131" s="9">
        <v>1032.940979483719</v>
      </c>
      <c r="T131" s="7" t="s">
        <v>34</v>
      </c>
      <c r="U131" s="8"/>
    </row>
    <row r="132" spans="1:21" s="2" customFormat="1" ht="14.1" customHeight="1">
      <c r="A132" s="7">
        <v>128</v>
      </c>
      <c r="B132" s="14" t="s">
        <v>960</v>
      </c>
      <c r="C132" s="14" t="s">
        <v>960</v>
      </c>
      <c r="D132" s="7" t="s">
        <v>944</v>
      </c>
      <c r="E132" s="136" t="s">
        <v>945</v>
      </c>
      <c r="F132" s="7" t="s">
        <v>961</v>
      </c>
      <c r="G132" s="8" t="s">
        <v>972</v>
      </c>
      <c r="H132" s="7" t="s">
        <v>121</v>
      </c>
      <c r="I132" s="11" t="s">
        <v>973</v>
      </c>
      <c r="J132" s="7" t="s">
        <v>30</v>
      </c>
      <c r="K132" s="7" t="s">
        <v>31</v>
      </c>
      <c r="L132" s="7" t="s">
        <v>293</v>
      </c>
      <c r="M132" s="7"/>
      <c r="N132" s="7">
        <v>1</v>
      </c>
      <c r="O132" s="7"/>
      <c r="P132" s="7"/>
      <c r="R132" s="9">
        <v>946.86256452674274</v>
      </c>
      <c r="T132" s="7" t="s">
        <v>34</v>
      </c>
      <c r="U132" s="8"/>
    </row>
    <row r="133" spans="1:21" s="2" customFormat="1" ht="14.1" customHeight="1">
      <c r="A133" s="7">
        <v>129</v>
      </c>
      <c r="B133" s="14" t="s">
        <v>960</v>
      </c>
      <c r="C133" s="14" t="s">
        <v>960</v>
      </c>
      <c r="D133" s="7" t="s">
        <v>944</v>
      </c>
      <c r="E133" s="136" t="s">
        <v>945</v>
      </c>
      <c r="F133" s="7" t="s">
        <v>961</v>
      </c>
      <c r="G133" s="8" t="s">
        <v>974</v>
      </c>
      <c r="H133" s="7" t="s">
        <v>121</v>
      </c>
      <c r="I133" s="11" t="s">
        <v>975</v>
      </c>
      <c r="J133" s="7" t="s">
        <v>30</v>
      </c>
      <c r="K133" s="7" t="s">
        <v>31</v>
      </c>
      <c r="L133" s="7" t="s">
        <v>293</v>
      </c>
      <c r="M133" s="7"/>
      <c r="N133" s="7">
        <v>1</v>
      </c>
      <c r="O133" s="7"/>
      <c r="P133" s="7"/>
      <c r="R133" s="9">
        <v>1097.499790701452</v>
      </c>
      <c r="T133" s="7" t="s">
        <v>34</v>
      </c>
      <c r="U133" s="8"/>
    </row>
    <row r="134" spans="1:21" s="2" customFormat="1" ht="14.1" customHeight="1">
      <c r="A134" s="7">
        <v>130</v>
      </c>
      <c r="B134" s="14" t="s">
        <v>960</v>
      </c>
      <c r="C134" s="14" t="s">
        <v>960</v>
      </c>
      <c r="D134" s="7" t="s">
        <v>944</v>
      </c>
      <c r="E134" s="136" t="s">
        <v>945</v>
      </c>
      <c r="F134" s="7" t="s">
        <v>961</v>
      </c>
      <c r="G134" s="2" t="s">
        <v>976</v>
      </c>
      <c r="H134" s="7" t="s">
        <v>459</v>
      </c>
      <c r="I134" s="11" t="s">
        <v>977</v>
      </c>
      <c r="J134" s="7" t="s">
        <v>30</v>
      </c>
      <c r="K134" s="7" t="s">
        <v>461</v>
      </c>
      <c r="L134" s="7" t="s">
        <v>293</v>
      </c>
      <c r="M134" s="7"/>
      <c r="N134" s="7">
        <v>1</v>
      </c>
      <c r="O134" s="7"/>
      <c r="P134" s="7"/>
      <c r="R134" s="9">
        <v>1215.857611267294</v>
      </c>
      <c r="T134" s="7" t="s">
        <v>34</v>
      </c>
      <c r="U134" s="8"/>
    </row>
    <row r="135" spans="1:21" s="2" customFormat="1" ht="14.1" customHeight="1">
      <c r="A135" s="7">
        <v>131</v>
      </c>
      <c r="B135" s="14" t="s">
        <v>960</v>
      </c>
      <c r="C135" s="14" t="s">
        <v>960</v>
      </c>
      <c r="D135" s="7" t="s">
        <v>118</v>
      </c>
      <c r="E135" s="14" t="s">
        <v>373</v>
      </c>
      <c r="F135" s="7" t="s">
        <v>961</v>
      </c>
      <c r="G135" s="8" t="s">
        <v>978</v>
      </c>
      <c r="H135" s="7">
        <v>628</v>
      </c>
      <c r="I135" s="66" t="s">
        <v>979</v>
      </c>
      <c r="J135" s="7" t="s">
        <v>30</v>
      </c>
      <c r="K135" s="7"/>
      <c r="L135" s="7" t="s">
        <v>293</v>
      </c>
      <c r="M135" s="7"/>
      <c r="N135" s="7">
        <v>1</v>
      </c>
      <c r="O135" s="7"/>
      <c r="P135" s="7"/>
      <c r="Q135" s="10"/>
      <c r="R135" s="9">
        <v>1269.656620615405</v>
      </c>
      <c r="T135" s="7" t="s">
        <v>34</v>
      </c>
      <c r="U135" s="8"/>
    </row>
    <row r="136" spans="1:21" s="2" customFormat="1" ht="14.1" customHeight="1">
      <c r="A136" s="7">
        <v>132</v>
      </c>
      <c r="B136" s="14" t="s">
        <v>960</v>
      </c>
      <c r="C136" s="14" t="s">
        <v>960</v>
      </c>
      <c r="D136" s="7" t="s">
        <v>118</v>
      </c>
      <c r="E136" s="14" t="s">
        <v>373</v>
      </c>
      <c r="F136" s="7" t="s">
        <v>961</v>
      </c>
      <c r="G136" s="8" t="s">
        <v>980</v>
      </c>
      <c r="H136" s="7">
        <v>628</v>
      </c>
      <c r="I136" s="66" t="s">
        <v>981</v>
      </c>
      <c r="J136" s="7" t="s">
        <v>30</v>
      </c>
      <c r="K136" s="7"/>
      <c r="L136" s="7" t="s">
        <v>293</v>
      </c>
      <c r="M136" s="7"/>
      <c r="N136" s="7">
        <v>1</v>
      </c>
      <c r="O136" s="7"/>
      <c r="P136" s="7"/>
      <c r="Q136" s="10"/>
      <c r="R136" s="9">
        <v>1947.524138401596</v>
      </c>
      <c r="T136" s="7" t="s">
        <v>34</v>
      </c>
      <c r="U136" s="8"/>
    </row>
    <row r="137" spans="1:21" s="2" customFormat="1" ht="14.1" customHeight="1">
      <c r="A137" s="7">
        <v>133</v>
      </c>
      <c r="B137" s="14" t="s">
        <v>960</v>
      </c>
      <c r="C137" s="14" t="s">
        <v>960</v>
      </c>
      <c r="D137" s="7" t="s">
        <v>118</v>
      </c>
      <c r="E137" s="14" t="s">
        <v>373</v>
      </c>
      <c r="F137" s="7" t="s">
        <v>961</v>
      </c>
      <c r="G137" s="8" t="s">
        <v>982</v>
      </c>
      <c r="H137" s="7">
        <v>628</v>
      </c>
      <c r="I137" s="11" t="s">
        <v>983</v>
      </c>
      <c r="J137" s="7" t="s">
        <v>30</v>
      </c>
      <c r="K137" s="7"/>
      <c r="L137" s="7" t="s">
        <v>293</v>
      </c>
      <c r="M137" s="7"/>
      <c r="N137" s="7">
        <v>1</v>
      </c>
      <c r="O137" s="7"/>
      <c r="P137" s="7"/>
      <c r="Q137" s="10"/>
      <c r="R137" s="9">
        <v>1576.4053581265609</v>
      </c>
      <c r="T137" s="7" t="s">
        <v>34</v>
      </c>
      <c r="U137" s="8"/>
    </row>
    <row r="138" spans="1:21" s="2" customFormat="1" ht="14.1" customHeight="1">
      <c r="A138" s="7">
        <v>134</v>
      </c>
      <c r="B138" s="14" t="s">
        <v>960</v>
      </c>
      <c r="C138" s="14" t="s">
        <v>960</v>
      </c>
      <c r="D138" s="7" t="s">
        <v>118</v>
      </c>
      <c r="E138" s="14" t="s">
        <v>373</v>
      </c>
      <c r="F138" s="7" t="s">
        <v>961</v>
      </c>
      <c r="G138" s="8" t="s">
        <v>984</v>
      </c>
      <c r="H138" s="7">
        <v>628</v>
      </c>
      <c r="I138" s="11" t="s">
        <v>985</v>
      </c>
      <c r="J138" s="7" t="s">
        <v>30</v>
      </c>
      <c r="K138" s="7"/>
      <c r="L138" s="7" t="s">
        <v>293</v>
      </c>
      <c r="M138" s="7"/>
      <c r="N138" s="7">
        <v>1</v>
      </c>
      <c r="O138" s="7"/>
      <c r="P138" s="7"/>
      <c r="Q138" s="10"/>
      <c r="R138" s="9">
        <v>2528.553439361187</v>
      </c>
      <c r="T138" s="7" t="s">
        <v>34</v>
      </c>
      <c r="U138" s="8"/>
    </row>
    <row r="139" spans="1:21" s="2" customFormat="1" ht="14.1" customHeight="1">
      <c r="A139" s="7">
        <v>135</v>
      </c>
      <c r="B139" s="14" t="s">
        <v>960</v>
      </c>
      <c r="C139" s="14" t="s">
        <v>960</v>
      </c>
      <c r="D139" s="7" t="s">
        <v>118</v>
      </c>
      <c r="E139" s="14" t="s">
        <v>373</v>
      </c>
      <c r="F139" s="7" t="s">
        <v>961</v>
      </c>
      <c r="G139" s="8" t="s">
        <v>986</v>
      </c>
      <c r="H139" s="135" t="s">
        <v>42</v>
      </c>
      <c r="I139" s="66" t="s">
        <v>987</v>
      </c>
      <c r="J139" s="7" t="s">
        <v>30</v>
      </c>
      <c r="K139" s="7"/>
      <c r="L139" s="7" t="s">
        <v>293</v>
      </c>
      <c r="M139" s="7"/>
      <c r="N139" s="7">
        <v>1</v>
      </c>
      <c r="O139" s="7"/>
      <c r="P139" s="7"/>
      <c r="Q139" s="10"/>
      <c r="R139" s="9">
        <v>747.90061416566061</v>
      </c>
      <c r="T139" s="7" t="s">
        <v>34</v>
      </c>
      <c r="U139" s="8"/>
    </row>
    <row r="140" spans="1:21" s="2" customFormat="1" ht="14.1" customHeight="1">
      <c r="A140" s="7">
        <v>136</v>
      </c>
      <c r="B140" s="14" t="s">
        <v>960</v>
      </c>
      <c r="C140" s="14" t="s">
        <v>960</v>
      </c>
      <c r="D140" s="7" t="s">
        <v>118</v>
      </c>
      <c r="E140" s="14" t="s">
        <v>373</v>
      </c>
      <c r="F140" s="7" t="s">
        <v>961</v>
      </c>
      <c r="G140" s="8" t="s">
        <v>988</v>
      </c>
      <c r="H140" s="135" t="s">
        <v>42</v>
      </c>
      <c r="I140" s="66" t="s">
        <v>989</v>
      </c>
      <c r="J140" s="7" t="s">
        <v>30</v>
      </c>
      <c r="K140" s="7"/>
      <c r="L140" s="7" t="s">
        <v>293</v>
      </c>
      <c r="M140" s="7"/>
      <c r="N140" s="7">
        <v>1</v>
      </c>
      <c r="O140" s="7"/>
      <c r="P140" s="7"/>
      <c r="Q140" s="10"/>
      <c r="R140" s="9">
        <v>1183.578205658428</v>
      </c>
      <c r="T140" s="7" t="s">
        <v>34</v>
      </c>
      <c r="U140" s="8"/>
    </row>
    <row r="141" spans="1:21" s="2" customFormat="1" ht="14.1" customHeight="1">
      <c r="A141" s="7">
        <v>137</v>
      </c>
      <c r="B141" s="14" t="s">
        <v>960</v>
      </c>
      <c r="C141" s="14" t="s">
        <v>960</v>
      </c>
      <c r="D141" s="7" t="s">
        <v>118</v>
      </c>
      <c r="E141" s="14" t="s">
        <v>373</v>
      </c>
      <c r="F141" s="7" t="s">
        <v>961</v>
      </c>
      <c r="G141" s="8" t="s">
        <v>990</v>
      </c>
      <c r="H141" s="135" t="s">
        <v>42</v>
      </c>
      <c r="I141" s="66" t="s">
        <v>991</v>
      </c>
      <c r="J141" s="7" t="s">
        <v>30</v>
      </c>
      <c r="K141" s="7"/>
      <c r="L141" s="7" t="s">
        <v>293</v>
      </c>
      <c r="M141" s="7"/>
      <c r="N141" s="7">
        <v>1</v>
      </c>
      <c r="O141" s="7"/>
      <c r="P141" s="7"/>
      <c r="Q141" s="10"/>
      <c r="R141" s="9">
        <v>5966.4045209323676</v>
      </c>
      <c r="T141" s="7" t="s">
        <v>34</v>
      </c>
      <c r="U141" s="8"/>
    </row>
    <row r="142" spans="1:21" ht="14.1" customHeight="1"/>
    <row r="143" spans="1:21" ht="14.1" customHeight="1"/>
    <row r="144" spans="1:21" ht="14.1" customHeight="1"/>
    <row r="145" ht="14.1" customHeight="1"/>
    <row r="146" ht="14.1" customHeight="1"/>
    <row r="147" ht="14.1" customHeight="1"/>
    <row r="148" ht="14.1" customHeight="1"/>
    <row r="149" ht="14.1" customHeight="1"/>
    <row r="150" ht="14.1" customHeight="1"/>
    <row r="151" ht="14.1" customHeight="1"/>
    <row r="152" ht="14.1" customHeight="1"/>
    <row r="153" ht="14.1" customHeight="1"/>
    <row r="154" ht="14.1" customHeight="1"/>
    <row r="155" ht="14.1" customHeight="1"/>
    <row r="156" ht="14.1" customHeight="1"/>
    <row r="157" ht="14.1" customHeight="1"/>
    <row r="158" ht="14.1" customHeight="1"/>
    <row r="159" ht="14.1" customHeight="1"/>
    <row r="160" ht="14.1" customHeight="1"/>
    <row r="161" ht="14.1" customHeight="1"/>
    <row r="162" ht="14.1" customHeight="1"/>
    <row r="163" ht="14.1" customHeight="1"/>
    <row r="164" ht="14.1" customHeight="1"/>
    <row r="165" ht="14.1" customHeight="1"/>
    <row r="166" ht="14.1" customHeight="1"/>
    <row r="167" ht="14.1" customHeight="1"/>
    <row r="168" ht="14.1" customHeight="1"/>
    <row r="169" ht="14.1" customHeight="1"/>
    <row r="170" ht="14.1" customHeight="1"/>
    <row r="171" ht="14.1" customHeight="1"/>
    <row r="172" ht="14.1" customHeight="1"/>
    <row r="173" ht="14.1" customHeight="1"/>
    <row r="174" ht="14.1" customHeight="1"/>
    <row r="175" ht="14.1" customHeight="1"/>
    <row r="176" ht="14.1" customHeight="1"/>
    <row r="177" ht="14.1" customHeight="1"/>
    <row r="178" ht="14.1" customHeight="1"/>
    <row r="179" ht="14.1" customHeight="1"/>
    <row r="180" ht="14.1" customHeight="1"/>
    <row r="181" ht="14.1" customHeight="1"/>
    <row r="182" ht="14.1" customHeight="1"/>
    <row r="183" ht="14.1" customHeight="1"/>
    <row r="184" ht="14.1" customHeight="1"/>
    <row r="185" ht="14.1" customHeight="1"/>
    <row r="186" ht="14.1" customHeight="1"/>
    <row r="187" ht="14.1" customHeight="1"/>
    <row r="188" ht="14.1" customHeight="1"/>
    <row r="189" ht="14.1" customHeight="1"/>
    <row r="190" ht="14.1" customHeight="1"/>
    <row r="191" ht="14.1" customHeight="1"/>
    <row r="192" ht="14.1" customHeight="1"/>
    <row r="193" ht="14.1" customHeight="1"/>
    <row r="194" ht="14.1" customHeight="1"/>
    <row r="195" ht="14.1" customHeight="1"/>
    <row r="196" ht="14.1" customHeight="1"/>
    <row r="197" ht="14.1" customHeight="1"/>
    <row r="198" ht="14.1" customHeight="1"/>
    <row r="199" ht="14.1" customHeight="1"/>
    <row r="200" ht="14.1" customHeight="1"/>
    <row r="201" ht="14.1" customHeight="1"/>
    <row r="202" ht="14.1" customHeight="1"/>
    <row r="203" ht="14.1" customHeight="1"/>
    <row r="204" ht="14.1" customHeight="1"/>
    <row r="205" ht="14.1" customHeight="1"/>
    <row r="206" ht="14.1" customHeight="1"/>
    <row r="207" ht="14.1" customHeight="1"/>
    <row r="208" ht="14.1" customHeight="1"/>
    <row r="209" ht="14.1" customHeight="1"/>
    <row r="210" ht="14.1" customHeight="1"/>
    <row r="211" ht="14.1" customHeight="1"/>
    <row r="212" ht="14.1" customHeight="1"/>
    <row r="213" ht="14.1" customHeight="1"/>
    <row r="214" ht="14.1" customHeight="1"/>
    <row r="215" ht="14.1" customHeight="1"/>
    <row r="216" ht="14.1" customHeight="1"/>
    <row r="217" ht="14.1" customHeight="1"/>
    <row r="218" ht="14.1" customHeight="1"/>
    <row r="219" ht="14.1" customHeight="1"/>
    <row r="220" ht="14.1" customHeight="1"/>
    <row r="221" ht="14.1" customHeight="1"/>
    <row r="222" ht="14.1" customHeight="1"/>
    <row r="223" ht="14.1" customHeight="1"/>
    <row r="224" ht="14.1" customHeight="1"/>
    <row r="225" ht="14.1" customHeight="1"/>
    <row r="226" ht="14.1" customHeight="1"/>
    <row r="227" ht="14.1" customHeight="1"/>
    <row r="228" ht="14.1" customHeight="1"/>
    <row r="229" ht="14.1" customHeight="1"/>
    <row r="230" ht="14.1" customHeight="1"/>
    <row r="231" ht="14.1" customHeight="1"/>
    <row r="232" ht="14.1" customHeight="1"/>
    <row r="233" ht="14.1" customHeight="1"/>
    <row r="234" ht="14.1" customHeight="1"/>
    <row r="235" ht="14.1" customHeight="1"/>
    <row r="236" ht="14.1" customHeight="1"/>
    <row r="237" ht="14.1" customHeight="1"/>
    <row r="238" ht="14.1" customHeight="1"/>
    <row r="239" ht="14.1" customHeight="1"/>
    <row r="240" ht="14.1" customHeight="1"/>
    <row r="241" ht="14.1" customHeight="1"/>
    <row r="242" ht="14.1" customHeight="1"/>
    <row r="243" ht="14.1" customHeight="1"/>
    <row r="244" ht="14.1" customHeight="1"/>
    <row r="245" ht="14.1" customHeight="1"/>
    <row r="246" ht="14.1" customHeight="1"/>
    <row r="247" ht="14.1" customHeight="1"/>
    <row r="248" ht="14.1" customHeight="1"/>
    <row r="249" ht="14.1" customHeight="1"/>
    <row r="250" ht="14.1" customHeight="1"/>
    <row r="251" ht="14.1" customHeight="1"/>
    <row r="252" ht="14.1" customHeight="1"/>
    <row r="253" ht="14.1" customHeight="1"/>
    <row r="254" ht="14.1" customHeight="1"/>
    <row r="255" ht="14.1" customHeight="1"/>
    <row r="256" ht="14.1" customHeight="1"/>
    <row r="257" ht="14.1" customHeight="1"/>
    <row r="258" ht="14.1" customHeight="1"/>
    <row r="259" ht="14.1" customHeight="1"/>
    <row r="260" ht="14.1" customHeight="1"/>
    <row r="261" ht="14.1" customHeight="1"/>
    <row r="262" ht="14.1" customHeight="1"/>
    <row r="263" ht="14.1" customHeight="1"/>
    <row r="264" ht="14.1" customHeight="1"/>
    <row r="265" ht="14.1" customHeight="1"/>
    <row r="266" ht="14.1" customHeight="1"/>
    <row r="267" ht="14.1" customHeight="1"/>
    <row r="268" ht="14.1" customHeight="1"/>
    <row r="269" ht="14.1" customHeight="1"/>
    <row r="270" ht="14.1" customHeight="1"/>
    <row r="271" ht="14.1" customHeight="1"/>
    <row r="272" ht="14.1" customHeight="1"/>
    <row r="273" ht="14.1" customHeight="1"/>
    <row r="274" ht="14.1" customHeight="1"/>
    <row r="275" ht="14.1" customHeight="1"/>
    <row r="276" ht="14.1" customHeight="1"/>
    <row r="277" ht="14.1" customHeight="1"/>
    <row r="278" ht="14.1" customHeight="1"/>
    <row r="279" ht="14.1" customHeight="1"/>
    <row r="280" ht="14.1" customHeight="1"/>
    <row r="281" ht="14.1" customHeight="1"/>
    <row r="282" ht="14.1" customHeight="1"/>
    <row r="283" ht="14.1" customHeight="1"/>
    <row r="284" ht="14.1" customHeight="1"/>
    <row r="285" ht="14.1" customHeight="1"/>
    <row r="286" ht="14.1" customHeight="1"/>
    <row r="287" ht="14.1" customHeight="1"/>
    <row r="288" ht="14.1" customHeight="1"/>
    <row r="289" ht="14.1" customHeight="1"/>
    <row r="290" ht="14.1" customHeight="1"/>
    <row r="291" ht="14.1" customHeight="1"/>
    <row r="292" ht="14.1" customHeight="1"/>
    <row r="293" ht="14.1" customHeight="1"/>
    <row r="294" ht="14.1" customHeight="1"/>
    <row r="295" ht="14.1" customHeight="1"/>
    <row r="296" ht="14.1" customHeight="1"/>
    <row r="297" ht="14.1" customHeight="1"/>
    <row r="298" ht="14.1" customHeight="1"/>
    <row r="299" ht="14.1" customHeight="1"/>
    <row r="300" ht="14.1" customHeight="1"/>
    <row r="301" ht="14.1" customHeight="1"/>
    <row r="302" ht="14.1" customHeight="1"/>
    <row r="303" ht="14.1" customHeight="1"/>
    <row r="304" ht="14.1" customHeight="1"/>
    <row r="305" ht="14.1" customHeight="1"/>
    <row r="306" ht="14.1" customHeight="1"/>
    <row r="307" ht="14.1" customHeight="1"/>
    <row r="308" ht="14.1" customHeight="1"/>
    <row r="309" ht="14.1" customHeight="1"/>
    <row r="310" ht="14.1" customHeight="1"/>
    <row r="311" ht="14.1" customHeight="1"/>
    <row r="312" ht="14.1" customHeight="1"/>
    <row r="313" ht="14.1" customHeight="1"/>
    <row r="314" ht="14.1" customHeight="1"/>
    <row r="315" ht="14.1" customHeight="1"/>
    <row r="316" ht="14.1" customHeight="1"/>
    <row r="317" ht="14.1" customHeight="1"/>
    <row r="318" ht="14.1" customHeight="1"/>
    <row r="319" ht="14.1" customHeight="1"/>
    <row r="320" ht="14.1" customHeight="1"/>
    <row r="321" ht="14.1" customHeight="1"/>
    <row r="322" ht="14.1" customHeight="1"/>
    <row r="323" ht="14.1" customHeight="1"/>
    <row r="324" ht="14.1" customHeight="1"/>
    <row r="325" ht="14.1" customHeight="1"/>
    <row r="326" ht="14.1" customHeight="1"/>
    <row r="327" ht="14.1" customHeight="1"/>
    <row r="328" ht="14.1" customHeight="1"/>
    <row r="329" ht="14.1" customHeight="1"/>
    <row r="330" ht="14.1" customHeight="1"/>
    <row r="331" ht="14.1" customHeight="1"/>
    <row r="332" ht="14.1" customHeight="1"/>
    <row r="333" ht="14.1" customHeight="1"/>
    <row r="334" ht="14.1" customHeight="1"/>
    <row r="335" ht="14.1" customHeight="1"/>
    <row r="336" ht="14.1" customHeight="1"/>
    <row r="337" ht="14.1" customHeight="1"/>
    <row r="338" ht="14.1" customHeight="1"/>
    <row r="339" ht="14.1" customHeight="1"/>
    <row r="340" ht="14.1" customHeight="1"/>
    <row r="341" ht="14.1" customHeight="1"/>
    <row r="342" ht="14.1" customHeight="1"/>
    <row r="343" ht="14.1" customHeight="1"/>
    <row r="344" ht="14.1" customHeight="1"/>
    <row r="345" ht="14.1" customHeight="1"/>
    <row r="346" ht="14.1" customHeight="1"/>
    <row r="347" ht="14.1" customHeight="1"/>
    <row r="348" ht="14.1" customHeight="1"/>
    <row r="349" ht="14.1" customHeight="1"/>
    <row r="350" ht="14.1" customHeight="1"/>
    <row r="351" ht="14.1" customHeight="1"/>
    <row r="352" ht="14.1" customHeight="1"/>
    <row r="353" ht="14.1" customHeight="1"/>
    <row r="354" ht="14.1" customHeight="1"/>
    <row r="355" ht="14.1" customHeight="1"/>
    <row r="356" ht="14.1" customHeight="1"/>
    <row r="357" ht="14.1" customHeight="1"/>
    <row r="358" ht="14.1" customHeight="1"/>
    <row r="359" ht="14.1" customHeight="1"/>
    <row r="360" ht="14.1" customHeight="1"/>
    <row r="361" ht="14.1" customHeight="1"/>
    <row r="362" ht="14.1" customHeight="1"/>
    <row r="363" ht="14.1" customHeight="1"/>
    <row r="364" ht="14.1" customHeight="1"/>
    <row r="365" ht="14.1" customHeight="1"/>
    <row r="366" ht="14.1" customHeight="1"/>
    <row r="367" ht="14.1" customHeight="1"/>
    <row r="368" ht="14.1" customHeight="1"/>
    <row r="369" ht="14.1" customHeight="1"/>
    <row r="370" ht="14.1" customHeight="1"/>
    <row r="371" ht="14.1" customHeight="1"/>
    <row r="372" ht="14.1" customHeight="1"/>
    <row r="373" ht="14.1" customHeight="1"/>
    <row r="374" ht="14.1" customHeight="1"/>
    <row r="375" ht="14.1" customHeight="1"/>
    <row r="376" ht="14.1" customHeight="1"/>
    <row r="377" ht="14.1" customHeight="1"/>
    <row r="378" ht="14.1" customHeight="1"/>
    <row r="379" ht="14.1" customHeight="1"/>
    <row r="380" ht="14.1" customHeight="1"/>
    <row r="381" ht="14.1" customHeight="1"/>
    <row r="382" ht="14.1" customHeight="1"/>
    <row r="383" ht="14.1" customHeight="1"/>
    <row r="384" ht="14.1" customHeight="1"/>
    <row r="385" ht="14.1" customHeight="1"/>
    <row r="386" ht="14.1" customHeight="1"/>
    <row r="387" ht="14.1" customHeight="1"/>
    <row r="388" ht="14.1" customHeight="1"/>
    <row r="389" ht="14.1" customHeight="1"/>
    <row r="390" ht="14.1" customHeight="1"/>
    <row r="391" ht="14.1" customHeight="1"/>
    <row r="392" ht="14.1" customHeight="1"/>
    <row r="393" ht="14.1" customHeight="1"/>
    <row r="394" ht="14.1" customHeight="1"/>
    <row r="395" ht="14.1" customHeight="1"/>
    <row r="396" ht="14.1" customHeight="1"/>
    <row r="397" ht="14.1" customHeight="1"/>
    <row r="398" ht="14.1" customHeight="1"/>
    <row r="399" ht="14.1" customHeight="1"/>
    <row r="400" ht="14.1" customHeight="1"/>
    <row r="401" ht="14.1" customHeight="1"/>
    <row r="402" ht="14.1" customHeight="1"/>
    <row r="403" ht="14.1" customHeight="1"/>
    <row r="404" ht="14.1" customHeight="1"/>
    <row r="405" ht="14.1" customHeight="1"/>
    <row r="406" ht="14.1" customHeight="1"/>
    <row r="407" ht="14.1" customHeight="1"/>
    <row r="408" ht="14.1" customHeight="1"/>
    <row r="409" ht="14.1" customHeight="1"/>
    <row r="410" ht="14.1" customHeight="1"/>
    <row r="411" ht="14.1" customHeight="1"/>
    <row r="412" ht="14.1" customHeight="1"/>
    <row r="413" ht="14.1" customHeight="1"/>
    <row r="414" ht="14.1" customHeight="1"/>
    <row r="415" ht="14.1" customHeight="1"/>
    <row r="416" ht="14.1" customHeight="1"/>
    <row r="417" ht="14.1" customHeight="1"/>
    <row r="418" ht="14.1" customHeight="1"/>
    <row r="419" ht="14.1" customHeight="1"/>
    <row r="420" ht="14.1" customHeight="1"/>
    <row r="421" ht="14.1" customHeight="1"/>
    <row r="422" ht="14.1" customHeight="1"/>
    <row r="423" ht="14.1" customHeight="1"/>
    <row r="424" ht="14.1" customHeight="1"/>
    <row r="425" ht="14.1" customHeight="1"/>
    <row r="426" ht="14.1" customHeight="1"/>
    <row r="427" ht="14.1" customHeight="1"/>
    <row r="428" ht="14.1" customHeight="1"/>
    <row r="429" ht="14.1" customHeight="1"/>
    <row r="430" ht="14.1" customHeight="1"/>
    <row r="431" ht="14.1" customHeight="1"/>
    <row r="432" ht="14.1" customHeight="1"/>
    <row r="433" ht="14.1" customHeight="1"/>
    <row r="434" ht="14.1" customHeight="1"/>
    <row r="435" ht="14.1" customHeight="1"/>
    <row r="436" ht="14.1" customHeight="1"/>
    <row r="437" ht="14.1" customHeight="1"/>
    <row r="438" ht="14.1" customHeight="1"/>
    <row r="439" ht="14.1" customHeight="1"/>
    <row r="440" ht="14.1" customHeight="1"/>
    <row r="441" ht="14.1" customHeight="1"/>
    <row r="442" ht="14.1" customHeight="1"/>
    <row r="443" ht="14.1" customHeight="1"/>
    <row r="444" ht="14.1" customHeight="1"/>
    <row r="445" ht="14.1" customHeight="1"/>
    <row r="446" ht="14.1" customHeight="1"/>
    <row r="447" ht="14.1" customHeight="1"/>
    <row r="448" ht="14.1" customHeight="1"/>
    <row r="449" ht="14.1" customHeight="1"/>
    <row r="450" ht="14.1" customHeight="1"/>
    <row r="451" ht="14.1" customHeight="1"/>
    <row r="452" ht="14.1" customHeight="1"/>
    <row r="453" ht="14.1" customHeight="1"/>
    <row r="454" ht="14.1" customHeight="1"/>
    <row r="455" ht="14.1" customHeight="1"/>
    <row r="456" ht="14.1" customHeight="1"/>
    <row r="457" ht="14.1" customHeight="1"/>
    <row r="458" ht="14.1" customHeight="1"/>
    <row r="459" ht="14.1" customHeight="1"/>
    <row r="460" ht="14.1" customHeight="1"/>
    <row r="461" ht="14.1" customHeight="1"/>
    <row r="462" ht="14.1" customHeight="1"/>
    <row r="463" ht="14.1" customHeight="1"/>
    <row r="464" ht="14.1" customHeight="1"/>
    <row r="465" ht="14.1" customHeight="1"/>
    <row r="466" ht="14.1" customHeight="1"/>
    <row r="467" ht="14.1" customHeight="1"/>
    <row r="468" ht="14.1" customHeight="1"/>
    <row r="469" ht="14.1" customHeight="1"/>
    <row r="470" ht="14.1" customHeight="1"/>
    <row r="471" ht="14.1" customHeight="1"/>
    <row r="472" ht="14.1" customHeight="1"/>
    <row r="473" ht="14.1" customHeight="1"/>
    <row r="474" ht="14.1" customHeight="1"/>
    <row r="475" ht="14.1" customHeight="1"/>
    <row r="476" ht="14.1" customHeight="1"/>
    <row r="477" ht="14.1" customHeight="1"/>
    <row r="478" ht="14.1" customHeight="1"/>
    <row r="479" ht="14.1" customHeight="1"/>
    <row r="480" ht="14.1" customHeight="1"/>
    <row r="481" ht="14.1" customHeight="1"/>
    <row r="482" ht="14.1" customHeight="1"/>
    <row r="483" ht="14.1" customHeight="1"/>
    <row r="484" ht="14.1" customHeight="1"/>
    <row r="485" ht="14.1" customHeight="1"/>
    <row r="486" ht="14.1" customHeight="1"/>
    <row r="487" ht="14.1" customHeight="1"/>
    <row r="488" ht="14.1" customHeight="1"/>
    <row r="489" ht="14.1" customHeight="1"/>
    <row r="490" ht="14.1" customHeight="1"/>
    <row r="491" ht="14.1" customHeight="1"/>
    <row r="492" ht="14.1" customHeight="1"/>
    <row r="493" ht="14.1" customHeight="1"/>
    <row r="494" ht="14.1" customHeight="1"/>
    <row r="495" ht="14.1" customHeight="1"/>
    <row r="496" ht="14.1" customHeight="1"/>
    <row r="497" ht="14.1" customHeight="1"/>
    <row r="498" ht="14.1" customHeight="1"/>
    <row r="499" ht="14.1" customHeight="1"/>
    <row r="500" ht="14.1" customHeight="1"/>
    <row r="501" ht="14.1" customHeight="1"/>
    <row r="502" ht="14.1" customHeight="1"/>
    <row r="503" ht="14.1" customHeight="1"/>
    <row r="504" ht="14.1" customHeight="1"/>
    <row r="505" ht="14.1" customHeight="1"/>
    <row r="506" ht="14.1" customHeight="1"/>
    <row r="507" ht="14.1" customHeight="1"/>
    <row r="508" ht="14.1" customHeight="1"/>
    <row r="509" ht="14.1" customHeight="1"/>
    <row r="510" ht="14.1" customHeight="1"/>
    <row r="511" ht="14.1" customHeight="1"/>
    <row r="512" ht="14.1" customHeight="1"/>
    <row r="513" ht="14.1" customHeight="1"/>
    <row r="514" ht="14.1" customHeight="1"/>
    <row r="515" ht="14.1" customHeight="1"/>
    <row r="516" ht="14.1" customHeight="1"/>
    <row r="517" ht="14.1" customHeight="1"/>
    <row r="518" ht="14.1" customHeight="1"/>
    <row r="519" ht="14.1" customHeight="1"/>
    <row r="520" ht="14.1" customHeight="1"/>
    <row r="521" ht="14.1" customHeight="1"/>
    <row r="522" ht="14.1" customHeight="1"/>
    <row r="523" ht="14.1" customHeight="1"/>
    <row r="524" ht="14.1" customHeight="1"/>
    <row r="525" ht="14.1" customHeight="1"/>
    <row r="526" ht="14.1" customHeight="1"/>
    <row r="527" ht="14.1" customHeight="1"/>
    <row r="528" ht="14.1" customHeight="1"/>
    <row r="529" ht="14.1" customHeight="1"/>
    <row r="530" ht="14.1" customHeight="1"/>
    <row r="531" ht="14.1" customHeight="1"/>
    <row r="532" ht="14.1" customHeight="1"/>
    <row r="533" ht="14.1" customHeight="1"/>
    <row r="534" ht="14.1" customHeight="1"/>
    <row r="535" ht="14.1" customHeight="1"/>
    <row r="536" ht="14.1" customHeight="1"/>
    <row r="537" ht="14.1" customHeight="1"/>
    <row r="538" ht="14.1" customHeight="1"/>
    <row r="539" ht="14.1" customHeight="1"/>
    <row r="540" ht="14.1" customHeight="1"/>
    <row r="541" ht="14.1" customHeight="1"/>
    <row r="542" ht="14.1" customHeight="1"/>
    <row r="543" ht="14.1" customHeight="1"/>
    <row r="544" ht="14.1" customHeight="1"/>
    <row r="545" ht="14.1" customHeight="1"/>
    <row r="546" ht="14.1" customHeight="1"/>
    <row r="547" ht="14.1" customHeight="1"/>
    <row r="548" ht="14.1" customHeight="1"/>
    <row r="549" ht="14.1" customHeight="1"/>
    <row r="550" ht="14.1" customHeight="1"/>
    <row r="551" ht="14.1" customHeight="1"/>
    <row r="552" ht="14.1" customHeight="1"/>
    <row r="553" ht="14.1" customHeight="1"/>
    <row r="554" ht="14.1" customHeight="1"/>
    <row r="555" ht="14.1" customHeight="1"/>
    <row r="556" ht="14.1" customHeight="1"/>
    <row r="557" ht="14.1" customHeight="1"/>
    <row r="558" ht="14.1" customHeight="1"/>
    <row r="559" ht="14.1" customHeight="1"/>
    <row r="560" ht="14.1" customHeight="1"/>
    <row r="561" ht="14.1" customHeight="1"/>
    <row r="562" ht="14.1" customHeight="1"/>
    <row r="563" ht="14.1" customHeight="1"/>
    <row r="564" ht="14.1" customHeight="1"/>
    <row r="565" ht="14.1" customHeight="1"/>
    <row r="566" ht="14.1" customHeight="1"/>
    <row r="567" ht="14.1" customHeight="1"/>
    <row r="568" ht="14.1" customHeight="1"/>
    <row r="569" ht="14.1" customHeight="1"/>
    <row r="570" ht="14.1" customHeight="1"/>
    <row r="571" ht="14.1" customHeight="1"/>
    <row r="572" ht="14.1" customHeight="1"/>
    <row r="573" ht="14.1" customHeight="1"/>
    <row r="574" ht="14.1" customHeight="1"/>
    <row r="575" ht="14.1" customHeight="1"/>
    <row r="576" ht="14.1" customHeight="1"/>
    <row r="577" ht="14.1" customHeight="1"/>
    <row r="578" ht="14.1" customHeight="1"/>
    <row r="579" ht="14.1" customHeight="1"/>
    <row r="580" ht="14.1" customHeight="1"/>
    <row r="581" ht="14.1" customHeight="1"/>
    <row r="582" ht="14.1" customHeight="1"/>
    <row r="583" ht="14.1" customHeight="1"/>
    <row r="584" ht="14.1" customHeight="1"/>
    <row r="585" ht="14.1" customHeight="1"/>
    <row r="586" ht="14.1" customHeight="1"/>
    <row r="587" ht="14.1" customHeight="1"/>
    <row r="588" ht="14.1" customHeight="1"/>
    <row r="589" ht="14.1" customHeight="1"/>
    <row r="590" ht="14.1" customHeight="1"/>
    <row r="591" ht="14.1" customHeight="1"/>
    <row r="592" ht="14.1" customHeight="1"/>
    <row r="593" ht="14.1" customHeight="1"/>
    <row r="594" ht="14.1" customHeight="1"/>
    <row r="595" ht="14.1" customHeight="1"/>
    <row r="596" ht="14.1" customHeight="1"/>
    <row r="597" ht="14.1" customHeight="1"/>
    <row r="598" ht="14.1" customHeight="1"/>
    <row r="599" ht="14.1" customHeight="1"/>
    <row r="600" ht="14.1" customHeight="1"/>
    <row r="601" ht="14.1" customHeight="1"/>
    <row r="602" ht="14.1" customHeight="1"/>
    <row r="603" ht="14.1" customHeight="1"/>
    <row r="604" ht="14.1" customHeight="1"/>
    <row r="605" ht="14.1" customHeight="1"/>
    <row r="606" ht="14.1" customHeight="1"/>
    <row r="607" ht="14.1" customHeight="1"/>
    <row r="608" ht="14.1" customHeight="1"/>
    <row r="609" ht="14.1" customHeight="1"/>
    <row r="610" ht="14.1" customHeight="1"/>
    <row r="611" ht="14.1" customHeight="1"/>
    <row r="612" ht="14.1" customHeight="1"/>
    <row r="613" ht="14.1" customHeight="1"/>
    <row r="614" ht="14.1" customHeight="1"/>
    <row r="615" ht="14.1" customHeight="1"/>
    <row r="616" ht="14.1" customHeight="1"/>
    <row r="617" ht="14.1" customHeight="1"/>
    <row r="618" ht="14.1" customHeight="1"/>
    <row r="619" ht="14.1" customHeight="1"/>
    <row r="620" ht="14.1" customHeight="1"/>
    <row r="621" ht="14.1" customHeight="1"/>
    <row r="622" ht="14.1" customHeight="1"/>
    <row r="623" ht="14.1" customHeight="1"/>
    <row r="624" ht="14.1" customHeight="1"/>
    <row r="625" ht="14.1" customHeight="1"/>
    <row r="626" ht="14.1" customHeight="1"/>
    <row r="627" ht="14.1" customHeight="1"/>
    <row r="628" ht="14.1" customHeight="1"/>
    <row r="629" ht="14.1" customHeight="1"/>
    <row r="630" ht="14.1" customHeight="1"/>
    <row r="631" ht="14.1" customHeight="1"/>
    <row r="632" ht="14.1" customHeight="1"/>
    <row r="633" ht="14.1" customHeight="1"/>
    <row r="634" ht="14.1" customHeight="1"/>
    <row r="635" ht="14.1" customHeight="1"/>
    <row r="636" ht="14.1" customHeight="1"/>
    <row r="637" ht="14.1" customHeight="1"/>
    <row r="638" ht="14.1" customHeight="1"/>
    <row r="639" ht="14.1" customHeight="1"/>
    <row r="640" ht="14.1" customHeight="1"/>
    <row r="641" ht="14.1" customHeight="1"/>
    <row r="642" ht="14.1" customHeight="1"/>
    <row r="643" ht="14.1" customHeight="1"/>
    <row r="644" ht="14.1" customHeight="1"/>
    <row r="645" ht="14.1" customHeight="1"/>
    <row r="646" ht="14.1" customHeight="1"/>
    <row r="647" ht="14.1" customHeight="1"/>
    <row r="648" ht="14.1" customHeight="1"/>
    <row r="649" ht="14.1" customHeight="1"/>
    <row r="650" ht="14.1" customHeight="1"/>
    <row r="651" ht="14.1" customHeight="1"/>
    <row r="652" ht="14.1" customHeight="1"/>
    <row r="653" ht="14.1" customHeight="1"/>
    <row r="654" ht="14.1" customHeight="1"/>
    <row r="655" ht="14.1" customHeight="1"/>
    <row r="656" ht="14.1" customHeight="1"/>
    <row r="657" ht="14.1" customHeight="1"/>
    <row r="658" ht="14.1" customHeight="1"/>
    <row r="659" ht="14.1" customHeight="1"/>
    <row r="660" ht="14.1" customHeight="1"/>
    <row r="661" ht="14.1" customHeight="1"/>
    <row r="662" ht="14.1" customHeight="1"/>
    <row r="663" ht="14.1" customHeight="1"/>
    <row r="664" ht="14.1" customHeight="1"/>
    <row r="665" ht="14.1" customHeight="1"/>
    <row r="666" ht="14.1" customHeight="1"/>
    <row r="667" ht="14.1" customHeight="1"/>
    <row r="668" ht="14.1" customHeight="1"/>
    <row r="669" ht="14.1" customHeight="1"/>
    <row r="670" ht="14.1" customHeight="1"/>
    <row r="671" ht="14.1" customHeight="1"/>
    <row r="672" ht="14.1" customHeight="1"/>
    <row r="673" ht="14.1" customHeight="1"/>
    <row r="674" ht="14.1" customHeight="1"/>
    <row r="675" ht="14.1" customHeight="1"/>
    <row r="676" ht="14.1" customHeight="1"/>
    <row r="677" ht="14.1" customHeight="1"/>
    <row r="678" ht="14.1" customHeight="1"/>
    <row r="679" ht="14.1" customHeight="1"/>
    <row r="680" ht="14.1" customHeight="1"/>
    <row r="681" ht="14.1" customHeight="1"/>
    <row r="682" ht="14.1" customHeight="1"/>
    <row r="683" ht="14.1" customHeight="1"/>
    <row r="684" ht="14.1" customHeight="1"/>
    <row r="685" ht="14.1" customHeight="1"/>
    <row r="686" ht="14.1" customHeight="1"/>
    <row r="687" ht="14.1" customHeight="1"/>
    <row r="688" ht="14.1" customHeight="1"/>
    <row r="689" ht="14.1" customHeight="1"/>
    <row r="690" ht="14.1" customHeight="1"/>
    <row r="691" ht="14.1" customHeight="1"/>
    <row r="692" ht="14.1" customHeight="1"/>
    <row r="693" ht="14.1" customHeight="1"/>
    <row r="694" ht="14.1" customHeight="1"/>
    <row r="695" ht="14.1" customHeight="1"/>
    <row r="696" ht="14.1" customHeight="1"/>
    <row r="697" ht="14.1" customHeight="1"/>
    <row r="698" ht="14.1" customHeight="1"/>
    <row r="699" ht="14.1" customHeight="1"/>
    <row r="700" ht="14.1" customHeight="1"/>
    <row r="701" ht="14.1" customHeight="1"/>
    <row r="702" ht="14.1" customHeight="1"/>
    <row r="703" ht="14.1" customHeight="1"/>
    <row r="704" ht="14.1" customHeight="1"/>
    <row r="705" ht="14.1" customHeight="1"/>
    <row r="706" ht="14.1" customHeight="1"/>
    <row r="707" ht="14.1" customHeight="1"/>
    <row r="708" ht="14.1" customHeight="1"/>
    <row r="709" ht="14.1" customHeight="1"/>
    <row r="710" ht="14.1" customHeight="1"/>
    <row r="711" ht="14.1" customHeight="1"/>
    <row r="712" ht="14.1" customHeight="1"/>
    <row r="713" ht="14.1" customHeight="1"/>
    <row r="714" ht="14.1" customHeight="1"/>
    <row r="715" ht="14.1" customHeight="1"/>
    <row r="716" ht="14.1" customHeight="1"/>
    <row r="717" ht="14.1" customHeight="1"/>
    <row r="718" ht="14.1" customHeight="1"/>
    <row r="719" ht="14.1" customHeight="1"/>
    <row r="720" ht="14.1" customHeight="1"/>
    <row r="721" ht="14.1" customHeight="1"/>
    <row r="722" ht="14.1" customHeight="1"/>
    <row r="723" ht="14.1" customHeight="1"/>
    <row r="724" ht="14.1" customHeight="1"/>
    <row r="725" ht="14.1" customHeight="1"/>
    <row r="726" ht="14.1" customHeight="1"/>
    <row r="727" ht="14.1" customHeight="1"/>
    <row r="728" ht="14.1" customHeight="1"/>
    <row r="729" ht="14.1" customHeight="1"/>
    <row r="730" ht="14.1" customHeight="1"/>
    <row r="731" ht="14.1" customHeight="1"/>
    <row r="732" ht="14.1" customHeight="1"/>
    <row r="733" ht="14.1" customHeight="1"/>
    <row r="734" ht="14.1" customHeight="1"/>
    <row r="735" ht="14.1" customHeight="1"/>
    <row r="736" ht="14.1" customHeight="1"/>
    <row r="737" ht="14.1" customHeight="1"/>
    <row r="738" ht="14.1" customHeight="1"/>
    <row r="739" ht="14.1" customHeight="1"/>
    <row r="740" ht="14.1" customHeight="1"/>
    <row r="741" ht="14.1" customHeight="1"/>
    <row r="742" ht="14.1" customHeight="1"/>
    <row r="743" ht="14.1" customHeight="1"/>
    <row r="744" ht="14.1" customHeight="1"/>
    <row r="745" ht="14.1" customHeight="1"/>
    <row r="746" ht="14.1" customHeight="1"/>
    <row r="747" ht="14.1" customHeight="1"/>
    <row r="748" ht="14.1" customHeight="1"/>
    <row r="749" ht="14.1" customHeight="1"/>
    <row r="750" ht="14.1" customHeight="1"/>
    <row r="751" ht="14.1" customHeight="1"/>
    <row r="752" ht="14.1" customHeight="1"/>
    <row r="753" ht="14.1" customHeight="1"/>
    <row r="754" ht="14.1" customHeight="1"/>
    <row r="755" ht="14.1" customHeight="1"/>
    <row r="756" ht="14.1" customHeight="1"/>
    <row r="757" ht="14.1" customHeight="1"/>
    <row r="758" ht="14.1" customHeight="1"/>
    <row r="759" ht="14.1" customHeight="1"/>
    <row r="760" ht="14.1" customHeight="1"/>
    <row r="761" ht="14.1" customHeight="1"/>
    <row r="762" ht="14.1" customHeight="1"/>
    <row r="763" ht="14.1" customHeight="1"/>
    <row r="764" ht="14.1" customHeight="1"/>
    <row r="765" ht="14.1" customHeight="1"/>
    <row r="766" ht="14.1" customHeight="1"/>
    <row r="767" ht="14.1" customHeight="1"/>
    <row r="768" ht="14.1" customHeight="1"/>
    <row r="769" ht="14.1" customHeight="1"/>
    <row r="770" ht="14.1" customHeight="1"/>
    <row r="771" ht="14.1" customHeight="1"/>
    <row r="772" ht="14.1" customHeight="1"/>
    <row r="773" ht="14.1" customHeight="1"/>
    <row r="774" ht="14.1" customHeight="1"/>
    <row r="775" ht="14.1" customHeight="1"/>
    <row r="776" ht="14.1" customHeight="1"/>
    <row r="777" ht="14.1" customHeight="1"/>
    <row r="778" ht="14.1" customHeight="1"/>
    <row r="779" ht="14.1" customHeight="1"/>
    <row r="780" ht="14.1" customHeight="1"/>
    <row r="781" ht="14.1" customHeight="1"/>
    <row r="782" ht="14.1" customHeight="1"/>
    <row r="783" ht="14.1" customHeight="1"/>
    <row r="784" ht="14.1" customHeight="1"/>
    <row r="785" ht="14.1" customHeight="1"/>
    <row r="786" ht="14.1" customHeight="1"/>
    <row r="787" ht="14.1" customHeight="1"/>
    <row r="788" ht="14.1" customHeight="1"/>
    <row r="789" ht="14.1" customHeight="1"/>
    <row r="790" ht="14.1" customHeight="1"/>
    <row r="791" ht="14.1" customHeight="1"/>
    <row r="792" ht="14.1" customHeight="1"/>
    <row r="793" ht="14.1" customHeight="1"/>
  </sheetData>
  <autoFilter ref="A4:U141" xr:uid="{00000000-0009-0000-0000-000003000000}"/>
  <pageMargins left="0.61" right="0.16" top="0.87" bottom="0.21" header="0.16" footer="0.16"/>
  <pageSetup paperSize="8" scale="46" orientation="portrait"/>
  <headerFooter alignWithMargins="0">
    <oddFooter>&amp;L_x000D_&amp;1#&amp;"Arial"&amp;7&amp;KDAD4CE Public&amp;C&amp;"Verdana"&amp;10 &amp;KC1C1C1_x000D_# Internal</oddFooter>
  </headerFooter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8">
    <tabColor rgb="FF92D050"/>
    <pageSetUpPr fitToPage="1"/>
  </sheetPr>
  <dimension ref="A1:U793"/>
  <sheetViews>
    <sheetView zoomScale="80" zoomScaleNormal="80" workbookViewId="0">
      <pane ySplit="4" topLeftCell="A5" activePane="bottomLeft" state="frozen"/>
      <selection activeCell="A16" sqref="A16"/>
      <selection pane="bottomLeft" activeCell="A16" sqref="A16"/>
    </sheetView>
  </sheetViews>
  <sheetFormatPr defaultColWidth="8.85546875" defaultRowHeight="15" customHeight="1"/>
  <cols>
    <col min="1" max="1" width="4.140625" style="3" customWidth="1"/>
    <col min="2" max="3" width="8.5703125" style="20" customWidth="1"/>
    <col min="4" max="4" width="14.5703125" style="3" customWidth="1"/>
    <col min="5" max="5" width="20.5703125" style="20" customWidth="1"/>
    <col min="6" max="6" width="8.5703125" style="3" customWidth="1"/>
    <col min="7" max="7" width="32.5703125" style="2" customWidth="1"/>
    <col min="8" max="8" width="18.5703125" style="3" customWidth="1"/>
    <col min="9" max="9" width="62.5703125" style="2" customWidth="1"/>
    <col min="10" max="12" width="9.5703125" style="3" customWidth="1"/>
    <col min="13" max="13" width="10.5703125" style="3" customWidth="1"/>
    <col min="14" max="14" width="8.5703125" style="3" customWidth="1"/>
    <col min="15" max="15" width="10.5703125" style="3" customWidth="1"/>
    <col min="16" max="16" width="5.5703125" style="3" customWidth="1"/>
    <col min="17" max="17" width="1.5703125" style="2" customWidth="1"/>
    <col min="18" max="18" width="10.5703125" style="30" customWidth="1"/>
    <col min="19" max="19" width="1.5703125" style="2" customWidth="1"/>
    <col min="20" max="21" width="10.5703125" style="2" customWidth="1"/>
    <col min="22" max="220" width="8.85546875" style="2" customWidth="1"/>
    <col min="221" max="221" width="8.140625" style="2" customWidth="1"/>
    <col min="222" max="222" width="14.42578125" style="2" customWidth="1"/>
    <col min="223" max="223" width="37.42578125" style="2" customWidth="1"/>
    <col min="224" max="224" width="63.140625" style="2" customWidth="1"/>
    <col min="225" max="225" width="20" style="2" customWidth="1"/>
    <col min="226" max="226" width="11.140625" style="2" customWidth="1"/>
    <col min="227" max="227" width="10.85546875" style="2" customWidth="1"/>
    <col min="228" max="228" width="21" style="2" customWidth="1"/>
    <col min="229" max="229" width="10.85546875" style="2" customWidth="1"/>
    <col min="230" max="230" width="17.42578125" style="2" customWidth="1"/>
    <col min="231" max="231" width="14.85546875" style="2" customWidth="1"/>
    <col min="232" max="232" width="15" style="2" customWidth="1"/>
    <col min="233" max="233" width="14.85546875" style="2" customWidth="1"/>
    <col min="234" max="234" width="7.140625" style="2" customWidth="1"/>
    <col min="235" max="236" width="20.140625" style="2" customWidth="1"/>
    <col min="237" max="237" width="18.42578125" style="2" customWidth="1"/>
    <col min="238" max="238" width="9.140625" style="2" customWidth="1"/>
    <col min="239" max="239" width="12" style="2" customWidth="1"/>
    <col min="240" max="240" width="14.85546875" style="2" customWidth="1"/>
    <col min="241" max="241" width="22.42578125" style="2" customWidth="1"/>
    <col min="242" max="242" width="14.85546875" style="2" customWidth="1"/>
    <col min="243" max="243" width="7.140625" style="2" customWidth="1"/>
    <col min="244" max="244" width="20.140625" style="2" customWidth="1"/>
    <col min="245" max="476" width="8.85546875" style="2" customWidth="1"/>
    <col min="477" max="477" width="8.140625" style="2" customWidth="1"/>
    <col min="478" max="478" width="14.42578125" style="2" customWidth="1"/>
    <col min="479" max="479" width="37.42578125" style="2" customWidth="1"/>
    <col min="480" max="480" width="63.140625" style="2" customWidth="1"/>
    <col min="481" max="481" width="20" style="2" customWidth="1"/>
    <col min="482" max="482" width="11.140625" style="2" customWidth="1"/>
    <col min="483" max="483" width="10.85546875" style="2" customWidth="1"/>
    <col min="484" max="484" width="21" style="2" customWidth="1"/>
    <col min="485" max="485" width="10.85546875" style="2" customWidth="1"/>
    <col min="486" max="486" width="17.42578125" style="2" customWidth="1"/>
    <col min="487" max="487" width="14.85546875" style="2" customWidth="1"/>
    <col min="488" max="488" width="15" style="2" customWidth="1"/>
    <col min="489" max="489" width="14.85546875" style="2" customWidth="1"/>
    <col min="490" max="490" width="7.140625" style="2" customWidth="1"/>
    <col min="491" max="492" width="20.140625" style="2" customWidth="1"/>
    <col min="493" max="493" width="18.42578125" style="2" customWidth="1"/>
    <col min="494" max="494" width="9.140625" style="2" customWidth="1"/>
    <col min="495" max="495" width="12" style="2" customWidth="1"/>
    <col min="496" max="496" width="14.85546875" style="2" customWidth="1"/>
    <col min="497" max="497" width="22.42578125" style="2" customWidth="1"/>
    <col min="498" max="498" width="14.85546875" style="2" customWidth="1"/>
    <col min="499" max="499" width="7.140625" style="2" customWidth="1"/>
    <col min="500" max="500" width="20.140625" style="2" customWidth="1"/>
    <col min="501" max="732" width="8.85546875" style="2" customWidth="1"/>
    <col min="733" max="733" width="8.140625" style="2" customWidth="1"/>
    <col min="734" max="734" width="14.42578125" style="2" customWidth="1"/>
    <col min="735" max="735" width="37.42578125" style="2" customWidth="1"/>
    <col min="736" max="736" width="63.140625" style="2" customWidth="1"/>
    <col min="737" max="737" width="20" style="2" customWidth="1"/>
    <col min="738" max="738" width="11.140625" style="2" customWidth="1"/>
    <col min="739" max="739" width="10.85546875" style="2" customWidth="1"/>
    <col min="740" max="740" width="21" style="2" customWidth="1"/>
    <col min="741" max="741" width="10.85546875" style="2" customWidth="1"/>
    <col min="742" max="742" width="17.42578125" style="2" customWidth="1"/>
    <col min="743" max="743" width="14.85546875" style="2" customWidth="1"/>
    <col min="744" max="744" width="15" style="2" customWidth="1"/>
    <col min="745" max="745" width="14.85546875" style="2" customWidth="1"/>
    <col min="746" max="746" width="7.140625" style="2" customWidth="1"/>
    <col min="747" max="748" width="20.140625" style="2" customWidth="1"/>
    <col min="749" max="749" width="18.42578125" style="2" customWidth="1"/>
    <col min="750" max="750" width="9.140625" style="2" customWidth="1"/>
    <col min="751" max="751" width="12" style="2" customWidth="1"/>
    <col min="752" max="752" width="14.85546875" style="2" customWidth="1"/>
    <col min="753" max="753" width="22.42578125" style="2" customWidth="1"/>
    <col min="754" max="754" width="14.85546875" style="2" customWidth="1"/>
    <col min="755" max="755" width="7.140625" style="2" customWidth="1"/>
    <col min="756" max="756" width="20.140625" style="2" customWidth="1"/>
    <col min="757" max="988" width="8.85546875" style="2" customWidth="1"/>
    <col min="989" max="989" width="8.140625" style="2" customWidth="1"/>
    <col min="990" max="990" width="14.42578125" style="2" customWidth="1"/>
    <col min="991" max="991" width="37.42578125" style="2" customWidth="1"/>
    <col min="992" max="992" width="63.140625" style="2" customWidth="1"/>
    <col min="993" max="993" width="20" style="2" customWidth="1"/>
    <col min="994" max="994" width="11.140625" style="2" customWidth="1"/>
    <col min="995" max="995" width="10.85546875" style="2" customWidth="1"/>
    <col min="996" max="996" width="21" style="2" customWidth="1"/>
    <col min="997" max="997" width="10.85546875" style="2" customWidth="1"/>
    <col min="998" max="998" width="17.42578125" style="2" customWidth="1"/>
    <col min="999" max="999" width="14.85546875" style="2" customWidth="1"/>
    <col min="1000" max="1000" width="15" style="2" customWidth="1"/>
    <col min="1001" max="1001" width="14.85546875" style="2" customWidth="1"/>
    <col min="1002" max="1002" width="7.140625" style="2" customWidth="1"/>
    <col min="1003" max="1004" width="20.140625" style="2" customWidth="1"/>
    <col min="1005" max="1005" width="18.42578125" style="2" customWidth="1"/>
    <col min="1006" max="1006" width="9.140625" style="2" customWidth="1"/>
    <col min="1007" max="1007" width="12" style="2" customWidth="1"/>
    <col min="1008" max="1008" width="14.85546875" style="2" customWidth="1"/>
    <col min="1009" max="1009" width="22.42578125" style="2" customWidth="1"/>
    <col min="1010" max="1010" width="14.85546875" style="2" customWidth="1"/>
    <col min="1011" max="1011" width="7.140625" style="2" customWidth="1"/>
    <col min="1012" max="1012" width="20.140625" style="2" customWidth="1"/>
    <col min="1013" max="1244" width="8.85546875" style="2" customWidth="1"/>
    <col min="1245" max="1245" width="8.140625" style="2" customWidth="1"/>
    <col min="1246" max="1246" width="14.42578125" style="2" customWidth="1"/>
    <col min="1247" max="1247" width="37.42578125" style="2" customWidth="1"/>
    <col min="1248" max="1248" width="63.140625" style="2" customWidth="1"/>
    <col min="1249" max="1249" width="20" style="2" customWidth="1"/>
    <col min="1250" max="1250" width="11.140625" style="2" customWidth="1"/>
    <col min="1251" max="1251" width="10.85546875" style="2" customWidth="1"/>
    <col min="1252" max="1252" width="21" style="2" customWidth="1"/>
    <col min="1253" max="1253" width="10.85546875" style="2" customWidth="1"/>
    <col min="1254" max="1254" width="17.42578125" style="2" customWidth="1"/>
    <col min="1255" max="1255" width="14.85546875" style="2" customWidth="1"/>
    <col min="1256" max="1256" width="15" style="2" customWidth="1"/>
    <col min="1257" max="1257" width="14.85546875" style="2" customWidth="1"/>
    <col min="1258" max="1258" width="7.140625" style="2" customWidth="1"/>
    <col min="1259" max="1260" width="20.140625" style="2" customWidth="1"/>
    <col min="1261" max="1261" width="18.42578125" style="2" customWidth="1"/>
    <col min="1262" max="1262" width="9.140625" style="2" customWidth="1"/>
    <col min="1263" max="1263" width="12" style="2" customWidth="1"/>
    <col min="1264" max="1264" width="14.85546875" style="2" customWidth="1"/>
    <col min="1265" max="1265" width="22.42578125" style="2" customWidth="1"/>
    <col min="1266" max="1266" width="14.85546875" style="2" customWidth="1"/>
    <col min="1267" max="1267" width="7.140625" style="2" customWidth="1"/>
    <col min="1268" max="1268" width="20.140625" style="2" customWidth="1"/>
    <col min="1269" max="1500" width="8.85546875" style="2" customWidth="1"/>
    <col min="1501" max="1501" width="8.140625" style="2" customWidth="1"/>
    <col min="1502" max="1502" width="14.42578125" style="2" customWidth="1"/>
    <col min="1503" max="1503" width="37.42578125" style="2" customWidth="1"/>
    <col min="1504" max="1504" width="63.140625" style="2" customWidth="1"/>
    <col min="1505" max="1505" width="20" style="2" customWidth="1"/>
    <col min="1506" max="1506" width="11.140625" style="2" customWidth="1"/>
    <col min="1507" max="1507" width="10.85546875" style="2" customWidth="1"/>
    <col min="1508" max="1508" width="21" style="2" customWidth="1"/>
    <col min="1509" max="1509" width="10.85546875" style="2" customWidth="1"/>
    <col min="1510" max="1510" width="17.42578125" style="2" customWidth="1"/>
    <col min="1511" max="1511" width="14.85546875" style="2" customWidth="1"/>
    <col min="1512" max="1512" width="15" style="2" customWidth="1"/>
    <col min="1513" max="1513" width="14.85546875" style="2" customWidth="1"/>
    <col min="1514" max="1514" width="7.140625" style="2" customWidth="1"/>
    <col min="1515" max="1516" width="20.140625" style="2" customWidth="1"/>
    <col min="1517" max="1517" width="18.42578125" style="2" customWidth="1"/>
    <col min="1518" max="1518" width="9.140625" style="2" customWidth="1"/>
    <col min="1519" max="1519" width="12" style="2" customWidth="1"/>
    <col min="1520" max="1520" width="14.85546875" style="2" customWidth="1"/>
    <col min="1521" max="1521" width="22.42578125" style="2" customWidth="1"/>
    <col min="1522" max="1522" width="14.85546875" style="2" customWidth="1"/>
    <col min="1523" max="1523" width="7.140625" style="2" customWidth="1"/>
    <col min="1524" max="1524" width="20.140625" style="2" customWidth="1"/>
    <col min="1525" max="1756" width="8.85546875" style="2" customWidth="1"/>
    <col min="1757" max="1757" width="8.140625" style="2" customWidth="1"/>
    <col min="1758" max="1758" width="14.42578125" style="2" customWidth="1"/>
    <col min="1759" max="1759" width="37.42578125" style="2" customWidth="1"/>
    <col min="1760" max="1760" width="63.140625" style="2" customWidth="1"/>
    <col min="1761" max="1761" width="20" style="2" customWidth="1"/>
    <col min="1762" max="1762" width="11.140625" style="2" customWidth="1"/>
    <col min="1763" max="1763" width="10.85546875" style="2" customWidth="1"/>
    <col min="1764" max="1764" width="21" style="2" customWidth="1"/>
    <col min="1765" max="1765" width="10.85546875" style="2" customWidth="1"/>
    <col min="1766" max="1766" width="17.42578125" style="2" customWidth="1"/>
    <col min="1767" max="1767" width="14.85546875" style="2" customWidth="1"/>
    <col min="1768" max="1768" width="15" style="2" customWidth="1"/>
    <col min="1769" max="1769" width="14.85546875" style="2" customWidth="1"/>
    <col min="1770" max="1770" width="7.140625" style="2" customWidth="1"/>
    <col min="1771" max="1772" width="20.140625" style="2" customWidth="1"/>
    <col min="1773" max="1773" width="18.42578125" style="2" customWidth="1"/>
    <col min="1774" max="1774" width="9.140625" style="2" customWidth="1"/>
    <col min="1775" max="1775" width="12" style="2" customWidth="1"/>
    <col min="1776" max="1776" width="14.85546875" style="2" customWidth="1"/>
    <col min="1777" max="1777" width="22.42578125" style="2" customWidth="1"/>
    <col min="1778" max="1778" width="14.85546875" style="2" customWidth="1"/>
    <col min="1779" max="1779" width="7.140625" style="2" customWidth="1"/>
    <col min="1780" max="1780" width="20.140625" style="2" customWidth="1"/>
    <col min="1781" max="2012" width="8.85546875" style="2" customWidth="1"/>
    <col min="2013" max="2013" width="8.140625" style="2" customWidth="1"/>
    <col min="2014" max="2014" width="14.42578125" style="2" customWidth="1"/>
    <col min="2015" max="2015" width="37.42578125" style="2" customWidth="1"/>
    <col min="2016" max="2016" width="63.140625" style="2" customWidth="1"/>
    <col min="2017" max="2017" width="20" style="2" customWidth="1"/>
    <col min="2018" max="2018" width="11.140625" style="2" customWidth="1"/>
    <col min="2019" max="2019" width="10.85546875" style="2" customWidth="1"/>
    <col min="2020" max="2020" width="21" style="2" customWidth="1"/>
    <col min="2021" max="2021" width="10.85546875" style="2" customWidth="1"/>
    <col min="2022" max="2022" width="17.42578125" style="2" customWidth="1"/>
    <col min="2023" max="2023" width="14.85546875" style="2" customWidth="1"/>
    <col min="2024" max="2024" width="15" style="2" customWidth="1"/>
    <col min="2025" max="2025" width="14.85546875" style="2" customWidth="1"/>
    <col min="2026" max="2026" width="7.140625" style="2" customWidth="1"/>
    <col min="2027" max="2028" width="20.140625" style="2" customWidth="1"/>
    <col min="2029" max="2029" width="18.42578125" style="2" customWidth="1"/>
    <col min="2030" max="2030" width="9.140625" style="2" customWidth="1"/>
    <col min="2031" max="2031" width="12" style="2" customWidth="1"/>
    <col min="2032" max="2032" width="14.85546875" style="2" customWidth="1"/>
    <col min="2033" max="2033" width="22.42578125" style="2" customWidth="1"/>
    <col min="2034" max="2034" width="14.85546875" style="2" customWidth="1"/>
    <col min="2035" max="2035" width="7.140625" style="2" customWidth="1"/>
    <col min="2036" max="2036" width="20.140625" style="2" customWidth="1"/>
    <col min="2037" max="2268" width="8.85546875" style="2" customWidth="1"/>
    <col min="2269" max="2269" width="8.140625" style="2" customWidth="1"/>
    <col min="2270" max="2270" width="14.42578125" style="2" customWidth="1"/>
    <col min="2271" max="2271" width="37.42578125" style="2" customWidth="1"/>
    <col min="2272" max="2272" width="63.140625" style="2" customWidth="1"/>
    <col min="2273" max="2273" width="20" style="2" customWidth="1"/>
    <col min="2274" max="2274" width="11.140625" style="2" customWidth="1"/>
    <col min="2275" max="2275" width="10.85546875" style="2" customWidth="1"/>
    <col min="2276" max="2276" width="21" style="2" customWidth="1"/>
    <col min="2277" max="2277" width="10.85546875" style="2" customWidth="1"/>
    <col min="2278" max="2278" width="17.42578125" style="2" customWidth="1"/>
    <col min="2279" max="2279" width="14.85546875" style="2" customWidth="1"/>
    <col min="2280" max="2280" width="15" style="2" customWidth="1"/>
    <col min="2281" max="2281" width="14.85546875" style="2" customWidth="1"/>
    <col min="2282" max="2282" width="7.140625" style="2" customWidth="1"/>
    <col min="2283" max="2284" width="20.140625" style="2" customWidth="1"/>
    <col min="2285" max="2285" width="18.42578125" style="2" customWidth="1"/>
    <col min="2286" max="2286" width="9.140625" style="2" customWidth="1"/>
    <col min="2287" max="2287" width="12" style="2" customWidth="1"/>
    <col min="2288" max="2288" width="14.85546875" style="2" customWidth="1"/>
    <col min="2289" max="2289" width="22.42578125" style="2" customWidth="1"/>
    <col min="2290" max="2290" width="14.85546875" style="2" customWidth="1"/>
    <col min="2291" max="2291" width="7.140625" style="2" customWidth="1"/>
    <col min="2292" max="2292" width="20.140625" style="2" customWidth="1"/>
    <col min="2293" max="2524" width="8.85546875" style="2" customWidth="1"/>
    <col min="2525" max="2525" width="8.140625" style="2" customWidth="1"/>
    <col min="2526" max="2526" width="14.42578125" style="2" customWidth="1"/>
    <col min="2527" max="2527" width="37.42578125" style="2" customWidth="1"/>
    <col min="2528" max="2528" width="63.140625" style="2" customWidth="1"/>
    <col min="2529" max="2529" width="20" style="2" customWidth="1"/>
    <col min="2530" max="2530" width="11.140625" style="2" customWidth="1"/>
    <col min="2531" max="2531" width="10.85546875" style="2" customWidth="1"/>
    <col min="2532" max="2532" width="21" style="2" customWidth="1"/>
    <col min="2533" max="2533" width="10.85546875" style="2" customWidth="1"/>
    <col min="2534" max="2534" width="17.42578125" style="2" customWidth="1"/>
    <col min="2535" max="2535" width="14.85546875" style="2" customWidth="1"/>
    <col min="2536" max="2536" width="15" style="2" customWidth="1"/>
    <col min="2537" max="2537" width="14.85546875" style="2" customWidth="1"/>
    <col min="2538" max="2538" width="7.140625" style="2" customWidth="1"/>
    <col min="2539" max="2540" width="20.140625" style="2" customWidth="1"/>
    <col min="2541" max="2541" width="18.42578125" style="2" customWidth="1"/>
    <col min="2542" max="2542" width="9.140625" style="2" customWidth="1"/>
    <col min="2543" max="2543" width="12" style="2" customWidth="1"/>
    <col min="2544" max="2544" width="14.85546875" style="2" customWidth="1"/>
    <col min="2545" max="2545" width="22.42578125" style="2" customWidth="1"/>
    <col min="2546" max="2546" width="14.85546875" style="2" customWidth="1"/>
    <col min="2547" max="2547" width="7.140625" style="2" customWidth="1"/>
    <col min="2548" max="2548" width="20.140625" style="2" customWidth="1"/>
    <col min="2549" max="2780" width="8.85546875" style="2" customWidth="1"/>
    <col min="2781" max="2781" width="8.140625" style="2" customWidth="1"/>
    <col min="2782" max="2782" width="14.42578125" style="2" customWidth="1"/>
    <col min="2783" max="2783" width="37.42578125" style="2" customWidth="1"/>
    <col min="2784" max="2784" width="63.140625" style="2" customWidth="1"/>
    <col min="2785" max="2785" width="20" style="2" customWidth="1"/>
    <col min="2786" max="2786" width="11.140625" style="2" customWidth="1"/>
    <col min="2787" max="2787" width="10.85546875" style="2" customWidth="1"/>
    <col min="2788" max="2788" width="21" style="2" customWidth="1"/>
    <col min="2789" max="2789" width="10.85546875" style="2" customWidth="1"/>
    <col min="2790" max="2790" width="17.42578125" style="2" customWidth="1"/>
    <col min="2791" max="2791" width="14.85546875" style="2" customWidth="1"/>
    <col min="2792" max="2792" width="15" style="2" customWidth="1"/>
    <col min="2793" max="2793" width="14.85546875" style="2" customWidth="1"/>
    <col min="2794" max="2794" width="7.140625" style="2" customWidth="1"/>
    <col min="2795" max="2796" width="20.140625" style="2" customWidth="1"/>
    <col min="2797" max="2797" width="18.42578125" style="2" customWidth="1"/>
    <col min="2798" max="2798" width="9.140625" style="2" customWidth="1"/>
    <col min="2799" max="2799" width="12" style="2" customWidth="1"/>
    <col min="2800" max="2800" width="14.85546875" style="2" customWidth="1"/>
    <col min="2801" max="2801" width="22.42578125" style="2" customWidth="1"/>
    <col min="2802" max="2802" width="14.85546875" style="2" customWidth="1"/>
    <col min="2803" max="2803" width="7.140625" style="2" customWidth="1"/>
    <col min="2804" max="2804" width="20.140625" style="2" customWidth="1"/>
    <col min="2805" max="3036" width="8.85546875" style="2" customWidth="1"/>
    <col min="3037" max="3037" width="8.140625" style="2" customWidth="1"/>
    <col min="3038" max="3038" width="14.42578125" style="2" customWidth="1"/>
    <col min="3039" max="3039" width="37.42578125" style="2" customWidth="1"/>
    <col min="3040" max="3040" width="63.140625" style="2" customWidth="1"/>
    <col min="3041" max="3041" width="20" style="2" customWidth="1"/>
    <col min="3042" max="3042" width="11.140625" style="2" customWidth="1"/>
    <col min="3043" max="3043" width="10.85546875" style="2" customWidth="1"/>
    <col min="3044" max="3044" width="21" style="2" customWidth="1"/>
    <col min="3045" max="3045" width="10.85546875" style="2" customWidth="1"/>
    <col min="3046" max="3046" width="17.42578125" style="2" customWidth="1"/>
    <col min="3047" max="3047" width="14.85546875" style="2" customWidth="1"/>
    <col min="3048" max="3048" width="15" style="2" customWidth="1"/>
    <col min="3049" max="3049" width="14.85546875" style="2" customWidth="1"/>
    <col min="3050" max="3050" width="7.140625" style="2" customWidth="1"/>
    <col min="3051" max="3052" width="20.140625" style="2" customWidth="1"/>
    <col min="3053" max="3053" width="18.42578125" style="2" customWidth="1"/>
    <col min="3054" max="3054" width="9.140625" style="2" customWidth="1"/>
    <col min="3055" max="3055" width="12" style="2" customWidth="1"/>
    <col min="3056" max="3056" width="14.85546875" style="2" customWidth="1"/>
    <col min="3057" max="3057" width="22.42578125" style="2" customWidth="1"/>
    <col min="3058" max="3058" width="14.85546875" style="2" customWidth="1"/>
    <col min="3059" max="3059" width="7.140625" style="2" customWidth="1"/>
    <col min="3060" max="3060" width="20.140625" style="2" customWidth="1"/>
    <col min="3061" max="3292" width="8.85546875" style="2" customWidth="1"/>
    <col min="3293" max="3293" width="8.140625" style="2" customWidth="1"/>
    <col min="3294" max="3294" width="14.42578125" style="2" customWidth="1"/>
    <col min="3295" max="3295" width="37.42578125" style="2" customWidth="1"/>
    <col min="3296" max="3296" width="63.140625" style="2" customWidth="1"/>
    <col min="3297" max="3297" width="20" style="2" customWidth="1"/>
    <col min="3298" max="3298" width="11.140625" style="2" customWidth="1"/>
    <col min="3299" max="3299" width="10.85546875" style="2" customWidth="1"/>
    <col min="3300" max="3300" width="21" style="2" customWidth="1"/>
    <col min="3301" max="3301" width="10.85546875" style="2" customWidth="1"/>
    <col min="3302" max="3302" width="17.42578125" style="2" customWidth="1"/>
    <col min="3303" max="3303" width="14.85546875" style="2" customWidth="1"/>
    <col min="3304" max="3304" width="15" style="2" customWidth="1"/>
    <col min="3305" max="3305" width="14.85546875" style="2" customWidth="1"/>
    <col min="3306" max="3306" width="7.140625" style="2" customWidth="1"/>
    <col min="3307" max="3308" width="20.140625" style="2" customWidth="1"/>
    <col min="3309" max="3309" width="18.42578125" style="2" customWidth="1"/>
    <col min="3310" max="3310" width="9.140625" style="2" customWidth="1"/>
    <col min="3311" max="3311" width="12" style="2" customWidth="1"/>
    <col min="3312" max="3312" width="14.85546875" style="2" customWidth="1"/>
    <col min="3313" max="3313" width="22.42578125" style="2" customWidth="1"/>
    <col min="3314" max="3314" width="14.85546875" style="2" customWidth="1"/>
    <col min="3315" max="3315" width="7.140625" style="2" customWidth="1"/>
    <col min="3316" max="3316" width="20.140625" style="2" customWidth="1"/>
    <col min="3317" max="3548" width="8.85546875" style="2" customWidth="1"/>
    <col min="3549" max="3549" width="8.140625" style="2" customWidth="1"/>
    <col min="3550" max="3550" width="14.42578125" style="2" customWidth="1"/>
    <col min="3551" max="3551" width="37.42578125" style="2" customWidth="1"/>
    <col min="3552" max="3552" width="63.140625" style="2" customWidth="1"/>
    <col min="3553" max="3553" width="20" style="2" customWidth="1"/>
    <col min="3554" max="3554" width="11.140625" style="2" customWidth="1"/>
    <col min="3555" max="3555" width="10.85546875" style="2" customWidth="1"/>
    <col min="3556" max="3556" width="21" style="2" customWidth="1"/>
    <col min="3557" max="3557" width="10.85546875" style="2" customWidth="1"/>
    <col min="3558" max="3558" width="17.42578125" style="2" customWidth="1"/>
    <col min="3559" max="3559" width="14.85546875" style="2" customWidth="1"/>
    <col min="3560" max="3560" width="15" style="2" customWidth="1"/>
    <col min="3561" max="3561" width="14.85546875" style="2" customWidth="1"/>
    <col min="3562" max="3562" width="7.140625" style="2" customWidth="1"/>
    <col min="3563" max="3564" width="20.140625" style="2" customWidth="1"/>
    <col min="3565" max="3565" width="18.42578125" style="2" customWidth="1"/>
    <col min="3566" max="3566" width="9.140625" style="2" customWidth="1"/>
    <col min="3567" max="3567" width="12" style="2" customWidth="1"/>
    <col min="3568" max="3568" width="14.85546875" style="2" customWidth="1"/>
    <col min="3569" max="3569" width="22.42578125" style="2" customWidth="1"/>
    <col min="3570" max="3570" width="14.85546875" style="2" customWidth="1"/>
    <col min="3571" max="3571" width="7.140625" style="2" customWidth="1"/>
    <col min="3572" max="3572" width="20.140625" style="2" customWidth="1"/>
    <col min="3573" max="3804" width="8.85546875" style="2" customWidth="1"/>
    <col min="3805" max="3805" width="8.140625" style="2" customWidth="1"/>
    <col min="3806" max="3806" width="14.42578125" style="2" customWidth="1"/>
    <col min="3807" max="3807" width="37.42578125" style="2" customWidth="1"/>
    <col min="3808" max="3808" width="63.140625" style="2" customWidth="1"/>
    <col min="3809" max="3809" width="20" style="2" customWidth="1"/>
    <col min="3810" max="3810" width="11.140625" style="2" customWidth="1"/>
    <col min="3811" max="3811" width="10.85546875" style="2" customWidth="1"/>
    <col min="3812" max="3812" width="21" style="2" customWidth="1"/>
    <col min="3813" max="3813" width="10.85546875" style="2" customWidth="1"/>
    <col min="3814" max="3814" width="17.42578125" style="2" customWidth="1"/>
    <col min="3815" max="3815" width="14.85546875" style="2" customWidth="1"/>
    <col min="3816" max="3816" width="15" style="2" customWidth="1"/>
    <col min="3817" max="3817" width="14.85546875" style="2" customWidth="1"/>
    <col min="3818" max="3818" width="7.140625" style="2" customWidth="1"/>
    <col min="3819" max="3820" width="20.140625" style="2" customWidth="1"/>
    <col min="3821" max="3821" width="18.42578125" style="2" customWidth="1"/>
    <col min="3822" max="3822" width="9.140625" style="2" customWidth="1"/>
    <col min="3823" max="3823" width="12" style="2" customWidth="1"/>
    <col min="3824" max="3824" width="14.85546875" style="2" customWidth="1"/>
    <col min="3825" max="3825" width="22.42578125" style="2" customWidth="1"/>
    <col min="3826" max="3826" width="14.85546875" style="2" customWidth="1"/>
    <col min="3827" max="3827" width="7.140625" style="2" customWidth="1"/>
    <col min="3828" max="3828" width="20.140625" style="2" customWidth="1"/>
    <col min="3829" max="4060" width="8.85546875" style="2" customWidth="1"/>
    <col min="4061" max="4061" width="8.140625" style="2" customWidth="1"/>
    <col min="4062" max="4062" width="14.42578125" style="2" customWidth="1"/>
    <col min="4063" max="4063" width="37.42578125" style="2" customWidth="1"/>
    <col min="4064" max="4064" width="63.140625" style="2" customWidth="1"/>
    <col min="4065" max="4065" width="20" style="2" customWidth="1"/>
    <col min="4066" max="4066" width="11.140625" style="2" customWidth="1"/>
    <col min="4067" max="4067" width="10.85546875" style="2" customWidth="1"/>
    <col min="4068" max="4068" width="21" style="2" customWidth="1"/>
    <col min="4069" max="4069" width="10.85546875" style="2" customWidth="1"/>
    <col min="4070" max="4070" width="17.42578125" style="2" customWidth="1"/>
    <col min="4071" max="4071" width="14.85546875" style="2" customWidth="1"/>
    <col min="4072" max="4072" width="15" style="2" customWidth="1"/>
    <col min="4073" max="4073" width="14.85546875" style="2" customWidth="1"/>
    <col min="4074" max="4074" width="7.140625" style="2" customWidth="1"/>
    <col min="4075" max="4076" width="20.140625" style="2" customWidth="1"/>
    <col min="4077" max="4077" width="18.42578125" style="2" customWidth="1"/>
    <col min="4078" max="4078" width="9.140625" style="2" customWidth="1"/>
    <col min="4079" max="4079" width="12" style="2" customWidth="1"/>
    <col min="4080" max="4080" width="14.85546875" style="2" customWidth="1"/>
    <col min="4081" max="4081" width="22.42578125" style="2" customWidth="1"/>
    <col min="4082" max="4082" width="14.85546875" style="2" customWidth="1"/>
    <col min="4083" max="4083" width="7.140625" style="2" customWidth="1"/>
    <col min="4084" max="4084" width="20.140625" style="2" customWidth="1"/>
    <col min="4085" max="4316" width="8.85546875" style="2" customWidth="1"/>
    <col min="4317" max="4317" width="8.140625" style="2" customWidth="1"/>
    <col min="4318" max="4318" width="14.42578125" style="2" customWidth="1"/>
    <col min="4319" max="4319" width="37.42578125" style="2" customWidth="1"/>
    <col min="4320" max="4320" width="63.140625" style="2" customWidth="1"/>
    <col min="4321" max="4321" width="20" style="2" customWidth="1"/>
    <col min="4322" max="4322" width="11.140625" style="2" customWidth="1"/>
    <col min="4323" max="4323" width="10.85546875" style="2" customWidth="1"/>
    <col min="4324" max="4324" width="21" style="2" customWidth="1"/>
    <col min="4325" max="4325" width="10.85546875" style="2" customWidth="1"/>
    <col min="4326" max="4326" width="17.42578125" style="2" customWidth="1"/>
    <col min="4327" max="4327" width="14.85546875" style="2" customWidth="1"/>
    <col min="4328" max="4328" width="15" style="2" customWidth="1"/>
    <col min="4329" max="4329" width="14.85546875" style="2" customWidth="1"/>
    <col min="4330" max="4330" width="7.140625" style="2" customWidth="1"/>
    <col min="4331" max="4332" width="20.140625" style="2" customWidth="1"/>
    <col min="4333" max="4333" width="18.42578125" style="2" customWidth="1"/>
    <col min="4334" max="4334" width="9.140625" style="2" customWidth="1"/>
    <col min="4335" max="4335" width="12" style="2" customWidth="1"/>
    <col min="4336" max="4336" width="14.85546875" style="2" customWidth="1"/>
    <col min="4337" max="4337" width="22.42578125" style="2" customWidth="1"/>
    <col min="4338" max="4338" width="14.85546875" style="2" customWidth="1"/>
    <col min="4339" max="4339" width="7.140625" style="2" customWidth="1"/>
    <col min="4340" max="4340" width="20.140625" style="2" customWidth="1"/>
    <col min="4341" max="4572" width="8.85546875" style="2" customWidth="1"/>
    <col min="4573" max="4573" width="8.140625" style="2" customWidth="1"/>
    <col min="4574" max="4574" width="14.42578125" style="2" customWidth="1"/>
    <col min="4575" max="4575" width="37.42578125" style="2" customWidth="1"/>
    <col min="4576" max="4576" width="63.140625" style="2" customWidth="1"/>
    <col min="4577" max="4577" width="20" style="2" customWidth="1"/>
    <col min="4578" max="4578" width="11.140625" style="2" customWidth="1"/>
    <col min="4579" max="4579" width="10.85546875" style="2" customWidth="1"/>
    <col min="4580" max="4580" width="21" style="2" customWidth="1"/>
    <col min="4581" max="4581" width="10.85546875" style="2" customWidth="1"/>
    <col min="4582" max="4582" width="17.42578125" style="2" customWidth="1"/>
    <col min="4583" max="4583" width="14.85546875" style="2" customWidth="1"/>
    <col min="4584" max="4584" width="15" style="2" customWidth="1"/>
    <col min="4585" max="4585" width="14.85546875" style="2" customWidth="1"/>
    <col min="4586" max="4586" width="7.140625" style="2" customWidth="1"/>
    <col min="4587" max="4588" width="20.140625" style="2" customWidth="1"/>
    <col min="4589" max="4589" width="18.42578125" style="2" customWidth="1"/>
    <col min="4590" max="4590" width="9.140625" style="2" customWidth="1"/>
    <col min="4591" max="4591" width="12" style="2" customWidth="1"/>
    <col min="4592" max="4592" width="14.85546875" style="2" customWidth="1"/>
    <col min="4593" max="4593" width="22.42578125" style="2" customWidth="1"/>
    <col min="4594" max="4594" width="14.85546875" style="2" customWidth="1"/>
    <col min="4595" max="4595" width="7.140625" style="2" customWidth="1"/>
    <col min="4596" max="4596" width="20.140625" style="2" customWidth="1"/>
    <col min="4597" max="4828" width="8.85546875" style="2" customWidth="1"/>
    <col min="4829" max="4829" width="8.140625" style="2" customWidth="1"/>
    <col min="4830" max="4830" width="14.42578125" style="2" customWidth="1"/>
    <col min="4831" max="4831" width="37.42578125" style="2" customWidth="1"/>
    <col min="4832" max="4832" width="63.140625" style="2" customWidth="1"/>
    <col min="4833" max="4833" width="20" style="2" customWidth="1"/>
    <col min="4834" max="4834" width="11.140625" style="2" customWidth="1"/>
    <col min="4835" max="4835" width="10.85546875" style="2" customWidth="1"/>
    <col min="4836" max="4836" width="21" style="2" customWidth="1"/>
    <col min="4837" max="4837" width="10.85546875" style="2" customWidth="1"/>
    <col min="4838" max="4838" width="17.42578125" style="2" customWidth="1"/>
    <col min="4839" max="4839" width="14.85546875" style="2" customWidth="1"/>
    <col min="4840" max="4840" width="15" style="2" customWidth="1"/>
    <col min="4841" max="4841" width="14.85546875" style="2" customWidth="1"/>
    <col min="4842" max="4842" width="7.140625" style="2" customWidth="1"/>
    <col min="4843" max="4844" width="20.140625" style="2" customWidth="1"/>
    <col min="4845" max="4845" width="18.42578125" style="2" customWidth="1"/>
    <col min="4846" max="4846" width="9.140625" style="2" customWidth="1"/>
    <col min="4847" max="4847" width="12" style="2" customWidth="1"/>
    <col min="4848" max="4848" width="14.85546875" style="2" customWidth="1"/>
    <col min="4849" max="4849" width="22.42578125" style="2" customWidth="1"/>
    <col min="4850" max="4850" width="14.85546875" style="2" customWidth="1"/>
    <col min="4851" max="4851" width="7.140625" style="2" customWidth="1"/>
    <col min="4852" max="4852" width="20.140625" style="2" customWidth="1"/>
    <col min="4853" max="5084" width="8.85546875" style="2" customWidth="1"/>
    <col min="5085" max="5085" width="8.140625" style="2" customWidth="1"/>
    <col min="5086" max="5086" width="14.42578125" style="2" customWidth="1"/>
    <col min="5087" max="5087" width="37.42578125" style="2" customWidth="1"/>
    <col min="5088" max="5088" width="63.140625" style="2" customWidth="1"/>
    <col min="5089" max="5089" width="20" style="2" customWidth="1"/>
    <col min="5090" max="5090" width="11.140625" style="2" customWidth="1"/>
    <col min="5091" max="5091" width="10.85546875" style="2" customWidth="1"/>
    <col min="5092" max="5092" width="21" style="2" customWidth="1"/>
    <col min="5093" max="5093" width="10.85546875" style="2" customWidth="1"/>
    <col min="5094" max="5094" width="17.42578125" style="2" customWidth="1"/>
    <col min="5095" max="5095" width="14.85546875" style="2" customWidth="1"/>
    <col min="5096" max="5096" width="15" style="2" customWidth="1"/>
    <col min="5097" max="5097" width="14.85546875" style="2" customWidth="1"/>
    <col min="5098" max="5098" width="7.140625" style="2" customWidth="1"/>
    <col min="5099" max="5100" width="20.140625" style="2" customWidth="1"/>
    <col min="5101" max="5101" width="18.42578125" style="2" customWidth="1"/>
    <col min="5102" max="5102" width="9.140625" style="2" customWidth="1"/>
    <col min="5103" max="5103" width="12" style="2" customWidth="1"/>
    <col min="5104" max="5104" width="14.85546875" style="2" customWidth="1"/>
    <col min="5105" max="5105" width="22.42578125" style="2" customWidth="1"/>
    <col min="5106" max="5106" width="14.85546875" style="2" customWidth="1"/>
    <col min="5107" max="5107" width="7.140625" style="2" customWidth="1"/>
    <col min="5108" max="5108" width="20.140625" style="2" customWidth="1"/>
    <col min="5109" max="5340" width="8.85546875" style="2" customWidth="1"/>
    <col min="5341" max="5341" width="8.140625" style="2" customWidth="1"/>
    <col min="5342" max="5342" width="14.42578125" style="2" customWidth="1"/>
    <col min="5343" max="5343" width="37.42578125" style="2" customWidth="1"/>
    <col min="5344" max="5344" width="63.140625" style="2" customWidth="1"/>
    <col min="5345" max="5345" width="20" style="2" customWidth="1"/>
    <col min="5346" max="5346" width="11.140625" style="2" customWidth="1"/>
    <col min="5347" max="5347" width="10.85546875" style="2" customWidth="1"/>
    <col min="5348" max="5348" width="21" style="2" customWidth="1"/>
    <col min="5349" max="5349" width="10.85546875" style="2" customWidth="1"/>
    <col min="5350" max="5350" width="17.42578125" style="2" customWidth="1"/>
    <col min="5351" max="5351" width="14.85546875" style="2" customWidth="1"/>
    <col min="5352" max="5352" width="15" style="2" customWidth="1"/>
    <col min="5353" max="5353" width="14.85546875" style="2" customWidth="1"/>
    <col min="5354" max="5354" width="7.140625" style="2" customWidth="1"/>
    <col min="5355" max="5356" width="20.140625" style="2" customWidth="1"/>
    <col min="5357" max="5357" width="18.42578125" style="2" customWidth="1"/>
    <col min="5358" max="5358" width="9.140625" style="2" customWidth="1"/>
    <col min="5359" max="5359" width="12" style="2" customWidth="1"/>
    <col min="5360" max="5360" width="14.85546875" style="2" customWidth="1"/>
    <col min="5361" max="5361" width="22.42578125" style="2" customWidth="1"/>
    <col min="5362" max="5362" width="14.85546875" style="2" customWidth="1"/>
    <col min="5363" max="5363" width="7.140625" style="2" customWidth="1"/>
    <col min="5364" max="5364" width="20.140625" style="2" customWidth="1"/>
    <col min="5365" max="5596" width="8.85546875" style="2" customWidth="1"/>
    <col min="5597" max="5597" width="8.140625" style="2" customWidth="1"/>
    <col min="5598" max="5598" width="14.42578125" style="2" customWidth="1"/>
    <col min="5599" max="5599" width="37.42578125" style="2" customWidth="1"/>
    <col min="5600" max="5600" width="63.140625" style="2" customWidth="1"/>
    <col min="5601" max="5601" width="20" style="2" customWidth="1"/>
    <col min="5602" max="5602" width="11.140625" style="2" customWidth="1"/>
    <col min="5603" max="5603" width="10.85546875" style="2" customWidth="1"/>
    <col min="5604" max="5604" width="21" style="2" customWidth="1"/>
    <col min="5605" max="5605" width="10.85546875" style="2" customWidth="1"/>
    <col min="5606" max="5606" width="17.42578125" style="2" customWidth="1"/>
    <col min="5607" max="5607" width="14.85546875" style="2" customWidth="1"/>
    <col min="5608" max="5608" width="15" style="2" customWidth="1"/>
    <col min="5609" max="5609" width="14.85546875" style="2" customWidth="1"/>
    <col min="5610" max="5610" width="7.140625" style="2" customWidth="1"/>
    <col min="5611" max="5612" width="20.140625" style="2" customWidth="1"/>
    <col min="5613" max="5613" width="18.42578125" style="2" customWidth="1"/>
    <col min="5614" max="5614" width="9.140625" style="2" customWidth="1"/>
    <col min="5615" max="5615" width="12" style="2" customWidth="1"/>
    <col min="5616" max="5616" width="14.85546875" style="2" customWidth="1"/>
    <col min="5617" max="5617" width="22.42578125" style="2" customWidth="1"/>
    <col min="5618" max="5618" width="14.85546875" style="2" customWidth="1"/>
    <col min="5619" max="5619" width="7.140625" style="2" customWidth="1"/>
    <col min="5620" max="5620" width="20.140625" style="2" customWidth="1"/>
    <col min="5621" max="5852" width="8.85546875" style="2" customWidth="1"/>
    <col min="5853" max="5853" width="8.140625" style="2" customWidth="1"/>
    <col min="5854" max="5854" width="14.42578125" style="2" customWidth="1"/>
    <col min="5855" max="5855" width="37.42578125" style="2" customWidth="1"/>
    <col min="5856" max="5856" width="63.140625" style="2" customWidth="1"/>
    <col min="5857" max="5857" width="20" style="2" customWidth="1"/>
    <col min="5858" max="5858" width="11.140625" style="2" customWidth="1"/>
    <col min="5859" max="5859" width="10.85546875" style="2" customWidth="1"/>
    <col min="5860" max="5860" width="21" style="2" customWidth="1"/>
    <col min="5861" max="5861" width="10.85546875" style="2" customWidth="1"/>
    <col min="5862" max="5862" width="17.42578125" style="2" customWidth="1"/>
    <col min="5863" max="5863" width="14.85546875" style="2" customWidth="1"/>
    <col min="5864" max="5864" width="15" style="2" customWidth="1"/>
    <col min="5865" max="5865" width="14.85546875" style="2" customWidth="1"/>
    <col min="5866" max="5866" width="7.140625" style="2" customWidth="1"/>
    <col min="5867" max="5868" width="20.140625" style="2" customWidth="1"/>
    <col min="5869" max="5869" width="18.42578125" style="2" customWidth="1"/>
    <col min="5870" max="5870" width="9.140625" style="2" customWidth="1"/>
    <col min="5871" max="5871" width="12" style="2" customWidth="1"/>
    <col min="5872" max="5872" width="14.85546875" style="2" customWidth="1"/>
    <col min="5873" max="5873" width="22.42578125" style="2" customWidth="1"/>
    <col min="5874" max="5874" width="14.85546875" style="2" customWidth="1"/>
    <col min="5875" max="5875" width="7.140625" style="2" customWidth="1"/>
    <col min="5876" max="5876" width="20.140625" style="2" customWidth="1"/>
    <col min="5877" max="6108" width="8.85546875" style="2" customWidth="1"/>
    <col min="6109" max="6109" width="8.140625" style="2" customWidth="1"/>
    <col min="6110" max="6110" width="14.42578125" style="2" customWidth="1"/>
    <col min="6111" max="6111" width="37.42578125" style="2" customWidth="1"/>
    <col min="6112" max="6112" width="63.140625" style="2" customWidth="1"/>
    <col min="6113" max="6113" width="20" style="2" customWidth="1"/>
    <col min="6114" max="6114" width="11.140625" style="2" customWidth="1"/>
    <col min="6115" max="6115" width="10.85546875" style="2" customWidth="1"/>
    <col min="6116" max="6116" width="21" style="2" customWidth="1"/>
    <col min="6117" max="6117" width="10.85546875" style="2" customWidth="1"/>
    <col min="6118" max="6118" width="17.42578125" style="2" customWidth="1"/>
    <col min="6119" max="6119" width="14.85546875" style="2" customWidth="1"/>
    <col min="6120" max="6120" width="15" style="2" customWidth="1"/>
    <col min="6121" max="6121" width="14.85546875" style="2" customWidth="1"/>
    <col min="6122" max="6122" width="7.140625" style="2" customWidth="1"/>
    <col min="6123" max="6124" width="20.140625" style="2" customWidth="1"/>
    <col min="6125" max="6125" width="18.42578125" style="2" customWidth="1"/>
    <col min="6126" max="6126" width="9.140625" style="2" customWidth="1"/>
    <col min="6127" max="6127" width="12" style="2" customWidth="1"/>
    <col min="6128" max="6128" width="14.85546875" style="2" customWidth="1"/>
    <col min="6129" max="6129" width="22.42578125" style="2" customWidth="1"/>
    <col min="6130" max="6130" width="14.85546875" style="2" customWidth="1"/>
    <col min="6131" max="6131" width="7.140625" style="2" customWidth="1"/>
    <col min="6132" max="6132" width="20.140625" style="2" customWidth="1"/>
    <col min="6133" max="6364" width="8.85546875" style="2" customWidth="1"/>
    <col min="6365" max="6365" width="8.140625" style="2" customWidth="1"/>
    <col min="6366" max="6366" width="14.42578125" style="2" customWidth="1"/>
    <col min="6367" max="6367" width="37.42578125" style="2" customWidth="1"/>
    <col min="6368" max="6368" width="63.140625" style="2" customWidth="1"/>
    <col min="6369" max="6369" width="20" style="2" customWidth="1"/>
    <col min="6370" max="6370" width="11.140625" style="2" customWidth="1"/>
    <col min="6371" max="6371" width="10.85546875" style="2" customWidth="1"/>
    <col min="6372" max="6372" width="21" style="2" customWidth="1"/>
    <col min="6373" max="6373" width="10.85546875" style="2" customWidth="1"/>
    <col min="6374" max="6374" width="17.42578125" style="2" customWidth="1"/>
    <col min="6375" max="6375" width="14.85546875" style="2" customWidth="1"/>
    <col min="6376" max="6376" width="15" style="2" customWidth="1"/>
    <col min="6377" max="6377" width="14.85546875" style="2" customWidth="1"/>
    <col min="6378" max="6378" width="7.140625" style="2" customWidth="1"/>
    <col min="6379" max="6380" width="20.140625" style="2" customWidth="1"/>
    <col min="6381" max="6381" width="18.42578125" style="2" customWidth="1"/>
    <col min="6382" max="6382" width="9.140625" style="2" customWidth="1"/>
    <col min="6383" max="6383" width="12" style="2" customWidth="1"/>
    <col min="6384" max="6384" width="14.85546875" style="2" customWidth="1"/>
    <col min="6385" max="6385" width="22.42578125" style="2" customWidth="1"/>
    <col min="6386" max="6386" width="14.85546875" style="2" customWidth="1"/>
    <col min="6387" max="6387" width="7.140625" style="2" customWidth="1"/>
    <col min="6388" max="6388" width="20.140625" style="2" customWidth="1"/>
    <col min="6389" max="6620" width="8.85546875" style="2" customWidth="1"/>
    <col min="6621" max="6621" width="8.140625" style="2" customWidth="1"/>
    <col min="6622" max="6622" width="14.42578125" style="2" customWidth="1"/>
    <col min="6623" max="6623" width="37.42578125" style="2" customWidth="1"/>
    <col min="6624" max="6624" width="63.140625" style="2" customWidth="1"/>
    <col min="6625" max="6625" width="20" style="2" customWidth="1"/>
    <col min="6626" max="6626" width="11.140625" style="2" customWidth="1"/>
    <col min="6627" max="6627" width="10.85546875" style="2" customWidth="1"/>
    <col min="6628" max="6628" width="21" style="2" customWidth="1"/>
    <col min="6629" max="6629" width="10.85546875" style="2" customWidth="1"/>
    <col min="6630" max="6630" width="17.42578125" style="2" customWidth="1"/>
    <col min="6631" max="6631" width="14.85546875" style="2" customWidth="1"/>
    <col min="6632" max="6632" width="15" style="2" customWidth="1"/>
    <col min="6633" max="6633" width="14.85546875" style="2" customWidth="1"/>
    <col min="6634" max="6634" width="7.140625" style="2" customWidth="1"/>
    <col min="6635" max="6636" width="20.140625" style="2" customWidth="1"/>
    <col min="6637" max="6637" width="18.42578125" style="2" customWidth="1"/>
    <col min="6638" max="6638" width="9.140625" style="2" customWidth="1"/>
    <col min="6639" max="6639" width="12" style="2" customWidth="1"/>
    <col min="6640" max="6640" width="14.85546875" style="2" customWidth="1"/>
    <col min="6641" max="6641" width="22.42578125" style="2" customWidth="1"/>
    <col min="6642" max="6642" width="14.85546875" style="2" customWidth="1"/>
    <col min="6643" max="6643" width="7.140625" style="2" customWidth="1"/>
    <col min="6644" max="6644" width="20.140625" style="2" customWidth="1"/>
    <col min="6645" max="6876" width="8.85546875" style="2" customWidth="1"/>
    <col min="6877" max="6877" width="8.140625" style="2" customWidth="1"/>
    <col min="6878" max="6878" width="14.42578125" style="2" customWidth="1"/>
    <col min="6879" max="6879" width="37.42578125" style="2" customWidth="1"/>
    <col min="6880" max="6880" width="63.140625" style="2" customWidth="1"/>
    <col min="6881" max="6881" width="20" style="2" customWidth="1"/>
    <col min="6882" max="6882" width="11.140625" style="2" customWidth="1"/>
    <col min="6883" max="6883" width="10.85546875" style="2" customWidth="1"/>
    <col min="6884" max="6884" width="21" style="2" customWidth="1"/>
    <col min="6885" max="6885" width="10.85546875" style="2" customWidth="1"/>
    <col min="6886" max="6886" width="17.42578125" style="2" customWidth="1"/>
    <col min="6887" max="6887" width="14.85546875" style="2" customWidth="1"/>
    <col min="6888" max="6888" width="15" style="2" customWidth="1"/>
    <col min="6889" max="6889" width="14.85546875" style="2" customWidth="1"/>
    <col min="6890" max="6890" width="7.140625" style="2" customWidth="1"/>
    <col min="6891" max="6892" width="20.140625" style="2" customWidth="1"/>
    <col min="6893" max="6893" width="18.42578125" style="2" customWidth="1"/>
    <col min="6894" max="6894" width="9.140625" style="2" customWidth="1"/>
    <col min="6895" max="6895" width="12" style="2" customWidth="1"/>
    <col min="6896" max="6896" width="14.85546875" style="2" customWidth="1"/>
    <col min="6897" max="6897" width="22.42578125" style="2" customWidth="1"/>
    <col min="6898" max="6898" width="14.85546875" style="2" customWidth="1"/>
    <col min="6899" max="6899" width="7.140625" style="2" customWidth="1"/>
    <col min="6900" max="6900" width="20.140625" style="2" customWidth="1"/>
    <col min="6901" max="7132" width="8.85546875" style="2" customWidth="1"/>
    <col min="7133" max="7133" width="8.140625" style="2" customWidth="1"/>
    <col min="7134" max="7134" width="14.42578125" style="2" customWidth="1"/>
    <col min="7135" max="7135" width="37.42578125" style="2" customWidth="1"/>
    <col min="7136" max="7136" width="63.140625" style="2" customWidth="1"/>
    <col min="7137" max="7137" width="20" style="2" customWidth="1"/>
    <col min="7138" max="7138" width="11.140625" style="2" customWidth="1"/>
    <col min="7139" max="7139" width="10.85546875" style="2" customWidth="1"/>
    <col min="7140" max="7140" width="21" style="2" customWidth="1"/>
    <col min="7141" max="7141" width="10.85546875" style="2" customWidth="1"/>
    <col min="7142" max="7142" width="17.42578125" style="2" customWidth="1"/>
    <col min="7143" max="7143" width="14.85546875" style="2" customWidth="1"/>
    <col min="7144" max="7144" width="15" style="2" customWidth="1"/>
    <col min="7145" max="7145" width="14.85546875" style="2" customWidth="1"/>
    <col min="7146" max="7146" width="7.140625" style="2" customWidth="1"/>
    <col min="7147" max="7148" width="20.140625" style="2" customWidth="1"/>
    <col min="7149" max="7149" width="18.42578125" style="2" customWidth="1"/>
    <col min="7150" max="7150" width="9.140625" style="2" customWidth="1"/>
    <col min="7151" max="7151" width="12" style="2" customWidth="1"/>
    <col min="7152" max="7152" width="14.85546875" style="2" customWidth="1"/>
    <col min="7153" max="7153" width="22.42578125" style="2" customWidth="1"/>
    <col min="7154" max="7154" width="14.85546875" style="2" customWidth="1"/>
    <col min="7155" max="7155" width="7.140625" style="2" customWidth="1"/>
    <col min="7156" max="7156" width="20.140625" style="2" customWidth="1"/>
    <col min="7157" max="7388" width="8.85546875" style="2" customWidth="1"/>
    <col min="7389" max="7389" width="8.140625" style="2" customWidth="1"/>
    <col min="7390" max="7390" width="14.42578125" style="2" customWidth="1"/>
    <col min="7391" max="7391" width="37.42578125" style="2" customWidth="1"/>
    <col min="7392" max="7392" width="63.140625" style="2" customWidth="1"/>
    <col min="7393" max="7393" width="20" style="2" customWidth="1"/>
    <col min="7394" max="7394" width="11.140625" style="2" customWidth="1"/>
    <col min="7395" max="7395" width="10.85546875" style="2" customWidth="1"/>
    <col min="7396" max="7396" width="21" style="2" customWidth="1"/>
    <col min="7397" max="7397" width="10.85546875" style="2" customWidth="1"/>
    <col min="7398" max="7398" width="17.42578125" style="2" customWidth="1"/>
    <col min="7399" max="7399" width="14.85546875" style="2" customWidth="1"/>
    <col min="7400" max="7400" width="15" style="2" customWidth="1"/>
    <col min="7401" max="7401" width="14.85546875" style="2" customWidth="1"/>
    <col min="7402" max="7402" width="7.140625" style="2" customWidth="1"/>
    <col min="7403" max="7404" width="20.140625" style="2" customWidth="1"/>
    <col min="7405" max="7405" width="18.42578125" style="2" customWidth="1"/>
    <col min="7406" max="7406" width="9.140625" style="2" customWidth="1"/>
    <col min="7407" max="7407" width="12" style="2" customWidth="1"/>
    <col min="7408" max="7408" width="14.85546875" style="2" customWidth="1"/>
    <col min="7409" max="7409" width="22.42578125" style="2" customWidth="1"/>
    <col min="7410" max="7410" width="14.85546875" style="2" customWidth="1"/>
    <col min="7411" max="7411" width="7.140625" style="2" customWidth="1"/>
    <col min="7412" max="7412" width="20.140625" style="2" customWidth="1"/>
    <col min="7413" max="7644" width="8.85546875" style="2" customWidth="1"/>
    <col min="7645" max="7645" width="8.140625" style="2" customWidth="1"/>
    <col min="7646" max="7646" width="14.42578125" style="2" customWidth="1"/>
    <col min="7647" max="7647" width="37.42578125" style="2" customWidth="1"/>
    <col min="7648" max="7648" width="63.140625" style="2" customWidth="1"/>
    <col min="7649" max="7649" width="20" style="2" customWidth="1"/>
    <col min="7650" max="7650" width="11.140625" style="2" customWidth="1"/>
    <col min="7651" max="7651" width="10.85546875" style="2" customWidth="1"/>
    <col min="7652" max="7652" width="21" style="2" customWidth="1"/>
    <col min="7653" max="7653" width="10.85546875" style="2" customWidth="1"/>
    <col min="7654" max="7654" width="17.42578125" style="2" customWidth="1"/>
    <col min="7655" max="7655" width="14.85546875" style="2" customWidth="1"/>
    <col min="7656" max="7656" width="15" style="2" customWidth="1"/>
    <col min="7657" max="7657" width="14.85546875" style="2" customWidth="1"/>
    <col min="7658" max="7658" width="7.140625" style="2" customWidth="1"/>
    <col min="7659" max="7660" width="20.140625" style="2" customWidth="1"/>
    <col min="7661" max="7661" width="18.42578125" style="2" customWidth="1"/>
    <col min="7662" max="7662" width="9.140625" style="2" customWidth="1"/>
    <col min="7663" max="7663" width="12" style="2" customWidth="1"/>
    <col min="7664" max="7664" width="14.85546875" style="2" customWidth="1"/>
    <col min="7665" max="7665" width="22.42578125" style="2" customWidth="1"/>
    <col min="7666" max="7666" width="14.85546875" style="2" customWidth="1"/>
    <col min="7667" max="7667" width="7.140625" style="2" customWidth="1"/>
    <col min="7668" max="7668" width="20.140625" style="2" customWidth="1"/>
    <col min="7669" max="7900" width="8.85546875" style="2" customWidth="1"/>
    <col min="7901" max="7901" width="8.140625" style="2" customWidth="1"/>
    <col min="7902" max="7902" width="14.42578125" style="2" customWidth="1"/>
    <col min="7903" max="7903" width="37.42578125" style="2" customWidth="1"/>
    <col min="7904" max="7904" width="63.140625" style="2" customWidth="1"/>
    <col min="7905" max="7905" width="20" style="2" customWidth="1"/>
    <col min="7906" max="7906" width="11.140625" style="2" customWidth="1"/>
    <col min="7907" max="7907" width="10.85546875" style="2" customWidth="1"/>
    <col min="7908" max="7908" width="21" style="2" customWidth="1"/>
    <col min="7909" max="7909" width="10.85546875" style="2" customWidth="1"/>
    <col min="7910" max="7910" width="17.42578125" style="2" customWidth="1"/>
    <col min="7911" max="7911" width="14.85546875" style="2" customWidth="1"/>
    <col min="7912" max="7912" width="15" style="2" customWidth="1"/>
    <col min="7913" max="7913" width="14.85546875" style="2" customWidth="1"/>
    <col min="7914" max="7914" width="7.140625" style="2" customWidth="1"/>
    <col min="7915" max="7916" width="20.140625" style="2" customWidth="1"/>
    <col min="7917" max="7917" width="18.42578125" style="2" customWidth="1"/>
    <col min="7918" max="7918" width="9.140625" style="2" customWidth="1"/>
    <col min="7919" max="7919" width="12" style="2" customWidth="1"/>
    <col min="7920" max="7920" width="14.85546875" style="2" customWidth="1"/>
    <col min="7921" max="7921" width="22.42578125" style="2" customWidth="1"/>
    <col min="7922" max="7922" width="14.85546875" style="2" customWidth="1"/>
    <col min="7923" max="7923" width="7.140625" style="2" customWidth="1"/>
    <col min="7924" max="7924" width="20.140625" style="2" customWidth="1"/>
    <col min="7925" max="8156" width="8.85546875" style="2" customWidth="1"/>
    <col min="8157" max="8157" width="8.140625" style="2" customWidth="1"/>
    <col min="8158" max="8158" width="14.42578125" style="2" customWidth="1"/>
    <col min="8159" max="8159" width="37.42578125" style="2" customWidth="1"/>
    <col min="8160" max="8160" width="63.140625" style="2" customWidth="1"/>
    <col min="8161" max="8161" width="20" style="2" customWidth="1"/>
    <col min="8162" max="8162" width="11.140625" style="2" customWidth="1"/>
    <col min="8163" max="8163" width="10.85546875" style="2" customWidth="1"/>
    <col min="8164" max="8164" width="21" style="2" customWidth="1"/>
    <col min="8165" max="8165" width="10.85546875" style="2" customWidth="1"/>
    <col min="8166" max="8166" width="17.42578125" style="2" customWidth="1"/>
    <col min="8167" max="8167" width="14.85546875" style="2" customWidth="1"/>
    <col min="8168" max="8168" width="15" style="2" customWidth="1"/>
    <col min="8169" max="8169" width="14.85546875" style="2" customWidth="1"/>
    <col min="8170" max="8170" width="7.140625" style="2" customWidth="1"/>
    <col min="8171" max="8172" width="20.140625" style="2" customWidth="1"/>
    <col min="8173" max="8173" width="18.42578125" style="2" customWidth="1"/>
    <col min="8174" max="8174" width="9.140625" style="2" customWidth="1"/>
    <col min="8175" max="8175" width="12" style="2" customWidth="1"/>
    <col min="8176" max="8176" width="14.85546875" style="2" customWidth="1"/>
    <col min="8177" max="8177" width="22.42578125" style="2" customWidth="1"/>
    <col min="8178" max="8178" width="14.85546875" style="2" customWidth="1"/>
    <col min="8179" max="8179" width="7.140625" style="2" customWidth="1"/>
    <col min="8180" max="8180" width="20.140625" style="2" customWidth="1"/>
    <col min="8181" max="8412" width="8.85546875" style="2" customWidth="1"/>
    <col min="8413" max="8413" width="8.140625" style="2" customWidth="1"/>
    <col min="8414" max="8414" width="14.42578125" style="2" customWidth="1"/>
    <col min="8415" max="8415" width="37.42578125" style="2" customWidth="1"/>
    <col min="8416" max="8416" width="63.140625" style="2" customWidth="1"/>
    <col min="8417" max="8417" width="20" style="2" customWidth="1"/>
    <col min="8418" max="8418" width="11.140625" style="2" customWidth="1"/>
    <col min="8419" max="8419" width="10.85546875" style="2" customWidth="1"/>
    <col min="8420" max="8420" width="21" style="2" customWidth="1"/>
    <col min="8421" max="8421" width="10.85546875" style="2" customWidth="1"/>
    <col min="8422" max="8422" width="17.42578125" style="2" customWidth="1"/>
    <col min="8423" max="8423" width="14.85546875" style="2" customWidth="1"/>
    <col min="8424" max="8424" width="15" style="2" customWidth="1"/>
    <col min="8425" max="8425" width="14.85546875" style="2" customWidth="1"/>
    <col min="8426" max="8426" width="7.140625" style="2" customWidth="1"/>
    <col min="8427" max="8428" width="20.140625" style="2" customWidth="1"/>
    <col min="8429" max="8429" width="18.42578125" style="2" customWidth="1"/>
    <col min="8430" max="8430" width="9.140625" style="2" customWidth="1"/>
    <col min="8431" max="8431" width="12" style="2" customWidth="1"/>
    <col min="8432" max="8432" width="14.85546875" style="2" customWidth="1"/>
    <col min="8433" max="8433" width="22.42578125" style="2" customWidth="1"/>
    <col min="8434" max="8434" width="14.85546875" style="2" customWidth="1"/>
    <col min="8435" max="8435" width="7.140625" style="2" customWidth="1"/>
    <col min="8436" max="8436" width="20.140625" style="2" customWidth="1"/>
    <col min="8437" max="8668" width="8.85546875" style="2" customWidth="1"/>
    <col min="8669" max="8669" width="8.140625" style="2" customWidth="1"/>
    <col min="8670" max="8670" width="14.42578125" style="2" customWidth="1"/>
    <col min="8671" max="8671" width="37.42578125" style="2" customWidth="1"/>
    <col min="8672" max="8672" width="63.140625" style="2" customWidth="1"/>
    <col min="8673" max="8673" width="20" style="2" customWidth="1"/>
    <col min="8674" max="8674" width="11.140625" style="2" customWidth="1"/>
    <col min="8675" max="8675" width="10.85546875" style="2" customWidth="1"/>
    <col min="8676" max="8676" width="21" style="2" customWidth="1"/>
    <col min="8677" max="8677" width="10.85546875" style="2" customWidth="1"/>
    <col min="8678" max="8678" width="17.42578125" style="2" customWidth="1"/>
    <col min="8679" max="8679" width="14.85546875" style="2" customWidth="1"/>
    <col min="8680" max="8680" width="15" style="2" customWidth="1"/>
    <col min="8681" max="8681" width="14.85546875" style="2" customWidth="1"/>
    <col min="8682" max="8682" width="7.140625" style="2" customWidth="1"/>
    <col min="8683" max="8684" width="20.140625" style="2" customWidth="1"/>
    <col min="8685" max="8685" width="18.42578125" style="2" customWidth="1"/>
    <col min="8686" max="8686" width="9.140625" style="2" customWidth="1"/>
    <col min="8687" max="8687" width="12" style="2" customWidth="1"/>
    <col min="8688" max="8688" width="14.85546875" style="2" customWidth="1"/>
    <col min="8689" max="8689" width="22.42578125" style="2" customWidth="1"/>
    <col min="8690" max="8690" width="14.85546875" style="2" customWidth="1"/>
    <col min="8691" max="8691" width="7.140625" style="2" customWidth="1"/>
    <col min="8692" max="8692" width="20.140625" style="2" customWidth="1"/>
    <col min="8693" max="8924" width="8.85546875" style="2" customWidth="1"/>
    <col min="8925" max="8925" width="8.140625" style="2" customWidth="1"/>
    <col min="8926" max="8926" width="14.42578125" style="2" customWidth="1"/>
    <col min="8927" max="8927" width="37.42578125" style="2" customWidth="1"/>
    <col min="8928" max="8928" width="63.140625" style="2" customWidth="1"/>
    <col min="8929" max="8929" width="20" style="2" customWidth="1"/>
    <col min="8930" max="8930" width="11.140625" style="2" customWidth="1"/>
    <col min="8931" max="8931" width="10.85546875" style="2" customWidth="1"/>
    <col min="8932" max="8932" width="21" style="2" customWidth="1"/>
    <col min="8933" max="8933" width="10.85546875" style="2" customWidth="1"/>
    <col min="8934" max="8934" width="17.42578125" style="2" customWidth="1"/>
    <col min="8935" max="8935" width="14.85546875" style="2" customWidth="1"/>
    <col min="8936" max="8936" width="15" style="2" customWidth="1"/>
    <col min="8937" max="8937" width="14.85546875" style="2" customWidth="1"/>
    <col min="8938" max="8938" width="7.140625" style="2" customWidth="1"/>
    <col min="8939" max="8940" width="20.140625" style="2" customWidth="1"/>
    <col min="8941" max="8941" width="18.42578125" style="2" customWidth="1"/>
    <col min="8942" max="8942" width="9.140625" style="2" customWidth="1"/>
    <col min="8943" max="8943" width="12" style="2" customWidth="1"/>
    <col min="8944" max="8944" width="14.85546875" style="2" customWidth="1"/>
    <col min="8945" max="8945" width="22.42578125" style="2" customWidth="1"/>
    <col min="8946" max="8946" width="14.85546875" style="2" customWidth="1"/>
    <col min="8947" max="8947" width="7.140625" style="2" customWidth="1"/>
    <col min="8948" max="8948" width="20.140625" style="2" customWidth="1"/>
    <col min="8949" max="9180" width="8.85546875" style="2" customWidth="1"/>
    <col min="9181" max="9181" width="8.140625" style="2" customWidth="1"/>
    <col min="9182" max="9182" width="14.42578125" style="2" customWidth="1"/>
    <col min="9183" max="9183" width="37.42578125" style="2" customWidth="1"/>
    <col min="9184" max="9184" width="63.140625" style="2" customWidth="1"/>
    <col min="9185" max="9185" width="20" style="2" customWidth="1"/>
    <col min="9186" max="9186" width="11.140625" style="2" customWidth="1"/>
    <col min="9187" max="9187" width="10.85546875" style="2" customWidth="1"/>
    <col min="9188" max="9188" width="21" style="2" customWidth="1"/>
    <col min="9189" max="9189" width="10.85546875" style="2" customWidth="1"/>
    <col min="9190" max="9190" width="17.42578125" style="2" customWidth="1"/>
    <col min="9191" max="9191" width="14.85546875" style="2" customWidth="1"/>
    <col min="9192" max="9192" width="15" style="2" customWidth="1"/>
    <col min="9193" max="9193" width="14.85546875" style="2" customWidth="1"/>
    <col min="9194" max="9194" width="7.140625" style="2" customWidth="1"/>
    <col min="9195" max="9196" width="20.140625" style="2" customWidth="1"/>
    <col min="9197" max="9197" width="18.42578125" style="2" customWidth="1"/>
    <col min="9198" max="9198" width="9.140625" style="2" customWidth="1"/>
    <col min="9199" max="9199" width="12" style="2" customWidth="1"/>
    <col min="9200" max="9200" width="14.85546875" style="2" customWidth="1"/>
    <col min="9201" max="9201" width="22.42578125" style="2" customWidth="1"/>
    <col min="9202" max="9202" width="14.85546875" style="2" customWidth="1"/>
    <col min="9203" max="9203" width="7.140625" style="2" customWidth="1"/>
    <col min="9204" max="9204" width="20.140625" style="2" customWidth="1"/>
    <col min="9205" max="9436" width="8.85546875" style="2" customWidth="1"/>
    <col min="9437" max="9437" width="8.140625" style="2" customWidth="1"/>
    <col min="9438" max="9438" width="14.42578125" style="2" customWidth="1"/>
    <col min="9439" max="9439" width="37.42578125" style="2" customWidth="1"/>
    <col min="9440" max="9440" width="63.140625" style="2" customWidth="1"/>
    <col min="9441" max="9441" width="20" style="2" customWidth="1"/>
    <col min="9442" max="9442" width="11.140625" style="2" customWidth="1"/>
    <col min="9443" max="9443" width="10.85546875" style="2" customWidth="1"/>
    <col min="9444" max="9444" width="21" style="2" customWidth="1"/>
    <col min="9445" max="9445" width="10.85546875" style="2" customWidth="1"/>
    <col min="9446" max="9446" width="17.42578125" style="2" customWidth="1"/>
    <col min="9447" max="9447" width="14.85546875" style="2" customWidth="1"/>
    <col min="9448" max="9448" width="15" style="2" customWidth="1"/>
    <col min="9449" max="9449" width="14.85546875" style="2" customWidth="1"/>
    <col min="9450" max="9450" width="7.140625" style="2" customWidth="1"/>
    <col min="9451" max="9452" width="20.140625" style="2" customWidth="1"/>
    <col min="9453" max="9453" width="18.42578125" style="2" customWidth="1"/>
    <col min="9454" max="9454" width="9.140625" style="2" customWidth="1"/>
    <col min="9455" max="9455" width="12" style="2" customWidth="1"/>
    <col min="9456" max="9456" width="14.85546875" style="2" customWidth="1"/>
    <col min="9457" max="9457" width="22.42578125" style="2" customWidth="1"/>
    <col min="9458" max="9458" width="14.85546875" style="2" customWidth="1"/>
    <col min="9459" max="9459" width="7.140625" style="2" customWidth="1"/>
    <col min="9460" max="9460" width="20.140625" style="2" customWidth="1"/>
    <col min="9461" max="9692" width="8.85546875" style="2" customWidth="1"/>
    <col min="9693" max="9693" width="8.140625" style="2" customWidth="1"/>
    <col min="9694" max="9694" width="14.42578125" style="2" customWidth="1"/>
    <col min="9695" max="9695" width="37.42578125" style="2" customWidth="1"/>
    <col min="9696" max="9696" width="63.140625" style="2" customWidth="1"/>
    <col min="9697" max="9697" width="20" style="2" customWidth="1"/>
    <col min="9698" max="9698" width="11.140625" style="2" customWidth="1"/>
    <col min="9699" max="9699" width="10.85546875" style="2" customWidth="1"/>
    <col min="9700" max="9700" width="21" style="2" customWidth="1"/>
    <col min="9701" max="9701" width="10.85546875" style="2" customWidth="1"/>
    <col min="9702" max="9702" width="17.42578125" style="2" customWidth="1"/>
    <col min="9703" max="9703" width="14.85546875" style="2" customWidth="1"/>
    <col min="9704" max="9704" width="15" style="2" customWidth="1"/>
    <col min="9705" max="9705" width="14.85546875" style="2" customWidth="1"/>
    <col min="9706" max="9706" width="7.140625" style="2" customWidth="1"/>
    <col min="9707" max="9708" width="20.140625" style="2" customWidth="1"/>
    <col min="9709" max="9709" width="18.42578125" style="2" customWidth="1"/>
    <col min="9710" max="9710" width="9.140625" style="2" customWidth="1"/>
    <col min="9711" max="9711" width="12" style="2" customWidth="1"/>
    <col min="9712" max="9712" width="14.85546875" style="2" customWidth="1"/>
    <col min="9713" max="9713" width="22.42578125" style="2" customWidth="1"/>
    <col min="9714" max="9714" width="14.85546875" style="2" customWidth="1"/>
    <col min="9715" max="9715" width="7.140625" style="2" customWidth="1"/>
    <col min="9716" max="9716" width="20.140625" style="2" customWidth="1"/>
    <col min="9717" max="9948" width="8.85546875" style="2" customWidth="1"/>
    <col min="9949" max="9949" width="8.140625" style="2" customWidth="1"/>
    <col min="9950" max="9950" width="14.42578125" style="2" customWidth="1"/>
    <col min="9951" max="9951" width="37.42578125" style="2" customWidth="1"/>
    <col min="9952" max="9952" width="63.140625" style="2" customWidth="1"/>
    <col min="9953" max="9953" width="20" style="2" customWidth="1"/>
    <col min="9954" max="9954" width="11.140625" style="2" customWidth="1"/>
    <col min="9955" max="9955" width="10.85546875" style="2" customWidth="1"/>
    <col min="9956" max="9956" width="21" style="2" customWidth="1"/>
    <col min="9957" max="9957" width="10.85546875" style="2" customWidth="1"/>
    <col min="9958" max="9958" width="17.42578125" style="2" customWidth="1"/>
    <col min="9959" max="9959" width="14.85546875" style="2" customWidth="1"/>
    <col min="9960" max="9960" width="15" style="2" customWidth="1"/>
    <col min="9961" max="9961" width="14.85546875" style="2" customWidth="1"/>
    <col min="9962" max="9962" width="7.140625" style="2" customWidth="1"/>
    <col min="9963" max="9964" width="20.140625" style="2" customWidth="1"/>
    <col min="9965" max="9965" width="18.42578125" style="2" customWidth="1"/>
    <col min="9966" max="9966" width="9.140625" style="2" customWidth="1"/>
    <col min="9967" max="9967" width="12" style="2" customWidth="1"/>
    <col min="9968" max="9968" width="14.85546875" style="2" customWidth="1"/>
    <col min="9969" max="9969" width="22.42578125" style="2" customWidth="1"/>
    <col min="9970" max="9970" width="14.85546875" style="2" customWidth="1"/>
    <col min="9971" max="9971" width="7.140625" style="2" customWidth="1"/>
    <col min="9972" max="9972" width="20.140625" style="2" customWidth="1"/>
    <col min="9973" max="10204" width="8.85546875" style="2" customWidth="1"/>
    <col min="10205" max="10205" width="8.140625" style="2" customWidth="1"/>
    <col min="10206" max="10206" width="14.42578125" style="2" customWidth="1"/>
    <col min="10207" max="10207" width="37.42578125" style="2" customWidth="1"/>
    <col min="10208" max="10208" width="63.140625" style="2" customWidth="1"/>
    <col min="10209" max="10209" width="20" style="2" customWidth="1"/>
    <col min="10210" max="10210" width="11.140625" style="2" customWidth="1"/>
    <col min="10211" max="10211" width="10.85546875" style="2" customWidth="1"/>
    <col min="10212" max="10212" width="21" style="2" customWidth="1"/>
    <col min="10213" max="10213" width="10.85546875" style="2" customWidth="1"/>
    <col min="10214" max="10214" width="17.42578125" style="2" customWidth="1"/>
    <col min="10215" max="10215" width="14.85546875" style="2" customWidth="1"/>
    <col min="10216" max="10216" width="15" style="2" customWidth="1"/>
    <col min="10217" max="10217" width="14.85546875" style="2" customWidth="1"/>
    <col min="10218" max="10218" width="7.140625" style="2" customWidth="1"/>
    <col min="10219" max="10220" width="20.140625" style="2" customWidth="1"/>
    <col min="10221" max="10221" width="18.42578125" style="2" customWidth="1"/>
    <col min="10222" max="10222" width="9.140625" style="2" customWidth="1"/>
    <col min="10223" max="10223" width="12" style="2" customWidth="1"/>
    <col min="10224" max="10224" width="14.85546875" style="2" customWidth="1"/>
    <col min="10225" max="10225" width="22.42578125" style="2" customWidth="1"/>
    <col min="10226" max="10226" width="14.85546875" style="2" customWidth="1"/>
    <col min="10227" max="10227" width="7.140625" style="2" customWidth="1"/>
    <col min="10228" max="10228" width="20.140625" style="2" customWidth="1"/>
    <col min="10229" max="10460" width="8.85546875" style="2" customWidth="1"/>
    <col min="10461" max="10461" width="8.140625" style="2" customWidth="1"/>
    <col min="10462" max="10462" width="14.42578125" style="2" customWidth="1"/>
    <col min="10463" max="10463" width="37.42578125" style="2" customWidth="1"/>
    <col min="10464" max="10464" width="63.140625" style="2" customWidth="1"/>
    <col min="10465" max="10465" width="20" style="2" customWidth="1"/>
    <col min="10466" max="10466" width="11.140625" style="2" customWidth="1"/>
    <col min="10467" max="10467" width="10.85546875" style="2" customWidth="1"/>
    <col min="10468" max="10468" width="21" style="2" customWidth="1"/>
    <col min="10469" max="10469" width="10.85546875" style="2" customWidth="1"/>
    <col min="10470" max="10470" width="17.42578125" style="2" customWidth="1"/>
    <col min="10471" max="10471" width="14.85546875" style="2" customWidth="1"/>
    <col min="10472" max="10472" width="15" style="2" customWidth="1"/>
    <col min="10473" max="10473" width="14.85546875" style="2" customWidth="1"/>
    <col min="10474" max="10474" width="7.140625" style="2" customWidth="1"/>
    <col min="10475" max="10476" width="20.140625" style="2" customWidth="1"/>
    <col min="10477" max="10477" width="18.42578125" style="2" customWidth="1"/>
    <col min="10478" max="10478" width="9.140625" style="2" customWidth="1"/>
    <col min="10479" max="10479" width="12" style="2" customWidth="1"/>
    <col min="10480" max="10480" width="14.85546875" style="2" customWidth="1"/>
    <col min="10481" max="10481" width="22.42578125" style="2" customWidth="1"/>
    <col min="10482" max="10482" width="14.85546875" style="2" customWidth="1"/>
    <col min="10483" max="10483" width="7.140625" style="2" customWidth="1"/>
    <col min="10484" max="10484" width="20.140625" style="2" customWidth="1"/>
    <col min="10485" max="10716" width="8.85546875" style="2" customWidth="1"/>
    <col min="10717" max="10717" width="8.140625" style="2" customWidth="1"/>
    <col min="10718" max="10718" width="14.42578125" style="2" customWidth="1"/>
    <col min="10719" max="10719" width="37.42578125" style="2" customWidth="1"/>
    <col min="10720" max="10720" width="63.140625" style="2" customWidth="1"/>
    <col min="10721" max="10721" width="20" style="2" customWidth="1"/>
    <col min="10722" max="10722" width="11.140625" style="2" customWidth="1"/>
    <col min="10723" max="10723" width="10.85546875" style="2" customWidth="1"/>
    <col min="10724" max="10724" width="21" style="2" customWidth="1"/>
    <col min="10725" max="10725" width="10.85546875" style="2" customWidth="1"/>
    <col min="10726" max="10726" width="17.42578125" style="2" customWidth="1"/>
    <col min="10727" max="10727" width="14.85546875" style="2" customWidth="1"/>
    <col min="10728" max="10728" width="15" style="2" customWidth="1"/>
    <col min="10729" max="10729" width="14.85546875" style="2" customWidth="1"/>
    <col min="10730" max="10730" width="7.140625" style="2" customWidth="1"/>
    <col min="10731" max="10732" width="20.140625" style="2" customWidth="1"/>
    <col min="10733" max="10733" width="18.42578125" style="2" customWidth="1"/>
    <col min="10734" max="10734" width="9.140625" style="2" customWidth="1"/>
    <col min="10735" max="10735" width="12" style="2" customWidth="1"/>
    <col min="10736" max="10736" width="14.85546875" style="2" customWidth="1"/>
    <col min="10737" max="10737" width="22.42578125" style="2" customWidth="1"/>
    <col min="10738" max="10738" width="14.85546875" style="2" customWidth="1"/>
    <col min="10739" max="10739" width="7.140625" style="2" customWidth="1"/>
    <col min="10740" max="10740" width="20.140625" style="2" customWidth="1"/>
    <col min="10741" max="10972" width="8.85546875" style="2" customWidth="1"/>
    <col min="10973" max="10973" width="8.140625" style="2" customWidth="1"/>
    <col min="10974" max="10974" width="14.42578125" style="2" customWidth="1"/>
    <col min="10975" max="10975" width="37.42578125" style="2" customWidth="1"/>
    <col min="10976" max="10976" width="63.140625" style="2" customWidth="1"/>
    <col min="10977" max="10977" width="20" style="2" customWidth="1"/>
    <col min="10978" max="10978" width="11.140625" style="2" customWidth="1"/>
    <col min="10979" max="10979" width="10.85546875" style="2" customWidth="1"/>
    <col min="10980" max="10980" width="21" style="2" customWidth="1"/>
    <col min="10981" max="10981" width="10.85546875" style="2" customWidth="1"/>
    <col min="10982" max="10982" width="17.42578125" style="2" customWidth="1"/>
    <col min="10983" max="10983" width="14.85546875" style="2" customWidth="1"/>
    <col min="10984" max="10984" width="15" style="2" customWidth="1"/>
    <col min="10985" max="10985" width="14.85546875" style="2" customWidth="1"/>
    <col min="10986" max="10986" width="7.140625" style="2" customWidth="1"/>
    <col min="10987" max="10988" width="20.140625" style="2" customWidth="1"/>
    <col min="10989" max="10989" width="18.42578125" style="2" customWidth="1"/>
    <col min="10990" max="10990" width="9.140625" style="2" customWidth="1"/>
    <col min="10991" max="10991" width="12" style="2" customWidth="1"/>
    <col min="10992" max="10992" width="14.85546875" style="2" customWidth="1"/>
    <col min="10993" max="10993" width="22.42578125" style="2" customWidth="1"/>
    <col min="10994" max="10994" width="14.85546875" style="2" customWidth="1"/>
    <col min="10995" max="10995" width="7.140625" style="2" customWidth="1"/>
    <col min="10996" max="10996" width="20.140625" style="2" customWidth="1"/>
    <col min="10997" max="11228" width="8.85546875" style="2" customWidth="1"/>
    <col min="11229" max="11229" width="8.140625" style="2" customWidth="1"/>
    <col min="11230" max="11230" width="14.42578125" style="2" customWidth="1"/>
    <col min="11231" max="11231" width="37.42578125" style="2" customWidth="1"/>
    <col min="11232" max="11232" width="63.140625" style="2" customWidth="1"/>
    <col min="11233" max="11233" width="20" style="2" customWidth="1"/>
    <col min="11234" max="11234" width="11.140625" style="2" customWidth="1"/>
    <col min="11235" max="11235" width="10.85546875" style="2" customWidth="1"/>
    <col min="11236" max="11236" width="21" style="2" customWidth="1"/>
    <col min="11237" max="11237" width="10.85546875" style="2" customWidth="1"/>
    <col min="11238" max="11238" width="17.42578125" style="2" customWidth="1"/>
    <col min="11239" max="11239" width="14.85546875" style="2" customWidth="1"/>
    <col min="11240" max="11240" width="15" style="2" customWidth="1"/>
    <col min="11241" max="11241" width="14.85546875" style="2" customWidth="1"/>
    <col min="11242" max="11242" width="7.140625" style="2" customWidth="1"/>
    <col min="11243" max="11244" width="20.140625" style="2" customWidth="1"/>
    <col min="11245" max="11245" width="18.42578125" style="2" customWidth="1"/>
    <col min="11246" max="11246" width="9.140625" style="2" customWidth="1"/>
    <col min="11247" max="11247" width="12" style="2" customWidth="1"/>
    <col min="11248" max="11248" width="14.85546875" style="2" customWidth="1"/>
    <col min="11249" max="11249" width="22.42578125" style="2" customWidth="1"/>
    <col min="11250" max="11250" width="14.85546875" style="2" customWidth="1"/>
    <col min="11251" max="11251" width="7.140625" style="2" customWidth="1"/>
    <col min="11252" max="11252" width="20.140625" style="2" customWidth="1"/>
    <col min="11253" max="11484" width="8.85546875" style="2" customWidth="1"/>
    <col min="11485" max="11485" width="8.140625" style="2" customWidth="1"/>
    <col min="11486" max="11486" width="14.42578125" style="2" customWidth="1"/>
    <col min="11487" max="11487" width="37.42578125" style="2" customWidth="1"/>
    <col min="11488" max="11488" width="63.140625" style="2" customWidth="1"/>
    <col min="11489" max="11489" width="20" style="2" customWidth="1"/>
    <col min="11490" max="11490" width="11.140625" style="2" customWidth="1"/>
    <col min="11491" max="11491" width="10.85546875" style="2" customWidth="1"/>
    <col min="11492" max="11492" width="21" style="2" customWidth="1"/>
    <col min="11493" max="11493" width="10.85546875" style="2" customWidth="1"/>
    <col min="11494" max="11494" width="17.42578125" style="2" customWidth="1"/>
    <col min="11495" max="11495" width="14.85546875" style="2" customWidth="1"/>
    <col min="11496" max="11496" width="15" style="2" customWidth="1"/>
    <col min="11497" max="11497" width="14.85546875" style="2" customWidth="1"/>
    <col min="11498" max="11498" width="7.140625" style="2" customWidth="1"/>
    <col min="11499" max="11500" width="20.140625" style="2" customWidth="1"/>
    <col min="11501" max="11501" width="18.42578125" style="2" customWidth="1"/>
    <col min="11502" max="11502" width="9.140625" style="2" customWidth="1"/>
    <col min="11503" max="11503" width="12" style="2" customWidth="1"/>
    <col min="11504" max="11504" width="14.85546875" style="2" customWidth="1"/>
    <col min="11505" max="11505" width="22.42578125" style="2" customWidth="1"/>
    <col min="11506" max="11506" width="14.85546875" style="2" customWidth="1"/>
    <col min="11507" max="11507" width="7.140625" style="2" customWidth="1"/>
    <col min="11508" max="11508" width="20.140625" style="2" customWidth="1"/>
    <col min="11509" max="11740" width="8.85546875" style="2" customWidth="1"/>
    <col min="11741" max="11741" width="8.140625" style="2" customWidth="1"/>
    <col min="11742" max="11742" width="14.42578125" style="2" customWidth="1"/>
    <col min="11743" max="11743" width="37.42578125" style="2" customWidth="1"/>
    <col min="11744" max="11744" width="63.140625" style="2" customWidth="1"/>
    <col min="11745" max="11745" width="20" style="2" customWidth="1"/>
    <col min="11746" max="11746" width="11.140625" style="2" customWidth="1"/>
    <col min="11747" max="11747" width="10.85546875" style="2" customWidth="1"/>
    <col min="11748" max="11748" width="21" style="2" customWidth="1"/>
    <col min="11749" max="11749" width="10.85546875" style="2" customWidth="1"/>
    <col min="11750" max="11750" width="17.42578125" style="2" customWidth="1"/>
    <col min="11751" max="11751" width="14.85546875" style="2" customWidth="1"/>
    <col min="11752" max="11752" width="15" style="2" customWidth="1"/>
    <col min="11753" max="11753" width="14.85546875" style="2" customWidth="1"/>
    <col min="11754" max="11754" width="7.140625" style="2" customWidth="1"/>
    <col min="11755" max="11756" width="20.140625" style="2" customWidth="1"/>
    <col min="11757" max="11757" width="18.42578125" style="2" customWidth="1"/>
    <col min="11758" max="11758" width="9.140625" style="2" customWidth="1"/>
    <col min="11759" max="11759" width="12" style="2" customWidth="1"/>
    <col min="11760" max="11760" width="14.85546875" style="2" customWidth="1"/>
    <col min="11761" max="11761" width="22.42578125" style="2" customWidth="1"/>
    <col min="11762" max="11762" width="14.85546875" style="2" customWidth="1"/>
    <col min="11763" max="11763" width="7.140625" style="2" customWidth="1"/>
    <col min="11764" max="11764" width="20.140625" style="2" customWidth="1"/>
    <col min="11765" max="11996" width="8.85546875" style="2" customWidth="1"/>
    <col min="11997" max="11997" width="8.140625" style="2" customWidth="1"/>
    <col min="11998" max="11998" width="14.42578125" style="2" customWidth="1"/>
    <col min="11999" max="11999" width="37.42578125" style="2" customWidth="1"/>
    <col min="12000" max="12000" width="63.140625" style="2" customWidth="1"/>
    <col min="12001" max="12001" width="20" style="2" customWidth="1"/>
    <col min="12002" max="12002" width="11.140625" style="2" customWidth="1"/>
    <col min="12003" max="12003" width="10.85546875" style="2" customWidth="1"/>
    <col min="12004" max="12004" width="21" style="2" customWidth="1"/>
    <col min="12005" max="12005" width="10.85546875" style="2" customWidth="1"/>
    <col min="12006" max="12006" width="17.42578125" style="2" customWidth="1"/>
    <col min="12007" max="12007" width="14.85546875" style="2" customWidth="1"/>
    <col min="12008" max="12008" width="15" style="2" customWidth="1"/>
    <col min="12009" max="12009" width="14.85546875" style="2" customWidth="1"/>
    <col min="12010" max="12010" width="7.140625" style="2" customWidth="1"/>
    <col min="12011" max="12012" width="20.140625" style="2" customWidth="1"/>
    <col min="12013" max="12013" width="18.42578125" style="2" customWidth="1"/>
    <col min="12014" max="12014" width="9.140625" style="2" customWidth="1"/>
    <col min="12015" max="12015" width="12" style="2" customWidth="1"/>
    <col min="12016" max="12016" width="14.85546875" style="2" customWidth="1"/>
    <col min="12017" max="12017" width="22.42578125" style="2" customWidth="1"/>
    <col min="12018" max="12018" width="14.85546875" style="2" customWidth="1"/>
    <col min="12019" max="12019" width="7.140625" style="2" customWidth="1"/>
    <col min="12020" max="12020" width="20.140625" style="2" customWidth="1"/>
    <col min="12021" max="12252" width="8.85546875" style="2" customWidth="1"/>
    <col min="12253" max="12253" width="8.140625" style="2" customWidth="1"/>
    <col min="12254" max="12254" width="14.42578125" style="2" customWidth="1"/>
    <col min="12255" max="12255" width="37.42578125" style="2" customWidth="1"/>
    <col min="12256" max="12256" width="63.140625" style="2" customWidth="1"/>
    <col min="12257" max="12257" width="20" style="2" customWidth="1"/>
    <col min="12258" max="12258" width="11.140625" style="2" customWidth="1"/>
    <col min="12259" max="12259" width="10.85546875" style="2" customWidth="1"/>
    <col min="12260" max="12260" width="21" style="2" customWidth="1"/>
    <col min="12261" max="12261" width="10.85546875" style="2" customWidth="1"/>
    <col min="12262" max="12262" width="17.42578125" style="2" customWidth="1"/>
    <col min="12263" max="12263" width="14.85546875" style="2" customWidth="1"/>
    <col min="12264" max="12264" width="15" style="2" customWidth="1"/>
    <col min="12265" max="12265" width="14.85546875" style="2" customWidth="1"/>
    <col min="12266" max="12266" width="7.140625" style="2" customWidth="1"/>
    <col min="12267" max="12268" width="20.140625" style="2" customWidth="1"/>
    <col min="12269" max="12269" width="18.42578125" style="2" customWidth="1"/>
    <col min="12270" max="12270" width="9.140625" style="2" customWidth="1"/>
    <col min="12271" max="12271" width="12" style="2" customWidth="1"/>
    <col min="12272" max="12272" width="14.85546875" style="2" customWidth="1"/>
    <col min="12273" max="12273" width="22.42578125" style="2" customWidth="1"/>
    <col min="12274" max="12274" width="14.85546875" style="2" customWidth="1"/>
    <col min="12275" max="12275" width="7.140625" style="2" customWidth="1"/>
    <col min="12276" max="12276" width="20.140625" style="2" customWidth="1"/>
    <col min="12277" max="12508" width="8.85546875" style="2" customWidth="1"/>
    <col min="12509" max="12509" width="8.140625" style="2" customWidth="1"/>
    <col min="12510" max="12510" width="14.42578125" style="2" customWidth="1"/>
    <col min="12511" max="12511" width="37.42578125" style="2" customWidth="1"/>
    <col min="12512" max="12512" width="63.140625" style="2" customWidth="1"/>
    <col min="12513" max="12513" width="20" style="2" customWidth="1"/>
    <col min="12514" max="12514" width="11.140625" style="2" customWidth="1"/>
    <col min="12515" max="12515" width="10.85546875" style="2" customWidth="1"/>
    <col min="12516" max="12516" width="21" style="2" customWidth="1"/>
    <col min="12517" max="12517" width="10.85546875" style="2" customWidth="1"/>
    <col min="12518" max="12518" width="17.42578125" style="2" customWidth="1"/>
    <col min="12519" max="12519" width="14.85546875" style="2" customWidth="1"/>
    <col min="12520" max="12520" width="15" style="2" customWidth="1"/>
    <col min="12521" max="12521" width="14.85546875" style="2" customWidth="1"/>
    <col min="12522" max="12522" width="7.140625" style="2" customWidth="1"/>
    <col min="12523" max="12524" width="20.140625" style="2" customWidth="1"/>
    <col min="12525" max="12525" width="18.42578125" style="2" customWidth="1"/>
    <col min="12526" max="12526" width="9.140625" style="2" customWidth="1"/>
    <col min="12527" max="12527" width="12" style="2" customWidth="1"/>
    <col min="12528" max="12528" width="14.85546875" style="2" customWidth="1"/>
    <col min="12529" max="12529" width="22.42578125" style="2" customWidth="1"/>
    <col min="12530" max="12530" width="14.85546875" style="2" customWidth="1"/>
    <col min="12531" max="12531" width="7.140625" style="2" customWidth="1"/>
    <col min="12532" max="12532" width="20.140625" style="2" customWidth="1"/>
    <col min="12533" max="12764" width="8.85546875" style="2" customWidth="1"/>
    <col min="12765" max="12765" width="8.140625" style="2" customWidth="1"/>
    <col min="12766" max="12766" width="14.42578125" style="2" customWidth="1"/>
    <col min="12767" max="12767" width="37.42578125" style="2" customWidth="1"/>
    <col min="12768" max="12768" width="63.140625" style="2" customWidth="1"/>
    <col min="12769" max="12769" width="20" style="2" customWidth="1"/>
    <col min="12770" max="12770" width="11.140625" style="2" customWidth="1"/>
    <col min="12771" max="12771" width="10.85546875" style="2" customWidth="1"/>
    <col min="12772" max="12772" width="21" style="2" customWidth="1"/>
    <col min="12773" max="12773" width="10.85546875" style="2" customWidth="1"/>
    <col min="12774" max="12774" width="17.42578125" style="2" customWidth="1"/>
    <col min="12775" max="12775" width="14.85546875" style="2" customWidth="1"/>
    <col min="12776" max="12776" width="15" style="2" customWidth="1"/>
    <col min="12777" max="12777" width="14.85546875" style="2" customWidth="1"/>
    <col min="12778" max="12778" width="7.140625" style="2" customWidth="1"/>
    <col min="12779" max="12780" width="20.140625" style="2" customWidth="1"/>
    <col min="12781" max="12781" width="18.42578125" style="2" customWidth="1"/>
    <col min="12782" max="12782" width="9.140625" style="2" customWidth="1"/>
    <col min="12783" max="12783" width="12" style="2" customWidth="1"/>
    <col min="12784" max="12784" width="14.85546875" style="2" customWidth="1"/>
    <col min="12785" max="12785" width="22.42578125" style="2" customWidth="1"/>
    <col min="12786" max="12786" width="14.85546875" style="2" customWidth="1"/>
    <col min="12787" max="12787" width="7.140625" style="2" customWidth="1"/>
    <col min="12788" max="12788" width="20.140625" style="2" customWidth="1"/>
    <col min="12789" max="13020" width="8.85546875" style="2" customWidth="1"/>
    <col min="13021" max="13021" width="8.140625" style="2" customWidth="1"/>
    <col min="13022" max="13022" width="14.42578125" style="2" customWidth="1"/>
    <col min="13023" max="13023" width="37.42578125" style="2" customWidth="1"/>
    <col min="13024" max="13024" width="63.140625" style="2" customWidth="1"/>
    <col min="13025" max="13025" width="20" style="2" customWidth="1"/>
    <col min="13026" max="13026" width="11.140625" style="2" customWidth="1"/>
    <col min="13027" max="13027" width="10.85546875" style="2" customWidth="1"/>
    <col min="13028" max="13028" width="21" style="2" customWidth="1"/>
    <col min="13029" max="13029" width="10.85546875" style="2" customWidth="1"/>
    <col min="13030" max="13030" width="17.42578125" style="2" customWidth="1"/>
    <col min="13031" max="13031" width="14.85546875" style="2" customWidth="1"/>
    <col min="13032" max="13032" width="15" style="2" customWidth="1"/>
    <col min="13033" max="13033" width="14.85546875" style="2" customWidth="1"/>
    <col min="13034" max="13034" width="7.140625" style="2" customWidth="1"/>
    <col min="13035" max="13036" width="20.140625" style="2" customWidth="1"/>
    <col min="13037" max="13037" width="18.42578125" style="2" customWidth="1"/>
    <col min="13038" max="13038" width="9.140625" style="2" customWidth="1"/>
    <col min="13039" max="13039" width="12" style="2" customWidth="1"/>
    <col min="13040" max="13040" width="14.85546875" style="2" customWidth="1"/>
    <col min="13041" max="13041" width="22.42578125" style="2" customWidth="1"/>
    <col min="13042" max="13042" width="14.85546875" style="2" customWidth="1"/>
    <col min="13043" max="13043" width="7.140625" style="2" customWidth="1"/>
    <col min="13044" max="13044" width="20.140625" style="2" customWidth="1"/>
    <col min="13045" max="13276" width="8.85546875" style="2" customWidth="1"/>
    <col min="13277" max="13277" width="8.140625" style="2" customWidth="1"/>
    <col min="13278" max="13278" width="14.42578125" style="2" customWidth="1"/>
    <col min="13279" max="13279" width="37.42578125" style="2" customWidth="1"/>
    <col min="13280" max="13280" width="63.140625" style="2" customWidth="1"/>
    <col min="13281" max="13281" width="20" style="2" customWidth="1"/>
    <col min="13282" max="13282" width="11.140625" style="2" customWidth="1"/>
    <col min="13283" max="13283" width="10.85546875" style="2" customWidth="1"/>
    <col min="13284" max="13284" width="21" style="2" customWidth="1"/>
    <col min="13285" max="13285" width="10.85546875" style="2" customWidth="1"/>
    <col min="13286" max="13286" width="17.42578125" style="2" customWidth="1"/>
    <col min="13287" max="13287" width="14.85546875" style="2" customWidth="1"/>
    <col min="13288" max="13288" width="15" style="2" customWidth="1"/>
    <col min="13289" max="13289" width="14.85546875" style="2" customWidth="1"/>
    <col min="13290" max="13290" width="7.140625" style="2" customWidth="1"/>
    <col min="13291" max="13292" width="20.140625" style="2" customWidth="1"/>
    <col min="13293" max="13293" width="18.42578125" style="2" customWidth="1"/>
    <col min="13294" max="13294" width="9.140625" style="2" customWidth="1"/>
    <col min="13295" max="13295" width="12" style="2" customWidth="1"/>
    <col min="13296" max="13296" width="14.85546875" style="2" customWidth="1"/>
    <col min="13297" max="13297" width="22.42578125" style="2" customWidth="1"/>
    <col min="13298" max="13298" width="14.85546875" style="2" customWidth="1"/>
    <col min="13299" max="13299" width="7.140625" style="2" customWidth="1"/>
    <col min="13300" max="13300" width="20.140625" style="2" customWidth="1"/>
    <col min="13301" max="13532" width="8.85546875" style="2" customWidth="1"/>
    <col min="13533" max="13533" width="8.140625" style="2" customWidth="1"/>
    <col min="13534" max="13534" width="14.42578125" style="2" customWidth="1"/>
    <col min="13535" max="13535" width="37.42578125" style="2" customWidth="1"/>
    <col min="13536" max="13536" width="63.140625" style="2" customWidth="1"/>
    <col min="13537" max="13537" width="20" style="2" customWidth="1"/>
    <col min="13538" max="13538" width="11.140625" style="2" customWidth="1"/>
    <col min="13539" max="13539" width="10.85546875" style="2" customWidth="1"/>
    <col min="13540" max="13540" width="21" style="2" customWidth="1"/>
    <col min="13541" max="13541" width="10.85546875" style="2" customWidth="1"/>
    <col min="13542" max="13542" width="17.42578125" style="2" customWidth="1"/>
    <col min="13543" max="13543" width="14.85546875" style="2" customWidth="1"/>
    <col min="13544" max="13544" width="15" style="2" customWidth="1"/>
    <col min="13545" max="13545" width="14.85546875" style="2" customWidth="1"/>
    <col min="13546" max="13546" width="7.140625" style="2" customWidth="1"/>
    <col min="13547" max="13548" width="20.140625" style="2" customWidth="1"/>
    <col min="13549" max="13549" width="18.42578125" style="2" customWidth="1"/>
    <col min="13550" max="13550" width="9.140625" style="2" customWidth="1"/>
    <col min="13551" max="13551" width="12" style="2" customWidth="1"/>
    <col min="13552" max="13552" width="14.85546875" style="2" customWidth="1"/>
    <col min="13553" max="13553" width="22.42578125" style="2" customWidth="1"/>
    <col min="13554" max="13554" width="14.85546875" style="2" customWidth="1"/>
    <col min="13555" max="13555" width="7.140625" style="2" customWidth="1"/>
    <col min="13556" max="13556" width="20.140625" style="2" customWidth="1"/>
    <col min="13557" max="13788" width="8.85546875" style="2" customWidth="1"/>
    <col min="13789" max="13789" width="8.140625" style="2" customWidth="1"/>
    <col min="13790" max="13790" width="14.42578125" style="2" customWidth="1"/>
    <col min="13791" max="13791" width="37.42578125" style="2" customWidth="1"/>
    <col min="13792" max="13792" width="63.140625" style="2" customWidth="1"/>
    <col min="13793" max="13793" width="20" style="2" customWidth="1"/>
    <col min="13794" max="13794" width="11.140625" style="2" customWidth="1"/>
    <col min="13795" max="13795" width="10.85546875" style="2" customWidth="1"/>
    <col min="13796" max="13796" width="21" style="2" customWidth="1"/>
    <col min="13797" max="13797" width="10.85546875" style="2" customWidth="1"/>
    <col min="13798" max="13798" width="17.42578125" style="2" customWidth="1"/>
    <col min="13799" max="13799" width="14.85546875" style="2" customWidth="1"/>
    <col min="13800" max="13800" width="15" style="2" customWidth="1"/>
    <col min="13801" max="13801" width="14.85546875" style="2" customWidth="1"/>
    <col min="13802" max="13802" width="7.140625" style="2" customWidth="1"/>
    <col min="13803" max="13804" width="20.140625" style="2" customWidth="1"/>
    <col min="13805" max="13805" width="18.42578125" style="2" customWidth="1"/>
    <col min="13806" max="13806" width="9.140625" style="2" customWidth="1"/>
    <col min="13807" max="13807" width="12" style="2" customWidth="1"/>
    <col min="13808" max="13808" width="14.85546875" style="2" customWidth="1"/>
    <col min="13809" max="13809" width="22.42578125" style="2" customWidth="1"/>
    <col min="13810" max="13810" width="14.85546875" style="2" customWidth="1"/>
    <col min="13811" max="13811" width="7.140625" style="2" customWidth="1"/>
    <col min="13812" max="13812" width="20.140625" style="2" customWidth="1"/>
    <col min="13813" max="14044" width="8.85546875" style="2" customWidth="1"/>
    <col min="14045" max="14045" width="8.140625" style="2" customWidth="1"/>
    <col min="14046" max="14046" width="14.42578125" style="2" customWidth="1"/>
    <col min="14047" max="14047" width="37.42578125" style="2" customWidth="1"/>
    <col min="14048" max="14048" width="63.140625" style="2" customWidth="1"/>
    <col min="14049" max="14049" width="20" style="2" customWidth="1"/>
    <col min="14050" max="14050" width="11.140625" style="2" customWidth="1"/>
    <col min="14051" max="14051" width="10.85546875" style="2" customWidth="1"/>
    <col min="14052" max="14052" width="21" style="2" customWidth="1"/>
    <col min="14053" max="14053" width="10.85546875" style="2" customWidth="1"/>
    <col min="14054" max="14054" width="17.42578125" style="2" customWidth="1"/>
    <col min="14055" max="14055" width="14.85546875" style="2" customWidth="1"/>
    <col min="14056" max="14056" width="15" style="2" customWidth="1"/>
    <col min="14057" max="14057" width="14.85546875" style="2" customWidth="1"/>
    <col min="14058" max="14058" width="7.140625" style="2" customWidth="1"/>
    <col min="14059" max="14060" width="20.140625" style="2" customWidth="1"/>
    <col min="14061" max="14061" width="18.42578125" style="2" customWidth="1"/>
    <col min="14062" max="14062" width="9.140625" style="2" customWidth="1"/>
    <col min="14063" max="14063" width="12" style="2" customWidth="1"/>
    <col min="14064" max="14064" width="14.85546875" style="2" customWidth="1"/>
    <col min="14065" max="14065" width="22.42578125" style="2" customWidth="1"/>
    <col min="14066" max="14066" width="14.85546875" style="2" customWidth="1"/>
    <col min="14067" max="14067" width="7.140625" style="2" customWidth="1"/>
    <col min="14068" max="14068" width="20.140625" style="2" customWidth="1"/>
    <col min="14069" max="14300" width="8.85546875" style="2" customWidth="1"/>
    <col min="14301" max="14301" width="8.140625" style="2" customWidth="1"/>
    <col min="14302" max="14302" width="14.42578125" style="2" customWidth="1"/>
    <col min="14303" max="14303" width="37.42578125" style="2" customWidth="1"/>
    <col min="14304" max="14304" width="63.140625" style="2" customWidth="1"/>
    <col min="14305" max="14305" width="20" style="2" customWidth="1"/>
    <col min="14306" max="14306" width="11.140625" style="2" customWidth="1"/>
    <col min="14307" max="14307" width="10.85546875" style="2" customWidth="1"/>
    <col min="14308" max="14308" width="21" style="2" customWidth="1"/>
    <col min="14309" max="14309" width="10.85546875" style="2" customWidth="1"/>
    <col min="14310" max="14310" width="17.42578125" style="2" customWidth="1"/>
    <col min="14311" max="14311" width="14.85546875" style="2" customWidth="1"/>
    <col min="14312" max="14312" width="15" style="2" customWidth="1"/>
    <col min="14313" max="14313" width="14.85546875" style="2" customWidth="1"/>
    <col min="14314" max="14314" width="7.140625" style="2" customWidth="1"/>
    <col min="14315" max="14316" width="20.140625" style="2" customWidth="1"/>
    <col min="14317" max="14317" width="18.42578125" style="2" customWidth="1"/>
    <col min="14318" max="14318" width="9.140625" style="2" customWidth="1"/>
    <col min="14319" max="14319" width="12" style="2" customWidth="1"/>
    <col min="14320" max="14320" width="14.85546875" style="2" customWidth="1"/>
    <col min="14321" max="14321" width="22.42578125" style="2" customWidth="1"/>
    <col min="14322" max="14322" width="14.85546875" style="2" customWidth="1"/>
    <col min="14323" max="14323" width="7.140625" style="2" customWidth="1"/>
    <col min="14324" max="14324" width="20.140625" style="2" customWidth="1"/>
    <col min="14325" max="14556" width="8.85546875" style="2" customWidth="1"/>
    <col min="14557" max="14557" width="8.140625" style="2" customWidth="1"/>
    <col min="14558" max="14558" width="14.42578125" style="2" customWidth="1"/>
    <col min="14559" max="14559" width="37.42578125" style="2" customWidth="1"/>
    <col min="14560" max="14560" width="63.140625" style="2" customWidth="1"/>
    <col min="14561" max="14561" width="20" style="2" customWidth="1"/>
    <col min="14562" max="14562" width="11.140625" style="2" customWidth="1"/>
    <col min="14563" max="14563" width="10.85546875" style="2" customWidth="1"/>
    <col min="14564" max="14564" width="21" style="2" customWidth="1"/>
    <col min="14565" max="14565" width="10.85546875" style="2" customWidth="1"/>
    <col min="14566" max="14566" width="17.42578125" style="2" customWidth="1"/>
    <col min="14567" max="14567" width="14.85546875" style="2" customWidth="1"/>
    <col min="14568" max="14568" width="15" style="2" customWidth="1"/>
    <col min="14569" max="14569" width="14.85546875" style="2" customWidth="1"/>
    <col min="14570" max="14570" width="7.140625" style="2" customWidth="1"/>
    <col min="14571" max="14572" width="20.140625" style="2" customWidth="1"/>
    <col min="14573" max="14573" width="18.42578125" style="2" customWidth="1"/>
    <col min="14574" max="14574" width="9.140625" style="2" customWidth="1"/>
    <col min="14575" max="14575" width="12" style="2" customWidth="1"/>
    <col min="14576" max="14576" width="14.85546875" style="2" customWidth="1"/>
    <col min="14577" max="14577" width="22.42578125" style="2" customWidth="1"/>
    <col min="14578" max="14578" width="14.85546875" style="2" customWidth="1"/>
    <col min="14579" max="14579" width="7.140625" style="2" customWidth="1"/>
    <col min="14580" max="14580" width="20.140625" style="2" customWidth="1"/>
    <col min="14581" max="14812" width="8.85546875" style="2" customWidth="1"/>
    <col min="14813" max="14813" width="8.140625" style="2" customWidth="1"/>
    <col min="14814" max="14814" width="14.42578125" style="2" customWidth="1"/>
    <col min="14815" max="14815" width="37.42578125" style="2" customWidth="1"/>
    <col min="14816" max="14816" width="63.140625" style="2" customWidth="1"/>
    <col min="14817" max="14817" width="20" style="2" customWidth="1"/>
    <col min="14818" max="14818" width="11.140625" style="2" customWidth="1"/>
    <col min="14819" max="14819" width="10.85546875" style="2" customWidth="1"/>
    <col min="14820" max="14820" width="21" style="2" customWidth="1"/>
    <col min="14821" max="14821" width="10.85546875" style="2" customWidth="1"/>
    <col min="14822" max="14822" width="17.42578125" style="2" customWidth="1"/>
    <col min="14823" max="14823" width="14.85546875" style="2" customWidth="1"/>
    <col min="14824" max="14824" width="15" style="2" customWidth="1"/>
    <col min="14825" max="14825" width="14.85546875" style="2" customWidth="1"/>
    <col min="14826" max="14826" width="7.140625" style="2" customWidth="1"/>
    <col min="14827" max="14828" width="20.140625" style="2" customWidth="1"/>
    <col min="14829" max="14829" width="18.42578125" style="2" customWidth="1"/>
    <col min="14830" max="14830" width="9.140625" style="2" customWidth="1"/>
    <col min="14831" max="14831" width="12" style="2" customWidth="1"/>
    <col min="14832" max="14832" width="14.85546875" style="2" customWidth="1"/>
    <col min="14833" max="14833" width="22.42578125" style="2" customWidth="1"/>
    <col min="14834" max="14834" width="14.85546875" style="2" customWidth="1"/>
    <col min="14835" max="14835" width="7.140625" style="2" customWidth="1"/>
    <col min="14836" max="14836" width="20.140625" style="2" customWidth="1"/>
    <col min="14837" max="15068" width="8.85546875" style="2" customWidth="1"/>
    <col min="15069" max="15069" width="8.140625" style="2" customWidth="1"/>
    <col min="15070" max="15070" width="14.42578125" style="2" customWidth="1"/>
    <col min="15071" max="15071" width="37.42578125" style="2" customWidth="1"/>
    <col min="15072" max="15072" width="63.140625" style="2" customWidth="1"/>
    <col min="15073" max="15073" width="20" style="2" customWidth="1"/>
    <col min="15074" max="15074" width="11.140625" style="2" customWidth="1"/>
    <col min="15075" max="15075" width="10.85546875" style="2" customWidth="1"/>
    <col min="15076" max="15076" width="21" style="2" customWidth="1"/>
    <col min="15077" max="15077" width="10.85546875" style="2" customWidth="1"/>
    <col min="15078" max="15078" width="17.42578125" style="2" customWidth="1"/>
    <col min="15079" max="15079" width="14.85546875" style="2" customWidth="1"/>
    <col min="15080" max="15080" width="15" style="2" customWidth="1"/>
    <col min="15081" max="15081" width="14.85546875" style="2" customWidth="1"/>
    <col min="15082" max="15082" width="7.140625" style="2" customWidth="1"/>
    <col min="15083" max="15084" width="20.140625" style="2" customWidth="1"/>
    <col min="15085" max="15085" width="18.42578125" style="2" customWidth="1"/>
    <col min="15086" max="15086" width="9.140625" style="2" customWidth="1"/>
    <col min="15087" max="15087" width="12" style="2" customWidth="1"/>
    <col min="15088" max="15088" width="14.85546875" style="2" customWidth="1"/>
    <col min="15089" max="15089" width="22.42578125" style="2" customWidth="1"/>
    <col min="15090" max="15090" width="14.85546875" style="2" customWidth="1"/>
    <col min="15091" max="15091" width="7.140625" style="2" customWidth="1"/>
    <col min="15092" max="15092" width="20.140625" style="2" customWidth="1"/>
    <col min="15093" max="15324" width="8.85546875" style="2" customWidth="1"/>
    <col min="15325" max="15325" width="8.140625" style="2" customWidth="1"/>
    <col min="15326" max="15326" width="14.42578125" style="2" customWidth="1"/>
    <col min="15327" max="15327" width="37.42578125" style="2" customWidth="1"/>
    <col min="15328" max="15328" width="63.140625" style="2" customWidth="1"/>
    <col min="15329" max="15329" width="20" style="2" customWidth="1"/>
    <col min="15330" max="15330" width="11.140625" style="2" customWidth="1"/>
    <col min="15331" max="15331" width="10.85546875" style="2" customWidth="1"/>
    <col min="15332" max="15332" width="21" style="2" customWidth="1"/>
    <col min="15333" max="15333" width="10.85546875" style="2" customWidth="1"/>
    <col min="15334" max="15334" width="17.42578125" style="2" customWidth="1"/>
    <col min="15335" max="15335" width="14.85546875" style="2" customWidth="1"/>
    <col min="15336" max="15336" width="15" style="2" customWidth="1"/>
    <col min="15337" max="15337" width="14.85546875" style="2" customWidth="1"/>
    <col min="15338" max="15338" width="7.140625" style="2" customWidth="1"/>
    <col min="15339" max="15340" width="20.140625" style="2" customWidth="1"/>
    <col min="15341" max="15341" width="18.42578125" style="2" customWidth="1"/>
    <col min="15342" max="15342" width="9.140625" style="2" customWidth="1"/>
    <col min="15343" max="15343" width="12" style="2" customWidth="1"/>
    <col min="15344" max="15344" width="14.85546875" style="2" customWidth="1"/>
    <col min="15345" max="15345" width="22.42578125" style="2" customWidth="1"/>
    <col min="15346" max="15346" width="14.85546875" style="2" customWidth="1"/>
    <col min="15347" max="15347" width="7.140625" style="2" customWidth="1"/>
    <col min="15348" max="15348" width="20.140625" style="2" customWidth="1"/>
    <col min="15349" max="15580" width="8.85546875" style="2" customWidth="1"/>
    <col min="15581" max="15581" width="8.140625" style="2" customWidth="1"/>
    <col min="15582" max="15582" width="14.42578125" style="2" customWidth="1"/>
    <col min="15583" max="15583" width="37.42578125" style="2" customWidth="1"/>
    <col min="15584" max="15584" width="63.140625" style="2" customWidth="1"/>
    <col min="15585" max="15585" width="20" style="2" customWidth="1"/>
    <col min="15586" max="15586" width="11.140625" style="2" customWidth="1"/>
    <col min="15587" max="15587" width="10.85546875" style="2" customWidth="1"/>
    <col min="15588" max="15588" width="21" style="2" customWidth="1"/>
    <col min="15589" max="15589" width="10.85546875" style="2" customWidth="1"/>
    <col min="15590" max="15590" width="17.42578125" style="2" customWidth="1"/>
    <col min="15591" max="15591" width="14.85546875" style="2" customWidth="1"/>
    <col min="15592" max="15592" width="15" style="2" customWidth="1"/>
    <col min="15593" max="15593" width="14.85546875" style="2" customWidth="1"/>
    <col min="15594" max="15594" width="7.140625" style="2" customWidth="1"/>
    <col min="15595" max="15596" width="20.140625" style="2" customWidth="1"/>
    <col min="15597" max="15597" width="18.42578125" style="2" customWidth="1"/>
    <col min="15598" max="15598" width="9.140625" style="2" customWidth="1"/>
    <col min="15599" max="15599" width="12" style="2" customWidth="1"/>
    <col min="15600" max="15600" width="14.85546875" style="2" customWidth="1"/>
    <col min="15601" max="15601" width="22.42578125" style="2" customWidth="1"/>
    <col min="15602" max="15602" width="14.85546875" style="2" customWidth="1"/>
    <col min="15603" max="15603" width="7.140625" style="2" customWidth="1"/>
    <col min="15604" max="15604" width="20.140625" style="2" customWidth="1"/>
    <col min="15605" max="15836" width="8.85546875" style="2" customWidth="1"/>
    <col min="15837" max="15837" width="8.140625" style="2" customWidth="1"/>
    <col min="15838" max="15838" width="14.42578125" style="2" customWidth="1"/>
    <col min="15839" max="15839" width="37.42578125" style="2" customWidth="1"/>
    <col min="15840" max="15840" width="63.140625" style="2" customWidth="1"/>
    <col min="15841" max="15841" width="20" style="2" customWidth="1"/>
    <col min="15842" max="15842" width="11.140625" style="2" customWidth="1"/>
    <col min="15843" max="15843" width="10.85546875" style="2" customWidth="1"/>
    <col min="15844" max="15844" width="21" style="2" customWidth="1"/>
    <col min="15845" max="15845" width="10.85546875" style="2" customWidth="1"/>
    <col min="15846" max="15846" width="17.42578125" style="2" customWidth="1"/>
    <col min="15847" max="15847" width="14.85546875" style="2" customWidth="1"/>
    <col min="15848" max="15848" width="15" style="2" customWidth="1"/>
    <col min="15849" max="15849" width="14.85546875" style="2" customWidth="1"/>
    <col min="15850" max="15850" width="7.140625" style="2" customWidth="1"/>
    <col min="15851" max="15852" width="20.140625" style="2" customWidth="1"/>
    <col min="15853" max="15853" width="18.42578125" style="2" customWidth="1"/>
    <col min="15854" max="15854" width="9.140625" style="2" customWidth="1"/>
    <col min="15855" max="15855" width="12" style="2" customWidth="1"/>
    <col min="15856" max="15856" width="14.85546875" style="2" customWidth="1"/>
    <col min="15857" max="15857" width="22.42578125" style="2" customWidth="1"/>
    <col min="15858" max="15858" width="14.85546875" style="2" customWidth="1"/>
    <col min="15859" max="15859" width="7.140625" style="2" customWidth="1"/>
    <col min="15860" max="15860" width="20.140625" style="2" customWidth="1"/>
    <col min="15861" max="16092" width="8.85546875" style="2" customWidth="1"/>
    <col min="16093" max="16093" width="8.140625" style="2" customWidth="1"/>
    <col min="16094" max="16094" width="14.42578125" style="2" customWidth="1"/>
    <col min="16095" max="16095" width="37.42578125" style="2" customWidth="1"/>
    <col min="16096" max="16096" width="63.140625" style="2" customWidth="1"/>
    <col min="16097" max="16097" width="20" style="2" customWidth="1"/>
    <col min="16098" max="16098" width="11.140625" style="2" customWidth="1"/>
    <col min="16099" max="16099" width="10.85546875" style="2" customWidth="1"/>
    <col min="16100" max="16100" width="21" style="2" customWidth="1"/>
    <col min="16101" max="16101" width="10.85546875" style="2" customWidth="1"/>
    <col min="16102" max="16102" width="17.42578125" style="2" customWidth="1"/>
    <col min="16103" max="16103" width="14.85546875" style="2" customWidth="1"/>
    <col min="16104" max="16104" width="15" style="2" customWidth="1"/>
    <col min="16105" max="16105" width="14.85546875" style="2" customWidth="1"/>
    <col min="16106" max="16106" width="7.140625" style="2" customWidth="1"/>
    <col min="16107" max="16108" width="20.140625" style="2" customWidth="1"/>
    <col min="16109" max="16109" width="18.42578125" style="2" customWidth="1"/>
    <col min="16110" max="16110" width="9.140625" style="2" customWidth="1"/>
    <col min="16111" max="16111" width="12" style="2" customWidth="1"/>
    <col min="16112" max="16112" width="14.85546875" style="2" customWidth="1"/>
    <col min="16113" max="16113" width="22.42578125" style="2" customWidth="1"/>
    <col min="16114" max="16114" width="14.85546875" style="2" customWidth="1"/>
    <col min="16115" max="16115" width="7.140625" style="2" customWidth="1"/>
    <col min="16116" max="16116" width="20.140625" style="2" customWidth="1"/>
    <col min="16117" max="16384" width="8.85546875" style="2" customWidth="1"/>
  </cols>
  <sheetData>
    <row r="1" spans="1:21" ht="14.1" customHeight="1">
      <c r="A1" s="1" t="s">
        <v>992</v>
      </c>
      <c r="B1" s="24"/>
      <c r="C1" s="2"/>
      <c r="D1" s="2"/>
      <c r="F1" s="2"/>
      <c r="H1" s="2"/>
      <c r="J1" s="2"/>
      <c r="K1" s="2"/>
      <c r="L1" s="2"/>
      <c r="M1" s="2"/>
      <c r="N1" s="2"/>
      <c r="O1" s="2"/>
      <c r="P1" s="2"/>
      <c r="R1" s="10"/>
    </row>
    <row r="2" spans="1:21" s="4" customFormat="1" ht="14.1" customHeight="1">
      <c r="A2" s="4" t="s">
        <v>993</v>
      </c>
      <c r="E2" s="69"/>
      <c r="Q2" s="2"/>
      <c r="R2" s="336"/>
    </row>
    <row r="3" spans="1:21" s="6" customFormat="1" ht="14.1" customHeight="1">
      <c r="A3" s="3"/>
      <c r="B3" s="16"/>
      <c r="C3" s="16"/>
      <c r="D3" s="23"/>
      <c r="E3" s="16"/>
      <c r="F3" s="23"/>
      <c r="G3" s="15"/>
      <c r="H3" s="25"/>
      <c r="I3" s="15"/>
      <c r="J3" s="25"/>
      <c r="K3" s="25"/>
      <c r="L3" s="25"/>
      <c r="M3" s="25"/>
      <c r="N3" s="25"/>
      <c r="O3" s="25"/>
      <c r="P3" s="25"/>
      <c r="Q3" s="2"/>
      <c r="R3" s="355" t="s">
        <v>2</v>
      </c>
      <c r="S3" s="2"/>
      <c r="T3" s="2"/>
      <c r="U3" s="2"/>
    </row>
    <row r="4" spans="1:21" s="5" customFormat="1" ht="33" customHeight="1">
      <c r="A4" s="21" t="s">
        <v>3</v>
      </c>
      <c r="B4" s="52" t="s">
        <v>4</v>
      </c>
      <c r="C4" s="52" t="s">
        <v>5</v>
      </c>
      <c r="D4" s="21" t="s">
        <v>6</v>
      </c>
      <c r="E4" s="21" t="s">
        <v>7</v>
      </c>
      <c r="F4" s="21" t="s">
        <v>8</v>
      </c>
      <c r="G4" s="21" t="s">
        <v>9</v>
      </c>
      <c r="H4" s="21" t="s">
        <v>10</v>
      </c>
      <c r="I4" s="21" t="s">
        <v>11</v>
      </c>
      <c r="J4" s="21" t="s">
        <v>12</v>
      </c>
      <c r="K4" s="21" t="s">
        <v>13</v>
      </c>
      <c r="L4" s="21" t="s">
        <v>14</v>
      </c>
      <c r="M4" s="21" t="s">
        <v>15</v>
      </c>
      <c r="N4" s="21" t="s">
        <v>16</v>
      </c>
      <c r="O4" s="21" t="s">
        <v>17</v>
      </c>
      <c r="P4" s="21" t="s">
        <v>18</v>
      </c>
      <c r="Q4" s="3"/>
      <c r="R4" s="41" t="s">
        <v>19</v>
      </c>
      <c r="S4" s="20"/>
      <c r="T4" s="42" t="s">
        <v>20</v>
      </c>
      <c r="U4" s="42" t="s">
        <v>21</v>
      </c>
    </row>
    <row r="5" spans="1:21" ht="14.1" customHeight="1">
      <c r="A5" s="7">
        <v>1</v>
      </c>
      <c r="B5" s="14" t="s">
        <v>124</v>
      </c>
      <c r="C5" s="14" t="s">
        <v>294</v>
      </c>
      <c r="D5" s="7" t="s">
        <v>35</v>
      </c>
      <c r="E5" s="14" t="s">
        <v>295</v>
      </c>
      <c r="F5" s="7" t="s">
        <v>26</v>
      </c>
      <c r="G5" s="8" t="s">
        <v>994</v>
      </c>
      <c r="H5" s="7" t="s">
        <v>995</v>
      </c>
      <c r="I5" s="8" t="s">
        <v>996</v>
      </c>
      <c r="J5" s="7" t="s">
        <v>123</v>
      </c>
      <c r="K5" s="7" t="s">
        <v>997</v>
      </c>
      <c r="L5" s="7" t="s">
        <v>490</v>
      </c>
      <c r="M5" s="7" t="s">
        <v>998</v>
      </c>
      <c r="N5" s="7">
        <v>100</v>
      </c>
      <c r="O5" s="7">
        <v>50</v>
      </c>
      <c r="P5" s="7"/>
      <c r="R5" s="9">
        <v>562.34122402814319</v>
      </c>
      <c r="S5" s="22"/>
      <c r="T5" s="7" t="s">
        <v>34</v>
      </c>
      <c r="U5" s="7" t="s">
        <v>34</v>
      </c>
    </row>
    <row r="6" spans="1:21" ht="14.1" customHeight="1">
      <c r="A6" s="7">
        <v>2</v>
      </c>
      <c r="B6" s="14" t="s">
        <v>124</v>
      </c>
      <c r="C6" s="14" t="s">
        <v>294</v>
      </c>
      <c r="D6" s="7" t="s">
        <v>35</v>
      </c>
      <c r="E6" s="14" t="s">
        <v>295</v>
      </c>
      <c r="F6" s="7" t="s">
        <v>26</v>
      </c>
      <c r="G6" s="8" t="s">
        <v>999</v>
      </c>
      <c r="H6" s="7" t="s">
        <v>1000</v>
      </c>
      <c r="I6" s="8" t="s">
        <v>996</v>
      </c>
      <c r="J6" s="7" t="s">
        <v>123</v>
      </c>
      <c r="K6" s="7" t="s">
        <v>1001</v>
      </c>
      <c r="L6" s="7" t="s">
        <v>490</v>
      </c>
      <c r="M6" s="7" t="s">
        <v>998</v>
      </c>
      <c r="N6" s="7">
        <v>100</v>
      </c>
      <c r="O6" s="7">
        <v>50</v>
      </c>
      <c r="P6" s="7"/>
      <c r="R6" s="9">
        <v>571.77964672079418</v>
      </c>
      <c r="T6" s="7" t="s">
        <v>34</v>
      </c>
      <c r="U6" s="7" t="s">
        <v>34</v>
      </c>
    </row>
    <row r="7" spans="1:21" ht="14.1" customHeight="1">
      <c r="A7" s="7">
        <v>3</v>
      </c>
      <c r="B7" s="14" t="s">
        <v>124</v>
      </c>
      <c r="C7" s="14" t="s">
        <v>294</v>
      </c>
      <c r="D7" s="7" t="s">
        <v>35</v>
      </c>
      <c r="E7" s="14" t="s">
        <v>295</v>
      </c>
      <c r="F7" s="7" t="s">
        <v>26</v>
      </c>
      <c r="G7" s="8" t="s">
        <v>1002</v>
      </c>
      <c r="H7" s="7" t="s">
        <v>1003</v>
      </c>
      <c r="I7" s="8" t="s">
        <v>996</v>
      </c>
      <c r="J7" s="7" t="s">
        <v>123</v>
      </c>
      <c r="K7" s="17" t="s">
        <v>26</v>
      </c>
      <c r="L7" s="7" t="s">
        <v>490</v>
      </c>
      <c r="M7" s="7" t="s">
        <v>998</v>
      </c>
      <c r="N7" s="7">
        <v>100</v>
      </c>
      <c r="O7" s="7">
        <v>50</v>
      </c>
      <c r="P7" s="7"/>
      <c r="R7" s="9">
        <v>571.77964672079418</v>
      </c>
      <c r="T7" s="7" t="s">
        <v>34</v>
      </c>
      <c r="U7" s="7" t="s">
        <v>34</v>
      </c>
    </row>
    <row r="8" spans="1:21" ht="14.1" customHeight="1">
      <c r="A8" s="7">
        <v>4</v>
      </c>
      <c r="B8" s="14" t="s">
        <v>124</v>
      </c>
      <c r="C8" s="14" t="s">
        <v>294</v>
      </c>
      <c r="D8" s="7" t="s">
        <v>35</v>
      </c>
      <c r="E8" s="14" t="s">
        <v>295</v>
      </c>
      <c r="F8" s="7" t="s">
        <v>26</v>
      </c>
      <c r="G8" s="8" t="s">
        <v>1004</v>
      </c>
      <c r="H8" s="7" t="s">
        <v>995</v>
      </c>
      <c r="I8" s="8" t="s">
        <v>1005</v>
      </c>
      <c r="J8" s="7" t="s">
        <v>123</v>
      </c>
      <c r="K8" s="7" t="s">
        <v>997</v>
      </c>
      <c r="L8" s="7" t="s">
        <v>490</v>
      </c>
      <c r="M8" s="7" t="s">
        <v>998</v>
      </c>
      <c r="N8" s="7">
        <v>100</v>
      </c>
      <c r="O8" s="7">
        <v>50</v>
      </c>
      <c r="P8" s="7"/>
      <c r="R8" s="9">
        <v>855.49863286188156</v>
      </c>
      <c r="T8" s="7" t="s">
        <v>34</v>
      </c>
      <c r="U8" s="7" t="s">
        <v>34</v>
      </c>
    </row>
    <row r="9" spans="1:21" ht="14.1" customHeight="1">
      <c r="A9" s="7">
        <v>5</v>
      </c>
      <c r="B9" s="14" t="s">
        <v>124</v>
      </c>
      <c r="C9" s="14" t="s">
        <v>294</v>
      </c>
      <c r="D9" s="7" t="s">
        <v>35</v>
      </c>
      <c r="E9" s="14" t="s">
        <v>295</v>
      </c>
      <c r="F9" s="7" t="s">
        <v>26</v>
      </c>
      <c r="G9" s="8" t="s">
        <v>1006</v>
      </c>
      <c r="H9" s="7" t="s">
        <v>1000</v>
      </c>
      <c r="I9" s="8" t="s">
        <v>1005</v>
      </c>
      <c r="J9" s="7" t="s">
        <v>123</v>
      </c>
      <c r="K9" s="7" t="s">
        <v>1001</v>
      </c>
      <c r="L9" s="7" t="s">
        <v>490</v>
      </c>
      <c r="M9" s="7" t="s">
        <v>998</v>
      </c>
      <c r="N9" s="7">
        <v>100</v>
      </c>
      <c r="O9" s="7">
        <v>50</v>
      </c>
      <c r="P9" s="7"/>
      <c r="R9" s="9">
        <v>855.49863286188156</v>
      </c>
      <c r="T9" s="7" t="s">
        <v>34</v>
      </c>
      <c r="U9" s="7" t="s">
        <v>34</v>
      </c>
    </row>
    <row r="10" spans="1:21" ht="14.1" customHeight="1">
      <c r="A10" s="7">
        <v>6</v>
      </c>
      <c r="B10" s="14" t="s">
        <v>124</v>
      </c>
      <c r="C10" s="14" t="s">
        <v>294</v>
      </c>
      <c r="D10" s="7" t="s">
        <v>35</v>
      </c>
      <c r="E10" s="14" t="s">
        <v>295</v>
      </c>
      <c r="F10" s="7" t="s">
        <v>26</v>
      </c>
      <c r="G10" s="8" t="s">
        <v>1007</v>
      </c>
      <c r="H10" s="7" t="s">
        <v>1003</v>
      </c>
      <c r="I10" s="8" t="s">
        <v>1005</v>
      </c>
      <c r="J10" s="7" t="s">
        <v>123</v>
      </c>
      <c r="K10" s="17" t="s">
        <v>26</v>
      </c>
      <c r="L10" s="7" t="s">
        <v>490</v>
      </c>
      <c r="M10" s="7" t="s">
        <v>998</v>
      </c>
      <c r="N10" s="7">
        <v>100</v>
      </c>
      <c r="O10" s="7">
        <v>50</v>
      </c>
      <c r="P10" s="7"/>
      <c r="R10" s="9">
        <v>864.93705555453255</v>
      </c>
      <c r="T10" s="7" t="s">
        <v>34</v>
      </c>
      <c r="U10" s="7" t="s">
        <v>34</v>
      </c>
    </row>
    <row r="11" spans="1:21" ht="14.1" customHeight="1">
      <c r="A11" s="7">
        <v>7</v>
      </c>
      <c r="B11" s="14" t="s">
        <v>124</v>
      </c>
      <c r="C11" s="14" t="s">
        <v>294</v>
      </c>
      <c r="D11" s="7" t="s">
        <v>35</v>
      </c>
      <c r="E11" s="14" t="s">
        <v>295</v>
      </c>
      <c r="F11" s="7" t="s">
        <v>26</v>
      </c>
      <c r="G11" s="8" t="s">
        <v>1008</v>
      </c>
      <c r="H11" s="7" t="s">
        <v>121</v>
      </c>
      <c r="I11" s="8" t="s">
        <v>1009</v>
      </c>
      <c r="J11" s="7" t="s">
        <v>123</v>
      </c>
      <c r="K11" s="7" t="s">
        <v>31</v>
      </c>
      <c r="L11" s="7" t="s">
        <v>490</v>
      </c>
      <c r="M11" s="7" t="s">
        <v>998</v>
      </c>
      <c r="N11" s="7">
        <v>100</v>
      </c>
      <c r="O11" s="7">
        <v>50</v>
      </c>
      <c r="P11" s="7"/>
      <c r="R11" s="9">
        <v>176.12096744486661</v>
      </c>
      <c r="T11" s="7" t="s">
        <v>34</v>
      </c>
      <c r="U11" s="7" t="s">
        <v>34</v>
      </c>
    </row>
    <row r="12" spans="1:21" ht="14.1" customHeight="1">
      <c r="A12" s="7">
        <v>8</v>
      </c>
      <c r="B12" s="14" t="s">
        <v>124</v>
      </c>
      <c r="C12" s="14" t="s">
        <v>294</v>
      </c>
      <c r="D12" s="7" t="s">
        <v>35</v>
      </c>
      <c r="E12" s="14" t="s">
        <v>295</v>
      </c>
      <c r="F12" s="7" t="s">
        <v>26</v>
      </c>
      <c r="G12" s="8" t="s">
        <v>1010</v>
      </c>
      <c r="H12" s="7" t="s">
        <v>1000</v>
      </c>
      <c r="I12" s="8" t="s">
        <v>1009</v>
      </c>
      <c r="J12" s="7" t="s">
        <v>123</v>
      </c>
      <c r="K12" s="7" t="s">
        <v>1001</v>
      </c>
      <c r="L12" s="7" t="s">
        <v>490</v>
      </c>
      <c r="M12" s="7" t="s">
        <v>998</v>
      </c>
      <c r="N12" s="7">
        <v>100</v>
      </c>
      <c r="O12" s="7">
        <v>50</v>
      </c>
      <c r="P12" s="7"/>
      <c r="R12" s="9">
        <v>185.5593901375176</v>
      </c>
      <c r="T12" s="7" t="s">
        <v>34</v>
      </c>
      <c r="U12" s="7" t="s">
        <v>34</v>
      </c>
    </row>
    <row r="13" spans="1:21" ht="14.1" customHeight="1">
      <c r="A13" s="7">
        <v>9</v>
      </c>
      <c r="B13" s="14" t="s">
        <v>124</v>
      </c>
      <c r="C13" s="14" t="s">
        <v>294</v>
      </c>
      <c r="D13" s="7" t="s">
        <v>35</v>
      </c>
      <c r="E13" s="14" t="s">
        <v>295</v>
      </c>
      <c r="F13" s="7" t="s">
        <v>26</v>
      </c>
      <c r="G13" s="8" t="s">
        <v>1011</v>
      </c>
      <c r="H13" s="7" t="s">
        <v>1003</v>
      </c>
      <c r="I13" s="8" t="s">
        <v>1009</v>
      </c>
      <c r="J13" s="7" t="s">
        <v>123</v>
      </c>
      <c r="K13" s="17" t="s">
        <v>26</v>
      </c>
      <c r="L13" s="7" t="s">
        <v>490</v>
      </c>
      <c r="M13" s="7" t="s">
        <v>998</v>
      </c>
      <c r="N13" s="7">
        <v>100</v>
      </c>
      <c r="O13" s="7">
        <v>50</v>
      </c>
      <c r="P13" s="7"/>
      <c r="R13" s="9">
        <v>185.5593901375176</v>
      </c>
      <c r="T13" s="7" t="s">
        <v>34</v>
      </c>
      <c r="U13" s="7" t="s">
        <v>34</v>
      </c>
    </row>
    <row r="14" spans="1:21" ht="14.1" customHeight="1">
      <c r="A14" s="7">
        <v>10</v>
      </c>
      <c r="B14" s="14" t="s">
        <v>124</v>
      </c>
      <c r="C14" s="14" t="s">
        <v>294</v>
      </c>
      <c r="D14" s="7" t="s">
        <v>35</v>
      </c>
      <c r="E14" s="14" t="s">
        <v>295</v>
      </c>
      <c r="F14" s="7" t="s">
        <v>26</v>
      </c>
      <c r="G14" s="8" t="s">
        <v>1012</v>
      </c>
      <c r="H14" s="7" t="s">
        <v>121</v>
      </c>
      <c r="I14" s="8" t="s">
        <v>1013</v>
      </c>
      <c r="J14" s="7" t="s">
        <v>123</v>
      </c>
      <c r="K14" s="7" t="s">
        <v>31</v>
      </c>
      <c r="L14" s="7" t="s">
        <v>490</v>
      </c>
      <c r="M14" s="7" t="s">
        <v>998</v>
      </c>
      <c r="N14" s="7">
        <v>100</v>
      </c>
      <c r="O14" s="7">
        <v>50</v>
      </c>
      <c r="P14" s="7"/>
      <c r="R14" s="9">
        <v>185.5593901375176</v>
      </c>
      <c r="T14" s="7" t="s">
        <v>34</v>
      </c>
      <c r="U14" s="7" t="s">
        <v>34</v>
      </c>
    </row>
    <row r="15" spans="1:21" ht="14.1" customHeight="1">
      <c r="A15" s="7">
        <v>11</v>
      </c>
      <c r="B15" s="14" t="s">
        <v>124</v>
      </c>
      <c r="C15" s="14" t="s">
        <v>294</v>
      </c>
      <c r="D15" s="7" t="s">
        <v>35</v>
      </c>
      <c r="E15" s="14" t="s">
        <v>295</v>
      </c>
      <c r="F15" s="7" t="s">
        <v>26</v>
      </c>
      <c r="G15" s="8" t="s">
        <v>1014</v>
      </c>
      <c r="H15" s="7" t="s">
        <v>1000</v>
      </c>
      <c r="I15" s="8" t="s">
        <v>1013</v>
      </c>
      <c r="J15" s="7" t="s">
        <v>123</v>
      </c>
      <c r="K15" s="7" t="s">
        <v>1001</v>
      </c>
      <c r="L15" s="7" t="s">
        <v>490</v>
      </c>
      <c r="M15" s="7" t="s">
        <v>998</v>
      </c>
      <c r="N15" s="7">
        <v>100</v>
      </c>
      <c r="O15" s="7">
        <v>50</v>
      </c>
      <c r="P15" s="7"/>
      <c r="R15" s="9">
        <v>194.9978128301685</v>
      </c>
      <c r="T15" s="7" t="s">
        <v>34</v>
      </c>
      <c r="U15" s="7" t="s">
        <v>34</v>
      </c>
    </row>
    <row r="16" spans="1:21" ht="14.1" customHeight="1">
      <c r="A16" s="7">
        <v>12</v>
      </c>
      <c r="B16" s="14" t="s">
        <v>124</v>
      </c>
      <c r="C16" s="14" t="s">
        <v>294</v>
      </c>
      <c r="D16" s="7" t="s">
        <v>35</v>
      </c>
      <c r="E16" s="14" t="s">
        <v>295</v>
      </c>
      <c r="F16" s="7" t="s">
        <v>26</v>
      </c>
      <c r="G16" s="8" t="s">
        <v>1015</v>
      </c>
      <c r="H16" s="7" t="s">
        <v>1003</v>
      </c>
      <c r="I16" s="8" t="s">
        <v>1013</v>
      </c>
      <c r="J16" s="7" t="s">
        <v>123</v>
      </c>
      <c r="K16" s="17" t="s">
        <v>26</v>
      </c>
      <c r="L16" s="7" t="s">
        <v>490</v>
      </c>
      <c r="M16" s="7" t="s">
        <v>998</v>
      </c>
      <c r="N16" s="7">
        <v>100</v>
      </c>
      <c r="O16" s="7">
        <v>50</v>
      </c>
      <c r="P16" s="7"/>
      <c r="R16" s="9">
        <v>194.9978128301685</v>
      </c>
      <c r="T16" s="7" t="s">
        <v>34</v>
      </c>
      <c r="U16" s="7" t="s">
        <v>34</v>
      </c>
    </row>
    <row r="17" spans="1:21" ht="14.1" customHeight="1">
      <c r="A17" s="7">
        <v>13</v>
      </c>
      <c r="B17" s="14" t="s">
        <v>124</v>
      </c>
      <c r="C17" s="14" t="s">
        <v>294</v>
      </c>
      <c r="D17" s="7" t="s">
        <v>35</v>
      </c>
      <c r="E17" s="14" t="s">
        <v>295</v>
      </c>
      <c r="F17" s="7" t="s">
        <v>26</v>
      </c>
      <c r="G17" s="8" t="s">
        <v>1016</v>
      </c>
      <c r="H17" s="7" t="s">
        <v>121</v>
      </c>
      <c r="I17" s="8" t="s">
        <v>1017</v>
      </c>
      <c r="J17" s="7" t="s">
        <v>123</v>
      </c>
      <c r="K17" s="7" t="s">
        <v>31</v>
      </c>
      <c r="L17" s="7" t="s">
        <v>490</v>
      </c>
      <c r="M17" s="7" t="s">
        <v>998</v>
      </c>
      <c r="N17" s="7">
        <v>100</v>
      </c>
      <c r="O17" s="7">
        <v>50</v>
      </c>
      <c r="P17" s="7"/>
      <c r="R17" s="9">
        <v>213.68588976161729</v>
      </c>
      <c r="T17" s="7" t="s">
        <v>34</v>
      </c>
      <c r="U17" s="7" t="s">
        <v>34</v>
      </c>
    </row>
    <row r="18" spans="1:21" ht="14.1" customHeight="1">
      <c r="A18" s="7">
        <v>14</v>
      </c>
      <c r="B18" s="14" t="s">
        <v>124</v>
      </c>
      <c r="C18" s="14" t="s">
        <v>294</v>
      </c>
      <c r="D18" s="7" t="s">
        <v>35</v>
      </c>
      <c r="E18" s="14" t="s">
        <v>295</v>
      </c>
      <c r="F18" s="7" t="s">
        <v>26</v>
      </c>
      <c r="G18" s="8" t="s">
        <v>1018</v>
      </c>
      <c r="H18" s="7" t="s">
        <v>1000</v>
      </c>
      <c r="I18" s="8" t="s">
        <v>1017</v>
      </c>
      <c r="J18" s="7" t="s">
        <v>123</v>
      </c>
      <c r="K18" s="7" t="s">
        <v>1001</v>
      </c>
      <c r="L18" s="7" t="s">
        <v>490</v>
      </c>
      <c r="M18" s="7" t="s">
        <v>998</v>
      </c>
      <c r="N18" s="7">
        <v>100</v>
      </c>
      <c r="O18" s="7">
        <v>50</v>
      </c>
      <c r="P18" s="7"/>
      <c r="R18" s="9">
        <v>223.12431245426831</v>
      </c>
      <c r="T18" s="7" t="s">
        <v>34</v>
      </c>
      <c r="U18" s="7" t="s">
        <v>34</v>
      </c>
    </row>
    <row r="19" spans="1:21" ht="14.1" customHeight="1">
      <c r="A19" s="7">
        <v>15</v>
      </c>
      <c r="B19" s="14" t="s">
        <v>124</v>
      </c>
      <c r="C19" s="14" t="s">
        <v>294</v>
      </c>
      <c r="D19" s="7" t="s">
        <v>35</v>
      </c>
      <c r="E19" s="14" t="s">
        <v>295</v>
      </c>
      <c r="F19" s="7" t="s">
        <v>26</v>
      </c>
      <c r="G19" s="8" t="s">
        <v>1019</v>
      </c>
      <c r="H19" s="7" t="s">
        <v>1003</v>
      </c>
      <c r="I19" s="8" t="s">
        <v>1017</v>
      </c>
      <c r="J19" s="7" t="s">
        <v>123</v>
      </c>
      <c r="K19" s="17" t="s">
        <v>26</v>
      </c>
      <c r="L19" s="7" t="s">
        <v>490</v>
      </c>
      <c r="M19" s="7" t="s">
        <v>998</v>
      </c>
      <c r="N19" s="7">
        <v>100</v>
      </c>
      <c r="O19" s="7">
        <v>50</v>
      </c>
      <c r="P19" s="7"/>
      <c r="R19" s="9">
        <v>223.12431245426831</v>
      </c>
      <c r="T19" s="7" t="s">
        <v>34</v>
      </c>
      <c r="U19" s="7" t="s">
        <v>34</v>
      </c>
    </row>
    <row r="20" spans="1:21" ht="14.1" customHeight="1">
      <c r="A20" s="7">
        <v>16</v>
      </c>
      <c r="B20" s="14" t="s">
        <v>124</v>
      </c>
      <c r="C20" s="14" t="s">
        <v>294</v>
      </c>
      <c r="D20" s="7" t="s">
        <v>35</v>
      </c>
      <c r="E20" s="14" t="s">
        <v>295</v>
      </c>
      <c r="F20" s="7" t="s">
        <v>26</v>
      </c>
      <c r="G20" s="8" t="s">
        <v>1020</v>
      </c>
      <c r="H20" s="7" t="s">
        <v>121</v>
      </c>
      <c r="I20" s="8" t="s">
        <v>1021</v>
      </c>
      <c r="J20" s="7" t="s">
        <v>123</v>
      </c>
      <c r="K20" s="7" t="s">
        <v>31</v>
      </c>
      <c r="L20" s="7" t="s">
        <v>490</v>
      </c>
      <c r="M20" s="7" t="s">
        <v>998</v>
      </c>
      <c r="N20" s="7">
        <v>100</v>
      </c>
      <c r="O20" s="7">
        <v>50</v>
      </c>
      <c r="P20" s="7"/>
      <c r="R20" s="9">
        <v>227.8435238005938</v>
      </c>
      <c r="T20" s="7" t="s">
        <v>34</v>
      </c>
      <c r="U20" s="7" t="s">
        <v>34</v>
      </c>
    </row>
    <row r="21" spans="1:21" ht="14.1" customHeight="1">
      <c r="A21" s="7">
        <v>17</v>
      </c>
      <c r="B21" s="14" t="s">
        <v>124</v>
      </c>
      <c r="C21" s="14" t="s">
        <v>294</v>
      </c>
      <c r="D21" s="7" t="s">
        <v>35</v>
      </c>
      <c r="E21" s="14" t="s">
        <v>295</v>
      </c>
      <c r="F21" s="7" t="s">
        <v>26</v>
      </c>
      <c r="G21" s="8" t="s">
        <v>1022</v>
      </c>
      <c r="H21" s="7" t="s">
        <v>1000</v>
      </c>
      <c r="I21" s="8" t="s">
        <v>1021</v>
      </c>
      <c r="J21" s="7" t="s">
        <v>123</v>
      </c>
      <c r="K21" s="7" t="s">
        <v>1001</v>
      </c>
      <c r="L21" s="7" t="s">
        <v>490</v>
      </c>
      <c r="M21" s="7" t="s">
        <v>998</v>
      </c>
      <c r="N21" s="7">
        <v>100</v>
      </c>
      <c r="O21" s="7">
        <v>50</v>
      </c>
      <c r="P21" s="7"/>
      <c r="R21" s="9">
        <v>237.28194649324479</v>
      </c>
      <c r="T21" s="7" t="s">
        <v>34</v>
      </c>
      <c r="U21" s="7" t="s">
        <v>34</v>
      </c>
    </row>
    <row r="22" spans="1:21" ht="14.1" customHeight="1">
      <c r="A22" s="7">
        <v>18</v>
      </c>
      <c r="B22" s="14" t="s">
        <v>124</v>
      </c>
      <c r="C22" s="14" t="s">
        <v>294</v>
      </c>
      <c r="D22" s="7" t="s">
        <v>35</v>
      </c>
      <c r="E22" s="14" t="s">
        <v>295</v>
      </c>
      <c r="F22" s="7" t="s">
        <v>26</v>
      </c>
      <c r="G22" s="8" t="s">
        <v>1023</v>
      </c>
      <c r="H22" s="7" t="s">
        <v>1003</v>
      </c>
      <c r="I22" s="8" t="s">
        <v>1021</v>
      </c>
      <c r="J22" s="7" t="s">
        <v>123</v>
      </c>
      <c r="K22" s="17" t="s">
        <v>26</v>
      </c>
      <c r="L22" s="7" t="s">
        <v>490</v>
      </c>
      <c r="M22" s="7" t="s">
        <v>998</v>
      </c>
      <c r="N22" s="7">
        <v>100</v>
      </c>
      <c r="O22" s="7">
        <v>50</v>
      </c>
      <c r="P22" s="7"/>
      <c r="R22" s="9">
        <v>237.28194649324479</v>
      </c>
      <c r="T22" s="7" t="s">
        <v>34</v>
      </c>
      <c r="U22" s="7" t="s">
        <v>34</v>
      </c>
    </row>
    <row r="23" spans="1:21" ht="14.1" customHeight="1">
      <c r="A23" s="7">
        <v>19</v>
      </c>
      <c r="B23" s="14" t="s">
        <v>124</v>
      </c>
      <c r="C23" s="14" t="s">
        <v>294</v>
      </c>
      <c r="D23" s="7" t="s">
        <v>35</v>
      </c>
      <c r="E23" s="14" t="s">
        <v>295</v>
      </c>
      <c r="F23" s="7" t="s">
        <v>26</v>
      </c>
      <c r="G23" s="8" t="s">
        <v>1024</v>
      </c>
      <c r="H23" s="7" t="s">
        <v>121</v>
      </c>
      <c r="I23" s="8" t="s">
        <v>1025</v>
      </c>
      <c r="J23" s="7" t="s">
        <v>123</v>
      </c>
      <c r="K23" s="7" t="s">
        <v>31</v>
      </c>
      <c r="L23" s="7" t="s">
        <v>490</v>
      </c>
      <c r="M23" s="7" t="s">
        <v>998</v>
      </c>
      <c r="N23" s="7">
        <v>100</v>
      </c>
      <c r="O23" s="7">
        <v>50</v>
      </c>
      <c r="P23" s="7"/>
      <c r="R23" s="9">
        <v>213.68588976161729</v>
      </c>
      <c r="T23" s="7" t="s">
        <v>34</v>
      </c>
      <c r="U23" s="7" t="s">
        <v>34</v>
      </c>
    </row>
    <row r="24" spans="1:21" ht="14.1" customHeight="1">
      <c r="A24" s="7">
        <v>20</v>
      </c>
      <c r="B24" s="14" t="s">
        <v>124</v>
      </c>
      <c r="C24" s="14" t="s">
        <v>294</v>
      </c>
      <c r="D24" s="7" t="s">
        <v>35</v>
      </c>
      <c r="E24" s="14" t="s">
        <v>295</v>
      </c>
      <c r="F24" s="7" t="s">
        <v>26</v>
      </c>
      <c r="G24" s="8" t="s">
        <v>1026</v>
      </c>
      <c r="H24" s="7" t="s">
        <v>1000</v>
      </c>
      <c r="I24" s="8" t="s">
        <v>1025</v>
      </c>
      <c r="J24" s="7" t="s">
        <v>123</v>
      </c>
      <c r="K24" s="7" t="s">
        <v>1001</v>
      </c>
      <c r="L24" s="7" t="s">
        <v>490</v>
      </c>
      <c r="M24" s="7" t="s">
        <v>998</v>
      </c>
      <c r="N24" s="7">
        <v>100</v>
      </c>
      <c r="O24" s="7">
        <v>50</v>
      </c>
      <c r="P24" s="7"/>
      <c r="R24" s="9">
        <v>223.12431245426831</v>
      </c>
      <c r="T24" s="7" t="s">
        <v>34</v>
      </c>
      <c r="U24" s="7" t="s">
        <v>34</v>
      </c>
    </row>
    <row r="25" spans="1:21" ht="14.1" customHeight="1">
      <c r="A25" s="7">
        <v>21</v>
      </c>
      <c r="B25" s="14" t="s">
        <v>124</v>
      </c>
      <c r="C25" s="14" t="s">
        <v>294</v>
      </c>
      <c r="D25" s="7" t="s">
        <v>35</v>
      </c>
      <c r="E25" s="14" t="s">
        <v>295</v>
      </c>
      <c r="F25" s="7" t="s">
        <v>26</v>
      </c>
      <c r="G25" s="8" t="s">
        <v>1027</v>
      </c>
      <c r="H25" s="7" t="s">
        <v>1003</v>
      </c>
      <c r="I25" s="8" t="s">
        <v>1025</v>
      </c>
      <c r="J25" s="7" t="s">
        <v>123</v>
      </c>
      <c r="K25" s="17" t="s">
        <v>26</v>
      </c>
      <c r="L25" s="7" t="s">
        <v>490</v>
      </c>
      <c r="M25" s="7" t="s">
        <v>998</v>
      </c>
      <c r="N25" s="7">
        <v>100</v>
      </c>
      <c r="O25" s="7">
        <v>50</v>
      </c>
      <c r="P25" s="7"/>
      <c r="R25" s="9">
        <v>223.12431245426831</v>
      </c>
      <c r="T25" s="7" t="s">
        <v>34</v>
      </c>
      <c r="U25" s="7" t="s">
        <v>34</v>
      </c>
    </row>
    <row r="26" spans="1:21" ht="14.1" customHeight="1">
      <c r="A26" s="7">
        <v>22</v>
      </c>
      <c r="B26" s="14" t="s">
        <v>124</v>
      </c>
      <c r="C26" s="14" t="s">
        <v>294</v>
      </c>
      <c r="D26" s="7" t="s">
        <v>35</v>
      </c>
      <c r="E26" s="14" t="s">
        <v>295</v>
      </c>
      <c r="F26" s="7" t="s">
        <v>26</v>
      </c>
      <c r="G26" s="8" t="s">
        <v>1028</v>
      </c>
      <c r="H26" s="7" t="s">
        <v>121</v>
      </c>
      <c r="I26" s="8" t="s">
        <v>1029</v>
      </c>
      <c r="J26" s="7" t="s">
        <v>123</v>
      </c>
      <c r="K26" s="7" t="s">
        <v>31</v>
      </c>
      <c r="L26" s="7" t="s">
        <v>490</v>
      </c>
      <c r="M26" s="7" t="s">
        <v>998</v>
      </c>
      <c r="N26" s="7">
        <v>100</v>
      </c>
      <c r="O26" s="7">
        <v>50</v>
      </c>
      <c r="P26" s="7"/>
      <c r="R26" s="9">
        <v>373.19523326741842</v>
      </c>
      <c r="T26" s="7" t="s">
        <v>34</v>
      </c>
      <c r="U26" s="7" t="s">
        <v>34</v>
      </c>
    </row>
    <row r="27" spans="1:21" ht="14.1" customHeight="1">
      <c r="A27" s="7">
        <v>23</v>
      </c>
      <c r="B27" s="14" t="s">
        <v>124</v>
      </c>
      <c r="C27" s="14" t="s">
        <v>294</v>
      </c>
      <c r="D27" s="7" t="s">
        <v>35</v>
      </c>
      <c r="E27" s="14" t="s">
        <v>295</v>
      </c>
      <c r="F27" s="7" t="s">
        <v>26</v>
      </c>
      <c r="G27" s="8" t="s">
        <v>1030</v>
      </c>
      <c r="H27" s="7" t="s">
        <v>1000</v>
      </c>
      <c r="I27" s="8" t="s">
        <v>1029</v>
      </c>
      <c r="J27" s="7" t="s">
        <v>123</v>
      </c>
      <c r="K27" s="7" t="s">
        <v>1001</v>
      </c>
      <c r="L27" s="7" t="s">
        <v>490</v>
      </c>
      <c r="M27" s="7" t="s">
        <v>998</v>
      </c>
      <c r="N27" s="7">
        <v>100</v>
      </c>
      <c r="O27" s="7">
        <v>50</v>
      </c>
      <c r="P27" s="7"/>
      <c r="R27" s="9">
        <v>382.63365596006929</v>
      </c>
      <c r="T27" s="7" t="s">
        <v>34</v>
      </c>
      <c r="U27" s="7" t="s">
        <v>34</v>
      </c>
    </row>
    <row r="28" spans="1:21" ht="14.1" customHeight="1">
      <c r="A28" s="7">
        <v>24</v>
      </c>
      <c r="B28" s="14" t="s">
        <v>124</v>
      </c>
      <c r="C28" s="14" t="s">
        <v>294</v>
      </c>
      <c r="D28" s="7" t="s">
        <v>35</v>
      </c>
      <c r="E28" s="14" t="s">
        <v>295</v>
      </c>
      <c r="F28" s="7" t="s">
        <v>26</v>
      </c>
      <c r="G28" s="8" t="s">
        <v>1031</v>
      </c>
      <c r="H28" s="7" t="s">
        <v>1003</v>
      </c>
      <c r="I28" s="8" t="s">
        <v>1029</v>
      </c>
      <c r="J28" s="7" t="s">
        <v>123</v>
      </c>
      <c r="K28" s="17" t="s">
        <v>26</v>
      </c>
      <c r="L28" s="7" t="s">
        <v>490</v>
      </c>
      <c r="M28" s="7" t="s">
        <v>998</v>
      </c>
      <c r="N28" s="7">
        <v>100</v>
      </c>
      <c r="O28" s="7">
        <v>50</v>
      </c>
      <c r="P28" s="7"/>
      <c r="R28" s="9">
        <v>392.07207865272022</v>
      </c>
      <c r="T28" s="7" t="s">
        <v>34</v>
      </c>
      <c r="U28" s="7" t="s">
        <v>34</v>
      </c>
    </row>
    <row r="29" spans="1:21" ht="14.1" customHeight="1">
      <c r="A29" s="7">
        <v>25</v>
      </c>
      <c r="B29" s="14" t="s">
        <v>124</v>
      </c>
      <c r="C29" s="14" t="s">
        <v>294</v>
      </c>
      <c r="D29" s="7" t="s">
        <v>35</v>
      </c>
      <c r="E29" s="14" t="s">
        <v>295</v>
      </c>
      <c r="F29" s="7" t="s">
        <v>26</v>
      </c>
      <c r="G29" s="8" t="s">
        <v>1032</v>
      </c>
      <c r="H29" s="7" t="s">
        <v>121</v>
      </c>
      <c r="I29" s="8" t="s">
        <v>1033</v>
      </c>
      <c r="J29" s="7" t="s">
        <v>123</v>
      </c>
      <c r="K29" s="7" t="s">
        <v>31</v>
      </c>
      <c r="L29" s="7" t="s">
        <v>490</v>
      </c>
      <c r="M29" s="7" t="s">
        <v>998</v>
      </c>
      <c r="N29" s="7">
        <v>100</v>
      </c>
      <c r="O29" s="7">
        <v>50</v>
      </c>
      <c r="P29" s="7"/>
      <c r="R29" s="9">
        <v>363.75681057476743</v>
      </c>
      <c r="T29" s="7" t="s">
        <v>34</v>
      </c>
      <c r="U29" s="7" t="s">
        <v>34</v>
      </c>
    </row>
    <row r="30" spans="1:21" ht="14.1" customHeight="1">
      <c r="A30" s="7">
        <v>26</v>
      </c>
      <c r="B30" s="14" t="s">
        <v>124</v>
      </c>
      <c r="C30" s="14" t="s">
        <v>294</v>
      </c>
      <c r="D30" s="7" t="s">
        <v>35</v>
      </c>
      <c r="E30" s="14" t="s">
        <v>295</v>
      </c>
      <c r="F30" s="7" t="s">
        <v>26</v>
      </c>
      <c r="G30" s="8" t="s">
        <v>1034</v>
      </c>
      <c r="H30" s="7" t="s">
        <v>1000</v>
      </c>
      <c r="I30" s="8" t="s">
        <v>1033</v>
      </c>
      <c r="J30" s="7" t="s">
        <v>123</v>
      </c>
      <c r="K30" s="7" t="s">
        <v>1001</v>
      </c>
      <c r="L30" s="7" t="s">
        <v>490</v>
      </c>
      <c r="M30" s="7" t="s">
        <v>998</v>
      </c>
      <c r="N30" s="7">
        <v>100</v>
      </c>
      <c r="O30" s="7">
        <v>50</v>
      </c>
      <c r="P30" s="7"/>
      <c r="R30" s="9">
        <v>373.19523326741842</v>
      </c>
      <c r="T30" s="7" t="s">
        <v>34</v>
      </c>
      <c r="U30" s="7" t="s">
        <v>34</v>
      </c>
    </row>
    <row r="31" spans="1:21" ht="14.1" customHeight="1">
      <c r="A31" s="7">
        <v>27</v>
      </c>
      <c r="B31" s="14" t="s">
        <v>124</v>
      </c>
      <c r="C31" s="14" t="s">
        <v>294</v>
      </c>
      <c r="D31" s="7" t="s">
        <v>35</v>
      </c>
      <c r="E31" s="14" t="s">
        <v>295</v>
      </c>
      <c r="F31" s="7" t="s">
        <v>26</v>
      </c>
      <c r="G31" s="8" t="s">
        <v>1035</v>
      </c>
      <c r="H31" s="7" t="s">
        <v>1003</v>
      </c>
      <c r="I31" s="8" t="s">
        <v>1033</v>
      </c>
      <c r="J31" s="7" t="s">
        <v>123</v>
      </c>
      <c r="K31" s="17" t="s">
        <v>26</v>
      </c>
      <c r="L31" s="7" t="s">
        <v>490</v>
      </c>
      <c r="M31" s="7" t="s">
        <v>998</v>
      </c>
      <c r="N31" s="7">
        <v>100</v>
      </c>
      <c r="O31" s="7">
        <v>50</v>
      </c>
      <c r="P31" s="7"/>
      <c r="R31" s="9">
        <v>373.19523326741842</v>
      </c>
      <c r="T31" s="7" t="s">
        <v>34</v>
      </c>
      <c r="U31" s="7" t="s">
        <v>34</v>
      </c>
    </row>
    <row r="32" spans="1:21" ht="14.1" customHeight="1">
      <c r="A32" s="7">
        <v>28</v>
      </c>
      <c r="B32" s="14" t="s">
        <v>124</v>
      </c>
      <c r="C32" s="14" t="s">
        <v>294</v>
      </c>
      <c r="D32" s="7" t="s">
        <v>35</v>
      </c>
      <c r="E32" s="14" t="s">
        <v>295</v>
      </c>
      <c r="F32" s="7" t="s">
        <v>26</v>
      </c>
      <c r="G32" s="8" t="s">
        <v>1036</v>
      </c>
      <c r="H32" s="7" t="s">
        <v>995</v>
      </c>
      <c r="I32" s="8" t="s">
        <v>1037</v>
      </c>
      <c r="J32" s="7" t="s">
        <v>123</v>
      </c>
      <c r="K32" s="7" t="s">
        <v>997</v>
      </c>
      <c r="L32" s="7" t="s">
        <v>490</v>
      </c>
      <c r="M32" s="7" t="s">
        <v>998</v>
      </c>
      <c r="N32" s="7">
        <v>100</v>
      </c>
      <c r="O32" s="7">
        <v>50</v>
      </c>
      <c r="P32" s="7"/>
      <c r="R32" s="9">
        <v>295.2338618261216</v>
      </c>
      <c r="T32" s="7" t="s">
        <v>34</v>
      </c>
      <c r="U32" s="7" t="s">
        <v>34</v>
      </c>
    </row>
    <row r="33" spans="1:21" ht="14.1" customHeight="1">
      <c r="A33" s="7">
        <v>29</v>
      </c>
      <c r="B33" s="14" t="s">
        <v>124</v>
      </c>
      <c r="C33" s="14" t="s">
        <v>294</v>
      </c>
      <c r="D33" s="7" t="s">
        <v>35</v>
      </c>
      <c r="E33" s="14" t="s">
        <v>295</v>
      </c>
      <c r="F33" s="7" t="s">
        <v>26</v>
      </c>
      <c r="G33" s="8" t="s">
        <v>1038</v>
      </c>
      <c r="H33" s="7" t="s">
        <v>1000</v>
      </c>
      <c r="I33" s="8" t="s">
        <v>1037</v>
      </c>
      <c r="J33" s="7" t="s">
        <v>123</v>
      </c>
      <c r="K33" s="7" t="s">
        <v>1001</v>
      </c>
      <c r="L33" s="7" t="s">
        <v>490</v>
      </c>
      <c r="M33" s="7" t="s">
        <v>998</v>
      </c>
      <c r="N33" s="7">
        <v>100</v>
      </c>
      <c r="O33" s="7">
        <v>50</v>
      </c>
      <c r="P33" s="7"/>
      <c r="R33" s="9">
        <v>304.67228451877253</v>
      </c>
      <c r="T33" s="7" t="s">
        <v>34</v>
      </c>
      <c r="U33" s="7" t="s">
        <v>34</v>
      </c>
    </row>
    <row r="34" spans="1:21" ht="14.1" customHeight="1">
      <c r="A34" s="7">
        <v>30</v>
      </c>
      <c r="B34" s="14" t="s">
        <v>124</v>
      </c>
      <c r="C34" s="14" t="s">
        <v>294</v>
      </c>
      <c r="D34" s="7" t="s">
        <v>35</v>
      </c>
      <c r="E34" s="14" t="s">
        <v>295</v>
      </c>
      <c r="F34" s="7" t="s">
        <v>26</v>
      </c>
      <c r="G34" s="8" t="s">
        <v>1039</v>
      </c>
      <c r="H34" s="7" t="s">
        <v>1003</v>
      </c>
      <c r="I34" s="8" t="s">
        <v>1037</v>
      </c>
      <c r="J34" s="7" t="s">
        <v>123</v>
      </c>
      <c r="K34" s="17" t="s">
        <v>26</v>
      </c>
      <c r="L34" s="7" t="s">
        <v>490</v>
      </c>
      <c r="M34" s="7" t="s">
        <v>998</v>
      </c>
      <c r="N34" s="7">
        <v>100</v>
      </c>
      <c r="O34" s="7">
        <v>50</v>
      </c>
      <c r="P34" s="7"/>
      <c r="R34" s="9">
        <v>304.67228451877253</v>
      </c>
      <c r="T34" s="7" t="s">
        <v>34</v>
      </c>
      <c r="U34" s="7" t="s">
        <v>34</v>
      </c>
    </row>
    <row r="35" spans="1:21" ht="14.1" customHeight="1">
      <c r="A35" s="7">
        <v>31</v>
      </c>
      <c r="B35" s="14" t="s">
        <v>124</v>
      </c>
      <c r="C35" s="14" t="s">
        <v>294</v>
      </c>
      <c r="D35" s="7" t="s">
        <v>35</v>
      </c>
      <c r="E35" s="14" t="s">
        <v>295</v>
      </c>
      <c r="F35" s="7" t="s">
        <v>26</v>
      </c>
      <c r="G35" s="8" t="s">
        <v>1040</v>
      </c>
      <c r="H35" s="7" t="s">
        <v>995</v>
      </c>
      <c r="I35" s="8" t="s">
        <v>1041</v>
      </c>
      <c r="J35" s="7" t="s">
        <v>123</v>
      </c>
      <c r="K35" s="7" t="s">
        <v>997</v>
      </c>
      <c r="L35" s="7" t="s">
        <v>490</v>
      </c>
      <c r="M35" s="7" t="s">
        <v>998</v>
      </c>
      <c r="N35" s="7">
        <v>100</v>
      </c>
      <c r="O35" s="7">
        <v>50</v>
      </c>
      <c r="P35" s="7"/>
      <c r="R35" s="9">
        <v>311.46794885748119</v>
      </c>
      <c r="T35" s="7" t="s">
        <v>34</v>
      </c>
      <c r="U35" s="7" t="s">
        <v>34</v>
      </c>
    </row>
    <row r="36" spans="1:21" ht="14.1" customHeight="1">
      <c r="A36" s="7">
        <v>32</v>
      </c>
      <c r="B36" s="14" t="s">
        <v>124</v>
      </c>
      <c r="C36" s="14" t="s">
        <v>294</v>
      </c>
      <c r="D36" s="7" t="s">
        <v>35</v>
      </c>
      <c r="E36" s="14" t="s">
        <v>295</v>
      </c>
      <c r="F36" s="7" t="s">
        <v>26</v>
      </c>
      <c r="G36" s="8" t="s">
        <v>1042</v>
      </c>
      <c r="H36" s="7" t="s">
        <v>1000</v>
      </c>
      <c r="I36" s="8" t="s">
        <v>1041</v>
      </c>
      <c r="J36" s="7" t="s">
        <v>123</v>
      </c>
      <c r="K36" s="7" t="s">
        <v>1001</v>
      </c>
      <c r="L36" s="7" t="s">
        <v>490</v>
      </c>
      <c r="M36" s="7" t="s">
        <v>998</v>
      </c>
      <c r="N36" s="7">
        <v>100</v>
      </c>
      <c r="O36" s="7">
        <v>50</v>
      </c>
      <c r="P36" s="7"/>
      <c r="R36" s="9">
        <v>320.90637155013212</v>
      </c>
      <c r="T36" s="7" t="s">
        <v>34</v>
      </c>
      <c r="U36" s="7" t="s">
        <v>34</v>
      </c>
    </row>
    <row r="37" spans="1:21" ht="14.1" customHeight="1">
      <c r="A37" s="7">
        <v>33</v>
      </c>
      <c r="B37" s="14" t="s">
        <v>124</v>
      </c>
      <c r="C37" s="14" t="s">
        <v>294</v>
      </c>
      <c r="D37" s="7" t="s">
        <v>35</v>
      </c>
      <c r="E37" s="14" t="s">
        <v>295</v>
      </c>
      <c r="F37" s="7" t="s">
        <v>26</v>
      </c>
      <c r="G37" s="8" t="s">
        <v>1043</v>
      </c>
      <c r="H37" s="7" t="s">
        <v>1003</v>
      </c>
      <c r="I37" s="8" t="s">
        <v>1041</v>
      </c>
      <c r="J37" s="7" t="s">
        <v>123</v>
      </c>
      <c r="K37" s="17" t="s">
        <v>26</v>
      </c>
      <c r="L37" s="7" t="s">
        <v>490</v>
      </c>
      <c r="M37" s="7" t="s">
        <v>998</v>
      </c>
      <c r="N37" s="7">
        <v>100</v>
      </c>
      <c r="O37" s="7">
        <v>50</v>
      </c>
      <c r="P37" s="7"/>
      <c r="R37" s="9">
        <v>320.90637155013212</v>
      </c>
      <c r="T37" s="7" t="s">
        <v>34</v>
      </c>
      <c r="U37" s="7" t="s">
        <v>34</v>
      </c>
    </row>
    <row r="38" spans="1:21" ht="14.1" customHeight="1">
      <c r="A38" s="7">
        <v>34</v>
      </c>
      <c r="B38" s="14" t="s">
        <v>124</v>
      </c>
      <c r="C38" s="14" t="s">
        <v>294</v>
      </c>
      <c r="D38" s="7" t="s">
        <v>35</v>
      </c>
      <c r="E38" s="14" t="s">
        <v>295</v>
      </c>
      <c r="F38" s="7" t="s">
        <v>26</v>
      </c>
      <c r="G38" s="8" t="s">
        <v>1044</v>
      </c>
      <c r="H38" s="7" t="s">
        <v>995</v>
      </c>
      <c r="I38" s="8" t="s">
        <v>1045</v>
      </c>
      <c r="J38" s="7" t="s">
        <v>123</v>
      </c>
      <c r="K38" s="7" t="s">
        <v>997</v>
      </c>
      <c r="L38" s="7" t="s">
        <v>490</v>
      </c>
      <c r="M38" s="7" t="s">
        <v>998</v>
      </c>
      <c r="N38" s="7">
        <v>100</v>
      </c>
      <c r="O38" s="7">
        <v>50</v>
      </c>
      <c r="P38" s="7"/>
      <c r="R38" s="9">
        <v>335.25277404296151</v>
      </c>
      <c r="T38" s="7" t="s">
        <v>34</v>
      </c>
      <c r="U38" s="7" t="s">
        <v>34</v>
      </c>
    </row>
    <row r="39" spans="1:21" ht="14.1" customHeight="1">
      <c r="A39" s="7">
        <v>35</v>
      </c>
      <c r="B39" s="14" t="s">
        <v>124</v>
      </c>
      <c r="C39" s="14" t="s">
        <v>294</v>
      </c>
      <c r="D39" s="7" t="s">
        <v>35</v>
      </c>
      <c r="E39" s="14" t="s">
        <v>295</v>
      </c>
      <c r="F39" s="7" t="s">
        <v>26</v>
      </c>
      <c r="G39" s="8" t="s">
        <v>1046</v>
      </c>
      <c r="H39" s="7" t="s">
        <v>1000</v>
      </c>
      <c r="I39" s="8" t="s">
        <v>1045</v>
      </c>
      <c r="J39" s="7" t="s">
        <v>123</v>
      </c>
      <c r="K39" s="7" t="s">
        <v>1001</v>
      </c>
      <c r="L39" s="7" t="s">
        <v>490</v>
      </c>
      <c r="M39" s="7" t="s">
        <v>998</v>
      </c>
      <c r="N39" s="7">
        <v>100</v>
      </c>
      <c r="O39" s="7">
        <v>50</v>
      </c>
      <c r="P39" s="7"/>
      <c r="R39" s="9">
        <v>344.69119673561249</v>
      </c>
      <c r="T39" s="7" t="s">
        <v>34</v>
      </c>
      <c r="U39" s="7" t="s">
        <v>34</v>
      </c>
    </row>
    <row r="40" spans="1:21" ht="14.1" customHeight="1">
      <c r="A40" s="7">
        <v>36</v>
      </c>
      <c r="B40" s="14" t="s">
        <v>124</v>
      </c>
      <c r="C40" s="14" t="s">
        <v>294</v>
      </c>
      <c r="D40" s="7" t="s">
        <v>35</v>
      </c>
      <c r="E40" s="14" t="s">
        <v>295</v>
      </c>
      <c r="F40" s="7" t="s">
        <v>26</v>
      </c>
      <c r="G40" s="8" t="s">
        <v>1047</v>
      </c>
      <c r="H40" s="7" t="s">
        <v>1003</v>
      </c>
      <c r="I40" s="8" t="s">
        <v>1045</v>
      </c>
      <c r="J40" s="7" t="s">
        <v>123</v>
      </c>
      <c r="K40" s="17" t="s">
        <v>26</v>
      </c>
      <c r="L40" s="7" t="s">
        <v>490</v>
      </c>
      <c r="M40" s="7" t="s">
        <v>998</v>
      </c>
      <c r="N40" s="7">
        <v>100</v>
      </c>
      <c r="O40" s="7">
        <v>50</v>
      </c>
      <c r="P40" s="7"/>
      <c r="R40" s="9">
        <v>344.69119673561249</v>
      </c>
      <c r="T40" s="7" t="s">
        <v>34</v>
      </c>
      <c r="U40" s="7" t="s">
        <v>34</v>
      </c>
    </row>
    <row r="41" spans="1:21" ht="14.1" customHeight="1">
      <c r="A41" s="7">
        <v>37</v>
      </c>
      <c r="B41" s="14" t="s">
        <v>124</v>
      </c>
      <c r="C41" s="14" t="s">
        <v>294</v>
      </c>
      <c r="D41" s="7" t="s">
        <v>35</v>
      </c>
      <c r="E41" s="14" t="s">
        <v>295</v>
      </c>
      <c r="F41" s="7" t="s">
        <v>26</v>
      </c>
      <c r="G41" s="8" t="s">
        <v>1048</v>
      </c>
      <c r="H41" s="7" t="s">
        <v>995</v>
      </c>
      <c r="I41" s="8" t="s">
        <v>1049</v>
      </c>
      <c r="J41" s="7" t="s">
        <v>123</v>
      </c>
      <c r="K41" s="7" t="s">
        <v>997</v>
      </c>
      <c r="L41" s="7" t="s">
        <v>490</v>
      </c>
      <c r="M41" s="7" t="s">
        <v>998</v>
      </c>
      <c r="N41" s="7">
        <v>100</v>
      </c>
      <c r="O41" s="7">
        <v>50</v>
      </c>
      <c r="P41" s="7"/>
      <c r="R41" s="9">
        <v>370.36370645962302</v>
      </c>
      <c r="T41" s="7" t="s">
        <v>34</v>
      </c>
      <c r="U41" s="7" t="s">
        <v>34</v>
      </c>
    </row>
    <row r="42" spans="1:21" ht="14.1" customHeight="1">
      <c r="A42" s="7">
        <v>38</v>
      </c>
      <c r="B42" s="14" t="s">
        <v>124</v>
      </c>
      <c r="C42" s="14" t="s">
        <v>294</v>
      </c>
      <c r="D42" s="7" t="s">
        <v>35</v>
      </c>
      <c r="E42" s="14" t="s">
        <v>295</v>
      </c>
      <c r="F42" s="7" t="s">
        <v>26</v>
      </c>
      <c r="G42" s="8" t="s">
        <v>1050</v>
      </c>
      <c r="H42" s="7" t="s">
        <v>1000</v>
      </c>
      <c r="I42" s="8" t="s">
        <v>1049</v>
      </c>
      <c r="J42" s="7" t="s">
        <v>123</v>
      </c>
      <c r="K42" s="7" t="s">
        <v>1001</v>
      </c>
      <c r="L42" s="7" t="s">
        <v>490</v>
      </c>
      <c r="M42" s="7" t="s">
        <v>998</v>
      </c>
      <c r="N42" s="7">
        <v>100</v>
      </c>
      <c r="O42" s="7">
        <v>50</v>
      </c>
      <c r="P42" s="7"/>
      <c r="R42" s="9">
        <v>379.80212915227389</v>
      </c>
      <c r="T42" s="7" t="s">
        <v>34</v>
      </c>
      <c r="U42" s="7" t="s">
        <v>34</v>
      </c>
    </row>
    <row r="43" spans="1:21" ht="14.1" customHeight="1">
      <c r="A43" s="7">
        <v>39</v>
      </c>
      <c r="B43" s="14" t="s">
        <v>124</v>
      </c>
      <c r="C43" s="14" t="s">
        <v>294</v>
      </c>
      <c r="D43" s="7" t="s">
        <v>35</v>
      </c>
      <c r="E43" s="14" t="s">
        <v>295</v>
      </c>
      <c r="F43" s="7" t="s">
        <v>26</v>
      </c>
      <c r="G43" s="8" t="s">
        <v>1051</v>
      </c>
      <c r="H43" s="7" t="s">
        <v>1003</v>
      </c>
      <c r="I43" s="8" t="s">
        <v>1049</v>
      </c>
      <c r="J43" s="7" t="s">
        <v>123</v>
      </c>
      <c r="K43" s="17" t="s">
        <v>26</v>
      </c>
      <c r="L43" s="7" t="s">
        <v>490</v>
      </c>
      <c r="M43" s="7" t="s">
        <v>998</v>
      </c>
      <c r="N43" s="7">
        <v>100</v>
      </c>
      <c r="O43" s="7">
        <v>50</v>
      </c>
      <c r="P43" s="7"/>
      <c r="R43" s="9">
        <v>379.80212915227389</v>
      </c>
      <c r="T43" s="7" t="s">
        <v>34</v>
      </c>
      <c r="U43" s="7" t="s">
        <v>34</v>
      </c>
    </row>
    <row r="44" spans="1:21" ht="14.1" customHeight="1">
      <c r="A44" s="7">
        <v>40</v>
      </c>
      <c r="B44" s="14" t="s">
        <v>124</v>
      </c>
      <c r="C44" s="14" t="s">
        <v>294</v>
      </c>
      <c r="D44" s="7" t="s">
        <v>35</v>
      </c>
      <c r="E44" s="14" t="s">
        <v>295</v>
      </c>
      <c r="F44" s="7" t="s">
        <v>26</v>
      </c>
      <c r="G44" s="8" t="s">
        <v>1052</v>
      </c>
      <c r="H44" s="7" t="s">
        <v>995</v>
      </c>
      <c r="I44" s="8" t="s">
        <v>1053</v>
      </c>
      <c r="J44" s="7" t="s">
        <v>123</v>
      </c>
      <c r="K44" s="7" t="s">
        <v>997</v>
      </c>
      <c r="L44" s="7" t="s">
        <v>490</v>
      </c>
      <c r="M44" s="7" t="s">
        <v>998</v>
      </c>
      <c r="N44" s="7">
        <v>100</v>
      </c>
      <c r="O44" s="7">
        <v>50</v>
      </c>
      <c r="P44" s="7"/>
      <c r="R44" s="9">
        <v>335.25277404296151</v>
      </c>
      <c r="T44" s="7" t="s">
        <v>34</v>
      </c>
      <c r="U44" s="7" t="s">
        <v>34</v>
      </c>
    </row>
    <row r="45" spans="1:21" ht="14.1" customHeight="1">
      <c r="A45" s="7">
        <v>41</v>
      </c>
      <c r="B45" s="14" t="s">
        <v>124</v>
      </c>
      <c r="C45" s="14" t="s">
        <v>294</v>
      </c>
      <c r="D45" s="7" t="s">
        <v>35</v>
      </c>
      <c r="E45" s="14" t="s">
        <v>295</v>
      </c>
      <c r="F45" s="7" t="s">
        <v>26</v>
      </c>
      <c r="G45" s="8" t="s">
        <v>1054</v>
      </c>
      <c r="H45" s="7" t="s">
        <v>1000</v>
      </c>
      <c r="I45" s="8" t="s">
        <v>1053</v>
      </c>
      <c r="J45" s="7" t="s">
        <v>123</v>
      </c>
      <c r="K45" s="7" t="s">
        <v>1001</v>
      </c>
      <c r="L45" s="7" t="s">
        <v>490</v>
      </c>
      <c r="M45" s="7" t="s">
        <v>998</v>
      </c>
      <c r="N45" s="7">
        <v>100</v>
      </c>
      <c r="O45" s="7">
        <v>50</v>
      </c>
      <c r="P45" s="7"/>
      <c r="R45" s="9">
        <v>344.69119673561249</v>
      </c>
      <c r="T45" s="7" t="s">
        <v>34</v>
      </c>
      <c r="U45" s="7" t="s">
        <v>34</v>
      </c>
    </row>
    <row r="46" spans="1:21" ht="14.1" customHeight="1">
      <c r="A46" s="7">
        <v>42</v>
      </c>
      <c r="B46" s="14" t="s">
        <v>124</v>
      </c>
      <c r="C46" s="14" t="s">
        <v>294</v>
      </c>
      <c r="D46" s="7" t="s">
        <v>35</v>
      </c>
      <c r="E46" s="14" t="s">
        <v>295</v>
      </c>
      <c r="F46" s="7" t="s">
        <v>26</v>
      </c>
      <c r="G46" s="8" t="s">
        <v>1055</v>
      </c>
      <c r="H46" s="7" t="s">
        <v>1003</v>
      </c>
      <c r="I46" s="8" t="s">
        <v>1053</v>
      </c>
      <c r="J46" s="7" t="s">
        <v>123</v>
      </c>
      <c r="K46" s="17" t="s">
        <v>26</v>
      </c>
      <c r="L46" s="7" t="s">
        <v>490</v>
      </c>
      <c r="M46" s="7" t="s">
        <v>998</v>
      </c>
      <c r="N46" s="7">
        <v>100</v>
      </c>
      <c r="O46" s="7">
        <v>50</v>
      </c>
      <c r="P46" s="7"/>
      <c r="R46" s="9">
        <v>344.69119673561249</v>
      </c>
      <c r="T46" s="7" t="s">
        <v>34</v>
      </c>
      <c r="U46" s="7" t="s">
        <v>34</v>
      </c>
    </row>
    <row r="47" spans="1:21" ht="14.1" customHeight="1">
      <c r="A47" s="7">
        <v>43</v>
      </c>
      <c r="B47" s="14" t="s">
        <v>124</v>
      </c>
      <c r="C47" s="14" t="s">
        <v>294</v>
      </c>
      <c r="D47" s="7" t="s">
        <v>35</v>
      </c>
      <c r="E47" s="14" t="s">
        <v>295</v>
      </c>
      <c r="F47" s="7" t="s">
        <v>26</v>
      </c>
      <c r="G47" s="8" t="s">
        <v>1056</v>
      </c>
      <c r="H47" s="7" t="s">
        <v>995</v>
      </c>
      <c r="I47" s="8" t="s">
        <v>1057</v>
      </c>
      <c r="J47" s="7" t="s">
        <v>123</v>
      </c>
      <c r="K47" s="7" t="s">
        <v>997</v>
      </c>
      <c r="L47" s="7" t="s">
        <v>490</v>
      </c>
      <c r="M47" s="7" t="s">
        <v>998</v>
      </c>
      <c r="N47" s="7">
        <v>100</v>
      </c>
      <c r="O47" s="7">
        <v>50</v>
      </c>
      <c r="P47" s="7"/>
      <c r="R47" s="9">
        <v>101.1798912652181</v>
      </c>
      <c r="T47" s="7" t="s">
        <v>34</v>
      </c>
      <c r="U47" s="7" t="s">
        <v>34</v>
      </c>
    </row>
    <row r="48" spans="1:21" ht="14.1" customHeight="1">
      <c r="A48" s="7">
        <v>44</v>
      </c>
      <c r="B48" s="14" t="s">
        <v>124</v>
      </c>
      <c r="C48" s="14" t="s">
        <v>294</v>
      </c>
      <c r="D48" s="7" t="s">
        <v>35</v>
      </c>
      <c r="E48" s="14" t="s">
        <v>295</v>
      </c>
      <c r="F48" s="7" t="s">
        <v>26</v>
      </c>
      <c r="G48" s="8" t="s">
        <v>1058</v>
      </c>
      <c r="H48" s="7" t="s">
        <v>1000</v>
      </c>
      <c r="I48" s="8" t="s">
        <v>1057</v>
      </c>
      <c r="J48" s="7" t="s">
        <v>123</v>
      </c>
      <c r="K48" s="7" t="s">
        <v>1001</v>
      </c>
      <c r="L48" s="7" t="s">
        <v>490</v>
      </c>
      <c r="M48" s="7" t="s">
        <v>998</v>
      </c>
      <c r="N48" s="7">
        <v>100</v>
      </c>
      <c r="O48" s="7">
        <v>50</v>
      </c>
      <c r="P48" s="7"/>
      <c r="R48" s="9">
        <v>110.61831395786911</v>
      </c>
      <c r="T48" s="7" t="s">
        <v>34</v>
      </c>
      <c r="U48" s="7" t="s">
        <v>34</v>
      </c>
    </row>
    <row r="49" spans="1:21" ht="14.1" customHeight="1">
      <c r="A49" s="7">
        <v>45</v>
      </c>
      <c r="B49" s="14" t="s">
        <v>124</v>
      </c>
      <c r="C49" s="14" t="s">
        <v>294</v>
      </c>
      <c r="D49" s="7" t="s">
        <v>35</v>
      </c>
      <c r="E49" s="14" t="s">
        <v>295</v>
      </c>
      <c r="F49" s="7" t="s">
        <v>26</v>
      </c>
      <c r="G49" s="8" t="s">
        <v>1059</v>
      </c>
      <c r="H49" s="7" t="s">
        <v>1003</v>
      </c>
      <c r="I49" s="8" t="s">
        <v>1057</v>
      </c>
      <c r="J49" s="7" t="s">
        <v>123</v>
      </c>
      <c r="K49" s="17" t="s">
        <v>26</v>
      </c>
      <c r="L49" s="7" t="s">
        <v>490</v>
      </c>
      <c r="M49" s="7" t="s">
        <v>998</v>
      </c>
      <c r="N49" s="7">
        <v>100</v>
      </c>
      <c r="O49" s="7">
        <v>50</v>
      </c>
      <c r="P49" s="7"/>
      <c r="R49" s="9">
        <v>110.61831395786911</v>
      </c>
      <c r="T49" s="7" t="s">
        <v>34</v>
      </c>
      <c r="U49" s="7" t="s">
        <v>34</v>
      </c>
    </row>
    <row r="50" spans="1:21" ht="14.1" customHeight="1">
      <c r="A50" s="7">
        <v>46</v>
      </c>
      <c r="B50" s="14" t="s">
        <v>124</v>
      </c>
      <c r="C50" s="14" t="s">
        <v>294</v>
      </c>
      <c r="D50" s="7" t="s">
        <v>35</v>
      </c>
      <c r="E50" s="14" t="s">
        <v>295</v>
      </c>
      <c r="F50" s="7" t="s">
        <v>26</v>
      </c>
      <c r="G50" s="8" t="s">
        <v>1060</v>
      </c>
      <c r="H50" s="7" t="s">
        <v>995</v>
      </c>
      <c r="I50" s="8" t="s">
        <v>1061</v>
      </c>
      <c r="J50" s="7" t="s">
        <v>123</v>
      </c>
      <c r="K50" s="7" t="s">
        <v>997</v>
      </c>
      <c r="L50" s="7" t="s">
        <v>490</v>
      </c>
      <c r="M50" s="7" t="s">
        <v>998</v>
      </c>
      <c r="N50" s="7">
        <v>100</v>
      </c>
      <c r="O50" s="7">
        <v>50</v>
      </c>
      <c r="P50" s="7"/>
      <c r="R50" s="9">
        <v>420.57611518452609</v>
      </c>
      <c r="T50" s="7" t="s">
        <v>34</v>
      </c>
      <c r="U50" s="7" t="s">
        <v>34</v>
      </c>
    </row>
    <row r="51" spans="1:21" ht="14.1" customHeight="1">
      <c r="A51" s="7">
        <v>47</v>
      </c>
      <c r="B51" s="14" t="s">
        <v>124</v>
      </c>
      <c r="C51" s="14" t="s">
        <v>294</v>
      </c>
      <c r="D51" s="7" t="s">
        <v>35</v>
      </c>
      <c r="E51" s="14" t="s">
        <v>295</v>
      </c>
      <c r="F51" s="7" t="s">
        <v>26</v>
      </c>
      <c r="G51" s="8" t="s">
        <v>1062</v>
      </c>
      <c r="H51" s="7" t="s">
        <v>1000</v>
      </c>
      <c r="I51" s="8" t="s">
        <v>1061</v>
      </c>
      <c r="J51" s="7" t="s">
        <v>123</v>
      </c>
      <c r="K51" s="7" t="s">
        <v>1001</v>
      </c>
      <c r="L51" s="7" t="s">
        <v>490</v>
      </c>
      <c r="M51" s="7" t="s">
        <v>998</v>
      </c>
      <c r="N51" s="7">
        <v>100</v>
      </c>
      <c r="O51" s="7">
        <v>50</v>
      </c>
      <c r="P51" s="7"/>
      <c r="R51" s="9">
        <v>430.01453787717702</v>
      </c>
      <c r="T51" s="7" t="s">
        <v>34</v>
      </c>
      <c r="U51" s="7" t="s">
        <v>34</v>
      </c>
    </row>
    <row r="52" spans="1:21" ht="14.1" customHeight="1">
      <c r="A52" s="7">
        <v>48</v>
      </c>
      <c r="B52" s="14" t="s">
        <v>124</v>
      </c>
      <c r="C52" s="14" t="s">
        <v>294</v>
      </c>
      <c r="D52" s="7" t="s">
        <v>35</v>
      </c>
      <c r="E52" s="14" t="s">
        <v>295</v>
      </c>
      <c r="F52" s="7" t="s">
        <v>26</v>
      </c>
      <c r="G52" s="8" t="s">
        <v>1063</v>
      </c>
      <c r="H52" s="7" t="s">
        <v>1003</v>
      </c>
      <c r="I52" s="8" t="s">
        <v>1061</v>
      </c>
      <c r="J52" s="7" t="s">
        <v>123</v>
      </c>
      <c r="K52" s="17" t="s">
        <v>26</v>
      </c>
      <c r="L52" s="7" t="s">
        <v>490</v>
      </c>
      <c r="M52" s="7" t="s">
        <v>998</v>
      </c>
      <c r="N52" s="7">
        <v>100</v>
      </c>
      <c r="O52" s="7">
        <v>50</v>
      </c>
      <c r="P52" s="7"/>
      <c r="R52" s="9">
        <v>430.01453787717702</v>
      </c>
      <c r="T52" s="7" t="s">
        <v>34</v>
      </c>
      <c r="U52" s="7" t="s">
        <v>34</v>
      </c>
    </row>
    <row r="53" spans="1:21" ht="14.1" customHeight="1">
      <c r="A53" s="7">
        <v>49</v>
      </c>
      <c r="B53" s="14" t="s">
        <v>124</v>
      </c>
      <c r="C53" s="14" t="s">
        <v>294</v>
      </c>
      <c r="D53" s="7" t="s">
        <v>35</v>
      </c>
      <c r="E53" s="14" t="s">
        <v>295</v>
      </c>
      <c r="F53" s="7" t="s">
        <v>26</v>
      </c>
      <c r="G53" s="8" t="s">
        <v>1064</v>
      </c>
      <c r="H53" s="7" t="s">
        <v>995</v>
      </c>
      <c r="I53" s="8" t="s">
        <v>996</v>
      </c>
      <c r="J53" s="7" t="s">
        <v>123</v>
      </c>
      <c r="K53" s="7" t="s">
        <v>997</v>
      </c>
      <c r="L53" s="7" t="s">
        <v>490</v>
      </c>
      <c r="M53" s="7" t="s">
        <v>998</v>
      </c>
      <c r="N53" s="7">
        <v>100</v>
      </c>
      <c r="O53" s="7">
        <v>50</v>
      </c>
      <c r="P53" s="7"/>
      <c r="R53" s="9">
        <v>562.34122402814319</v>
      </c>
      <c r="T53" s="7" t="s">
        <v>34</v>
      </c>
      <c r="U53" s="7" t="s">
        <v>34</v>
      </c>
    </row>
    <row r="54" spans="1:21" ht="14.1" customHeight="1">
      <c r="A54" s="7">
        <v>50</v>
      </c>
      <c r="B54" s="14" t="s">
        <v>124</v>
      </c>
      <c r="C54" s="14" t="s">
        <v>294</v>
      </c>
      <c r="D54" s="7" t="s">
        <v>35</v>
      </c>
      <c r="E54" s="14" t="s">
        <v>295</v>
      </c>
      <c r="F54" s="7" t="s">
        <v>26</v>
      </c>
      <c r="G54" s="8" t="s">
        <v>1065</v>
      </c>
      <c r="H54" s="7" t="s">
        <v>1000</v>
      </c>
      <c r="I54" s="8" t="s">
        <v>996</v>
      </c>
      <c r="J54" s="7" t="s">
        <v>123</v>
      </c>
      <c r="K54" s="7" t="s">
        <v>1001</v>
      </c>
      <c r="L54" s="7" t="s">
        <v>490</v>
      </c>
      <c r="M54" s="7" t="s">
        <v>998</v>
      </c>
      <c r="N54" s="7">
        <v>100</v>
      </c>
      <c r="O54" s="7">
        <v>50</v>
      </c>
      <c r="P54" s="7"/>
      <c r="R54" s="9">
        <v>571.77964672079418</v>
      </c>
      <c r="T54" s="7" t="s">
        <v>34</v>
      </c>
      <c r="U54" s="7" t="s">
        <v>34</v>
      </c>
    </row>
    <row r="55" spans="1:21" ht="14.1" customHeight="1">
      <c r="A55" s="7">
        <v>51</v>
      </c>
      <c r="B55" s="14" t="s">
        <v>124</v>
      </c>
      <c r="C55" s="14" t="s">
        <v>294</v>
      </c>
      <c r="D55" s="7" t="s">
        <v>35</v>
      </c>
      <c r="E55" s="14" t="s">
        <v>295</v>
      </c>
      <c r="F55" s="7" t="s">
        <v>26</v>
      </c>
      <c r="G55" s="8" t="s">
        <v>1066</v>
      </c>
      <c r="H55" s="7" t="s">
        <v>1003</v>
      </c>
      <c r="I55" s="8" t="s">
        <v>996</v>
      </c>
      <c r="J55" s="7" t="s">
        <v>123</v>
      </c>
      <c r="K55" s="17" t="s">
        <v>26</v>
      </c>
      <c r="L55" s="7" t="s">
        <v>490</v>
      </c>
      <c r="M55" s="7" t="s">
        <v>998</v>
      </c>
      <c r="N55" s="7">
        <v>100</v>
      </c>
      <c r="O55" s="7">
        <v>50</v>
      </c>
      <c r="P55" s="7"/>
      <c r="R55" s="9">
        <v>571.77964672079418</v>
      </c>
      <c r="T55" s="7" t="s">
        <v>34</v>
      </c>
      <c r="U55" s="7" t="s">
        <v>34</v>
      </c>
    </row>
    <row r="56" spans="1:21" ht="14.1" customHeight="1">
      <c r="A56" s="7">
        <v>52</v>
      </c>
      <c r="B56" s="14" t="s">
        <v>124</v>
      </c>
      <c r="C56" s="14" t="s">
        <v>294</v>
      </c>
      <c r="D56" s="7" t="s">
        <v>35</v>
      </c>
      <c r="E56" s="14" t="s">
        <v>295</v>
      </c>
      <c r="F56" s="7" t="s">
        <v>26</v>
      </c>
      <c r="G56" s="8" t="s">
        <v>1067</v>
      </c>
      <c r="H56" s="7" t="s">
        <v>995</v>
      </c>
      <c r="I56" s="8" t="s">
        <v>1005</v>
      </c>
      <c r="J56" s="7" t="s">
        <v>123</v>
      </c>
      <c r="K56" s="7" t="s">
        <v>997</v>
      </c>
      <c r="L56" s="7" t="s">
        <v>490</v>
      </c>
      <c r="M56" s="7" t="s">
        <v>998</v>
      </c>
      <c r="N56" s="7">
        <v>100</v>
      </c>
      <c r="O56" s="7">
        <v>50</v>
      </c>
      <c r="P56" s="7"/>
      <c r="R56" s="9">
        <v>855.49863286188156</v>
      </c>
      <c r="T56" s="7" t="s">
        <v>34</v>
      </c>
      <c r="U56" s="7" t="s">
        <v>34</v>
      </c>
    </row>
    <row r="57" spans="1:21" ht="14.1" customHeight="1">
      <c r="A57" s="7">
        <v>53</v>
      </c>
      <c r="B57" s="14" t="s">
        <v>124</v>
      </c>
      <c r="C57" s="14" t="s">
        <v>294</v>
      </c>
      <c r="D57" s="7" t="s">
        <v>35</v>
      </c>
      <c r="E57" s="14" t="s">
        <v>295</v>
      </c>
      <c r="F57" s="7" t="s">
        <v>26</v>
      </c>
      <c r="G57" s="8" t="s">
        <v>1068</v>
      </c>
      <c r="H57" s="7" t="s">
        <v>1000</v>
      </c>
      <c r="I57" s="8" t="s">
        <v>1005</v>
      </c>
      <c r="J57" s="7" t="s">
        <v>123</v>
      </c>
      <c r="K57" s="7" t="s">
        <v>1001</v>
      </c>
      <c r="L57" s="7" t="s">
        <v>490</v>
      </c>
      <c r="M57" s="7" t="s">
        <v>998</v>
      </c>
      <c r="N57" s="7">
        <v>100</v>
      </c>
      <c r="O57" s="7">
        <v>50</v>
      </c>
      <c r="P57" s="7"/>
      <c r="R57" s="9">
        <v>864.93705555453255</v>
      </c>
      <c r="T57" s="7" t="s">
        <v>34</v>
      </c>
      <c r="U57" s="7" t="s">
        <v>34</v>
      </c>
    </row>
    <row r="58" spans="1:21" ht="14.1" customHeight="1">
      <c r="A58" s="7">
        <v>54</v>
      </c>
      <c r="B58" s="14" t="s">
        <v>124</v>
      </c>
      <c r="C58" s="14" t="s">
        <v>294</v>
      </c>
      <c r="D58" s="7" t="s">
        <v>35</v>
      </c>
      <c r="E58" s="14" t="s">
        <v>295</v>
      </c>
      <c r="F58" s="7" t="s">
        <v>26</v>
      </c>
      <c r="G58" s="8" t="s">
        <v>1069</v>
      </c>
      <c r="H58" s="7" t="s">
        <v>1003</v>
      </c>
      <c r="I58" s="8" t="s">
        <v>1005</v>
      </c>
      <c r="J58" s="7" t="s">
        <v>123</v>
      </c>
      <c r="K58" s="17" t="s">
        <v>26</v>
      </c>
      <c r="L58" s="7" t="s">
        <v>490</v>
      </c>
      <c r="M58" s="7" t="s">
        <v>998</v>
      </c>
      <c r="N58" s="7">
        <v>100</v>
      </c>
      <c r="O58" s="7">
        <v>50</v>
      </c>
      <c r="P58" s="7"/>
      <c r="R58" s="9">
        <v>864.93705555453255</v>
      </c>
      <c r="T58" s="7" t="s">
        <v>34</v>
      </c>
      <c r="U58" s="7" t="s">
        <v>34</v>
      </c>
    </row>
    <row r="59" spans="1:21" ht="14.1" customHeight="1">
      <c r="A59" s="7">
        <v>55</v>
      </c>
      <c r="B59" s="14" t="s">
        <v>124</v>
      </c>
      <c r="C59" s="14" t="s">
        <v>294</v>
      </c>
      <c r="D59" s="7" t="s">
        <v>35</v>
      </c>
      <c r="E59" s="14" t="s">
        <v>295</v>
      </c>
      <c r="F59" s="7" t="s">
        <v>26</v>
      </c>
      <c r="G59" s="8" t="s">
        <v>1070</v>
      </c>
      <c r="H59" s="7" t="s">
        <v>995</v>
      </c>
      <c r="I59" s="8" t="s">
        <v>996</v>
      </c>
      <c r="J59" s="7" t="s">
        <v>123</v>
      </c>
      <c r="K59" s="7" t="s">
        <v>997</v>
      </c>
      <c r="L59" s="7" t="s">
        <v>490</v>
      </c>
      <c r="M59" s="7" t="s">
        <v>998</v>
      </c>
      <c r="N59" s="7">
        <v>100</v>
      </c>
      <c r="O59" s="7">
        <v>50</v>
      </c>
      <c r="P59" s="7"/>
      <c r="R59" s="9">
        <v>562.34122402814319</v>
      </c>
      <c r="T59" s="7" t="s">
        <v>34</v>
      </c>
      <c r="U59" s="7" t="s">
        <v>34</v>
      </c>
    </row>
    <row r="60" spans="1:21" ht="14.1" customHeight="1">
      <c r="A60" s="7">
        <v>56</v>
      </c>
      <c r="B60" s="14" t="s">
        <v>124</v>
      </c>
      <c r="C60" s="14" t="s">
        <v>294</v>
      </c>
      <c r="D60" s="7" t="s">
        <v>35</v>
      </c>
      <c r="E60" s="14" t="s">
        <v>295</v>
      </c>
      <c r="F60" s="7" t="s">
        <v>26</v>
      </c>
      <c r="G60" s="8" t="s">
        <v>1071</v>
      </c>
      <c r="H60" s="7" t="s">
        <v>1000</v>
      </c>
      <c r="I60" s="8" t="s">
        <v>996</v>
      </c>
      <c r="J60" s="7" t="s">
        <v>123</v>
      </c>
      <c r="K60" s="7" t="s">
        <v>1001</v>
      </c>
      <c r="L60" s="7" t="s">
        <v>490</v>
      </c>
      <c r="M60" s="7" t="s">
        <v>998</v>
      </c>
      <c r="N60" s="7">
        <v>100</v>
      </c>
      <c r="O60" s="7">
        <v>50</v>
      </c>
      <c r="P60" s="7"/>
      <c r="R60" s="9">
        <v>571.77964672079418</v>
      </c>
      <c r="T60" s="7" t="s">
        <v>34</v>
      </c>
      <c r="U60" s="7" t="s">
        <v>34</v>
      </c>
    </row>
    <row r="61" spans="1:21" ht="14.1" customHeight="1">
      <c r="A61" s="7">
        <v>57</v>
      </c>
      <c r="B61" s="14" t="s">
        <v>124</v>
      </c>
      <c r="C61" s="14" t="s">
        <v>294</v>
      </c>
      <c r="D61" s="7" t="s">
        <v>35</v>
      </c>
      <c r="E61" s="14" t="s">
        <v>295</v>
      </c>
      <c r="F61" s="7" t="s">
        <v>26</v>
      </c>
      <c r="G61" s="8" t="s">
        <v>1072</v>
      </c>
      <c r="H61" s="7" t="s">
        <v>1003</v>
      </c>
      <c r="I61" s="8" t="s">
        <v>996</v>
      </c>
      <c r="J61" s="7" t="s">
        <v>123</v>
      </c>
      <c r="K61" s="17" t="s">
        <v>26</v>
      </c>
      <c r="L61" s="7" t="s">
        <v>490</v>
      </c>
      <c r="M61" s="7" t="s">
        <v>998</v>
      </c>
      <c r="N61" s="7">
        <v>100</v>
      </c>
      <c r="O61" s="7">
        <v>50</v>
      </c>
      <c r="P61" s="7"/>
      <c r="R61" s="9">
        <v>571.77964672079418</v>
      </c>
      <c r="T61" s="7" t="s">
        <v>34</v>
      </c>
      <c r="U61" s="7" t="s">
        <v>34</v>
      </c>
    </row>
    <row r="62" spans="1:21" ht="14.1" customHeight="1">
      <c r="A62" s="7">
        <v>58</v>
      </c>
      <c r="B62" s="14" t="s">
        <v>124</v>
      </c>
      <c r="C62" s="14" t="s">
        <v>294</v>
      </c>
      <c r="D62" s="7" t="s">
        <v>35</v>
      </c>
      <c r="E62" s="14" t="s">
        <v>295</v>
      </c>
      <c r="F62" s="7" t="s">
        <v>26</v>
      </c>
      <c r="G62" s="8" t="s">
        <v>1073</v>
      </c>
      <c r="H62" s="7" t="s">
        <v>995</v>
      </c>
      <c r="I62" s="8" t="s">
        <v>1005</v>
      </c>
      <c r="J62" s="7" t="s">
        <v>123</v>
      </c>
      <c r="K62" s="7" t="s">
        <v>997</v>
      </c>
      <c r="L62" s="7" t="s">
        <v>490</v>
      </c>
      <c r="M62" s="7" t="s">
        <v>998</v>
      </c>
      <c r="N62" s="7">
        <v>100</v>
      </c>
      <c r="O62" s="7">
        <v>50</v>
      </c>
      <c r="P62" s="7"/>
      <c r="R62" s="9">
        <v>855.49863286188156</v>
      </c>
      <c r="T62" s="7" t="s">
        <v>34</v>
      </c>
      <c r="U62" s="7" t="s">
        <v>34</v>
      </c>
    </row>
    <row r="63" spans="1:21" ht="14.1" customHeight="1">
      <c r="A63" s="7">
        <v>59</v>
      </c>
      <c r="B63" s="14" t="s">
        <v>124</v>
      </c>
      <c r="C63" s="14" t="s">
        <v>294</v>
      </c>
      <c r="D63" s="7" t="s">
        <v>35</v>
      </c>
      <c r="E63" s="14" t="s">
        <v>295</v>
      </c>
      <c r="F63" s="7" t="s">
        <v>26</v>
      </c>
      <c r="G63" s="8" t="s">
        <v>1074</v>
      </c>
      <c r="H63" s="7" t="s">
        <v>1000</v>
      </c>
      <c r="I63" s="8" t="s">
        <v>1005</v>
      </c>
      <c r="J63" s="7" t="s">
        <v>123</v>
      </c>
      <c r="K63" s="7" t="s">
        <v>1001</v>
      </c>
      <c r="L63" s="7" t="s">
        <v>490</v>
      </c>
      <c r="M63" s="7" t="s">
        <v>998</v>
      </c>
      <c r="N63" s="7">
        <v>100</v>
      </c>
      <c r="O63" s="7">
        <v>50</v>
      </c>
      <c r="P63" s="7"/>
      <c r="R63" s="9">
        <v>864.93705555453255</v>
      </c>
      <c r="T63" s="7" t="s">
        <v>34</v>
      </c>
      <c r="U63" s="7" t="s">
        <v>34</v>
      </c>
    </row>
    <row r="64" spans="1:21" ht="14.1" customHeight="1">
      <c r="A64" s="7">
        <v>60</v>
      </c>
      <c r="B64" s="14" t="s">
        <v>124</v>
      </c>
      <c r="C64" s="14" t="s">
        <v>294</v>
      </c>
      <c r="D64" s="7" t="s">
        <v>35</v>
      </c>
      <c r="E64" s="14" t="s">
        <v>295</v>
      </c>
      <c r="F64" s="7" t="s">
        <v>26</v>
      </c>
      <c r="G64" s="8" t="s">
        <v>1075</v>
      </c>
      <c r="H64" s="7" t="s">
        <v>1003</v>
      </c>
      <c r="I64" s="8" t="s">
        <v>1005</v>
      </c>
      <c r="J64" s="7" t="s">
        <v>123</v>
      </c>
      <c r="K64" s="17" t="s">
        <v>26</v>
      </c>
      <c r="L64" s="7" t="s">
        <v>490</v>
      </c>
      <c r="M64" s="7" t="s">
        <v>998</v>
      </c>
      <c r="N64" s="7">
        <v>100</v>
      </c>
      <c r="O64" s="7">
        <v>50</v>
      </c>
      <c r="P64" s="7"/>
      <c r="R64" s="9">
        <v>864.93705555453255</v>
      </c>
      <c r="T64" s="7" t="s">
        <v>34</v>
      </c>
      <c r="U64" s="7" t="s">
        <v>34</v>
      </c>
    </row>
    <row r="65" ht="14.1" customHeight="1"/>
    <row r="66" ht="14.1" customHeight="1"/>
    <row r="67" ht="14.1" customHeight="1"/>
    <row r="68" ht="14.1" customHeight="1"/>
    <row r="69" ht="14.1" customHeight="1"/>
    <row r="70" ht="14.1" customHeight="1"/>
    <row r="71" ht="14.1" customHeight="1"/>
    <row r="72" ht="14.1" customHeight="1"/>
    <row r="73" ht="14.1" customHeight="1"/>
    <row r="74" ht="14.1" customHeight="1"/>
    <row r="75" ht="14.1" customHeight="1"/>
    <row r="76" ht="14.1" customHeight="1"/>
    <row r="77" ht="14.1" customHeight="1"/>
    <row r="78" ht="14.1" customHeight="1"/>
    <row r="79" ht="14.1" customHeight="1"/>
    <row r="80" ht="14.1" customHeight="1"/>
    <row r="81" ht="14.1" customHeight="1"/>
    <row r="82" ht="14.1" customHeight="1"/>
    <row r="83" ht="14.1" customHeight="1"/>
    <row r="84" ht="14.1" customHeight="1"/>
    <row r="85" ht="14.1" customHeight="1"/>
    <row r="86" ht="14.1" customHeight="1"/>
    <row r="87" ht="14.1" customHeight="1"/>
    <row r="88" ht="14.1" customHeight="1"/>
    <row r="89" ht="14.1" customHeight="1"/>
    <row r="90" ht="14.1" customHeight="1"/>
    <row r="91" ht="14.1" customHeight="1"/>
    <row r="92" ht="14.1" customHeight="1"/>
    <row r="93" ht="14.1" customHeight="1"/>
    <row r="94" ht="14.1" customHeight="1"/>
    <row r="95" ht="14.1" customHeight="1"/>
    <row r="96" ht="14.1" customHeight="1"/>
    <row r="97" ht="14.1" customHeight="1"/>
    <row r="98" ht="14.1" customHeight="1"/>
    <row r="99" ht="14.1" customHeight="1"/>
    <row r="100" ht="14.1" customHeight="1"/>
    <row r="101" ht="14.1" customHeight="1"/>
    <row r="102" ht="14.1" customHeight="1"/>
    <row r="103" ht="14.1" customHeight="1"/>
    <row r="104" ht="14.1" customHeight="1"/>
    <row r="105" ht="14.1" customHeight="1"/>
    <row r="106" ht="14.1" customHeight="1"/>
    <row r="107" ht="14.1" customHeight="1"/>
    <row r="108" ht="14.1" customHeight="1"/>
    <row r="109" ht="14.1" customHeight="1"/>
    <row r="110" ht="14.1" customHeight="1"/>
    <row r="111" ht="14.1" customHeight="1"/>
    <row r="112" ht="14.1" customHeight="1"/>
    <row r="113" ht="14.1" customHeight="1"/>
    <row r="114" ht="14.1" customHeight="1"/>
    <row r="115" ht="14.1" customHeight="1"/>
    <row r="116" ht="14.1" customHeight="1"/>
    <row r="117" ht="14.1" customHeight="1"/>
    <row r="118" ht="14.1" customHeight="1"/>
    <row r="119" ht="14.1" customHeight="1"/>
    <row r="120" ht="14.1" customHeight="1"/>
    <row r="121" ht="14.1" customHeight="1"/>
    <row r="122" ht="14.1" customHeight="1"/>
    <row r="123" ht="14.1" customHeight="1"/>
    <row r="124" ht="14.1" customHeight="1"/>
    <row r="125" ht="14.1" customHeight="1"/>
    <row r="126" ht="14.1" customHeight="1"/>
    <row r="127" ht="14.1" customHeight="1"/>
    <row r="128" ht="14.1" customHeight="1"/>
    <row r="129" ht="14.1" customHeight="1"/>
    <row r="130" ht="14.1" customHeight="1"/>
    <row r="131" ht="14.1" customHeight="1"/>
    <row r="132" ht="14.1" customHeight="1"/>
    <row r="133" ht="14.1" customHeight="1"/>
    <row r="134" ht="14.1" customHeight="1"/>
    <row r="135" ht="14.1" customHeight="1"/>
    <row r="136" ht="14.1" customHeight="1"/>
    <row r="137" ht="14.1" customHeight="1"/>
    <row r="138" ht="14.1" customHeight="1"/>
    <row r="139" ht="14.1" customHeight="1"/>
    <row r="140" ht="14.1" customHeight="1"/>
    <row r="141" ht="14.1" customHeight="1"/>
    <row r="142" ht="14.1" customHeight="1"/>
    <row r="143" ht="14.1" customHeight="1"/>
    <row r="144" ht="14.1" customHeight="1"/>
    <row r="145" ht="14.1" customHeight="1"/>
    <row r="146" ht="14.1" customHeight="1"/>
    <row r="147" ht="14.1" customHeight="1"/>
    <row r="148" ht="14.1" customHeight="1"/>
    <row r="149" ht="14.1" customHeight="1"/>
    <row r="150" ht="14.1" customHeight="1"/>
    <row r="151" ht="14.1" customHeight="1"/>
    <row r="152" ht="14.1" customHeight="1"/>
    <row r="153" ht="14.1" customHeight="1"/>
    <row r="154" ht="14.1" customHeight="1"/>
    <row r="155" ht="14.1" customHeight="1"/>
    <row r="156" ht="14.1" customHeight="1"/>
    <row r="157" ht="14.1" customHeight="1"/>
    <row r="158" ht="14.1" customHeight="1"/>
    <row r="159" ht="14.1" customHeight="1"/>
    <row r="160" ht="14.1" customHeight="1"/>
    <row r="161" ht="14.1" customHeight="1"/>
    <row r="162" ht="14.1" customHeight="1"/>
    <row r="163" ht="14.1" customHeight="1"/>
    <row r="164" ht="14.1" customHeight="1"/>
    <row r="165" ht="14.1" customHeight="1"/>
    <row r="166" ht="14.1" customHeight="1"/>
    <row r="167" ht="14.1" customHeight="1"/>
    <row r="168" ht="14.1" customHeight="1"/>
    <row r="169" ht="14.1" customHeight="1"/>
    <row r="170" ht="14.1" customHeight="1"/>
    <row r="171" ht="14.1" customHeight="1"/>
    <row r="172" ht="14.1" customHeight="1"/>
    <row r="173" ht="14.1" customHeight="1"/>
    <row r="174" ht="14.1" customHeight="1"/>
    <row r="175" ht="14.1" customHeight="1"/>
    <row r="176" ht="14.1" customHeight="1"/>
    <row r="177" ht="14.1" customHeight="1"/>
    <row r="178" ht="14.1" customHeight="1"/>
    <row r="179" ht="14.1" customHeight="1"/>
    <row r="180" ht="14.1" customHeight="1"/>
    <row r="181" ht="14.1" customHeight="1"/>
    <row r="182" ht="14.1" customHeight="1"/>
    <row r="183" ht="14.1" customHeight="1"/>
    <row r="184" ht="14.1" customHeight="1"/>
    <row r="185" ht="14.1" customHeight="1"/>
    <row r="186" ht="14.1" customHeight="1"/>
    <row r="187" ht="14.1" customHeight="1"/>
    <row r="188" ht="14.1" customHeight="1"/>
    <row r="189" ht="14.1" customHeight="1"/>
    <row r="190" ht="14.1" customHeight="1"/>
    <row r="191" ht="14.1" customHeight="1"/>
    <row r="192" ht="14.1" customHeight="1"/>
    <row r="193" ht="14.1" customHeight="1"/>
    <row r="194" ht="14.1" customHeight="1"/>
    <row r="195" ht="14.1" customHeight="1"/>
    <row r="196" ht="14.1" customHeight="1"/>
    <row r="197" ht="14.1" customHeight="1"/>
    <row r="198" ht="14.1" customHeight="1"/>
    <row r="199" ht="14.1" customHeight="1"/>
    <row r="200" ht="14.1" customHeight="1"/>
    <row r="201" ht="14.1" customHeight="1"/>
    <row r="202" ht="14.1" customHeight="1"/>
    <row r="203" ht="14.1" customHeight="1"/>
    <row r="204" ht="14.1" customHeight="1"/>
    <row r="205" ht="14.1" customHeight="1"/>
    <row r="206" ht="14.1" customHeight="1"/>
    <row r="207" ht="14.1" customHeight="1"/>
    <row r="208" ht="14.1" customHeight="1"/>
    <row r="209" ht="14.1" customHeight="1"/>
    <row r="210" ht="14.1" customHeight="1"/>
    <row r="211" ht="14.1" customHeight="1"/>
    <row r="212" ht="14.1" customHeight="1"/>
    <row r="213" ht="14.1" customHeight="1"/>
    <row r="214" ht="14.1" customHeight="1"/>
    <row r="215" ht="14.1" customHeight="1"/>
    <row r="216" ht="14.1" customHeight="1"/>
    <row r="217" ht="14.1" customHeight="1"/>
    <row r="218" ht="14.1" customHeight="1"/>
    <row r="219" ht="14.1" customHeight="1"/>
    <row r="220" ht="14.1" customHeight="1"/>
    <row r="221" ht="14.1" customHeight="1"/>
    <row r="222" ht="14.1" customHeight="1"/>
    <row r="223" ht="14.1" customHeight="1"/>
    <row r="224" ht="14.1" customHeight="1"/>
    <row r="225" ht="14.1" customHeight="1"/>
    <row r="226" ht="14.1" customHeight="1"/>
    <row r="227" ht="14.1" customHeight="1"/>
    <row r="228" ht="14.1" customHeight="1"/>
    <row r="229" ht="14.1" customHeight="1"/>
    <row r="230" ht="14.1" customHeight="1"/>
    <row r="231" ht="14.1" customHeight="1"/>
    <row r="232" ht="14.1" customHeight="1"/>
    <row r="233" ht="14.1" customHeight="1"/>
    <row r="234" ht="14.1" customHeight="1"/>
    <row r="235" ht="14.1" customHeight="1"/>
    <row r="236" ht="14.1" customHeight="1"/>
    <row r="237" ht="14.1" customHeight="1"/>
    <row r="238" ht="14.1" customHeight="1"/>
    <row r="239" ht="14.1" customHeight="1"/>
    <row r="240" ht="14.1" customHeight="1"/>
    <row r="241" ht="14.1" customHeight="1"/>
    <row r="242" ht="14.1" customHeight="1"/>
    <row r="243" ht="14.1" customHeight="1"/>
    <row r="244" ht="14.1" customHeight="1"/>
    <row r="245" ht="14.1" customHeight="1"/>
    <row r="246" ht="14.1" customHeight="1"/>
    <row r="247" ht="14.1" customHeight="1"/>
    <row r="248" ht="14.1" customHeight="1"/>
    <row r="249" ht="14.1" customHeight="1"/>
    <row r="250" ht="14.1" customHeight="1"/>
    <row r="251" ht="14.1" customHeight="1"/>
    <row r="252" ht="14.1" customHeight="1"/>
    <row r="253" ht="14.1" customHeight="1"/>
    <row r="254" ht="14.1" customHeight="1"/>
    <row r="255" ht="14.1" customHeight="1"/>
    <row r="256" ht="14.1" customHeight="1"/>
    <row r="257" ht="14.1" customHeight="1"/>
    <row r="258" ht="14.1" customHeight="1"/>
    <row r="259" ht="14.1" customHeight="1"/>
    <row r="260" ht="14.1" customHeight="1"/>
    <row r="261" ht="14.1" customHeight="1"/>
    <row r="262" ht="14.1" customHeight="1"/>
    <row r="263" ht="14.1" customHeight="1"/>
    <row r="264" ht="14.1" customHeight="1"/>
    <row r="265" ht="14.1" customHeight="1"/>
    <row r="266" ht="14.1" customHeight="1"/>
    <row r="267" ht="14.1" customHeight="1"/>
    <row r="268" ht="14.1" customHeight="1"/>
    <row r="269" ht="14.1" customHeight="1"/>
    <row r="270" ht="14.1" customHeight="1"/>
    <row r="271" ht="14.1" customHeight="1"/>
    <row r="272" ht="14.1" customHeight="1"/>
    <row r="273" ht="14.1" customHeight="1"/>
    <row r="274" ht="14.1" customHeight="1"/>
    <row r="275" ht="14.1" customHeight="1"/>
    <row r="276" ht="14.1" customHeight="1"/>
    <row r="277" ht="14.1" customHeight="1"/>
    <row r="278" ht="14.1" customHeight="1"/>
    <row r="279" ht="14.1" customHeight="1"/>
    <row r="280" ht="14.1" customHeight="1"/>
    <row r="281" ht="14.1" customHeight="1"/>
    <row r="282" ht="14.1" customHeight="1"/>
    <row r="283" ht="14.1" customHeight="1"/>
    <row r="284" ht="14.1" customHeight="1"/>
    <row r="285" ht="14.1" customHeight="1"/>
    <row r="286" ht="14.1" customHeight="1"/>
    <row r="287" ht="14.1" customHeight="1"/>
    <row r="288" ht="14.1" customHeight="1"/>
    <row r="289" ht="14.1" customHeight="1"/>
    <row r="290" ht="14.1" customHeight="1"/>
    <row r="291" ht="14.1" customHeight="1"/>
    <row r="292" ht="14.1" customHeight="1"/>
    <row r="293" ht="14.1" customHeight="1"/>
    <row r="294" ht="14.1" customHeight="1"/>
    <row r="295" ht="14.1" customHeight="1"/>
    <row r="296" ht="14.1" customHeight="1"/>
    <row r="297" ht="14.1" customHeight="1"/>
    <row r="298" ht="14.1" customHeight="1"/>
    <row r="299" ht="14.1" customHeight="1"/>
    <row r="300" ht="14.1" customHeight="1"/>
    <row r="301" ht="14.1" customHeight="1"/>
    <row r="302" ht="14.1" customHeight="1"/>
    <row r="303" ht="14.1" customHeight="1"/>
    <row r="304" ht="14.1" customHeight="1"/>
    <row r="305" ht="14.1" customHeight="1"/>
    <row r="306" ht="14.1" customHeight="1"/>
    <row r="307" ht="14.1" customHeight="1"/>
    <row r="308" ht="14.1" customHeight="1"/>
    <row r="309" ht="14.1" customHeight="1"/>
    <row r="310" ht="14.1" customHeight="1"/>
    <row r="311" ht="14.1" customHeight="1"/>
    <row r="312" ht="14.1" customHeight="1"/>
    <row r="313" ht="14.1" customHeight="1"/>
    <row r="314" ht="14.1" customHeight="1"/>
    <row r="315" ht="14.1" customHeight="1"/>
    <row r="316" ht="14.1" customHeight="1"/>
    <row r="317" ht="14.1" customHeight="1"/>
    <row r="318" ht="14.1" customHeight="1"/>
    <row r="319" ht="14.1" customHeight="1"/>
    <row r="320" ht="14.1" customHeight="1"/>
    <row r="321" ht="14.1" customHeight="1"/>
    <row r="322" ht="14.1" customHeight="1"/>
    <row r="323" ht="14.1" customHeight="1"/>
    <row r="324" ht="14.1" customHeight="1"/>
    <row r="325" ht="14.1" customHeight="1"/>
    <row r="326" ht="14.1" customHeight="1"/>
    <row r="327" ht="14.1" customHeight="1"/>
    <row r="328" ht="14.1" customHeight="1"/>
    <row r="329" ht="14.1" customHeight="1"/>
    <row r="330" ht="14.1" customHeight="1"/>
    <row r="331" ht="14.1" customHeight="1"/>
    <row r="332" ht="14.1" customHeight="1"/>
    <row r="333" ht="14.1" customHeight="1"/>
    <row r="334" ht="14.1" customHeight="1"/>
    <row r="335" ht="14.1" customHeight="1"/>
    <row r="336" ht="14.1" customHeight="1"/>
    <row r="337" ht="14.1" customHeight="1"/>
    <row r="338" ht="14.1" customHeight="1"/>
    <row r="339" ht="14.1" customHeight="1"/>
    <row r="340" ht="14.1" customHeight="1"/>
    <row r="341" ht="14.1" customHeight="1"/>
    <row r="342" ht="14.1" customHeight="1"/>
    <row r="343" ht="14.1" customHeight="1"/>
    <row r="344" ht="14.1" customHeight="1"/>
    <row r="345" ht="14.1" customHeight="1"/>
    <row r="346" ht="14.1" customHeight="1"/>
    <row r="347" ht="14.1" customHeight="1"/>
    <row r="348" ht="14.1" customHeight="1"/>
    <row r="349" ht="14.1" customHeight="1"/>
    <row r="350" ht="14.1" customHeight="1"/>
    <row r="351" ht="14.1" customHeight="1"/>
    <row r="352" ht="14.1" customHeight="1"/>
    <row r="353" ht="14.1" customHeight="1"/>
    <row r="354" ht="14.1" customHeight="1"/>
    <row r="355" ht="14.1" customHeight="1"/>
    <row r="356" ht="14.1" customHeight="1"/>
    <row r="357" ht="14.1" customHeight="1"/>
    <row r="358" ht="14.1" customHeight="1"/>
    <row r="359" ht="14.1" customHeight="1"/>
    <row r="360" ht="14.1" customHeight="1"/>
    <row r="361" ht="14.1" customHeight="1"/>
    <row r="362" ht="14.1" customHeight="1"/>
    <row r="363" ht="14.1" customHeight="1"/>
    <row r="364" ht="14.1" customHeight="1"/>
    <row r="365" ht="14.1" customHeight="1"/>
    <row r="366" ht="14.1" customHeight="1"/>
    <row r="367" ht="14.1" customHeight="1"/>
    <row r="368" ht="14.1" customHeight="1"/>
    <row r="369" ht="14.1" customHeight="1"/>
    <row r="370" ht="14.1" customHeight="1"/>
    <row r="371" ht="14.1" customHeight="1"/>
    <row r="372" ht="14.1" customHeight="1"/>
    <row r="373" ht="14.1" customHeight="1"/>
    <row r="374" ht="14.1" customHeight="1"/>
    <row r="375" ht="14.1" customHeight="1"/>
    <row r="376" ht="14.1" customHeight="1"/>
    <row r="377" ht="14.1" customHeight="1"/>
    <row r="378" ht="14.1" customHeight="1"/>
    <row r="379" ht="14.1" customHeight="1"/>
    <row r="380" ht="14.1" customHeight="1"/>
    <row r="381" ht="14.1" customHeight="1"/>
    <row r="382" ht="14.1" customHeight="1"/>
    <row r="383" ht="14.1" customHeight="1"/>
    <row r="384" ht="14.1" customHeight="1"/>
    <row r="385" ht="14.1" customHeight="1"/>
    <row r="386" ht="14.1" customHeight="1"/>
    <row r="387" ht="14.1" customHeight="1"/>
    <row r="388" ht="14.1" customHeight="1"/>
    <row r="389" ht="14.1" customHeight="1"/>
    <row r="390" ht="14.1" customHeight="1"/>
    <row r="391" ht="14.1" customHeight="1"/>
    <row r="392" ht="14.1" customHeight="1"/>
    <row r="393" ht="14.1" customHeight="1"/>
    <row r="394" ht="14.1" customHeight="1"/>
    <row r="395" ht="14.1" customHeight="1"/>
    <row r="396" ht="14.1" customHeight="1"/>
    <row r="397" ht="14.1" customHeight="1"/>
    <row r="398" ht="14.1" customHeight="1"/>
    <row r="399" ht="14.1" customHeight="1"/>
    <row r="400" ht="14.1" customHeight="1"/>
    <row r="401" ht="14.1" customHeight="1"/>
    <row r="402" ht="14.1" customHeight="1"/>
    <row r="403" ht="14.1" customHeight="1"/>
    <row r="404" ht="14.1" customHeight="1"/>
    <row r="405" ht="14.1" customHeight="1"/>
    <row r="406" ht="14.1" customHeight="1"/>
    <row r="407" ht="14.1" customHeight="1"/>
    <row r="408" ht="14.1" customHeight="1"/>
    <row r="409" ht="14.1" customHeight="1"/>
    <row r="410" ht="14.1" customHeight="1"/>
    <row r="411" ht="14.1" customHeight="1"/>
    <row r="412" ht="14.1" customHeight="1"/>
    <row r="413" ht="14.1" customHeight="1"/>
    <row r="414" ht="14.1" customHeight="1"/>
    <row r="415" ht="14.1" customHeight="1"/>
    <row r="416" ht="14.1" customHeight="1"/>
    <row r="417" ht="14.1" customHeight="1"/>
    <row r="418" ht="14.1" customHeight="1"/>
    <row r="419" ht="14.1" customHeight="1"/>
    <row r="420" ht="14.1" customHeight="1"/>
    <row r="421" ht="14.1" customHeight="1"/>
    <row r="422" ht="14.1" customHeight="1"/>
    <row r="423" ht="14.1" customHeight="1"/>
    <row r="424" ht="14.1" customHeight="1"/>
    <row r="425" ht="14.1" customHeight="1"/>
    <row r="426" ht="14.1" customHeight="1"/>
    <row r="427" ht="14.1" customHeight="1"/>
    <row r="428" ht="14.1" customHeight="1"/>
    <row r="429" ht="14.1" customHeight="1"/>
    <row r="430" ht="14.1" customHeight="1"/>
    <row r="431" ht="14.1" customHeight="1"/>
    <row r="432" ht="14.1" customHeight="1"/>
    <row r="433" ht="14.1" customHeight="1"/>
    <row r="434" ht="14.1" customHeight="1"/>
    <row r="435" ht="14.1" customHeight="1"/>
    <row r="436" ht="14.1" customHeight="1"/>
    <row r="437" ht="14.1" customHeight="1"/>
    <row r="438" ht="14.1" customHeight="1"/>
    <row r="439" ht="14.1" customHeight="1"/>
    <row r="440" ht="14.1" customHeight="1"/>
    <row r="441" ht="14.1" customHeight="1"/>
    <row r="442" ht="14.1" customHeight="1"/>
    <row r="443" ht="14.1" customHeight="1"/>
    <row r="444" ht="14.1" customHeight="1"/>
    <row r="445" ht="14.1" customHeight="1"/>
    <row r="446" ht="14.1" customHeight="1"/>
    <row r="447" ht="14.1" customHeight="1"/>
    <row r="448" ht="14.1" customHeight="1"/>
    <row r="449" ht="14.1" customHeight="1"/>
    <row r="450" ht="14.1" customHeight="1"/>
    <row r="451" ht="14.1" customHeight="1"/>
    <row r="452" ht="14.1" customHeight="1"/>
    <row r="453" ht="14.1" customHeight="1"/>
    <row r="454" ht="14.1" customHeight="1"/>
    <row r="455" ht="14.1" customHeight="1"/>
    <row r="456" ht="14.1" customHeight="1"/>
    <row r="457" ht="14.1" customHeight="1"/>
    <row r="458" ht="14.1" customHeight="1"/>
    <row r="459" ht="14.1" customHeight="1"/>
    <row r="460" ht="14.1" customHeight="1"/>
    <row r="461" ht="14.1" customHeight="1"/>
    <row r="462" ht="14.1" customHeight="1"/>
    <row r="463" ht="14.1" customHeight="1"/>
    <row r="464" ht="14.1" customHeight="1"/>
    <row r="465" ht="14.1" customHeight="1"/>
    <row r="466" ht="14.1" customHeight="1"/>
    <row r="467" ht="14.1" customHeight="1"/>
    <row r="468" ht="14.1" customHeight="1"/>
    <row r="469" ht="14.1" customHeight="1"/>
    <row r="470" ht="14.1" customHeight="1"/>
    <row r="471" ht="14.1" customHeight="1"/>
    <row r="472" ht="14.1" customHeight="1"/>
    <row r="473" ht="14.1" customHeight="1"/>
    <row r="474" ht="14.1" customHeight="1"/>
    <row r="475" ht="14.1" customHeight="1"/>
    <row r="476" ht="14.1" customHeight="1"/>
    <row r="477" ht="14.1" customHeight="1"/>
    <row r="478" ht="14.1" customHeight="1"/>
    <row r="479" ht="14.1" customHeight="1"/>
    <row r="480" ht="14.1" customHeight="1"/>
    <row r="481" ht="14.1" customHeight="1"/>
    <row r="482" ht="14.1" customHeight="1"/>
    <row r="483" ht="14.1" customHeight="1"/>
    <row r="484" ht="14.1" customHeight="1"/>
    <row r="485" ht="14.1" customHeight="1"/>
    <row r="486" ht="14.1" customHeight="1"/>
    <row r="487" ht="14.1" customHeight="1"/>
    <row r="488" ht="14.1" customHeight="1"/>
    <row r="489" ht="14.1" customHeight="1"/>
    <row r="490" ht="14.1" customHeight="1"/>
    <row r="491" ht="14.1" customHeight="1"/>
    <row r="492" ht="14.1" customHeight="1"/>
    <row r="493" ht="14.1" customHeight="1"/>
    <row r="494" ht="14.1" customHeight="1"/>
    <row r="495" ht="14.1" customHeight="1"/>
    <row r="496" ht="14.1" customHeight="1"/>
    <row r="497" ht="14.1" customHeight="1"/>
    <row r="498" ht="14.1" customHeight="1"/>
    <row r="499" ht="14.1" customHeight="1"/>
    <row r="500" ht="14.1" customHeight="1"/>
    <row r="501" ht="14.1" customHeight="1"/>
    <row r="502" ht="14.1" customHeight="1"/>
    <row r="503" ht="14.1" customHeight="1"/>
    <row r="504" ht="14.1" customHeight="1"/>
    <row r="505" ht="14.1" customHeight="1"/>
    <row r="506" ht="14.1" customHeight="1"/>
    <row r="507" ht="14.1" customHeight="1"/>
    <row r="508" ht="14.1" customHeight="1"/>
    <row r="509" ht="14.1" customHeight="1"/>
    <row r="510" ht="14.1" customHeight="1"/>
    <row r="511" ht="14.1" customHeight="1"/>
    <row r="512" ht="14.1" customHeight="1"/>
    <row r="513" ht="14.1" customHeight="1"/>
    <row r="514" ht="14.1" customHeight="1"/>
    <row r="515" ht="14.1" customHeight="1"/>
    <row r="516" ht="14.1" customHeight="1"/>
    <row r="517" ht="14.1" customHeight="1"/>
    <row r="518" ht="14.1" customHeight="1"/>
    <row r="519" ht="14.1" customHeight="1"/>
    <row r="520" ht="14.1" customHeight="1"/>
    <row r="521" ht="14.1" customHeight="1"/>
    <row r="522" ht="14.1" customHeight="1"/>
    <row r="523" ht="14.1" customHeight="1"/>
    <row r="524" ht="14.1" customHeight="1"/>
    <row r="525" ht="14.1" customHeight="1"/>
    <row r="526" ht="14.1" customHeight="1"/>
    <row r="527" ht="14.1" customHeight="1"/>
    <row r="528" ht="14.1" customHeight="1"/>
    <row r="529" ht="14.1" customHeight="1"/>
    <row r="530" ht="14.1" customHeight="1"/>
    <row r="531" ht="14.1" customHeight="1"/>
    <row r="532" ht="14.1" customHeight="1"/>
    <row r="533" ht="14.1" customHeight="1"/>
    <row r="534" ht="14.1" customHeight="1"/>
    <row r="535" ht="14.1" customHeight="1"/>
    <row r="536" ht="14.1" customHeight="1"/>
    <row r="537" ht="14.1" customHeight="1"/>
    <row r="538" ht="14.1" customHeight="1"/>
    <row r="539" ht="14.1" customHeight="1"/>
    <row r="540" ht="14.1" customHeight="1"/>
    <row r="541" ht="14.1" customHeight="1"/>
    <row r="542" ht="14.1" customHeight="1"/>
    <row r="543" ht="14.1" customHeight="1"/>
    <row r="544" ht="14.1" customHeight="1"/>
    <row r="545" ht="14.1" customHeight="1"/>
    <row r="546" ht="14.1" customHeight="1"/>
    <row r="547" ht="14.1" customHeight="1"/>
    <row r="548" ht="14.1" customHeight="1"/>
    <row r="549" ht="14.1" customHeight="1"/>
    <row r="550" ht="14.1" customHeight="1"/>
    <row r="551" ht="14.1" customHeight="1"/>
    <row r="552" ht="14.1" customHeight="1"/>
    <row r="553" ht="14.1" customHeight="1"/>
    <row r="554" ht="14.1" customHeight="1"/>
    <row r="555" ht="14.1" customHeight="1"/>
    <row r="556" ht="14.1" customHeight="1"/>
    <row r="557" ht="14.1" customHeight="1"/>
    <row r="558" ht="14.1" customHeight="1"/>
    <row r="559" ht="14.1" customHeight="1"/>
    <row r="560" ht="14.1" customHeight="1"/>
    <row r="561" ht="14.1" customHeight="1"/>
    <row r="562" ht="14.1" customHeight="1"/>
    <row r="563" ht="14.1" customHeight="1"/>
    <row r="564" ht="14.1" customHeight="1"/>
    <row r="565" ht="14.1" customHeight="1"/>
    <row r="566" ht="14.1" customHeight="1"/>
    <row r="567" ht="14.1" customHeight="1"/>
    <row r="568" ht="14.1" customHeight="1"/>
    <row r="569" ht="14.1" customHeight="1"/>
    <row r="570" ht="14.1" customHeight="1"/>
    <row r="571" ht="14.1" customHeight="1"/>
    <row r="572" ht="14.1" customHeight="1"/>
    <row r="573" ht="14.1" customHeight="1"/>
    <row r="574" ht="14.1" customHeight="1"/>
    <row r="575" ht="14.1" customHeight="1"/>
    <row r="576" ht="14.1" customHeight="1"/>
    <row r="577" ht="14.1" customHeight="1"/>
    <row r="578" ht="14.1" customHeight="1"/>
    <row r="579" ht="14.1" customHeight="1"/>
    <row r="580" ht="14.1" customHeight="1"/>
    <row r="581" ht="14.1" customHeight="1"/>
    <row r="582" ht="14.1" customHeight="1"/>
    <row r="583" ht="14.1" customHeight="1"/>
    <row r="584" ht="14.1" customHeight="1"/>
    <row r="585" ht="14.1" customHeight="1"/>
    <row r="586" ht="14.1" customHeight="1"/>
    <row r="587" ht="14.1" customHeight="1"/>
    <row r="588" ht="14.1" customHeight="1"/>
    <row r="589" ht="14.1" customHeight="1"/>
    <row r="590" ht="14.1" customHeight="1"/>
    <row r="591" ht="14.1" customHeight="1"/>
    <row r="592" ht="14.1" customHeight="1"/>
    <row r="593" ht="14.1" customHeight="1"/>
    <row r="594" ht="14.1" customHeight="1"/>
    <row r="595" ht="14.1" customHeight="1"/>
    <row r="596" ht="14.1" customHeight="1"/>
    <row r="597" ht="14.1" customHeight="1"/>
    <row r="598" ht="14.1" customHeight="1"/>
    <row r="599" ht="14.1" customHeight="1"/>
    <row r="600" ht="14.1" customHeight="1"/>
    <row r="601" ht="14.1" customHeight="1"/>
    <row r="602" ht="14.1" customHeight="1"/>
    <row r="603" ht="14.1" customHeight="1"/>
    <row r="604" ht="14.1" customHeight="1"/>
    <row r="605" ht="14.1" customHeight="1"/>
    <row r="606" ht="14.1" customHeight="1"/>
    <row r="607" ht="14.1" customHeight="1"/>
    <row r="608" ht="14.1" customHeight="1"/>
    <row r="609" ht="14.1" customHeight="1"/>
    <row r="610" ht="14.1" customHeight="1"/>
    <row r="611" ht="14.1" customHeight="1"/>
    <row r="612" ht="14.1" customHeight="1"/>
    <row r="613" ht="14.1" customHeight="1"/>
    <row r="614" ht="14.1" customHeight="1"/>
    <row r="615" ht="14.1" customHeight="1"/>
    <row r="616" ht="14.1" customHeight="1"/>
    <row r="617" ht="14.1" customHeight="1"/>
    <row r="618" ht="14.1" customHeight="1"/>
    <row r="619" ht="14.1" customHeight="1"/>
    <row r="620" ht="14.1" customHeight="1"/>
    <row r="621" ht="14.1" customHeight="1"/>
    <row r="622" ht="14.1" customHeight="1"/>
    <row r="623" ht="14.1" customHeight="1"/>
    <row r="624" ht="14.1" customHeight="1"/>
    <row r="625" ht="14.1" customHeight="1"/>
    <row r="626" ht="14.1" customHeight="1"/>
    <row r="627" ht="14.1" customHeight="1"/>
    <row r="628" ht="14.1" customHeight="1"/>
    <row r="629" ht="14.1" customHeight="1"/>
    <row r="630" ht="14.1" customHeight="1"/>
    <row r="631" ht="14.1" customHeight="1"/>
    <row r="632" ht="14.1" customHeight="1"/>
    <row r="633" ht="14.1" customHeight="1"/>
    <row r="634" ht="14.1" customHeight="1"/>
    <row r="635" ht="14.1" customHeight="1"/>
    <row r="636" ht="14.1" customHeight="1"/>
    <row r="637" ht="14.1" customHeight="1"/>
    <row r="638" ht="14.1" customHeight="1"/>
    <row r="639" ht="14.1" customHeight="1"/>
    <row r="640" ht="14.1" customHeight="1"/>
    <row r="641" ht="14.1" customHeight="1"/>
    <row r="642" ht="14.1" customHeight="1"/>
    <row r="643" ht="14.1" customHeight="1"/>
    <row r="644" ht="14.1" customHeight="1"/>
    <row r="645" ht="14.1" customHeight="1"/>
    <row r="646" ht="14.1" customHeight="1"/>
    <row r="647" ht="14.1" customHeight="1"/>
    <row r="648" ht="14.1" customHeight="1"/>
    <row r="649" ht="14.1" customHeight="1"/>
    <row r="650" ht="14.1" customHeight="1"/>
    <row r="651" ht="14.1" customHeight="1"/>
    <row r="652" ht="14.1" customHeight="1"/>
    <row r="653" ht="14.1" customHeight="1"/>
    <row r="654" ht="14.1" customHeight="1"/>
    <row r="655" ht="14.1" customHeight="1"/>
    <row r="656" ht="14.1" customHeight="1"/>
    <row r="657" ht="14.1" customHeight="1"/>
    <row r="658" ht="14.1" customHeight="1"/>
    <row r="659" ht="14.1" customHeight="1"/>
    <row r="660" ht="14.1" customHeight="1"/>
    <row r="661" ht="14.1" customHeight="1"/>
    <row r="662" ht="14.1" customHeight="1"/>
    <row r="663" ht="14.1" customHeight="1"/>
    <row r="664" ht="14.1" customHeight="1"/>
    <row r="665" ht="14.1" customHeight="1"/>
    <row r="666" ht="14.1" customHeight="1"/>
    <row r="667" ht="14.1" customHeight="1"/>
    <row r="668" ht="14.1" customHeight="1"/>
    <row r="669" ht="14.1" customHeight="1"/>
    <row r="670" ht="14.1" customHeight="1"/>
    <row r="671" ht="14.1" customHeight="1"/>
    <row r="672" ht="14.1" customHeight="1"/>
    <row r="673" ht="14.1" customHeight="1"/>
    <row r="674" ht="14.1" customHeight="1"/>
    <row r="675" ht="14.1" customHeight="1"/>
    <row r="676" ht="14.1" customHeight="1"/>
    <row r="677" ht="14.1" customHeight="1"/>
    <row r="678" ht="14.1" customHeight="1"/>
    <row r="679" ht="14.1" customHeight="1"/>
    <row r="680" ht="14.1" customHeight="1"/>
    <row r="681" ht="14.1" customHeight="1"/>
    <row r="682" ht="14.1" customHeight="1"/>
    <row r="683" ht="14.1" customHeight="1"/>
    <row r="684" ht="14.1" customHeight="1"/>
    <row r="685" ht="14.1" customHeight="1"/>
    <row r="686" ht="14.1" customHeight="1"/>
    <row r="687" ht="14.1" customHeight="1"/>
    <row r="688" ht="14.1" customHeight="1"/>
    <row r="689" ht="14.1" customHeight="1"/>
    <row r="690" ht="14.1" customHeight="1"/>
    <row r="691" ht="14.1" customHeight="1"/>
    <row r="692" ht="14.1" customHeight="1"/>
    <row r="693" ht="14.1" customHeight="1"/>
    <row r="694" ht="14.1" customHeight="1"/>
    <row r="695" ht="14.1" customHeight="1"/>
    <row r="696" ht="14.1" customHeight="1"/>
    <row r="697" ht="14.1" customHeight="1"/>
    <row r="698" ht="14.1" customHeight="1"/>
    <row r="699" ht="14.1" customHeight="1"/>
    <row r="700" ht="14.1" customHeight="1"/>
    <row r="701" ht="14.1" customHeight="1"/>
    <row r="702" ht="14.1" customHeight="1"/>
    <row r="703" ht="14.1" customHeight="1"/>
    <row r="704" ht="14.1" customHeight="1"/>
    <row r="705" ht="14.1" customHeight="1"/>
    <row r="706" ht="14.1" customHeight="1"/>
    <row r="707" ht="14.1" customHeight="1"/>
    <row r="708" ht="14.1" customHeight="1"/>
    <row r="709" ht="14.1" customHeight="1"/>
    <row r="710" ht="14.1" customHeight="1"/>
    <row r="711" ht="14.1" customHeight="1"/>
    <row r="712" ht="14.1" customHeight="1"/>
    <row r="713" ht="14.1" customHeight="1"/>
    <row r="714" ht="14.1" customHeight="1"/>
    <row r="715" ht="14.1" customHeight="1"/>
    <row r="716" ht="14.1" customHeight="1"/>
    <row r="717" ht="14.1" customHeight="1"/>
    <row r="718" ht="14.1" customHeight="1"/>
    <row r="719" ht="14.1" customHeight="1"/>
    <row r="720" ht="14.1" customHeight="1"/>
    <row r="721" ht="14.1" customHeight="1"/>
    <row r="722" ht="14.1" customHeight="1"/>
    <row r="723" ht="14.1" customHeight="1"/>
    <row r="724" ht="14.1" customHeight="1"/>
    <row r="725" ht="14.1" customHeight="1"/>
    <row r="726" ht="14.1" customHeight="1"/>
    <row r="727" ht="14.1" customHeight="1"/>
    <row r="728" ht="14.1" customHeight="1"/>
    <row r="729" ht="14.1" customHeight="1"/>
    <row r="730" ht="14.1" customHeight="1"/>
    <row r="731" ht="14.1" customHeight="1"/>
    <row r="732" ht="14.1" customHeight="1"/>
    <row r="733" ht="14.1" customHeight="1"/>
    <row r="734" ht="14.1" customHeight="1"/>
    <row r="735" ht="14.1" customHeight="1"/>
    <row r="736" ht="14.1" customHeight="1"/>
    <row r="737" ht="14.1" customHeight="1"/>
    <row r="738" ht="14.1" customHeight="1"/>
    <row r="739" ht="14.1" customHeight="1"/>
    <row r="740" ht="14.1" customHeight="1"/>
    <row r="741" ht="14.1" customHeight="1"/>
    <row r="742" ht="14.1" customHeight="1"/>
    <row r="743" ht="14.1" customHeight="1"/>
    <row r="744" ht="14.1" customHeight="1"/>
    <row r="745" ht="14.1" customHeight="1"/>
    <row r="746" ht="14.1" customHeight="1"/>
    <row r="747" ht="14.1" customHeight="1"/>
    <row r="748" ht="14.1" customHeight="1"/>
    <row r="749" ht="14.1" customHeight="1"/>
    <row r="750" ht="14.1" customHeight="1"/>
    <row r="751" ht="14.1" customHeight="1"/>
    <row r="752" ht="14.1" customHeight="1"/>
    <row r="753" ht="14.1" customHeight="1"/>
    <row r="754" ht="14.1" customHeight="1"/>
    <row r="755" ht="14.1" customHeight="1"/>
    <row r="756" ht="14.1" customHeight="1"/>
    <row r="757" ht="14.1" customHeight="1"/>
    <row r="758" ht="14.1" customHeight="1"/>
    <row r="759" ht="14.1" customHeight="1"/>
    <row r="760" ht="14.1" customHeight="1"/>
    <row r="761" ht="14.1" customHeight="1"/>
    <row r="762" ht="14.1" customHeight="1"/>
    <row r="763" ht="14.1" customHeight="1"/>
    <row r="764" ht="14.1" customHeight="1"/>
    <row r="765" ht="14.1" customHeight="1"/>
    <row r="766" ht="14.1" customHeight="1"/>
    <row r="767" ht="14.1" customHeight="1"/>
    <row r="768" ht="14.1" customHeight="1"/>
    <row r="769" ht="14.1" customHeight="1"/>
    <row r="770" ht="14.1" customHeight="1"/>
    <row r="771" ht="14.1" customHeight="1"/>
    <row r="772" ht="14.1" customHeight="1"/>
    <row r="773" ht="14.1" customHeight="1"/>
    <row r="774" ht="14.1" customHeight="1"/>
    <row r="775" ht="14.1" customHeight="1"/>
    <row r="776" ht="14.1" customHeight="1"/>
    <row r="777" ht="14.1" customHeight="1"/>
    <row r="778" ht="14.1" customHeight="1"/>
    <row r="779" ht="14.1" customHeight="1"/>
    <row r="780" ht="14.1" customHeight="1"/>
    <row r="781" ht="14.1" customHeight="1"/>
    <row r="782" ht="14.1" customHeight="1"/>
    <row r="783" ht="14.1" customHeight="1"/>
    <row r="784" ht="14.1" customHeight="1"/>
    <row r="785" ht="14.1" customHeight="1"/>
    <row r="786" ht="14.1" customHeight="1"/>
    <row r="787" ht="14.1" customHeight="1"/>
    <row r="788" ht="14.1" customHeight="1"/>
    <row r="789" ht="14.1" customHeight="1"/>
    <row r="790" ht="14.1" customHeight="1"/>
    <row r="791" ht="14.1" customHeight="1"/>
    <row r="792" ht="14.1" customHeight="1"/>
    <row r="793" ht="14.1" customHeight="1"/>
  </sheetData>
  <pageMargins left="0.61" right="0.16" top="0.87" bottom="0.21" header="0.16" footer="0.16"/>
  <pageSetup paperSize="8" scale="51" orientation="portrait"/>
  <headerFooter alignWithMargins="0">
    <oddFooter>&amp;L_x000D_&amp;1#&amp;"Arial"&amp;7&amp;KDAD4CE Public&amp;C&amp;"Verdana"&amp;10 &amp;KC1C1C1_x000D_# Restricted</oddFooter>
  </headerFooter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9">
    <tabColor rgb="FF92D050"/>
    <pageSetUpPr fitToPage="1"/>
  </sheetPr>
  <dimension ref="A1:U793"/>
  <sheetViews>
    <sheetView zoomScale="80" zoomScaleNormal="80" workbookViewId="0">
      <pane ySplit="4" topLeftCell="A5" activePane="bottomLeft" state="frozen"/>
      <selection activeCell="A16" sqref="A16"/>
      <selection pane="bottomLeft" activeCell="A16" sqref="A16"/>
    </sheetView>
  </sheetViews>
  <sheetFormatPr defaultColWidth="8.85546875" defaultRowHeight="15" customHeight="1"/>
  <cols>
    <col min="1" max="1" width="4.140625" style="3" customWidth="1"/>
    <col min="2" max="3" width="8.5703125" style="20" customWidth="1"/>
    <col min="4" max="4" width="14.5703125" style="3" customWidth="1"/>
    <col min="5" max="5" width="20.5703125" style="20" customWidth="1"/>
    <col min="6" max="6" width="8.5703125" style="3" customWidth="1"/>
    <col min="7" max="7" width="32.5703125" style="2" customWidth="1"/>
    <col min="8" max="8" width="18.5703125" style="3" customWidth="1"/>
    <col min="9" max="9" width="62.5703125" style="2" customWidth="1"/>
    <col min="10" max="12" width="9.5703125" style="3" customWidth="1"/>
    <col min="13" max="13" width="10.5703125" style="3" customWidth="1"/>
    <col min="14" max="14" width="8.5703125" style="3" customWidth="1"/>
    <col min="15" max="15" width="10.5703125" style="3" customWidth="1"/>
    <col min="16" max="16" width="5.5703125" style="3" customWidth="1"/>
    <col min="17" max="17" width="1.5703125" style="2" customWidth="1"/>
    <col min="18" max="18" width="10.5703125" style="30" customWidth="1"/>
    <col min="19" max="19" width="1.5703125" style="2" customWidth="1"/>
    <col min="20" max="21" width="10.5703125" style="2" customWidth="1"/>
    <col min="22" max="219" width="8.85546875" style="2" customWidth="1"/>
    <col min="220" max="220" width="8.140625" style="2" customWidth="1"/>
    <col min="221" max="221" width="14.42578125" style="2" customWidth="1"/>
    <col min="222" max="222" width="37.42578125" style="2" customWidth="1"/>
    <col min="223" max="223" width="63.140625" style="2" customWidth="1"/>
    <col min="224" max="224" width="20" style="2" customWidth="1"/>
    <col min="225" max="225" width="11.140625" style="2" customWidth="1"/>
    <col min="226" max="226" width="10.85546875" style="2" customWidth="1"/>
    <col min="227" max="227" width="21" style="2" customWidth="1"/>
    <col min="228" max="228" width="10.85546875" style="2" customWidth="1"/>
    <col min="229" max="229" width="17.42578125" style="2" customWidth="1"/>
    <col min="230" max="230" width="14.85546875" style="2" customWidth="1"/>
    <col min="231" max="231" width="15" style="2" customWidth="1"/>
    <col min="232" max="232" width="14.85546875" style="2" customWidth="1"/>
    <col min="233" max="233" width="7.140625" style="2" customWidth="1"/>
    <col min="234" max="235" width="20.140625" style="2" customWidth="1"/>
    <col min="236" max="236" width="18.42578125" style="2" customWidth="1"/>
    <col min="237" max="237" width="9.140625" style="2" customWidth="1"/>
    <col min="238" max="238" width="12" style="2" customWidth="1"/>
    <col min="239" max="239" width="14.85546875" style="2" customWidth="1"/>
    <col min="240" max="240" width="22.42578125" style="2" customWidth="1"/>
    <col min="241" max="241" width="14.85546875" style="2" customWidth="1"/>
    <col min="242" max="242" width="7.140625" style="2" customWidth="1"/>
    <col min="243" max="243" width="20.140625" style="2" customWidth="1"/>
    <col min="244" max="475" width="8.85546875" style="2" customWidth="1"/>
    <col min="476" max="476" width="8.140625" style="2" customWidth="1"/>
    <col min="477" max="477" width="14.42578125" style="2" customWidth="1"/>
    <col min="478" max="478" width="37.42578125" style="2" customWidth="1"/>
    <col min="479" max="479" width="63.140625" style="2" customWidth="1"/>
    <col min="480" max="480" width="20" style="2" customWidth="1"/>
    <col min="481" max="481" width="11.140625" style="2" customWidth="1"/>
    <col min="482" max="482" width="10.85546875" style="2" customWidth="1"/>
    <col min="483" max="483" width="21" style="2" customWidth="1"/>
    <col min="484" max="484" width="10.85546875" style="2" customWidth="1"/>
    <col min="485" max="485" width="17.42578125" style="2" customWidth="1"/>
    <col min="486" max="486" width="14.85546875" style="2" customWidth="1"/>
    <col min="487" max="487" width="15" style="2" customWidth="1"/>
    <col min="488" max="488" width="14.85546875" style="2" customWidth="1"/>
    <col min="489" max="489" width="7.140625" style="2" customWidth="1"/>
    <col min="490" max="491" width="20.140625" style="2" customWidth="1"/>
    <col min="492" max="492" width="18.42578125" style="2" customWidth="1"/>
    <col min="493" max="493" width="9.140625" style="2" customWidth="1"/>
    <col min="494" max="494" width="12" style="2" customWidth="1"/>
    <col min="495" max="495" width="14.85546875" style="2" customWidth="1"/>
    <col min="496" max="496" width="22.42578125" style="2" customWidth="1"/>
    <col min="497" max="497" width="14.85546875" style="2" customWidth="1"/>
    <col min="498" max="498" width="7.140625" style="2" customWidth="1"/>
    <col min="499" max="499" width="20.140625" style="2" customWidth="1"/>
    <col min="500" max="731" width="8.85546875" style="2" customWidth="1"/>
    <col min="732" max="732" width="8.140625" style="2" customWidth="1"/>
    <col min="733" max="733" width="14.42578125" style="2" customWidth="1"/>
    <col min="734" max="734" width="37.42578125" style="2" customWidth="1"/>
    <col min="735" max="735" width="63.140625" style="2" customWidth="1"/>
    <col min="736" max="736" width="20" style="2" customWidth="1"/>
    <col min="737" max="737" width="11.140625" style="2" customWidth="1"/>
    <col min="738" max="738" width="10.85546875" style="2" customWidth="1"/>
    <col min="739" max="739" width="21" style="2" customWidth="1"/>
    <col min="740" max="740" width="10.85546875" style="2" customWidth="1"/>
    <col min="741" max="741" width="17.42578125" style="2" customWidth="1"/>
    <col min="742" max="742" width="14.85546875" style="2" customWidth="1"/>
    <col min="743" max="743" width="15" style="2" customWidth="1"/>
    <col min="744" max="744" width="14.85546875" style="2" customWidth="1"/>
    <col min="745" max="745" width="7.140625" style="2" customWidth="1"/>
    <col min="746" max="747" width="20.140625" style="2" customWidth="1"/>
    <col min="748" max="748" width="18.42578125" style="2" customWidth="1"/>
    <col min="749" max="749" width="9.140625" style="2" customWidth="1"/>
    <col min="750" max="750" width="12" style="2" customWidth="1"/>
    <col min="751" max="751" width="14.85546875" style="2" customWidth="1"/>
    <col min="752" max="752" width="22.42578125" style="2" customWidth="1"/>
    <col min="753" max="753" width="14.85546875" style="2" customWidth="1"/>
    <col min="754" max="754" width="7.140625" style="2" customWidth="1"/>
    <col min="755" max="755" width="20.140625" style="2" customWidth="1"/>
    <col min="756" max="987" width="8.85546875" style="2" customWidth="1"/>
    <col min="988" max="988" width="8.140625" style="2" customWidth="1"/>
    <col min="989" max="989" width="14.42578125" style="2" customWidth="1"/>
    <col min="990" max="990" width="37.42578125" style="2" customWidth="1"/>
    <col min="991" max="991" width="63.140625" style="2" customWidth="1"/>
    <col min="992" max="992" width="20" style="2" customWidth="1"/>
    <col min="993" max="993" width="11.140625" style="2" customWidth="1"/>
    <col min="994" max="994" width="10.85546875" style="2" customWidth="1"/>
    <col min="995" max="995" width="21" style="2" customWidth="1"/>
    <col min="996" max="996" width="10.85546875" style="2" customWidth="1"/>
    <col min="997" max="997" width="17.42578125" style="2" customWidth="1"/>
    <col min="998" max="998" width="14.85546875" style="2" customWidth="1"/>
    <col min="999" max="999" width="15" style="2" customWidth="1"/>
    <col min="1000" max="1000" width="14.85546875" style="2" customWidth="1"/>
    <col min="1001" max="1001" width="7.140625" style="2" customWidth="1"/>
    <col min="1002" max="1003" width="20.140625" style="2" customWidth="1"/>
    <col min="1004" max="1004" width="18.42578125" style="2" customWidth="1"/>
    <col min="1005" max="1005" width="9.140625" style="2" customWidth="1"/>
    <col min="1006" max="1006" width="12" style="2" customWidth="1"/>
    <col min="1007" max="1007" width="14.85546875" style="2" customWidth="1"/>
    <col min="1008" max="1008" width="22.42578125" style="2" customWidth="1"/>
    <col min="1009" max="1009" width="14.85546875" style="2" customWidth="1"/>
    <col min="1010" max="1010" width="7.140625" style="2" customWidth="1"/>
    <col min="1011" max="1011" width="20.140625" style="2" customWidth="1"/>
    <col min="1012" max="1243" width="8.85546875" style="2" customWidth="1"/>
    <col min="1244" max="1244" width="8.140625" style="2" customWidth="1"/>
    <col min="1245" max="1245" width="14.42578125" style="2" customWidth="1"/>
    <col min="1246" max="1246" width="37.42578125" style="2" customWidth="1"/>
    <col min="1247" max="1247" width="63.140625" style="2" customWidth="1"/>
    <col min="1248" max="1248" width="20" style="2" customWidth="1"/>
    <col min="1249" max="1249" width="11.140625" style="2" customWidth="1"/>
    <col min="1250" max="1250" width="10.85546875" style="2" customWidth="1"/>
    <col min="1251" max="1251" width="21" style="2" customWidth="1"/>
    <col min="1252" max="1252" width="10.85546875" style="2" customWidth="1"/>
    <col min="1253" max="1253" width="17.42578125" style="2" customWidth="1"/>
    <col min="1254" max="1254" width="14.85546875" style="2" customWidth="1"/>
    <col min="1255" max="1255" width="15" style="2" customWidth="1"/>
    <col min="1256" max="1256" width="14.85546875" style="2" customWidth="1"/>
    <col min="1257" max="1257" width="7.140625" style="2" customWidth="1"/>
    <col min="1258" max="1259" width="20.140625" style="2" customWidth="1"/>
    <col min="1260" max="1260" width="18.42578125" style="2" customWidth="1"/>
    <col min="1261" max="1261" width="9.140625" style="2" customWidth="1"/>
    <col min="1262" max="1262" width="12" style="2" customWidth="1"/>
    <col min="1263" max="1263" width="14.85546875" style="2" customWidth="1"/>
    <col min="1264" max="1264" width="22.42578125" style="2" customWidth="1"/>
    <col min="1265" max="1265" width="14.85546875" style="2" customWidth="1"/>
    <col min="1266" max="1266" width="7.140625" style="2" customWidth="1"/>
    <col min="1267" max="1267" width="20.140625" style="2" customWidth="1"/>
    <col min="1268" max="1499" width="8.85546875" style="2" customWidth="1"/>
    <col min="1500" max="1500" width="8.140625" style="2" customWidth="1"/>
    <col min="1501" max="1501" width="14.42578125" style="2" customWidth="1"/>
    <col min="1502" max="1502" width="37.42578125" style="2" customWidth="1"/>
    <col min="1503" max="1503" width="63.140625" style="2" customWidth="1"/>
    <col min="1504" max="1504" width="20" style="2" customWidth="1"/>
    <col min="1505" max="1505" width="11.140625" style="2" customWidth="1"/>
    <col min="1506" max="1506" width="10.85546875" style="2" customWidth="1"/>
    <col min="1507" max="1507" width="21" style="2" customWidth="1"/>
    <col min="1508" max="1508" width="10.85546875" style="2" customWidth="1"/>
    <col min="1509" max="1509" width="17.42578125" style="2" customWidth="1"/>
    <col min="1510" max="1510" width="14.85546875" style="2" customWidth="1"/>
    <col min="1511" max="1511" width="15" style="2" customWidth="1"/>
    <col min="1512" max="1512" width="14.85546875" style="2" customWidth="1"/>
    <col min="1513" max="1513" width="7.140625" style="2" customWidth="1"/>
    <col min="1514" max="1515" width="20.140625" style="2" customWidth="1"/>
    <col min="1516" max="1516" width="18.42578125" style="2" customWidth="1"/>
    <col min="1517" max="1517" width="9.140625" style="2" customWidth="1"/>
    <col min="1518" max="1518" width="12" style="2" customWidth="1"/>
    <col min="1519" max="1519" width="14.85546875" style="2" customWidth="1"/>
    <col min="1520" max="1520" width="22.42578125" style="2" customWidth="1"/>
    <col min="1521" max="1521" width="14.85546875" style="2" customWidth="1"/>
    <col min="1522" max="1522" width="7.140625" style="2" customWidth="1"/>
    <col min="1523" max="1523" width="20.140625" style="2" customWidth="1"/>
    <col min="1524" max="1755" width="8.85546875" style="2" customWidth="1"/>
    <col min="1756" max="1756" width="8.140625" style="2" customWidth="1"/>
    <col min="1757" max="1757" width="14.42578125" style="2" customWidth="1"/>
    <col min="1758" max="1758" width="37.42578125" style="2" customWidth="1"/>
    <col min="1759" max="1759" width="63.140625" style="2" customWidth="1"/>
    <col min="1760" max="1760" width="20" style="2" customWidth="1"/>
    <col min="1761" max="1761" width="11.140625" style="2" customWidth="1"/>
    <col min="1762" max="1762" width="10.85546875" style="2" customWidth="1"/>
    <col min="1763" max="1763" width="21" style="2" customWidth="1"/>
    <col min="1764" max="1764" width="10.85546875" style="2" customWidth="1"/>
    <col min="1765" max="1765" width="17.42578125" style="2" customWidth="1"/>
    <col min="1766" max="1766" width="14.85546875" style="2" customWidth="1"/>
    <col min="1767" max="1767" width="15" style="2" customWidth="1"/>
    <col min="1768" max="1768" width="14.85546875" style="2" customWidth="1"/>
    <col min="1769" max="1769" width="7.140625" style="2" customWidth="1"/>
    <col min="1770" max="1771" width="20.140625" style="2" customWidth="1"/>
    <col min="1772" max="1772" width="18.42578125" style="2" customWidth="1"/>
    <col min="1773" max="1773" width="9.140625" style="2" customWidth="1"/>
    <col min="1774" max="1774" width="12" style="2" customWidth="1"/>
    <col min="1775" max="1775" width="14.85546875" style="2" customWidth="1"/>
    <col min="1776" max="1776" width="22.42578125" style="2" customWidth="1"/>
    <col min="1777" max="1777" width="14.85546875" style="2" customWidth="1"/>
    <col min="1778" max="1778" width="7.140625" style="2" customWidth="1"/>
    <col min="1779" max="1779" width="20.140625" style="2" customWidth="1"/>
    <col min="1780" max="2011" width="8.85546875" style="2" customWidth="1"/>
    <col min="2012" max="2012" width="8.140625" style="2" customWidth="1"/>
    <col min="2013" max="2013" width="14.42578125" style="2" customWidth="1"/>
    <col min="2014" max="2014" width="37.42578125" style="2" customWidth="1"/>
    <col min="2015" max="2015" width="63.140625" style="2" customWidth="1"/>
    <col min="2016" max="2016" width="20" style="2" customWidth="1"/>
    <col min="2017" max="2017" width="11.140625" style="2" customWidth="1"/>
    <col min="2018" max="2018" width="10.85546875" style="2" customWidth="1"/>
    <col min="2019" max="2019" width="21" style="2" customWidth="1"/>
    <col min="2020" max="2020" width="10.85546875" style="2" customWidth="1"/>
    <col min="2021" max="2021" width="17.42578125" style="2" customWidth="1"/>
    <col min="2022" max="2022" width="14.85546875" style="2" customWidth="1"/>
    <col min="2023" max="2023" width="15" style="2" customWidth="1"/>
    <col min="2024" max="2024" width="14.85546875" style="2" customWidth="1"/>
    <col min="2025" max="2025" width="7.140625" style="2" customWidth="1"/>
    <col min="2026" max="2027" width="20.140625" style="2" customWidth="1"/>
    <col min="2028" max="2028" width="18.42578125" style="2" customWidth="1"/>
    <col min="2029" max="2029" width="9.140625" style="2" customWidth="1"/>
    <col min="2030" max="2030" width="12" style="2" customWidth="1"/>
    <col min="2031" max="2031" width="14.85546875" style="2" customWidth="1"/>
    <col min="2032" max="2032" width="22.42578125" style="2" customWidth="1"/>
    <col min="2033" max="2033" width="14.85546875" style="2" customWidth="1"/>
    <col min="2034" max="2034" width="7.140625" style="2" customWidth="1"/>
    <col min="2035" max="2035" width="20.140625" style="2" customWidth="1"/>
    <col min="2036" max="2267" width="8.85546875" style="2" customWidth="1"/>
    <col min="2268" max="2268" width="8.140625" style="2" customWidth="1"/>
    <col min="2269" max="2269" width="14.42578125" style="2" customWidth="1"/>
    <col min="2270" max="2270" width="37.42578125" style="2" customWidth="1"/>
    <col min="2271" max="2271" width="63.140625" style="2" customWidth="1"/>
    <col min="2272" max="2272" width="20" style="2" customWidth="1"/>
    <col min="2273" max="2273" width="11.140625" style="2" customWidth="1"/>
    <col min="2274" max="2274" width="10.85546875" style="2" customWidth="1"/>
    <col min="2275" max="2275" width="21" style="2" customWidth="1"/>
    <col min="2276" max="2276" width="10.85546875" style="2" customWidth="1"/>
    <col min="2277" max="2277" width="17.42578125" style="2" customWidth="1"/>
    <col min="2278" max="2278" width="14.85546875" style="2" customWidth="1"/>
    <col min="2279" max="2279" width="15" style="2" customWidth="1"/>
    <col min="2280" max="2280" width="14.85546875" style="2" customWidth="1"/>
    <col min="2281" max="2281" width="7.140625" style="2" customWidth="1"/>
    <col min="2282" max="2283" width="20.140625" style="2" customWidth="1"/>
    <col min="2284" max="2284" width="18.42578125" style="2" customWidth="1"/>
    <col min="2285" max="2285" width="9.140625" style="2" customWidth="1"/>
    <col min="2286" max="2286" width="12" style="2" customWidth="1"/>
    <col min="2287" max="2287" width="14.85546875" style="2" customWidth="1"/>
    <col min="2288" max="2288" width="22.42578125" style="2" customWidth="1"/>
    <col min="2289" max="2289" width="14.85546875" style="2" customWidth="1"/>
    <col min="2290" max="2290" width="7.140625" style="2" customWidth="1"/>
    <col min="2291" max="2291" width="20.140625" style="2" customWidth="1"/>
    <col min="2292" max="2523" width="8.85546875" style="2" customWidth="1"/>
    <col min="2524" max="2524" width="8.140625" style="2" customWidth="1"/>
    <col min="2525" max="2525" width="14.42578125" style="2" customWidth="1"/>
    <col min="2526" max="2526" width="37.42578125" style="2" customWidth="1"/>
    <col min="2527" max="2527" width="63.140625" style="2" customWidth="1"/>
    <col min="2528" max="2528" width="20" style="2" customWidth="1"/>
    <col min="2529" max="2529" width="11.140625" style="2" customWidth="1"/>
    <col min="2530" max="2530" width="10.85546875" style="2" customWidth="1"/>
    <col min="2531" max="2531" width="21" style="2" customWidth="1"/>
    <col min="2532" max="2532" width="10.85546875" style="2" customWidth="1"/>
    <col min="2533" max="2533" width="17.42578125" style="2" customWidth="1"/>
    <col min="2534" max="2534" width="14.85546875" style="2" customWidth="1"/>
    <col min="2535" max="2535" width="15" style="2" customWidth="1"/>
    <col min="2536" max="2536" width="14.85546875" style="2" customWidth="1"/>
    <col min="2537" max="2537" width="7.140625" style="2" customWidth="1"/>
    <col min="2538" max="2539" width="20.140625" style="2" customWidth="1"/>
    <col min="2540" max="2540" width="18.42578125" style="2" customWidth="1"/>
    <col min="2541" max="2541" width="9.140625" style="2" customWidth="1"/>
    <col min="2542" max="2542" width="12" style="2" customWidth="1"/>
    <col min="2543" max="2543" width="14.85546875" style="2" customWidth="1"/>
    <col min="2544" max="2544" width="22.42578125" style="2" customWidth="1"/>
    <col min="2545" max="2545" width="14.85546875" style="2" customWidth="1"/>
    <col min="2546" max="2546" width="7.140625" style="2" customWidth="1"/>
    <col min="2547" max="2547" width="20.140625" style="2" customWidth="1"/>
    <col min="2548" max="2779" width="8.85546875" style="2" customWidth="1"/>
    <col min="2780" max="2780" width="8.140625" style="2" customWidth="1"/>
    <col min="2781" max="2781" width="14.42578125" style="2" customWidth="1"/>
    <col min="2782" max="2782" width="37.42578125" style="2" customWidth="1"/>
    <col min="2783" max="2783" width="63.140625" style="2" customWidth="1"/>
    <col min="2784" max="2784" width="20" style="2" customWidth="1"/>
    <col min="2785" max="2785" width="11.140625" style="2" customWidth="1"/>
    <col min="2786" max="2786" width="10.85546875" style="2" customWidth="1"/>
    <col min="2787" max="2787" width="21" style="2" customWidth="1"/>
    <col min="2788" max="2788" width="10.85546875" style="2" customWidth="1"/>
    <col min="2789" max="2789" width="17.42578125" style="2" customWidth="1"/>
    <col min="2790" max="2790" width="14.85546875" style="2" customWidth="1"/>
    <col min="2791" max="2791" width="15" style="2" customWidth="1"/>
    <col min="2792" max="2792" width="14.85546875" style="2" customWidth="1"/>
    <col min="2793" max="2793" width="7.140625" style="2" customWidth="1"/>
    <col min="2794" max="2795" width="20.140625" style="2" customWidth="1"/>
    <col min="2796" max="2796" width="18.42578125" style="2" customWidth="1"/>
    <col min="2797" max="2797" width="9.140625" style="2" customWidth="1"/>
    <col min="2798" max="2798" width="12" style="2" customWidth="1"/>
    <col min="2799" max="2799" width="14.85546875" style="2" customWidth="1"/>
    <col min="2800" max="2800" width="22.42578125" style="2" customWidth="1"/>
    <col min="2801" max="2801" width="14.85546875" style="2" customWidth="1"/>
    <col min="2802" max="2802" width="7.140625" style="2" customWidth="1"/>
    <col min="2803" max="2803" width="20.140625" style="2" customWidth="1"/>
    <col min="2804" max="3035" width="8.85546875" style="2" customWidth="1"/>
    <col min="3036" max="3036" width="8.140625" style="2" customWidth="1"/>
    <col min="3037" max="3037" width="14.42578125" style="2" customWidth="1"/>
    <col min="3038" max="3038" width="37.42578125" style="2" customWidth="1"/>
    <col min="3039" max="3039" width="63.140625" style="2" customWidth="1"/>
    <col min="3040" max="3040" width="20" style="2" customWidth="1"/>
    <col min="3041" max="3041" width="11.140625" style="2" customWidth="1"/>
    <col min="3042" max="3042" width="10.85546875" style="2" customWidth="1"/>
    <col min="3043" max="3043" width="21" style="2" customWidth="1"/>
    <col min="3044" max="3044" width="10.85546875" style="2" customWidth="1"/>
    <col min="3045" max="3045" width="17.42578125" style="2" customWidth="1"/>
    <col min="3046" max="3046" width="14.85546875" style="2" customWidth="1"/>
    <col min="3047" max="3047" width="15" style="2" customWidth="1"/>
    <col min="3048" max="3048" width="14.85546875" style="2" customWidth="1"/>
    <col min="3049" max="3049" width="7.140625" style="2" customWidth="1"/>
    <col min="3050" max="3051" width="20.140625" style="2" customWidth="1"/>
    <col min="3052" max="3052" width="18.42578125" style="2" customWidth="1"/>
    <col min="3053" max="3053" width="9.140625" style="2" customWidth="1"/>
    <col min="3054" max="3054" width="12" style="2" customWidth="1"/>
    <col min="3055" max="3055" width="14.85546875" style="2" customWidth="1"/>
    <col min="3056" max="3056" width="22.42578125" style="2" customWidth="1"/>
    <col min="3057" max="3057" width="14.85546875" style="2" customWidth="1"/>
    <col min="3058" max="3058" width="7.140625" style="2" customWidth="1"/>
    <col min="3059" max="3059" width="20.140625" style="2" customWidth="1"/>
    <col min="3060" max="3291" width="8.85546875" style="2" customWidth="1"/>
    <col min="3292" max="3292" width="8.140625" style="2" customWidth="1"/>
    <col min="3293" max="3293" width="14.42578125" style="2" customWidth="1"/>
    <col min="3294" max="3294" width="37.42578125" style="2" customWidth="1"/>
    <col min="3295" max="3295" width="63.140625" style="2" customWidth="1"/>
    <col min="3296" max="3296" width="20" style="2" customWidth="1"/>
    <col min="3297" max="3297" width="11.140625" style="2" customWidth="1"/>
    <col min="3298" max="3298" width="10.85546875" style="2" customWidth="1"/>
    <col min="3299" max="3299" width="21" style="2" customWidth="1"/>
    <col min="3300" max="3300" width="10.85546875" style="2" customWidth="1"/>
    <col min="3301" max="3301" width="17.42578125" style="2" customWidth="1"/>
    <col min="3302" max="3302" width="14.85546875" style="2" customWidth="1"/>
    <col min="3303" max="3303" width="15" style="2" customWidth="1"/>
    <col min="3304" max="3304" width="14.85546875" style="2" customWidth="1"/>
    <col min="3305" max="3305" width="7.140625" style="2" customWidth="1"/>
    <col min="3306" max="3307" width="20.140625" style="2" customWidth="1"/>
    <col min="3308" max="3308" width="18.42578125" style="2" customWidth="1"/>
    <col min="3309" max="3309" width="9.140625" style="2" customWidth="1"/>
    <col min="3310" max="3310" width="12" style="2" customWidth="1"/>
    <col min="3311" max="3311" width="14.85546875" style="2" customWidth="1"/>
    <col min="3312" max="3312" width="22.42578125" style="2" customWidth="1"/>
    <col min="3313" max="3313" width="14.85546875" style="2" customWidth="1"/>
    <col min="3314" max="3314" width="7.140625" style="2" customWidth="1"/>
    <col min="3315" max="3315" width="20.140625" style="2" customWidth="1"/>
    <col min="3316" max="3547" width="8.85546875" style="2" customWidth="1"/>
    <col min="3548" max="3548" width="8.140625" style="2" customWidth="1"/>
    <col min="3549" max="3549" width="14.42578125" style="2" customWidth="1"/>
    <col min="3550" max="3550" width="37.42578125" style="2" customWidth="1"/>
    <col min="3551" max="3551" width="63.140625" style="2" customWidth="1"/>
    <col min="3552" max="3552" width="20" style="2" customWidth="1"/>
    <col min="3553" max="3553" width="11.140625" style="2" customWidth="1"/>
    <col min="3554" max="3554" width="10.85546875" style="2" customWidth="1"/>
    <col min="3555" max="3555" width="21" style="2" customWidth="1"/>
    <col min="3556" max="3556" width="10.85546875" style="2" customWidth="1"/>
    <col min="3557" max="3557" width="17.42578125" style="2" customWidth="1"/>
    <col min="3558" max="3558" width="14.85546875" style="2" customWidth="1"/>
    <col min="3559" max="3559" width="15" style="2" customWidth="1"/>
    <col min="3560" max="3560" width="14.85546875" style="2" customWidth="1"/>
    <col min="3561" max="3561" width="7.140625" style="2" customWidth="1"/>
    <col min="3562" max="3563" width="20.140625" style="2" customWidth="1"/>
    <col min="3564" max="3564" width="18.42578125" style="2" customWidth="1"/>
    <col min="3565" max="3565" width="9.140625" style="2" customWidth="1"/>
    <col min="3566" max="3566" width="12" style="2" customWidth="1"/>
    <col min="3567" max="3567" width="14.85546875" style="2" customWidth="1"/>
    <col min="3568" max="3568" width="22.42578125" style="2" customWidth="1"/>
    <col min="3569" max="3569" width="14.85546875" style="2" customWidth="1"/>
    <col min="3570" max="3570" width="7.140625" style="2" customWidth="1"/>
    <col min="3571" max="3571" width="20.140625" style="2" customWidth="1"/>
    <col min="3572" max="3803" width="8.85546875" style="2" customWidth="1"/>
    <col min="3804" max="3804" width="8.140625" style="2" customWidth="1"/>
    <col min="3805" max="3805" width="14.42578125" style="2" customWidth="1"/>
    <col min="3806" max="3806" width="37.42578125" style="2" customWidth="1"/>
    <col min="3807" max="3807" width="63.140625" style="2" customWidth="1"/>
    <col min="3808" max="3808" width="20" style="2" customWidth="1"/>
    <col min="3809" max="3809" width="11.140625" style="2" customWidth="1"/>
    <col min="3810" max="3810" width="10.85546875" style="2" customWidth="1"/>
    <col min="3811" max="3811" width="21" style="2" customWidth="1"/>
    <col min="3812" max="3812" width="10.85546875" style="2" customWidth="1"/>
    <col min="3813" max="3813" width="17.42578125" style="2" customWidth="1"/>
    <col min="3814" max="3814" width="14.85546875" style="2" customWidth="1"/>
    <col min="3815" max="3815" width="15" style="2" customWidth="1"/>
    <col min="3816" max="3816" width="14.85546875" style="2" customWidth="1"/>
    <col min="3817" max="3817" width="7.140625" style="2" customWidth="1"/>
    <col min="3818" max="3819" width="20.140625" style="2" customWidth="1"/>
    <col min="3820" max="3820" width="18.42578125" style="2" customWidth="1"/>
    <col min="3821" max="3821" width="9.140625" style="2" customWidth="1"/>
    <col min="3822" max="3822" width="12" style="2" customWidth="1"/>
    <col min="3823" max="3823" width="14.85546875" style="2" customWidth="1"/>
    <col min="3824" max="3824" width="22.42578125" style="2" customWidth="1"/>
    <col min="3825" max="3825" width="14.85546875" style="2" customWidth="1"/>
    <col min="3826" max="3826" width="7.140625" style="2" customWidth="1"/>
    <col min="3827" max="3827" width="20.140625" style="2" customWidth="1"/>
    <col min="3828" max="4059" width="8.85546875" style="2" customWidth="1"/>
    <col min="4060" max="4060" width="8.140625" style="2" customWidth="1"/>
    <col min="4061" max="4061" width="14.42578125" style="2" customWidth="1"/>
    <col min="4062" max="4062" width="37.42578125" style="2" customWidth="1"/>
    <col min="4063" max="4063" width="63.140625" style="2" customWidth="1"/>
    <col min="4064" max="4064" width="20" style="2" customWidth="1"/>
    <col min="4065" max="4065" width="11.140625" style="2" customWidth="1"/>
    <col min="4066" max="4066" width="10.85546875" style="2" customWidth="1"/>
    <col min="4067" max="4067" width="21" style="2" customWidth="1"/>
    <col min="4068" max="4068" width="10.85546875" style="2" customWidth="1"/>
    <col min="4069" max="4069" width="17.42578125" style="2" customWidth="1"/>
    <col min="4070" max="4070" width="14.85546875" style="2" customWidth="1"/>
    <col min="4071" max="4071" width="15" style="2" customWidth="1"/>
    <col min="4072" max="4072" width="14.85546875" style="2" customWidth="1"/>
    <col min="4073" max="4073" width="7.140625" style="2" customWidth="1"/>
    <col min="4074" max="4075" width="20.140625" style="2" customWidth="1"/>
    <col min="4076" max="4076" width="18.42578125" style="2" customWidth="1"/>
    <col min="4077" max="4077" width="9.140625" style="2" customWidth="1"/>
    <col min="4078" max="4078" width="12" style="2" customWidth="1"/>
    <col min="4079" max="4079" width="14.85546875" style="2" customWidth="1"/>
    <col min="4080" max="4080" width="22.42578125" style="2" customWidth="1"/>
    <col min="4081" max="4081" width="14.85546875" style="2" customWidth="1"/>
    <col min="4082" max="4082" width="7.140625" style="2" customWidth="1"/>
    <col min="4083" max="4083" width="20.140625" style="2" customWidth="1"/>
    <col min="4084" max="4315" width="8.85546875" style="2" customWidth="1"/>
    <col min="4316" max="4316" width="8.140625" style="2" customWidth="1"/>
    <col min="4317" max="4317" width="14.42578125" style="2" customWidth="1"/>
    <col min="4318" max="4318" width="37.42578125" style="2" customWidth="1"/>
    <col min="4319" max="4319" width="63.140625" style="2" customWidth="1"/>
    <col min="4320" max="4320" width="20" style="2" customWidth="1"/>
    <col min="4321" max="4321" width="11.140625" style="2" customWidth="1"/>
    <col min="4322" max="4322" width="10.85546875" style="2" customWidth="1"/>
    <col min="4323" max="4323" width="21" style="2" customWidth="1"/>
    <col min="4324" max="4324" width="10.85546875" style="2" customWidth="1"/>
    <col min="4325" max="4325" width="17.42578125" style="2" customWidth="1"/>
    <col min="4326" max="4326" width="14.85546875" style="2" customWidth="1"/>
    <col min="4327" max="4327" width="15" style="2" customWidth="1"/>
    <col min="4328" max="4328" width="14.85546875" style="2" customWidth="1"/>
    <col min="4329" max="4329" width="7.140625" style="2" customWidth="1"/>
    <col min="4330" max="4331" width="20.140625" style="2" customWidth="1"/>
    <col min="4332" max="4332" width="18.42578125" style="2" customWidth="1"/>
    <col min="4333" max="4333" width="9.140625" style="2" customWidth="1"/>
    <col min="4334" max="4334" width="12" style="2" customWidth="1"/>
    <col min="4335" max="4335" width="14.85546875" style="2" customWidth="1"/>
    <col min="4336" max="4336" width="22.42578125" style="2" customWidth="1"/>
    <col min="4337" max="4337" width="14.85546875" style="2" customWidth="1"/>
    <col min="4338" max="4338" width="7.140625" style="2" customWidth="1"/>
    <col min="4339" max="4339" width="20.140625" style="2" customWidth="1"/>
    <col min="4340" max="4571" width="8.85546875" style="2" customWidth="1"/>
    <col min="4572" max="4572" width="8.140625" style="2" customWidth="1"/>
    <col min="4573" max="4573" width="14.42578125" style="2" customWidth="1"/>
    <col min="4574" max="4574" width="37.42578125" style="2" customWidth="1"/>
    <col min="4575" max="4575" width="63.140625" style="2" customWidth="1"/>
    <col min="4576" max="4576" width="20" style="2" customWidth="1"/>
    <col min="4577" max="4577" width="11.140625" style="2" customWidth="1"/>
    <col min="4578" max="4578" width="10.85546875" style="2" customWidth="1"/>
    <col min="4579" max="4579" width="21" style="2" customWidth="1"/>
    <col min="4580" max="4580" width="10.85546875" style="2" customWidth="1"/>
    <col min="4581" max="4581" width="17.42578125" style="2" customWidth="1"/>
    <col min="4582" max="4582" width="14.85546875" style="2" customWidth="1"/>
    <col min="4583" max="4583" width="15" style="2" customWidth="1"/>
    <col min="4584" max="4584" width="14.85546875" style="2" customWidth="1"/>
    <col min="4585" max="4585" width="7.140625" style="2" customWidth="1"/>
    <col min="4586" max="4587" width="20.140625" style="2" customWidth="1"/>
    <col min="4588" max="4588" width="18.42578125" style="2" customWidth="1"/>
    <col min="4589" max="4589" width="9.140625" style="2" customWidth="1"/>
    <col min="4590" max="4590" width="12" style="2" customWidth="1"/>
    <col min="4591" max="4591" width="14.85546875" style="2" customWidth="1"/>
    <col min="4592" max="4592" width="22.42578125" style="2" customWidth="1"/>
    <col min="4593" max="4593" width="14.85546875" style="2" customWidth="1"/>
    <col min="4594" max="4594" width="7.140625" style="2" customWidth="1"/>
    <col min="4595" max="4595" width="20.140625" style="2" customWidth="1"/>
    <col min="4596" max="4827" width="8.85546875" style="2" customWidth="1"/>
    <col min="4828" max="4828" width="8.140625" style="2" customWidth="1"/>
    <col min="4829" max="4829" width="14.42578125" style="2" customWidth="1"/>
    <col min="4830" max="4830" width="37.42578125" style="2" customWidth="1"/>
    <col min="4831" max="4831" width="63.140625" style="2" customWidth="1"/>
    <col min="4832" max="4832" width="20" style="2" customWidth="1"/>
    <col min="4833" max="4833" width="11.140625" style="2" customWidth="1"/>
    <col min="4834" max="4834" width="10.85546875" style="2" customWidth="1"/>
    <col min="4835" max="4835" width="21" style="2" customWidth="1"/>
    <col min="4836" max="4836" width="10.85546875" style="2" customWidth="1"/>
    <col min="4837" max="4837" width="17.42578125" style="2" customWidth="1"/>
    <col min="4838" max="4838" width="14.85546875" style="2" customWidth="1"/>
    <col min="4839" max="4839" width="15" style="2" customWidth="1"/>
    <col min="4840" max="4840" width="14.85546875" style="2" customWidth="1"/>
    <col min="4841" max="4841" width="7.140625" style="2" customWidth="1"/>
    <col min="4842" max="4843" width="20.140625" style="2" customWidth="1"/>
    <col min="4844" max="4844" width="18.42578125" style="2" customWidth="1"/>
    <col min="4845" max="4845" width="9.140625" style="2" customWidth="1"/>
    <col min="4846" max="4846" width="12" style="2" customWidth="1"/>
    <col min="4847" max="4847" width="14.85546875" style="2" customWidth="1"/>
    <col min="4848" max="4848" width="22.42578125" style="2" customWidth="1"/>
    <col min="4849" max="4849" width="14.85546875" style="2" customWidth="1"/>
    <col min="4850" max="4850" width="7.140625" style="2" customWidth="1"/>
    <col min="4851" max="4851" width="20.140625" style="2" customWidth="1"/>
    <col min="4852" max="5083" width="8.85546875" style="2" customWidth="1"/>
    <col min="5084" max="5084" width="8.140625" style="2" customWidth="1"/>
    <col min="5085" max="5085" width="14.42578125" style="2" customWidth="1"/>
    <col min="5086" max="5086" width="37.42578125" style="2" customWidth="1"/>
    <col min="5087" max="5087" width="63.140625" style="2" customWidth="1"/>
    <col min="5088" max="5088" width="20" style="2" customWidth="1"/>
    <col min="5089" max="5089" width="11.140625" style="2" customWidth="1"/>
    <col min="5090" max="5090" width="10.85546875" style="2" customWidth="1"/>
    <col min="5091" max="5091" width="21" style="2" customWidth="1"/>
    <col min="5092" max="5092" width="10.85546875" style="2" customWidth="1"/>
    <col min="5093" max="5093" width="17.42578125" style="2" customWidth="1"/>
    <col min="5094" max="5094" width="14.85546875" style="2" customWidth="1"/>
    <col min="5095" max="5095" width="15" style="2" customWidth="1"/>
    <col min="5096" max="5096" width="14.85546875" style="2" customWidth="1"/>
    <col min="5097" max="5097" width="7.140625" style="2" customWidth="1"/>
    <col min="5098" max="5099" width="20.140625" style="2" customWidth="1"/>
    <col min="5100" max="5100" width="18.42578125" style="2" customWidth="1"/>
    <col min="5101" max="5101" width="9.140625" style="2" customWidth="1"/>
    <col min="5102" max="5102" width="12" style="2" customWidth="1"/>
    <col min="5103" max="5103" width="14.85546875" style="2" customWidth="1"/>
    <col min="5104" max="5104" width="22.42578125" style="2" customWidth="1"/>
    <col min="5105" max="5105" width="14.85546875" style="2" customWidth="1"/>
    <col min="5106" max="5106" width="7.140625" style="2" customWidth="1"/>
    <col min="5107" max="5107" width="20.140625" style="2" customWidth="1"/>
    <col min="5108" max="5339" width="8.85546875" style="2" customWidth="1"/>
    <col min="5340" max="5340" width="8.140625" style="2" customWidth="1"/>
    <col min="5341" max="5341" width="14.42578125" style="2" customWidth="1"/>
    <col min="5342" max="5342" width="37.42578125" style="2" customWidth="1"/>
    <col min="5343" max="5343" width="63.140625" style="2" customWidth="1"/>
    <col min="5344" max="5344" width="20" style="2" customWidth="1"/>
    <col min="5345" max="5345" width="11.140625" style="2" customWidth="1"/>
    <col min="5346" max="5346" width="10.85546875" style="2" customWidth="1"/>
    <col min="5347" max="5347" width="21" style="2" customWidth="1"/>
    <col min="5348" max="5348" width="10.85546875" style="2" customWidth="1"/>
    <col min="5349" max="5349" width="17.42578125" style="2" customWidth="1"/>
    <col min="5350" max="5350" width="14.85546875" style="2" customWidth="1"/>
    <col min="5351" max="5351" width="15" style="2" customWidth="1"/>
    <col min="5352" max="5352" width="14.85546875" style="2" customWidth="1"/>
    <col min="5353" max="5353" width="7.140625" style="2" customWidth="1"/>
    <col min="5354" max="5355" width="20.140625" style="2" customWidth="1"/>
    <col min="5356" max="5356" width="18.42578125" style="2" customWidth="1"/>
    <col min="5357" max="5357" width="9.140625" style="2" customWidth="1"/>
    <col min="5358" max="5358" width="12" style="2" customWidth="1"/>
    <col min="5359" max="5359" width="14.85546875" style="2" customWidth="1"/>
    <col min="5360" max="5360" width="22.42578125" style="2" customWidth="1"/>
    <col min="5361" max="5361" width="14.85546875" style="2" customWidth="1"/>
    <col min="5362" max="5362" width="7.140625" style="2" customWidth="1"/>
    <col min="5363" max="5363" width="20.140625" style="2" customWidth="1"/>
    <col min="5364" max="5595" width="8.85546875" style="2" customWidth="1"/>
    <col min="5596" max="5596" width="8.140625" style="2" customWidth="1"/>
    <col min="5597" max="5597" width="14.42578125" style="2" customWidth="1"/>
    <col min="5598" max="5598" width="37.42578125" style="2" customWidth="1"/>
    <col min="5599" max="5599" width="63.140625" style="2" customWidth="1"/>
    <col min="5600" max="5600" width="20" style="2" customWidth="1"/>
    <col min="5601" max="5601" width="11.140625" style="2" customWidth="1"/>
    <col min="5602" max="5602" width="10.85546875" style="2" customWidth="1"/>
    <col min="5603" max="5603" width="21" style="2" customWidth="1"/>
    <col min="5604" max="5604" width="10.85546875" style="2" customWidth="1"/>
    <col min="5605" max="5605" width="17.42578125" style="2" customWidth="1"/>
    <col min="5606" max="5606" width="14.85546875" style="2" customWidth="1"/>
    <col min="5607" max="5607" width="15" style="2" customWidth="1"/>
    <col min="5608" max="5608" width="14.85546875" style="2" customWidth="1"/>
    <col min="5609" max="5609" width="7.140625" style="2" customWidth="1"/>
    <col min="5610" max="5611" width="20.140625" style="2" customWidth="1"/>
    <col min="5612" max="5612" width="18.42578125" style="2" customWidth="1"/>
    <col min="5613" max="5613" width="9.140625" style="2" customWidth="1"/>
    <col min="5614" max="5614" width="12" style="2" customWidth="1"/>
    <col min="5615" max="5615" width="14.85546875" style="2" customWidth="1"/>
    <col min="5616" max="5616" width="22.42578125" style="2" customWidth="1"/>
    <col min="5617" max="5617" width="14.85546875" style="2" customWidth="1"/>
    <col min="5618" max="5618" width="7.140625" style="2" customWidth="1"/>
    <col min="5619" max="5619" width="20.140625" style="2" customWidth="1"/>
    <col min="5620" max="5851" width="8.85546875" style="2" customWidth="1"/>
    <col min="5852" max="5852" width="8.140625" style="2" customWidth="1"/>
    <col min="5853" max="5853" width="14.42578125" style="2" customWidth="1"/>
    <col min="5854" max="5854" width="37.42578125" style="2" customWidth="1"/>
    <col min="5855" max="5855" width="63.140625" style="2" customWidth="1"/>
    <col min="5856" max="5856" width="20" style="2" customWidth="1"/>
    <col min="5857" max="5857" width="11.140625" style="2" customWidth="1"/>
    <col min="5858" max="5858" width="10.85546875" style="2" customWidth="1"/>
    <col min="5859" max="5859" width="21" style="2" customWidth="1"/>
    <col min="5860" max="5860" width="10.85546875" style="2" customWidth="1"/>
    <col min="5861" max="5861" width="17.42578125" style="2" customWidth="1"/>
    <col min="5862" max="5862" width="14.85546875" style="2" customWidth="1"/>
    <col min="5863" max="5863" width="15" style="2" customWidth="1"/>
    <col min="5864" max="5864" width="14.85546875" style="2" customWidth="1"/>
    <col min="5865" max="5865" width="7.140625" style="2" customWidth="1"/>
    <col min="5866" max="5867" width="20.140625" style="2" customWidth="1"/>
    <col min="5868" max="5868" width="18.42578125" style="2" customWidth="1"/>
    <col min="5869" max="5869" width="9.140625" style="2" customWidth="1"/>
    <col min="5870" max="5870" width="12" style="2" customWidth="1"/>
    <col min="5871" max="5871" width="14.85546875" style="2" customWidth="1"/>
    <col min="5872" max="5872" width="22.42578125" style="2" customWidth="1"/>
    <col min="5873" max="5873" width="14.85546875" style="2" customWidth="1"/>
    <col min="5874" max="5874" width="7.140625" style="2" customWidth="1"/>
    <col min="5875" max="5875" width="20.140625" style="2" customWidth="1"/>
    <col min="5876" max="6107" width="8.85546875" style="2" customWidth="1"/>
    <col min="6108" max="6108" width="8.140625" style="2" customWidth="1"/>
    <col min="6109" max="6109" width="14.42578125" style="2" customWidth="1"/>
    <col min="6110" max="6110" width="37.42578125" style="2" customWidth="1"/>
    <col min="6111" max="6111" width="63.140625" style="2" customWidth="1"/>
    <col min="6112" max="6112" width="20" style="2" customWidth="1"/>
    <col min="6113" max="6113" width="11.140625" style="2" customWidth="1"/>
    <col min="6114" max="6114" width="10.85546875" style="2" customWidth="1"/>
    <col min="6115" max="6115" width="21" style="2" customWidth="1"/>
    <col min="6116" max="6116" width="10.85546875" style="2" customWidth="1"/>
    <col min="6117" max="6117" width="17.42578125" style="2" customWidth="1"/>
    <col min="6118" max="6118" width="14.85546875" style="2" customWidth="1"/>
    <col min="6119" max="6119" width="15" style="2" customWidth="1"/>
    <col min="6120" max="6120" width="14.85546875" style="2" customWidth="1"/>
    <col min="6121" max="6121" width="7.140625" style="2" customWidth="1"/>
    <col min="6122" max="6123" width="20.140625" style="2" customWidth="1"/>
    <col min="6124" max="6124" width="18.42578125" style="2" customWidth="1"/>
    <col min="6125" max="6125" width="9.140625" style="2" customWidth="1"/>
    <col min="6126" max="6126" width="12" style="2" customWidth="1"/>
    <col min="6127" max="6127" width="14.85546875" style="2" customWidth="1"/>
    <col min="6128" max="6128" width="22.42578125" style="2" customWidth="1"/>
    <col min="6129" max="6129" width="14.85546875" style="2" customWidth="1"/>
    <col min="6130" max="6130" width="7.140625" style="2" customWidth="1"/>
    <col min="6131" max="6131" width="20.140625" style="2" customWidth="1"/>
    <col min="6132" max="6363" width="8.85546875" style="2" customWidth="1"/>
    <col min="6364" max="6364" width="8.140625" style="2" customWidth="1"/>
    <col min="6365" max="6365" width="14.42578125" style="2" customWidth="1"/>
    <col min="6366" max="6366" width="37.42578125" style="2" customWidth="1"/>
    <col min="6367" max="6367" width="63.140625" style="2" customWidth="1"/>
    <col min="6368" max="6368" width="20" style="2" customWidth="1"/>
    <col min="6369" max="6369" width="11.140625" style="2" customWidth="1"/>
    <col min="6370" max="6370" width="10.85546875" style="2" customWidth="1"/>
    <col min="6371" max="6371" width="21" style="2" customWidth="1"/>
    <col min="6372" max="6372" width="10.85546875" style="2" customWidth="1"/>
    <col min="6373" max="6373" width="17.42578125" style="2" customWidth="1"/>
    <col min="6374" max="6374" width="14.85546875" style="2" customWidth="1"/>
    <col min="6375" max="6375" width="15" style="2" customWidth="1"/>
    <col min="6376" max="6376" width="14.85546875" style="2" customWidth="1"/>
    <col min="6377" max="6377" width="7.140625" style="2" customWidth="1"/>
    <col min="6378" max="6379" width="20.140625" style="2" customWidth="1"/>
    <col min="6380" max="6380" width="18.42578125" style="2" customWidth="1"/>
    <col min="6381" max="6381" width="9.140625" style="2" customWidth="1"/>
    <col min="6382" max="6382" width="12" style="2" customWidth="1"/>
    <col min="6383" max="6383" width="14.85546875" style="2" customWidth="1"/>
    <col min="6384" max="6384" width="22.42578125" style="2" customWidth="1"/>
    <col min="6385" max="6385" width="14.85546875" style="2" customWidth="1"/>
    <col min="6386" max="6386" width="7.140625" style="2" customWidth="1"/>
    <col min="6387" max="6387" width="20.140625" style="2" customWidth="1"/>
    <col min="6388" max="6619" width="8.85546875" style="2" customWidth="1"/>
    <col min="6620" max="6620" width="8.140625" style="2" customWidth="1"/>
    <col min="6621" max="6621" width="14.42578125" style="2" customWidth="1"/>
    <col min="6622" max="6622" width="37.42578125" style="2" customWidth="1"/>
    <col min="6623" max="6623" width="63.140625" style="2" customWidth="1"/>
    <col min="6624" max="6624" width="20" style="2" customWidth="1"/>
    <col min="6625" max="6625" width="11.140625" style="2" customWidth="1"/>
    <col min="6626" max="6626" width="10.85546875" style="2" customWidth="1"/>
    <col min="6627" max="6627" width="21" style="2" customWidth="1"/>
    <col min="6628" max="6628" width="10.85546875" style="2" customWidth="1"/>
    <col min="6629" max="6629" width="17.42578125" style="2" customWidth="1"/>
    <col min="6630" max="6630" width="14.85546875" style="2" customWidth="1"/>
    <col min="6631" max="6631" width="15" style="2" customWidth="1"/>
    <col min="6632" max="6632" width="14.85546875" style="2" customWidth="1"/>
    <col min="6633" max="6633" width="7.140625" style="2" customWidth="1"/>
    <col min="6634" max="6635" width="20.140625" style="2" customWidth="1"/>
    <col min="6636" max="6636" width="18.42578125" style="2" customWidth="1"/>
    <col min="6637" max="6637" width="9.140625" style="2" customWidth="1"/>
    <col min="6638" max="6638" width="12" style="2" customWidth="1"/>
    <col min="6639" max="6639" width="14.85546875" style="2" customWidth="1"/>
    <col min="6640" max="6640" width="22.42578125" style="2" customWidth="1"/>
    <col min="6641" max="6641" width="14.85546875" style="2" customWidth="1"/>
    <col min="6642" max="6642" width="7.140625" style="2" customWidth="1"/>
    <col min="6643" max="6643" width="20.140625" style="2" customWidth="1"/>
    <col min="6644" max="6875" width="8.85546875" style="2" customWidth="1"/>
    <col min="6876" max="6876" width="8.140625" style="2" customWidth="1"/>
    <col min="6877" max="6877" width="14.42578125" style="2" customWidth="1"/>
    <col min="6878" max="6878" width="37.42578125" style="2" customWidth="1"/>
    <col min="6879" max="6879" width="63.140625" style="2" customWidth="1"/>
    <col min="6880" max="6880" width="20" style="2" customWidth="1"/>
    <col min="6881" max="6881" width="11.140625" style="2" customWidth="1"/>
    <col min="6882" max="6882" width="10.85546875" style="2" customWidth="1"/>
    <col min="6883" max="6883" width="21" style="2" customWidth="1"/>
    <col min="6884" max="6884" width="10.85546875" style="2" customWidth="1"/>
    <col min="6885" max="6885" width="17.42578125" style="2" customWidth="1"/>
    <col min="6886" max="6886" width="14.85546875" style="2" customWidth="1"/>
    <col min="6887" max="6887" width="15" style="2" customWidth="1"/>
    <col min="6888" max="6888" width="14.85546875" style="2" customWidth="1"/>
    <col min="6889" max="6889" width="7.140625" style="2" customWidth="1"/>
    <col min="6890" max="6891" width="20.140625" style="2" customWidth="1"/>
    <col min="6892" max="6892" width="18.42578125" style="2" customWidth="1"/>
    <col min="6893" max="6893" width="9.140625" style="2" customWidth="1"/>
    <col min="6894" max="6894" width="12" style="2" customWidth="1"/>
    <col min="6895" max="6895" width="14.85546875" style="2" customWidth="1"/>
    <col min="6896" max="6896" width="22.42578125" style="2" customWidth="1"/>
    <col min="6897" max="6897" width="14.85546875" style="2" customWidth="1"/>
    <col min="6898" max="6898" width="7.140625" style="2" customWidth="1"/>
    <col min="6899" max="6899" width="20.140625" style="2" customWidth="1"/>
    <col min="6900" max="7131" width="8.85546875" style="2" customWidth="1"/>
    <col min="7132" max="7132" width="8.140625" style="2" customWidth="1"/>
    <col min="7133" max="7133" width="14.42578125" style="2" customWidth="1"/>
    <col min="7134" max="7134" width="37.42578125" style="2" customWidth="1"/>
    <col min="7135" max="7135" width="63.140625" style="2" customWidth="1"/>
    <col min="7136" max="7136" width="20" style="2" customWidth="1"/>
    <col min="7137" max="7137" width="11.140625" style="2" customWidth="1"/>
    <col min="7138" max="7138" width="10.85546875" style="2" customWidth="1"/>
    <col min="7139" max="7139" width="21" style="2" customWidth="1"/>
    <col min="7140" max="7140" width="10.85546875" style="2" customWidth="1"/>
    <col min="7141" max="7141" width="17.42578125" style="2" customWidth="1"/>
    <col min="7142" max="7142" width="14.85546875" style="2" customWidth="1"/>
    <col min="7143" max="7143" width="15" style="2" customWidth="1"/>
    <col min="7144" max="7144" width="14.85546875" style="2" customWidth="1"/>
    <col min="7145" max="7145" width="7.140625" style="2" customWidth="1"/>
    <col min="7146" max="7147" width="20.140625" style="2" customWidth="1"/>
    <col min="7148" max="7148" width="18.42578125" style="2" customWidth="1"/>
    <col min="7149" max="7149" width="9.140625" style="2" customWidth="1"/>
    <col min="7150" max="7150" width="12" style="2" customWidth="1"/>
    <col min="7151" max="7151" width="14.85546875" style="2" customWidth="1"/>
    <col min="7152" max="7152" width="22.42578125" style="2" customWidth="1"/>
    <col min="7153" max="7153" width="14.85546875" style="2" customWidth="1"/>
    <col min="7154" max="7154" width="7.140625" style="2" customWidth="1"/>
    <col min="7155" max="7155" width="20.140625" style="2" customWidth="1"/>
    <col min="7156" max="7387" width="8.85546875" style="2" customWidth="1"/>
    <col min="7388" max="7388" width="8.140625" style="2" customWidth="1"/>
    <col min="7389" max="7389" width="14.42578125" style="2" customWidth="1"/>
    <col min="7390" max="7390" width="37.42578125" style="2" customWidth="1"/>
    <col min="7391" max="7391" width="63.140625" style="2" customWidth="1"/>
    <col min="7392" max="7392" width="20" style="2" customWidth="1"/>
    <col min="7393" max="7393" width="11.140625" style="2" customWidth="1"/>
    <col min="7394" max="7394" width="10.85546875" style="2" customWidth="1"/>
    <col min="7395" max="7395" width="21" style="2" customWidth="1"/>
    <col min="7396" max="7396" width="10.85546875" style="2" customWidth="1"/>
    <col min="7397" max="7397" width="17.42578125" style="2" customWidth="1"/>
    <col min="7398" max="7398" width="14.85546875" style="2" customWidth="1"/>
    <col min="7399" max="7399" width="15" style="2" customWidth="1"/>
    <col min="7400" max="7400" width="14.85546875" style="2" customWidth="1"/>
    <col min="7401" max="7401" width="7.140625" style="2" customWidth="1"/>
    <col min="7402" max="7403" width="20.140625" style="2" customWidth="1"/>
    <col min="7404" max="7404" width="18.42578125" style="2" customWidth="1"/>
    <col min="7405" max="7405" width="9.140625" style="2" customWidth="1"/>
    <col min="7406" max="7406" width="12" style="2" customWidth="1"/>
    <col min="7407" max="7407" width="14.85546875" style="2" customWidth="1"/>
    <col min="7408" max="7408" width="22.42578125" style="2" customWidth="1"/>
    <col min="7409" max="7409" width="14.85546875" style="2" customWidth="1"/>
    <col min="7410" max="7410" width="7.140625" style="2" customWidth="1"/>
    <col min="7411" max="7411" width="20.140625" style="2" customWidth="1"/>
    <col min="7412" max="7643" width="8.85546875" style="2" customWidth="1"/>
    <col min="7644" max="7644" width="8.140625" style="2" customWidth="1"/>
    <col min="7645" max="7645" width="14.42578125" style="2" customWidth="1"/>
    <col min="7646" max="7646" width="37.42578125" style="2" customWidth="1"/>
    <col min="7647" max="7647" width="63.140625" style="2" customWidth="1"/>
    <col min="7648" max="7648" width="20" style="2" customWidth="1"/>
    <col min="7649" max="7649" width="11.140625" style="2" customWidth="1"/>
    <col min="7650" max="7650" width="10.85546875" style="2" customWidth="1"/>
    <col min="7651" max="7651" width="21" style="2" customWidth="1"/>
    <col min="7652" max="7652" width="10.85546875" style="2" customWidth="1"/>
    <col min="7653" max="7653" width="17.42578125" style="2" customWidth="1"/>
    <col min="7654" max="7654" width="14.85546875" style="2" customWidth="1"/>
    <col min="7655" max="7655" width="15" style="2" customWidth="1"/>
    <col min="7656" max="7656" width="14.85546875" style="2" customWidth="1"/>
    <col min="7657" max="7657" width="7.140625" style="2" customWidth="1"/>
    <col min="7658" max="7659" width="20.140625" style="2" customWidth="1"/>
    <col min="7660" max="7660" width="18.42578125" style="2" customWidth="1"/>
    <col min="7661" max="7661" width="9.140625" style="2" customWidth="1"/>
    <col min="7662" max="7662" width="12" style="2" customWidth="1"/>
    <col min="7663" max="7663" width="14.85546875" style="2" customWidth="1"/>
    <col min="7664" max="7664" width="22.42578125" style="2" customWidth="1"/>
    <col min="7665" max="7665" width="14.85546875" style="2" customWidth="1"/>
    <col min="7666" max="7666" width="7.140625" style="2" customWidth="1"/>
    <col min="7667" max="7667" width="20.140625" style="2" customWidth="1"/>
    <col min="7668" max="7899" width="8.85546875" style="2" customWidth="1"/>
    <col min="7900" max="7900" width="8.140625" style="2" customWidth="1"/>
    <col min="7901" max="7901" width="14.42578125" style="2" customWidth="1"/>
    <col min="7902" max="7902" width="37.42578125" style="2" customWidth="1"/>
    <col min="7903" max="7903" width="63.140625" style="2" customWidth="1"/>
    <col min="7904" max="7904" width="20" style="2" customWidth="1"/>
    <col min="7905" max="7905" width="11.140625" style="2" customWidth="1"/>
    <col min="7906" max="7906" width="10.85546875" style="2" customWidth="1"/>
    <col min="7907" max="7907" width="21" style="2" customWidth="1"/>
    <col min="7908" max="7908" width="10.85546875" style="2" customWidth="1"/>
    <col min="7909" max="7909" width="17.42578125" style="2" customWidth="1"/>
    <col min="7910" max="7910" width="14.85546875" style="2" customWidth="1"/>
    <col min="7911" max="7911" width="15" style="2" customWidth="1"/>
    <col min="7912" max="7912" width="14.85546875" style="2" customWidth="1"/>
    <col min="7913" max="7913" width="7.140625" style="2" customWidth="1"/>
    <col min="7914" max="7915" width="20.140625" style="2" customWidth="1"/>
    <col min="7916" max="7916" width="18.42578125" style="2" customWidth="1"/>
    <col min="7917" max="7917" width="9.140625" style="2" customWidth="1"/>
    <col min="7918" max="7918" width="12" style="2" customWidth="1"/>
    <col min="7919" max="7919" width="14.85546875" style="2" customWidth="1"/>
    <col min="7920" max="7920" width="22.42578125" style="2" customWidth="1"/>
    <col min="7921" max="7921" width="14.85546875" style="2" customWidth="1"/>
    <col min="7922" max="7922" width="7.140625" style="2" customWidth="1"/>
    <col min="7923" max="7923" width="20.140625" style="2" customWidth="1"/>
    <col min="7924" max="8155" width="8.85546875" style="2" customWidth="1"/>
    <col min="8156" max="8156" width="8.140625" style="2" customWidth="1"/>
    <col min="8157" max="8157" width="14.42578125" style="2" customWidth="1"/>
    <col min="8158" max="8158" width="37.42578125" style="2" customWidth="1"/>
    <col min="8159" max="8159" width="63.140625" style="2" customWidth="1"/>
    <col min="8160" max="8160" width="20" style="2" customWidth="1"/>
    <col min="8161" max="8161" width="11.140625" style="2" customWidth="1"/>
    <col min="8162" max="8162" width="10.85546875" style="2" customWidth="1"/>
    <col min="8163" max="8163" width="21" style="2" customWidth="1"/>
    <col min="8164" max="8164" width="10.85546875" style="2" customWidth="1"/>
    <col min="8165" max="8165" width="17.42578125" style="2" customWidth="1"/>
    <col min="8166" max="8166" width="14.85546875" style="2" customWidth="1"/>
    <col min="8167" max="8167" width="15" style="2" customWidth="1"/>
    <col min="8168" max="8168" width="14.85546875" style="2" customWidth="1"/>
    <col min="8169" max="8169" width="7.140625" style="2" customWidth="1"/>
    <col min="8170" max="8171" width="20.140625" style="2" customWidth="1"/>
    <col min="8172" max="8172" width="18.42578125" style="2" customWidth="1"/>
    <col min="8173" max="8173" width="9.140625" style="2" customWidth="1"/>
    <col min="8174" max="8174" width="12" style="2" customWidth="1"/>
    <col min="8175" max="8175" width="14.85546875" style="2" customWidth="1"/>
    <col min="8176" max="8176" width="22.42578125" style="2" customWidth="1"/>
    <col min="8177" max="8177" width="14.85546875" style="2" customWidth="1"/>
    <col min="8178" max="8178" width="7.140625" style="2" customWidth="1"/>
    <col min="8179" max="8179" width="20.140625" style="2" customWidth="1"/>
    <col min="8180" max="8411" width="8.85546875" style="2" customWidth="1"/>
    <col min="8412" max="8412" width="8.140625" style="2" customWidth="1"/>
    <col min="8413" max="8413" width="14.42578125" style="2" customWidth="1"/>
    <col min="8414" max="8414" width="37.42578125" style="2" customWidth="1"/>
    <col min="8415" max="8415" width="63.140625" style="2" customWidth="1"/>
    <col min="8416" max="8416" width="20" style="2" customWidth="1"/>
    <col min="8417" max="8417" width="11.140625" style="2" customWidth="1"/>
    <col min="8418" max="8418" width="10.85546875" style="2" customWidth="1"/>
    <col min="8419" max="8419" width="21" style="2" customWidth="1"/>
    <col min="8420" max="8420" width="10.85546875" style="2" customWidth="1"/>
    <col min="8421" max="8421" width="17.42578125" style="2" customWidth="1"/>
    <col min="8422" max="8422" width="14.85546875" style="2" customWidth="1"/>
    <col min="8423" max="8423" width="15" style="2" customWidth="1"/>
    <col min="8424" max="8424" width="14.85546875" style="2" customWidth="1"/>
    <col min="8425" max="8425" width="7.140625" style="2" customWidth="1"/>
    <col min="8426" max="8427" width="20.140625" style="2" customWidth="1"/>
    <col min="8428" max="8428" width="18.42578125" style="2" customWidth="1"/>
    <col min="8429" max="8429" width="9.140625" style="2" customWidth="1"/>
    <col min="8430" max="8430" width="12" style="2" customWidth="1"/>
    <col min="8431" max="8431" width="14.85546875" style="2" customWidth="1"/>
    <col min="8432" max="8432" width="22.42578125" style="2" customWidth="1"/>
    <col min="8433" max="8433" width="14.85546875" style="2" customWidth="1"/>
    <col min="8434" max="8434" width="7.140625" style="2" customWidth="1"/>
    <col min="8435" max="8435" width="20.140625" style="2" customWidth="1"/>
    <col min="8436" max="8667" width="8.85546875" style="2" customWidth="1"/>
    <col min="8668" max="8668" width="8.140625" style="2" customWidth="1"/>
    <col min="8669" max="8669" width="14.42578125" style="2" customWidth="1"/>
    <col min="8670" max="8670" width="37.42578125" style="2" customWidth="1"/>
    <col min="8671" max="8671" width="63.140625" style="2" customWidth="1"/>
    <col min="8672" max="8672" width="20" style="2" customWidth="1"/>
    <col min="8673" max="8673" width="11.140625" style="2" customWidth="1"/>
    <col min="8674" max="8674" width="10.85546875" style="2" customWidth="1"/>
    <col min="8675" max="8675" width="21" style="2" customWidth="1"/>
    <col min="8676" max="8676" width="10.85546875" style="2" customWidth="1"/>
    <col min="8677" max="8677" width="17.42578125" style="2" customWidth="1"/>
    <col min="8678" max="8678" width="14.85546875" style="2" customWidth="1"/>
    <col min="8679" max="8679" width="15" style="2" customWidth="1"/>
    <col min="8680" max="8680" width="14.85546875" style="2" customWidth="1"/>
    <col min="8681" max="8681" width="7.140625" style="2" customWidth="1"/>
    <col min="8682" max="8683" width="20.140625" style="2" customWidth="1"/>
    <col min="8684" max="8684" width="18.42578125" style="2" customWidth="1"/>
    <col min="8685" max="8685" width="9.140625" style="2" customWidth="1"/>
    <col min="8686" max="8686" width="12" style="2" customWidth="1"/>
    <col min="8687" max="8687" width="14.85546875" style="2" customWidth="1"/>
    <col min="8688" max="8688" width="22.42578125" style="2" customWidth="1"/>
    <col min="8689" max="8689" width="14.85546875" style="2" customWidth="1"/>
    <col min="8690" max="8690" width="7.140625" style="2" customWidth="1"/>
    <col min="8691" max="8691" width="20.140625" style="2" customWidth="1"/>
    <col min="8692" max="8923" width="8.85546875" style="2" customWidth="1"/>
    <col min="8924" max="8924" width="8.140625" style="2" customWidth="1"/>
    <col min="8925" max="8925" width="14.42578125" style="2" customWidth="1"/>
    <col min="8926" max="8926" width="37.42578125" style="2" customWidth="1"/>
    <col min="8927" max="8927" width="63.140625" style="2" customWidth="1"/>
    <col min="8928" max="8928" width="20" style="2" customWidth="1"/>
    <col min="8929" max="8929" width="11.140625" style="2" customWidth="1"/>
    <col min="8930" max="8930" width="10.85546875" style="2" customWidth="1"/>
    <col min="8931" max="8931" width="21" style="2" customWidth="1"/>
    <col min="8932" max="8932" width="10.85546875" style="2" customWidth="1"/>
    <col min="8933" max="8933" width="17.42578125" style="2" customWidth="1"/>
    <col min="8934" max="8934" width="14.85546875" style="2" customWidth="1"/>
    <col min="8935" max="8935" width="15" style="2" customWidth="1"/>
    <col min="8936" max="8936" width="14.85546875" style="2" customWidth="1"/>
    <col min="8937" max="8937" width="7.140625" style="2" customWidth="1"/>
    <col min="8938" max="8939" width="20.140625" style="2" customWidth="1"/>
    <col min="8940" max="8940" width="18.42578125" style="2" customWidth="1"/>
    <col min="8941" max="8941" width="9.140625" style="2" customWidth="1"/>
    <col min="8942" max="8942" width="12" style="2" customWidth="1"/>
    <col min="8943" max="8943" width="14.85546875" style="2" customWidth="1"/>
    <col min="8944" max="8944" width="22.42578125" style="2" customWidth="1"/>
    <col min="8945" max="8945" width="14.85546875" style="2" customWidth="1"/>
    <col min="8946" max="8946" width="7.140625" style="2" customWidth="1"/>
    <col min="8947" max="8947" width="20.140625" style="2" customWidth="1"/>
    <col min="8948" max="9179" width="8.85546875" style="2" customWidth="1"/>
    <col min="9180" max="9180" width="8.140625" style="2" customWidth="1"/>
    <col min="9181" max="9181" width="14.42578125" style="2" customWidth="1"/>
    <col min="9182" max="9182" width="37.42578125" style="2" customWidth="1"/>
    <col min="9183" max="9183" width="63.140625" style="2" customWidth="1"/>
    <col min="9184" max="9184" width="20" style="2" customWidth="1"/>
    <col min="9185" max="9185" width="11.140625" style="2" customWidth="1"/>
    <col min="9186" max="9186" width="10.85546875" style="2" customWidth="1"/>
    <col min="9187" max="9187" width="21" style="2" customWidth="1"/>
    <col min="9188" max="9188" width="10.85546875" style="2" customWidth="1"/>
    <col min="9189" max="9189" width="17.42578125" style="2" customWidth="1"/>
    <col min="9190" max="9190" width="14.85546875" style="2" customWidth="1"/>
    <col min="9191" max="9191" width="15" style="2" customWidth="1"/>
    <col min="9192" max="9192" width="14.85546875" style="2" customWidth="1"/>
    <col min="9193" max="9193" width="7.140625" style="2" customWidth="1"/>
    <col min="9194" max="9195" width="20.140625" style="2" customWidth="1"/>
    <col min="9196" max="9196" width="18.42578125" style="2" customWidth="1"/>
    <col min="9197" max="9197" width="9.140625" style="2" customWidth="1"/>
    <col min="9198" max="9198" width="12" style="2" customWidth="1"/>
    <col min="9199" max="9199" width="14.85546875" style="2" customWidth="1"/>
    <col min="9200" max="9200" width="22.42578125" style="2" customWidth="1"/>
    <col min="9201" max="9201" width="14.85546875" style="2" customWidth="1"/>
    <col min="9202" max="9202" width="7.140625" style="2" customWidth="1"/>
    <col min="9203" max="9203" width="20.140625" style="2" customWidth="1"/>
    <col min="9204" max="9435" width="8.85546875" style="2" customWidth="1"/>
    <col min="9436" max="9436" width="8.140625" style="2" customWidth="1"/>
    <col min="9437" max="9437" width="14.42578125" style="2" customWidth="1"/>
    <col min="9438" max="9438" width="37.42578125" style="2" customWidth="1"/>
    <col min="9439" max="9439" width="63.140625" style="2" customWidth="1"/>
    <col min="9440" max="9440" width="20" style="2" customWidth="1"/>
    <col min="9441" max="9441" width="11.140625" style="2" customWidth="1"/>
    <col min="9442" max="9442" width="10.85546875" style="2" customWidth="1"/>
    <col min="9443" max="9443" width="21" style="2" customWidth="1"/>
    <col min="9444" max="9444" width="10.85546875" style="2" customWidth="1"/>
    <col min="9445" max="9445" width="17.42578125" style="2" customWidth="1"/>
    <col min="9446" max="9446" width="14.85546875" style="2" customWidth="1"/>
    <col min="9447" max="9447" width="15" style="2" customWidth="1"/>
    <col min="9448" max="9448" width="14.85546875" style="2" customWidth="1"/>
    <col min="9449" max="9449" width="7.140625" style="2" customWidth="1"/>
    <col min="9450" max="9451" width="20.140625" style="2" customWidth="1"/>
    <col min="9452" max="9452" width="18.42578125" style="2" customWidth="1"/>
    <col min="9453" max="9453" width="9.140625" style="2" customWidth="1"/>
    <col min="9454" max="9454" width="12" style="2" customWidth="1"/>
    <col min="9455" max="9455" width="14.85546875" style="2" customWidth="1"/>
    <col min="9456" max="9456" width="22.42578125" style="2" customWidth="1"/>
    <col min="9457" max="9457" width="14.85546875" style="2" customWidth="1"/>
    <col min="9458" max="9458" width="7.140625" style="2" customWidth="1"/>
    <col min="9459" max="9459" width="20.140625" style="2" customWidth="1"/>
    <col min="9460" max="9691" width="8.85546875" style="2" customWidth="1"/>
    <col min="9692" max="9692" width="8.140625" style="2" customWidth="1"/>
    <col min="9693" max="9693" width="14.42578125" style="2" customWidth="1"/>
    <col min="9694" max="9694" width="37.42578125" style="2" customWidth="1"/>
    <col min="9695" max="9695" width="63.140625" style="2" customWidth="1"/>
    <col min="9696" max="9696" width="20" style="2" customWidth="1"/>
    <col min="9697" max="9697" width="11.140625" style="2" customWidth="1"/>
    <col min="9698" max="9698" width="10.85546875" style="2" customWidth="1"/>
    <col min="9699" max="9699" width="21" style="2" customWidth="1"/>
    <col min="9700" max="9700" width="10.85546875" style="2" customWidth="1"/>
    <col min="9701" max="9701" width="17.42578125" style="2" customWidth="1"/>
    <col min="9702" max="9702" width="14.85546875" style="2" customWidth="1"/>
    <col min="9703" max="9703" width="15" style="2" customWidth="1"/>
    <col min="9704" max="9704" width="14.85546875" style="2" customWidth="1"/>
    <col min="9705" max="9705" width="7.140625" style="2" customWidth="1"/>
    <col min="9706" max="9707" width="20.140625" style="2" customWidth="1"/>
    <col min="9708" max="9708" width="18.42578125" style="2" customWidth="1"/>
    <col min="9709" max="9709" width="9.140625" style="2" customWidth="1"/>
    <col min="9710" max="9710" width="12" style="2" customWidth="1"/>
    <col min="9711" max="9711" width="14.85546875" style="2" customWidth="1"/>
    <col min="9712" max="9712" width="22.42578125" style="2" customWidth="1"/>
    <col min="9713" max="9713" width="14.85546875" style="2" customWidth="1"/>
    <col min="9714" max="9714" width="7.140625" style="2" customWidth="1"/>
    <col min="9715" max="9715" width="20.140625" style="2" customWidth="1"/>
    <col min="9716" max="9947" width="8.85546875" style="2" customWidth="1"/>
    <col min="9948" max="9948" width="8.140625" style="2" customWidth="1"/>
    <col min="9949" max="9949" width="14.42578125" style="2" customWidth="1"/>
    <col min="9950" max="9950" width="37.42578125" style="2" customWidth="1"/>
    <col min="9951" max="9951" width="63.140625" style="2" customWidth="1"/>
    <col min="9952" max="9952" width="20" style="2" customWidth="1"/>
    <col min="9953" max="9953" width="11.140625" style="2" customWidth="1"/>
    <col min="9954" max="9954" width="10.85546875" style="2" customWidth="1"/>
    <col min="9955" max="9955" width="21" style="2" customWidth="1"/>
    <col min="9956" max="9956" width="10.85546875" style="2" customWidth="1"/>
    <col min="9957" max="9957" width="17.42578125" style="2" customWidth="1"/>
    <col min="9958" max="9958" width="14.85546875" style="2" customWidth="1"/>
    <col min="9959" max="9959" width="15" style="2" customWidth="1"/>
    <col min="9960" max="9960" width="14.85546875" style="2" customWidth="1"/>
    <col min="9961" max="9961" width="7.140625" style="2" customWidth="1"/>
    <col min="9962" max="9963" width="20.140625" style="2" customWidth="1"/>
    <col min="9964" max="9964" width="18.42578125" style="2" customWidth="1"/>
    <col min="9965" max="9965" width="9.140625" style="2" customWidth="1"/>
    <col min="9966" max="9966" width="12" style="2" customWidth="1"/>
    <col min="9967" max="9967" width="14.85546875" style="2" customWidth="1"/>
    <col min="9968" max="9968" width="22.42578125" style="2" customWidth="1"/>
    <col min="9969" max="9969" width="14.85546875" style="2" customWidth="1"/>
    <col min="9970" max="9970" width="7.140625" style="2" customWidth="1"/>
    <col min="9971" max="9971" width="20.140625" style="2" customWidth="1"/>
    <col min="9972" max="10203" width="8.85546875" style="2" customWidth="1"/>
    <col min="10204" max="10204" width="8.140625" style="2" customWidth="1"/>
    <col min="10205" max="10205" width="14.42578125" style="2" customWidth="1"/>
    <col min="10206" max="10206" width="37.42578125" style="2" customWidth="1"/>
    <col min="10207" max="10207" width="63.140625" style="2" customWidth="1"/>
    <col min="10208" max="10208" width="20" style="2" customWidth="1"/>
    <col min="10209" max="10209" width="11.140625" style="2" customWidth="1"/>
    <col min="10210" max="10210" width="10.85546875" style="2" customWidth="1"/>
    <col min="10211" max="10211" width="21" style="2" customWidth="1"/>
    <col min="10212" max="10212" width="10.85546875" style="2" customWidth="1"/>
    <col min="10213" max="10213" width="17.42578125" style="2" customWidth="1"/>
    <col min="10214" max="10214" width="14.85546875" style="2" customWidth="1"/>
    <col min="10215" max="10215" width="15" style="2" customWidth="1"/>
    <col min="10216" max="10216" width="14.85546875" style="2" customWidth="1"/>
    <col min="10217" max="10217" width="7.140625" style="2" customWidth="1"/>
    <col min="10218" max="10219" width="20.140625" style="2" customWidth="1"/>
    <col min="10220" max="10220" width="18.42578125" style="2" customWidth="1"/>
    <col min="10221" max="10221" width="9.140625" style="2" customWidth="1"/>
    <col min="10222" max="10222" width="12" style="2" customWidth="1"/>
    <col min="10223" max="10223" width="14.85546875" style="2" customWidth="1"/>
    <col min="10224" max="10224" width="22.42578125" style="2" customWidth="1"/>
    <col min="10225" max="10225" width="14.85546875" style="2" customWidth="1"/>
    <col min="10226" max="10226" width="7.140625" style="2" customWidth="1"/>
    <col min="10227" max="10227" width="20.140625" style="2" customWidth="1"/>
    <col min="10228" max="10459" width="8.85546875" style="2" customWidth="1"/>
    <col min="10460" max="10460" width="8.140625" style="2" customWidth="1"/>
    <col min="10461" max="10461" width="14.42578125" style="2" customWidth="1"/>
    <col min="10462" max="10462" width="37.42578125" style="2" customWidth="1"/>
    <col min="10463" max="10463" width="63.140625" style="2" customWidth="1"/>
    <col min="10464" max="10464" width="20" style="2" customWidth="1"/>
    <col min="10465" max="10465" width="11.140625" style="2" customWidth="1"/>
    <col min="10466" max="10466" width="10.85546875" style="2" customWidth="1"/>
    <col min="10467" max="10467" width="21" style="2" customWidth="1"/>
    <col min="10468" max="10468" width="10.85546875" style="2" customWidth="1"/>
    <col min="10469" max="10469" width="17.42578125" style="2" customWidth="1"/>
    <col min="10470" max="10470" width="14.85546875" style="2" customWidth="1"/>
    <col min="10471" max="10471" width="15" style="2" customWidth="1"/>
    <col min="10472" max="10472" width="14.85546875" style="2" customWidth="1"/>
    <col min="10473" max="10473" width="7.140625" style="2" customWidth="1"/>
    <col min="10474" max="10475" width="20.140625" style="2" customWidth="1"/>
    <col min="10476" max="10476" width="18.42578125" style="2" customWidth="1"/>
    <col min="10477" max="10477" width="9.140625" style="2" customWidth="1"/>
    <col min="10478" max="10478" width="12" style="2" customWidth="1"/>
    <col min="10479" max="10479" width="14.85546875" style="2" customWidth="1"/>
    <col min="10480" max="10480" width="22.42578125" style="2" customWidth="1"/>
    <col min="10481" max="10481" width="14.85546875" style="2" customWidth="1"/>
    <col min="10482" max="10482" width="7.140625" style="2" customWidth="1"/>
    <col min="10483" max="10483" width="20.140625" style="2" customWidth="1"/>
    <col min="10484" max="10715" width="8.85546875" style="2" customWidth="1"/>
    <col min="10716" max="10716" width="8.140625" style="2" customWidth="1"/>
    <col min="10717" max="10717" width="14.42578125" style="2" customWidth="1"/>
    <col min="10718" max="10718" width="37.42578125" style="2" customWidth="1"/>
    <col min="10719" max="10719" width="63.140625" style="2" customWidth="1"/>
    <col min="10720" max="10720" width="20" style="2" customWidth="1"/>
    <col min="10721" max="10721" width="11.140625" style="2" customWidth="1"/>
    <col min="10722" max="10722" width="10.85546875" style="2" customWidth="1"/>
    <col min="10723" max="10723" width="21" style="2" customWidth="1"/>
    <col min="10724" max="10724" width="10.85546875" style="2" customWidth="1"/>
    <col min="10725" max="10725" width="17.42578125" style="2" customWidth="1"/>
    <col min="10726" max="10726" width="14.85546875" style="2" customWidth="1"/>
    <col min="10727" max="10727" width="15" style="2" customWidth="1"/>
    <col min="10728" max="10728" width="14.85546875" style="2" customWidth="1"/>
    <col min="10729" max="10729" width="7.140625" style="2" customWidth="1"/>
    <col min="10730" max="10731" width="20.140625" style="2" customWidth="1"/>
    <col min="10732" max="10732" width="18.42578125" style="2" customWidth="1"/>
    <col min="10733" max="10733" width="9.140625" style="2" customWidth="1"/>
    <col min="10734" max="10734" width="12" style="2" customWidth="1"/>
    <col min="10735" max="10735" width="14.85546875" style="2" customWidth="1"/>
    <col min="10736" max="10736" width="22.42578125" style="2" customWidth="1"/>
    <col min="10737" max="10737" width="14.85546875" style="2" customWidth="1"/>
    <col min="10738" max="10738" width="7.140625" style="2" customWidth="1"/>
    <col min="10739" max="10739" width="20.140625" style="2" customWidth="1"/>
    <col min="10740" max="10971" width="8.85546875" style="2" customWidth="1"/>
    <col min="10972" max="10972" width="8.140625" style="2" customWidth="1"/>
    <col min="10973" max="10973" width="14.42578125" style="2" customWidth="1"/>
    <col min="10974" max="10974" width="37.42578125" style="2" customWidth="1"/>
    <col min="10975" max="10975" width="63.140625" style="2" customWidth="1"/>
    <col min="10976" max="10976" width="20" style="2" customWidth="1"/>
    <col min="10977" max="10977" width="11.140625" style="2" customWidth="1"/>
    <col min="10978" max="10978" width="10.85546875" style="2" customWidth="1"/>
    <col min="10979" max="10979" width="21" style="2" customWidth="1"/>
    <col min="10980" max="10980" width="10.85546875" style="2" customWidth="1"/>
    <col min="10981" max="10981" width="17.42578125" style="2" customWidth="1"/>
    <col min="10982" max="10982" width="14.85546875" style="2" customWidth="1"/>
    <col min="10983" max="10983" width="15" style="2" customWidth="1"/>
    <col min="10984" max="10984" width="14.85546875" style="2" customWidth="1"/>
    <col min="10985" max="10985" width="7.140625" style="2" customWidth="1"/>
    <col min="10986" max="10987" width="20.140625" style="2" customWidth="1"/>
    <col min="10988" max="10988" width="18.42578125" style="2" customWidth="1"/>
    <col min="10989" max="10989" width="9.140625" style="2" customWidth="1"/>
    <col min="10990" max="10990" width="12" style="2" customWidth="1"/>
    <col min="10991" max="10991" width="14.85546875" style="2" customWidth="1"/>
    <col min="10992" max="10992" width="22.42578125" style="2" customWidth="1"/>
    <col min="10993" max="10993" width="14.85546875" style="2" customWidth="1"/>
    <col min="10994" max="10994" width="7.140625" style="2" customWidth="1"/>
    <col min="10995" max="10995" width="20.140625" style="2" customWidth="1"/>
    <col min="10996" max="11227" width="8.85546875" style="2" customWidth="1"/>
    <col min="11228" max="11228" width="8.140625" style="2" customWidth="1"/>
    <col min="11229" max="11229" width="14.42578125" style="2" customWidth="1"/>
    <col min="11230" max="11230" width="37.42578125" style="2" customWidth="1"/>
    <col min="11231" max="11231" width="63.140625" style="2" customWidth="1"/>
    <col min="11232" max="11232" width="20" style="2" customWidth="1"/>
    <col min="11233" max="11233" width="11.140625" style="2" customWidth="1"/>
    <col min="11234" max="11234" width="10.85546875" style="2" customWidth="1"/>
    <col min="11235" max="11235" width="21" style="2" customWidth="1"/>
    <col min="11236" max="11236" width="10.85546875" style="2" customWidth="1"/>
    <col min="11237" max="11237" width="17.42578125" style="2" customWidth="1"/>
    <col min="11238" max="11238" width="14.85546875" style="2" customWidth="1"/>
    <col min="11239" max="11239" width="15" style="2" customWidth="1"/>
    <col min="11240" max="11240" width="14.85546875" style="2" customWidth="1"/>
    <col min="11241" max="11241" width="7.140625" style="2" customWidth="1"/>
    <col min="11242" max="11243" width="20.140625" style="2" customWidth="1"/>
    <col min="11244" max="11244" width="18.42578125" style="2" customWidth="1"/>
    <col min="11245" max="11245" width="9.140625" style="2" customWidth="1"/>
    <col min="11246" max="11246" width="12" style="2" customWidth="1"/>
    <col min="11247" max="11247" width="14.85546875" style="2" customWidth="1"/>
    <col min="11248" max="11248" width="22.42578125" style="2" customWidth="1"/>
    <col min="11249" max="11249" width="14.85546875" style="2" customWidth="1"/>
    <col min="11250" max="11250" width="7.140625" style="2" customWidth="1"/>
    <col min="11251" max="11251" width="20.140625" style="2" customWidth="1"/>
    <col min="11252" max="11483" width="8.85546875" style="2" customWidth="1"/>
    <col min="11484" max="11484" width="8.140625" style="2" customWidth="1"/>
    <col min="11485" max="11485" width="14.42578125" style="2" customWidth="1"/>
    <col min="11486" max="11486" width="37.42578125" style="2" customWidth="1"/>
    <col min="11487" max="11487" width="63.140625" style="2" customWidth="1"/>
    <col min="11488" max="11488" width="20" style="2" customWidth="1"/>
    <col min="11489" max="11489" width="11.140625" style="2" customWidth="1"/>
    <col min="11490" max="11490" width="10.85546875" style="2" customWidth="1"/>
    <col min="11491" max="11491" width="21" style="2" customWidth="1"/>
    <col min="11492" max="11492" width="10.85546875" style="2" customWidth="1"/>
    <col min="11493" max="11493" width="17.42578125" style="2" customWidth="1"/>
    <col min="11494" max="11494" width="14.85546875" style="2" customWidth="1"/>
    <col min="11495" max="11495" width="15" style="2" customWidth="1"/>
    <col min="11496" max="11496" width="14.85546875" style="2" customWidth="1"/>
    <col min="11497" max="11497" width="7.140625" style="2" customWidth="1"/>
    <col min="11498" max="11499" width="20.140625" style="2" customWidth="1"/>
    <col min="11500" max="11500" width="18.42578125" style="2" customWidth="1"/>
    <col min="11501" max="11501" width="9.140625" style="2" customWidth="1"/>
    <col min="11502" max="11502" width="12" style="2" customWidth="1"/>
    <col min="11503" max="11503" width="14.85546875" style="2" customWidth="1"/>
    <col min="11504" max="11504" width="22.42578125" style="2" customWidth="1"/>
    <col min="11505" max="11505" width="14.85546875" style="2" customWidth="1"/>
    <col min="11506" max="11506" width="7.140625" style="2" customWidth="1"/>
    <col min="11507" max="11507" width="20.140625" style="2" customWidth="1"/>
    <col min="11508" max="11739" width="8.85546875" style="2" customWidth="1"/>
    <col min="11740" max="11740" width="8.140625" style="2" customWidth="1"/>
    <col min="11741" max="11741" width="14.42578125" style="2" customWidth="1"/>
    <col min="11742" max="11742" width="37.42578125" style="2" customWidth="1"/>
    <col min="11743" max="11743" width="63.140625" style="2" customWidth="1"/>
    <col min="11744" max="11744" width="20" style="2" customWidth="1"/>
    <col min="11745" max="11745" width="11.140625" style="2" customWidth="1"/>
    <col min="11746" max="11746" width="10.85546875" style="2" customWidth="1"/>
    <col min="11747" max="11747" width="21" style="2" customWidth="1"/>
    <col min="11748" max="11748" width="10.85546875" style="2" customWidth="1"/>
    <col min="11749" max="11749" width="17.42578125" style="2" customWidth="1"/>
    <col min="11750" max="11750" width="14.85546875" style="2" customWidth="1"/>
    <col min="11751" max="11751" width="15" style="2" customWidth="1"/>
    <col min="11752" max="11752" width="14.85546875" style="2" customWidth="1"/>
    <col min="11753" max="11753" width="7.140625" style="2" customWidth="1"/>
    <col min="11754" max="11755" width="20.140625" style="2" customWidth="1"/>
    <col min="11756" max="11756" width="18.42578125" style="2" customWidth="1"/>
    <col min="11757" max="11757" width="9.140625" style="2" customWidth="1"/>
    <col min="11758" max="11758" width="12" style="2" customWidth="1"/>
    <col min="11759" max="11759" width="14.85546875" style="2" customWidth="1"/>
    <col min="11760" max="11760" width="22.42578125" style="2" customWidth="1"/>
    <col min="11761" max="11761" width="14.85546875" style="2" customWidth="1"/>
    <col min="11762" max="11762" width="7.140625" style="2" customWidth="1"/>
    <col min="11763" max="11763" width="20.140625" style="2" customWidth="1"/>
    <col min="11764" max="11995" width="8.85546875" style="2" customWidth="1"/>
    <col min="11996" max="11996" width="8.140625" style="2" customWidth="1"/>
    <col min="11997" max="11997" width="14.42578125" style="2" customWidth="1"/>
    <col min="11998" max="11998" width="37.42578125" style="2" customWidth="1"/>
    <col min="11999" max="11999" width="63.140625" style="2" customWidth="1"/>
    <col min="12000" max="12000" width="20" style="2" customWidth="1"/>
    <col min="12001" max="12001" width="11.140625" style="2" customWidth="1"/>
    <col min="12002" max="12002" width="10.85546875" style="2" customWidth="1"/>
    <col min="12003" max="12003" width="21" style="2" customWidth="1"/>
    <col min="12004" max="12004" width="10.85546875" style="2" customWidth="1"/>
    <col min="12005" max="12005" width="17.42578125" style="2" customWidth="1"/>
    <col min="12006" max="12006" width="14.85546875" style="2" customWidth="1"/>
    <col min="12007" max="12007" width="15" style="2" customWidth="1"/>
    <col min="12008" max="12008" width="14.85546875" style="2" customWidth="1"/>
    <col min="12009" max="12009" width="7.140625" style="2" customWidth="1"/>
    <col min="12010" max="12011" width="20.140625" style="2" customWidth="1"/>
    <col min="12012" max="12012" width="18.42578125" style="2" customWidth="1"/>
    <col min="12013" max="12013" width="9.140625" style="2" customWidth="1"/>
    <col min="12014" max="12014" width="12" style="2" customWidth="1"/>
    <col min="12015" max="12015" width="14.85546875" style="2" customWidth="1"/>
    <col min="12016" max="12016" width="22.42578125" style="2" customWidth="1"/>
    <col min="12017" max="12017" width="14.85546875" style="2" customWidth="1"/>
    <col min="12018" max="12018" width="7.140625" style="2" customWidth="1"/>
    <col min="12019" max="12019" width="20.140625" style="2" customWidth="1"/>
    <col min="12020" max="12251" width="8.85546875" style="2" customWidth="1"/>
    <col min="12252" max="12252" width="8.140625" style="2" customWidth="1"/>
    <col min="12253" max="12253" width="14.42578125" style="2" customWidth="1"/>
    <col min="12254" max="12254" width="37.42578125" style="2" customWidth="1"/>
    <col min="12255" max="12255" width="63.140625" style="2" customWidth="1"/>
    <col min="12256" max="12256" width="20" style="2" customWidth="1"/>
    <col min="12257" max="12257" width="11.140625" style="2" customWidth="1"/>
    <col min="12258" max="12258" width="10.85546875" style="2" customWidth="1"/>
    <col min="12259" max="12259" width="21" style="2" customWidth="1"/>
    <col min="12260" max="12260" width="10.85546875" style="2" customWidth="1"/>
    <col min="12261" max="12261" width="17.42578125" style="2" customWidth="1"/>
    <col min="12262" max="12262" width="14.85546875" style="2" customWidth="1"/>
    <col min="12263" max="12263" width="15" style="2" customWidth="1"/>
    <col min="12264" max="12264" width="14.85546875" style="2" customWidth="1"/>
    <col min="12265" max="12265" width="7.140625" style="2" customWidth="1"/>
    <col min="12266" max="12267" width="20.140625" style="2" customWidth="1"/>
    <col min="12268" max="12268" width="18.42578125" style="2" customWidth="1"/>
    <col min="12269" max="12269" width="9.140625" style="2" customWidth="1"/>
    <col min="12270" max="12270" width="12" style="2" customWidth="1"/>
    <col min="12271" max="12271" width="14.85546875" style="2" customWidth="1"/>
    <col min="12272" max="12272" width="22.42578125" style="2" customWidth="1"/>
    <col min="12273" max="12273" width="14.85546875" style="2" customWidth="1"/>
    <col min="12274" max="12274" width="7.140625" style="2" customWidth="1"/>
    <col min="12275" max="12275" width="20.140625" style="2" customWidth="1"/>
    <col min="12276" max="12507" width="8.85546875" style="2" customWidth="1"/>
    <col min="12508" max="12508" width="8.140625" style="2" customWidth="1"/>
    <col min="12509" max="12509" width="14.42578125" style="2" customWidth="1"/>
    <col min="12510" max="12510" width="37.42578125" style="2" customWidth="1"/>
    <col min="12511" max="12511" width="63.140625" style="2" customWidth="1"/>
    <col min="12512" max="12512" width="20" style="2" customWidth="1"/>
    <col min="12513" max="12513" width="11.140625" style="2" customWidth="1"/>
    <col min="12514" max="12514" width="10.85546875" style="2" customWidth="1"/>
    <col min="12515" max="12515" width="21" style="2" customWidth="1"/>
    <col min="12516" max="12516" width="10.85546875" style="2" customWidth="1"/>
    <col min="12517" max="12517" width="17.42578125" style="2" customWidth="1"/>
    <col min="12518" max="12518" width="14.85546875" style="2" customWidth="1"/>
    <col min="12519" max="12519" width="15" style="2" customWidth="1"/>
    <col min="12520" max="12520" width="14.85546875" style="2" customWidth="1"/>
    <col min="12521" max="12521" width="7.140625" style="2" customWidth="1"/>
    <col min="12522" max="12523" width="20.140625" style="2" customWidth="1"/>
    <col min="12524" max="12524" width="18.42578125" style="2" customWidth="1"/>
    <col min="12525" max="12525" width="9.140625" style="2" customWidth="1"/>
    <col min="12526" max="12526" width="12" style="2" customWidth="1"/>
    <col min="12527" max="12527" width="14.85546875" style="2" customWidth="1"/>
    <col min="12528" max="12528" width="22.42578125" style="2" customWidth="1"/>
    <col min="12529" max="12529" width="14.85546875" style="2" customWidth="1"/>
    <col min="12530" max="12530" width="7.140625" style="2" customWidth="1"/>
    <col min="12531" max="12531" width="20.140625" style="2" customWidth="1"/>
    <col min="12532" max="12763" width="8.85546875" style="2" customWidth="1"/>
    <col min="12764" max="12764" width="8.140625" style="2" customWidth="1"/>
    <col min="12765" max="12765" width="14.42578125" style="2" customWidth="1"/>
    <col min="12766" max="12766" width="37.42578125" style="2" customWidth="1"/>
    <col min="12767" max="12767" width="63.140625" style="2" customWidth="1"/>
    <col min="12768" max="12768" width="20" style="2" customWidth="1"/>
    <col min="12769" max="12769" width="11.140625" style="2" customWidth="1"/>
    <col min="12770" max="12770" width="10.85546875" style="2" customWidth="1"/>
    <col min="12771" max="12771" width="21" style="2" customWidth="1"/>
    <col min="12772" max="12772" width="10.85546875" style="2" customWidth="1"/>
    <col min="12773" max="12773" width="17.42578125" style="2" customWidth="1"/>
    <col min="12774" max="12774" width="14.85546875" style="2" customWidth="1"/>
    <col min="12775" max="12775" width="15" style="2" customWidth="1"/>
    <col min="12776" max="12776" width="14.85546875" style="2" customWidth="1"/>
    <col min="12777" max="12777" width="7.140625" style="2" customWidth="1"/>
    <col min="12778" max="12779" width="20.140625" style="2" customWidth="1"/>
    <col min="12780" max="12780" width="18.42578125" style="2" customWidth="1"/>
    <col min="12781" max="12781" width="9.140625" style="2" customWidth="1"/>
    <col min="12782" max="12782" width="12" style="2" customWidth="1"/>
    <col min="12783" max="12783" width="14.85546875" style="2" customWidth="1"/>
    <col min="12784" max="12784" width="22.42578125" style="2" customWidth="1"/>
    <col min="12785" max="12785" width="14.85546875" style="2" customWidth="1"/>
    <col min="12786" max="12786" width="7.140625" style="2" customWidth="1"/>
    <col min="12787" max="12787" width="20.140625" style="2" customWidth="1"/>
    <col min="12788" max="13019" width="8.85546875" style="2" customWidth="1"/>
    <col min="13020" max="13020" width="8.140625" style="2" customWidth="1"/>
    <col min="13021" max="13021" width="14.42578125" style="2" customWidth="1"/>
    <col min="13022" max="13022" width="37.42578125" style="2" customWidth="1"/>
    <col min="13023" max="13023" width="63.140625" style="2" customWidth="1"/>
    <col min="13024" max="13024" width="20" style="2" customWidth="1"/>
    <col min="13025" max="13025" width="11.140625" style="2" customWidth="1"/>
    <col min="13026" max="13026" width="10.85546875" style="2" customWidth="1"/>
    <col min="13027" max="13027" width="21" style="2" customWidth="1"/>
    <col min="13028" max="13028" width="10.85546875" style="2" customWidth="1"/>
    <col min="13029" max="13029" width="17.42578125" style="2" customWidth="1"/>
    <col min="13030" max="13030" width="14.85546875" style="2" customWidth="1"/>
    <col min="13031" max="13031" width="15" style="2" customWidth="1"/>
    <col min="13032" max="13032" width="14.85546875" style="2" customWidth="1"/>
    <col min="13033" max="13033" width="7.140625" style="2" customWidth="1"/>
    <col min="13034" max="13035" width="20.140625" style="2" customWidth="1"/>
    <col min="13036" max="13036" width="18.42578125" style="2" customWidth="1"/>
    <col min="13037" max="13037" width="9.140625" style="2" customWidth="1"/>
    <col min="13038" max="13038" width="12" style="2" customWidth="1"/>
    <col min="13039" max="13039" width="14.85546875" style="2" customWidth="1"/>
    <col min="13040" max="13040" width="22.42578125" style="2" customWidth="1"/>
    <col min="13041" max="13041" width="14.85546875" style="2" customWidth="1"/>
    <col min="13042" max="13042" width="7.140625" style="2" customWidth="1"/>
    <col min="13043" max="13043" width="20.140625" style="2" customWidth="1"/>
    <col min="13044" max="13275" width="8.85546875" style="2" customWidth="1"/>
    <col min="13276" max="13276" width="8.140625" style="2" customWidth="1"/>
    <col min="13277" max="13277" width="14.42578125" style="2" customWidth="1"/>
    <col min="13278" max="13278" width="37.42578125" style="2" customWidth="1"/>
    <col min="13279" max="13279" width="63.140625" style="2" customWidth="1"/>
    <col min="13280" max="13280" width="20" style="2" customWidth="1"/>
    <col min="13281" max="13281" width="11.140625" style="2" customWidth="1"/>
    <col min="13282" max="13282" width="10.85546875" style="2" customWidth="1"/>
    <col min="13283" max="13283" width="21" style="2" customWidth="1"/>
    <col min="13284" max="13284" width="10.85546875" style="2" customWidth="1"/>
    <col min="13285" max="13285" width="17.42578125" style="2" customWidth="1"/>
    <col min="13286" max="13286" width="14.85546875" style="2" customWidth="1"/>
    <col min="13287" max="13287" width="15" style="2" customWidth="1"/>
    <col min="13288" max="13288" width="14.85546875" style="2" customWidth="1"/>
    <col min="13289" max="13289" width="7.140625" style="2" customWidth="1"/>
    <col min="13290" max="13291" width="20.140625" style="2" customWidth="1"/>
    <col min="13292" max="13292" width="18.42578125" style="2" customWidth="1"/>
    <col min="13293" max="13293" width="9.140625" style="2" customWidth="1"/>
    <col min="13294" max="13294" width="12" style="2" customWidth="1"/>
    <col min="13295" max="13295" width="14.85546875" style="2" customWidth="1"/>
    <col min="13296" max="13296" width="22.42578125" style="2" customWidth="1"/>
    <col min="13297" max="13297" width="14.85546875" style="2" customWidth="1"/>
    <col min="13298" max="13298" width="7.140625" style="2" customWidth="1"/>
    <col min="13299" max="13299" width="20.140625" style="2" customWidth="1"/>
    <col min="13300" max="13531" width="8.85546875" style="2" customWidth="1"/>
    <col min="13532" max="13532" width="8.140625" style="2" customWidth="1"/>
    <col min="13533" max="13533" width="14.42578125" style="2" customWidth="1"/>
    <col min="13534" max="13534" width="37.42578125" style="2" customWidth="1"/>
    <col min="13535" max="13535" width="63.140625" style="2" customWidth="1"/>
    <col min="13536" max="13536" width="20" style="2" customWidth="1"/>
    <col min="13537" max="13537" width="11.140625" style="2" customWidth="1"/>
    <col min="13538" max="13538" width="10.85546875" style="2" customWidth="1"/>
    <col min="13539" max="13539" width="21" style="2" customWidth="1"/>
    <col min="13540" max="13540" width="10.85546875" style="2" customWidth="1"/>
    <col min="13541" max="13541" width="17.42578125" style="2" customWidth="1"/>
    <col min="13542" max="13542" width="14.85546875" style="2" customWidth="1"/>
    <col min="13543" max="13543" width="15" style="2" customWidth="1"/>
    <col min="13544" max="13544" width="14.85546875" style="2" customWidth="1"/>
    <col min="13545" max="13545" width="7.140625" style="2" customWidth="1"/>
    <col min="13546" max="13547" width="20.140625" style="2" customWidth="1"/>
    <col min="13548" max="13548" width="18.42578125" style="2" customWidth="1"/>
    <col min="13549" max="13549" width="9.140625" style="2" customWidth="1"/>
    <col min="13550" max="13550" width="12" style="2" customWidth="1"/>
    <col min="13551" max="13551" width="14.85546875" style="2" customWidth="1"/>
    <col min="13552" max="13552" width="22.42578125" style="2" customWidth="1"/>
    <col min="13553" max="13553" width="14.85546875" style="2" customWidth="1"/>
    <col min="13554" max="13554" width="7.140625" style="2" customWidth="1"/>
    <col min="13555" max="13555" width="20.140625" style="2" customWidth="1"/>
    <col min="13556" max="13787" width="8.85546875" style="2" customWidth="1"/>
    <col min="13788" max="13788" width="8.140625" style="2" customWidth="1"/>
    <col min="13789" max="13789" width="14.42578125" style="2" customWidth="1"/>
    <col min="13790" max="13790" width="37.42578125" style="2" customWidth="1"/>
    <col min="13791" max="13791" width="63.140625" style="2" customWidth="1"/>
    <col min="13792" max="13792" width="20" style="2" customWidth="1"/>
    <col min="13793" max="13793" width="11.140625" style="2" customWidth="1"/>
    <col min="13794" max="13794" width="10.85546875" style="2" customWidth="1"/>
    <col min="13795" max="13795" width="21" style="2" customWidth="1"/>
    <col min="13796" max="13796" width="10.85546875" style="2" customWidth="1"/>
    <col min="13797" max="13797" width="17.42578125" style="2" customWidth="1"/>
    <col min="13798" max="13798" width="14.85546875" style="2" customWidth="1"/>
    <col min="13799" max="13799" width="15" style="2" customWidth="1"/>
    <col min="13800" max="13800" width="14.85546875" style="2" customWidth="1"/>
    <col min="13801" max="13801" width="7.140625" style="2" customWidth="1"/>
    <col min="13802" max="13803" width="20.140625" style="2" customWidth="1"/>
    <col min="13804" max="13804" width="18.42578125" style="2" customWidth="1"/>
    <col min="13805" max="13805" width="9.140625" style="2" customWidth="1"/>
    <col min="13806" max="13806" width="12" style="2" customWidth="1"/>
    <col min="13807" max="13807" width="14.85546875" style="2" customWidth="1"/>
    <col min="13808" max="13808" width="22.42578125" style="2" customWidth="1"/>
    <col min="13809" max="13809" width="14.85546875" style="2" customWidth="1"/>
    <col min="13810" max="13810" width="7.140625" style="2" customWidth="1"/>
    <col min="13811" max="13811" width="20.140625" style="2" customWidth="1"/>
    <col min="13812" max="14043" width="8.85546875" style="2" customWidth="1"/>
    <col min="14044" max="14044" width="8.140625" style="2" customWidth="1"/>
    <col min="14045" max="14045" width="14.42578125" style="2" customWidth="1"/>
    <col min="14046" max="14046" width="37.42578125" style="2" customWidth="1"/>
    <col min="14047" max="14047" width="63.140625" style="2" customWidth="1"/>
    <col min="14048" max="14048" width="20" style="2" customWidth="1"/>
    <col min="14049" max="14049" width="11.140625" style="2" customWidth="1"/>
    <col min="14050" max="14050" width="10.85546875" style="2" customWidth="1"/>
    <col min="14051" max="14051" width="21" style="2" customWidth="1"/>
    <col min="14052" max="14052" width="10.85546875" style="2" customWidth="1"/>
    <col min="14053" max="14053" width="17.42578125" style="2" customWidth="1"/>
    <col min="14054" max="14054" width="14.85546875" style="2" customWidth="1"/>
    <col min="14055" max="14055" width="15" style="2" customWidth="1"/>
    <col min="14056" max="14056" width="14.85546875" style="2" customWidth="1"/>
    <col min="14057" max="14057" width="7.140625" style="2" customWidth="1"/>
    <col min="14058" max="14059" width="20.140625" style="2" customWidth="1"/>
    <col min="14060" max="14060" width="18.42578125" style="2" customWidth="1"/>
    <col min="14061" max="14061" width="9.140625" style="2" customWidth="1"/>
    <col min="14062" max="14062" width="12" style="2" customWidth="1"/>
    <col min="14063" max="14063" width="14.85546875" style="2" customWidth="1"/>
    <col min="14064" max="14064" width="22.42578125" style="2" customWidth="1"/>
    <col min="14065" max="14065" width="14.85546875" style="2" customWidth="1"/>
    <col min="14066" max="14066" width="7.140625" style="2" customWidth="1"/>
    <col min="14067" max="14067" width="20.140625" style="2" customWidth="1"/>
    <col min="14068" max="14299" width="8.85546875" style="2" customWidth="1"/>
    <col min="14300" max="14300" width="8.140625" style="2" customWidth="1"/>
    <col min="14301" max="14301" width="14.42578125" style="2" customWidth="1"/>
    <col min="14302" max="14302" width="37.42578125" style="2" customWidth="1"/>
    <col min="14303" max="14303" width="63.140625" style="2" customWidth="1"/>
    <col min="14304" max="14304" width="20" style="2" customWidth="1"/>
    <col min="14305" max="14305" width="11.140625" style="2" customWidth="1"/>
    <col min="14306" max="14306" width="10.85546875" style="2" customWidth="1"/>
    <col min="14307" max="14307" width="21" style="2" customWidth="1"/>
    <col min="14308" max="14308" width="10.85546875" style="2" customWidth="1"/>
    <col min="14309" max="14309" width="17.42578125" style="2" customWidth="1"/>
    <col min="14310" max="14310" width="14.85546875" style="2" customWidth="1"/>
    <col min="14311" max="14311" width="15" style="2" customWidth="1"/>
    <col min="14312" max="14312" width="14.85546875" style="2" customWidth="1"/>
    <col min="14313" max="14313" width="7.140625" style="2" customWidth="1"/>
    <col min="14314" max="14315" width="20.140625" style="2" customWidth="1"/>
    <col min="14316" max="14316" width="18.42578125" style="2" customWidth="1"/>
    <col min="14317" max="14317" width="9.140625" style="2" customWidth="1"/>
    <col min="14318" max="14318" width="12" style="2" customWidth="1"/>
    <col min="14319" max="14319" width="14.85546875" style="2" customWidth="1"/>
    <col min="14320" max="14320" width="22.42578125" style="2" customWidth="1"/>
    <col min="14321" max="14321" width="14.85546875" style="2" customWidth="1"/>
    <col min="14322" max="14322" width="7.140625" style="2" customWidth="1"/>
    <col min="14323" max="14323" width="20.140625" style="2" customWidth="1"/>
    <col min="14324" max="14555" width="8.85546875" style="2" customWidth="1"/>
    <col min="14556" max="14556" width="8.140625" style="2" customWidth="1"/>
    <col min="14557" max="14557" width="14.42578125" style="2" customWidth="1"/>
    <col min="14558" max="14558" width="37.42578125" style="2" customWidth="1"/>
    <col min="14559" max="14559" width="63.140625" style="2" customWidth="1"/>
    <col min="14560" max="14560" width="20" style="2" customWidth="1"/>
    <col min="14561" max="14561" width="11.140625" style="2" customWidth="1"/>
    <col min="14562" max="14562" width="10.85546875" style="2" customWidth="1"/>
    <col min="14563" max="14563" width="21" style="2" customWidth="1"/>
    <col min="14564" max="14564" width="10.85546875" style="2" customWidth="1"/>
    <col min="14565" max="14565" width="17.42578125" style="2" customWidth="1"/>
    <col min="14566" max="14566" width="14.85546875" style="2" customWidth="1"/>
    <col min="14567" max="14567" width="15" style="2" customWidth="1"/>
    <col min="14568" max="14568" width="14.85546875" style="2" customWidth="1"/>
    <col min="14569" max="14569" width="7.140625" style="2" customWidth="1"/>
    <col min="14570" max="14571" width="20.140625" style="2" customWidth="1"/>
    <col min="14572" max="14572" width="18.42578125" style="2" customWidth="1"/>
    <col min="14573" max="14573" width="9.140625" style="2" customWidth="1"/>
    <col min="14574" max="14574" width="12" style="2" customWidth="1"/>
    <col min="14575" max="14575" width="14.85546875" style="2" customWidth="1"/>
    <col min="14576" max="14576" width="22.42578125" style="2" customWidth="1"/>
    <col min="14577" max="14577" width="14.85546875" style="2" customWidth="1"/>
    <col min="14578" max="14578" width="7.140625" style="2" customWidth="1"/>
    <col min="14579" max="14579" width="20.140625" style="2" customWidth="1"/>
    <col min="14580" max="14811" width="8.85546875" style="2" customWidth="1"/>
    <col min="14812" max="14812" width="8.140625" style="2" customWidth="1"/>
    <col min="14813" max="14813" width="14.42578125" style="2" customWidth="1"/>
    <col min="14814" max="14814" width="37.42578125" style="2" customWidth="1"/>
    <col min="14815" max="14815" width="63.140625" style="2" customWidth="1"/>
    <col min="14816" max="14816" width="20" style="2" customWidth="1"/>
    <col min="14817" max="14817" width="11.140625" style="2" customWidth="1"/>
    <col min="14818" max="14818" width="10.85546875" style="2" customWidth="1"/>
    <col min="14819" max="14819" width="21" style="2" customWidth="1"/>
    <col min="14820" max="14820" width="10.85546875" style="2" customWidth="1"/>
    <col min="14821" max="14821" width="17.42578125" style="2" customWidth="1"/>
    <col min="14822" max="14822" width="14.85546875" style="2" customWidth="1"/>
    <col min="14823" max="14823" width="15" style="2" customWidth="1"/>
    <col min="14824" max="14824" width="14.85546875" style="2" customWidth="1"/>
    <col min="14825" max="14825" width="7.140625" style="2" customWidth="1"/>
    <col min="14826" max="14827" width="20.140625" style="2" customWidth="1"/>
    <col min="14828" max="14828" width="18.42578125" style="2" customWidth="1"/>
    <col min="14829" max="14829" width="9.140625" style="2" customWidth="1"/>
    <col min="14830" max="14830" width="12" style="2" customWidth="1"/>
    <col min="14831" max="14831" width="14.85546875" style="2" customWidth="1"/>
    <col min="14832" max="14832" width="22.42578125" style="2" customWidth="1"/>
    <col min="14833" max="14833" width="14.85546875" style="2" customWidth="1"/>
    <col min="14834" max="14834" width="7.140625" style="2" customWidth="1"/>
    <col min="14835" max="14835" width="20.140625" style="2" customWidth="1"/>
    <col min="14836" max="15067" width="8.85546875" style="2" customWidth="1"/>
    <col min="15068" max="15068" width="8.140625" style="2" customWidth="1"/>
    <col min="15069" max="15069" width="14.42578125" style="2" customWidth="1"/>
    <col min="15070" max="15070" width="37.42578125" style="2" customWidth="1"/>
    <col min="15071" max="15071" width="63.140625" style="2" customWidth="1"/>
    <col min="15072" max="15072" width="20" style="2" customWidth="1"/>
    <col min="15073" max="15073" width="11.140625" style="2" customWidth="1"/>
    <col min="15074" max="15074" width="10.85546875" style="2" customWidth="1"/>
    <col min="15075" max="15075" width="21" style="2" customWidth="1"/>
    <col min="15076" max="15076" width="10.85546875" style="2" customWidth="1"/>
    <col min="15077" max="15077" width="17.42578125" style="2" customWidth="1"/>
    <col min="15078" max="15078" width="14.85546875" style="2" customWidth="1"/>
    <col min="15079" max="15079" width="15" style="2" customWidth="1"/>
    <col min="15080" max="15080" width="14.85546875" style="2" customWidth="1"/>
    <col min="15081" max="15081" width="7.140625" style="2" customWidth="1"/>
    <col min="15082" max="15083" width="20.140625" style="2" customWidth="1"/>
    <col min="15084" max="15084" width="18.42578125" style="2" customWidth="1"/>
    <col min="15085" max="15085" width="9.140625" style="2" customWidth="1"/>
    <col min="15086" max="15086" width="12" style="2" customWidth="1"/>
    <col min="15087" max="15087" width="14.85546875" style="2" customWidth="1"/>
    <col min="15088" max="15088" width="22.42578125" style="2" customWidth="1"/>
    <col min="15089" max="15089" width="14.85546875" style="2" customWidth="1"/>
    <col min="15090" max="15090" width="7.140625" style="2" customWidth="1"/>
    <col min="15091" max="15091" width="20.140625" style="2" customWidth="1"/>
    <col min="15092" max="15323" width="8.85546875" style="2" customWidth="1"/>
    <col min="15324" max="15324" width="8.140625" style="2" customWidth="1"/>
    <col min="15325" max="15325" width="14.42578125" style="2" customWidth="1"/>
    <col min="15326" max="15326" width="37.42578125" style="2" customWidth="1"/>
    <col min="15327" max="15327" width="63.140625" style="2" customWidth="1"/>
    <col min="15328" max="15328" width="20" style="2" customWidth="1"/>
    <col min="15329" max="15329" width="11.140625" style="2" customWidth="1"/>
    <col min="15330" max="15330" width="10.85546875" style="2" customWidth="1"/>
    <col min="15331" max="15331" width="21" style="2" customWidth="1"/>
    <col min="15332" max="15332" width="10.85546875" style="2" customWidth="1"/>
    <col min="15333" max="15333" width="17.42578125" style="2" customWidth="1"/>
    <col min="15334" max="15334" width="14.85546875" style="2" customWidth="1"/>
    <col min="15335" max="15335" width="15" style="2" customWidth="1"/>
    <col min="15336" max="15336" width="14.85546875" style="2" customWidth="1"/>
    <col min="15337" max="15337" width="7.140625" style="2" customWidth="1"/>
    <col min="15338" max="15339" width="20.140625" style="2" customWidth="1"/>
    <col min="15340" max="15340" width="18.42578125" style="2" customWidth="1"/>
    <col min="15341" max="15341" width="9.140625" style="2" customWidth="1"/>
    <col min="15342" max="15342" width="12" style="2" customWidth="1"/>
    <col min="15343" max="15343" width="14.85546875" style="2" customWidth="1"/>
    <col min="15344" max="15344" width="22.42578125" style="2" customWidth="1"/>
    <col min="15345" max="15345" width="14.85546875" style="2" customWidth="1"/>
    <col min="15346" max="15346" width="7.140625" style="2" customWidth="1"/>
    <col min="15347" max="15347" width="20.140625" style="2" customWidth="1"/>
    <col min="15348" max="15579" width="8.85546875" style="2" customWidth="1"/>
    <col min="15580" max="15580" width="8.140625" style="2" customWidth="1"/>
    <col min="15581" max="15581" width="14.42578125" style="2" customWidth="1"/>
    <col min="15582" max="15582" width="37.42578125" style="2" customWidth="1"/>
    <col min="15583" max="15583" width="63.140625" style="2" customWidth="1"/>
    <col min="15584" max="15584" width="20" style="2" customWidth="1"/>
    <col min="15585" max="15585" width="11.140625" style="2" customWidth="1"/>
    <col min="15586" max="15586" width="10.85546875" style="2" customWidth="1"/>
    <col min="15587" max="15587" width="21" style="2" customWidth="1"/>
    <col min="15588" max="15588" width="10.85546875" style="2" customWidth="1"/>
    <col min="15589" max="15589" width="17.42578125" style="2" customWidth="1"/>
    <col min="15590" max="15590" width="14.85546875" style="2" customWidth="1"/>
    <col min="15591" max="15591" width="15" style="2" customWidth="1"/>
    <col min="15592" max="15592" width="14.85546875" style="2" customWidth="1"/>
    <col min="15593" max="15593" width="7.140625" style="2" customWidth="1"/>
    <col min="15594" max="15595" width="20.140625" style="2" customWidth="1"/>
    <col min="15596" max="15596" width="18.42578125" style="2" customWidth="1"/>
    <col min="15597" max="15597" width="9.140625" style="2" customWidth="1"/>
    <col min="15598" max="15598" width="12" style="2" customWidth="1"/>
    <col min="15599" max="15599" width="14.85546875" style="2" customWidth="1"/>
    <col min="15600" max="15600" width="22.42578125" style="2" customWidth="1"/>
    <col min="15601" max="15601" width="14.85546875" style="2" customWidth="1"/>
    <col min="15602" max="15602" width="7.140625" style="2" customWidth="1"/>
    <col min="15603" max="15603" width="20.140625" style="2" customWidth="1"/>
    <col min="15604" max="15835" width="8.85546875" style="2" customWidth="1"/>
    <col min="15836" max="15836" width="8.140625" style="2" customWidth="1"/>
    <col min="15837" max="15837" width="14.42578125" style="2" customWidth="1"/>
    <col min="15838" max="15838" width="37.42578125" style="2" customWidth="1"/>
    <col min="15839" max="15839" width="63.140625" style="2" customWidth="1"/>
    <col min="15840" max="15840" width="20" style="2" customWidth="1"/>
    <col min="15841" max="15841" width="11.140625" style="2" customWidth="1"/>
    <col min="15842" max="15842" width="10.85546875" style="2" customWidth="1"/>
    <col min="15843" max="15843" width="21" style="2" customWidth="1"/>
    <col min="15844" max="15844" width="10.85546875" style="2" customWidth="1"/>
    <col min="15845" max="15845" width="17.42578125" style="2" customWidth="1"/>
    <col min="15846" max="15846" width="14.85546875" style="2" customWidth="1"/>
    <col min="15847" max="15847" width="15" style="2" customWidth="1"/>
    <col min="15848" max="15848" width="14.85546875" style="2" customWidth="1"/>
    <col min="15849" max="15849" width="7.140625" style="2" customWidth="1"/>
    <col min="15850" max="15851" width="20.140625" style="2" customWidth="1"/>
    <col min="15852" max="15852" width="18.42578125" style="2" customWidth="1"/>
    <col min="15853" max="15853" width="9.140625" style="2" customWidth="1"/>
    <col min="15854" max="15854" width="12" style="2" customWidth="1"/>
    <col min="15855" max="15855" width="14.85546875" style="2" customWidth="1"/>
    <col min="15856" max="15856" width="22.42578125" style="2" customWidth="1"/>
    <col min="15857" max="15857" width="14.85546875" style="2" customWidth="1"/>
    <col min="15858" max="15858" width="7.140625" style="2" customWidth="1"/>
    <col min="15859" max="15859" width="20.140625" style="2" customWidth="1"/>
    <col min="15860" max="16091" width="8.85546875" style="2" customWidth="1"/>
    <col min="16092" max="16092" width="8.140625" style="2" customWidth="1"/>
    <col min="16093" max="16093" width="14.42578125" style="2" customWidth="1"/>
    <col min="16094" max="16094" width="37.42578125" style="2" customWidth="1"/>
    <col min="16095" max="16095" width="63.140625" style="2" customWidth="1"/>
    <col min="16096" max="16096" width="20" style="2" customWidth="1"/>
    <col min="16097" max="16097" width="11.140625" style="2" customWidth="1"/>
    <col min="16098" max="16098" width="10.85546875" style="2" customWidth="1"/>
    <col min="16099" max="16099" width="21" style="2" customWidth="1"/>
    <col min="16100" max="16100" width="10.85546875" style="2" customWidth="1"/>
    <col min="16101" max="16101" width="17.42578125" style="2" customWidth="1"/>
    <col min="16102" max="16102" width="14.85546875" style="2" customWidth="1"/>
    <col min="16103" max="16103" width="15" style="2" customWidth="1"/>
    <col min="16104" max="16104" width="14.85546875" style="2" customWidth="1"/>
    <col min="16105" max="16105" width="7.140625" style="2" customWidth="1"/>
    <col min="16106" max="16107" width="20.140625" style="2" customWidth="1"/>
    <col min="16108" max="16108" width="18.42578125" style="2" customWidth="1"/>
    <col min="16109" max="16109" width="9.140625" style="2" customWidth="1"/>
    <col min="16110" max="16110" width="12" style="2" customWidth="1"/>
    <col min="16111" max="16111" width="14.85546875" style="2" customWidth="1"/>
    <col min="16112" max="16112" width="22.42578125" style="2" customWidth="1"/>
    <col min="16113" max="16113" width="14.85546875" style="2" customWidth="1"/>
    <col min="16114" max="16114" width="7.140625" style="2" customWidth="1"/>
    <col min="16115" max="16115" width="20.140625" style="2" customWidth="1"/>
    <col min="16116" max="16384" width="8.85546875" style="2" customWidth="1"/>
  </cols>
  <sheetData>
    <row r="1" spans="1:21" ht="14.1" customHeight="1">
      <c r="A1" s="1" t="s">
        <v>1076</v>
      </c>
      <c r="B1" s="24"/>
      <c r="C1" s="2"/>
      <c r="D1" s="2"/>
      <c r="F1" s="2"/>
      <c r="H1" s="2"/>
      <c r="J1" s="2"/>
      <c r="K1" s="2"/>
      <c r="L1" s="2"/>
      <c r="M1" s="2"/>
      <c r="N1" s="2"/>
      <c r="O1" s="2"/>
      <c r="P1" s="2"/>
      <c r="R1" s="10"/>
    </row>
    <row r="2" spans="1:21" s="4" customFormat="1" ht="14.1" customHeight="1">
      <c r="A2" s="4" t="s">
        <v>1077</v>
      </c>
      <c r="E2" s="69"/>
      <c r="Q2" s="2"/>
      <c r="R2" s="336"/>
    </row>
    <row r="3" spans="1:21" s="6" customFormat="1" ht="14.1" customHeight="1">
      <c r="A3" s="3"/>
      <c r="B3" s="16"/>
      <c r="C3" s="16"/>
      <c r="D3" s="23"/>
      <c r="E3" s="16"/>
      <c r="F3" s="23"/>
      <c r="G3" s="15"/>
      <c r="H3" s="25"/>
      <c r="I3" s="15"/>
      <c r="J3" s="25"/>
      <c r="K3" s="25"/>
      <c r="L3" s="25"/>
      <c r="M3" s="25"/>
      <c r="N3" s="25"/>
      <c r="O3" s="25"/>
      <c r="P3" s="25"/>
      <c r="Q3" s="2"/>
      <c r="R3" s="355" t="s">
        <v>2</v>
      </c>
      <c r="S3" s="2"/>
      <c r="T3" s="2"/>
      <c r="U3" s="2"/>
    </row>
    <row r="4" spans="1:21" s="5" customFormat="1" ht="33" customHeight="1">
      <c r="A4" s="21" t="s">
        <v>3</v>
      </c>
      <c r="B4" s="52" t="s">
        <v>4</v>
      </c>
      <c r="C4" s="52" t="s">
        <v>5</v>
      </c>
      <c r="D4" s="21" t="s">
        <v>6</v>
      </c>
      <c r="E4" s="21" t="s">
        <v>7</v>
      </c>
      <c r="F4" s="21" t="s">
        <v>8</v>
      </c>
      <c r="G4" s="21" t="s">
        <v>9</v>
      </c>
      <c r="H4" s="21" t="s">
        <v>10</v>
      </c>
      <c r="I4" s="21" t="s">
        <v>11</v>
      </c>
      <c r="J4" s="21" t="s">
        <v>12</v>
      </c>
      <c r="K4" s="21" t="s">
        <v>13</v>
      </c>
      <c r="L4" s="21" t="s">
        <v>14</v>
      </c>
      <c r="M4" s="21" t="s">
        <v>15</v>
      </c>
      <c r="N4" s="21" t="s">
        <v>16</v>
      </c>
      <c r="O4" s="21" t="s">
        <v>17</v>
      </c>
      <c r="P4" s="21" t="s">
        <v>18</v>
      </c>
      <c r="Q4" s="3"/>
      <c r="R4" s="41" t="s">
        <v>19</v>
      </c>
      <c r="S4" s="20"/>
      <c r="T4" s="42" t="s">
        <v>20</v>
      </c>
      <c r="U4" s="42" t="s">
        <v>21</v>
      </c>
    </row>
    <row r="5" spans="1:21" ht="14.1" customHeight="1">
      <c r="A5" s="7">
        <v>1</v>
      </c>
      <c r="B5" s="14" t="s">
        <v>299</v>
      </c>
      <c r="C5" s="14" t="s">
        <v>1078</v>
      </c>
      <c r="D5" s="7" t="s">
        <v>944</v>
      </c>
      <c r="E5" s="14" t="s">
        <v>945</v>
      </c>
      <c r="F5" s="7" t="s">
        <v>1079</v>
      </c>
      <c r="G5" s="8" t="s">
        <v>1080</v>
      </c>
      <c r="H5" s="7" t="s">
        <v>1081</v>
      </c>
      <c r="I5" s="8" t="s">
        <v>1082</v>
      </c>
      <c r="J5" s="7" t="s">
        <v>30</v>
      </c>
      <c r="K5" s="7" t="s">
        <v>1083</v>
      </c>
      <c r="L5" s="7" t="s">
        <v>303</v>
      </c>
      <c r="M5" s="7">
        <v>84719000</v>
      </c>
      <c r="N5" s="7">
        <v>1</v>
      </c>
      <c r="O5" s="7">
        <v>10</v>
      </c>
      <c r="P5" s="7"/>
      <c r="R5" s="9">
        <v>3242.9552355213868</v>
      </c>
      <c r="S5" s="22"/>
      <c r="T5" s="7" t="s">
        <v>34</v>
      </c>
      <c r="U5" s="7"/>
    </row>
    <row r="6" spans="1:21" ht="14.1" customHeight="1">
      <c r="A6" s="7">
        <v>2</v>
      </c>
      <c r="B6" s="14" t="s">
        <v>299</v>
      </c>
      <c r="C6" s="14" t="s">
        <v>1078</v>
      </c>
      <c r="D6" s="7" t="s">
        <v>944</v>
      </c>
      <c r="E6" s="14" t="s">
        <v>945</v>
      </c>
      <c r="F6" s="7" t="s">
        <v>1079</v>
      </c>
      <c r="G6" s="8" t="s">
        <v>1084</v>
      </c>
      <c r="H6" s="7" t="s">
        <v>1081</v>
      </c>
      <c r="I6" s="8" t="s">
        <v>1085</v>
      </c>
      <c r="J6" s="7" t="s">
        <v>30</v>
      </c>
      <c r="K6" s="7" t="s">
        <v>1083</v>
      </c>
      <c r="L6" s="7" t="s">
        <v>303</v>
      </c>
      <c r="M6" s="7">
        <v>84719000</v>
      </c>
      <c r="N6" s="7">
        <v>1</v>
      </c>
      <c r="O6" s="7">
        <v>10</v>
      </c>
      <c r="P6" s="7"/>
      <c r="R6" s="9">
        <v>3830.096384587232</v>
      </c>
      <c r="T6" s="7" t="s">
        <v>34</v>
      </c>
      <c r="U6" s="7"/>
    </row>
    <row r="7" spans="1:21" ht="14.1" customHeight="1">
      <c r="A7" s="7">
        <v>3</v>
      </c>
      <c r="B7" s="14" t="s">
        <v>299</v>
      </c>
      <c r="C7" s="14" t="s">
        <v>1078</v>
      </c>
      <c r="D7" s="7" t="s">
        <v>30</v>
      </c>
      <c r="E7" s="14" t="s">
        <v>716</v>
      </c>
      <c r="F7" s="7" t="s">
        <v>1079</v>
      </c>
      <c r="G7" s="8" t="s">
        <v>1086</v>
      </c>
      <c r="H7" s="7" t="s">
        <v>459</v>
      </c>
      <c r="I7" s="8" t="s">
        <v>1087</v>
      </c>
      <c r="J7" s="7" t="s">
        <v>30</v>
      </c>
      <c r="K7" s="7" t="s">
        <v>461</v>
      </c>
      <c r="L7" s="7" t="s">
        <v>322</v>
      </c>
      <c r="M7" s="7">
        <v>85176200</v>
      </c>
      <c r="N7" s="7">
        <v>1</v>
      </c>
      <c r="O7" s="7">
        <v>10</v>
      </c>
      <c r="P7" s="7"/>
      <c r="R7" s="9">
        <v>6701.4995349371229</v>
      </c>
      <c r="T7" s="7" t="s">
        <v>34</v>
      </c>
      <c r="U7" s="7"/>
    </row>
    <row r="8" spans="1:21" ht="14.1" customHeight="1">
      <c r="A8" s="7">
        <v>4</v>
      </c>
      <c r="B8" s="14" t="s">
        <v>299</v>
      </c>
      <c r="C8" s="14" t="s">
        <v>1078</v>
      </c>
      <c r="D8" s="7" t="s">
        <v>30</v>
      </c>
      <c r="E8" s="14" t="s">
        <v>716</v>
      </c>
      <c r="F8" s="7" t="s">
        <v>1079</v>
      </c>
      <c r="G8" s="8" t="s">
        <v>1088</v>
      </c>
      <c r="H8" s="7" t="s">
        <v>459</v>
      </c>
      <c r="I8" s="8" t="s">
        <v>1089</v>
      </c>
      <c r="J8" s="7" t="s">
        <v>30</v>
      </c>
      <c r="K8" s="7" t="s">
        <v>461</v>
      </c>
      <c r="L8" s="7" t="s">
        <v>1090</v>
      </c>
      <c r="M8" s="7">
        <v>85176200</v>
      </c>
      <c r="N8" s="7">
        <v>1</v>
      </c>
      <c r="O8" s="7">
        <v>10</v>
      </c>
      <c r="P8" s="7"/>
      <c r="R8" s="9">
        <v>1669.529193281614</v>
      </c>
      <c r="T8" s="7" t="s">
        <v>34</v>
      </c>
      <c r="U8" s="7"/>
    </row>
    <row r="9" spans="1:21" ht="14.1" customHeight="1">
      <c r="A9" s="7">
        <v>5</v>
      </c>
      <c r="B9" s="14" t="s">
        <v>299</v>
      </c>
      <c r="C9" s="14" t="s">
        <v>1078</v>
      </c>
      <c r="D9" s="7" t="s">
        <v>944</v>
      </c>
      <c r="E9" s="14" t="s">
        <v>945</v>
      </c>
      <c r="F9" s="7" t="s">
        <v>1079</v>
      </c>
      <c r="G9" s="8" t="s">
        <v>1091</v>
      </c>
      <c r="H9" s="7" t="s">
        <v>1081</v>
      </c>
      <c r="I9" s="8" t="s">
        <v>1092</v>
      </c>
      <c r="J9" s="7" t="s">
        <v>30</v>
      </c>
      <c r="K9" s="7" t="s">
        <v>1083</v>
      </c>
      <c r="L9" s="7" t="s">
        <v>303</v>
      </c>
      <c r="M9" s="7">
        <v>84719000</v>
      </c>
      <c r="N9" s="7">
        <v>1</v>
      </c>
      <c r="O9" s="7">
        <v>10</v>
      </c>
      <c r="P9" s="7"/>
      <c r="R9" s="9">
        <v>5805.9397575885823</v>
      </c>
      <c r="T9" s="7" t="s">
        <v>34</v>
      </c>
      <c r="U9" s="7"/>
    </row>
    <row r="10" spans="1:21" ht="14.1" customHeight="1">
      <c r="A10" s="7">
        <v>6</v>
      </c>
      <c r="B10" s="14" t="s">
        <v>299</v>
      </c>
      <c r="C10" s="14" t="s">
        <v>1078</v>
      </c>
      <c r="D10" s="7" t="s">
        <v>944</v>
      </c>
      <c r="E10" s="14" t="s">
        <v>945</v>
      </c>
      <c r="F10" s="7" t="s">
        <v>1079</v>
      </c>
      <c r="G10" s="8" t="s">
        <v>1093</v>
      </c>
      <c r="H10" s="7" t="s">
        <v>1081</v>
      </c>
      <c r="I10" s="8" t="s">
        <v>1094</v>
      </c>
      <c r="J10" s="7" t="s">
        <v>30</v>
      </c>
      <c r="K10" s="7" t="s">
        <v>1083</v>
      </c>
      <c r="L10" s="7" t="s">
        <v>303</v>
      </c>
      <c r="M10" s="7">
        <v>84719000</v>
      </c>
      <c r="N10" s="7">
        <v>1</v>
      </c>
      <c r="O10" s="7">
        <v>10</v>
      </c>
      <c r="P10" s="7"/>
      <c r="R10" s="9">
        <v>6631.3512495051255</v>
      </c>
      <c r="T10" s="7" t="s">
        <v>34</v>
      </c>
      <c r="U10" s="7"/>
    </row>
    <row r="11" spans="1:21" ht="14.1" customHeight="1">
      <c r="A11" s="7">
        <v>7</v>
      </c>
      <c r="B11" s="14" t="s">
        <v>299</v>
      </c>
      <c r="C11" s="14" t="s">
        <v>1078</v>
      </c>
      <c r="D11" s="7" t="s">
        <v>944</v>
      </c>
      <c r="E11" s="14" t="s">
        <v>945</v>
      </c>
      <c r="F11" s="7" t="s">
        <v>1079</v>
      </c>
      <c r="G11" s="8" t="s">
        <v>1095</v>
      </c>
      <c r="H11" s="7" t="s">
        <v>1096</v>
      </c>
      <c r="I11" s="8" t="s">
        <v>1097</v>
      </c>
      <c r="J11" s="7" t="s">
        <v>30</v>
      </c>
      <c r="K11" s="7" t="s">
        <v>1098</v>
      </c>
      <c r="L11" s="7" t="s">
        <v>303</v>
      </c>
      <c r="M11" s="7">
        <v>83016000</v>
      </c>
      <c r="N11" s="7">
        <v>1</v>
      </c>
      <c r="O11" s="7">
        <v>10</v>
      </c>
      <c r="P11" s="7"/>
      <c r="R11" s="9">
        <v>6277.336235691625</v>
      </c>
      <c r="T11" s="7" t="s">
        <v>34</v>
      </c>
      <c r="U11" s="7"/>
    </row>
    <row r="12" spans="1:21" ht="14.1" customHeight="1">
      <c r="A12" s="7">
        <v>8</v>
      </c>
      <c r="B12" s="14" t="s">
        <v>299</v>
      </c>
      <c r="C12" s="14" t="s">
        <v>1078</v>
      </c>
      <c r="D12" s="7" t="s">
        <v>944</v>
      </c>
      <c r="E12" s="14" t="s">
        <v>945</v>
      </c>
      <c r="F12" s="7" t="s">
        <v>1079</v>
      </c>
      <c r="G12" s="8" t="s">
        <v>1099</v>
      </c>
      <c r="H12" s="7" t="s">
        <v>1096</v>
      </c>
      <c r="I12" s="8" t="s">
        <v>1100</v>
      </c>
      <c r="J12" s="7" t="s">
        <v>30</v>
      </c>
      <c r="K12" s="7" t="s">
        <v>1098</v>
      </c>
      <c r="L12" s="7" t="s">
        <v>303</v>
      </c>
      <c r="M12" s="7">
        <v>83016000</v>
      </c>
      <c r="N12" s="7">
        <v>1</v>
      </c>
      <c r="O12" s="7">
        <v>10</v>
      </c>
      <c r="P12" s="7"/>
      <c r="R12" s="9">
        <v>3634.850323468163</v>
      </c>
      <c r="T12" s="7" t="s">
        <v>34</v>
      </c>
      <c r="U12" s="7"/>
    </row>
    <row r="13" spans="1:21" ht="14.1" customHeight="1">
      <c r="A13" s="7">
        <v>9</v>
      </c>
      <c r="B13" s="14" t="s">
        <v>299</v>
      </c>
      <c r="C13" s="14" t="s">
        <v>1078</v>
      </c>
      <c r="D13" s="7" t="s">
        <v>944</v>
      </c>
      <c r="E13" s="14" t="s">
        <v>945</v>
      </c>
      <c r="F13" s="7" t="s">
        <v>1079</v>
      </c>
      <c r="G13" s="8" t="s">
        <v>1101</v>
      </c>
      <c r="H13" s="7" t="s">
        <v>1096</v>
      </c>
      <c r="I13" s="8" t="s">
        <v>1102</v>
      </c>
      <c r="J13" s="7" t="s">
        <v>30</v>
      </c>
      <c r="K13" s="7" t="s">
        <v>1098</v>
      </c>
      <c r="L13" s="7" t="s">
        <v>303</v>
      </c>
      <c r="M13" s="7">
        <v>83016000</v>
      </c>
      <c r="N13" s="7">
        <v>1</v>
      </c>
      <c r="O13" s="7">
        <v>10</v>
      </c>
      <c r="P13" s="7"/>
      <c r="R13" s="9">
        <v>3636.019461558697</v>
      </c>
      <c r="T13" s="7" t="s">
        <v>34</v>
      </c>
      <c r="U13" s="7"/>
    </row>
    <row r="14" spans="1:21" ht="14.1" customHeight="1">
      <c r="A14" s="7">
        <v>10</v>
      </c>
      <c r="B14" s="14" t="s">
        <v>299</v>
      </c>
      <c r="C14" s="14" t="s">
        <v>1078</v>
      </c>
      <c r="D14" s="7" t="s">
        <v>944</v>
      </c>
      <c r="E14" s="14" t="s">
        <v>945</v>
      </c>
      <c r="F14" s="7" t="s">
        <v>1079</v>
      </c>
      <c r="G14" s="8" t="s">
        <v>1103</v>
      </c>
      <c r="H14" s="7" t="s">
        <v>1096</v>
      </c>
      <c r="I14" s="8" t="s">
        <v>1104</v>
      </c>
      <c r="J14" s="7" t="s">
        <v>30</v>
      </c>
      <c r="K14" s="7" t="s">
        <v>1098</v>
      </c>
      <c r="L14" s="7" t="s">
        <v>303</v>
      </c>
      <c r="M14" s="7">
        <v>83016000</v>
      </c>
      <c r="N14" s="7">
        <v>1</v>
      </c>
      <c r="O14" s="7">
        <v>10</v>
      </c>
      <c r="P14" s="7"/>
      <c r="R14" s="9">
        <v>3379.510564495682</v>
      </c>
      <c r="T14" s="7" t="s">
        <v>34</v>
      </c>
      <c r="U14" s="7"/>
    </row>
    <row r="15" spans="1:21" ht="14.1" customHeight="1">
      <c r="A15" s="7">
        <v>11</v>
      </c>
      <c r="B15" s="14" t="s">
        <v>299</v>
      </c>
      <c r="C15" s="14" t="s">
        <v>1078</v>
      </c>
      <c r="D15" s="7" t="s">
        <v>30</v>
      </c>
      <c r="E15" s="14" t="s">
        <v>716</v>
      </c>
      <c r="F15" s="7" t="s">
        <v>1079</v>
      </c>
      <c r="G15" s="8" t="s">
        <v>1105</v>
      </c>
      <c r="H15" s="7" t="s">
        <v>632</v>
      </c>
      <c r="I15" s="8" t="s">
        <v>1106</v>
      </c>
      <c r="J15" s="7" t="s">
        <v>30</v>
      </c>
      <c r="K15" s="7" t="s">
        <v>633</v>
      </c>
      <c r="L15" s="7" t="s">
        <v>1107</v>
      </c>
      <c r="M15" s="7">
        <v>85176200</v>
      </c>
      <c r="N15" s="7">
        <v>1</v>
      </c>
      <c r="O15" s="7">
        <v>10</v>
      </c>
      <c r="P15" s="7"/>
      <c r="R15" s="9">
        <v>1263.138570475845</v>
      </c>
      <c r="T15" s="7" t="s">
        <v>34</v>
      </c>
      <c r="U15" s="7"/>
    </row>
    <row r="16" spans="1:21" ht="14.1" customHeight="1">
      <c r="A16" s="7">
        <v>12</v>
      </c>
      <c r="B16" s="14" t="s">
        <v>299</v>
      </c>
      <c r="C16" s="14" t="s">
        <v>1078</v>
      </c>
      <c r="D16" s="7" t="s">
        <v>30</v>
      </c>
      <c r="E16" s="14" t="s">
        <v>716</v>
      </c>
      <c r="F16" s="7" t="s">
        <v>1079</v>
      </c>
      <c r="G16" s="8" t="s">
        <v>1108</v>
      </c>
      <c r="H16" s="7" t="s">
        <v>632</v>
      </c>
      <c r="I16" s="8" t="s">
        <v>1109</v>
      </c>
      <c r="J16" s="7" t="s">
        <v>30</v>
      </c>
      <c r="K16" s="7" t="s">
        <v>633</v>
      </c>
      <c r="L16" s="7" t="s">
        <v>1107</v>
      </c>
      <c r="M16" s="7">
        <v>85176200</v>
      </c>
      <c r="N16" s="7">
        <v>1</v>
      </c>
      <c r="O16" s="7">
        <v>10</v>
      </c>
      <c r="P16" s="7"/>
      <c r="R16" s="9">
        <v>2256.6817537711422</v>
      </c>
      <c r="T16" s="7" t="s">
        <v>34</v>
      </c>
      <c r="U16" s="7"/>
    </row>
    <row r="17" spans="1:21" ht="14.1" customHeight="1">
      <c r="A17" s="7">
        <v>13</v>
      </c>
      <c r="B17" s="14" t="s">
        <v>299</v>
      </c>
      <c r="C17" s="14" t="s">
        <v>1078</v>
      </c>
      <c r="D17" s="7" t="s">
        <v>944</v>
      </c>
      <c r="E17" s="14" t="s">
        <v>945</v>
      </c>
      <c r="F17" s="7" t="s">
        <v>1079</v>
      </c>
      <c r="G17" s="8" t="s">
        <v>1110</v>
      </c>
      <c r="H17" s="7" t="s">
        <v>995</v>
      </c>
      <c r="I17" s="8" t="s">
        <v>1111</v>
      </c>
      <c r="J17" s="7" t="s">
        <v>30</v>
      </c>
      <c r="K17" s="7" t="s">
        <v>997</v>
      </c>
      <c r="L17" s="7" t="s">
        <v>322</v>
      </c>
      <c r="M17" s="7">
        <v>83016000</v>
      </c>
      <c r="N17" s="7">
        <v>1</v>
      </c>
      <c r="O17" s="7">
        <v>5</v>
      </c>
      <c r="P17" s="7"/>
      <c r="R17" s="9">
        <v>2991.608001660994</v>
      </c>
      <c r="T17" s="7" t="s">
        <v>34</v>
      </c>
      <c r="U17" s="7"/>
    </row>
    <row r="18" spans="1:21" ht="14.1" customHeight="1">
      <c r="A18" s="7">
        <v>14</v>
      </c>
      <c r="B18" s="14" t="s">
        <v>299</v>
      </c>
      <c r="C18" s="14" t="s">
        <v>1078</v>
      </c>
      <c r="D18" s="7" t="s">
        <v>944</v>
      </c>
      <c r="E18" s="14" t="s">
        <v>945</v>
      </c>
      <c r="F18" s="7" t="s">
        <v>1079</v>
      </c>
      <c r="G18" s="8" t="s">
        <v>1112</v>
      </c>
      <c r="H18" s="7" t="s">
        <v>995</v>
      </c>
      <c r="I18" s="8" t="s">
        <v>1113</v>
      </c>
      <c r="J18" s="7" t="s">
        <v>30</v>
      </c>
      <c r="K18" s="7" t="s">
        <v>997</v>
      </c>
      <c r="L18" s="7" t="s">
        <v>322</v>
      </c>
      <c r="M18" s="7">
        <v>83016000</v>
      </c>
      <c r="N18" s="7">
        <v>1</v>
      </c>
      <c r="O18" s="7">
        <v>5</v>
      </c>
      <c r="P18" s="7"/>
      <c r="R18" s="9">
        <v>2991.608001660994</v>
      </c>
      <c r="T18" s="7" t="s">
        <v>34</v>
      </c>
      <c r="U18" s="7"/>
    </row>
    <row r="19" spans="1:21" ht="14.1" customHeight="1">
      <c r="A19" s="7">
        <v>15</v>
      </c>
      <c r="B19" s="14" t="s">
        <v>299</v>
      </c>
      <c r="C19" s="14" t="s">
        <v>1078</v>
      </c>
      <c r="D19" s="7" t="s">
        <v>30</v>
      </c>
      <c r="E19" s="14" t="s">
        <v>716</v>
      </c>
      <c r="F19" s="7" t="s">
        <v>1079</v>
      </c>
      <c r="G19" s="8" t="s">
        <v>1114</v>
      </c>
      <c r="H19" s="7" t="s">
        <v>459</v>
      </c>
      <c r="I19" s="8" t="s">
        <v>1114</v>
      </c>
      <c r="J19" s="7" t="s">
        <v>30</v>
      </c>
      <c r="K19" s="7" t="s">
        <v>461</v>
      </c>
      <c r="L19" s="7" t="s">
        <v>375</v>
      </c>
      <c r="M19" s="7">
        <v>83013000</v>
      </c>
      <c r="N19" s="7">
        <v>1</v>
      </c>
      <c r="O19" s="7">
        <v>10</v>
      </c>
      <c r="P19" s="7"/>
      <c r="R19" s="9">
        <v>1588.4573081192771</v>
      </c>
      <c r="T19" s="7" t="s">
        <v>34</v>
      </c>
      <c r="U19" s="7"/>
    </row>
    <row r="20" spans="1:21" ht="14.1" customHeight="1">
      <c r="A20" s="7">
        <v>16</v>
      </c>
      <c r="B20" s="14" t="s">
        <v>299</v>
      </c>
      <c r="C20" s="14" t="s">
        <v>1078</v>
      </c>
      <c r="D20" s="7" t="s">
        <v>30</v>
      </c>
      <c r="E20" s="14" t="s">
        <v>716</v>
      </c>
      <c r="F20" s="7" t="s">
        <v>1079</v>
      </c>
      <c r="G20" s="8" t="s">
        <v>1115</v>
      </c>
      <c r="H20" s="7" t="s">
        <v>459</v>
      </c>
      <c r="I20" s="8" t="s">
        <v>1115</v>
      </c>
      <c r="J20" s="7" t="s">
        <v>30</v>
      </c>
      <c r="K20" s="7" t="s">
        <v>461</v>
      </c>
      <c r="L20" s="7" t="s">
        <v>375</v>
      </c>
      <c r="M20" s="7">
        <v>83013000</v>
      </c>
      <c r="N20" s="7">
        <v>1</v>
      </c>
      <c r="O20" s="7">
        <v>10</v>
      </c>
      <c r="P20" s="7"/>
      <c r="R20" s="9">
        <v>1588.4573081192771</v>
      </c>
      <c r="T20" s="7" t="s">
        <v>34</v>
      </c>
      <c r="U20" s="7"/>
    </row>
    <row r="21" spans="1:21" ht="14.1" customHeight="1">
      <c r="A21" s="7">
        <v>17</v>
      </c>
      <c r="B21" s="14" t="s">
        <v>299</v>
      </c>
      <c r="C21" s="14" t="s">
        <v>1078</v>
      </c>
      <c r="D21" s="7" t="s">
        <v>30</v>
      </c>
      <c r="E21" s="14" t="s">
        <v>716</v>
      </c>
      <c r="F21" s="7" t="s">
        <v>1079</v>
      </c>
      <c r="G21" s="8" t="s">
        <v>1116</v>
      </c>
      <c r="H21" s="7" t="s">
        <v>459</v>
      </c>
      <c r="I21" s="8" t="s">
        <v>1116</v>
      </c>
      <c r="J21" s="7" t="s">
        <v>30</v>
      </c>
      <c r="K21" s="7" t="s">
        <v>461</v>
      </c>
      <c r="L21" s="7" t="s">
        <v>375</v>
      </c>
      <c r="M21" s="7">
        <v>83013000</v>
      </c>
      <c r="N21" s="7">
        <v>1</v>
      </c>
      <c r="O21" s="7">
        <v>10</v>
      </c>
      <c r="P21" s="7"/>
      <c r="R21" s="9">
        <v>1588.4573081192771</v>
      </c>
      <c r="T21" s="7" t="s">
        <v>34</v>
      </c>
      <c r="U21" s="7"/>
    </row>
    <row r="22" spans="1:21" ht="14.1" customHeight="1">
      <c r="A22" s="7">
        <v>18</v>
      </c>
      <c r="B22" s="14" t="s">
        <v>299</v>
      </c>
      <c r="C22" s="14" t="s">
        <v>1078</v>
      </c>
      <c r="D22" s="7" t="s">
        <v>30</v>
      </c>
      <c r="E22" s="14" t="s">
        <v>716</v>
      </c>
      <c r="F22" s="7" t="s">
        <v>1079</v>
      </c>
      <c r="G22" s="8" t="s">
        <v>1117</v>
      </c>
      <c r="H22" s="7" t="s">
        <v>459</v>
      </c>
      <c r="I22" s="8" t="s">
        <v>1117</v>
      </c>
      <c r="J22" s="7" t="s">
        <v>30</v>
      </c>
      <c r="K22" s="7" t="s">
        <v>461</v>
      </c>
      <c r="L22" s="7" t="s">
        <v>375</v>
      </c>
      <c r="M22" s="7">
        <v>83013000</v>
      </c>
      <c r="N22" s="7">
        <v>1</v>
      </c>
      <c r="O22" s="7">
        <v>10</v>
      </c>
      <c r="P22" s="7"/>
      <c r="R22" s="9">
        <v>1588.4573081192771</v>
      </c>
      <c r="T22" s="7" t="s">
        <v>34</v>
      </c>
      <c r="U22" s="7"/>
    </row>
    <row r="23" spans="1:21" ht="14.1" customHeight="1"/>
    <row r="24" spans="1:21" ht="14.1" customHeight="1"/>
    <row r="25" spans="1:21" ht="14.1" customHeight="1"/>
    <row r="26" spans="1:21" ht="14.1" customHeight="1"/>
    <row r="27" spans="1:21" ht="14.1" customHeight="1"/>
    <row r="28" spans="1:21" ht="14.1" customHeight="1"/>
    <row r="29" spans="1:21" ht="14.1" customHeight="1"/>
    <row r="30" spans="1:21" ht="14.1" customHeight="1"/>
    <row r="31" spans="1:21" ht="14.1" customHeight="1"/>
    <row r="32" spans="1:21" ht="14.1" customHeight="1"/>
    <row r="33" ht="14.1" customHeight="1"/>
    <row r="34" ht="14.1" customHeight="1"/>
    <row r="35" ht="14.1" customHeight="1"/>
    <row r="36" ht="14.1" customHeight="1"/>
    <row r="37" ht="14.1" customHeight="1"/>
    <row r="38" ht="14.1" customHeight="1"/>
    <row r="39" ht="14.1" customHeight="1"/>
    <row r="40" ht="14.1" customHeight="1"/>
    <row r="41" ht="14.1" customHeight="1"/>
    <row r="42" ht="14.1" customHeight="1"/>
    <row r="43" ht="14.1" customHeight="1"/>
    <row r="44" ht="14.1" customHeight="1"/>
    <row r="45" ht="14.1" customHeight="1"/>
    <row r="46" ht="14.1" customHeight="1"/>
    <row r="47" ht="14.1" customHeight="1"/>
    <row r="48" ht="14.1" customHeight="1"/>
    <row r="49" ht="14.1" customHeight="1"/>
    <row r="50" ht="14.1" customHeight="1"/>
    <row r="51" ht="14.1" customHeight="1"/>
    <row r="52" ht="14.1" customHeight="1"/>
    <row r="53" ht="14.1" customHeight="1"/>
    <row r="54" ht="14.1" customHeight="1"/>
    <row r="55" ht="14.1" customHeight="1"/>
    <row r="56" ht="14.1" customHeight="1"/>
    <row r="57" ht="14.1" customHeight="1"/>
    <row r="58" ht="14.1" customHeight="1"/>
    <row r="59" ht="14.1" customHeight="1"/>
    <row r="60" ht="14.1" customHeight="1"/>
    <row r="61" ht="14.1" customHeight="1"/>
    <row r="62" ht="14.1" customHeight="1"/>
    <row r="63" ht="14.1" customHeight="1"/>
    <row r="64" ht="14.1" customHeight="1"/>
    <row r="65" ht="14.1" customHeight="1"/>
    <row r="66" ht="14.1" customHeight="1"/>
    <row r="67" ht="14.1" customHeight="1"/>
    <row r="68" ht="14.1" customHeight="1"/>
    <row r="69" ht="14.1" customHeight="1"/>
    <row r="70" ht="14.1" customHeight="1"/>
    <row r="71" ht="14.1" customHeight="1"/>
    <row r="72" ht="14.1" customHeight="1"/>
    <row r="73" ht="14.1" customHeight="1"/>
    <row r="74" ht="14.1" customHeight="1"/>
    <row r="75" ht="14.1" customHeight="1"/>
    <row r="76" ht="14.1" customHeight="1"/>
    <row r="77" ht="14.1" customHeight="1"/>
    <row r="78" ht="14.1" customHeight="1"/>
    <row r="79" ht="14.1" customHeight="1"/>
    <row r="80" ht="14.1" customHeight="1"/>
    <row r="81" ht="14.1" customHeight="1"/>
    <row r="82" ht="14.1" customHeight="1"/>
    <row r="83" ht="14.1" customHeight="1"/>
    <row r="84" ht="14.1" customHeight="1"/>
    <row r="85" ht="14.1" customHeight="1"/>
    <row r="86" ht="14.1" customHeight="1"/>
    <row r="87" ht="14.1" customHeight="1"/>
    <row r="88" ht="14.1" customHeight="1"/>
    <row r="89" ht="14.1" customHeight="1"/>
    <row r="90" ht="14.1" customHeight="1"/>
    <row r="91" ht="14.1" customHeight="1"/>
    <row r="92" ht="14.1" customHeight="1"/>
    <row r="93" ht="14.1" customHeight="1"/>
    <row r="94" ht="14.1" customHeight="1"/>
    <row r="95" ht="14.1" customHeight="1"/>
    <row r="96" ht="14.1" customHeight="1"/>
    <row r="97" ht="14.1" customHeight="1"/>
    <row r="98" ht="14.1" customHeight="1"/>
    <row r="99" ht="14.1" customHeight="1"/>
    <row r="100" ht="14.1" customHeight="1"/>
    <row r="101" ht="14.1" customHeight="1"/>
    <row r="102" ht="14.1" customHeight="1"/>
    <row r="103" ht="14.1" customHeight="1"/>
    <row r="104" ht="14.1" customHeight="1"/>
    <row r="105" ht="14.1" customHeight="1"/>
    <row r="106" ht="14.1" customHeight="1"/>
    <row r="107" ht="14.1" customHeight="1"/>
    <row r="108" ht="14.1" customHeight="1"/>
    <row r="109" ht="14.1" customHeight="1"/>
    <row r="110" ht="14.1" customHeight="1"/>
    <row r="111" ht="14.1" customHeight="1"/>
    <row r="112" ht="14.1" customHeight="1"/>
    <row r="113" ht="14.1" customHeight="1"/>
    <row r="114" ht="14.1" customHeight="1"/>
    <row r="115" ht="14.1" customHeight="1"/>
    <row r="116" ht="14.1" customHeight="1"/>
    <row r="117" ht="14.1" customHeight="1"/>
    <row r="118" ht="14.1" customHeight="1"/>
    <row r="119" ht="14.1" customHeight="1"/>
    <row r="120" ht="14.1" customHeight="1"/>
    <row r="121" ht="14.1" customHeight="1"/>
    <row r="122" ht="14.1" customHeight="1"/>
    <row r="123" ht="14.1" customHeight="1"/>
    <row r="124" ht="14.1" customHeight="1"/>
    <row r="125" ht="14.1" customHeight="1"/>
    <row r="126" ht="14.1" customHeight="1"/>
    <row r="127" ht="14.1" customHeight="1"/>
    <row r="128" ht="14.1" customHeight="1"/>
    <row r="129" ht="14.1" customHeight="1"/>
    <row r="130" ht="14.1" customHeight="1"/>
    <row r="131" ht="14.1" customHeight="1"/>
    <row r="132" ht="14.1" customHeight="1"/>
    <row r="133" ht="14.1" customHeight="1"/>
    <row r="134" ht="14.1" customHeight="1"/>
    <row r="135" ht="14.1" customHeight="1"/>
    <row r="136" ht="14.1" customHeight="1"/>
    <row r="137" ht="14.1" customHeight="1"/>
    <row r="138" ht="14.1" customHeight="1"/>
    <row r="139" ht="14.1" customHeight="1"/>
    <row r="140" ht="14.1" customHeight="1"/>
    <row r="141" ht="14.1" customHeight="1"/>
    <row r="142" ht="14.1" customHeight="1"/>
    <row r="143" ht="14.1" customHeight="1"/>
    <row r="144" ht="14.1" customHeight="1"/>
    <row r="145" ht="14.1" customHeight="1"/>
    <row r="146" ht="14.1" customHeight="1"/>
    <row r="147" ht="14.1" customHeight="1"/>
    <row r="148" ht="14.1" customHeight="1"/>
    <row r="149" ht="14.1" customHeight="1"/>
    <row r="150" ht="14.1" customHeight="1"/>
    <row r="151" ht="14.1" customHeight="1"/>
    <row r="152" ht="14.1" customHeight="1"/>
    <row r="153" ht="14.1" customHeight="1"/>
    <row r="154" ht="14.1" customHeight="1"/>
    <row r="155" ht="14.1" customHeight="1"/>
    <row r="156" ht="14.1" customHeight="1"/>
    <row r="157" ht="14.1" customHeight="1"/>
    <row r="158" ht="14.1" customHeight="1"/>
    <row r="159" ht="14.1" customHeight="1"/>
    <row r="160" ht="14.1" customHeight="1"/>
    <row r="161" ht="14.1" customHeight="1"/>
    <row r="162" ht="14.1" customHeight="1"/>
    <row r="163" ht="14.1" customHeight="1"/>
    <row r="164" ht="14.1" customHeight="1"/>
    <row r="165" ht="14.1" customHeight="1"/>
    <row r="166" ht="14.1" customHeight="1"/>
    <row r="167" ht="14.1" customHeight="1"/>
    <row r="168" ht="14.1" customHeight="1"/>
    <row r="169" ht="14.1" customHeight="1"/>
    <row r="170" ht="14.1" customHeight="1"/>
    <row r="171" ht="14.1" customHeight="1"/>
    <row r="172" ht="14.1" customHeight="1"/>
    <row r="173" ht="14.1" customHeight="1"/>
    <row r="174" ht="14.1" customHeight="1"/>
    <row r="175" ht="14.1" customHeight="1"/>
    <row r="176" ht="14.1" customHeight="1"/>
    <row r="177" ht="14.1" customHeight="1"/>
    <row r="178" ht="14.1" customHeight="1"/>
    <row r="179" ht="14.1" customHeight="1"/>
    <row r="180" ht="14.1" customHeight="1"/>
    <row r="181" ht="14.1" customHeight="1"/>
    <row r="182" ht="14.1" customHeight="1"/>
    <row r="183" ht="14.1" customHeight="1"/>
    <row r="184" ht="14.1" customHeight="1"/>
    <row r="185" ht="14.1" customHeight="1"/>
    <row r="186" ht="14.1" customHeight="1"/>
    <row r="187" ht="14.1" customHeight="1"/>
    <row r="188" ht="14.1" customHeight="1"/>
    <row r="189" ht="14.1" customHeight="1"/>
    <row r="190" ht="14.1" customHeight="1"/>
    <row r="191" ht="14.1" customHeight="1"/>
    <row r="192" ht="14.1" customHeight="1"/>
    <row r="193" ht="14.1" customHeight="1"/>
    <row r="194" ht="14.1" customHeight="1"/>
    <row r="195" ht="14.1" customHeight="1"/>
    <row r="196" ht="14.1" customHeight="1"/>
    <row r="197" ht="14.1" customHeight="1"/>
    <row r="198" ht="14.1" customHeight="1"/>
    <row r="199" ht="14.1" customHeight="1"/>
    <row r="200" ht="14.1" customHeight="1"/>
    <row r="201" ht="14.1" customHeight="1"/>
    <row r="202" ht="14.1" customHeight="1"/>
    <row r="203" ht="14.1" customHeight="1"/>
    <row r="204" ht="14.1" customHeight="1"/>
    <row r="205" ht="14.1" customHeight="1"/>
    <row r="206" ht="14.1" customHeight="1"/>
    <row r="207" ht="14.1" customHeight="1"/>
    <row r="208" ht="14.1" customHeight="1"/>
    <row r="209" ht="14.1" customHeight="1"/>
    <row r="210" ht="14.1" customHeight="1"/>
    <row r="211" ht="14.1" customHeight="1"/>
    <row r="212" ht="14.1" customHeight="1"/>
    <row r="213" ht="14.1" customHeight="1"/>
    <row r="214" ht="14.1" customHeight="1"/>
    <row r="215" ht="14.1" customHeight="1"/>
    <row r="216" ht="14.1" customHeight="1"/>
    <row r="217" ht="14.1" customHeight="1"/>
    <row r="218" ht="14.1" customHeight="1"/>
    <row r="219" ht="14.1" customHeight="1"/>
    <row r="220" ht="14.1" customHeight="1"/>
    <row r="221" ht="14.1" customHeight="1"/>
    <row r="222" ht="14.1" customHeight="1"/>
    <row r="223" ht="14.1" customHeight="1"/>
    <row r="224" ht="14.1" customHeight="1"/>
    <row r="225" ht="14.1" customHeight="1"/>
    <row r="226" ht="14.1" customHeight="1"/>
    <row r="227" ht="14.1" customHeight="1"/>
    <row r="228" ht="14.1" customHeight="1"/>
    <row r="229" ht="14.1" customHeight="1"/>
    <row r="230" ht="14.1" customHeight="1"/>
    <row r="231" ht="14.1" customHeight="1"/>
    <row r="232" ht="14.1" customHeight="1"/>
    <row r="233" ht="14.1" customHeight="1"/>
    <row r="234" ht="14.1" customHeight="1"/>
    <row r="235" ht="14.1" customHeight="1"/>
    <row r="236" ht="14.1" customHeight="1"/>
    <row r="237" ht="14.1" customHeight="1"/>
    <row r="238" ht="14.1" customHeight="1"/>
    <row r="239" ht="14.1" customHeight="1"/>
    <row r="240" ht="14.1" customHeight="1"/>
    <row r="241" ht="14.1" customHeight="1"/>
    <row r="242" ht="14.1" customHeight="1"/>
    <row r="243" ht="14.1" customHeight="1"/>
    <row r="244" ht="14.1" customHeight="1"/>
    <row r="245" ht="14.1" customHeight="1"/>
    <row r="246" ht="14.1" customHeight="1"/>
    <row r="247" ht="14.1" customHeight="1"/>
    <row r="248" ht="14.1" customHeight="1"/>
    <row r="249" ht="14.1" customHeight="1"/>
    <row r="250" ht="14.1" customHeight="1"/>
    <row r="251" ht="14.1" customHeight="1"/>
    <row r="252" ht="14.1" customHeight="1"/>
    <row r="253" ht="14.1" customHeight="1"/>
    <row r="254" ht="14.1" customHeight="1"/>
    <row r="255" ht="14.1" customHeight="1"/>
    <row r="256" ht="14.1" customHeight="1"/>
    <row r="257" ht="14.1" customHeight="1"/>
    <row r="258" ht="14.1" customHeight="1"/>
    <row r="259" ht="14.1" customHeight="1"/>
    <row r="260" ht="14.1" customHeight="1"/>
    <row r="261" ht="14.1" customHeight="1"/>
    <row r="262" ht="14.1" customHeight="1"/>
    <row r="263" ht="14.1" customHeight="1"/>
    <row r="264" ht="14.1" customHeight="1"/>
    <row r="265" ht="14.1" customHeight="1"/>
    <row r="266" ht="14.1" customHeight="1"/>
    <row r="267" ht="14.1" customHeight="1"/>
    <row r="268" ht="14.1" customHeight="1"/>
    <row r="269" ht="14.1" customHeight="1"/>
    <row r="270" ht="14.1" customHeight="1"/>
    <row r="271" ht="14.1" customHeight="1"/>
    <row r="272" ht="14.1" customHeight="1"/>
    <row r="273" ht="14.1" customHeight="1"/>
    <row r="274" ht="14.1" customHeight="1"/>
    <row r="275" ht="14.1" customHeight="1"/>
    <row r="276" ht="14.1" customHeight="1"/>
    <row r="277" ht="14.1" customHeight="1"/>
    <row r="278" ht="14.1" customHeight="1"/>
    <row r="279" ht="14.1" customHeight="1"/>
    <row r="280" ht="14.1" customHeight="1"/>
    <row r="281" ht="14.1" customHeight="1"/>
    <row r="282" ht="14.1" customHeight="1"/>
    <row r="283" ht="14.1" customHeight="1"/>
    <row r="284" ht="14.1" customHeight="1"/>
    <row r="285" ht="14.1" customHeight="1"/>
    <row r="286" ht="14.1" customHeight="1"/>
    <row r="287" ht="14.1" customHeight="1"/>
    <row r="288" ht="14.1" customHeight="1"/>
    <row r="289" ht="14.1" customHeight="1"/>
    <row r="290" ht="14.1" customHeight="1"/>
    <row r="291" ht="14.1" customHeight="1"/>
    <row r="292" ht="14.1" customHeight="1"/>
    <row r="293" ht="14.1" customHeight="1"/>
    <row r="294" ht="14.1" customHeight="1"/>
    <row r="295" ht="14.1" customHeight="1"/>
    <row r="296" ht="14.1" customHeight="1"/>
    <row r="297" ht="14.1" customHeight="1"/>
    <row r="298" ht="14.1" customHeight="1"/>
    <row r="299" ht="14.1" customHeight="1"/>
    <row r="300" ht="14.1" customHeight="1"/>
    <row r="301" ht="14.1" customHeight="1"/>
    <row r="302" ht="14.1" customHeight="1"/>
    <row r="303" ht="14.1" customHeight="1"/>
    <row r="304" ht="14.1" customHeight="1"/>
    <row r="305" ht="14.1" customHeight="1"/>
    <row r="306" ht="14.1" customHeight="1"/>
    <row r="307" ht="14.1" customHeight="1"/>
    <row r="308" ht="14.1" customHeight="1"/>
    <row r="309" ht="14.1" customHeight="1"/>
    <row r="310" ht="14.1" customHeight="1"/>
    <row r="311" ht="14.1" customHeight="1"/>
    <row r="312" ht="14.1" customHeight="1"/>
    <row r="313" ht="14.1" customHeight="1"/>
    <row r="314" ht="14.1" customHeight="1"/>
    <row r="315" ht="14.1" customHeight="1"/>
    <row r="316" ht="14.1" customHeight="1"/>
    <row r="317" ht="14.1" customHeight="1"/>
    <row r="318" ht="14.1" customHeight="1"/>
    <row r="319" ht="14.1" customHeight="1"/>
    <row r="320" ht="14.1" customHeight="1"/>
    <row r="321" ht="14.1" customHeight="1"/>
    <row r="322" ht="14.1" customHeight="1"/>
    <row r="323" ht="14.1" customHeight="1"/>
    <row r="324" ht="14.1" customHeight="1"/>
    <row r="325" ht="14.1" customHeight="1"/>
    <row r="326" ht="14.1" customHeight="1"/>
    <row r="327" ht="14.1" customHeight="1"/>
    <row r="328" ht="14.1" customHeight="1"/>
    <row r="329" ht="14.1" customHeight="1"/>
    <row r="330" ht="14.1" customHeight="1"/>
    <row r="331" ht="14.1" customHeight="1"/>
    <row r="332" ht="14.1" customHeight="1"/>
    <row r="333" ht="14.1" customHeight="1"/>
    <row r="334" ht="14.1" customHeight="1"/>
    <row r="335" ht="14.1" customHeight="1"/>
    <row r="336" ht="14.1" customHeight="1"/>
    <row r="337" ht="14.1" customHeight="1"/>
    <row r="338" ht="14.1" customHeight="1"/>
    <row r="339" ht="14.1" customHeight="1"/>
    <row r="340" ht="14.1" customHeight="1"/>
    <row r="341" ht="14.1" customHeight="1"/>
    <row r="342" ht="14.1" customHeight="1"/>
    <row r="343" ht="14.1" customHeight="1"/>
    <row r="344" ht="14.1" customHeight="1"/>
    <row r="345" ht="14.1" customHeight="1"/>
    <row r="346" ht="14.1" customHeight="1"/>
    <row r="347" ht="14.1" customHeight="1"/>
    <row r="348" ht="14.1" customHeight="1"/>
    <row r="349" ht="14.1" customHeight="1"/>
    <row r="350" ht="14.1" customHeight="1"/>
    <row r="351" ht="14.1" customHeight="1"/>
    <row r="352" ht="14.1" customHeight="1"/>
    <row r="353" ht="14.1" customHeight="1"/>
    <row r="354" ht="14.1" customHeight="1"/>
    <row r="355" ht="14.1" customHeight="1"/>
    <row r="356" ht="14.1" customHeight="1"/>
    <row r="357" ht="14.1" customHeight="1"/>
    <row r="358" ht="14.1" customHeight="1"/>
    <row r="359" ht="14.1" customHeight="1"/>
    <row r="360" ht="14.1" customHeight="1"/>
    <row r="361" ht="14.1" customHeight="1"/>
    <row r="362" ht="14.1" customHeight="1"/>
    <row r="363" ht="14.1" customHeight="1"/>
    <row r="364" ht="14.1" customHeight="1"/>
    <row r="365" ht="14.1" customHeight="1"/>
    <row r="366" ht="14.1" customHeight="1"/>
    <row r="367" ht="14.1" customHeight="1"/>
    <row r="368" ht="14.1" customHeight="1"/>
    <row r="369" ht="14.1" customHeight="1"/>
    <row r="370" ht="14.1" customHeight="1"/>
    <row r="371" ht="14.1" customHeight="1"/>
    <row r="372" ht="14.1" customHeight="1"/>
    <row r="373" ht="14.1" customHeight="1"/>
    <row r="374" ht="14.1" customHeight="1"/>
    <row r="375" ht="14.1" customHeight="1"/>
    <row r="376" ht="14.1" customHeight="1"/>
    <row r="377" ht="14.1" customHeight="1"/>
    <row r="378" ht="14.1" customHeight="1"/>
    <row r="379" ht="14.1" customHeight="1"/>
    <row r="380" ht="14.1" customHeight="1"/>
    <row r="381" ht="14.1" customHeight="1"/>
    <row r="382" ht="14.1" customHeight="1"/>
    <row r="383" ht="14.1" customHeight="1"/>
    <row r="384" ht="14.1" customHeight="1"/>
    <row r="385" ht="14.1" customHeight="1"/>
    <row r="386" ht="14.1" customHeight="1"/>
    <row r="387" ht="14.1" customHeight="1"/>
    <row r="388" ht="14.1" customHeight="1"/>
    <row r="389" ht="14.1" customHeight="1"/>
    <row r="390" ht="14.1" customHeight="1"/>
    <row r="391" ht="14.1" customHeight="1"/>
    <row r="392" ht="14.1" customHeight="1"/>
    <row r="393" ht="14.1" customHeight="1"/>
    <row r="394" ht="14.1" customHeight="1"/>
    <row r="395" ht="14.1" customHeight="1"/>
    <row r="396" ht="14.1" customHeight="1"/>
    <row r="397" ht="14.1" customHeight="1"/>
    <row r="398" ht="14.1" customHeight="1"/>
    <row r="399" ht="14.1" customHeight="1"/>
    <row r="400" ht="14.1" customHeight="1"/>
    <row r="401" ht="14.1" customHeight="1"/>
    <row r="402" ht="14.1" customHeight="1"/>
    <row r="403" ht="14.1" customHeight="1"/>
    <row r="404" ht="14.1" customHeight="1"/>
    <row r="405" ht="14.1" customHeight="1"/>
    <row r="406" ht="14.1" customHeight="1"/>
    <row r="407" ht="14.1" customHeight="1"/>
    <row r="408" ht="14.1" customHeight="1"/>
    <row r="409" ht="14.1" customHeight="1"/>
    <row r="410" ht="14.1" customHeight="1"/>
    <row r="411" ht="14.1" customHeight="1"/>
    <row r="412" ht="14.1" customHeight="1"/>
    <row r="413" ht="14.1" customHeight="1"/>
    <row r="414" ht="14.1" customHeight="1"/>
    <row r="415" ht="14.1" customHeight="1"/>
    <row r="416" ht="14.1" customHeight="1"/>
    <row r="417" ht="14.1" customHeight="1"/>
    <row r="418" ht="14.1" customHeight="1"/>
    <row r="419" ht="14.1" customHeight="1"/>
    <row r="420" ht="14.1" customHeight="1"/>
    <row r="421" ht="14.1" customHeight="1"/>
    <row r="422" ht="14.1" customHeight="1"/>
    <row r="423" ht="14.1" customHeight="1"/>
    <row r="424" ht="14.1" customHeight="1"/>
    <row r="425" ht="14.1" customHeight="1"/>
    <row r="426" ht="14.1" customHeight="1"/>
    <row r="427" ht="14.1" customHeight="1"/>
    <row r="428" ht="14.1" customHeight="1"/>
    <row r="429" ht="14.1" customHeight="1"/>
    <row r="430" ht="14.1" customHeight="1"/>
    <row r="431" ht="14.1" customHeight="1"/>
    <row r="432" ht="14.1" customHeight="1"/>
    <row r="433" ht="14.1" customHeight="1"/>
    <row r="434" ht="14.1" customHeight="1"/>
    <row r="435" ht="14.1" customHeight="1"/>
    <row r="436" ht="14.1" customHeight="1"/>
    <row r="437" ht="14.1" customHeight="1"/>
    <row r="438" ht="14.1" customHeight="1"/>
    <row r="439" ht="14.1" customHeight="1"/>
    <row r="440" ht="14.1" customHeight="1"/>
    <row r="441" ht="14.1" customHeight="1"/>
    <row r="442" ht="14.1" customHeight="1"/>
    <row r="443" ht="14.1" customHeight="1"/>
    <row r="444" ht="14.1" customHeight="1"/>
    <row r="445" ht="14.1" customHeight="1"/>
    <row r="446" ht="14.1" customHeight="1"/>
    <row r="447" ht="14.1" customHeight="1"/>
    <row r="448" ht="14.1" customHeight="1"/>
    <row r="449" ht="14.1" customHeight="1"/>
    <row r="450" ht="14.1" customHeight="1"/>
    <row r="451" ht="14.1" customHeight="1"/>
    <row r="452" ht="14.1" customHeight="1"/>
    <row r="453" ht="14.1" customHeight="1"/>
    <row r="454" ht="14.1" customHeight="1"/>
    <row r="455" ht="14.1" customHeight="1"/>
    <row r="456" ht="14.1" customHeight="1"/>
    <row r="457" ht="14.1" customHeight="1"/>
    <row r="458" ht="14.1" customHeight="1"/>
    <row r="459" ht="14.1" customHeight="1"/>
    <row r="460" ht="14.1" customHeight="1"/>
    <row r="461" ht="14.1" customHeight="1"/>
    <row r="462" ht="14.1" customHeight="1"/>
    <row r="463" ht="14.1" customHeight="1"/>
    <row r="464" ht="14.1" customHeight="1"/>
    <row r="465" ht="14.1" customHeight="1"/>
    <row r="466" ht="14.1" customHeight="1"/>
    <row r="467" ht="14.1" customHeight="1"/>
    <row r="468" ht="14.1" customHeight="1"/>
    <row r="469" ht="14.1" customHeight="1"/>
    <row r="470" ht="14.1" customHeight="1"/>
    <row r="471" ht="14.1" customHeight="1"/>
    <row r="472" ht="14.1" customHeight="1"/>
    <row r="473" ht="14.1" customHeight="1"/>
    <row r="474" ht="14.1" customHeight="1"/>
    <row r="475" ht="14.1" customHeight="1"/>
    <row r="476" ht="14.1" customHeight="1"/>
    <row r="477" ht="14.1" customHeight="1"/>
    <row r="478" ht="14.1" customHeight="1"/>
    <row r="479" ht="14.1" customHeight="1"/>
    <row r="480" ht="14.1" customHeight="1"/>
    <row r="481" ht="14.1" customHeight="1"/>
    <row r="482" ht="14.1" customHeight="1"/>
    <row r="483" ht="14.1" customHeight="1"/>
    <row r="484" ht="14.1" customHeight="1"/>
    <row r="485" ht="14.1" customHeight="1"/>
    <row r="486" ht="14.1" customHeight="1"/>
    <row r="487" ht="14.1" customHeight="1"/>
    <row r="488" ht="14.1" customHeight="1"/>
    <row r="489" ht="14.1" customHeight="1"/>
    <row r="490" ht="14.1" customHeight="1"/>
    <row r="491" ht="14.1" customHeight="1"/>
    <row r="492" ht="14.1" customHeight="1"/>
    <row r="493" ht="14.1" customHeight="1"/>
    <row r="494" ht="14.1" customHeight="1"/>
    <row r="495" ht="14.1" customHeight="1"/>
    <row r="496" ht="14.1" customHeight="1"/>
    <row r="497" ht="14.1" customHeight="1"/>
    <row r="498" ht="14.1" customHeight="1"/>
    <row r="499" ht="14.1" customHeight="1"/>
    <row r="500" ht="14.1" customHeight="1"/>
    <row r="501" ht="14.1" customHeight="1"/>
    <row r="502" ht="14.1" customHeight="1"/>
    <row r="503" ht="14.1" customHeight="1"/>
    <row r="504" ht="14.1" customHeight="1"/>
    <row r="505" ht="14.1" customHeight="1"/>
    <row r="506" ht="14.1" customHeight="1"/>
    <row r="507" ht="14.1" customHeight="1"/>
    <row r="508" ht="14.1" customHeight="1"/>
    <row r="509" ht="14.1" customHeight="1"/>
    <row r="510" ht="14.1" customHeight="1"/>
    <row r="511" ht="14.1" customHeight="1"/>
    <row r="512" ht="14.1" customHeight="1"/>
    <row r="513" ht="14.1" customHeight="1"/>
    <row r="514" ht="14.1" customHeight="1"/>
    <row r="515" ht="14.1" customHeight="1"/>
    <row r="516" ht="14.1" customHeight="1"/>
    <row r="517" ht="14.1" customHeight="1"/>
    <row r="518" ht="14.1" customHeight="1"/>
    <row r="519" ht="14.1" customHeight="1"/>
    <row r="520" ht="14.1" customHeight="1"/>
    <row r="521" ht="14.1" customHeight="1"/>
    <row r="522" ht="14.1" customHeight="1"/>
    <row r="523" ht="14.1" customHeight="1"/>
    <row r="524" ht="14.1" customHeight="1"/>
    <row r="525" ht="14.1" customHeight="1"/>
    <row r="526" ht="14.1" customHeight="1"/>
    <row r="527" ht="14.1" customHeight="1"/>
    <row r="528" ht="14.1" customHeight="1"/>
    <row r="529" ht="14.1" customHeight="1"/>
    <row r="530" ht="14.1" customHeight="1"/>
    <row r="531" ht="14.1" customHeight="1"/>
    <row r="532" ht="14.1" customHeight="1"/>
    <row r="533" ht="14.1" customHeight="1"/>
    <row r="534" ht="14.1" customHeight="1"/>
    <row r="535" ht="14.1" customHeight="1"/>
    <row r="536" ht="14.1" customHeight="1"/>
    <row r="537" ht="14.1" customHeight="1"/>
    <row r="538" ht="14.1" customHeight="1"/>
    <row r="539" ht="14.1" customHeight="1"/>
    <row r="540" ht="14.1" customHeight="1"/>
    <row r="541" ht="14.1" customHeight="1"/>
    <row r="542" ht="14.1" customHeight="1"/>
    <row r="543" ht="14.1" customHeight="1"/>
    <row r="544" ht="14.1" customHeight="1"/>
    <row r="545" ht="14.1" customHeight="1"/>
    <row r="546" ht="14.1" customHeight="1"/>
    <row r="547" ht="14.1" customHeight="1"/>
    <row r="548" ht="14.1" customHeight="1"/>
    <row r="549" ht="14.1" customHeight="1"/>
    <row r="550" ht="14.1" customHeight="1"/>
    <row r="551" ht="14.1" customHeight="1"/>
    <row r="552" ht="14.1" customHeight="1"/>
    <row r="553" ht="14.1" customHeight="1"/>
    <row r="554" ht="14.1" customHeight="1"/>
    <row r="555" ht="14.1" customHeight="1"/>
    <row r="556" ht="14.1" customHeight="1"/>
    <row r="557" ht="14.1" customHeight="1"/>
    <row r="558" ht="14.1" customHeight="1"/>
    <row r="559" ht="14.1" customHeight="1"/>
    <row r="560" ht="14.1" customHeight="1"/>
    <row r="561" ht="14.1" customHeight="1"/>
    <row r="562" ht="14.1" customHeight="1"/>
    <row r="563" ht="14.1" customHeight="1"/>
    <row r="564" ht="14.1" customHeight="1"/>
    <row r="565" ht="14.1" customHeight="1"/>
    <row r="566" ht="14.1" customHeight="1"/>
    <row r="567" ht="14.1" customHeight="1"/>
    <row r="568" ht="14.1" customHeight="1"/>
    <row r="569" ht="14.1" customHeight="1"/>
    <row r="570" ht="14.1" customHeight="1"/>
    <row r="571" ht="14.1" customHeight="1"/>
    <row r="572" ht="14.1" customHeight="1"/>
    <row r="573" ht="14.1" customHeight="1"/>
    <row r="574" ht="14.1" customHeight="1"/>
    <row r="575" ht="14.1" customHeight="1"/>
    <row r="576" ht="14.1" customHeight="1"/>
    <row r="577" ht="14.1" customHeight="1"/>
    <row r="578" ht="14.1" customHeight="1"/>
    <row r="579" ht="14.1" customHeight="1"/>
    <row r="580" ht="14.1" customHeight="1"/>
    <row r="581" ht="14.1" customHeight="1"/>
    <row r="582" ht="14.1" customHeight="1"/>
    <row r="583" ht="14.1" customHeight="1"/>
    <row r="584" ht="14.1" customHeight="1"/>
    <row r="585" ht="14.1" customHeight="1"/>
    <row r="586" ht="14.1" customHeight="1"/>
    <row r="587" ht="14.1" customHeight="1"/>
    <row r="588" ht="14.1" customHeight="1"/>
    <row r="589" ht="14.1" customHeight="1"/>
    <row r="590" ht="14.1" customHeight="1"/>
    <row r="591" ht="14.1" customHeight="1"/>
    <row r="592" ht="14.1" customHeight="1"/>
    <row r="593" ht="14.1" customHeight="1"/>
    <row r="594" ht="14.1" customHeight="1"/>
    <row r="595" ht="14.1" customHeight="1"/>
    <row r="596" ht="14.1" customHeight="1"/>
    <row r="597" ht="14.1" customHeight="1"/>
    <row r="598" ht="14.1" customHeight="1"/>
    <row r="599" ht="14.1" customHeight="1"/>
    <row r="600" ht="14.1" customHeight="1"/>
    <row r="601" ht="14.1" customHeight="1"/>
    <row r="602" ht="14.1" customHeight="1"/>
    <row r="603" ht="14.1" customHeight="1"/>
    <row r="604" ht="14.1" customHeight="1"/>
    <row r="605" ht="14.1" customHeight="1"/>
    <row r="606" ht="14.1" customHeight="1"/>
    <row r="607" ht="14.1" customHeight="1"/>
    <row r="608" ht="14.1" customHeight="1"/>
    <row r="609" ht="14.1" customHeight="1"/>
    <row r="610" ht="14.1" customHeight="1"/>
    <row r="611" ht="14.1" customHeight="1"/>
    <row r="612" ht="14.1" customHeight="1"/>
    <row r="613" ht="14.1" customHeight="1"/>
    <row r="614" ht="14.1" customHeight="1"/>
    <row r="615" ht="14.1" customHeight="1"/>
    <row r="616" ht="14.1" customHeight="1"/>
    <row r="617" ht="14.1" customHeight="1"/>
    <row r="618" ht="14.1" customHeight="1"/>
    <row r="619" ht="14.1" customHeight="1"/>
    <row r="620" ht="14.1" customHeight="1"/>
    <row r="621" ht="14.1" customHeight="1"/>
    <row r="622" ht="14.1" customHeight="1"/>
    <row r="623" ht="14.1" customHeight="1"/>
    <row r="624" ht="14.1" customHeight="1"/>
    <row r="625" ht="14.1" customHeight="1"/>
    <row r="626" ht="14.1" customHeight="1"/>
    <row r="627" ht="14.1" customHeight="1"/>
    <row r="628" ht="14.1" customHeight="1"/>
    <row r="629" ht="14.1" customHeight="1"/>
    <row r="630" ht="14.1" customHeight="1"/>
    <row r="631" ht="14.1" customHeight="1"/>
    <row r="632" ht="14.1" customHeight="1"/>
    <row r="633" ht="14.1" customHeight="1"/>
    <row r="634" ht="14.1" customHeight="1"/>
    <row r="635" ht="14.1" customHeight="1"/>
    <row r="636" ht="14.1" customHeight="1"/>
    <row r="637" ht="14.1" customHeight="1"/>
    <row r="638" ht="14.1" customHeight="1"/>
    <row r="639" ht="14.1" customHeight="1"/>
    <row r="640" ht="14.1" customHeight="1"/>
    <row r="641" ht="14.1" customHeight="1"/>
    <row r="642" ht="14.1" customHeight="1"/>
    <row r="643" ht="14.1" customHeight="1"/>
    <row r="644" ht="14.1" customHeight="1"/>
    <row r="645" ht="14.1" customHeight="1"/>
    <row r="646" ht="14.1" customHeight="1"/>
    <row r="647" ht="14.1" customHeight="1"/>
    <row r="648" ht="14.1" customHeight="1"/>
    <row r="649" ht="14.1" customHeight="1"/>
    <row r="650" ht="14.1" customHeight="1"/>
    <row r="651" ht="14.1" customHeight="1"/>
    <row r="652" ht="14.1" customHeight="1"/>
    <row r="653" ht="14.1" customHeight="1"/>
    <row r="654" ht="14.1" customHeight="1"/>
    <row r="655" ht="14.1" customHeight="1"/>
    <row r="656" ht="14.1" customHeight="1"/>
    <row r="657" ht="14.1" customHeight="1"/>
    <row r="658" ht="14.1" customHeight="1"/>
    <row r="659" ht="14.1" customHeight="1"/>
    <row r="660" ht="14.1" customHeight="1"/>
    <row r="661" ht="14.1" customHeight="1"/>
    <row r="662" ht="14.1" customHeight="1"/>
    <row r="663" ht="14.1" customHeight="1"/>
    <row r="664" ht="14.1" customHeight="1"/>
    <row r="665" ht="14.1" customHeight="1"/>
    <row r="666" ht="14.1" customHeight="1"/>
    <row r="667" ht="14.1" customHeight="1"/>
    <row r="668" ht="14.1" customHeight="1"/>
    <row r="669" ht="14.1" customHeight="1"/>
    <row r="670" ht="14.1" customHeight="1"/>
    <row r="671" ht="14.1" customHeight="1"/>
    <row r="672" ht="14.1" customHeight="1"/>
    <row r="673" ht="14.1" customHeight="1"/>
    <row r="674" ht="14.1" customHeight="1"/>
    <row r="675" ht="14.1" customHeight="1"/>
    <row r="676" ht="14.1" customHeight="1"/>
    <row r="677" ht="14.1" customHeight="1"/>
    <row r="678" ht="14.1" customHeight="1"/>
    <row r="679" ht="14.1" customHeight="1"/>
    <row r="680" ht="14.1" customHeight="1"/>
    <row r="681" ht="14.1" customHeight="1"/>
    <row r="682" ht="14.1" customHeight="1"/>
    <row r="683" ht="14.1" customHeight="1"/>
    <row r="684" ht="14.1" customHeight="1"/>
    <row r="685" ht="14.1" customHeight="1"/>
    <row r="686" ht="14.1" customHeight="1"/>
    <row r="687" ht="14.1" customHeight="1"/>
    <row r="688" ht="14.1" customHeight="1"/>
    <row r="689" ht="14.1" customHeight="1"/>
    <row r="690" ht="14.1" customHeight="1"/>
    <row r="691" ht="14.1" customHeight="1"/>
    <row r="692" ht="14.1" customHeight="1"/>
    <row r="693" ht="14.1" customHeight="1"/>
    <row r="694" ht="14.1" customHeight="1"/>
    <row r="695" ht="14.1" customHeight="1"/>
    <row r="696" ht="14.1" customHeight="1"/>
    <row r="697" ht="14.1" customHeight="1"/>
    <row r="698" ht="14.1" customHeight="1"/>
    <row r="699" ht="14.1" customHeight="1"/>
    <row r="700" ht="14.1" customHeight="1"/>
    <row r="701" ht="14.1" customHeight="1"/>
    <row r="702" ht="14.1" customHeight="1"/>
    <row r="703" ht="14.1" customHeight="1"/>
    <row r="704" ht="14.1" customHeight="1"/>
    <row r="705" ht="14.1" customHeight="1"/>
    <row r="706" ht="14.1" customHeight="1"/>
    <row r="707" ht="14.1" customHeight="1"/>
    <row r="708" ht="14.1" customHeight="1"/>
    <row r="709" ht="14.1" customHeight="1"/>
    <row r="710" ht="14.1" customHeight="1"/>
    <row r="711" ht="14.1" customHeight="1"/>
    <row r="712" ht="14.1" customHeight="1"/>
    <row r="713" ht="14.1" customHeight="1"/>
    <row r="714" ht="14.1" customHeight="1"/>
    <row r="715" ht="14.1" customHeight="1"/>
    <row r="716" ht="14.1" customHeight="1"/>
    <row r="717" ht="14.1" customHeight="1"/>
    <row r="718" ht="14.1" customHeight="1"/>
    <row r="719" ht="14.1" customHeight="1"/>
    <row r="720" ht="14.1" customHeight="1"/>
    <row r="721" ht="14.1" customHeight="1"/>
    <row r="722" ht="14.1" customHeight="1"/>
    <row r="723" ht="14.1" customHeight="1"/>
    <row r="724" ht="14.1" customHeight="1"/>
    <row r="725" ht="14.1" customHeight="1"/>
    <row r="726" ht="14.1" customHeight="1"/>
    <row r="727" ht="14.1" customHeight="1"/>
    <row r="728" ht="14.1" customHeight="1"/>
    <row r="729" ht="14.1" customHeight="1"/>
    <row r="730" ht="14.1" customHeight="1"/>
    <row r="731" ht="14.1" customHeight="1"/>
    <row r="732" ht="14.1" customHeight="1"/>
    <row r="733" ht="14.1" customHeight="1"/>
    <row r="734" ht="14.1" customHeight="1"/>
    <row r="735" ht="14.1" customHeight="1"/>
    <row r="736" ht="14.1" customHeight="1"/>
    <row r="737" ht="14.1" customHeight="1"/>
    <row r="738" ht="14.1" customHeight="1"/>
    <row r="739" ht="14.1" customHeight="1"/>
    <row r="740" ht="14.1" customHeight="1"/>
    <row r="741" ht="14.1" customHeight="1"/>
    <row r="742" ht="14.1" customHeight="1"/>
    <row r="743" ht="14.1" customHeight="1"/>
    <row r="744" ht="14.1" customHeight="1"/>
    <row r="745" ht="14.1" customHeight="1"/>
    <row r="746" ht="14.1" customHeight="1"/>
    <row r="747" ht="14.1" customHeight="1"/>
    <row r="748" ht="14.1" customHeight="1"/>
    <row r="749" ht="14.1" customHeight="1"/>
    <row r="750" ht="14.1" customHeight="1"/>
    <row r="751" ht="14.1" customHeight="1"/>
    <row r="752" ht="14.1" customHeight="1"/>
    <row r="753" ht="14.1" customHeight="1"/>
    <row r="754" ht="14.1" customHeight="1"/>
    <row r="755" ht="14.1" customHeight="1"/>
    <row r="756" ht="14.1" customHeight="1"/>
    <row r="757" ht="14.1" customHeight="1"/>
    <row r="758" ht="14.1" customHeight="1"/>
    <row r="759" ht="14.1" customHeight="1"/>
    <row r="760" ht="14.1" customHeight="1"/>
    <row r="761" ht="14.1" customHeight="1"/>
    <row r="762" ht="14.1" customHeight="1"/>
    <row r="763" ht="14.1" customHeight="1"/>
    <row r="764" ht="14.1" customHeight="1"/>
    <row r="765" ht="14.1" customHeight="1"/>
    <row r="766" ht="14.1" customHeight="1"/>
    <row r="767" ht="14.1" customHeight="1"/>
    <row r="768" ht="14.1" customHeight="1"/>
    <row r="769" ht="14.1" customHeight="1"/>
    <row r="770" ht="14.1" customHeight="1"/>
    <row r="771" ht="14.1" customHeight="1"/>
    <row r="772" ht="14.1" customHeight="1"/>
    <row r="773" ht="14.1" customHeight="1"/>
    <row r="774" ht="14.1" customHeight="1"/>
    <row r="775" ht="14.1" customHeight="1"/>
    <row r="776" ht="14.1" customHeight="1"/>
    <row r="777" ht="14.1" customHeight="1"/>
    <row r="778" ht="14.1" customHeight="1"/>
    <row r="779" ht="14.1" customHeight="1"/>
    <row r="780" ht="14.1" customHeight="1"/>
    <row r="781" ht="14.1" customHeight="1"/>
    <row r="782" ht="14.1" customHeight="1"/>
    <row r="783" ht="14.1" customHeight="1"/>
    <row r="784" ht="14.1" customHeight="1"/>
    <row r="785" ht="14.1" customHeight="1"/>
    <row r="786" ht="14.1" customHeight="1"/>
    <row r="787" ht="14.1" customHeight="1"/>
    <row r="788" ht="14.1" customHeight="1"/>
    <row r="789" ht="14.1" customHeight="1"/>
    <row r="790" ht="14.1" customHeight="1"/>
    <row r="791" ht="14.1" customHeight="1"/>
    <row r="792" ht="14.1" customHeight="1"/>
    <row r="793" ht="14.1" customHeight="1"/>
  </sheetData>
  <pageMargins left="0.61" right="0.16" top="0.87" bottom="0.21" header="0.16" footer="0.16"/>
  <pageSetup paperSize="8" scale="51" orientation="portrait"/>
  <headerFooter alignWithMargins="0">
    <oddFooter>&amp;L_x000D_&amp;1#&amp;"Arial"&amp;7&amp;KDAD4CE Public&amp;C&amp;"Verdana"&amp;10 &amp;KC1C1C1_x000D_# Restricted</oddFooter>
  </headerFooter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10">
    <tabColor rgb="FF92D050"/>
    <pageSetUpPr fitToPage="1"/>
  </sheetPr>
  <dimension ref="A1:U793"/>
  <sheetViews>
    <sheetView zoomScale="80" zoomScaleNormal="80" workbookViewId="0">
      <pane ySplit="4" topLeftCell="A5" activePane="bottomLeft" state="frozen"/>
      <selection activeCell="A16" sqref="A16"/>
      <selection pane="bottomLeft" activeCell="A16" sqref="A16"/>
    </sheetView>
  </sheetViews>
  <sheetFormatPr defaultColWidth="8.85546875" defaultRowHeight="15" customHeight="1"/>
  <cols>
    <col min="1" max="1" width="4.140625" style="3" customWidth="1"/>
    <col min="2" max="3" width="8.5703125" style="20" customWidth="1"/>
    <col min="4" max="4" width="14.5703125" style="3" customWidth="1"/>
    <col min="5" max="5" width="20.5703125" style="20" customWidth="1"/>
    <col min="6" max="6" width="8.5703125" style="3" customWidth="1"/>
    <col min="7" max="7" width="32.5703125" style="2" customWidth="1"/>
    <col min="8" max="8" width="18.5703125" style="3" customWidth="1"/>
    <col min="9" max="9" width="62.5703125" style="2" customWidth="1"/>
    <col min="10" max="12" width="9.5703125" style="3" customWidth="1"/>
    <col min="13" max="13" width="10.5703125" style="3" customWidth="1"/>
    <col min="14" max="14" width="8.5703125" style="3" customWidth="1"/>
    <col min="15" max="15" width="10.5703125" style="3" customWidth="1"/>
    <col min="16" max="16" width="5.5703125" style="3" customWidth="1"/>
    <col min="17" max="17" width="1.5703125" style="2" customWidth="1"/>
    <col min="18" max="18" width="10.5703125" style="30" customWidth="1"/>
    <col min="19" max="19" width="1.5703125" style="2" customWidth="1"/>
    <col min="20" max="21" width="10.5703125" style="2" customWidth="1"/>
    <col min="22" max="202" width="8.85546875" style="2" customWidth="1"/>
    <col min="203" max="203" width="8.140625" style="2" customWidth="1"/>
    <col min="204" max="204" width="14.5703125" style="2" customWidth="1"/>
    <col min="205" max="205" width="37.42578125" style="2" customWidth="1"/>
    <col min="206" max="206" width="63.140625" style="2" customWidth="1"/>
    <col min="207" max="207" width="20" style="2" customWidth="1"/>
    <col min="208" max="208" width="11.140625" style="2" customWidth="1"/>
    <col min="209" max="209" width="10.85546875" style="2" customWidth="1"/>
    <col min="210" max="210" width="21" style="2" customWidth="1"/>
    <col min="211" max="211" width="10.85546875" style="2" customWidth="1"/>
    <col min="212" max="212" width="17.42578125" style="2" customWidth="1"/>
    <col min="213" max="213" width="14.85546875" style="2" customWidth="1"/>
    <col min="214" max="214" width="15" style="2" customWidth="1"/>
    <col min="215" max="215" width="14.85546875" style="2" customWidth="1"/>
    <col min="216" max="216" width="7.140625" style="2" customWidth="1"/>
    <col min="217" max="218" width="20.140625" style="2" customWidth="1"/>
    <col min="219" max="219" width="18.42578125" style="2" customWidth="1"/>
    <col min="220" max="220" width="9.140625" style="2" customWidth="1"/>
    <col min="221" max="221" width="12" style="2" customWidth="1"/>
    <col min="222" max="222" width="14.85546875" style="2" customWidth="1"/>
    <col min="223" max="223" width="22.42578125" style="2" customWidth="1"/>
    <col min="224" max="224" width="14.85546875" style="2" customWidth="1"/>
    <col min="225" max="225" width="7.140625" style="2" customWidth="1"/>
    <col min="226" max="226" width="20.140625" style="2" customWidth="1"/>
    <col min="227" max="458" width="8.85546875" style="2" customWidth="1"/>
    <col min="459" max="459" width="8.140625" style="2" customWidth="1"/>
    <col min="460" max="460" width="14.5703125" style="2" customWidth="1"/>
    <col min="461" max="461" width="37.42578125" style="2" customWidth="1"/>
    <col min="462" max="462" width="63.140625" style="2" customWidth="1"/>
    <col min="463" max="463" width="20" style="2" customWidth="1"/>
    <col min="464" max="464" width="11.140625" style="2" customWidth="1"/>
    <col min="465" max="465" width="10.85546875" style="2" customWidth="1"/>
    <col min="466" max="466" width="21" style="2" customWidth="1"/>
    <col min="467" max="467" width="10.85546875" style="2" customWidth="1"/>
    <col min="468" max="468" width="17.42578125" style="2" customWidth="1"/>
    <col min="469" max="469" width="14.85546875" style="2" customWidth="1"/>
    <col min="470" max="470" width="15" style="2" customWidth="1"/>
    <col min="471" max="471" width="14.85546875" style="2" customWidth="1"/>
    <col min="472" max="472" width="7.140625" style="2" customWidth="1"/>
    <col min="473" max="474" width="20.140625" style="2" customWidth="1"/>
    <col min="475" max="475" width="18.42578125" style="2" customWidth="1"/>
    <col min="476" max="476" width="9.140625" style="2" customWidth="1"/>
    <col min="477" max="477" width="12" style="2" customWidth="1"/>
    <col min="478" max="478" width="14.85546875" style="2" customWidth="1"/>
    <col min="479" max="479" width="22.42578125" style="2" customWidth="1"/>
    <col min="480" max="480" width="14.85546875" style="2" customWidth="1"/>
    <col min="481" max="481" width="7.140625" style="2" customWidth="1"/>
    <col min="482" max="482" width="20.140625" style="2" customWidth="1"/>
    <col min="483" max="714" width="8.85546875" style="2" customWidth="1"/>
    <col min="715" max="715" width="8.140625" style="2" customWidth="1"/>
    <col min="716" max="716" width="14.5703125" style="2" customWidth="1"/>
    <col min="717" max="717" width="37.42578125" style="2" customWidth="1"/>
    <col min="718" max="718" width="63.140625" style="2" customWidth="1"/>
    <col min="719" max="719" width="20" style="2" customWidth="1"/>
    <col min="720" max="720" width="11.140625" style="2" customWidth="1"/>
    <col min="721" max="721" width="10.85546875" style="2" customWidth="1"/>
    <col min="722" max="722" width="21" style="2" customWidth="1"/>
    <col min="723" max="723" width="10.85546875" style="2" customWidth="1"/>
    <col min="724" max="724" width="17.42578125" style="2" customWidth="1"/>
    <col min="725" max="725" width="14.85546875" style="2" customWidth="1"/>
    <col min="726" max="726" width="15" style="2" customWidth="1"/>
    <col min="727" max="727" width="14.85546875" style="2" customWidth="1"/>
    <col min="728" max="728" width="7.140625" style="2" customWidth="1"/>
    <col min="729" max="730" width="20.140625" style="2" customWidth="1"/>
    <col min="731" max="731" width="18.42578125" style="2" customWidth="1"/>
    <col min="732" max="732" width="9.140625" style="2" customWidth="1"/>
    <col min="733" max="733" width="12" style="2" customWidth="1"/>
    <col min="734" max="734" width="14.85546875" style="2" customWidth="1"/>
    <col min="735" max="735" width="22.42578125" style="2" customWidth="1"/>
    <col min="736" max="736" width="14.85546875" style="2" customWidth="1"/>
    <col min="737" max="737" width="7.140625" style="2" customWidth="1"/>
    <col min="738" max="738" width="20.140625" style="2" customWidth="1"/>
    <col min="739" max="970" width="8.85546875" style="2" customWidth="1"/>
    <col min="971" max="971" width="8.140625" style="2" customWidth="1"/>
    <col min="972" max="972" width="14.5703125" style="2" customWidth="1"/>
    <col min="973" max="973" width="37.42578125" style="2" customWidth="1"/>
    <col min="974" max="974" width="63.140625" style="2" customWidth="1"/>
    <col min="975" max="975" width="20" style="2" customWidth="1"/>
    <col min="976" max="976" width="11.140625" style="2" customWidth="1"/>
    <col min="977" max="977" width="10.85546875" style="2" customWidth="1"/>
    <col min="978" max="978" width="21" style="2" customWidth="1"/>
    <col min="979" max="979" width="10.85546875" style="2" customWidth="1"/>
    <col min="980" max="980" width="17.42578125" style="2" customWidth="1"/>
    <col min="981" max="981" width="14.85546875" style="2" customWidth="1"/>
    <col min="982" max="982" width="15" style="2" customWidth="1"/>
    <col min="983" max="983" width="14.85546875" style="2" customWidth="1"/>
    <col min="984" max="984" width="7.140625" style="2" customWidth="1"/>
    <col min="985" max="986" width="20.140625" style="2" customWidth="1"/>
    <col min="987" max="987" width="18.42578125" style="2" customWidth="1"/>
    <col min="988" max="988" width="9.140625" style="2" customWidth="1"/>
    <col min="989" max="989" width="12" style="2" customWidth="1"/>
    <col min="990" max="990" width="14.85546875" style="2" customWidth="1"/>
    <col min="991" max="991" width="22.42578125" style="2" customWidth="1"/>
    <col min="992" max="992" width="14.85546875" style="2" customWidth="1"/>
    <col min="993" max="993" width="7.140625" style="2" customWidth="1"/>
    <col min="994" max="994" width="20.140625" style="2" customWidth="1"/>
    <col min="995" max="1226" width="8.85546875" style="2" customWidth="1"/>
    <col min="1227" max="1227" width="8.140625" style="2" customWidth="1"/>
    <col min="1228" max="1228" width="14.5703125" style="2" customWidth="1"/>
    <col min="1229" max="1229" width="37.42578125" style="2" customWidth="1"/>
    <col min="1230" max="1230" width="63.140625" style="2" customWidth="1"/>
    <col min="1231" max="1231" width="20" style="2" customWidth="1"/>
    <col min="1232" max="1232" width="11.140625" style="2" customWidth="1"/>
    <col min="1233" max="1233" width="10.85546875" style="2" customWidth="1"/>
    <col min="1234" max="1234" width="21" style="2" customWidth="1"/>
    <col min="1235" max="1235" width="10.85546875" style="2" customWidth="1"/>
    <col min="1236" max="1236" width="17.42578125" style="2" customWidth="1"/>
    <col min="1237" max="1237" width="14.85546875" style="2" customWidth="1"/>
    <col min="1238" max="1238" width="15" style="2" customWidth="1"/>
    <col min="1239" max="1239" width="14.85546875" style="2" customWidth="1"/>
    <col min="1240" max="1240" width="7.140625" style="2" customWidth="1"/>
    <col min="1241" max="1242" width="20.140625" style="2" customWidth="1"/>
    <col min="1243" max="1243" width="18.42578125" style="2" customWidth="1"/>
    <col min="1244" max="1244" width="9.140625" style="2" customWidth="1"/>
    <col min="1245" max="1245" width="12" style="2" customWidth="1"/>
    <col min="1246" max="1246" width="14.85546875" style="2" customWidth="1"/>
    <col min="1247" max="1247" width="22.42578125" style="2" customWidth="1"/>
    <col min="1248" max="1248" width="14.85546875" style="2" customWidth="1"/>
    <col min="1249" max="1249" width="7.140625" style="2" customWidth="1"/>
    <col min="1250" max="1250" width="20.140625" style="2" customWidth="1"/>
    <col min="1251" max="1482" width="8.85546875" style="2" customWidth="1"/>
    <col min="1483" max="1483" width="8.140625" style="2" customWidth="1"/>
    <col min="1484" max="1484" width="14.5703125" style="2" customWidth="1"/>
    <col min="1485" max="1485" width="37.42578125" style="2" customWidth="1"/>
    <col min="1486" max="1486" width="63.140625" style="2" customWidth="1"/>
    <col min="1487" max="1487" width="20" style="2" customWidth="1"/>
    <col min="1488" max="1488" width="11.140625" style="2" customWidth="1"/>
    <col min="1489" max="1489" width="10.85546875" style="2" customWidth="1"/>
    <col min="1490" max="1490" width="21" style="2" customWidth="1"/>
    <col min="1491" max="1491" width="10.85546875" style="2" customWidth="1"/>
    <col min="1492" max="1492" width="17.42578125" style="2" customWidth="1"/>
    <col min="1493" max="1493" width="14.85546875" style="2" customWidth="1"/>
    <col min="1494" max="1494" width="15" style="2" customWidth="1"/>
    <col min="1495" max="1495" width="14.85546875" style="2" customWidth="1"/>
    <col min="1496" max="1496" width="7.140625" style="2" customWidth="1"/>
    <col min="1497" max="1498" width="20.140625" style="2" customWidth="1"/>
    <col min="1499" max="1499" width="18.42578125" style="2" customWidth="1"/>
    <col min="1500" max="1500" width="9.140625" style="2" customWidth="1"/>
    <col min="1501" max="1501" width="12" style="2" customWidth="1"/>
    <col min="1502" max="1502" width="14.85546875" style="2" customWidth="1"/>
    <col min="1503" max="1503" width="22.42578125" style="2" customWidth="1"/>
    <col min="1504" max="1504" width="14.85546875" style="2" customWidth="1"/>
    <col min="1505" max="1505" width="7.140625" style="2" customWidth="1"/>
    <col min="1506" max="1506" width="20.140625" style="2" customWidth="1"/>
    <col min="1507" max="1738" width="8.85546875" style="2" customWidth="1"/>
    <col min="1739" max="1739" width="8.140625" style="2" customWidth="1"/>
    <col min="1740" max="1740" width="14.5703125" style="2" customWidth="1"/>
    <col min="1741" max="1741" width="37.42578125" style="2" customWidth="1"/>
    <col min="1742" max="1742" width="63.140625" style="2" customWidth="1"/>
    <col min="1743" max="1743" width="20" style="2" customWidth="1"/>
    <col min="1744" max="1744" width="11.140625" style="2" customWidth="1"/>
    <col min="1745" max="1745" width="10.85546875" style="2" customWidth="1"/>
    <col min="1746" max="1746" width="21" style="2" customWidth="1"/>
    <col min="1747" max="1747" width="10.85546875" style="2" customWidth="1"/>
    <col min="1748" max="1748" width="17.42578125" style="2" customWidth="1"/>
    <col min="1749" max="1749" width="14.85546875" style="2" customWidth="1"/>
    <col min="1750" max="1750" width="15" style="2" customWidth="1"/>
    <col min="1751" max="1751" width="14.85546875" style="2" customWidth="1"/>
    <col min="1752" max="1752" width="7.140625" style="2" customWidth="1"/>
    <col min="1753" max="1754" width="20.140625" style="2" customWidth="1"/>
    <col min="1755" max="1755" width="18.42578125" style="2" customWidth="1"/>
    <col min="1756" max="1756" width="9.140625" style="2" customWidth="1"/>
    <col min="1757" max="1757" width="12" style="2" customWidth="1"/>
    <col min="1758" max="1758" width="14.85546875" style="2" customWidth="1"/>
    <col min="1759" max="1759" width="22.42578125" style="2" customWidth="1"/>
    <col min="1760" max="1760" width="14.85546875" style="2" customWidth="1"/>
    <col min="1761" max="1761" width="7.140625" style="2" customWidth="1"/>
    <col min="1762" max="1762" width="20.140625" style="2" customWidth="1"/>
    <col min="1763" max="1994" width="8.85546875" style="2" customWidth="1"/>
    <col min="1995" max="1995" width="8.140625" style="2" customWidth="1"/>
    <col min="1996" max="1996" width="14.5703125" style="2" customWidth="1"/>
    <col min="1997" max="1997" width="37.42578125" style="2" customWidth="1"/>
    <col min="1998" max="1998" width="63.140625" style="2" customWidth="1"/>
    <col min="1999" max="1999" width="20" style="2" customWidth="1"/>
    <col min="2000" max="2000" width="11.140625" style="2" customWidth="1"/>
    <col min="2001" max="2001" width="10.85546875" style="2" customWidth="1"/>
    <col min="2002" max="2002" width="21" style="2" customWidth="1"/>
    <col min="2003" max="2003" width="10.85546875" style="2" customWidth="1"/>
    <col min="2004" max="2004" width="17.42578125" style="2" customWidth="1"/>
    <col min="2005" max="2005" width="14.85546875" style="2" customWidth="1"/>
    <col min="2006" max="2006" width="15" style="2" customWidth="1"/>
    <col min="2007" max="2007" width="14.85546875" style="2" customWidth="1"/>
    <col min="2008" max="2008" width="7.140625" style="2" customWidth="1"/>
    <col min="2009" max="2010" width="20.140625" style="2" customWidth="1"/>
    <col min="2011" max="2011" width="18.42578125" style="2" customWidth="1"/>
    <col min="2012" max="2012" width="9.140625" style="2" customWidth="1"/>
    <col min="2013" max="2013" width="12" style="2" customWidth="1"/>
    <col min="2014" max="2014" width="14.85546875" style="2" customWidth="1"/>
    <col min="2015" max="2015" width="22.42578125" style="2" customWidth="1"/>
    <col min="2016" max="2016" width="14.85546875" style="2" customWidth="1"/>
    <col min="2017" max="2017" width="7.140625" style="2" customWidth="1"/>
    <col min="2018" max="2018" width="20.140625" style="2" customWidth="1"/>
    <col min="2019" max="2250" width="8.85546875" style="2" customWidth="1"/>
    <col min="2251" max="2251" width="8.140625" style="2" customWidth="1"/>
    <col min="2252" max="2252" width="14.5703125" style="2" customWidth="1"/>
    <col min="2253" max="2253" width="37.42578125" style="2" customWidth="1"/>
    <col min="2254" max="2254" width="63.140625" style="2" customWidth="1"/>
    <col min="2255" max="2255" width="20" style="2" customWidth="1"/>
    <col min="2256" max="2256" width="11.140625" style="2" customWidth="1"/>
    <col min="2257" max="2257" width="10.85546875" style="2" customWidth="1"/>
    <col min="2258" max="2258" width="21" style="2" customWidth="1"/>
    <col min="2259" max="2259" width="10.85546875" style="2" customWidth="1"/>
    <col min="2260" max="2260" width="17.42578125" style="2" customWidth="1"/>
    <col min="2261" max="2261" width="14.85546875" style="2" customWidth="1"/>
    <col min="2262" max="2262" width="15" style="2" customWidth="1"/>
    <col min="2263" max="2263" width="14.85546875" style="2" customWidth="1"/>
    <col min="2264" max="2264" width="7.140625" style="2" customWidth="1"/>
    <col min="2265" max="2266" width="20.140625" style="2" customWidth="1"/>
    <col min="2267" max="2267" width="18.42578125" style="2" customWidth="1"/>
    <col min="2268" max="2268" width="9.140625" style="2" customWidth="1"/>
    <col min="2269" max="2269" width="12" style="2" customWidth="1"/>
    <col min="2270" max="2270" width="14.85546875" style="2" customWidth="1"/>
    <col min="2271" max="2271" width="22.42578125" style="2" customWidth="1"/>
    <col min="2272" max="2272" width="14.85546875" style="2" customWidth="1"/>
    <col min="2273" max="2273" width="7.140625" style="2" customWidth="1"/>
    <col min="2274" max="2274" width="20.140625" style="2" customWidth="1"/>
    <col min="2275" max="2506" width="8.85546875" style="2" customWidth="1"/>
    <col min="2507" max="2507" width="8.140625" style="2" customWidth="1"/>
    <col min="2508" max="2508" width="14.5703125" style="2" customWidth="1"/>
    <col min="2509" max="2509" width="37.42578125" style="2" customWidth="1"/>
    <col min="2510" max="2510" width="63.140625" style="2" customWidth="1"/>
    <col min="2511" max="2511" width="20" style="2" customWidth="1"/>
    <col min="2512" max="2512" width="11.140625" style="2" customWidth="1"/>
    <col min="2513" max="2513" width="10.85546875" style="2" customWidth="1"/>
    <col min="2514" max="2514" width="21" style="2" customWidth="1"/>
    <col min="2515" max="2515" width="10.85546875" style="2" customWidth="1"/>
    <col min="2516" max="2516" width="17.42578125" style="2" customWidth="1"/>
    <col min="2517" max="2517" width="14.85546875" style="2" customWidth="1"/>
    <col min="2518" max="2518" width="15" style="2" customWidth="1"/>
    <col min="2519" max="2519" width="14.85546875" style="2" customWidth="1"/>
    <col min="2520" max="2520" width="7.140625" style="2" customWidth="1"/>
    <col min="2521" max="2522" width="20.140625" style="2" customWidth="1"/>
    <col min="2523" max="2523" width="18.42578125" style="2" customWidth="1"/>
    <col min="2524" max="2524" width="9.140625" style="2" customWidth="1"/>
    <col min="2525" max="2525" width="12" style="2" customWidth="1"/>
    <col min="2526" max="2526" width="14.85546875" style="2" customWidth="1"/>
    <col min="2527" max="2527" width="22.42578125" style="2" customWidth="1"/>
    <col min="2528" max="2528" width="14.85546875" style="2" customWidth="1"/>
    <col min="2529" max="2529" width="7.140625" style="2" customWidth="1"/>
    <col min="2530" max="2530" width="20.140625" style="2" customWidth="1"/>
    <col min="2531" max="2762" width="8.85546875" style="2" customWidth="1"/>
    <col min="2763" max="2763" width="8.140625" style="2" customWidth="1"/>
    <col min="2764" max="2764" width="14.5703125" style="2" customWidth="1"/>
    <col min="2765" max="2765" width="37.42578125" style="2" customWidth="1"/>
    <col min="2766" max="2766" width="63.140625" style="2" customWidth="1"/>
    <col min="2767" max="2767" width="20" style="2" customWidth="1"/>
    <col min="2768" max="2768" width="11.140625" style="2" customWidth="1"/>
    <col min="2769" max="2769" width="10.85546875" style="2" customWidth="1"/>
    <col min="2770" max="2770" width="21" style="2" customWidth="1"/>
    <col min="2771" max="2771" width="10.85546875" style="2" customWidth="1"/>
    <col min="2772" max="2772" width="17.42578125" style="2" customWidth="1"/>
    <col min="2773" max="2773" width="14.85546875" style="2" customWidth="1"/>
    <col min="2774" max="2774" width="15" style="2" customWidth="1"/>
    <col min="2775" max="2775" width="14.85546875" style="2" customWidth="1"/>
    <col min="2776" max="2776" width="7.140625" style="2" customWidth="1"/>
    <col min="2777" max="2778" width="20.140625" style="2" customWidth="1"/>
    <col min="2779" max="2779" width="18.42578125" style="2" customWidth="1"/>
    <col min="2780" max="2780" width="9.140625" style="2" customWidth="1"/>
    <col min="2781" max="2781" width="12" style="2" customWidth="1"/>
    <col min="2782" max="2782" width="14.85546875" style="2" customWidth="1"/>
    <col min="2783" max="2783" width="22.42578125" style="2" customWidth="1"/>
    <col min="2784" max="2784" width="14.85546875" style="2" customWidth="1"/>
    <col min="2785" max="2785" width="7.140625" style="2" customWidth="1"/>
    <col min="2786" max="2786" width="20.140625" style="2" customWidth="1"/>
    <col min="2787" max="3018" width="8.85546875" style="2" customWidth="1"/>
    <col min="3019" max="3019" width="8.140625" style="2" customWidth="1"/>
    <col min="3020" max="3020" width="14.5703125" style="2" customWidth="1"/>
    <col min="3021" max="3021" width="37.42578125" style="2" customWidth="1"/>
    <col min="3022" max="3022" width="63.140625" style="2" customWidth="1"/>
    <col min="3023" max="3023" width="20" style="2" customWidth="1"/>
    <col min="3024" max="3024" width="11.140625" style="2" customWidth="1"/>
    <col min="3025" max="3025" width="10.85546875" style="2" customWidth="1"/>
    <col min="3026" max="3026" width="21" style="2" customWidth="1"/>
    <col min="3027" max="3027" width="10.85546875" style="2" customWidth="1"/>
    <col min="3028" max="3028" width="17.42578125" style="2" customWidth="1"/>
    <col min="3029" max="3029" width="14.85546875" style="2" customWidth="1"/>
    <col min="3030" max="3030" width="15" style="2" customWidth="1"/>
    <col min="3031" max="3031" width="14.85546875" style="2" customWidth="1"/>
    <col min="3032" max="3032" width="7.140625" style="2" customWidth="1"/>
    <col min="3033" max="3034" width="20.140625" style="2" customWidth="1"/>
    <col min="3035" max="3035" width="18.42578125" style="2" customWidth="1"/>
    <col min="3036" max="3036" width="9.140625" style="2" customWidth="1"/>
    <col min="3037" max="3037" width="12" style="2" customWidth="1"/>
    <col min="3038" max="3038" width="14.85546875" style="2" customWidth="1"/>
    <col min="3039" max="3039" width="22.42578125" style="2" customWidth="1"/>
    <col min="3040" max="3040" width="14.85546875" style="2" customWidth="1"/>
    <col min="3041" max="3041" width="7.140625" style="2" customWidth="1"/>
    <col min="3042" max="3042" width="20.140625" style="2" customWidth="1"/>
    <col min="3043" max="3274" width="8.85546875" style="2" customWidth="1"/>
    <col min="3275" max="3275" width="8.140625" style="2" customWidth="1"/>
    <col min="3276" max="3276" width="14.5703125" style="2" customWidth="1"/>
    <col min="3277" max="3277" width="37.42578125" style="2" customWidth="1"/>
    <col min="3278" max="3278" width="63.140625" style="2" customWidth="1"/>
    <col min="3279" max="3279" width="20" style="2" customWidth="1"/>
    <col min="3280" max="3280" width="11.140625" style="2" customWidth="1"/>
    <col min="3281" max="3281" width="10.85546875" style="2" customWidth="1"/>
    <col min="3282" max="3282" width="21" style="2" customWidth="1"/>
    <col min="3283" max="3283" width="10.85546875" style="2" customWidth="1"/>
    <col min="3284" max="3284" width="17.42578125" style="2" customWidth="1"/>
    <col min="3285" max="3285" width="14.85546875" style="2" customWidth="1"/>
    <col min="3286" max="3286" width="15" style="2" customWidth="1"/>
    <col min="3287" max="3287" width="14.85546875" style="2" customWidth="1"/>
    <col min="3288" max="3288" width="7.140625" style="2" customWidth="1"/>
    <col min="3289" max="3290" width="20.140625" style="2" customWidth="1"/>
    <col min="3291" max="3291" width="18.42578125" style="2" customWidth="1"/>
    <col min="3292" max="3292" width="9.140625" style="2" customWidth="1"/>
    <col min="3293" max="3293" width="12" style="2" customWidth="1"/>
    <col min="3294" max="3294" width="14.85546875" style="2" customWidth="1"/>
    <col min="3295" max="3295" width="22.42578125" style="2" customWidth="1"/>
    <col min="3296" max="3296" width="14.85546875" style="2" customWidth="1"/>
    <col min="3297" max="3297" width="7.140625" style="2" customWidth="1"/>
    <col min="3298" max="3298" width="20.140625" style="2" customWidth="1"/>
    <col min="3299" max="3530" width="8.85546875" style="2" customWidth="1"/>
    <col min="3531" max="3531" width="8.140625" style="2" customWidth="1"/>
    <col min="3532" max="3532" width="14.5703125" style="2" customWidth="1"/>
    <col min="3533" max="3533" width="37.42578125" style="2" customWidth="1"/>
    <col min="3534" max="3534" width="63.140625" style="2" customWidth="1"/>
    <col min="3535" max="3535" width="20" style="2" customWidth="1"/>
    <col min="3536" max="3536" width="11.140625" style="2" customWidth="1"/>
    <col min="3537" max="3537" width="10.85546875" style="2" customWidth="1"/>
    <col min="3538" max="3538" width="21" style="2" customWidth="1"/>
    <col min="3539" max="3539" width="10.85546875" style="2" customWidth="1"/>
    <col min="3540" max="3540" width="17.42578125" style="2" customWidth="1"/>
    <col min="3541" max="3541" width="14.85546875" style="2" customWidth="1"/>
    <col min="3542" max="3542" width="15" style="2" customWidth="1"/>
    <col min="3543" max="3543" width="14.85546875" style="2" customWidth="1"/>
    <col min="3544" max="3544" width="7.140625" style="2" customWidth="1"/>
    <col min="3545" max="3546" width="20.140625" style="2" customWidth="1"/>
    <col min="3547" max="3547" width="18.42578125" style="2" customWidth="1"/>
    <col min="3548" max="3548" width="9.140625" style="2" customWidth="1"/>
    <col min="3549" max="3549" width="12" style="2" customWidth="1"/>
    <col min="3550" max="3550" width="14.85546875" style="2" customWidth="1"/>
    <col min="3551" max="3551" width="22.42578125" style="2" customWidth="1"/>
    <col min="3552" max="3552" width="14.85546875" style="2" customWidth="1"/>
    <col min="3553" max="3553" width="7.140625" style="2" customWidth="1"/>
    <col min="3554" max="3554" width="20.140625" style="2" customWidth="1"/>
    <col min="3555" max="3786" width="8.85546875" style="2" customWidth="1"/>
    <col min="3787" max="3787" width="8.140625" style="2" customWidth="1"/>
    <col min="3788" max="3788" width="14.5703125" style="2" customWidth="1"/>
    <col min="3789" max="3789" width="37.42578125" style="2" customWidth="1"/>
    <col min="3790" max="3790" width="63.140625" style="2" customWidth="1"/>
    <col min="3791" max="3791" width="20" style="2" customWidth="1"/>
    <col min="3792" max="3792" width="11.140625" style="2" customWidth="1"/>
    <col min="3793" max="3793" width="10.85546875" style="2" customWidth="1"/>
    <col min="3794" max="3794" width="21" style="2" customWidth="1"/>
    <col min="3795" max="3795" width="10.85546875" style="2" customWidth="1"/>
    <col min="3796" max="3796" width="17.42578125" style="2" customWidth="1"/>
    <col min="3797" max="3797" width="14.85546875" style="2" customWidth="1"/>
    <col min="3798" max="3798" width="15" style="2" customWidth="1"/>
    <col min="3799" max="3799" width="14.85546875" style="2" customWidth="1"/>
    <col min="3800" max="3800" width="7.140625" style="2" customWidth="1"/>
    <col min="3801" max="3802" width="20.140625" style="2" customWidth="1"/>
    <col min="3803" max="3803" width="18.42578125" style="2" customWidth="1"/>
    <col min="3804" max="3804" width="9.140625" style="2" customWidth="1"/>
    <col min="3805" max="3805" width="12" style="2" customWidth="1"/>
    <col min="3806" max="3806" width="14.85546875" style="2" customWidth="1"/>
    <col min="3807" max="3807" width="22.42578125" style="2" customWidth="1"/>
    <col min="3808" max="3808" width="14.85546875" style="2" customWidth="1"/>
    <col min="3809" max="3809" width="7.140625" style="2" customWidth="1"/>
    <col min="3810" max="3810" width="20.140625" style="2" customWidth="1"/>
    <col min="3811" max="4042" width="8.85546875" style="2" customWidth="1"/>
    <col min="4043" max="4043" width="8.140625" style="2" customWidth="1"/>
    <col min="4044" max="4044" width="14.5703125" style="2" customWidth="1"/>
    <col min="4045" max="4045" width="37.42578125" style="2" customWidth="1"/>
    <col min="4046" max="4046" width="63.140625" style="2" customWidth="1"/>
    <col min="4047" max="4047" width="20" style="2" customWidth="1"/>
    <col min="4048" max="4048" width="11.140625" style="2" customWidth="1"/>
    <col min="4049" max="4049" width="10.85546875" style="2" customWidth="1"/>
    <col min="4050" max="4050" width="21" style="2" customWidth="1"/>
    <col min="4051" max="4051" width="10.85546875" style="2" customWidth="1"/>
    <col min="4052" max="4052" width="17.42578125" style="2" customWidth="1"/>
    <col min="4053" max="4053" width="14.85546875" style="2" customWidth="1"/>
    <col min="4054" max="4054" width="15" style="2" customWidth="1"/>
    <col min="4055" max="4055" width="14.85546875" style="2" customWidth="1"/>
    <col min="4056" max="4056" width="7.140625" style="2" customWidth="1"/>
    <col min="4057" max="4058" width="20.140625" style="2" customWidth="1"/>
    <col min="4059" max="4059" width="18.42578125" style="2" customWidth="1"/>
    <col min="4060" max="4060" width="9.140625" style="2" customWidth="1"/>
    <col min="4061" max="4061" width="12" style="2" customWidth="1"/>
    <col min="4062" max="4062" width="14.85546875" style="2" customWidth="1"/>
    <col min="4063" max="4063" width="22.42578125" style="2" customWidth="1"/>
    <col min="4064" max="4064" width="14.85546875" style="2" customWidth="1"/>
    <col min="4065" max="4065" width="7.140625" style="2" customWidth="1"/>
    <col min="4066" max="4066" width="20.140625" style="2" customWidth="1"/>
    <col min="4067" max="4298" width="8.85546875" style="2" customWidth="1"/>
    <col min="4299" max="4299" width="8.140625" style="2" customWidth="1"/>
    <col min="4300" max="4300" width="14.5703125" style="2" customWidth="1"/>
    <col min="4301" max="4301" width="37.42578125" style="2" customWidth="1"/>
    <col min="4302" max="4302" width="63.140625" style="2" customWidth="1"/>
    <col min="4303" max="4303" width="20" style="2" customWidth="1"/>
    <col min="4304" max="4304" width="11.140625" style="2" customWidth="1"/>
    <col min="4305" max="4305" width="10.85546875" style="2" customWidth="1"/>
    <col min="4306" max="4306" width="21" style="2" customWidth="1"/>
    <col min="4307" max="4307" width="10.85546875" style="2" customWidth="1"/>
    <col min="4308" max="4308" width="17.42578125" style="2" customWidth="1"/>
    <col min="4309" max="4309" width="14.85546875" style="2" customWidth="1"/>
    <col min="4310" max="4310" width="15" style="2" customWidth="1"/>
    <col min="4311" max="4311" width="14.85546875" style="2" customWidth="1"/>
    <col min="4312" max="4312" width="7.140625" style="2" customWidth="1"/>
    <col min="4313" max="4314" width="20.140625" style="2" customWidth="1"/>
    <col min="4315" max="4315" width="18.42578125" style="2" customWidth="1"/>
    <col min="4316" max="4316" width="9.140625" style="2" customWidth="1"/>
    <col min="4317" max="4317" width="12" style="2" customWidth="1"/>
    <col min="4318" max="4318" width="14.85546875" style="2" customWidth="1"/>
    <col min="4319" max="4319" width="22.42578125" style="2" customWidth="1"/>
    <col min="4320" max="4320" width="14.85546875" style="2" customWidth="1"/>
    <col min="4321" max="4321" width="7.140625" style="2" customWidth="1"/>
    <col min="4322" max="4322" width="20.140625" style="2" customWidth="1"/>
    <col min="4323" max="4554" width="8.85546875" style="2" customWidth="1"/>
    <col min="4555" max="4555" width="8.140625" style="2" customWidth="1"/>
    <col min="4556" max="4556" width="14.5703125" style="2" customWidth="1"/>
    <col min="4557" max="4557" width="37.42578125" style="2" customWidth="1"/>
    <col min="4558" max="4558" width="63.140625" style="2" customWidth="1"/>
    <col min="4559" max="4559" width="20" style="2" customWidth="1"/>
    <col min="4560" max="4560" width="11.140625" style="2" customWidth="1"/>
    <col min="4561" max="4561" width="10.85546875" style="2" customWidth="1"/>
    <col min="4562" max="4562" width="21" style="2" customWidth="1"/>
    <col min="4563" max="4563" width="10.85546875" style="2" customWidth="1"/>
    <col min="4564" max="4564" width="17.42578125" style="2" customWidth="1"/>
    <col min="4565" max="4565" width="14.85546875" style="2" customWidth="1"/>
    <col min="4566" max="4566" width="15" style="2" customWidth="1"/>
    <col min="4567" max="4567" width="14.85546875" style="2" customWidth="1"/>
    <col min="4568" max="4568" width="7.140625" style="2" customWidth="1"/>
    <col min="4569" max="4570" width="20.140625" style="2" customWidth="1"/>
    <col min="4571" max="4571" width="18.42578125" style="2" customWidth="1"/>
    <col min="4572" max="4572" width="9.140625" style="2" customWidth="1"/>
    <col min="4573" max="4573" width="12" style="2" customWidth="1"/>
    <col min="4574" max="4574" width="14.85546875" style="2" customWidth="1"/>
    <col min="4575" max="4575" width="22.42578125" style="2" customWidth="1"/>
    <col min="4576" max="4576" width="14.85546875" style="2" customWidth="1"/>
    <col min="4577" max="4577" width="7.140625" style="2" customWidth="1"/>
    <col min="4578" max="4578" width="20.140625" style="2" customWidth="1"/>
    <col min="4579" max="4810" width="8.85546875" style="2" customWidth="1"/>
    <col min="4811" max="4811" width="8.140625" style="2" customWidth="1"/>
    <col min="4812" max="4812" width="14.5703125" style="2" customWidth="1"/>
    <col min="4813" max="4813" width="37.42578125" style="2" customWidth="1"/>
    <col min="4814" max="4814" width="63.140625" style="2" customWidth="1"/>
    <col min="4815" max="4815" width="20" style="2" customWidth="1"/>
    <col min="4816" max="4816" width="11.140625" style="2" customWidth="1"/>
    <col min="4817" max="4817" width="10.85546875" style="2" customWidth="1"/>
    <col min="4818" max="4818" width="21" style="2" customWidth="1"/>
    <col min="4819" max="4819" width="10.85546875" style="2" customWidth="1"/>
    <col min="4820" max="4820" width="17.42578125" style="2" customWidth="1"/>
    <col min="4821" max="4821" width="14.85546875" style="2" customWidth="1"/>
    <col min="4822" max="4822" width="15" style="2" customWidth="1"/>
    <col min="4823" max="4823" width="14.85546875" style="2" customWidth="1"/>
    <col min="4824" max="4824" width="7.140625" style="2" customWidth="1"/>
    <col min="4825" max="4826" width="20.140625" style="2" customWidth="1"/>
    <col min="4827" max="4827" width="18.42578125" style="2" customWidth="1"/>
    <col min="4828" max="4828" width="9.140625" style="2" customWidth="1"/>
    <col min="4829" max="4829" width="12" style="2" customWidth="1"/>
    <col min="4830" max="4830" width="14.85546875" style="2" customWidth="1"/>
    <col min="4831" max="4831" width="22.42578125" style="2" customWidth="1"/>
    <col min="4832" max="4832" width="14.85546875" style="2" customWidth="1"/>
    <col min="4833" max="4833" width="7.140625" style="2" customWidth="1"/>
    <col min="4834" max="4834" width="20.140625" style="2" customWidth="1"/>
    <col min="4835" max="5066" width="8.85546875" style="2" customWidth="1"/>
    <col min="5067" max="5067" width="8.140625" style="2" customWidth="1"/>
    <col min="5068" max="5068" width="14.5703125" style="2" customWidth="1"/>
    <col min="5069" max="5069" width="37.42578125" style="2" customWidth="1"/>
    <col min="5070" max="5070" width="63.140625" style="2" customWidth="1"/>
    <col min="5071" max="5071" width="20" style="2" customWidth="1"/>
    <col min="5072" max="5072" width="11.140625" style="2" customWidth="1"/>
    <col min="5073" max="5073" width="10.85546875" style="2" customWidth="1"/>
    <col min="5074" max="5074" width="21" style="2" customWidth="1"/>
    <col min="5075" max="5075" width="10.85546875" style="2" customWidth="1"/>
    <col min="5076" max="5076" width="17.42578125" style="2" customWidth="1"/>
    <col min="5077" max="5077" width="14.85546875" style="2" customWidth="1"/>
    <col min="5078" max="5078" width="15" style="2" customWidth="1"/>
    <col min="5079" max="5079" width="14.85546875" style="2" customWidth="1"/>
    <col min="5080" max="5080" width="7.140625" style="2" customWidth="1"/>
    <col min="5081" max="5082" width="20.140625" style="2" customWidth="1"/>
    <col min="5083" max="5083" width="18.42578125" style="2" customWidth="1"/>
    <col min="5084" max="5084" width="9.140625" style="2" customWidth="1"/>
    <col min="5085" max="5085" width="12" style="2" customWidth="1"/>
    <col min="5086" max="5086" width="14.85546875" style="2" customWidth="1"/>
    <col min="5087" max="5087" width="22.42578125" style="2" customWidth="1"/>
    <col min="5088" max="5088" width="14.85546875" style="2" customWidth="1"/>
    <col min="5089" max="5089" width="7.140625" style="2" customWidth="1"/>
    <col min="5090" max="5090" width="20.140625" style="2" customWidth="1"/>
    <col min="5091" max="5322" width="8.85546875" style="2" customWidth="1"/>
    <col min="5323" max="5323" width="8.140625" style="2" customWidth="1"/>
    <col min="5324" max="5324" width="14.5703125" style="2" customWidth="1"/>
    <col min="5325" max="5325" width="37.42578125" style="2" customWidth="1"/>
    <col min="5326" max="5326" width="63.140625" style="2" customWidth="1"/>
    <col min="5327" max="5327" width="20" style="2" customWidth="1"/>
    <col min="5328" max="5328" width="11.140625" style="2" customWidth="1"/>
    <col min="5329" max="5329" width="10.85546875" style="2" customWidth="1"/>
    <col min="5330" max="5330" width="21" style="2" customWidth="1"/>
    <col min="5331" max="5331" width="10.85546875" style="2" customWidth="1"/>
    <col min="5332" max="5332" width="17.42578125" style="2" customWidth="1"/>
    <col min="5333" max="5333" width="14.85546875" style="2" customWidth="1"/>
    <col min="5334" max="5334" width="15" style="2" customWidth="1"/>
    <col min="5335" max="5335" width="14.85546875" style="2" customWidth="1"/>
    <col min="5336" max="5336" width="7.140625" style="2" customWidth="1"/>
    <col min="5337" max="5338" width="20.140625" style="2" customWidth="1"/>
    <col min="5339" max="5339" width="18.42578125" style="2" customWidth="1"/>
    <col min="5340" max="5340" width="9.140625" style="2" customWidth="1"/>
    <col min="5341" max="5341" width="12" style="2" customWidth="1"/>
    <col min="5342" max="5342" width="14.85546875" style="2" customWidth="1"/>
    <col min="5343" max="5343" width="22.42578125" style="2" customWidth="1"/>
    <col min="5344" max="5344" width="14.85546875" style="2" customWidth="1"/>
    <col min="5345" max="5345" width="7.140625" style="2" customWidth="1"/>
    <col min="5346" max="5346" width="20.140625" style="2" customWidth="1"/>
    <col min="5347" max="5578" width="8.85546875" style="2" customWidth="1"/>
    <col min="5579" max="5579" width="8.140625" style="2" customWidth="1"/>
    <col min="5580" max="5580" width="14.5703125" style="2" customWidth="1"/>
    <col min="5581" max="5581" width="37.42578125" style="2" customWidth="1"/>
    <col min="5582" max="5582" width="63.140625" style="2" customWidth="1"/>
    <col min="5583" max="5583" width="20" style="2" customWidth="1"/>
    <col min="5584" max="5584" width="11.140625" style="2" customWidth="1"/>
    <col min="5585" max="5585" width="10.85546875" style="2" customWidth="1"/>
    <col min="5586" max="5586" width="21" style="2" customWidth="1"/>
    <col min="5587" max="5587" width="10.85546875" style="2" customWidth="1"/>
    <col min="5588" max="5588" width="17.42578125" style="2" customWidth="1"/>
    <col min="5589" max="5589" width="14.85546875" style="2" customWidth="1"/>
    <col min="5590" max="5590" width="15" style="2" customWidth="1"/>
    <col min="5591" max="5591" width="14.85546875" style="2" customWidth="1"/>
    <col min="5592" max="5592" width="7.140625" style="2" customWidth="1"/>
    <col min="5593" max="5594" width="20.140625" style="2" customWidth="1"/>
    <col min="5595" max="5595" width="18.42578125" style="2" customWidth="1"/>
    <col min="5596" max="5596" width="9.140625" style="2" customWidth="1"/>
    <col min="5597" max="5597" width="12" style="2" customWidth="1"/>
    <col min="5598" max="5598" width="14.85546875" style="2" customWidth="1"/>
    <col min="5599" max="5599" width="22.42578125" style="2" customWidth="1"/>
    <col min="5600" max="5600" width="14.85546875" style="2" customWidth="1"/>
    <col min="5601" max="5601" width="7.140625" style="2" customWidth="1"/>
    <col min="5602" max="5602" width="20.140625" style="2" customWidth="1"/>
    <col min="5603" max="5834" width="8.85546875" style="2" customWidth="1"/>
    <col min="5835" max="5835" width="8.140625" style="2" customWidth="1"/>
    <col min="5836" max="5836" width="14.5703125" style="2" customWidth="1"/>
    <col min="5837" max="5837" width="37.42578125" style="2" customWidth="1"/>
    <col min="5838" max="5838" width="63.140625" style="2" customWidth="1"/>
    <col min="5839" max="5839" width="20" style="2" customWidth="1"/>
    <col min="5840" max="5840" width="11.140625" style="2" customWidth="1"/>
    <col min="5841" max="5841" width="10.85546875" style="2" customWidth="1"/>
    <col min="5842" max="5842" width="21" style="2" customWidth="1"/>
    <col min="5843" max="5843" width="10.85546875" style="2" customWidth="1"/>
    <col min="5844" max="5844" width="17.42578125" style="2" customWidth="1"/>
    <col min="5845" max="5845" width="14.85546875" style="2" customWidth="1"/>
    <col min="5846" max="5846" width="15" style="2" customWidth="1"/>
    <col min="5847" max="5847" width="14.85546875" style="2" customWidth="1"/>
    <col min="5848" max="5848" width="7.140625" style="2" customWidth="1"/>
    <col min="5849" max="5850" width="20.140625" style="2" customWidth="1"/>
    <col min="5851" max="5851" width="18.42578125" style="2" customWidth="1"/>
    <col min="5852" max="5852" width="9.140625" style="2" customWidth="1"/>
    <col min="5853" max="5853" width="12" style="2" customWidth="1"/>
    <col min="5854" max="5854" width="14.85546875" style="2" customWidth="1"/>
    <col min="5855" max="5855" width="22.42578125" style="2" customWidth="1"/>
    <col min="5856" max="5856" width="14.85546875" style="2" customWidth="1"/>
    <col min="5857" max="5857" width="7.140625" style="2" customWidth="1"/>
    <col min="5858" max="5858" width="20.140625" style="2" customWidth="1"/>
    <col min="5859" max="6090" width="8.85546875" style="2" customWidth="1"/>
    <col min="6091" max="6091" width="8.140625" style="2" customWidth="1"/>
    <col min="6092" max="6092" width="14.5703125" style="2" customWidth="1"/>
    <col min="6093" max="6093" width="37.42578125" style="2" customWidth="1"/>
    <col min="6094" max="6094" width="63.140625" style="2" customWidth="1"/>
    <col min="6095" max="6095" width="20" style="2" customWidth="1"/>
    <col min="6096" max="6096" width="11.140625" style="2" customWidth="1"/>
    <col min="6097" max="6097" width="10.85546875" style="2" customWidth="1"/>
    <col min="6098" max="6098" width="21" style="2" customWidth="1"/>
    <col min="6099" max="6099" width="10.85546875" style="2" customWidth="1"/>
    <col min="6100" max="6100" width="17.42578125" style="2" customWidth="1"/>
    <col min="6101" max="6101" width="14.85546875" style="2" customWidth="1"/>
    <col min="6102" max="6102" width="15" style="2" customWidth="1"/>
    <col min="6103" max="6103" width="14.85546875" style="2" customWidth="1"/>
    <col min="6104" max="6104" width="7.140625" style="2" customWidth="1"/>
    <col min="6105" max="6106" width="20.140625" style="2" customWidth="1"/>
    <col min="6107" max="6107" width="18.42578125" style="2" customWidth="1"/>
    <col min="6108" max="6108" width="9.140625" style="2" customWidth="1"/>
    <col min="6109" max="6109" width="12" style="2" customWidth="1"/>
    <col min="6110" max="6110" width="14.85546875" style="2" customWidth="1"/>
    <col min="6111" max="6111" width="22.42578125" style="2" customWidth="1"/>
    <col min="6112" max="6112" width="14.85546875" style="2" customWidth="1"/>
    <col min="6113" max="6113" width="7.140625" style="2" customWidth="1"/>
    <col min="6114" max="6114" width="20.140625" style="2" customWidth="1"/>
    <col min="6115" max="6346" width="8.85546875" style="2" customWidth="1"/>
    <col min="6347" max="6347" width="8.140625" style="2" customWidth="1"/>
    <col min="6348" max="6348" width="14.5703125" style="2" customWidth="1"/>
    <col min="6349" max="6349" width="37.42578125" style="2" customWidth="1"/>
    <col min="6350" max="6350" width="63.140625" style="2" customWidth="1"/>
    <col min="6351" max="6351" width="20" style="2" customWidth="1"/>
    <col min="6352" max="6352" width="11.140625" style="2" customWidth="1"/>
    <col min="6353" max="6353" width="10.85546875" style="2" customWidth="1"/>
    <col min="6354" max="6354" width="21" style="2" customWidth="1"/>
    <col min="6355" max="6355" width="10.85546875" style="2" customWidth="1"/>
    <col min="6356" max="6356" width="17.42578125" style="2" customWidth="1"/>
    <col min="6357" max="6357" width="14.85546875" style="2" customWidth="1"/>
    <col min="6358" max="6358" width="15" style="2" customWidth="1"/>
    <col min="6359" max="6359" width="14.85546875" style="2" customWidth="1"/>
    <col min="6360" max="6360" width="7.140625" style="2" customWidth="1"/>
    <col min="6361" max="6362" width="20.140625" style="2" customWidth="1"/>
    <col min="6363" max="6363" width="18.42578125" style="2" customWidth="1"/>
    <col min="6364" max="6364" width="9.140625" style="2" customWidth="1"/>
    <col min="6365" max="6365" width="12" style="2" customWidth="1"/>
    <col min="6366" max="6366" width="14.85546875" style="2" customWidth="1"/>
    <col min="6367" max="6367" width="22.42578125" style="2" customWidth="1"/>
    <col min="6368" max="6368" width="14.85546875" style="2" customWidth="1"/>
    <col min="6369" max="6369" width="7.140625" style="2" customWidth="1"/>
    <col min="6370" max="6370" width="20.140625" style="2" customWidth="1"/>
    <col min="6371" max="6602" width="8.85546875" style="2" customWidth="1"/>
    <col min="6603" max="6603" width="8.140625" style="2" customWidth="1"/>
    <col min="6604" max="6604" width="14.5703125" style="2" customWidth="1"/>
    <col min="6605" max="6605" width="37.42578125" style="2" customWidth="1"/>
    <col min="6606" max="6606" width="63.140625" style="2" customWidth="1"/>
    <col min="6607" max="6607" width="20" style="2" customWidth="1"/>
    <col min="6608" max="6608" width="11.140625" style="2" customWidth="1"/>
    <col min="6609" max="6609" width="10.85546875" style="2" customWidth="1"/>
    <col min="6610" max="6610" width="21" style="2" customWidth="1"/>
    <col min="6611" max="6611" width="10.85546875" style="2" customWidth="1"/>
    <col min="6612" max="6612" width="17.42578125" style="2" customWidth="1"/>
    <col min="6613" max="6613" width="14.85546875" style="2" customWidth="1"/>
    <col min="6614" max="6614" width="15" style="2" customWidth="1"/>
    <col min="6615" max="6615" width="14.85546875" style="2" customWidth="1"/>
    <col min="6616" max="6616" width="7.140625" style="2" customWidth="1"/>
    <col min="6617" max="6618" width="20.140625" style="2" customWidth="1"/>
    <col min="6619" max="6619" width="18.42578125" style="2" customWidth="1"/>
    <col min="6620" max="6620" width="9.140625" style="2" customWidth="1"/>
    <col min="6621" max="6621" width="12" style="2" customWidth="1"/>
    <col min="6622" max="6622" width="14.85546875" style="2" customWidth="1"/>
    <col min="6623" max="6623" width="22.42578125" style="2" customWidth="1"/>
    <col min="6624" max="6624" width="14.85546875" style="2" customWidth="1"/>
    <col min="6625" max="6625" width="7.140625" style="2" customWidth="1"/>
    <col min="6626" max="6626" width="20.140625" style="2" customWidth="1"/>
    <col min="6627" max="6858" width="8.85546875" style="2" customWidth="1"/>
    <col min="6859" max="6859" width="8.140625" style="2" customWidth="1"/>
    <col min="6860" max="6860" width="14.5703125" style="2" customWidth="1"/>
    <col min="6861" max="6861" width="37.42578125" style="2" customWidth="1"/>
    <col min="6862" max="6862" width="63.140625" style="2" customWidth="1"/>
    <col min="6863" max="6863" width="20" style="2" customWidth="1"/>
    <col min="6864" max="6864" width="11.140625" style="2" customWidth="1"/>
    <col min="6865" max="6865" width="10.85546875" style="2" customWidth="1"/>
    <col min="6866" max="6866" width="21" style="2" customWidth="1"/>
    <col min="6867" max="6867" width="10.85546875" style="2" customWidth="1"/>
    <col min="6868" max="6868" width="17.42578125" style="2" customWidth="1"/>
    <col min="6869" max="6869" width="14.85546875" style="2" customWidth="1"/>
    <col min="6870" max="6870" width="15" style="2" customWidth="1"/>
    <col min="6871" max="6871" width="14.85546875" style="2" customWidth="1"/>
    <col min="6872" max="6872" width="7.140625" style="2" customWidth="1"/>
    <col min="6873" max="6874" width="20.140625" style="2" customWidth="1"/>
    <col min="6875" max="6875" width="18.42578125" style="2" customWidth="1"/>
    <col min="6876" max="6876" width="9.140625" style="2" customWidth="1"/>
    <col min="6877" max="6877" width="12" style="2" customWidth="1"/>
    <col min="6878" max="6878" width="14.85546875" style="2" customWidth="1"/>
    <col min="6879" max="6879" width="22.42578125" style="2" customWidth="1"/>
    <col min="6880" max="6880" width="14.85546875" style="2" customWidth="1"/>
    <col min="6881" max="6881" width="7.140625" style="2" customWidth="1"/>
    <col min="6882" max="6882" width="20.140625" style="2" customWidth="1"/>
    <col min="6883" max="7114" width="8.85546875" style="2" customWidth="1"/>
    <col min="7115" max="7115" width="8.140625" style="2" customWidth="1"/>
    <col min="7116" max="7116" width="14.5703125" style="2" customWidth="1"/>
    <col min="7117" max="7117" width="37.42578125" style="2" customWidth="1"/>
    <col min="7118" max="7118" width="63.140625" style="2" customWidth="1"/>
    <col min="7119" max="7119" width="20" style="2" customWidth="1"/>
    <col min="7120" max="7120" width="11.140625" style="2" customWidth="1"/>
    <col min="7121" max="7121" width="10.85546875" style="2" customWidth="1"/>
    <col min="7122" max="7122" width="21" style="2" customWidth="1"/>
    <col min="7123" max="7123" width="10.85546875" style="2" customWidth="1"/>
    <col min="7124" max="7124" width="17.42578125" style="2" customWidth="1"/>
    <col min="7125" max="7125" width="14.85546875" style="2" customWidth="1"/>
    <col min="7126" max="7126" width="15" style="2" customWidth="1"/>
    <col min="7127" max="7127" width="14.85546875" style="2" customWidth="1"/>
    <col min="7128" max="7128" width="7.140625" style="2" customWidth="1"/>
    <col min="7129" max="7130" width="20.140625" style="2" customWidth="1"/>
    <col min="7131" max="7131" width="18.42578125" style="2" customWidth="1"/>
    <col min="7132" max="7132" width="9.140625" style="2" customWidth="1"/>
    <col min="7133" max="7133" width="12" style="2" customWidth="1"/>
    <col min="7134" max="7134" width="14.85546875" style="2" customWidth="1"/>
    <col min="7135" max="7135" width="22.42578125" style="2" customWidth="1"/>
    <col min="7136" max="7136" width="14.85546875" style="2" customWidth="1"/>
    <col min="7137" max="7137" width="7.140625" style="2" customWidth="1"/>
    <col min="7138" max="7138" width="20.140625" style="2" customWidth="1"/>
    <col min="7139" max="7370" width="8.85546875" style="2" customWidth="1"/>
    <col min="7371" max="7371" width="8.140625" style="2" customWidth="1"/>
    <col min="7372" max="7372" width="14.5703125" style="2" customWidth="1"/>
    <col min="7373" max="7373" width="37.42578125" style="2" customWidth="1"/>
    <col min="7374" max="7374" width="63.140625" style="2" customWidth="1"/>
    <col min="7375" max="7375" width="20" style="2" customWidth="1"/>
    <col min="7376" max="7376" width="11.140625" style="2" customWidth="1"/>
    <col min="7377" max="7377" width="10.85546875" style="2" customWidth="1"/>
    <col min="7378" max="7378" width="21" style="2" customWidth="1"/>
    <col min="7379" max="7379" width="10.85546875" style="2" customWidth="1"/>
    <col min="7380" max="7380" width="17.42578125" style="2" customWidth="1"/>
    <col min="7381" max="7381" width="14.85546875" style="2" customWidth="1"/>
    <col min="7382" max="7382" width="15" style="2" customWidth="1"/>
    <col min="7383" max="7383" width="14.85546875" style="2" customWidth="1"/>
    <col min="7384" max="7384" width="7.140625" style="2" customWidth="1"/>
    <col min="7385" max="7386" width="20.140625" style="2" customWidth="1"/>
    <col min="7387" max="7387" width="18.42578125" style="2" customWidth="1"/>
    <col min="7388" max="7388" width="9.140625" style="2" customWidth="1"/>
    <col min="7389" max="7389" width="12" style="2" customWidth="1"/>
    <col min="7390" max="7390" width="14.85546875" style="2" customWidth="1"/>
    <col min="7391" max="7391" width="22.42578125" style="2" customWidth="1"/>
    <col min="7392" max="7392" width="14.85546875" style="2" customWidth="1"/>
    <col min="7393" max="7393" width="7.140625" style="2" customWidth="1"/>
    <col min="7394" max="7394" width="20.140625" style="2" customWidth="1"/>
    <col min="7395" max="7626" width="8.85546875" style="2" customWidth="1"/>
    <col min="7627" max="7627" width="8.140625" style="2" customWidth="1"/>
    <col min="7628" max="7628" width="14.5703125" style="2" customWidth="1"/>
    <col min="7629" max="7629" width="37.42578125" style="2" customWidth="1"/>
    <col min="7630" max="7630" width="63.140625" style="2" customWidth="1"/>
    <col min="7631" max="7631" width="20" style="2" customWidth="1"/>
    <col min="7632" max="7632" width="11.140625" style="2" customWidth="1"/>
    <col min="7633" max="7633" width="10.85546875" style="2" customWidth="1"/>
    <col min="7634" max="7634" width="21" style="2" customWidth="1"/>
    <col min="7635" max="7635" width="10.85546875" style="2" customWidth="1"/>
    <col min="7636" max="7636" width="17.42578125" style="2" customWidth="1"/>
    <col min="7637" max="7637" width="14.85546875" style="2" customWidth="1"/>
    <col min="7638" max="7638" width="15" style="2" customWidth="1"/>
    <col min="7639" max="7639" width="14.85546875" style="2" customWidth="1"/>
    <col min="7640" max="7640" width="7.140625" style="2" customWidth="1"/>
    <col min="7641" max="7642" width="20.140625" style="2" customWidth="1"/>
    <col min="7643" max="7643" width="18.42578125" style="2" customWidth="1"/>
    <col min="7644" max="7644" width="9.140625" style="2" customWidth="1"/>
    <col min="7645" max="7645" width="12" style="2" customWidth="1"/>
    <col min="7646" max="7646" width="14.85546875" style="2" customWidth="1"/>
    <col min="7647" max="7647" width="22.42578125" style="2" customWidth="1"/>
    <col min="7648" max="7648" width="14.85546875" style="2" customWidth="1"/>
    <col min="7649" max="7649" width="7.140625" style="2" customWidth="1"/>
    <col min="7650" max="7650" width="20.140625" style="2" customWidth="1"/>
    <col min="7651" max="7882" width="8.85546875" style="2" customWidth="1"/>
    <col min="7883" max="7883" width="8.140625" style="2" customWidth="1"/>
    <col min="7884" max="7884" width="14.5703125" style="2" customWidth="1"/>
    <col min="7885" max="7885" width="37.42578125" style="2" customWidth="1"/>
    <col min="7886" max="7886" width="63.140625" style="2" customWidth="1"/>
    <col min="7887" max="7887" width="20" style="2" customWidth="1"/>
    <col min="7888" max="7888" width="11.140625" style="2" customWidth="1"/>
    <col min="7889" max="7889" width="10.85546875" style="2" customWidth="1"/>
    <col min="7890" max="7890" width="21" style="2" customWidth="1"/>
    <col min="7891" max="7891" width="10.85546875" style="2" customWidth="1"/>
    <col min="7892" max="7892" width="17.42578125" style="2" customWidth="1"/>
    <col min="7893" max="7893" width="14.85546875" style="2" customWidth="1"/>
    <col min="7894" max="7894" width="15" style="2" customWidth="1"/>
    <col min="7895" max="7895" width="14.85546875" style="2" customWidth="1"/>
    <col min="7896" max="7896" width="7.140625" style="2" customWidth="1"/>
    <col min="7897" max="7898" width="20.140625" style="2" customWidth="1"/>
    <col min="7899" max="7899" width="18.42578125" style="2" customWidth="1"/>
    <col min="7900" max="7900" width="9.140625" style="2" customWidth="1"/>
    <col min="7901" max="7901" width="12" style="2" customWidth="1"/>
    <col min="7902" max="7902" width="14.85546875" style="2" customWidth="1"/>
    <col min="7903" max="7903" width="22.42578125" style="2" customWidth="1"/>
    <col min="7904" max="7904" width="14.85546875" style="2" customWidth="1"/>
    <col min="7905" max="7905" width="7.140625" style="2" customWidth="1"/>
    <col min="7906" max="7906" width="20.140625" style="2" customWidth="1"/>
    <col min="7907" max="8138" width="8.85546875" style="2" customWidth="1"/>
    <col min="8139" max="8139" width="8.140625" style="2" customWidth="1"/>
    <col min="8140" max="8140" width="14.5703125" style="2" customWidth="1"/>
    <col min="8141" max="8141" width="37.42578125" style="2" customWidth="1"/>
    <col min="8142" max="8142" width="63.140625" style="2" customWidth="1"/>
    <col min="8143" max="8143" width="20" style="2" customWidth="1"/>
    <col min="8144" max="8144" width="11.140625" style="2" customWidth="1"/>
    <col min="8145" max="8145" width="10.85546875" style="2" customWidth="1"/>
    <col min="8146" max="8146" width="21" style="2" customWidth="1"/>
    <col min="8147" max="8147" width="10.85546875" style="2" customWidth="1"/>
    <col min="8148" max="8148" width="17.42578125" style="2" customWidth="1"/>
    <col min="8149" max="8149" width="14.85546875" style="2" customWidth="1"/>
    <col min="8150" max="8150" width="15" style="2" customWidth="1"/>
    <col min="8151" max="8151" width="14.85546875" style="2" customWidth="1"/>
    <col min="8152" max="8152" width="7.140625" style="2" customWidth="1"/>
    <col min="8153" max="8154" width="20.140625" style="2" customWidth="1"/>
    <col min="8155" max="8155" width="18.42578125" style="2" customWidth="1"/>
    <col min="8156" max="8156" width="9.140625" style="2" customWidth="1"/>
    <col min="8157" max="8157" width="12" style="2" customWidth="1"/>
    <col min="8158" max="8158" width="14.85546875" style="2" customWidth="1"/>
    <col min="8159" max="8159" width="22.42578125" style="2" customWidth="1"/>
    <col min="8160" max="8160" width="14.85546875" style="2" customWidth="1"/>
    <col min="8161" max="8161" width="7.140625" style="2" customWidth="1"/>
    <col min="8162" max="8162" width="20.140625" style="2" customWidth="1"/>
    <col min="8163" max="8394" width="8.85546875" style="2" customWidth="1"/>
    <col min="8395" max="8395" width="8.140625" style="2" customWidth="1"/>
    <col min="8396" max="8396" width="14.5703125" style="2" customWidth="1"/>
    <col min="8397" max="8397" width="37.42578125" style="2" customWidth="1"/>
    <col min="8398" max="8398" width="63.140625" style="2" customWidth="1"/>
    <col min="8399" max="8399" width="20" style="2" customWidth="1"/>
    <col min="8400" max="8400" width="11.140625" style="2" customWidth="1"/>
    <col min="8401" max="8401" width="10.85546875" style="2" customWidth="1"/>
    <col min="8402" max="8402" width="21" style="2" customWidth="1"/>
    <col min="8403" max="8403" width="10.85546875" style="2" customWidth="1"/>
    <col min="8404" max="8404" width="17.42578125" style="2" customWidth="1"/>
    <col min="8405" max="8405" width="14.85546875" style="2" customWidth="1"/>
    <col min="8406" max="8406" width="15" style="2" customWidth="1"/>
    <col min="8407" max="8407" width="14.85546875" style="2" customWidth="1"/>
    <col min="8408" max="8408" width="7.140625" style="2" customWidth="1"/>
    <col min="8409" max="8410" width="20.140625" style="2" customWidth="1"/>
    <col min="8411" max="8411" width="18.42578125" style="2" customWidth="1"/>
    <col min="8412" max="8412" width="9.140625" style="2" customWidth="1"/>
    <col min="8413" max="8413" width="12" style="2" customWidth="1"/>
    <col min="8414" max="8414" width="14.85546875" style="2" customWidth="1"/>
    <col min="8415" max="8415" width="22.42578125" style="2" customWidth="1"/>
    <col min="8416" max="8416" width="14.85546875" style="2" customWidth="1"/>
    <col min="8417" max="8417" width="7.140625" style="2" customWidth="1"/>
    <col min="8418" max="8418" width="20.140625" style="2" customWidth="1"/>
    <col min="8419" max="8650" width="8.85546875" style="2" customWidth="1"/>
    <col min="8651" max="8651" width="8.140625" style="2" customWidth="1"/>
    <col min="8652" max="8652" width="14.5703125" style="2" customWidth="1"/>
    <col min="8653" max="8653" width="37.42578125" style="2" customWidth="1"/>
    <col min="8654" max="8654" width="63.140625" style="2" customWidth="1"/>
    <col min="8655" max="8655" width="20" style="2" customWidth="1"/>
    <col min="8656" max="8656" width="11.140625" style="2" customWidth="1"/>
    <col min="8657" max="8657" width="10.85546875" style="2" customWidth="1"/>
    <col min="8658" max="8658" width="21" style="2" customWidth="1"/>
    <col min="8659" max="8659" width="10.85546875" style="2" customWidth="1"/>
    <col min="8660" max="8660" width="17.42578125" style="2" customWidth="1"/>
    <col min="8661" max="8661" width="14.85546875" style="2" customWidth="1"/>
    <col min="8662" max="8662" width="15" style="2" customWidth="1"/>
    <col min="8663" max="8663" width="14.85546875" style="2" customWidth="1"/>
    <col min="8664" max="8664" width="7.140625" style="2" customWidth="1"/>
    <col min="8665" max="8666" width="20.140625" style="2" customWidth="1"/>
    <col min="8667" max="8667" width="18.42578125" style="2" customWidth="1"/>
    <col min="8668" max="8668" width="9.140625" style="2" customWidth="1"/>
    <col min="8669" max="8669" width="12" style="2" customWidth="1"/>
    <col min="8670" max="8670" width="14.85546875" style="2" customWidth="1"/>
    <col min="8671" max="8671" width="22.42578125" style="2" customWidth="1"/>
    <col min="8672" max="8672" width="14.85546875" style="2" customWidth="1"/>
    <col min="8673" max="8673" width="7.140625" style="2" customWidth="1"/>
    <col min="8674" max="8674" width="20.140625" style="2" customWidth="1"/>
    <col min="8675" max="8906" width="8.85546875" style="2" customWidth="1"/>
    <col min="8907" max="8907" width="8.140625" style="2" customWidth="1"/>
    <col min="8908" max="8908" width="14.5703125" style="2" customWidth="1"/>
    <col min="8909" max="8909" width="37.42578125" style="2" customWidth="1"/>
    <col min="8910" max="8910" width="63.140625" style="2" customWidth="1"/>
    <col min="8911" max="8911" width="20" style="2" customWidth="1"/>
    <col min="8912" max="8912" width="11.140625" style="2" customWidth="1"/>
    <col min="8913" max="8913" width="10.85546875" style="2" customWidth="1"/>
    <col min="8914" max="8914" width="21" style="2" customWidth="1"/>
    <col min="8915" max="8915" width="10.85546875" style="2" customWidth="1"/>
    <col min="8916" max="8916" width="17.42578125" style="2" customWidth="1"/>
    <col min="8917" max="8917" width="14.85546875" style="2" customWidth="1"/>
    <col min="8918" max="8918" width="15" style="2" customWidth="1"/>
    <col min="8919" max="8919" width="14.85546875" style="2" customWidth="1"/>
    <col min="8920" max="8920" width="7.140625" style="2" customWidth="1"/>
    <col min="8921" max="8922" width="20.140625" style="2" customWidth="1"/>
    <col min="8923" max="8923" width="18.42578125" style="2" customWidth="1"/>
    <col min="8924" max="8924" width="9.140625" style="2" customWidth="1"/>
    <col min="8925" max="8925" width="12" style="2" customWidth="1"/>
    <col min="8926" max="8926" width="14.85546875" style="2" customWidth="1"/>
    <col min="8927" max="8927" width="22.42578125" style="2" customWidth="1"/>
    <col min="8928" max="8928" width="14.85546875" style="2" customWidth="1"/>
    <col min="8929" max="8929" width="7.140625" style="2" customWidth="1"/>
    <col min="8930" max="8930" width="20.140625" style="2" customWidth="1"/>
    <col min="8931" max="9162" width="8.85546875" style="2" customWidth="1"/>
    <col min="9163" max="9163" width="8.140625" style="2" customWidth="1"/>
    <col min="9164" max="9164" width="14.5703125" style="2" customWidth="1"/>
    <col min="9165" max="9165" width="37.42578125" style="2" customWidth="1"/>
    <col min="9166" max="9166" width="63.140625" style="2" customWidth="1"/>
    <col min="9167" max="9167" width="20" style="2" customWidth="1"/>
    <col min="9168" max="9168" width="11.140625" style="2" customWidth="1"/>
    <col min="9169" max="9169" width="10.85546875" style="2" customWidth="1"/>
    <col min="9170" max="9170" width="21" style="2" customWidth="1"/>
    <col min="9171" max="9171" width="10.85546875" style="2" customWidth="1"/>
    <col min="9172" max="9172" width="17.42578125" style="2" customWidth="1"/>
    <col min="9173" max="9173" width="14.85546875" style="2" customWidth="1"/>
    <col min="9174" max="9174" width="15" style="2" customWidth="1"/>
    <col min="9175" max="9175" width="14.85546875" style="2" customWidth="1"/>
    <col min="9176" max="9176" width="7.140625" style="2" customWidth="1"/>
    <col min="9177" max="9178" width="20.140625" style="2" customWidth="1"/>
    <col min="9179" max="9179" width="18.42578125" style="2" customWidth="1"/>
    <col min="9180" max="9180" width="9.140625" style="2" customWidth="1"/>
    <col min="9181" max="9181" width="12" style="2" customWidth="1"/>
    <col min="9182" max="9182" width="14.85546875" style="2" customWidth="1"/>
    <col min="9183" max="9183" width="22.42578125" style="2" customWidth="1"/>
    <col min="9184" max="9184" width="14.85546875" style="2" customWidth="1"/>
    <col min="9185" max="9185" width="7.140625" style="2" customWidth="1"/>
    <col min="9186" max="9186" width="20.140625" style="2" customWidth="1"/>
    <col min="9187" max="9418" width="8.85546875" style="2" customWidth="1"/>
    <col min="9419" max="9419" width="8.140625" style="2" customWidth="1"/>
    <col min="9420" max="9420" width="14.5703125" style="2" customWidth="1"/>
    <col min="9421" max="9421" width="37.42578125" style="2" customWidth="1"/>
    <col min="9422" max="9422" width="63.140625" style="2" customWidth="1"/>
    <col min="9423" max="9423" width="20" style="2" customWidth="1"/>
    <col min="9424" max="9424" width="11.140625" style="2" customWidth="1"/>
    <col min="9425" max="9425" width="10.85546875" style="2" customWidth="1"/>
    <col min="9426" max="9426" width="21" style="2" customWidth="1"/>
    <col min="9427" max="9427" width="10.85546875" style="2" customWidth="1"/>
    <col min="9428" max="9428" width="17.42578125" style="2" customWidth="1"/>
    <col min="9429" max="9429" width="14.85546875" style="2" customWidth="1"/>
    <col min="9430" max="9430" width="15" style="2" customWidth="1"/>
    <col min="9431" max="9431" width="14.85546875" style="2" customWidth="1"/>
    <col min="9432" max="9432" width="7.140625" style="2" customWidth="1"/>
    <col min="9433" max="9434" width="20.140625" style="2" customWidth="1"/>
    <col min="9435" max="9435" width="18.42578125" style="2" customWidth="1"/>
    <col min="9436" max="9436" width="9.140625" style="2" customWidth="1"/>
    <col min="9437" max="9437" width="12" style="2" customWidth="1"/>
    <col min="9438" max="9438" width="14.85546875" style="2" customWidth="1"/>
    <col min="9439" max="9439" width="22.42578125" style="2" customWidth="1"/>
    <col min="9440" max="9440" width="14.85546875" style="2" customWidth="1"/>
    <col min="9441" max="9441" width="7.140625" style="2" customWidth="1"/>
    <col min="9442" max="9442" width="20.140625" style="2" customWidth="1"/>
    <col min="9443" max="9674" width="8.85546875" style="2" customWidth="1"/>
    <col min="9675" max="9675" width="8.140625" style="2" customWidth="1"/>
    <col min="9676" max="9676" width="14.5703125" style="2" customWidth="1"/>
    <col min="9677" max="9677" width="37.42578125" style="2" customWidth="1"/>
    <col min="9678" max="9678" width="63.140625" style="2" customWidth="1"/>
    <col min="9679" max="9679" width="20" style="2" customWidth="1"/>
    <col min="9680" max="9680" width="11.140625" style="2" customWidth="1"/>
    <col min="9681" max="9681" width="10.85546875" style="2" customWidth="1"/>
    <col min="9682" max="9682" width="21" style="2" customWidth="1"/>
    <col min="9683" max="9683" width="10.85546875" style="2" customWidth="1"/>
    <col min="9684" max="9684" width="17.42578125" style="2" customWidth="1"/>
    <col min="9685" max="9685" width="14.85546875" style="2" customWidth="1"/>
    <col min="9686" max="9686" width="15" style="2" customWidth="1"/>
    <col min="9687" max="9687" width="14.85546875" style="2" customWidth="1"/>
    <col min="9688" max="9688" width="7.140625" style="2" customWidth="1"/>
    <col min="9689" max="9690" width="20.140625" style="2" customWidth="1"/>
    <col min="9691" max="9691" width="18.42578125" style="2" customWidth="1"/>
    <col min="9692" max="9692" width="9.140625" style="2" customWidth="1"/>
    <col min="9693" max="9693" width="12" style="2" customWidth="1"/>
    <col min="9694" max="9694" width="14.85546875" style="2" customWidth="1"/>
    <col min="9695" max="9695" width="22.42578125" style="2" customWidth="1"/>
    <col min="9696" max="9696" width="14.85546875" style="2" customWidth="1"/>
    <col min="9697" max="9697" width="7.140625" style="2" customWidth="1"/>
    <col min="9698" max="9698" width="20.140625" style="2" customWidth="1"/>
    <col min="9699" max="9930" width="8.85546875" style="2" customWidth="1"/>
    <col min="9931" max="9931" width="8.140625" style="2" customWidth="1"/>
    <col min="9932" max="9932" width="14.5703125" style="2" customWidth="1"/>
    <col min="9933" max="9933" width="37.42578125" style="2" customWidth="1"/>
    <col min="9934" max="9934" width="63.140625" style="2" customWidth="1"/>
    <col min="9935" max="9935" width="20" style="2" customWidth="1"/>
    <col min="9936" max="9936" width="11.140625" style="2" customWidth="1"/>
    <col min="9937" max="9937" width="10.85546875" style="2" customWidth="1"/>
    <col min="9938" max="9938" width="21" style="2" customWidth="1"/>
    <col min="9939" max="9939" width="10.85546875" style="2" customWidth="1"/>
    <col min="9940" max="9940" width="17.42578125" style="2" customWidth="1"/>
    <col min="9941" max="9941" width="14.85546875" style="2" customWidth="1"/>
    <col min="9942" max="9942" width="15" style="2" customWidth="1"/>
    <col min="9943" max="9943" width="14.85546875" style="2" customWidth="1"/>
    <col min="9944" max="9944" width="7.140625" style="2" customWidth="1"/>
    <col min="9945" max="9946" width="20.140625" style="2" customWidth="1"/>
    <col min="9947" max="9947" width="18.42578125" style="2" customWidth="1"/>
    <col min="9948" max="9948" width="9.140625" style="2" customWidth="1"/>
    <col min="9949" max="9949" width="12" style="2" customWidth="1"/>
    <col min="9950" max="9950" width="14.85546875" style="2" customWidth="1"/>
    <col min="9951" max="9951" width="22.42578125" style="2" customWidth="1"/>
    <col min="9952" max="9952" width="14.85546875" style="2" customWidth="1"/>
    <col min="9953" max="9953" width="7.140625" style="2" customWidth="1"/>
    <col min="9954" max="9954" width="20.140625" style="2" customWidth="1"/>
    <col min="9955" max="10186" width="8.85546875" style="2" customWidth="1"/>
    <col min="10187" max="10187" width="8.140625" style="2" customWidth="1"/>
    <col min="10188" max="10188" width="14.5703125" style="2" customWidth="1"/>
    <col min="10189" max="10189" width="37.42578125" style="2" customWidth="1"/>
    <col min="10190" max="10190" width="63.140625" style="2" customWidth="1"/>
    <col min="10191" max="10191" width="20" style="2" customWidth="1"/>
    <col min="10192" max="10192" width="11.140625" style="2" customWidth="1"/>
    <col min="10193" max="10193" width="10.85546875" style="2" customWidth="1"/>
    <col min="10194" max="10194" width="21" style="2" customWidth="1"/>
    <col min="10195" max="10195" width="10.85546875" style="2" customWidth="1"/>
    <col min="10196" max="10196" width="17.42578125" style="2" customWidth="1"/>
    <col min="10197" max="10197" width="14.85546875" style="2" customWidth="1"/>
    <col min="10198" max="10198" width="15" style="2" customWidth="1"/>
    <col min="10199" max="10199" width="14.85546875" style="2" customWidth="1"/>
    <col min="10200" max="10200" width="7.140625" style="2" customWidth="1"/>
    <col min="10201" max="10202" width="20.140625" style="2" customWidth="1"/>
    <col min="10203" max="10203" width="18.42578125" style="2" customWidth="1"/>
    <col min="10204" max="10204" width="9.140625" style="2" customWidth="1"/>
    <col min="10205" max="10205" width="12" style="2" customWidth="1"/>
    <col min="10206" max="10206" width="14.85546875" style="2" customWidth="1"/>
    <col min="10207" max="10207" width="22.42578125" style="2" customWidth="1"/>
    <col min="10208" max="10208" width="14.85546875" style="2" customWidth="1"/>
    <col min="10209" max="10209" width="7.140625" style="2" customWidth="1"/>
    <col min="10210" max="10210" width="20.140625" style="2" customWidth="1"/>
    <col min="10211" max="10442" width="8.85546875" style="2" customWidth="1"/>
    <col min="10443" max="10443" width="8.140625" style="2" customWidth="1"/>
    <col min="10444" max="10444" width="14.5703125" style="2" customWidth="1"/>
    <col min="10445" max="10445" width="37.42578125" style="2" customWidth="1"/>
    <col min="10446" max="10446" width="63.140625" style="2" customWidth="1"/>
    <col min="10447" max="10447" width="20" style="2" customWidth="1"/>
    <col min="10448" max="10448" width="11.140625" style="2" customWidth="1"/>
    <col min="10449" max="10449" width="10.85546875" style="2" customWidth="1"/>
    <col min="10450" max="10450" width="21" style="2" customWidth="1"/>
    <col min="10451" max="10451" width="10.85546875" style="2" customWidth="1"/>
    <col min="10452" max="10452" width="17.42578125" style="2" customWidth="1"/>
    <col min="10453" max="10453" width="14.85546875" style="2" customWidth="1"/>
    <col min="10454" max="10454" width="15" style="2" customWidth="1"/>
    <col min="10455" max="10455" width="14.85546875" style="2" customWidth="1"/>
    <col min="10456" max="10456" width="7.140625" style="2" customWidth="1"/>
    <col min="10457" max="10458" width="20.140625" style="2" customWidth="1"/>
    <col min="10459" max="10459" width="18.42578125" style="2" customWidth="1"/>
    <col min="10460" max="10460" width="9.140625" style="2" customWidth="1"/>
    <col min="10461" max="10461" width="12" style="2" customWidth="1"/>
    <col min="10462" max="10462" width="14.85546875" style="2" customWidth="1"/>
    <col min="10463" max="10463" width="22.42578125" style="2" customWidth="1"/>
    <col min="10464" max="10464" width="14.85546875" style="2" customWidth="1"/>
    <col min="10465" max="10465" width="7.140625" style="2" customWidth="1"/>
    <col min="10466" max="10466" width="20.140625" style="2" customWidth="1"/>
    <col min="10467" max="10698" width="8.85546875" style="2" customWidth="1"/>
    <col min="10699" max="10699" width="8.140625" style="2" customWidth="1"/>
    <col min="10700" max="10700" width="14.5703125" style="2" customWidth="1"/>
    <col min="10701" max="10701" width="37.42578125" style="2" customWidth="1"/>
    <col min="10702" max="10702" width="63.140625" style="2" customWidth="1"/>
    <col min="10703" max="10703" width="20" style="2" customWidth="1"/>
    <col min="10704" max="10704" width="11.140625" style="2" customWidth="1"/>
    <col min="10705" max="10705" width="10.85546875" style="2" customWidth="1"/>
    <col min="10706" max="10706" width="21" style="2" customWidth="1"/>
    <col min="10707" max="10707" width="10.85546875" style="2" customWidth="1"/>
    <col min="10708" max="10708" width="17.42578125" style="2" customWidth="1"/>
    <col min="10709" max="10709" width="14.85546875" style="2" customWidth="1"/>
    <col min="10710" max="10710" width="15" style="2" customWidth="1"/>
    <col min="10711" max="10711" width="14.85546875" style="2" customWidth="1"/>
    <col min="10712" max="10712" width="7.140625" style="2" customWidth="1"/>
    <col min="10713" max="10714" width="20.140625" style="2" customWidth="1"/>
    <col min="10715" max="10715" width="18.42578125" style="2" customWidth="1"/>
    <col min="10716" max="10716" width="9.140625" style="2" customWidth="1"/>
    <col min="10717" max="10717" width="12" style="2" customWidth="1"/>
    <col min="10718" max="10718" width="14.85546875" style="2" customWidth="1"/>
    <col min="10719" max="10719" width="22.42578125" style="2" customWidth="1"/>
    <col min="10720" max="10720" width="14.85546875" style="2" customWidth="1"/>
    <col min="10721" max="10721" width="7.140625" style="2" customWidth="1"/>
    <col min="10722" max="10722" width="20.140625" style="2" customWidth="1"/>
    <col min="10723" max="10954" width="8.85546875" style="2" customWidth="1"/>
    <col min="10955" max="10955" width="8.140625" style="2" customWidth="1"/>
    <col min="10956" max="10956" width="14.5703125" style="2" customWidth="1"/>
    <col min="10957" max="10957" width="37.42578125" style="2" customWidth="1"/>
    <col min="10958" max="10958" width="63.140625" style="2" customWidth="1"/>
    <col min="10959" max="10959" width="20" style="2" customWidth="1"/>
    <col min="10960" max="10960" width="11.140625" style="2" customWidth="1"/>
    <col min="10961" max="10961" width="10.85546875" style="2" customWidth="1"/>
    <col min="10962" max="10962" width="21" style="2" customWidth="1"/>
    <col min="10963" max="10963" width="10.85546875" style="2" customWidth="1"/>
    <col min="10964" max="10964" width="17.42578125" style="2" customWidth="1"/>
    <col min="10965" max="10965" width="14.85546875" style="2" customWidth="1"/>
    <col min="10966" max="10966" width="15" style="2" customWidth="1"/>
    <col min="10967" max="10967" width="14.85546875" style="2" customWidth="1"/>
    <col min="10968" max="10968" width="7.140625" style="2" customWidth="1"/>
    <col min="10969" max="10970" width="20.140625" style="2" customWidth="1"/>
    <col min="10971" max="10971" width="18.42578125" style="2" customWidth="1"/>
    <col min="10972" max="10972" width="9.140625" style="2" customWidth="1"/>
    <col min="10973" max="10973" width="12" style="2" customWidth="1"/>
    <col min="10974" max="10974" width="14.85546875" style="2" customWidth="1"/>
    <col min="10975" max="10975" width="22.42578125" style="2" customWidth="1"/>
    <col min="10976" max="10976" width="14.85546875" style="2" customWidth="1"/>
    <col min="10977" max="10977" width="7.140625" style="2" customWidth="1"/>
    <col min="10978" max="10978" width="20.140625" style="2" customWidth="1"/>
    <col min="10979" max="11210" width="8.85546875" style="2" customWidth="1"/>
    <col min="11211" max="11211" width="8.140625" style="2" customWidth="1"/>
    <col min="11212" max="11212" width="14.5703125" style="2" customWidth="1"/>
    <col min="11213" max="11213" width="37.42578125" style="2" customWidth="1"/>
    <col min="11214" max="11214" width="63.140625" style="2" customWidth="1"/>
    <col min="11215" max="11215" width="20" style="2" customWidth="1"/>
    <col min="11216" max="11216" width="11.140625" style="2" customWidth="1"/>
    <col min="11217" max="11217" width="10.85546875" style="2" customWidth="1"/>
    <col min="11218" max="11218" width="21" style="2" customWidth="1"/>
    <col min="11219" max="11219" width="10.85546875" style="2" customWidth="1"/>
    <col min="11220" max="11220" width="17.42578125" style="2" customWidth="1"/>
    <col min="11221" max="11221" width="14.85546875" style="2" customWidth="1"/>
    <col min="11222" max="11222" width="15" style="2" customWidth="1"/>
    <col min="11223" max="11223" width="14.85546875" style="2" customWidth="1"/>
    <col min="11224" max="11224" width="7.140625" style="2" customWidth="1"/>
    <col min="11225" max="11226" width="20.140625" style="2" customWidth="1"/>
    <col min="11227" max="11227" width="18.42578125" style="2" customWidth="1"/>
    <col min="11228" max="11228" width="9.140625" style="2" customWidth="1"/>
    <col min="11229" max="11229" width="12" style="2" customWidth="1"/>
    <col min="11230" max="11230" width="14.85546875" style="2" customWidth="1"/>
    <col min="11231" max="11231" width="22.42578125" style="2" customWidth="1"/>
    <col min="11232" max="11232" width="14.85546875" style="2" customWidth="1"/>
    <col min="11233" max="11233" width="7.140625" style="2" customWidth="1"/>
    <col min="11234" max="11234" width="20.140625" style="2" customWidth="1"/>
    <col min="11235" max="11466" width="8.85546875" style="2" customWidth="1"/>
    <col min="11467" max="11467" width="8.140625" style="2" customWidth="1"/>
    <col min="11468" max="11468" width="14.5703125" style="2" customWidth="1"/>
    <col min="11469" max="11469" width="37.42578125" style="2" customWidth="1"/>
    <col min="11470" max="11470" width="63.140625" style="2" customWidth="1"/>
    <col min="11471" max="11471" width="20" style="2" customWidth="1"/>
    <col min="11472" max="11472" width="11.140625" style="2" customWidth="1"/>
    <col min="11473" max="11473" width="10.85546875" style="2" customWidth="1"/>
    <col min="11474" max="11474" width="21" style="2" customWidth="1"/>
    <col min="11475" max="11475" width="10.85546875" style="2" customWidth="1"/>
    <col min="11476" max="11476" width="17.42578125" style="2" customWidth="1"/>
    <col min="11477" max="11477" width="14.85546875" style="2" customWidth="1"/>
    <col min="11478" max="11478" width="15" style="2" customWidth="1"/>
    <col min="11479" max="11479" width="14.85546875" style="2" customWidth="1"/>
    <col min="11480" max="11480" width="7.140625" style="2" customWidth="1"/>
    <col min="11481" max="11482" width="20.140625" style="2" customWidth="1"/>
    <col min="11483" max="11483" width="18.42578125" style="2" customWidth="1"/>
    <col min="11484" max="11484" width="9.140625" style="2" customWidth="1"/>
    <col min="11485" max="11485" width="12" style="2" customWidth="1"/>
    <col min="11486" max="11486" width="14.85546875" style="2" customWidth="1"/>
    <col min="11487" max="11487" width="22.42578125" style="2" customWidth="1"/>
    <col min="11488" max="11488" width="14.85546875" style="2" customWidth="1"/>
    <col min="11489" max="11489" width="7.140625" style="2" customWidth="1"/>
    <col min="11490" max="11490" width="20.140625" style="2" customWidth="1"/>
    <col min="11491" max="11722" width="8.85546875" style="2" customWidth="1"/>
    <col min="11723" max="11723" width="8.140625" style="2" customWidth="1"/>
    <col min="11724" max="11724" width="14.5703125" style="2" customWidth="1"/>
    <col min="11725" max="11725" width="37.42578125" style="2" customWidth="1"/>
    <col min="11726" max="11726" width="63.140625" style="2" customWidth="1"/>
    <col min="11727" max="11727" width="20" style="2" customWidth="1"/>
    <col min="11728" max="11728" width="11.140625" style="2" customWidth="1"/>
    <col min="11729" max="11729" width="10.85546875" style="2" customWidth="1"/>
    <col min="11730" max="11730" width="21" style="2" customWidth="1"/>
    <col min="11731" max="11731" width="10.85546875" style="2" customWidth="1"/>
    <col min="11732" max="11732" width="17.42578125" style="2" customWidth="1"/>
    <col min="11733" max="11733" width="14.85546875" style="2" customWidth="1"/>
    <col min="11734" max="11734" width="15" style="2" customWidth="1"/>
    <col min="11735" max="11735" width="14.85546875" style="2" customWidth="1"/>
    <col min="11736" max="11736" width="7.140625" style="2" customWidth="1"/>
    <col min="11737" max="11738" width="20.140625" style="2" customWidth="1"/>
    <col min="11739" max="11739" width="18.42578125" style="2" customWidth="1"/>
    <col min="11740" max="11740" width="9.140625" style="2" customWidth="1"/>
    <col min="11741" max="11741" width="12" style="2" customWidth="1"/>
    <col min="11742" max="11742" width="14.85546875" style="2" customWidth="1"/>
    <col min="11743" max="11743" width="22.42578125" style="2" customWidth="1"/>
    <col min="11744" max="11744" width="14.85546875" style="2" customWidth="1"/>
    <col min="11745" max="11745" width="7.140625" style="2" customWidth="1"/>
    <col min="11746" max="11746" width="20.140625" style="2" customWidth="1"/>
    <col min="11747" max="11978" width="8.85546875" style="2" customWidth="1"/>
    <col min="11979" max="11979" width="8.140625" style="2" customWidth="1"/>
    <col min="11980" max="11980" width="14.5703125" style="2" customWidth="1"/>
    <col min="11981" max="11981" width="37.42578125" style="2" customWidth="1"/>
    <col min="11982" max="11982" width="63.140625" style="2" customWidth="1"/>
    <col min="11983" max="11983" width="20" style="2" customWidth="1"/>
    <col min="11984" max="11984" width="11.140625" style="2" customWidth="1"/>
    <col min="11985" max="11985" width="10.85546875" style="2" customWidth="1"/>
    <col min="11986" max="11986" width="21" style="2" customWidth="1"/>
    <col min="11987" max="11987" width="10.85546875" style="2" customWidth="1"/>
    <col min="11988" max="11988" width="17.42578125" style="2" customWidth="1"/>
    <col min="11989" max="11989" width="14.85546875" style="2" customWidth="1"/>
    <col min="11990" max="11990" width="15" style="2" customWidth="1"/>
    <col min="11991" max="11991" width="14.85546875" style="2" customWidth="1"/>
    <col min="11992" max="11992" width="7.140625" style="2" customWidth="1"/>
    <col min="11993" max="11994" width="20.140625" style="2" customWidth="1"/>
    <col min="11995" max="11995" width="18.42578125" style="2" customWidth="1"/>
    <col min="11996" max="11996" width="9.140625" style="2" customWidth="1"/>
    <col min="11997" max="11997" width="12" style="2" customWidth="1"/>
    <col min="11998" max="11998" width="14.85546875" style="2" customWidth="1"/>
    <col min="11999" max="11999" width="22.42578125" style="2" customWidth="1"/>
    <col min="12000" max="12000" width="14.85546875" style="2" customWidth="1"/>
    <col min="12001" max="12001" width="7.140625" style="2" customWidth="1"/>
    <col min="12002" max="12002" width="20.140625" style="2" customWidth="1"/>
    <col min="12003" max="12234" width="8.85546875" style="2" customWidth="1"/>
    <col min="12235" max="12235" width="8.140625" style="2" customWidth="1"/>
    <col min="12236" max="12236" width="14.5703125" style="2" customWidth="1"/>
    <col min="12237" max="12237" width="37.42578125" style="2" customWidth="1"/>
    <col min="12238" max="12238" width="63.140625" style="2" customWidth="1"/>
    <col min="12239" max="12239" width="20" style="2" customWidth="1"/>
    <col min="12240" max="12240" width="11.140625" style="2" customWidth="1"/>
    <col min="12241" max="12241" width="10.85546875" style="2" customWidth="1"/>
    <col min="12242" max="12242" width="21" style="2" customWidth="1"/>
    <col min="12243" max="12243" width="10.85546875" style="2" customWidth="1"/>
    <col min="12244" max="12244" width="17.42578125" style="2" customWidth="1"/>
    <col min="12245" max="12245" width="14.85546875" style="2" customWidth="1"/>
    <col min="12246" max="12246" width="15" style="2" customWidth="1"/>
    <col min="12247" max="12247" width="14.85546875" style="2" customWidth="1"/>
    <col min="12248" max="12248" width="7.140625" style="2" customWidth="1"/>
    <col min="12249" max="12250" width="20.140625" style="2" customWidth="1"/>
    <col min="12251" max="12251" width="18.42578125" style="2" customWidth="1"/>
    <col min="12252" max="12252" width="9.140625" style="2" customWidth="1"/>
    <col min="12253" max="12253" width="12" style="2" customWidth="1"/>
    <col min="12254" max="12254" width="14.85546875" style="2" customWidth="1"/>
    <col min="12255" max="12255" width="22.42578125" style="2" customWidth="1"/>
    <col min="12256" max="12256" width="14.85546875" style="2" customWidth="1"/>
    <col min="12257" max="12257" width="7.140625" style="2" customWidth="1"/>
    <col min="12258" max="12258" width="20.140625" style="2" customWidth="1"/>
    <col min="12259" max="12490" width="8.85546875" style="2" customWidth="1"/>
    <col min="12491" max="12491" width="8.140625" style="2" customWidth="1"/>
    <col min="12492" max="12492" width="14.5703125" style="2" customWidth="1"/>
    <col min="12493" max="12493" width="37.42578125" style="2" customWidth="1"/>
    <col min="12494" max="12494" width="63.140625" style="2" customWidth="1"/>
    <col min="12495" max="12495" width="20" style="2" customWidth="1"/>
    <col min="12496" max="12496" width="11.140625" style="2" customWidth="1"/>
    <col min="12497" max="12497" width="10.85546875" style="2" customWidth="1"/>
    <col min="12498" max="12498" width="21" style="2" customWidth="1"/>
    <col min="12499" max="12499" width="10.85546875" style="2" customWidth="1"/>
    <col min="12500" max="12500" width="17.42578125" style="2" customWidth="1"/>
    <col min="12501" max="12501" width="14.85546875" style="2" customWidth="1"/>
    <col min="12502" max="12502" width="15" style="2" customWidth="1"/>
    <col min="12503" max="12503" width="14.85546875" style="2" customWidth="1"/>
    <col min="12504" max="12504" width="7.140625" style="2" customWidth="1"/>
    <col min="12505" max="12506" width="20.140625" style="2" customWidth="1"/>
    <col min="12507" max="12507" width="18.42578125" style="2" customWidth="1"/>
    <col min="12508" max="12508" width="9.140625" style="2" customWidth="1"/>
    <col min="12509" max="12509" width="12" style="2" customWidth="1"/>
    <col min="12510" max="12510" width="14.85546875" style="2" customWidth="1"/>
    <col min="12511" max="12511" width="22.42578125" style="2" customWidth="1"/>
    <col min="12512" max="12512" width="14.85546875" style="2" customWidth="1"/>
    <col min="12513" max="12513" width="7.140625" style="2" customWidth="1"/>
    <col min="12514" max="12514" width="20.140625" style="2" customWidth="1"/>
    <col min="12515" max="12746" width="8.85546875" style="2" customWidth="1"/>
    <col min="12747" max="12747" width="8.140625" style="2" customWidth="1"/>
    <col min="12748" max="12748" width="14.5703125" style="2" customWidth="1"/>
    <col min="12749" max="12749" width="37.42578125" style="2" customWidth="1"/>
    <col min="12750" max="12750" width="63.140625" style="2" customWidth="1"/>
    <col min="12751" max="12751" width="20" style="2" customWidth="1"/>
    <col min="12752" max="12752" width="11.140625" style="2" customWidth="1"/>
    <col min="12753" max="12753" width="10.85546875" style="2" customWidth="1"/>
    <col min="12754" max="12754" width="21" style="2" customWidth="1"/>
    <col min="12755" max="12755" width="10.85546875" style="2" customWidth="1"/>
    <col min="12756" max="12756" width="17.42578125" style="2" customWidth="1"/>
    <col min="12757" max="12757" width="14.85546875" style="2" customWidth="1"/>
    <col min="12758" max="12758" width="15" style="2" customWidth="1"/>
    <col min="12759" max="12759" width="14.85546875" style="2" customWidth="1"/>
    <col min="12760" max="12760" width="7.140625" style="2" customWidth="1"/>
    <col min="12761" max="12762" width="20.140625" style="2" customWidth="1"/>
    <col min="12763" max="12763" width="18.42578125" style="2" customWidth="1"/>
    <col min="12764" max="12764" width="9.140625" style="2" customWidth="1"/>
    <col min="12765" max="12765" width="12" style="2" customWidth="1"/>
    <col min="12766" max="12766" width="14.85546875" style="2" customWidth="1"/>
    <col min="12767" max="12767" width="22.42578125" style="2" customWidth="1"/>
    <col min="12768" max="12768" width="14.85546875" style="2" customWidth="1"/>
    <col min="12769" max="12769" width="7.140625" style="2" customWidth="1"/>
    <col min="12770" max="12770" width="20.140625" style="2" customWidth="1"/>
    <col min="12771" max="13002" width="8.85546875" style="2" customWidth="1"/>
    <col min="13003" max="13003" width="8.140625" style="2" customWidth="1"/>
    <col min="13004" max="13004" width="14.5703125" style="2" customWidth="1"/>
    <col min="13005" max="13005" width="37.42578125" style="2" customWidth="1"/>
    <col min="13006" max="13006" width="63.140625" style="2" customWidth="1"/>
    <col min="13007" max="13007" width="20" style="2" customWidth="1"/>
    <col min="13008" max="13008" width="11.140625" style="2" customWidth="1"/>
    <col min="13009" max="13009" width="10.85546875" style="2" customWidth="1"/>
    <col min="13010" max="13010" width="21" style="2" customWidth="1"/>
    <col min="13011" max="13011" width="10.85546875" style="2" customWidth="1"/>
    <col min="13012" max="13012" width="17.42578125" style="2" customWidth="1"/>
    <col min="13013" max="13013" width="14.85546875" style="2" customWidth="1"/>
    <col min="13014" max="13014" width="15" style="2" customWidth="1"/>
    <col min="13015" max="13015" width="14.85546875" style="2" customWidth="1"/>
    <col min="13016" max="13016" width="7.140625" style="2" customWidth="1"/>
    <col min="13017" max="13018" width="20.140625" style="2" customWidth="1"/>
    <col min="13019" max="13019" width="18.42578125" style="2" customWidth="1"/>
    <col min="13020" max="13020" width="9.140625" style="2" customWidth="1"/>
    <col min="13021" max="13021" width="12" style="2" customWidth="1"/>
    <col min="13022" max="13022" width="14.85546875" style="2" customWidth="1"/>
    <col min="13023" max="13023" width="22.42578125" style="2" customWidth="1"/>
    <col min="13024" max="13024" width="14.85546875" style="2" customWidth="1"/>
    <col min="13025" max="13025" width="7.140625" style="2" customWidth="1"/>
    <col min="13026" max="13026" width="20.140625" style="2" customWidth="1"/>
    <col min="13027" max="13258" width="8.85546875" style="2" customWidth="1"/>
    <col min="13259" max="13259" width="8.140625" style="2" customWidth="1"/>
    <col min="13260" max="13260" width="14.5703125" style="2" customWidth="1"/>
    <col min="13261" max="13261" width="37.42578125" style="2" customWidth="1"/>
    <col min="13262" max="13262" width="63.140625" style="2" customWidth="1"/>
    <col min="13263" max="13263" width="20" style="2" customWidth="1"/>
    <col min="13264" max="13264" width="11.140625" style="2" customWidth="1"/>
    <col min="13265" max="13265" width="10.85546875" style="2" customWidth="1"/>
    <col min="13266" max="13266" width="21" style="2" customWidth="1"/>
    <col min="13267" max="13267" width="10.85546875" style="2" customWidth="1"/>
    <col min="13268" max="13268" width="17.42578125" style="2" customWidth="1"/>
    <col min="13269" max="13269" width="14.85546875" style="2" customWidth="1"/>
    <col min="13270" max="13270" width="15" style="2" customWidth="1"/>
    <col min="13271" max="13271" width="14.85546875" style="2" customWidth="1"/>
    <col min="13272" max="13272" width="7.140625" style="2" customWidth="1"/>
    <col min="13273" max="13274" width="20.140625" style="2" customWidth="1"/>
    <col min="13275" max="13275" width="18.42578125" style="2" customWidth="1"/>
    <col min="13276" max="13276" width="9.140625" style="2" customWidth="1"/>
    <col min="13277" max="13277" width="12" style="2" customWidth="1"/>
    <col min="13278" max="13278" width="14.85546875" style="2" customWidth="1"/>
    <col min="13279" max="13279" width="22.42578125" style="2" customWidth="1"/>
    <col min="13280" max="13280" width="14.85546875" style="2" customWidth="1"/>
    <col min="13281" max="13281" width="7.140625" style="2" customWidth="1"/>
    <col min="13282" max="13282" width="20.140625" style="2" customWidth="1"/>
    <col min="13283" max="13514" width="8.85546875" style="2" customWidth="1"/>
    <col min="13515" max="13515" width="8.140625" style="2" customWidth="1"/>
    <col min="13516" max="13516" width="14.5703125" style="2" customWidth="1"/>
    <col min="13517" max="13517" width="37.42578125" style="2" customWidth="1"/>
    <col min="13518" max="13518" width="63.140625" style="2" customWidth="1"/>
    <col min="13519" max="13519" width="20" style="2" customWidth="1"/>
    <col min="13520" max="13520" width="11.140625" style="2" customWidth="1"/>
    <col min="13521" max="13521" width="10.85546875" style="2" customWidth="1"/>
    <col min="13522" max="13522" width="21" style="2" customWidth="1"/>
    <col min="13523" max="13523" width="10.85546875" style="2" customWidth="1"/>
    <col min="13524" max="13524" width="17.42578125" style="2" customWidth="1"/>
    <col min="13525" max="13525" width="14.85546875" style="2" customWidth="1"/>
    <col min="13526" max="13526" width="15" style="2" customWidth="1"/>
    <col min="13527" max="13527" width="14.85546875" style="2" customWidth="1"/>
    <col min="13528" max="13528" width="7.140625" style="2" customWidth="1"/>
    <col min="13529" max="13530" width="20.140625" style="2" customWidth="1"/>
    <col min="13531" max="13531" width="18.42578125" style="2" customWidth="1"/>
    <col min="13532" max="13532" width="9.140625" style="2" customWidth="1"/>
    <col min="13533" max="13533" width="12" style="2" customWidth="1"/>
    <col min="13534" max="13534" width="14.85546875" style="2" customWidth="1"/>
    <col min="13535" max="13535" width="22.42578125" style="2" customWidth="1"/>
    <col min="13536" max="13536" width="14.85546875" style="2" customWidth="1"/>
    <col min="13537" max="13537" width="7.140625" style="2" customWidth="1"/>
    <col min="13538" max="13538" width="20.140625" style="2" customWidth="1"/>
    <col min="13539" max="13770" width="8.85546875" style="2" customWidth="1"/>
    <col min="13771" max="13771" width="8.140625" style="2" customWidth="1"/>
    <col min="13772" max="13772" width="14.5703125" style="2" customWidth="1"/>
    <col min="13773" max="13773" width="37.42578125" style="2" customWidth="1"/>
    <col min="13774" max="13774" width="63.140625" style="2" customWidth="1"/>
    <col min="13775" max="13775" width="20" style="2" customWidth="1"/>
    <col min="13776" max="13776" width="11.140625" style="2" customWidth="1"/>
    <col min="13777" max="13777" width="10.85546875" style="2" customWidth="1"/>
    <col min="13778" max="13778" width="21" style="2" customWidth="1"/>
    <col min="13779" max="13779" width="10.85546875" style="2" customWidth="1"/>
    <col min="13780" max="13780" width="17.42578125" style="2" customWidth="1"/>
    <col min="13781" max="13781" width="14.85546875" style="2" customWidth="1"/>
    <col min="13782" max="13782" width="15" style="2" customWidth="1"/>
    <col min="13783" max="13783" width="14.85546875" style="2" customWidth="1"/>
    <col min="13784" max="13784" width="7.140625" style="2" customWidth="1"/>
    <col min="13785" max="13786" width="20.140625" style="2" customWidth="1"/>
    <col min="13787" max="13787" width="18.42578125" style="2" customWidth="1"/>
    <col min="13788" max="13788" width="9.140625" style="2" customWidth="1"/>
    <col min="13789" max="13789" width="12" style="2" customWidth="1"/>
    <col min="13790" max="13790" width="14.85546875" style="2" customWidth="1"/>
    <col min="13791" max="13791" width="22.42578125" style="2" customWidth="1"/>
    <col min="13792" max="13792" width="14.85546875" style="2" customWidth="1"/>
    <col min="13793" max="13793" width="7.140625" style="2" customWidth="1"/>
    <col min="13794" max="13794" width="20.140625" style="2" customWidth="1"/>
    <col min="13795" max="14026" width="8.85546875" style="2" customWidth="1"/>
    <col min="14027" max="14027" width="8.140625" style="2" customWidth="1"/>
    <col min="14028" max="14028" width="14.5703125" style="2" customWidth="1"/>
    <col min="14029" max="14029" width="37.42578125" style="2" customWidth="1"/>
    <col min="14030" max="14030" width="63.140625" style="2" customWidth="1"/>
    <col min="14031" max="14031" width="20" style="2" customWidth="1"/>
    <col min="14032" max="14032" width="11.140625" style="2" customWidth="1"/>
    <col min="14033" max="14033" width="10.85546875" style="2" customWidth="1"/>
    <col min="14034" max="14034" width="21" style="2" customWidth="1"/>
    <col min="14035" max="14035" width="10.85546875" style="2" customWidth="1"/>
    <col min="14036" max="14036" width="17.42578125" style="2" customWidth="1"/>
    <col min="14037" max="14037" width="14.85546875" style="2" customWidth="1"/>
    <col min="14038" max="14038" width="15" style="2" customWidth="1"/>
    <col min="14039" max="14039" width="14.85546875" style="2" customWidth="1"/>
    <col min="14040" max="14040" width="7.140625" style="2" customWidth="1"/>
    <col min="14041" max="14042" width="20.140625" style="2" customWidth="1"/>
    <col min="14043" max="14043" width="18.42578125" style="2" customWidth="1"/>
    <col min="14044" max="14044" width="9.140625" style="2" customWidth="1"/>
    <col min="14045" max="14045" width="12" style="2" customWidth="1"/>
    <col min="14046" max="14046" width="14.85546875" style="2" customWidth="1"/>
    <col min="14047" max="14047" width="22.42578125" style="2" customWidth="1"/>
    <col min="14048" max="14048" width="14.85546875" style="2" customWidth="1"/>
    <col min="14049" max="14049" width="7.140625" style="2" customWidth="1"/>
    <col min="14050" max="14050" width="20.140625" style="2" customWidth="1"/>
    <col min="14051" max="14282" width="8.85546875" style="2" customWidth="1"/>
    <col min="14283" max="14283" width="8.140625" style="2" customWidth="1"/>
    <col min="14284" max="14284" width="14.5703125" style="2" customWidth="1"/>
    <col min="14285" max="14285" width="37.42578125" style="2" customWidth="1"/>
    <col min="14286" max="14286" width="63.140625" style="2" customWidth="1"/>
    <col min="14287" max="14287" width="20" style="2" customWidth="1"/>
    <col min="14288" max="14288" width="11.140625" style="2" customWidth="1"/>
    <col min="14289" max="14289" width="10.85546875" style="2" customWidth="1"/>
    <col min="14290" max="14290" width="21" style="2" customWidth="1"/>
    <col min="14291" max="14291" width="10.85546875" style="2" customWidth="1"/>
    <col min="14292" max="14292" width="17.42578125" style="2" customWidth="1"/>
    <col min="14293" max="14293" width="14.85546875" style="2" customWidth="1"/>
    <col min="14294" max="14294" width="15" style="2" customWidth="1"/>
    <col min="14295" max="14295" width="14.85546875" style="2" customWidth="1"/>
    <col min="14296" max="14296" width="7.140625" style="2" customWidth="1"/>
    <col min="14297" max="14298" width="20.140625" style="2" customWidth="1"/>
    <col min="14299" max="14299" width="18.42578125" style="2" customWidth="1"/>
    <col min="14300" max="14300" width="9.140625" style="2" customWidth="1"/>
    <col min="14301" max="14301" width="12" style="2" customWidth="1"/>
    <col min="14302" max="14302" width="14.85546875" style="2" customWidth="1"/>
    <col min="14303" max="14303" width="22.42578125" style="2" customWidth="1"/>
    <col min="14304" max="14304" width="14.85546875" style="2" customWidth="1"/>
    <col min="14305" max="14305" width="7.140625" style="2" customWidth="1"/>
    <col min="14306" max="14306" width="20.140625" style="2" customWidth="1"/>
    <col min="14307" max="14538" width="8.85546875" style="2" customWidth="1"/>
    <col min="14539" max="14539" width="8.140625" style="2" customWidth="1"/>
    <col min="14540" max="14540" width="14.5703125" style="2" customWidth="1"/>
    <col min="14541" max="14541" width="37.42578125" style="2" customWidth="1"/>
    <col min="14542" max="14542" width="63.140625" style="2" customWidth="1"/>
    <col min="14543" max="14543" width="20" style="2" customWidth="1"/>
    <col min="14544" max="14544" width="11.140625" style="2" customWidth="1"/>
    <col min="14545" max="14545" width="10.85546875" style="2" customWidth="1"/>
    <col min="14546" max="14546" width="21" style="2" customWidth="1"/>
    <col min="14547" max="14547" width="10.85546875" style="2" customWidth="1"/>
    <col min="14548" max="14548" width="17.42578125" style="2" customWidth="1"/>
    <col min="14549" max="14549" width="14.85546875" style="2" customWidth="1"/>
    <col min="14550" max="14550" width="15" style="2" customWidth="1"/>
    <col min="14551" max="14551" width="14.85546875" style="2" customWidth="1"/>
    <col min="14552" max="14552" width="7.140625" style="2" customWidth="1"/>
    <col min="14553" max="14554" width="20.140625" style="2" customWidth="1"/>
    <col min="14555" max="14555" width="18.42578125" style="2" customWidth="1"/>
    <col min="14556" max="14556" width="9.140625" style="2" customWidth="1"/>
    <col min="14557" max="14557" width="12" style="2" customWidth="1"/>
    <col min="14558" max="14558" width="14.85546875" style="2" customWidth="1"/>
    <col min="14559" max="14559" width="22.42578125" style="2" customWidth="1"/>
    <col min="14560" max="14560" width="14.85546875" style="2" customWidth="1"/>
    <col min="14561" max="14561" width="7.140625" style="2" customWidth="1"/>
    <col min="14562" max="14562" width="20.140625" style="2" customWidth="1"/>
    <col min="14563" max="14794" width="8.85546875" style="2" customWidth="1"/>
    <col min="14795" max="14795" width="8.140625" style="2" customWidth="1"/>
    <col min="14796" max="14796" width="14.5703125" style="2" customWidth="1"/>
    <col min="14797" max="14797" width="37.42578125" style="2" customWidth="1"/>
    <col min="14798" max="14798" width="63.140625" style="2" customWidth="1"/>
    <col min="14799" max="14799" width="20" style="2" customWidth="1"/>
    <col min="14800" max="14800" width="11.140625" style="2" customWidth="1"/>
    <col min="14801" max="14801" width="10.85546875" style="2" customWidth="1"/>
    <col min="14802" max="14802" width="21" style="2" customWidth="1"/>
    <col min="14803" max="14803" width="10.85546875" style="2" customWidth="1"/>
    <col min="14804" max="14804" width="17.42578125" style="2" customWidth="1"/>
    <col min="14805" max="14805" width="14.85546875" style="2" customWidth="1"/>
    <col min="14806" max="14806" width="15" style="2" customWidth="1"/>
    <col min="14807" max="14807" width="14.85546875" style="2" customWidth="1"/>
    <col min="14808" max="14808" width="7.140625" style="2" customWidth="1"/>
    <col min="14809" max="14810" width="20.140625" style="2" customWidth="1"/>
    <col min="14811" max="14811" width="18.42578125" style="2" customWidth="1"/>
    <col min="14812" max="14812" width="9.140625" style="2" customWidth="1"/>
    <col min="14813" max="14813" width="12" style="2" customWidth="1"/>
    <col min="14814" max="14814" width="14.85546875" style="2" customWidth="1"/>
    <col min="14815" max="14815" width="22.42578125" style="2" customWidth="1"/>
    <col min="14816" max="14816" width="14.85546875" style="2" customWidth="1"/>
    <col min="14817" max="14817" width="7.140625" style="2" customWidth="1"/>
    <col min="14818" max="14818" width="20.140625" style="2" customWidth="1"/>
    <col min="14819" max="15050" width="8.85546875" style="2" customWidth="1"/>
    <col min="15051" max="15051" width="8.140625" style="2" customWidth="1"/>
    <col min="15052" max="15052" width="14.5703125" style="2" customWidth="1"/>
    <col min="15053" max="15053" width="37.42578125" style="2" customWidth="1"/>
    <col min="15054" max="15054" width="63.140625" style="2" customWidth="1"/>
    <col min="15055" max="15055" width="20" style="2" customWidth="1"/>
    <col min="15056" max="15056" width="11.140625" style="2" customWidth="1"/>
    <col min="15057" max="15057" width="10.85546875" style="2" customWidth="1"/>
    <col min="15058" max="15058" width="21" style="2" customWidth="1"/>
    <col min="15059" max="15059" width="10.85546875" style="2" customWidth="1"/>
    <col min="15060" max="15060" width="17.42578125" style="2" customWidth="1"/>
    <col min="15061" max="15061" width="14.85546875" style="2" customWidth="1"/>
    <col min="15062" max="15062" width="15" style="2" customWidth="1"/>
    <col min="15063" max="15063" width="14.85546875" style="2" customWidth="1"/>
    <col min="15064" max="15064" width="7.140625" style="2" customWidth="1"/>
    <col min="15065" max="15066" width="20.140625" style="2" customWidth="1"/>
    <col min="15067" max="15067" width="18.42578125" style="2" customWidth="1"/>
    <col min="15068" max="15068" width="9.140625" style="2" customWidth="1"/>
    <col min="15069" max="15069" width="12" style="2" customWidth="1"/>
    <col min="15070" max="15070" width="14.85546875" style="2" customWidth="1"/>
    <col min="15071" max="15071" width="22.42578125" style="2" customWidth="1"/>
    <col min="15072" max="15072" width="14.85546875" style="2" customWidth="1"/>
    <col min="15073" max="15073" width="7.140625" style="2" customWidth="1"/>
    <col min="15074" max="15074" width="20.140625" style="2" customWidth="1"/>
    <col min="15075" max="15306" width="8.85546875" style="2" customWidth="1"/>
    <col min="15307" max="15307" width="8.140625" style="2" customWidth="1"/>
    <col min="15308" max="15308" width="14.5703125" style="2" customWidth="1"/>
    <col min="15309" max="15309" width="37.42578125" style="2" customWidth="1"/>
    <col min="15310" max="15310" width="63.140625" style="2" customWidth="1"/>
    <col min="15311" max="15311" width="20" style="2" customWidth="1"/>
    <col min="15312" max="15312" width="11.140625" style="2" customWidth="1"/>
    <col min="15313" max="15313" width="10.85546875" style="2" customWidth="1"/>
    <col min="15314" max="15314" width="21" style="2" customWidth="1"/>
    <col min="15315" max="15315" width="10.85546875" style="2" customWidth="1"/>
    <col min="15316" max="15316" width="17.42578125" style="2" customWidth="1"/>
    <col min="15317" max="15317" width="14.85546875" style="2" customWidth="1"/>
    <col min="15318" max="15318" width="15" style="2" customWidth="1"/>
    <col min="15319" max="15319" width="14.85546875" style="2" customWidth="1"/>
    <col min="15320" max="15320" width="7.140625" style="2" customWidth="1"/>
    <col min="15321" max="15322" width="20.140625" style="2" customWidth="1"/>
    <col min="15323" max="15323" width="18.42578125" style="2" customWidth="1"/>
    <col min="15324" max="15324" width="9.140625" style="2" customWidth="1"/>
    <col min="15325" max="15325" width="12" style="2" customWidth="1"/>
    <col min="15326" max="15326" width="14.85546875" style="2" customWidth="1"/>
    <col min="15327" max="15327" width="22.42578125" style="2" customWidth="1"/>
    <col min="15328" max="15328" width="14.85546875" style="2" customWidth="1"/>
    <col min="15329" max="15329" width="7.140625" style="2" customWidth="1"/>
    <col min="15330" max="15330" width="20.140625" style="2" customWidth="1"/>
    <col min="15331" max="15562" width="8.85546875" style="2" customWidth="1"/>
    <col min="15563" max="15563" width="8.140625" style="2" customWidth="1"/>
    <col min="15564" max="15564" width="14.5703125" style="2" customWidth="1"/>
    <col min="15565" max="15565" width="37.42578125" style="2" customWidth="1"/>
    <col min="15566" max="15566" width="63.140625" style="2" customWidth="1"/>
    <col min="15567" max="15567" width="20" style="2" customWidth="1"/>
    <col min="15568" max="15568" width="11.140625" style="2" customWidth="1"/>
    <col min="15569" max="15569" width="10.85546875" style="2" customWidth="1"/>
    <col min="15570" max="15570" width="21" style="2" customWidth="1"/>
    <col min="15571" max="15571" width="10.85546875" style="2" customWidth="1"/>
    <col min="15572" max="15572" width="17.42578125" style="2" customWidth="1"/>
    <col min="15573" max="15573" width="14.85546875" style="2" customWidth="1"/>
    <col min="15574" max="15574" width="15" style="2" customWidth="1"/>
    <col min="15575" max="15575" width="14.85546875" style="2" customWidth="1"/>
    <col min="15576" max="15576" width="7.140625" style="2" customWidth="1"/>
    <col min="15577" max="15578" width="20.140625" style="2" customWidth="1"/>
    <col min="15579" max="15579" width="18.42578125" style="2" customWidth="1"/>
    <col min="15580" max="15580" width="9.140625" style="2" customWidth="1"/>
    <col min="15581" max="15581" width="12" style="2" customWidth="1"/>
    <col min="15582" max="15582" width="14.85546875" style="2" customWidth="1"/>
    <col min="15583" max="15583" width="22.42578125" style="2" customWidth="1"/>
    <col min="15584" max="15584" width="14.85546875" style="2" customWidth="1"/>
    <col min="15585" max="15585" width="7.140625" style="2" customWidth="1"/>
    <col min="15586" max="15586" width="20.140625" style="2" customWidth="1"/>
    <col min="15587" max="15818" width="8.85546875" style="2" customWidth="1"/>
    <col min="15819" max="15819" width="8.140625" style="2" customWidth="1"/>
    <col min="15820" max="15820" width="14.5703125" style="2" customWidth="1"/>
    <col min="15821" max="15821" width="37.42578125" style="2" customWidth="1"/>
    <col min="15822" max="15822" width="63.140625" style="2" customWidth="1"/>
    <col min="15823" max="15823" width="20" style="2" customWidth="1"/>
    <col min="15824" max="15824" width="11.140625" style="2" customWidth="1"/>
    <col min="15825" max="15825" width="10.85546875" style="2" customWidth="1"/>
    <col min="15826" max="15826" width="21" style="2" customWidth="1"/>
    <col min="15827" max="15827" width="10.85546875" style="2" customWidth="1"/>
    <col min="15828" max="15828" width="17.42578125" style="2" customWidth="1"/>
    <col min="15829" max="15829" width="14.85546875" style="2" customWidth="1"/>
    <col min="15830" max="15830" width="15" style="2" customWidth="1"/>
    <col min="15831" max="15831" width="14.85546875" style="2" customWidth="1"/>
    <col min="15832" max="15832" width="7.140625" style="2" customWidth="1"/>
    <col min="15833" max="15834" width="20.140625" style="2" customWidth="1"/>
    <col min="15835" max="15835" width="18.42578125" style="2" customWidth="1"/>
    <col min="15836" max="15836" width="9.140625" style="2" customWidth="1"/>
    <col min="15837" max="15837" width="12" style="2" customWidth="1"/>
    <col min="15838" max="15838" width="14.85546875" style="2" customWidth="1"/>
    <col min="15839" max="15839" width="22.42578125" style="2" customWidth="1"/>
    <col min="15840" max="15840" width="14.85546875" style="2" customWidth="1"/>
    <col min="15841" max="15841" width="7.140625" style="2" customWidth="1"/>
    <col min="15842" max="15842" width="20.140625" style="2" customWidth="1"/>
    <col min="15843" max="16074" width="8.85546875" style="2" customWidth="1"/>
    <col min="16075" max="16075" width="8.140625" style="2" customWidth="1"/>
    <col min="16076" max="16076" width="14.5703125" style="2" customWidth="1"/>
    <col min="16077" max="16077" width="37.42578125" style="2" customWidth="1"/>
    <col min="16078" max="16078" width="63.140625" style="2" customWidth="1"/>
    <col min="16079" max="16079" width="20" style="2" customWidth="1"/>
    <col min="16080" max="16080" width="11.140625" style="2" customWidth="1"/>
    <col min="16081" max="16081" width="10.85546875" style="2" customWidth="1"/>
    <col min="16082" max="16082" width="21" style="2" customWidth="1"/>
    <col min="16083" max="16083" width="10.85546875" style="2" customWidth="1"/>
    <col min="16084" max="16084" width="17.42578125" style="2" customWidth="1"/>
    <col min="16085" max="16085" width="14.85546875" style="2" customWidth="1"/>
    <col min="16086" max="16086" width="15" style="2" customWidth="1"/>
    <col min="16087" max="16087" width="14.85546875" style="2" customWidth="1"/>
    <col min="16088" max="16088" width="7.140625" style="2" customWidth="1"/>
    <col min="16089" max="16090" width="20.140625" style="2" customWidth="1"/>
    <col min="16091" max="16091" width="18.42578125" style="2" customWidth="1"/>
    <col min="16092" max="16092" width="9.140625" style="2" customWidth="1"/>
    <col min="16093" max="16093" width="12" style="2" customWidth="1"/>
    <col min="16094" max="16094" width="14.85546875" style="2" customWidth="1"/>
    <col min="16095" max="16095" width="22.42578125" style="2" customWidth="1"/>
    <col min="16096" max="16096" width="14.85546875" style="2" customWidth="1"/>
    <col min="16097" max="16097" width="7.140625" style="2" customWidth="1"/>
    <col min="16098" max="16098" width="20.140625" style="2" customWidth="1"/>
    <col min="16099" max="16384" width="8.85546875" style="2" customWidth="1"/>
  </cols>
  <sheetData>
    <row r="1" spans="1:21" ht="14.1" customHeight="1">
      <c r="A1" s="1" t="s">
        <v>1118</v>
      </c>
      <c r="B1" s="2"/>
      <c r="C1" s="2"/>
      <c r="D1" s="2"/>
      <c r="F1" s="2"/>
      <c r="H1" s="2"/>
      <c r="J1" s="2"/>
      <c r="K1" s="2"/>
      <c r="L1" s="2"/>
      <c r="M1" s="2"/>
      <c r="N1" s="2"/>
      <c r="O1" s="2"/>
      <c r="P1" s="2"/>
      <c r="R1" s="10"/>
    </row>
    <row r="2" spans="1:21" s="4" customFormat="1" ht="14.1" customHeight="1">
      <c r="A2" s="4" t="s">
        <v>1119</v>
      </c>
      <c r="E2" s="69"/>
      <c r="Q2" s="2"/>
      <c r="R2" s="336"/>
    </row>
    <row r="3" spans="1:21" s="6" customFormat="1" ht="14.1" customHeight="1">
      <c r="A3" s="3"/>
      <c r="B3" s="16"/>
      <c r="C3" s="16"/>
      <c r="D3" s="23"/>
      <c r="E3" s="16"/>
      <c r="F3" s="23"/>
      <c r="G3" s="15"/>
      <c r="H3" s="25"/>
      <c r="I3" s="15"/>
      <c r="J3" s="25"/>
      <c r="K3" s="25"/>
      <c r="L3" s="25"/>
      <c r="M3" s="25"/>
      <c r="N3" s="25"/>
      <c r="O3" s="25"/>
      <c r="P3" s="25"/>
      <c r="Q3" s="2"/>
      <c r="R3" s="355" t="s">
        <v>2</v>
      </c>
      <c r="S3" s="2"/>
      <c r="T3" s="2"/>
      <c r="U3" s="2"/>
    </row>
    <row r="4" spans="1:21" s="5" customFormat="1" ht="33" customHeight="1">
      <c r="A4" s="21" t="s">
        <v>3</v>
      </c>
      <c r="B4" s="52" t="s">
        <v>4</v>
      </c>
      <c r="C4" s="52" t="s">
        <v>5</v>
      </c>
      <c r="D4" s="21" t="s">
        <v>6</v>
      </c>
      <c r="E4" s="21" t="s">
        <v>7</v>
      </c>
      <c r="F4" s="21" t="s">
        <v>8</v>
      </c>
      <c r="G4" s="21" t="s">
        <v>9</v>
      </c>
      <c r="H4" s="21" t="s">
        <v>10</v>
      </c>
      <c r="I4" s="21" t="s">
        <v>11</v>
      </c>
      <c r="J4" s="21" t="s">
        <v>12</v>
      </c>
      <c r="K4" s="21" t="s">
        <v>13</v>
      </c>
      <c r="L4" s="21" t="s">
        <v>14</v>
      </c>
      <c r="M4" s="21" t="s">
        <v>15</v>
      </c>
      <c r="N4" s="21" t="s">
        <v>16</v>
      </c>
      <c r="O4" s="21" t="s">
        <v>17</v>
      </c>
      <c r="P4" s="21" t="s">
        <v>18</v>
      </c>
      <c r="Q4" s="3"/>
      <c r="R4" s="41" t="s">
        <v>19</v>
      </c>
      <c r="S4" s="3"/>
      <c r="T4" s="42" t="s">
        <v>20</v>
      </c>
      <c r="U4" s="42" t="s">
        <v>21</v>
      </c>
    </row>
    <row r="5" spans="1:21" ht="14.1" customHeight="1">
      <c r="A5" s="7">
        <v>1</v>
      </c>
      <c r="B5" s="14" t="s">
        <v>124</v>
      </c>
      <c r="C5" s="14" t="s">
        <v>1120</v>
      </c>
      <c r="D5" s="7" t="s">
        <v>35</v>
      </c>
      <c r="E5" s="14" t="s">
        <v>1121</v>
      </c>
      <c r="F5" s="7" t="s">
        <v>26</v>
      </c>
      <c r="G5" s="8" t="s">
        <v>1122</v>
      </c>
      <c r="H5" s="7" t="s">
        <v>567</v>
      </c>
      <c r="I5" s="8" t="s">
        <v>1123</v>
      </c>
      <c r="J5" s="7" t="s">
        <v>30</v>
      </c>
      <c r="K5" s="7" t="s">
        <v>1124</v>
      </c>
      <c r="L5" s="7" t="s">
        <v>307</v>
      </c>
      <c r="M5" s="7">
        <v>8301409000</v>
      </c>
      <c r="N5" s="7">
        <v>1</v>
      </c>
      <c r="O5" s="7"/>
      <c r="P5" s="7"/>
      <c r="R5" s="9">
        <v>11506.339224975851</v>
      </c>
      <c r="T5" s="7" t="s">
        <v>34</v>
      </c>
      <c r="U5" s="7"/>
    </row>
    <row r="6" spans="1:21" ht="14.1" customHeight="1">
      <c r="A6" s="7">
        <v>2</v>
      </c>
      <c r="B6" s="14" t="s">
        <v>124</v>
      </c>
      <c r="C6" s="14" t="s">
        <v>1120</v>
      </c>
      <c r="D6" s="7" t="s">
        <v>35</v>
      </c>
      <c r="E6" s="14" t="s">
        <v>1121</v>
      </c>
      <c r="F6" s="7" t="s">
        <v>26</v>
      </c>
      <c r="G6" s="8" t="s">
        <v>1125</v>
      </c>
      <c r="H6" s="7" t="s">
        <v>567</v>
      </c>
      <c r="I6" s="8" t="s">
        <v>1126</v>
      </c>
      <c r="J6" s="7" t="s">
        <v>30</v>
      </c>
      <c r="K6" s="7" t="s">
        <v>1124</v>
      </c>
      <c r="L6" s="7" t="s">
        <v>307</v>
      </c>
      <c r="M6" s="7">
        <v>8301409000</v>
      </c>
      <c r="N6" s="7">
        <v>1</v>
      </c>
      <c r="O6" s="7"/>
      <c r="P6" s="7"/>
      <c r="R6" s="9">
        <v>11506.339224975851</v>
      </c>
      <c r="T6" s="7" t="s">
        <v>34</v>
      </c>
      <c r="U6" s="7"/>
    </row>
    <row r="7" spans="1:21" ht="14.1" customHeight="1">
      <c r="A7" s="7">
        <v>3</v>
      </c>
      <c r="B7" s="14" t="s">
        <v>124</v>
      </c>
      <c r="C7" s="14" t="s">
        <v>1120</v>
      </c>
      <c r="D7" s="7" t="s">
        <v>35</v>
      </c>
      <c r="E7" s="14" t="s">
        <v>1121</v>
      </c>
      <c r="F7" s="7" t="s">
        <v>26</v>
      </c>
      <c r="G7" s="8" t="s">
        <v>1127</v>
      </c>
      <c r="H7" s="135" t="s">
        <v>567</v>
      </c>
      <c r="I7" s="8" t="s">
        <v>1128</v>
      </c>
      <c r="J7" s="7" t="s">
        <v>30</v>
      </c>
      <c r="K7" s="7" t="s">
        <v>1124</v>
      </c>
      <c r="L7" s="7" t="s">
        <v>307</v>
      </c>
      <c r="M7" s="7">
        <v>8301409000</v>
      </c>
      <c r="N7" s="7">
        <v>1</v>
      </c>
      <c r="O7" s="7"/>
      <c r="P7" s="7"/>
      <c r="R7" s="9">
        <v>11506.339224975851</v>
      </c>
      <c r="T7" s="7" t="s">
        <v>34</v>
      </c>
      <c r="U7" s="7"/>
    </row>
    <row r="8" spans="1:21" ht="14.1" customHeight="1">
      <c r="A8" s="7">
        <v>4</v>
      </c>
      <c r="B8" s="14" t="s">
        <v>124</v>
      </c>
      <c r="C8" s="14" t="s">
        <v>1120</v>
      </c>
      <c r="D8" s="7" t="s">
        <v>35</v>
      </c>
      <c r="E8" s="14" t="s">
        <v>1121</v>
      </c>
      <c r="F8" s="7" t="s">
        <v>26</v>
      </c>
      <c r="G8" s="8" t="s">
        <v>1129</v>
      </c>
      <c r="H8" s="7" t="s">
        <v>567</v>
      </c>
      <c r="I8" s="8" t="s">
        <v>1130</v>
      </c>
      <c r="J8" s="7" t="s">
        <v>30</v>
      </c>
      <c r="K8" s="7" t="s">
        <v>1124</v>
      </c>
      <c r="L8" s="7" t="s">
        <v>307</v>
      </c>
      <c r="M8" s="7">
        <v>8301409000</v>
      </c>
      <c r="N8" s="7">
        <v>1</v>
      </c>
      <c r="O8" s="7"/>
      <c r="P8" s="7"/>
      <c r="R8" s="9">
        <v>11506.339224975851</v>
      </c>
      <c r="T8" s="7" t="s">
        <v>34</v>
      </c>
      <c r="U8" s="7"/>
    </row>
    <row r="9" spans="1:21" ht="14.1" customHeight="1">
      <c r="A9" s="7">
        <v>5</v>
      </c>
      <c r="B9" s="14" t="s">
        <v>124</v>
      </c>
      <c r="C9" s="14" t="s">
        <v>1120</v>
      </c>
      <c r="D9" s="7" t="s">
        <v>35</v>
      </c>
      <c r="E9" s="14" t="s">
        <v>1131</v>
      </c>
      <c r="F9" s="7" t="s">
        <v>26</v>
      </c>
      <c r="G9" s="8" t="s">
        <v>1132</v>
      </c>
      <c r="H9" s="135" t="s">
        <v>567</v>
      </c>
      <c r="I9" s="8" t="s">
        <v>1133</v>
      </c>
      <c r="J9" s="7" t="s">
        <v>30</v>
      </c>
      <c r="K9" s="7" t="s">
        <v>1124</v>
      </c>
      <c r="L9" s="7" t="s">
        <v>307</v>
      </c>
      <c r="M9" s="7">
        <v>8301409000</v>
      </c>
      <c r="N9" s="7">
        <v>1</v>
      </c>
      <c r="O9" s="7"/>
      <c r="P9" s="7"/>
      <c r="R9" s="9">
        <v>14119.600861514689</v>
      </c>
      <c r="T9" s="7" t="s">
        <v>34</v>
      </c>
      <c r="U9" s="7"/>
    </row>
    <row r="10" spans="1:21" ht="14.1" customHeight="1">
      <c r="A10" s="7">
        <v>6</v>
      </c>
      <c r="B10" s="14" t="s">
        <v>124</v>
      </c>
      <c r="C10" s="14" t="s">
        <v>1120</v>
      </c>
      <c r="D10" s="7" t="s">
        <v>35</v>
      </c>
      <c r="E10" s="14" t="s">
        <v>1131</v>
      </c>
      <c r="F10" s="7" t="s">
        <v>26</v>
      </c>
      <c r="G10" s="8" t="s">
        <v>1134</v>
      </c>
      <c r="H10" s="135" t="s">
        <v>567</v>
      </c>
      <c r="I10" s="8" t="s">
        <v>1135</v>
      </c>
      <c r="J10" s="7" t="s">
        <v>30</v>
      </c>
      <c r="K10" s="7" t="s">
        <v>1124</v>
      </c>
      <c r="L10" s="7" t="s">
        <v>307</v>
      </c>
      <c r="M10" s="7">
        <v>8301409000</v>
      </c>
      <c r="N10" s="7">
        <v>1</v>
      </c>
      <c r="O10" s="7"/>
      <c r="P10" s="7"/>
      <c r="R10" s="9">
        <v>14119.600861514689</v>
      </c>
      <c r="T10" s="7" t="s">
        <v>34</v>
      </c>
      <c r="U10" s="7"/>
    </row>
    <row r="11" spans="1:21" ht="14.1" customHeight="1">
      <c r="A11" s="7">
        <v>7</v>
      </c>
      <c r="B11" s="14" t="s">
        <v>124</v>
      </c>
      <c r="C11" s="14" t="s">
        <v>1120</v>
      </c>
      <c r="D11" s="7" t="s">
        <v>35</v>
      </c>
      <c r="E11" s="14" t="s">
        <v>1131</v>
      </c>
      <c r="F11" s="7" t="s">
        <v>26</v>
      </c>
      <c r="G11" s="8" t="s">
        <v>1136</v>
      </c>
      <c r="H11" s="7" t="s">
        <v>567</v>
      </c>
      <c r="I11" s="8" t="s">
        <v>1137</v>
      </c>
      <c r="J11" s="7" t="s">
        <v>30</v>
      </c>
      <c r="K11" s="7" t="s">
        <v>1124</v>
      </c>
      <c r="L11" s="7" t="s">
        <v>307</v>
      </c>
      <c r="M11" s="7">
        <v>8301409000</v>
      </c>
      <c r="N11" s="7">
        <v>1</v>
      </c>
      <c r="O11" s="7"/>
      <c r="P11" s="7"/>
      <c r="R11" s="9">
        <v>14119.600861514689</v>
      </c>
      <c r="T11" s="7" t="s">
        <v>34</v>
      </c>
      <c r="U11" s="7"/>
    </row>
    <row r="12" spans="1:21" ht="14.1" customHeight="1">
      <c r="A12" s="7">
        <v>8</v>
      </c>
      <c r="B12" s="14" t="s">
        <v>124</v>
      </c>
      <c r="C12" s="14" t="s">
        <v>1120</v>
      </c>
      <c r="D12" s="7" t="s">
        <v>35</v>
      </c>
      <c r="E12" s="14" t="s">
        <v>1131</v>
      </c>
      <c r="F12" s="7" t="s">
        <v>26</v>
      </c>
      <c r="G12" s="8" t="s">
        <v>1138</v>
      </c>
      <c r="H12" s="7" t="s">
        <v>567</v>
      </c>
      <c r="I12" s="8" t="s">
        <v>1139</v>
      </c>
      <c r="J12" s="7" t="s">
        <v>30</v>
      </c>
      <c r="K12" s="7" t="s">
        <v>1124</v>
      </c>
      <c r="L12" s="7" t="s">
        <v>307</v>
      </c>
      <c r="M12" s="7">
        <v>8301409000</v>
      </c>
      <c r="N12" s="7">
        <v>1</v>
      </c>
      <c r="O12" s="7"/>
      <c r="P12" s="7"/>
      <c r="R12" s="9">
        <v>14119.600861514689</v>
      </c>
      <c r="T12" s="7" t="s">
        <v>34</v>
      </c>
      <c r="U12" s="7"/>
    </row>
    <row r="13" spans="1:21" ht="14.1" customHeight="1">
      <c r="A13" s="7">
        <v>9</v>
      </c>
      <c r="B13" s="14" t="s">
        <v>124</v>
      </c>
      <c r="C13" s="14" t="s">
        <v>1120</v>
      </c>
      <c r="D13" s="7" t="s">
        <v>35</v>
      </c>
      <c r="E13" s="14" t="s">
        <v>1131</v>
      </c>
      <c r="F13" s="7" t="s">
        <v>26</v>
      </c>
      <c r="G13" s="8" t="s">
        <v>1140</v>
      </c>
      <c r="H13" s="7" t="s">
        <v>567</v>
      </c>
      <c r="I13" s="8" t="s">
        <v>1141</v>
      </c>
      <c r="J13" s="7" t="s">
        <v>30</v>
      </c>
      <c r="K13" s="7" t="s">
        <v>1124</v>
      </c>
      <c r="L13" s="7" t="s">
        <v>307</v>
      </c>
      <c r="M13" s="7">
        <v>8301409000</v>
      </c>
      <c r="N13" s="7">
        <v>1</v>
      </c>
      <c r="O13" s="7"/>
      <c r="P13" s="7"/>
      <c r="R13" s="9">
        <v>14740.97697515041</v>
      </c>
      <c r="T13" s="7" t="s">
        <v>34</v>
      </c>
      <c r="U13" s="7"/>
    </row>
    <row r="14" spans="1:21" ht="14.1" customHeight="1">
      <c r="A14" s="7">
        <v>10</v>
      </c>
      <c r="B14" s="14" t="s">
        <v>124</v>
      </c>
      <c r="C14" s="14" t="s">
        <v>1120</v>
      </c>
      <c r="D14" s="7" t="s">
        <v>35</v>
      </c>
      <c r="E14" s="14" t="s">
        <v>1131</v>
      </c>
      <c r="F14" s="7" t="s">
        <v>26</v>
      </c>
      <c r="G14" s="8" t="s">
        <v>1142</v>
      </c>
      <c r="H14" s="7" t="s">
        <v>567</v>
      </c>
      <c r="I14" s="8" t="s">
        <v>1143</v>
      </c>
      <c r="J14" s="7" t="s">
        <v>30</v>
      </c>
      <c r="K14" s="7" t="s">
        <v>1124</v>
      </c>
      <c r="L14" s="7" t="s">
        <v>307</v>
      </c>
      <c r="M14" s="7">
        <v>8301409000</v>
      </c>
      <c r="N14" s="7">
        <v>1</v>
      </c>
      <c r="O14" s="7"/>
      <c r="P14" s="7"/>
      <c r="R14" s="9">
        <v>14740.97697515041</v>
      </c>
      <c r="T14" s="7" t="s">
        <v>34</v>
      </c>
      <c r="U14" s="7"/>
    </row>
    <row r="15" spans="1:21" ht="14.1" customHeight="1">
      <c r="A15" s="7">
        <v>11</v>
      </c>
      <c r="B15" s="14" t="s">
        <v>124</v>
      </c>
      <c r="C15" s="14" t="s">
        <v>1120</v>
      </c>
      <c r="D15" s="7" t="s">
        <v>35</v>
      </c>
      <c r="E15" s="14" t="s">
        <v>1131</v>
      </c>
      <c r="F15" s="7" t="s">
        <v>26</v>
      </c>
      <c r="G15" s="8" t="s">
        <v>1144</v>
      </c>
      <c r="H15" s="7" t="s">
        <v>567</v>
      </c>
      <c r="I15" s="8" t="s">
        <v>1145</v>
      </c>
      <c r="J15" s="7" t="s">
        <v>30</v>
      </c>
      <c r="K15" s="7" t="s">
        <v>1124</v>
      </c>
      <c r="L15" s="7" t="s">
        <v>307</v>
      </c>
      <c r="M15" s="7">
        <v>8301409000</v>
      </c>
      <c r="N15" s="7">
        <v>1</v>
      </c>
      <c r="O15" s="7"/>
      <c r="P15" s="7"/>
      <c r="R15" s="9">
        <v>14740.97697515041</v>
      </c>
      <c r="T15" s="7" t="s">
        <v>34</v>
      </c>
      <c r="U15" s="7"/>
    </row>
    <row r="16" spans="1:21" ht="14.1" customHeight="1">
      <c r="A16" s="7">
        <v>12</v>
      </c>
      <c r="B16" s="14" t="s">
        <v>124</v>
      </c>
      <c r="C16" s="14" t="s">
        <v>1120</v>
      </c>
      <c r="D16" s="7" t="s">
        <v>35</v>
      </c>
      <c r="E16" s="14" t="s">
        <v>1131</v>
      </c>
      <c r="F16" s="7" t="s">
        <v>26</v>
      </c>
      <c r="G16" s="8" t="s">
        <v>1146</v>
      </c>
      <c r="H16" s="7" t="s">
        <v>567</v>
      </c>
      <c r="I16" s="8" t="s">
        <v>1147</v>
      </c>
      <c r="J16" s="7" t="s">
        <v>30</v>
      </c>
      <c r="K16" s="7" t="s">
        <v>1124</v>
      </c>
      <c r="L16" s="7" t="s">
        <v>307</v>
      </c>
      <c r="M16" s="7">
        <v>8301409000</v>
      </c>
      <c r="N16" s="7">
        <v>1</v>
      </c>
      <c r="O16" s="7"/>
      <c r="P16" s="7"/>
      <c r="R16" s="9">
        <v>14740.97697515041</v>
      </c>
      <c r="T16" s="7" t="s">
        <v>34</v>
      </c>
      <c r="U16" s="7"/>
    </row>
    <row r="17" spans="1:21" ht="14.1" customHeight="1">
      <c r="A17" s="7">
        <v>13</v>
      </c>
      <c r="B17" s="14" t="s">
        <v>124</v>
      </c>
      <c r="C17" s="14" t="s">
        <v>1120</v>
      </c>
      <c r="D17" s="7" t="s">
        <v>35</v>
      </c>
      <c r="E17" s="14" t="s">
        <v>1148</v>
      </c>
      <c r="F17" s="7" t="s">
        <v>26</v>
      </c>
      <c r="G17" s="8" t="s">
        <v>1149</v>
      </c>
      <c r="H17" s="7" t="s">
        <v>567</v>
      </c>
      <c r="I17" s="8" t="s">
        <v>1150</v>
      </c>
      <c r="J17" s="7" t="s">
        <v>30</v>
      </c>
      <c r="K17" s="7" t="s">
        <v>1124</v>
      </c>
      <c r="L17" s="7" t="s">
        <v>307</v>
      </c>
      <c r="M17" s="7">
        <v>8301409000</v>
      </c>
      <c r="N17" s="7">
        <v>1</v>
      </c>
      <c r="O17" s="7"/>
      <c r="P17" s="7"/>
      <c r="R17" s="9">
        <v>1083.503796005914</v>
      </c>
      <c r="T17" s="7" t="s">
        <v>34</v>
      </c>
      <c r="U17" s="7"/>
    </row>
    <row r="18" spans="1:21" ht="14.1" customHeight="1">
      <c r="A18" s="7">
        <v>14</v>
      </c>
      <c r="B18" s="14" t="s">
        <v>124</v>
      </c>
      <c r="C18" s="14" t="s">
        <v>1120</v>
      </c>
      <c r="D18" s="7" t="s">
        <v>35</v>
      </c>
      <c r="E18" s="14" t="s">
        <v>1148</v>
      </c>
      <c r="F18" s="7" t="s">
        <v>26</v>
      </c>
      <c r="G18" s="8" t="s">
        <v>1151</v>
      </c>
      <c r="H18" s="7" t="s">
        <v>567</v>
      </c>
      <c r="I18" s="8" t="s">
        <v>1152</v>
      </c>
      <c r="J18" s="7" t="s">
        <v>30</v>
      </c>
      <c r="K18" s="7" t="s">
        <v>1124</v>
      </c>
      <c r="L18" s="7" t="s">
        <v>307</v>
      </c>
      <c r="M18" s="7">
        <v>8301409000</v>
      </c>
      <c r="N18" s="7">
        <v>1</v>
      </c>
      <c r="O18" s="7"/>
      <c r="P18" s="7"/>
      <c r="R18" s="9">
        <v>1041.259437229691</v>
      </c>
      <c r="T18" s="7" t="s">
        <v>34</v>
      </c>
      <c r="U18" s="7"/>
    </row>
    <row r="19" spans="1:21" ht="14.1" customHeight="1">
      <c r="A19" s="7">
        <v>15</v>
      </c>
      <c r="B19" s="14" t="s">
        <v>124</v>
      </c>
      <c r="C19" s="14" t="s">
        <v>1120</v>
      </c>
      <c r="D19" s="7" t="s">
        <v>35</v>
      </c>
      <c r="E19" s="14" t="s">
        <v>1153</v>
      </c>
      <c r="F19" s="7" t="s">
        <v>26</v>
      </c>
      <c r="G19" s="8" t="s">
        <v>1154</v>
      </c>
      <c r="H19" s="7" t="s">
        <v>567</v>
      </c>
      <c r="I19" s="8" t="s">
        <v>1155</v>
      </c>
      <c r="J19" s="7" t="s">
        <v>30</v>
      </c>
      <c r="K19" s="7" t="s">
        <v>1124</v>
      </c>
      <c r="L19" s="7" t="s">
        <v>307</v>
      </c>
      <c r="M19" s="7">
        <v>8301700000</v>
      </c>
      <c r="N19" s="7">
        <v>1</v>
      </c>
      <c r="O19" s="7"/>
      <c r="P19" s="7"/>
      <c r="R19" s="9">
        <v>479.79350513116327</v>
      </c>
      <c r="T19" s="7" t="s">
        <v>34</v>
      </c>
      <c r="U19" s="7"/>
    </row>
    <row r="20" spans="1:21" ht="14.1" customHeight="1">
      <c r="A20" s="7">
        <v>16</v>
      </c>
      <c r="B20" s="14" t="s">
        <v>124</v>
      </c>
      <c r="C20" s="14" t="s">
        <v>1120</v>
      </c>
      <c r="D20" s="7" t="s">
        <v>35</v>
      </c>
      <c r="E20" s="14" t="s">
        <v>1156</v>
      </c>
      <c r="F20" s="7" t="s">
        <v>26</v>
      </c>
      <c r="G20" s="8" t="s">
        <v>1157</v>
      </c>
      <c r="H20" s="7" t="s">
        <v>567</v>
      </c>
      <c r="I20" s="8" t="s">
        <v>1158</v>
      </c>
      <c r="J20" s="7" t="s">
        <v>30</v>
      </c>
      <c r="K20" s="7" t="s">
        <v>1124</v>
      </c>
      <c r="L20" s="7" t="s">
        <v>307</v>
      </c>
      <c r="M20" s="7">
        <v>8301700000</v>
      </c>
      <c r="N20" s="7">
        <v>1</v>
      </c>
      <c r="O20" s="7"/>
      <c r="P20" s="7"/>
      <c r="R20" s="9">
        <v>479.79350513116327</v>
      </c>
      <c r="T20" s="7" t="s">
        <v>34</v>
      </c>
      <c r="U20" s="7"/>
    </row>
    <row r="21" spans="1:21" ht="14.1" customHeight="1">
      <c r="A21" s="7">
        <v>17</v>
      </c>
      <c r="B21" s="14" t="s">
        <v>124</v>
      </c>
      <c r="C21" s="14" t="s">
        <v>1120</v>
      </c>
      <c r="D21" s="7" t="s">
        <v>35</v>
      </c>
      <c r="E21" s="14" t="s">
        <v>1159</v>
      </c>
      <c r="F21" s="7" t="s">
        <v>26</v>
      </c>
      <c r="G21" s="8" t="s">
        <v>1160</v>
      </c>
      <c r="H21" s="7" t="s">
        <v>567</v>
      </c>
      <c r="I21" s="8" t="s">
        <v>1161</v>
      </c>
      <c r="J21" s="7" t="s">
        <v>30</v>
      </c>
      <c r="K21" s="7" t="s">
        <v>1124</v>
      </c>
      <c r="L21" s="7" t="s">
        <v>307</v>
      </c>
      <c r="M21" s="7">
        <v>8301600090</v>
      </c>
      <c r="N21" s="7">
        <v>1</v>
      </c>
      <c r="O21" s="7"/>
      <c r="P21" s="7"/>
      <c r="R21" s="9">
        <v>147.72724250836779</v>
      </c>
      <c r="T21" s="7" t="s">
        <v>34</v>
      </c>
      <c r="U21" s="7"/>
    </row>
    <row r="22" spans="1:21" ht="14.1" customHeight="1">
      <c r="A22" s="7">
        <v>18</v>
      </c>
      <c r="B22" s="14" t="s">
        <v>124</v>
      </c>
      <c r="C22" s="14" t="s">
        <v>1120</v>
      </c>
      <c r="D22" s="7" t="s">
        <v>35</v>
      </c>
      <c r="E22" s="14" t="s">
        <v>1121</v>
      </c>
      <c r="F22" s="7" t="s">
        <v>26</v>
      </c>
      <c r="G22" s="8" t="s">
        <v>1162</v>
      </c>
      <c r="H22" s="7" t="s">
        <v>567</v>
      </c>
      <c r="I22" s="8" t="s">
        <v>1163</v>
      </c>
      <c r="J22" s="7" t="s">
        <v>30</v>
      </c>
      <c r="K22" s="7" t="s">
        <v>1124</v>
      </c>
      <c r="L22" s="7" t="s">
        <v>307</v>
      </c>
      <c r="M22" s="7">
        <v>8301409000</v>
      </c>
      <c r="N22" s="7">
        <v>1</v>
      </c>
      <c r="O22" s="7"/>
      <c r="P22" s="7"/>
      <c r="R22" s="9">
        <v>11867.080446283109</v>
      </c>
      <c r="T22" s="7" t="s">
        <v>34</v>
      </c>
      <c r="U22" s="7"/>
    </row>
    <row r="23" spans="1:21" ht="14.1" customHeight="1">
      <c r="A23" s="7">
        <v>19</v>
      </c>
      <c r="B23" s="14" t="s">
        <v>124</v>
      </c>
      <c r="C23" s="14" t="s">
        <v>1120</v>
      </c>
      <c r="D23" s="7" t="s">
        <v>35</v>
      </c>
      <c r="E23" s="14" t="s">
        <v>1121</v>
      </c>
      <c r="F23" s="7" t="s">
        <v>26</v>
      </c>
      <c r="G23" s="8" t="s">
        <v>1164</v>
      </c>
      <c r="H23" s="7" t="s">
        <v>567</v>
      </c>
      <c r="I23" s="8" t="s">
        <v>1165</v>
      </c>
      <c r="J23" s="7" t="s">
        <v>30</v>
      </c>
      <c r="K23" s="7" t="s">
        <v>1124</v>
      </c>
      <c r="L23" s="7" t="s">
        <v>307</v>
      </c>
      <c r="M23" s="7">
        <v>8301409000</v>
      </c>
      <c r="N23" s="7">
        <v>1</v>
      </c>
      <c r="O23" s="7"/>
      <c r="P23" s="7"/>
      <c r="R23" s="9">
        <v>11867.080446283109</v>
      </c>
      <c r="T23" s="7" t="s">
        <v>34</v>
      </c>
      <c r="U23" s="7"/>
    </row>
    <row r="24" spans="1:21" ht="14.1" customHeight="1">
      <c r="A24" s="7">
        <v>20</v>
      </c>
      <c r="B24" s="14" t="s">
        <v>124</v>
      </c>
      <c r="C24" s="14" t="s">
        <v>1120</v>
      </c>
      <c r="D24" s="7" t="s">
        <v>35</v>
      </c>
      <c r="E24" s="14" t="s">
        <v>1121</v>
      </c>
      <c r="F24" s="7" t="s">
        <v>26</v>
      </c>
      <c r="G24" s="8" t="s">
        <v>1166</v>
      </c>
      <c r="H24" s="7" t="s">
        <v>567</v>
      </c>
      <c r="I24" s="8" t="s">
        <v>1167</v>
      </c>
      <c r="J24" s="7" t="s">
        <v>30</v>
      </c>
      <c r="K24" s="7" t="s">
        <v>1124</v>
      </c>
      <c r="L24" s="7" t="s">
        <v>307</v>
      </c>
      <c r="M24" s="7">
        <v>8301409000</v>
      </c>
      <c r="N24" s="7">
        <v>1</v>
      </c>
      <c r="O24" s="7"/>
      <c r="P24" s="7"/>
      <c r="R24" s="9">
        <v>11867.080446283109</v>
      </c>
      <c r="T24" s="7" t="s">
        <v>34</v>
      </c>
      <c r="U24" s="7"/>
    </row>
    <row r="25" spans="1:21" ht="14.1" customHeight="1">
      <c r="A25" s="7">
        <v>21</v>
      </c>
      <c r="B25" s="14" t="s">
        <v>124</v>
      </c>
      <c r="C25" s="14" t="s">
        <v>1120</v>
      </c>
      <c r="D25" s="7" t="s">
        <v>35</v>
      </c>
      <c r="E25" s="14" t="s">
        <v>1121</v>
      </c>
      <c r="F25" s="7" t="s">
        <v>26</v>
      </c>
      <c r="G25" s="8" t="s">
        <v>1168</v>
      </c>
      <c r="H25" s="7" t="s">
        <v>567</v>
      </c>
      <c r="I25" s="8" t="s">
        <v>1169</v>
      </c>
      <c r="J25" s="7" t="s">
        <v>30</v>
      </c>
      <c r="K25" s="7" t="s">
        <v>1124</v>
      </c>
      <c r="L25" s="7" t="s">
        <v>307</v>
      </c>
      <c r="M25" s="7">
        <v>8301409000</v>
      </c>
      <c r="N25" s="7">
        <v>1</v>
      </c>
      <c r="O25" s="7"/>
      <c r="P25" s="7"/>
      <c r="R25" s="9">
        <v>11867.080446283109</v>
      </c>
      <c r="T25" s="7" t="s">
        <v>34</v>
      </c>
      <c r="U25" s="7"/>
    </row>
    <row r="26" spans="1:21" ht="14.1" customHeight="1">
      <c r="A26" s="7">
        <v>22</v>
      </c>
      <c r="B26" s="14" t="s">
        <v>124</v>
      </c>
      <c r="C26" s="14" t="s">
        <v>1120</v>
      </c>
      <c r="D26" s="7" t="s">
        <v>35</v>
      </c>
      <c r="E26" s="14" t="s">
        <v>1131</v>
      </c>
      <c r="F26" s="7" t="s">
        <v>26</v>
      </c>
      <c r="G26" s="8" t="s">
        <v>1170</v>
      </c>
      <c r="H26" s="7" t="s">
        <v>567</v>
      </c>
      <c r="I26" s="8" t="s">
        <v>1171</v>
      </c>
      <c r="J26" s="7" t="s">
        <v>30</v>
      </c>
      <c r="K26" s="7" t="s">
        <v>1124</v>
      </c>
      <c r="L26" s="7" t="s">
        <v>307</v>
      </c>
      <c r="M26" s="7">
        <v>8301409000</v>
      </c>
      <c r="N26" s="7">
        <v>1</v>
      </c>
      <c r="O26" s="7"/>
      <c r="P26" s="7"/>
      <c r="R26" s="9">
        <v>14134.96244652423</v>
      </c>
      <c r="T26" s="7" t="s">
        <v>34</v>
      </c>
      <c r="U26" s="7"/>
    </row>
    <row r="27" spans="1:21" ht="14.1" customHeight="1">
      <c r="A27" s="7">
        <v>23</v>
      </c>
      <c r="B27" s="14" t="s">
        <v>124</v>
      </c>
      <c r="C27" s="14" t="s">
        <v>1120</v>
      </c>
      <c r="D27" s="7" t="s">
        <v>35</v>
      </c>
      <c r="E27" s="14" t="s">
        <v>1131</v>
      </c>
      <c r="F27" s="7" t="s">
        <v>26</v>
      </c>
      <c r="G27" s="8" t="s">
        <v>1172</v>
      </c>
      <c r="H27" s="7" t="s">
        <v>567</v>
      </c>
      <c r="I27" s="8" t="s">
        <v>1173</v>
      </c>
      <c r="J27" s="7" t="s">
        <v>30</v>
      </c>
      <c r="K27" s="7" t="s">
        <v>1124</v>
      </c>
      <c r="L27" s="7" t="s">
        <v>307</v>
      </c>
      <c r="M27" s="7">
        <v>8301409000</v>
      </c>
      <c r="N27" s="7">
        <v>1</v>
      </c>
      <c r="O27" s="7"/>
      <c r="P27" s="7"/>
      <c r="R27" s="9">
        <v>14134.96244652423</v>
      </c>
      <c r="T27" s="7" t="s">
        <v>34</v>
      </c>
      <c r="U27" s="7"/>
    </row>
    <row r="28" spans="1:21" ht="14.1" customHeight="1">
      <c r="A28" s="7">
        <v>24</v>
      </c>
      <c r="B28" s="14" t="s">
        <v>124</v>
      </c>
      <c r="C28" s="14" t="s">
        <v>1120</v>
      </c>
      <c r="D28" s="7" t="s">
        <v>35</v>
      </c>
      <c r="E28" s="136" t="s">
        <v>1131</v>
      </c>
      <c r="F28" s="7" t="s">
        <v>26</v>
      </c>
      <c r="G28" s="8" t="s">
        <v>1174</v>
      </c>
      <c r="H28" s="135" t="s">
        <v>567</v>
      </c>
      <c r="I28" s="8" t="s">
        <v>1175</v>
      </c>
      <c r="J28" s="7" t="s">
        <v>30</v>
      </c>
      <c r="K28" s="7" t="s">
        <v>1124</v>
      </c>
      <c r="L28" s="7" t="s">
        <v>307</v>
      </c>
      <c r="M28" s="7">
        <v>8301409000</v>
      </c>
      <c r="N28" s="7">
        <v>1</v>
      </c>
      <c r="O28" s="7"/>
      <c r="P28" s="7"/>
      <c r="R28" s="9">
        <v>14134.96244652423</v>
      </c>
      <c r="T28" s="7" t="s">
        <v>34</v>
      </c>
      <c r="U28" s="7"/>
    </row>
    <row r="29" spans="1:21" ht="14.1" customHeight="1">
      <c r="A29" s="7">
        <v>25</v>
      </c>
      <c r="B29" s="14" t="s">
        <v>124</v>
      </c>
      <c r="C29" s="14" t="s">
        <v>1120</v>
      </c>
      <c r="D29" s="7" t="s">
        <v>35</v>
      </c>
      <c r="E29" s="14" t="s">
        <v>1131</v>
      </c>
      <c r="F29" s="7" t="s">
        <v>26</v>
      </c>
      <c r="G29" s="8" t="s">
        <v>1176</v>
      </c>
      <c r="H29" s="135" t="s">
        <v>567</v>
      </c>
      <c r="I29" s="8" t="s">
        <v>1177</v>
      </c>
      <c r="J29" s="7" t="s">
        <v>30</v>
      </c>
      <c r="K29" s="7" t="s">
        <v>1124</v>
      </c>
      <c r="L29" s="7" t="s">
        <v>307</v>
      </c>
      <c r="M29" s="7">
        <v>8301409000</v>
      </c>
      <c r="N29" s="7">
        <v>1</v>
      </c>
      <c r="O29" s="7"/>
      <c r="P29" s="7"/>
      <c r="R29" s="9">
        <v>14134.96244652423</v>
      </c>
      <c r="T29" s="7" t="s">
        <v>34</v>
      </c>
      <c r="U29" s="7"/>
    </row>
    <row r="30" spans="1:21" ht="14.1" customHeight="1">
      <c r="A30" s="7">
        <v>26</v>
      </c>
      <c r="B30" s="14" t="s">
        <v>124</v>
      </c>
      <c r="C30" s="14" t="s">
        <v>1120</v>
      </c>
      <c r="D30" s="7" t="s">
        <v>35</v>
      </c>
      <c r="E30" s="14" t="s">
        <v>1131</v>
      </c>
      <c r="F30" s="7" t="s">
        <v>26</v>
      </c>
      <c r="G30" s="8" t="s">
        <v>1178</v>
      </c>
      <c r="H30" s="135" t="s">
        <v>567</v>
      </c>
      <c r="I30" s="8" t="s">
        <v>1179</v>
      </c>
      <c r="J30" s="7" t="s">
        <v>30</v>
      </c>
      <c r="K30" s="7" t="s">
        <v>1124</v>
      </c>
      <c r="L30" s="7" t="s">
        <v>307</v>
      </c>
      <c r="M30" s="7">
        <v>8301409000</v>
      </c>
      <c r="N30" s="7">
        <v>1</v>
      </c>
      <c r="O30" s="7"/>
      <c r="P30" s="7"/>
      <c r="R30" s="9">
        <v>14935.04499910421</v>
      </c>
      <c r="T30" s="7" t="s">
        <v>34</v>
      </c>
      <c r="U30" s="7"/>
    </row>
    <row r="31" spans="1:21" ht="14.1" customHeight="1">
      <c r="A31" s="7">
        <v>27</v>
      </c>
      <c r="B31" s="14" t="s">
        <v>124</v>
      </c>
      <c r="C31" s="14" t="s">
        <v>1120</v>
      </c>
      <c r="D31" s="7" t="s">
        <v>35</v>
      </c>
      <c r="E31" s="14" t="s">
        <v>1131</v>
      </c>
      <c r="F31" s="7" t="s">
        <v>26</v>
      </c>
      <c r="G31" s="8" t="s">
        <v>1180</v>
      </c>
      <c r="H31" s="7" t="s">
        <v>567</v>
      </c>
      <c r="I31" s="8" t="s">
        <v>1181</v>
      </c>
      <c r="J31" s="7" t="s">
        <v>30</v>
      </c>
      <c r="K31" s="7" t="s">
        <v>1124</v>
      </c>
      <c r="L31" s="7" t="s">
        <v>307</v>
      </c>
      <c r="M31" s="7">
        <v>8301409000</v>
      </c>
      <c r="N31" s="7">
        <v>1</v>
      </c>
      <c r="O31" s="7"/>
      <c r="P31" s="7"/>
      <c r="R31" s="9">
        <v>14935.04499910421</v>
      </c>
      <c r="T31" s="7" t="s">
        <v>34</v>
      </c>
      <c r="U31" s="7"/>
    </row>
    <row r="32" spans="1:21" ht="14.1" customHeight="1">
      <c r="A32" s="7">
        <v>28</v>
      </c>
      <c r="B32" s="14" t="s">
        <v>124</v>
      </c>
      <c r="C32" s="14" t="s">
        <v>1120</v>
      </c>
      <c r="D32" s="7" t="s">
        <v>35</v>
      </c>
      <c r="E32" s="14" t="s">
        <v>1131</v>
      </c>
      <c r="F32" s="7" t="s">
        <v>26</v>
      </c>
      <c r="G32" s="8" t="s">
        <v>1182</v>
      </c>
      <c r="H32" s="7" t="s">
        <v>567</v>
      </c>
      <c r="I32" s="8" t="s">
        <v>1183</v>
      </c>
      <c r="J32" s="7" t="s">
        <v>30</v>
      </c>
      <c r="K32" s="7" t="s">
        <v>1124</v>
      </c>
      <c r="L32" s="7" t="s">
        <v>307</v>
      </c>
      <c r="M32" s="7">
        <v>8301409000</v>
      </c>
      <c r="N32" s="7">
        <v>1</v>
      </c>
      <c r="O32" s="7"/>
      <c r="P32" s="7"/>
      <c r="R32" s="9">
        <v>14935.04499910421</v>
      </c>
      <c r="T32" s="7" t="s">
        <v>34</v>
      </c>
      <c r="U32" s="7"/>
    </row>
    <row r="33" spans="1:21" ht="14.1" customHeight="1">
      <c r="A33" s="7">
        <v>29</v>
      </c>
      <c r="B33" s="14" t="s">
        <v>124</v>
      </c>
      <c r="C33" s="14" t="s">
        <v>1120</v>
      </c>
      <c r="D33" s="7" t="s">
        <v>35</v>
      </c>
      <c r="E33" s="136" t="s">
        <v>1131</v>
      </c>
      <c r="F33" s="7" t="s">
        <v>26</v>
      </c>
      <c r="G33" s="8" t="s">
        <v>1184</v>
      </c>
      <c r="H33" s="135" t="s">
        <v>567</v>
      </c>
      <c r="I33" s="8" t="s">
        <v>1185</v>
      </c>
      <c r="J33" s="7" t="s">
        <v>30</v>
      </c>
      <c r="K33" s="7" t="s">
        <v>1124</v>
      </c>
      <c r="L33" s="7" t="s">
        <v>307</v>
      </c>
      <c r="M33" s="7">
        <v>8301409000</v>
      </c>
      <c r="N33" s="7">
        <v>1</v>
      </c>
      <c r="O33" s="7"/>
      <c r="P33" s="7"/>
      <c r="R33" s="9">
        <v>14935.04499910421</v>
      </c>
      <c r="T33" s="7" t="s">
        <v>34</v>
      </c>
      <c r="U33" s="7"/>
    </row>
    <row r="34" spans="1:21" ht="14.1" customHeight="1">
      <c r="A34" s="7">
        <v>30</v>
      </c>
      <c r="B34" s="14" t="s">
        <v>124</v>
      </c>
      <c r="C34" s="14" t="s">
        <v>1120</v>
      </c>
      <c r="D34" s="7" t="s">
        <v>35</v>
      </c>
      <c r="E34" s="136" t="s">
        <v>1159</v>
      </c>
      <c r="F34" s="7" t="s">
        <v>26</v>
      </c>
      <c r="G34" s="8" t="s">
        <v>1186</v>
      </c>
      <c r="H34" s="7" t="s">
        <v>1187</v>
      </c>
      <c r="I34" s="8" t="s">
        <v>1188</v>
      </c>
      <c r="J34" s="7" t="s">
        <v>30</v>
      </c>
      <c r="K34" s="7"/>
      <c r="L34" s="7" t="s">
        <v>307</v>
      </c>
      <c r="M34" s="7">
        <v>8301600090</v>
      </c>
      <c r="N34" s="7">
        <v>1</v>
      </c>
      <c r="O34" s="7"/>
      <c r="P34" s="7"/>
      <c r="R34" s="9">
        <v>1383.0547036918599</v>
      </c>
      <c r="T34" s="7" t="s">
        <v>34</v>
      </c>
      <c r="U34" s="7"/>
    </row>
    <row r="35" spans="1:21" ht="14.1" customHeight="1">
      <c r="A35" s="7">
        <v>31</v>
      </c>
      <c r="B35" s="14" t="s">
        <v>124</v>
      </c>
      <c r="C35" s="14" t="s">
        <v>1120</v>
      </c>
      <c r="D35" s="7" t="s">
        <v>35</v>
      </c>
      <c r="E35" s="136" t="s">
        <v>1159</v>
      </c>
      <c r="F35" s="7" t="s">
        <v>26</v>
      </c>
      <c r="G35" s="8" t="s">
        <v>1189</v>
      </c>
      <c r="H35" s="7" t="s">
        <v>1190</v>
      </c>
      <c r="I35" s="8" t="s">
        <v>1191</v>
      </c>
      <c r="J35" s="7" t="s">
        <v>30</v>
      </c>
      <c r="K35" s="7" t="s">
        <v>31</v>
      </c>
      <c r="L35" s="7" t="s">
        <v>307</v>
      </c>
      <c r="M35" s="7">
        <v>8301600090</v>
      </c>
      <c r="N35" s="7">
        <v>1</v>
      </c>
      <c r="O35" s="7"/>
      <c r="P35" s="7"/>
      <c r="R35" s="9">
        <v>203.54100137634731</v>
      </c>
      <c r="T35" s="7" t="s">
        <v>34</v>
      </c>
      <c r="U35" s="7"/>
    </row>
    <row r="36" spans="1:21" ht="14.1" customHeight="1">
      <c r="A36" s="7">
        <v>32</v>
      </c>
      <c r="B36" s="14" t="s">
        <v>124</v>
      </c>
      <c r="C36" s="14" t="s">
        <v>1120</v>
      </c>
      <c r="D36" s="7" t="s">
        <v>35</v>
      </c>
      <c r="E36" s="136" t="s">
        <v>1159</v>
      </c>
      <c r="F36" s="7" t="s">
        <v>26</v>
      </c>
      <c r="G36" s="8" t="s">
        <v>1192</v>
      </c>
      <c r="H36" s="135" t="s">
        <v>1190</v>
      </c>
      <c r="I36" s="8" t="s">
        <v>1193</v>
      </c>
      <c r="J36" s="7" t="s">
        <v>30</v>
      </c>
      <c r="K36" s="135" t="s">
        <v>31</v>
      </c>
      <c r="L36" s="7" t="s">
        <v>307</v>
      </c>
      <c r="M36" s="7">
        <v>8301600090</v>
      </c>
      <c r="N36" s="7">
        <v>1</v>
      </c>
      <c r="O36" s="7"/>
      <c r="P36" s="7"/>
      <c r="R36" s="9">
        <v>177.68233327696231</v>
      </c>
      <c r="T36" s="7" t="s">
        <v>34</v>
      </c>
      <c r="U36" s="7"/>
    </row>
    <row r="37" spans="1:21" ht="14.1" customHeight="1">
      <c r="A37" s="7">
        <v>33</v>
      </c>
      <c r="B37" s="14" t="s">
        <v>124</v>
      </c>
      <c r="C37" s="14" t="s">
        <v>1120</v>
      </c>
      <c r="D37" s="7" t="s">
        <v>35</v>
      </c>
      <c r="E37" s="136" t="s">
        <v>1194</v>
      </c>
      <c r="F37" s="7" t="s">
        <v>26</v>
      </c>
      <c r="G37" s="8" t="s">
        <v>1195</v>
      </c>
      <c r="H37" s="135" t="s">
        <v>1196</v>
      </c>
      <c r="I37" s="8" t="s">
        <v>1197</v>
      </c>
      <c r="J37" s="7" t="s">
        <v>30</v>
      </c>
      <c r="K37" s="135"/>
      <c r="L37" s="7" t="s">
        <v>307</v>
      </c>
      <c r="M37" s="7">
        <v>8301409000</v>
      </c>
      <c r="N37" s="7">
        <v>1</v>
      </c>
      <c r="O37" s="7"/>
      <c r="P37" s="7"/>
      <c r="R37" s="9">
        <v>2501.122065969229</v>
      </c>
      <c r="T37" s="7" t="s">
        <v>34</v>
      </c>
      <c r="U37" s="7"/>
    </row>
    <row r="38" spans="1:21" ht="14.1" customHeight="1">
      <c r="A38" s="7">
        <v>34</v>
      </c>
      <c r="B38" s="14" t="s">
        <v>124</v>
      </c>
      <c r="C38" s="14" t="s">
        <v>1120</v>
      </c>
      <c r="D38" s="7" t="s">
        <v>35</v>
      </c>
      <c r="E38" s="136" t="s">
        <v>1194</v>
      </c>
      <c r="F38" s="7" t="s">
        <v>26</v>
      </c>
      <c r="G38" s="8" t="s">
        <v>1198</v>
      </c>
      <c r="H38" s="135" t="s">
        <v>1196</v>
      </c>
      <c r="I38" s="8" t="s">
        <v>1199</v>
      </c>
      <c r="J38" s="7" t="s">
        <v>30</v>
      </c>
      <c r="K38" s="135"/>
      <c r="L38" s="7" t="s">
        <v>307</v>
      </c>
      <c r="M38" s="7">
        <v>8301409000</v>
      </c>
      <c r="N38" s="7">
        <v>1</v>
      </c>
      <c r="O38" s="7"/>
      <c r="P38" s="7"/>
      <c r="R38" s="9">
        <v>2501.122065969229</v>
      </c>
      <c r="T38" s="7" t="s">
        <v>34</v>
      </c>
      <c r="U38" s="7"/>
    </row>
    <row r="39" spans="1:21" ht="14.1" customHeight="1">
      <c r="A39" s="7">
        <v>35</v>
      </c>
      <c r="B39" s="14" t="s">
        <v>124</v>
      </c>
      <c r="C39" s="14" t="s">
        <v>1120</v>
      </c>
      <c r="D39" s="7" t="s">
        <v>35</v>
      </c>
      <c r="E39" s="136" t="s">
        <v>1194</v>
      </c>
      <c r="F39" s="7" t="s">
        <v>26</v>
      </c>
      <c r="G39" s="8" t="s">
        <v>1200</v>
      </c>
      <c r="H39" s="135" t="s">
        <v>1196</v>
      </c>
      <c r="I39" s="8" t="s">
        <v>1201</v>
      </c>
      <c r="J39" s="7" t="s">
        <v>30</v>
      </c>
      <c r="K39" s="135"/>
      <c r="L39" s="7" t="s">
        <v>307</v>
      </c>
      <c r="M39" s="7">
        <v>8301409000</v>
      </c>
      <c r="N39" s="7">
        <v>1</v>
      </c>
      <c r="O39" s="7"/>
      <c r="P39" s="7"/>
      <c r="R39" s="9">
        <v>3168.0708817999021</v>
      </c>
      <c r="T39" s="7" t="s">
        <v>34</v>
      </c>
      <c r="U39" s="7"/>
    </row>
    <row r="40" spans="1:21" ht="14.1" customHeight="1">
      <c r="A40" s="7">
        <v>36</v>
      </c>
      <c r="B40" s="14" t="s">
        <v>124</v>
      </c>
      <c r="C40" s="14" t="s">
        <v>1120</v>
      </c>
      <c r="D40" s="7" t="s">
        <v>35</v>
      </c>
      <c r="E40" s="136" t="s">
        <v>1194</v>
      </c>
      <c r="F40" s="7" t="s">
        <v>26</v>
      </c>
      <c r="G40" s="8" t="s">
        <v>1202</v>
      </c>
      <c r="H40" s="135" t="s">
        <v>1196</v>
      </c>
      <c r="I40" s="8" t="s">
        <v>1203</v>
      </c>
      <c r="J40" s="7" t="s">
        <v>30</v>
      </c>
      <c r="K40" s="135"/>
      <c r="L40" s="7" t="s">
        <v>307</v>
      </c>
      <c r="M40" s="7">
        <v>8301409000</v>
      </c>
      <c r="N40" s="7">
        <v>1</v>
      </c>
      <c r="O40" s="7"/>
      <c r="P40" s="7"/>
      <c r="R40" s="9">
        <v>3168.0708817999021</v>
      </c>
      <c r="T40" s="7" t="s">
        <v>34</v>
      </c>
      <c r="U40" s="7"/>
    </row>
    <row r="41" spans="1:21" ht="14.1" customHeight="1">
      <c r="A41" s="7">
        <v>37</v>
      </c>
      <c r="B41" s="14" t="s">
        <v>124</v>
      </c>
      <c r="C41" s="14" t="s">
        <v>1120</v>
      </c>
      <c r="D41" s="7" t="s">
        <v>45</v>
      </c>
      <c r="E41" s="14" t="s">
        <v>46</v>
      </c>
      <c r="F41" s="7" t="s">
        <v>26</v>
      </c>
      <c r="G41" s="8" t="s">
        <v>1204</v>
      </c>
      <c r="H41" s="7" t="s">
        <v>567</v>
      </c>
      <c r="I41" s="8" t="s">
        <v>1205</v>
      </c>
      <c r="J41" s="7" t="s">
        <v>30</v>
      </c>
      <c r="K41" s="7" t="s">
        <v>1124</v>
      </c>
      <c r="L41" s="7" t="s">
        <v>307</v>
      </c>
      <c r="M41" s="7">
        <v>8301409000</v>
      </c>
      <c r="N41" s="7">
        <v>1</v>
      </c>
      <c r="O41" s="7"/>
      <c r="P41" s="7"/>
      <c r="R41" s="9">
        <v>22654.753519229522</v>
      </c>
      <c r="T41" s="7" t="s">
        <v>34</v>
      </c>
      <c r="U41" s="7"/>
    </row>
    <row r="42" spans="1:21" ht="14.1" customHeight="1">
      <c r="A42" s="7">
        <v>38</v>
      </c>
      <c r="B42" s="14" t="s">
        <v>124</v>
      </c>
      <c r="C42" s="14" t="s">
        <v>1120</v>
      </c>
      <c r="D42" s="7" t="s">
        <v>45</v>
      </c>
      <c r="E42" s="14" t="s">
        <v>46</v>
      </c>
      <c r="F42" s="7" t="s">
        <v>26</v>
      </c>
      <c r="G42" s="8" t="s">
        <v>1206</v>
      </c>
      <c r="H42" s="7" t="s">
        <v>567</v>
      </c>
      <c r="I42" s="8" t="s">
        <v>1207</v>
      </c>
      <c r="J42" s="7" t="s">
        <v>30</v>
      </c>
      <c r="K42" s="7" t="s">
        <v>1124</v>
      </c>
      <c r="L42" s="7" t="s">
        <v>307</v>
      </c>
      <c r="M42" s="7">
        <v>8301409000</v>
      </c>
      <c r="N42" s="7">
        <v>1</v>
      </c>
      <c r="O42" s="7"/>
      <c r="P42" s="7"/>
      <c r="R42" s="9">
        <v>22654.753519229522</v>
      </c>
      <c r="T42" s="7" t="s">
        <v>34</v>
      </c>
      <c r="U42" s="7"/>
    </row>
    <row r="43" spans="1:21" ht="14.1" customHeight="1">
      <c r="A43" s="7">
        <v>39</v>
      </c>
      <c r="B43" s="14" t="s">
        <v>124</v>
      </c>
      <c r="C43" s="14" t="s">
        <v>1120</v>
      </c>
      <c r="D43" s="7" t="s">
        <v>45</v>
      </c>
      <c r="E43" s="14" t="s">
        <v>46</v>
      </c>
      <c r="F43" s="7" t="s">
        <v>26</v>
      </c>
      <c r="G43" s="8" t="s">
        <v>1208</v>
      </c>
      <c r="H43" s="7" t="s">
        <v>567</v>
      </c>
      <c r="I43" s="8" t="s">
        <v>1209</v>
      </c>
      <c r="J43" s="7" t="s">
        <v>30</v>
      </c>
      <c r="K43" s="7" t="s">
        <v>1124</v>
      </c>
      <c r="L43" s="7" t="s">
        <v>307</v>
      </c>
      <c r="M43" s="7">
        <v>8301409000</v>
      </c>
      <c r="N43" s="7">
        <v>1</v>
      </c>
      <c r="O43" s="7"/>
      <c r="P43" s="7"/>
      <c r="R43" s="9">
        <v>22654.753519229522</v>
      </c>
      <c r="T43" s="7" t="s">
        <v>34</v>
      </c>
      <c r="U43" s="7"/>
    </row>
    <row r="44" spans="1:21" ht="14.1" customHeight="1">
      <c r="A44" s="7">
        <v>40</v>
      </c>
      <c r="B44" s="14" t="s">
        <v>124</v>
      </c>
      <c r="C44" s="14" t="s">
        <v>1120</v>
      </c>
      <c r="D44" s="7" t="s">
        <v>45</v>
      </c>
      <c r="E44" s="14" t="s">
        <v>46</v>
      </c>
      <c r="F44" s="7" t="s">
        <v>26</v>
      </c>
      <c r="G44" s="8" t="s">
        <v>1210</v>
      </c>
      <c r="H44" s="7" t="s">
        <v>567</v>
      </c>
      <c r="I44" s="8" t="s">
        <v>1211</v>
      </c>
      <c r="J44" s="7" t="s">
        <v>30</v>
      </c>
      <c r="K44" s="7" t="s">
        <v>1124</v>
      </c>
      <c r="L44" s="7" t="s">
        <v>307</v>
      </c>
      <c r="M44" s="7">
        <v>8301409000</v>
      </c>
      <c r="N44" s="7">
        <v>1</v>
      </c>
      <c r="O44" s="7"/>
      <c r="P44" s="7"/>
      <c r="R44" s="9">
        <v>22654.753519229522</v>
      </c>
      <c r="T44" s="7" t="s">
        <v>34</v>
      </c>
      <c r="U44" s="7"/>
    </row>
    <row r="45" spans="1:21" ht="14.1" customHeight="1">
      <c r="A45" s="7">
        <v>41</v>
      </c>
      <c r="B45" s="14" t="s">
        <v>124</v>
      </c>
      <c r="C45" s="14" t="s">
        <v>1120</v>
      </c>
      <c r="D45" s="7" t="s">
        <v>45</v>
      </c>
      <c r="E45" s="14" t="s">
        <v>46</v>
      </c>
      <c r="F45" s="7" t="s">
        <v>26</v>
      </c>
      <c r="G45" s="8" t="s">
        <v>1212</v>
      </c>
      <c r="H45" s="7" t="s">
        <v>1196</v>
      </c>
      <c r="I45" s="8" t="s">
        <v>1213</v>
      </c>
      <c r="J45" s="7" t="s">
        <v>30</v>
      </c>
      <c r="K45" s="7"/>
      <c r="L45" s="7" t="s">
        <v>307</v>
      </c>
      <c r="M45" s="7">
        <v>8301409000</v>
      </c>
      <c r="N45" s="7">
        <v>1</v>
      </c>
      <c r="O45" s="7"/>
      <c r="P45" s="7"/>
      <c r="R45" s="9">
        <v>3335.5121584038402</v>
      </c>
      <c r="T45" s="7" t="s">
        <v>34</v>
      </c>
      <c r="U45" s="7"/>
    </row>
    <row r="46" spans="1:21" ht="14.1" customHeight="1">
      <c r="A46" s="7">
        <v>42</v>
      </c>
      <c r="B46" s="14" t="s">
        <v>124</v>
      </c>
      <c r="C46" s="14" t="s">
        <v>1120</v>
      </c>
      <c r="D46" s="7" t="s">
        <v>45</v>
      </c>
      <c r="E46" s="14" t="s">
        <v>46</v>
      </c>
      <c r="F46" s="7" t="s">
        <v>26</v>
      </c>
      <c r="G46" s="8" t="s">
        <v>1214</v>
      </c>
      <c r="H46" s="7" t="s">
        <v>1196</v>
      </c>
      <c r="I46" s="8" t="s">
        <v>1215</v>
      </c>
      <c r="J46" s="7" t="s">
        <v>30</v>
      </c>
      <c r="K46" s="7"/>
      <c r="L46" s="7" t="s">
        <v>307</v>
      </c>
      <c r="M46" s="7">
        <v>8301409000</v>
      </c>
      <c r="N46" s="7">
        <v>1</v>
      </c>
      <c r="O46" s="7"/>
      <c r="P46" s="7"/>
      <c r="R46" s="9">
        <v>3335.5121584038402</v>
      </c>
      <c r="T46" s="7" t="s">
        <v>34</v>
      </c>
      <c r="U46" s="7"/>
    </row>
    <row r="47" spans="1:21" ht="14.1" customHeight="1">
      <c r="A47" s="7">
        <v>43</v>
      </c>
      <c r="B47" s="14" t="s">
        <v>124</v>
      </c>
      <c r="C47" s="14" t="s">
        <v>1120</v>
      </c>
      <c r="D47" s="7" t="s">
        <v>45</v>
      </c>
      <c r="E47" s="14" t="s">
        <v>46</v>
      </c>
      <c r="F47" s="7" t="s">
        <v>26</v>
      </c>
      <c r="G47" s="8" t="s">
        <v>1216</v>
      </c>
      <c r="H47" s="7" t="s">
        <v>1196</v>
      </c>
      <c r="I47" s="8" t="s">
        <v>1217</v>
      </c>
      <c r="J47" s="7" t="s">
        <v>30</v>
      </c>
      <c r="K47" s="7"/>
      <c r="L47" s="7" t="s">
        <v>307</v>
      </c>
      <c r="M47" s="7">
        <v>8301409000</v>
      </c>
      <c r="N47" s="7">
        <v>1</v>
      </c>
      <c r="O47" s="7"/>
      <c r="P47" s="7"/>
      <c r="R47" s="9">
        <v>6504.3511194542198</v>
      </c>
      <c r="T47" s="7" t="s">
        <v>34</v>
      </c>
      <c r="U47" s="7"/>
    </row>
    <row r="48" spans="1:21" ht="14.1" customHeight="1">
      <c r="A48" s="7">
        <v>44</v>
      </c>
      <c r="B48" s="14" t="s">
        <v>124</v>
      </c>
      <c r="C48" s="14" t="s">
        <v>1120</v>
      </c>
      <c r="D48" s="7" t="s">
        <v>45</v>
      </c>
      <c r="E48" s="14" t="s">
        <v>46</v>
      </c>
      <c r="F48" s="7" t="s">
        <v>26</v>
      </c>
      <c r="G48" s="8" t="s">
        <v>1218</v>
      </c>
      <c r="H48" s="135" t="s">
        <v>1196</v>
      </c>
      <c r="I48" s="8" t="s">
        <v>1219</v>
      </c>
      <c r="J48" s="7" t="s">
        <v>30</v>
      </c>
      <c r="K48" s="135"/>
      <c r="L48" s="7" t="s">
        <v>307</v>
      </c>
      <c r="M48" s="7">
        <v>8302419000</v>
      </c>
      <c r="N48" s="7">
        <v>1</v>
      </c>
      <c r="O48" s="7"/>
      <c r="P48" s="7"/>
      <c r="R48" s="9">
        <v>6504.3511194542198</v>
      </c>
      <c r="T48" s="7" t="s">
        <v>34</v>
      </c>
      <c r="U48" s="7"/>
    </row>
    <row r="49" spans="1:21" ht="14.1" customHeight="1">
      <c r="A49" s="7">
        <v>45</v>
      </c>
      <c r="B49" s="14" t="s">
        <v>124</v>
      </c>
      <c r="C49" s="14" t="s">
        <v>1120</v>
      </c>
      <c r="D49" s="7" t="s">
        <v>45</v>
      </c>
      <c r="E49" s="14" t="s">
        <v>46</v>
      </c>
      <c r="F49" s="7" t="s">
        <v>26</v>
      </c>
      <c r="G49" s="8" t="s">
        <v>1220</v>
      </c>
      <c r="H49" s="135" t="s">
        <v>1221</v>
      </c>
      <c r="I49" s="8" t="s">
        <v>1222</v>
      </c>
      <c r="J49" s="7" t="s">
        <v>30</v>
      </c>
      <c r="K49" s="135" t="s">
        <v>1001</v>
      </c>
      <c r="L49" s="7" t="s">
        <v>307</v>
      </c>
      <c r="M49" s="7">
        <v>8301409000</v>
      </c>
      <c r="N49" s="7">
        <v>1</v>
      </c>
      <c r="O49" s="7"/>
      <c r="P49" s="7"/>
      <c r="R49" s="9">
        <v>875.86637196035758</v>
      </c>
      <c r="T49" s="7" t="s">
        <v>34</v>
      </c>
      <c r="U49" s="7"/>
    </row>
    <row r="50" spans="1:21" ht="14.1" customHeight="1">
      <c r="A50" s="7">
        <v>46</v>
      </c>
      <c r="B50" s="14" t="s">
        <v>124</v>
      </c>
      <c r="C50" s="14" t="s">
        <v>1120</v>
      </c>
      <c r="D50" s="7" t="s">
        <v>45</v>
      </c>
      <c r="E50" s="14" t="s">
        <v>46</v>
      </c>
      <c r="F50" s="7" t="s">
        <v>26</v>
      </c>
      <c r="G50" s="8" t="s">
        <v>1223</v>
      </c>
      <c r="H50" s="135" t="s">
        <v>1187</v>
      </c>
      <c r="I50" s="8" t="s">
        <v>1224</v>
      </c>
      <c r="J50" s="7" t="s">
        <v>30</v>
      </c>
      <c r="K50" s="135"/>
      <c r="L50" s="7" t="s">
        <v>307</v>
      </c>
      <c r="M50" s="7">
        <v>8301700000</v>
      </c>
      <c r="N50" s="7">
        <v>1</v>
      </c>
      <c r="O50" s="7"/>
      <c r="P50" s="7"/>
      <c r="R50" s="9">
        <v>483.63390138354731</v>
      </c>
      <c r="T50" s="7" t="s">
        <v>34</v>
      </c>
      <c r="U50" s="7"/>
    </row>
    <row r="51" spans="1:21" ht="14.1" customHeight="1">
      <c r="A51" s="7">
        <v>47</v>
      </c>
      <c r="B51" s="14" t="s">
        <v>124</v>
      </c>
      <c r="C51" s="14" t="s">
        <v>1120</v>
      </c>
      <c r="D51" s="7" t="s">
        <v>35</v>
      </c>
      <c r="E51" s="14" t="s">
        <v>1225</v>
      </c>
      <c r="F51" s="7" t="s">
        <v>26</v>
      </c>
      <c r="G51" s="8" t="s">
        <v>1226</v>
      </c>
      <c r="H51" s="135" t="s">
        <v>1196</v>
      </c>
      <c r="I51" s="8" t="s">
        <v>1227</v>
      </c>
      <c r="J51" s="7" t="s">
        <v>30</v>
      </c>
      <c r="K51" s="135"/>
      <c r="L51" s="7" t="s">
        <v>307</v>
      </c>
      <c r="M51" s="7">
        <v>8301401900</v>
      </c>
      <c r="N51" s="7">
        <v>1</v>
      </c>
      <c r="O51" s="7"/>
      <c r="P51" s="7"/>
      <c r="R51" s="9">
        <v>14363.33801033266</v>
      </c>
      <c r="T51" s="7" t="s">
        <v>34</v>
      </c>
      <c r="U51" s="7"/>
    </row>
    <row r="52" spans="1:21" ht="14.1" customHeight="1">
      <c r="A52" s="7">
        <v>48</v>
      </c>
      <c r="B52" s="14" t="s">
        <v>124</v>
      </c>
      <c r="C52" s="14" t="s">
        <v>1120</v>
      </c>
      <c r="D52" s="7" t="s">
        <v>35</v>
      </c>
      <c r="E52" s="14" t="s">
        <v>1225</v>
      </c>
      <c r="F52" s="7" t="s">
        <v>26</v>
      </c>
      <c r="G52" s="8" t="s">
        <v>1228</v>
      </c>
      <c r="H52" s="135" t="s">
        <v>1196</v>
      </c>
      <c r="I52" s="8" t="s">
        <v>1229</v>
      </c>
      <c r="J52" s="7" t="s">
        <v>30</v>
      </c>
      <c r="K52" s="135"/>
      <c r="L52" s="7" t="s">
        <v>307</v>
      </c>
      <c r="M52" s="7">
        <v>8301401900</v>
      </c>
      <c r="N52" s="7">
        <v>1</v>
      </c>
      <c r="O52" s="7"/>
      <c r="P52" s="7"/>
      <c r="R52" s="9">
        <v>14363.33801033266</v>
      </c>
      <c r="T52" s="7" t="s">
        <v>34</v>
      </c>
      <c r="U52" s="7"/>
    </row>
    <row r="53" spans="1:21" ht="14.1" customHeight="1">
      <c r="A53" s="7">
        <v>49</v>
      </c>
      <c r="B53" s="14" t="s">
        <v>124</v>
      </c>
      <c r="C53" s="14" t="s">
        <v>1120</v>
      </c>
      <c r="D53" s="7" t="s">
        <v>35</v>
      </c>
      <c r="E53" s="14" t="s">
        <v>1148</v>
      </c>
      <c r="F53" s="7" t="s">
        <v>26</v>
      </c>
      <c r="G53" s="8" t="s">
        <v>1230</v>
      </c>
      <c r="H53" s="135" t="s">
        <v>1221</v>
      </c>
      <c r="I53" s="8" t="s">
        <v>1231</v>
      </c>
      <c r="J53" s="7" t="s">
        <v>30</v>
      </c>
      <c r="K53" s="135" t="s">
        <v>1001</v>
      </c>
      <c r="L53" s="7" t="s">
        <v>307</v>
      </c>
      <c r="M53" s="7">
        <v>8301401900</v>
      </c>
      <c r="N53" s="7">
        <v>1</v>
      </c>
      <c r="O53" s="7"/>
      <c r="P53" s="7"/>
      <c r="R53" s="9">
        <v>5241.3728052535625</v>
      </c>
      <c r="T53" s="7" t="s">
        <v>34</v>
      </c>
      <c r="U53" s="7"/>
    </row>
    <row r="54" spans="1:21" ht="14.1" customHeight="1">
      <c r="A54" s="7">
        <v>50</v>
      </c>
      <c r="B54" s="14" t="s">
        <v>124</v>
      </c>
      <c r="C54" s="14" t="s">
        <v>1120</v>
      </c>
      <c r="D54" s="7" t="s">
        <v>35</v>
      </c>
      <c r="E54" s="14" t="s">
        <v>1225</v>
      </c>
      <c r="F54" s="7" t="s">
        <v>26</v>
      </c>
      <c r="G54" s="8" t="s">
        <v>1232</v>
      </c>
      <c r="H54" s="135" t="s">
        <v>1196</v>
      </c>
      <c r="I54" s="8" t="s">
        <v>1227</v>
      </c>
      <c r="J54" s="7" t="s">
        <v>30</v>
      </c>
      <c r="K54" s="135"/>
      <c r="L54" s="7" t="s">
        <v>307</v>
      </c>
      <c r="M54" s="7">
        <v>8301401900</v>
      </c>
      <c r="N54" s="7">
        <v>1</v>
      </c>
      <c r="O54" s="7"/>
      <c r="P54" s="7"/>
      <c r="R54" s="9">
        <v>11542.182923331429</v>
      </c>
      <c r="T54" s="7" t="s">
        <v>34</v>
      </c>
      <c r="U54" s="7"/>
    </row>
    <row r="55" spans="1:21" ht="14.1" customHeight="1">
      <c r="A55" s="7">
        <v>51</v>
      </c>
      <c r="B55" s="14" t="s">
        <v>124</v>
      </c>
      <c r="C55" s="14" t="s">
        <v>1120</v>
      </c>
      <c r="D55" s="7" t="s">
        <v>35</v>
      </c>
      <c r="E55" s="14" t="s">
        <v>1225</v>
      </c>
      <c r="F55" s="7" t="s">
        <v>26</v>
      </c>
      <c r="G55" s="8" t="s">
        <v>1233</v>
      </c>
      <c r="H55" s="135" t="s">
        <v>1196</v>
      </c>
      <c r="I55" s="8" t="s">
        <v>1229</v>
      </c>
      <c r="J55" s="7" t="s">
        <v>30</v>
      </c>
      <c r="K55" s="135"/>
      <c r="L55" s="7" t="s">
        <v>307</v>
      </c>
      <c r="M55" s="7">
        <v>8301401900</v>
      </c>
      <c r="N55" s="7">
        <v>1</v>
      </c>
      <c r="O55" s="7"/>
      <c r="P55" s="7"/>
      <c r="R55" s="9">
        <v>11214.21308337785</v>
      </c>
      <c r="T55" s="7" t="s">
        <v>34</v>
      </c>
      <c r="U55" s="7"/>
    </row>
    <row r="56" spans="1:21" ht="14.1" customHeight="1">
      <c r="A56" s="7">
        <v>52</v>
      </c>
      <c r="B56" s="14" t="s">
        <v>124</v>
      </c>
      <c r="C56" s="14" t="s">
        <v>1120</v>
      </c>
      <c r="D56" s="7" t="s">
        <v>35</v>
      </c>
      <c r="E56" s="14" t="s">
        <v>1148</v>
      </c>
      <c r="F56" s="7" t="s">
        <v>26</v>
      </c>
      <c r="G56" s="8" t="s">
        <v>1234</v>
      </c>
      <c r="H56" s="135" t="s">
        <v>1221</v>
      </c>
      <c r="I56" s="8" t="s">
        <v>1235</v>
      </c>
      <c r="J56" s="7" t="s">
        <v>30</v>
      </c>
      <c r="K56" s="135" t="s">
        <v>1001</v>
      </c>
      <c r="L56" s="7" t="s">
        <v>307</v>
      </c>
      <c r="M56" s="7">
        <v>8301401900</v>
      </c>
      <c r="N56" s="7">
        <v>1</v>
      </c>
      <c r="O56" s="7"/>
      <c r="P56" s="7"/>
      <c r="R56" s="9">
        <v>5241.3728052535625</v>
      </c>
      <c r="T56" s="7" t="s">
        <v>34</v>
      </c>
      <c r="U56" s="7"/>
    </row>
    <row r="57" spans="1:21" ht="14.1" customHeight="1">
      <c r="A57" s="7">
        <v>53</v>
      </c>
      <c r="B57" s="14" t="s">
        <v>124</v>
      </c>
      <c r="C57" s="14" t="s">
        <v>1120</v>
      </c>
      <c r="D57" s="7" t="s">
        <v>35</v>
      </c>
      <c r="E57" s="14" t="s">
        <v>1153</v>
      </c>
      <c r="F57" s="7" t="s">
        <v>26</v>
      </c>
      <c r="G57" s="8" t="s">
        <v>1236</v>
      </c>
      <c r="H57" s="135" t="s">
        <v>1187</v>
      </c>
      <c r="I57" s="8" t="s">
        <v>1237</v>
      </c>
      <c r="J57" s="7" t="s">
        <v>30</v>
      </c>
      <c r="K57" s="135"/>
      <c r="L57" s="7" t="s">
        <v>307</v>
      </c>
      <c r="M57" s="7">
        <v>8301700000</v>
      </c>
      <c r="N57" s="7">
        <v>1</v>
      </c>
      <c r="O57" s="7"/>
      <c r="P57" s="7"/>
      <c r="R57" s="9">
        <v>790.86560157426027</v>
      </c>
      <c r="T57" s="7" t="s">
        <v>34</v>
      </c>
      <c r="U57" s="7"/>
    </row>
    <row r="58" spans="1:21" ht="14.1" customHeight="1">
      <c r="A58" s="7">
        <v>54</v>
      </c>
      <c r="B58" s="14" t="s">
        <v>124</v>
      </c>
      <c r="C58" s="14" t="s">
        <v>1120</v>
      </c>
      <c r="D58" s="7" t="s">
        <v>35</v>
      </c>
      <c r="E58" s="14" t="s">
        <v>1156</v>
      </c>
      <c r="F58" s="7" t="s">
        <v>26</v>
      </c>
      <c r="G58" s="8" t="s">
        <v>1238</v>
      </c>
      <c r="H58" s="135" t="s">
        <v>1187</v>
      </c>
      <c r="I58" s="8" t="s">
        <v>1239</v>
      </c>
      <c r="J58" s="7" t="s">
        <v>30</v>
      </c>
      <c r="K58" s="135"/>
      <c r="L58" s="7" t="s">
        <v>307</v>
      </c>
      <c r="M58" s="7">
        <v>8301700000</v>
      </c>
      <c r="N58" s="7">
        <v>1</v>
      </c>
      <c r="O58" s="7"/>
      <c r="P58" s="7"/>
      <c r="R58" s="9">
        <v>790.86560157426027</v>
      </c>
      <c r="T58" s="7" t="s">
        <v>34</v>
      </c>
      <c r="U58" s="7"/>
    </row>
    <row r="59" spans="1:21" ht="14.1" customHeight="1">
      <c r="A59" s="7">
        <v>55</v>
      </c>
      <c r="B59" s="14" t="s">
        <v>124</v>
      </c>
      <c r="C59" s="14" t="s">
        <v>1120</v>
      </c>
      <c r="D59" s="7" t="s">
        <v>35</v>
      </c>
      <c r="E59" s="14" t="s">
        <v>1225</v>
      </c>
      <c r="F59" s="7" t="s">
        <v>26</v>
      </c>
      <c r="G59" s="8" t="s">
        <v>1240</v>
      </c>
      <c r="H59" s="135" t="s">
        <v>1196</v>
      </c>
      <c r="I59" s="8" t="s">
        <v>1227</v>
      </c>
      <c r="J59" s="7" t="s">
        <v>30</v>
      </c>
      <c r="K59" s="135"/>
      <c r="L59" s="7" t="s">
        <v>307</v>
      </c>
      <c r="M59" s="7">
        <v>8301401900</v>
      </c>
      <c r="N59" s="7">
        <v>1</v>
      </c>
      <c r="O59" s="7"/>
      <c r="P59" s="7"/>
      <c r="R59" s="9">
        <v>8846.9928334084052</v>
      </c>
      <c r="T59" s="7" t="s">
        <v>34</v>
      </c>
      <c r="U59" s="7"/>
    </row>
    <row r="60" spans="1:21" ht="14.1" customHeight="1">
      <c r="A60" s="7">
        <v>56</v>
      </c>
      <c r="B60" s="14" t="s">
        <v>124</v>
      </c>
      <c r="C60" s="14" t="s">
        <v>1120</v>
      </c>
      <c r="D60" s="7" t="s">
        <v>35</v>
      </c>
      <c r="E60" s="14" t="s">
        <v>1225</v>
      </c>
      <c r="F60" s="7" t="s">
        <v>26</v>
      </c>
      <c r="G60" s="8" t="s">
        <v>1241</v>
      </c>
      <c r="H60" s="135" t="s">
        <v>1196</v>
      </c>
      <c r="I60" s="8" t="s">
        <v>1229</v>
      </c>
      <c r="J60" s="7" t="s">
        <v>30</v>
      </c>
      <c r="K60" s="135"/>
      <c r="L60" s="7" t="s">
        <v>307</v>
      </c>
      <c r="M60" s="7">
        <v>8301401900</v>
      </c>
      <c r="N60" s="7">
        <v>1</v>
      </c>
      <c r="O60" s="7"/>
      <c r="P60" s="7"/>
      <c r="R60" s="9">
        <v>8846.9928334084052</v>
      </c>
      <c r="T60" s="7" t="s">
        <v>34</v>
      </c>
      <c r="U60" s="7"/>
    </row>
    <row r="61" spans="1:21" ht="14.1" customHeight="1">
      <c r="A61" s="7">
        <v>57</v>
      </c>
      <c r="B61" s="14" t="s">
        <v>124</v>
      </c>
      <c r="C61" s="14" t="s">
        <v>1120</v>
      </c>
      <c r="D61" s="7" t="s">
        <v>35</v>
      </c>
      <c r="E61" s="14" t="s">
        <v>1148</v>
      </c>
      <c r="F61" s="7" t="s">
        <v>26</v>
      </c>
      <c r="G61" s="8" t="s">
        <v>1242</v>
      </c>
      <c r="H61" s="135" t="s">
        <v>1221</v>
      </c>
      <c r="I61" s="8" t="s">
        <v>1243</v>
      </c>
      <c r="J61" s="7" t="s">
        <v>30</v>
      </c>
      <c r="K61" s="135" t="s">
        <v>1001</v>
      </c>
      <c r="L61" s="7" t="s">
        <v>307</v>
      </c>
      <c r="M61" s="7">
        <v>8301401900</v>
      </c>
      <c r="N61" s="7">
        <v>1</v>
      </c>
      <c r="O61" s="7"/>
      <c r="P61" s="7"/>
      <c r="R61" s="9">
        <v>2620.6864026267808</v>
      </c>
      <c r="T61" s="7" t="s">
        <v>34</v>
      </c>
      <c r="U61" s="7"/>
    </row>
    <row r="62" spans="1:21" ht="14.1" customHeight="1">
      <c r="A62" s="7">
        <v>58</v>
      </c>
      <c r="B62" s="14" t="s">
        <v>124</v>
      </c>
      <c r="C62" s="14" t="s">
        <v>1120</v>
      </c>
      <c r="D62" s="7" t="s">
        <v>35</v>
      </c>
      <c r="E62" s="14" t="s">
        <v>1156</v>
      </c>
      <c r="F62" s="7" t="s">
        <v>26</v>
      </c>
      <c r="G62" s="8" t="s">
        <v>1244</v>
      </c>
      <c r="H62" s="135" t="s">
        <v>1187</v>
      </c>
      <c r="I62" s="8" t="s">
        <v>1245</v>
      </c>
      <c r="J62" s="7" t="s">
        <v>30</v>
      </c>
      <c r="K62" s="135"/>
      <c r="L62" s="7" t="s">
        <v>307</v>
      </c>
      <c r="M62" s="7">
        <v>8301700000</v>
      </c>
      <c r="N62" s="7">
        <v>1</v>
      </c>
      <c r="O62" s="7"/>
      <c r="P62" s="7"/>
      <c r="R62" s="9">
        <v>790.86560157426027</v>
      </c>
      <c r="T62" s="7" t="s">
        <v>34</v>
      </c>
      <c r="U62" s="7"/>
    </row>
    <row r="63" spans="1:21" ht="14.1" customHeight="1">
      <c r="A63" s="7">
        <v>59</v>
      </c>
      <c r="B63" s="14" t="s">
        <v>124</v>
      </c>
      <c r="C63" s="14" t="s">
        <v>1120</v>
      </c>
      <c r="D63" s="7" t="s">
        <v>35</v>
      </c>
      <c r="E63" s="14" t="s">
        <v>1246</v>
      </c>
      <c r="F63" s="7" t="s">
        <v>26</v>
      </c>
      <c r="G63" s="8" t="s">
        <v>1247</v>
      </c>
      <c r="H63" s="135" t="s">
        <v>1196</v>
      </c>
      <c r="I63" s="8" t="s">
        <v>1248</v>
      </c>
      <c r="J63" s="7" t="s">
        <v>30</v>
      </c>
      <c r="K63" s="135"/>
      <c r="L63" s="7" t="s">
        <v>307</v>
      </c>
      <c r="M63" s="7">
        <v>8302419000</v>
      </c>
      <c r="N63" s="7">
        <v>1</v>
      </c>
      <c r="O63" s="7"/>
      <c r="P63" s="7"/>
      <c r="R63" s="9">
        <v>2536.1976850743349</v>
      </c>
      <c r="T63" s="7" t="s">
        <v>34</v>
      </c>
      <c r="U63" s="7"/>
    </row>
    <row r="64" spans="1:21" ht="14.1" customHeight="1">
      <c r="A64" s="7">
        <v>60</v>
      </c>
      <c r="B64" s="14" t="s">
        <v>124</v>
      </c>
      <c r="C64" s="14" t="s">
        <v>1120</v>
      </c>
      <c r="D64" s="7" t="s">
        <v>35</v>
      </c>
      <c r="E64" s="14" t="s">
        <v>1159</v>
      </c>
      <c r="F64" s="7" t="s">
        <v>26</v>
      </c>
      <c r="G64" s="8" t="s">
        <v>1249</v>
      </c>
      <c r="H64" s="135" t="s">
        <v>1221</v>
      </c>
      <c r="I64" s="8" t="s">
        <v>1250</v>
      </c>
      <c r="J64" s="7" t="s">
        <v>30</v>
      </c>
      <c r="K64" s="135" t="s">
        <v>1001</v>
      </c>
      <c r="L64" s="7" t="s">
        <v>307</v>
      </c>
      <c r="M64" s="7">
        <v>8301600090</v>
      </c>
      <c r="N64" s="7">
        <v>1</v>
      </c>
      <c r="O64" s="7"/>
      <c r="P64" s="7"/>
      <c r="R64" s="9">
        <v>42.500385193048622</v>
      </c>
      <c r="T64" s="7" t="s">
        <v>34</v>
      </c>
      <c r="U64" s="7"/>
    </row>
    <row r="65" spans="1:21" ht="14.1" customHeight="1">
      <c r="A65" s="7">
        <v>61</v>
      </c>
      <c r="B65" s="14" t="s">
        <v>124</v>
      </c>
      <c r="C65" s="14" t="s">
        <v>1120</v>
      </c>
      <c r="D65" s="7" t="s">
        <v>45</v>
      </c>
      <c r="E65" s="14" t="s">
        <v>46</v>
      </c>
      <c r="F65" s="7" t="s">
        <v>26</v>
      </c>
      <c r="G65" s="8" t="s">
        <v>1251</v>
      </c>
      <c r="H65" s="135" t="s">
        <v>1196</v>
      </c>
      <c r="I65" s="8" t="s">
        <v>1252</v>
      </c>
      <c r="J65" s="7" t="s">
        <v>30</v>
      </c>
      <c r="K65" s="135"/>
      <c r="L65" s="7" t="s">
        <v>307</v>
      </c>
      <c r="M65" s="7">
        <v>8301401900</v>
      </c>
      <c r="N65" s="7">
        <v>1</v>
      </c>
      <c r="O65" s="7"/>
      <c r="P65" s="7"/>
      <c r="R65" s="9">
        <v>26463.658522343889</v>
      </c>
      <c r="T65" s="7" t="s">
        <v>34</v>
      </c>
      <c r="U65" s="7"/>
    </row>
    <row r="66" spans="1:21" ht="14.1" customHeight="1">
      <c r="A66" s="7">
        <v>62</v>
      </c>
      <c r="B66" s="14" t="s">
        <v>124</v>
      </c>
      <c r="C66" s="14" t="s">
        <v>1120</v>
      </c>
      <c r="D66" s="7" t="s">
        <v>45</v>
      </c>
      <c r="E66" s="14" t="s">
        <v>46</v>
      </c>
      <c r="F66" s="7" t="s">
        <v>26</v>
      </c>
      <c r="G66" s="8" t="s">
        <v>1253</v>
      </c>
      <c r="H66" s="135" t="s">
        <v>1196</v>
      </c>
      <c r="I66" s="8" t="s">
        <v>1254</v>
      </c>
      <c r="J66" s="7" t="s">
        <v>30</v>
      </c>
      <c r="K66" s="135"/>
      <c r="L66" s="7" t="s">
        <v>307</v>
      </c>
      <c r="M66" s="7">
        <v>8301401900</v>
      </c>
      <c r="N66" s="7">
        <v>1</v>
      </c>
      <c r="O66" s="7"/>
      <c r="P66" s="7"/>
      <c r="R66" s="9">
        <v>26463.658522343889</v>
      </c>
      <c r="T66" s="7" t="s">
        <v>34</v>
      </c>
      <c r="U66" s="7"/>
    </row>
    <row r="67" spans="1:21" ht="14.1" customHeight="1">
      <c r="A67" s="7">
        <v>63</v>
      </c>
      <c r="B67" s="14" t="s">
        <v>124</v>
      </c>
      <c r="C67" s="14" t="s">
        <v>1120</v>
      </c>
      <c r="D67" s="7" t="s">
        <v>45</v>
      </c>
      <c r="E67" s="14" t="s">
        <v>46</v>
      </c>
      <c r="F67" s="7" t="s">
        <v>26</v>
      </c>
      <c r="G67" s="8" t="s">
        <v>1255</v>
      </c>
      <c r="H67" s="135" t="s">
        <v>1196</v>
      </c>
      <c r="I67" s="8" t="s">
        <v>1256</v>
      </c>
      <c r="J67" s="7" t="s">
        <v>30</v>
      </c>
      <c r="K67" s="135"/>
      <c r="L67" s="7" t="s">
        <v>307</v>
      </c>
      <c r="M67" s="7">
        <v>8301401900</v>
      </c>
      <c r="N67" s="7">
        <v>1</v>
      </c>
      <c r="O67" s="7"/>
      <c r="P67" s="7"/>
      <c r="R67" s="9">
        <v>23560.31895554165</v>
      </c>
      <c r="T67" s="7" t="s">
        <v>34</v>
      </c>
      <c r="U67" s="7"/>
    </row>
    <row r="68" spans="1:21" ht="14.1" customHeight="1">
      <c r="A68" s="7">
        <v>64</v>
      </c>
      <c r="B68" s="14" t="s">
        <v>124</v>
      </c>
      <c r="C68" s="14" t="s">
        <v>1120</v>
      </c>
      <c r="D68" s="7" t="s">
        <v>45</v>
      </c>
      <c r="E68" s="14" t="s">
        <v>46</v>
      </c>
      <c r="F68" s="7" t="s">
        <v>26</v>
      </c>
      <c r="G68" s="8" t="s">
        <v>1257</v>
      </c>
      <c r="H68" s="135" t="s">
        <v>1196</v>
      </c>
      <c r="I68" s="8" t="s">
        <v>1258</v>
      </c>
      <c r="J68" s="7" t="s">
        <v>30</v>
      </c>
      <c r="K68" s="135"/>
      <c r="L68" s="7" t="s">
        <v>307</v>
      </c>
      <c r="M68" s="7">
        <v>8301401900</v>
      </c>
      <c r="N68" s="7">
        <v>1</v>
      </c>
      <c r="O68" s="7"/>
      <c r="P68" s="7"/>
      <c r="R68" s="9">
        <v>23560.31895554165</v>
      </c>
      <c r="T68" s="7" t="s">
        <v>34</v>
      </c>
      <c r="U68" s="7"/>
    </row>
    <row r="69" spans="1:21" ht="14.1" customHeight="1">
      <c r="A69" s="7">
        <v>65</v>
      </c>
      <c r="B69" s="14" t="s">
        <v>124</v>
      </c>
      <c r="C69" s="14" t="s">
        <v>1120</v>
      </c>
      <c r="D69" s="7" t="s">
        <v>45</v>
      </c>
      <c r="E69" s="14" t="s">
        <v>46</v>
      </c>
      <c r="F69" s="7" t="s">
        <v>26</v>
      </c>
      <c r="G69" s="8" t="s">
        <v>1259</v>
      </c>
      <c r="H69" s="135" t="s">
        <v>1196</v>
      </c>
      <c r="I69" s="8" t="s">
        <v>1260</v>
      </c>
      <c r="J69" s="7" t="s">
        <v>30</v>
      </c>
      <c r="K69" s="135"/>
      <c r="L69" s="7" t="s">
        <v>307</v>
      </c>
      <c r="M69" s="7">
        <v>8301401900</v>
      </c>
      <c r="N69" s="7">
        <v>1</v>
      </c>
      <c r="O69" s="7"/>
      <c r="P69" s="7"/>
      <c r="R69" s="9">
        <v>32988.491755144147</v>
      </c>
      <c r="T69" s="7" t="s">
        <v>34</v>
      </c>
      <c r="U69" s="7"/>
    </row>
    <row r="70" spans="1:21" ht="14.1" customHeight="1">
      <c r="A70" s="7">
        <v>66</v>
      </c>
      <c r="B70" s="14" t="s">
        <v>124</v>
      </c>
      <c r="C70" s="14" t="s">
        <v>1120</v>
      </c>
      <c r="D70" s="7" t="s">
        <v>45</v>
      </c>
      <c r="E70" s="14" t="s">
        <v>46</v>
      </c>
      <c r="F70" s="7" t="s">
        <v>26</v>
      </c>
      <c r="G70" s="8" t="s">
        <v>1261</v>
      </c>
      <c r="H70" s="135" t="s">
        <v>1196</v>
      </c>
      <c r="I70" s="8" t="s">
        <v>1262</v>
      </c>
      <c r="J70" s="7" t="s">
        <v>30</v>
      </c>
      <c r="K70" s="135"/>
      <c r="L70" s="7" t="s">
        <v>307</v>
      </c>
      <c r="M70" s="7">
        <v>8301401900</v>
      </c>
      <c r="N70" s="7">
        <v>1</v>
      </c>
      <c r="O70" s="7"/>
      <c r="P70" s="7"/>
      <c r="R70" s="9">
        <v>32988.491755144147</v>
      </c>
      <c r="T70" s="7" t="s">
        <v>34</v>
      </c>
      <c r="U70" s="7"/>
    </row>
    <row r="71" spans="1:21" ht="14.1" customHeight="1">
      <c r="A71" s="7">
        <v>67</v>
      </c>
      <c r="B71" s="14" t="s">
        <v>124</v>
      </c>
      <c r="C71" s="14" t="s">
        <v>1120</v>
      </c>
      <c r="D71" s="7" t="s">
        <v>45</v>
      </c>
      <c r="E71" s="14" t="s">
        <v>46</v>
      </c>
      <c r="F71" s="7" t="s">
        <v>26</v>
      </c>
      <c r="G71" s="8" t="s">
        <v>1263</v>
      </c>
      <c r="H71" s="135" t="s">
        <v>1196</v>
      </c>
      <c r="I71" s="8" t="s">
        <v>1264</v>
      </c>
      <c r="J71" s="7" t="s">
        <v>30</v>
      </c>
      <c r="K71" s="135"/>
      <c r="L71" s="7" t="s">
        <v>307</v>
      </c>
      <c r="M71" s="7">
        <v>8301401900</v>
      </c>
      <c r="N71" s="7">
        <v>1</v>
      </c>
      <c r="O71" s="7"/>
      <c r="P71" s="7"/>
      <c r="R71" s="9">
        <v>29612.015370048211</v>
      </c>
      <c r="T71" s="7" t="s">
        <v>34</v>
      </c>
      <c r="U71" s="7"/>
    </row>
    <row r="72" spans="1:21" ht="14.1" customHeight="1">
      <c r="A72" s="7">
        <v>68</v>
      </c>
      <c r="B72" s="14" t="s">
        <v>124</v>
      </c>
      <c r="C72" s="14" t="s">
        <v>1120</v>
      </c>
      <c r="D72" s="7" t="s">
        <v>45</v>
      </c>
      <c r="E72" s="14" t="s">
        <v>46</v>
      </c>
      <c r="F72" s="7" t="s">
        <v>26</v>
      </c>
      <c r="G72" s="8" t="s">
        <v>1265</v>
      </c>
      <c r="H72" s="135" t="s">
        <v>1196</v>
      </c>
      <c r="I72" s="8" t="s">
        <v>1266</v>
      </c>
      <c r="J72" s="7" t="s">
        <v>30</v>
      </c>
      <c r="K72" s="135"/>
      <c r="L72" s="7" t="s">
        <v>307</v>
      </c>
      <c r="M72" s="7">
        <v>8301401900</v>
      </c>
      <c r="N72" s="7">
        <v>1</v>
      </c>
      <c r="O72" s="7"/>
      <c r="P72" s="7"/>
      <c r="R72" s="9">
        <v>29612.015370048211</v>
      </c>
      <c r="T72" s="7" t="s">
        <v>34</v>
      </c>
      <c r="U72" s="7"/>
    </row>
    <row r="73" spans="1:21" ht="14.1" customHeight="1">
      <c r="A73" s="7">
        <v>69</v>
      </c>
      <c r="B73" s="14" t="s">
        <v>124</v>
      </c>
      <c r="C73" s="14" t="s">
        <v>1120</v>
      </c>
      <c r="D73" s="7" t="s">
        <v>45</v>
      </c>
      <c r="E73" s="14" t="s">
        <v>46</v>
      </c>
      <c r="F73" s="7" t="s">
        <v>26</v>
      </c>
      <c r="G73" s="8" t="s">
        <v>1267</v>
      </c>
      <c r="H73" s="135" t="s">
        <v>1196</v>
      </c>
      <c r="I73" s="8" t="s">
        <v>1268</v>
      </c>
      <c r="J73" s="7" t="s">
        <v>30</v>
      </c>
      <c r="K73" s="135"/>
      <c r="L73" s="7" t="s">
        <v>307</v>
      </c>
      <c r="M73" s="7">
        <v>8302419000</v>
      </c>
      <c r="N73" s="7">
        <v>1</v>
      </c>
      <c r="O73" s="7"/>
      <c r="P73" s="7"/>
      <c r="R73" s="9">
        <v>8691.5847983952699</v>
      </c>
      <c r="T73" s="7" t="s">
        <v>34</v>
      </c>
      <c r="U73" s="7"/>
    </row>
    <row r="74" spans="1:21" ht="14.1" customHeight="1">
      <c r="A74" s="7">
        <v>70</v>
      </c>
      <c r="B74" s="14" t="s">
        <v>124</v>
      </c>
      <c r="C74" s="14" t="s">
        <v>1120</v>
      </c>
      <c r="D74" s="7" t="s">
        <v>45</v>
      </c>
      <c r="E74" s="14" t="s">
        <v>46</v>
      </c>
      <c r="F74" s="7" t="s">
        <v>26</v>
      </c>
      <c r="G74" s="8" t="s">
        <v>1269</v>
      </c>
      <c r="H74" s="135" t="s">
        <v>1196</v>
      </c>
      <c r="I74" s="8" t="s">
        <v>1270</v>
      </c>
      <c r="J74" s="7" t="s">
        <v>30</v>
      </c>
      <c r="K74" s="135"/>
      <c r="L74" s="7" t="s">
        <v>307</v>
      </c>
      <c r="M74" s="7">
        <v>8302419000</v>
      </c>
      <c r="N74" s="7">
        <v>1</v>
      </c>
      <c r="O74" s="7"/>
      <c r="P74" s="7"/>
      <c r="R74" s="9">
        <v>5958.5027987820522</v>
      </c>
      <c r="T74" s="7" t="s">
        <v>34</v>
      </c>
      <c r="U74" s="7"/>
    </row>
    <row r="75" spans="1:21" ht="14.1" customHeight="1">
      <c r="A75" s="7">
        <v>71</v>
      </c>
      <c r="B75" s="14" t="s">
        <v>124</v>
      </c>
      <c r="C75" s="14" t="s">
        <v>1120</v>
      </c>
      <c r="D75" s="7" t="s">
        <v>35</v>
      </c>
      <c r="E75" s="14" t="s">
        <v>1159</v>
      </c>
      <c r="F75" s="7" t="s">
        <v>26</v>
      </c>
      <c r="G75" s="8" t="s">
        <v>1271</v>
      </c>
      <c r="H75" s="135" t="s">
        <v>1196</v>
      </c>
      <c r="I75" s="8" t="s">
        <v>1272</v>
      </c>
      <c r="J75" s="7" t="s">
        <v>30</v>
      </c>
      <c r="K75" s="135"/>
      <c r="L75" s="7" t="s">
        <v>307</v>
      </c>
      <c r="M75" s="7">
        <v>8301401900</v>
      </c>
      <c r="N75" s="7">
        <v>1</v>
      </c>
      <c r="O75" s="7"/>
      <c r="P75" s="7"/>
      <c r="R75" s="9">
        <v>7191.5260222141123</v>
      </c>
      <c r="T75" s="7" t="s">
        <v>34</v>
      </c>
      <c r="U75" s="7"/>
    </row>
    <row r="76" spans="1:21" ht="14.1" customHeight="1">
      <c r="A76" s="7">
        <v>72</v>
      </c>
      <c r="B76" s="14" t="s">
        <v>124</v>
      </c>
      <c r="C76" s="14" t="s">
        <v>1120</v>
      </c>
      <c r="D76" s="7" t="s">
        <v>35</v>
      </c>
      <c r="E76" s="14" t="s">
        <v>1153</v>
      </c>
      <c r="F76" s="7" t="s">
        <v>26</v>
      </c>
      <c r="G76" s="8" t="s">
        <v>1273</v>
      </c>
      <c r="H76" s="135" t="s">
        <v>1187</v>
      </c>
      <c r="I76" s="8" t="s">
        <v>1274</v>
      </c>
      <c r="J76" s="7" t="s">
        <v>30</v>
      </c>
      <c r="K76" s="135"/>
      <c r="L76" s="7" t="s">
        <v>307</v>
      </c>
      <c r="M76" s="7">
        <v>8301700000</v>
      </c>
      <c r="N76" s="7">
        <v>1</v>
      </c>
      <c r="O76" s="7"/>
      <c r="P76" s="7"/>
      <c r="R76" s="9">
        <v>790.86560157426027</v>
      </c>
      <c r="T76" s="7" t="s">
        <v>34</v>
      </c>
      <c r="U76" s="7"/>
    </row>
    <row r="77" spans="1:21" ht="14.1" customHeight="1">
      <c r="A77" s="7">
        <v>73</v>
      </c>
      <c r="B77" s="14" t="s">
        <v>124</v>
      </c>
      <c r="C77" s="14" t="s">
        <v>1120</v>
      </c>
      <c r="D77" s="7" t="s">
        <v>35</v>
      </c>
      <c r="E77" s="14" t="s">
        <v>1156</v>
      </c>
      <c r="F77" s="7" t="s">
        <v>26</v>
      </c>
      <c r="G77" s="8" t="s">
        <v>1275</v>
      </c>
      <c r="H77" s="135" t="s">
        <v>1187</v>
      </c>
      <c r="I77" s="8" t="s">
        <v>1276</v>
      </c>
      <c r="J77" s="7" t="s">
        <v>30</v>
      </c>
      <c r="K77" s="135"/>
      <c r="L77" s="7" t="s">
        <v>307</v>
      </c>
      <c r="M77" s="7">
        <v>8301700000</v>
      </c>
      <c r="N77" s="7">
        <v>1</v>
      </c>
      <c r="O77" s="7"/>
      <c r="P77" s="7"/>
      <c r="R77" s="9">
        <v>790.86560157426027</v>
      </c>
      <c r="T77" s="7" t="s">
        <v>34</v>
      </c>
      <c r="U77" s="7"/>
    </row>
    <row r="78" spans="1:21" ht="14.1" customHeight="1">
      <c r="A78" s="7">
        <v>74</v>
      </c>
      <c r="B78" s="14" t="s">
        <v>124</v>
      </c>
      <c r="C78" s="14" t="s">
        <v>1120</v>
      </c>
      <c r="D78" s="7" t="s">
        <v>35</v>
      </c>
      <c r="E78" s="14" t="s">
        <v>1246</v>
      </c>
      <c r="F78" s="7" t="s">
        <v>26</v>
      </c>
      <c r="G78" s="8" t="s">
        <v>1277</v>
      </c>
      <c r="H78" s="135" t="s">
        <v>1196</v>
      </c>
      <c r="I78" s="8" t="s">
        <v>1278</v>
      </c>
      <c r="J78" s="7" t="s">
        <v>30</v>
      </c>
      <c r="K78" s="135"/>
      <c r="L78" s="7" t="s">
        <v>307</v>
      </c>
      <c r="M78" s="7">
        <v>8302419000</v>
      </c>
      <c r="N78" s="7">
        <v>1</v>
      </c>
      <c r="O78" s="7"/>
      <c r="P78" s="7"/>
      <c r="R78" s="9">
        <v>3560.5593787935368</v>
      </c>
      <c r="T78" s="7" t="s">
        <v>34</v>
      </c>
      <c r="U78" s="7"/>
    </row>
    <row r="79" spans="1:21" ht="14.1" customHeight="1">
      <c r="A79" s="7">
        <v>75</v>
      </c>
      <c r="B79" s="14" t="s">
        <v>124</v>
      </c>
      <c r="C79" s="14" t="s">
        <v>1120</v>
      </c>
      <c r="D79" s="7" t="s">
        <v>35</v>
      </c>
      <c r="E79" s="14" t="s">
        <v>1225</v>
      </c>
      <c r="F79" s="7" t="s">
        <v>26</v>
      </c>
      <c r="G79" s="8" t="s">
        <v>1279</v>
      </c>
      <c r="H79" s="135" t="s">
        <v>1221</v>
      </c>
      <c r="I79" s="8" t="s">
        <v>1280</v>
      </c>
      <c r="J79" s="7" t="s">
        <v>30</v>
      </c>
      <c r="K79" s="135" t="s">
        <v>1001</v>
      </c>
      <c r="L79" s="7" t="s">
        <v>307</v>
      </c>
      <c r="M79" s="7">
        <v>8301401900</v>
      </c>
      <c r="N79" s="7">
        <v>1</v>
      </c>
      <c r="O79" s="7"/>
      <c r="P79" s="7"/>
      <c r="R79" s="9">
        <v>13283.4185841623</v>
      </c>
      <c r="T79" s="7" t="s">
        <v>34</v>
      </c>
      <c r="U79" s="7"/>
    </row>
    <row r="80" spans="1:21" ht="14.1" customHeight="1">
      <c r="A80" s="7">
        <v>76</v>
      </c>
      <c r="B80" s="14" t="s">
        <v>124</v>
      </c>
      <c r="C80" s="14" t="s">
        <v>1120</v>
      </c>
      <c r="D80" s="7" t="s">
        <v>35</v>
      </c>
      <c r="E80" s="14" t="s">
        <v>1153</v>
      </c>
      <c r="F80" s="7" t="s">
        <v>26</v>
      </c>
      <c r="G80" s="8" t="s">
        <v>1281</v>
      </c>
      <c r="H80" s="135" t="s">
        <v>1187</v>
      </c>
      <c r="I80" s="8" t="s">
        <v>1282</v>
      </c>
      <c r="J80" s="7" t="s">
        <v>30</v>
      </c>
      <c r="K80" s="135"/>
      <c r="L80" s="7" t="s">
        <v>307</v>
      </c>
      <c r="M80" s="7">
        <v>8301700000</v>
      </c>
      <c r="N80" s="7">
        <v>1</v>
      </c>
      <c r="O80" s="7"/>
      <c r="P80" s="7"/>
      <c r="R80" s="9">
        <v>790.86560157426027</v>
      </c>
      <c r="T80" s="7" t="s">
        <v>34</v>
      </c>
      <c r="U80" s="7"/>
    </row>
    <row r="81" spans="1:21" ht="14.1" customHeight="1">
      <c r="A81" s="7">
        <v>77</v>
      </c>
      <c r="B81" s="14" t="s">
        <v>124</v>
      </c>
      <c r="C81" s="14" t="s">
        <v>1120</v>
      </c>
      <c r="D81" s="7" t="s">
        <v>35</v>
      </c>
      <c r="E81" s="14" t="s">
        <v>1156</v>
      </c>
      <c r="F81" s="7" t="s">
        <v>26</v>
      </c>
      <c r="G81" s="8" t="s">
        <v>1283</v>
      </c>
      <c r="H81" s="135" t="s">
        <v>1187</v>
      </c>
      <c r="I81" s="8" t="s">
        <v>1284</v>
      </c>
      <c r="J81" s="7" t="s">
        <v>30</v>
      </c>
      <c r="K81" s="135"/>
      <c r="L81" s="7" t="s">
        <v>307</v>
      </c>
      <c r="M81" s="7">
        <v>8301700000</v>
      </c>
      <c r="N81" s="7">
        <v>1</v>
      </c>
      <c r="O81" s="7"/>
      <c r="P81" s="7"/>
      <c r="R81" s="9">
        <v>790.86560157426027</v>
      </c>
      <c r="T81" s="7" t="s">
        <v>34</v>
      </c>
      <c r="U81" s="7"/>
    </row>
    <row r="82" spans="1:21" ht="14.1" customHeight="1">
      <c r="A82" s="7">
        <v>78</v>
      </c>
      <c r="B82" s="14" t="s">
        <v>124</v>
      </c>
      <c r="C82" s="14" t="s">
        <v>1120</v>
      </c>
      <c r="D82" s="7" t="s">
        <v>35</v>
      </c>
      <c r="E82" s="14" t="s">
        <v>1159</v>
      </c>
      <c r="F82" s="7" t="s">
        <v>26</v>
      </c>
      <c r="G82" s="8" t="s">
        <v>1285</v>
      </c>
      <c r="H82" s="135" t="s">
        <v>1221</v>
      </c>
      <c r="I82" s="8" t="s">
        <v>1286</v>
      </c>
      <c r="J82" s="7" t="s">
        <v>30</v>
      </c>
      <c r="K82" s="135" t="s">
        <v>1001</v>
      </c>
      <c r="L82" s="7" t="s">
        <v>307</v>
      </c>
      <c r="M82" s="7">
        <v>8301600090</v>
      </c>
      <c r="N82" s="7">
        <v>1</v>
      </c>
      <c r="O82" s="7"/>
      <c r="P82" s="7"/>
      <c r="R82" s="9">
        <v>64.518657040049703</v>
      </c>
      <c r="T82" s="7" t="s">
        <v>34</v>
      </c>
      <c r="U82" s="7"/>
    </row>
    <row r="83" spans="1:21" ht="14.1" customHeight="1">
      <c r="A83" s="7">
        <v>79</v>
      </c>
      <c r="B83" s="14" t="s">
        <v>124</v>
      </c>
      <c r="C83" s="14" t="s">
        <v>1120</v>
      </c>
      <c r="D83" s="7" t="s">
        <v>35</v>
      </c>
      <c r="E83" s="14" t="s">
        <v>1287</v>
      </c>
      <c r="F83" s="7" t="s">
        <v>26</v>
      </c>
      <c r="G83" s="8" t="s">
        <v>1288</v>
      </c>
      <c r="H83" s="135" t="s">
        <v>567</v>
      </c>
      <c r="I83" s="8" t="s">
        <v>1289</v>
      </c>
      <c r="J83" s="7" t="s">
        <v>30</v>
      </c>
      <c r="K83" s="135" t="s">
        <v>1124</v>
      </c>
      <c r="L83" s="7" t="s">
        <v>307</v>
      </c>
      <c r="M83" s="7">
        <v>8301401900</v>
      </c>
      <c r="N83" s="7">
        <v>1</v>
      </c>
      <c r="O83" s="7"/>
      <c r="P83" s="7"/>
      <c r="R83" s="9">
        <v>2189.2818902756549</v>
      </c>
      <c r="T83" s="7" t="s">
        <v>34</v>
      </c>
      <c r="U83" s="7"/>
    </row>
    <row r="84" spans="1:21" ht="14.1" customHeight="1">
      <c r="A84" s="7">
        <v>80</v>
      </c>
      <c r="B84" s="14" t="s">
        <v>124</v>
      </c>
      <c r="C84" s="14" t="s">
        <v>1120</v>
      </c>
      <c r="D84" s="7" t="s">
        <v>35</v>
      </c>
      <c r="E84" s="14" t="s">
        <v>1121</v>
      </c>
      <c r="F84" s="7" t="s">
        <v>26</v>
      </c>
      <c r="G84" s="8" t="s">
        <v>1290</v>
      </c>
      <c r="H84" s="135" t="s">
        <v>567</v>
      </c>
      <c r="I84" s="8" t="s">
        <v>1291</v>
      </c>
      <c r="J84" s="7" t="s">
        <v>30</v>
      </c>
      <c r="K84" s="135" t="s">
        <v>1124</v>
      </c>
      <c r="L84" s="7" t="s">
        <v>307</v>
      </c>
      <c r="M84" s="7">
        <v>8301401900</v>
      </c>
      <c r="N84" s="7">
        <v>1</v>
      </c>
      <c r="O84" s="7"/>
      <c r="P84" s="7"/>
      <c r="R84" s="9">
        <v>2076.8862932892189</v>
      </c>
      <c r="T84" s="7" t="s">
        <v>34</v>
      </c>
      <c r="U84" s="7"/>
    </row>
    <row r="85" spans="1:21" ht="14.1" customHeight="1">
      <c r="A85" s="7">
        <v>81</v>
      </c>
      <c r="B85" s="14" t="s">
        <v>124</v>
      </c>
      <c r="C85" s="14" t="s">
        <v>1120</v>
      </c>
      <c r="D85" s="7" t="s">
        <v>35</v>
      </c>
      <c r="E85" s="14" t="s">
        <v>1246</v>
      </c>
      <c r="F85" s="7" t="s">
        <v>26</v>
      </c>
      <c r="G85" s="8" t="s">
        <v>1292</v>
      </c>
      <c r="H85" s="135" t="s">
        <v>1187</v>
      </c>
      <c r="I85" s="8" t="s">
        <v>1293</v>
      </c>
      <c r="J85" s="7" t="s">
        <v>30</v>
      </c>
      <c r="K85" s="135"/>
      <c r="L85" s="7" t="s">
        <v>307</v>
      </c>
      <c r="M85" s="7">
        <v>8302419000</v>
      </c>
      <c r="N85" s="7">
        <v>1</v>
      </c>
      <c r="O85" s="7"/>
      <c r="P85" s="7"/>
      <c r="R85" s="9">
        <v>1226.8785894282471</v>
      </c>
      <c r="T85" s="7" t="s">
        <v>34</v>
      </c>
      <c r="U85" s="7"/>
    </row>
    <row r="86" spans="1:21" ht="14.1" customHeight="1">
      <c r="A86" s="7">
        <v>82</v>
      </c>
      <c r="B86" s="14" t="s">
        <v>124</v>
      </c>
      <c r="C86" s="14" t="s">
        <v>1120</v>
      </c>
      <c r="D86" s="7" t="s">
        <v>35</v>
      </c>
      <c r="E86" s="14" t="s">
        <v>1287</v>
      </c>
      <c r="F86" s="7" t="s">
        <v>26</v>
      </c>
      <c r="G86" s="8" t="s">
        <v>1294</v>
      </c>
      <c r="H86" s="7" t="s">
        <v>567</v>
      </c>
      <c r="I86" s="8" t="s">
        <v>1295</v>
      </c>
      <c r="J86" s="7" t="s">
        <v>30</v>
      </c>
      <c r="K86" s="135" t="s">
        <v>1124</v>
      </c>
      <c r="L86" s="7" t="s">
        <v>307</v>
      </c>
      <c r="M86" s="7">
        <v>8301401900</v>
      </c>
      <c r="N86" s="7">
        <v>1</v>
      </c>
      <c r="O86" s="7"/>
      <c r="P86" s="7"/>
      <c r="R86" s="9">
        <v>2922.0294952305062</v>
      </c>
      <c r="T86" s="7" t="s">
        <v>34</v>
      </c>
      <c r="U86" s="7"/>
    </row>
    <row r="87" spans="1:21" ht="14.1" customHeight="1">
      <c r="A87" s="7">
        <v>83</v>
      </c>
      <c r="B87" s="14" t="s">
        <v>124</v>
      </c>
      <c r="C87" s="14" t="s">
        <v>1120</v>
      </c>
      <c r="D87" s="7" t="s">
        <v>35</v>
      </c>
      <c r="E87" s="14" t="s">
        <v>1287</v>
      </c>
      <c r="F87" s="7" t="s">
        <v>26</v>
      </c>
      <c r="G87" s="8" t="s">
        <v>1296</v>
      </c>
      <c r="H87" s="7" t="s">
        <v>567</v>
      </c>
      <c r="I87" s="8" t="s">
        <v>1297</v>
      </c>
      <c r="J87" s="7" t="s">
        <v>30</v>
      </c>
      <c r="K87" s="135" t="s">
        <v>1124</v>
      </c>
      <c r="L87" s="7" t="s">
        <v>307</v>
      </c>
      <c r="M87" s="7">
        <v>8301401900</v>
      </c>
      <c r="N87" s="7">
        <v>1</v>
      </c>
      <c r="O87" s="7"/>
      <c r="P87" s="7"/>
      <c r="R87" s="9">
        <v>3259.7283390234638</v>
      </c>
      <c r="T87" s="7" t="s">
        <v>34</v>
      </c>
      <c r="U87" s="7"/>
    </row>
    <row r="88" spans="1:21" ht="14.1" customHeight="1">
      <c r="A88" s="7">
        <v>84</v>
      </c>
      <c r="B88" s="14" t="s">
        <v>124</v>
      </c>
      <c r="C88" s="14" t="s">
        <v>1120</v>
      </c>
      <c r="D88" s="7" t="s">
        <v>35</v>
      </c>
      <c r="E88" s="14" t="s">
        <v>1121</v>
      </c>
      <c r="F88" s="7" t="s">
        <v>26</v>
      </c>
      <c r="G88" s="8" t="s">
        <v>1298</v>
      </c>
      <c r="H88" s="7" t="s">
        <v>567</v>
      </c>
      <c r="I88" s="8" t="s">
        <v>1299</v>
      </c>
      <c r="J88" s="7" t="s">
        <v>30</v>
      </c>
      <c r="K88" s="135" t="s">
        <v>1124</v>
      </c>
      <c r="L88" s="7" t="s">
        <v>307</v>
      </c>
      <c r="M88" s="7">
        <v>8301401900</v>
      </c>
      <c r="N88" s="7">
        <v>1</v>
      </c>
      <c r="O88" s="7"/>
      <c r="P88" s="7"/>
      <c r="R88" s="9">
        <v>3112.769175765573</v>
      </c>
      <c r="T88" s="7" t="s">
        <v>34</v>
      </c>
      <c r="U88" s="7"/>
    </row>
    <row r="89" spans="1:21" ht="14.1" customHeight="1">
      <c r="A89" s="7">
        <v>85</v>
      </c>
      <c r="B89" s="14" t="s">
        <v>124</v>
      </c>
      <c r="C89" s="14" t="s">
        <v>1120</v>
      </c>
      <c r="D89" s="7" t="s">
        <v>35</v>
      </c>
      <c r="E89" s="14" t="s">
        <v>1121</v>
      </c>
      <c r="F89" s="7" t="s">
        <v>26</v>
      </c>
      <c r="G89" s="8" t="s">
        <v>1300</v>
      </c>
      <c r="H89" s="7" t="s">
        <v>567</v>
      </c>
      <c r="I89" s="8" t="s">
        <v>1299</v>
      </c>
      <c r="J89" s="7" t="s">
        <v>30</v>
      </c>
      <c r="K89" s="135" t="s">
        <v>1124</v>
      </c>
      <c r="L89" s="7" t="s">
        <v>307</v>
      </c>
      <c r="M89" s="7">
        <v>8301401900</v>
      </c>
      <c r="N89" s="7">
        <v>1</v>
      </c>
      <c r="O89" s="7"/>
      <c r="P89" s="7"/>
      <c r="R89" s="9">
        <v>3112.769175765573</v>
      </c>
      <c r="T89" s="7" t="s">
        <v>34</v>
      </c>
      <c r="U89" s="7"/>
    </row>
    <row r="90" spans="1:21" ht="14.1" customHeight="1">
      <c r="A90" s="7">
        <v>86</v>
      </c>
      <c r="B90" s="14" t="s">
        <v>124</v>
      </c>
      <c r="C90" s="14" t="s">
        <v>1120</v>
      </c>
      <c r="D90" s="7" t="s">
        <v>35</v>
      </c>
      <c r="E90" s="14" t="s">
        <v>1246</v>
      </c>
      <c r="F90" s="7" t="s">
        <v>26</v>
      </c>
      <c r="G90" s="8" t="s">
        <v>1301</v>
      </c>
      <c r="H90" s="7" t="s">
        <v>1196</v>
      </c>
      <c r="I90" s="8" t="s">
        <v>1302</v>
      </c>
      <c r="J90" s="7" t="s">
        <v>30</v>
      </c>
      <c r="K90" s="135"/>
      <c r="L90" s="7" t="s">
        <v>307</v>
      </c>
      <c r="M90" s="7">
        <v>8302419000</v>
      </c>
      <c r="N90" s="7">
        <v>1</v>
      </c>
      <c r="O90" s="7"/>
      <c r="P90" s="7"/>
      <c r="R90" s="9">
        <v>1897.6678015113041</v>
      </c>
      <c r="T90" s="7" t="s">
        <v>34</v>
      </c>
      <c r="U90" s="7"/>
    </row>
    <row r="91" spans="1:21" ht="14.1" customHeight="1">
      <c r="A91" s="7">
        <v>87</v>
      </c>
      <c r="B91" s="14" t="s">
        <v>124</v>
      </c>
      <c r="C91" s="14" t="s">
        <v>1120</v>
      </c>
      <c r="D91" s="7" t="s">
        <v>35</v>
      </c>
      <c r="E91" s="14" t="s">
        <v>1246</v>
      </c>
      <c r="F91" s="7" t="s">
        <v>26</v>
      </c>
      <c r="G91" s="8" t="s">
        <v>1303</v>
      </c>
      <c r="H91" s="7" t="s">
        <v>1304</v>
      </c>
      <c r="I91" s="8" t="s">
        <v>1305</v>
      </c>
      <c r="J91" s="7" t="s">
        <v>30</v>
      </c>
      <c r="K91" s="135"/>
      <c r="L91" s="7" t="s">
        <v>307</v>
      </c>
      <c r="M91" s="7">
        <v>8302419000</v>
      </c>
      <c r="N91" s="7">
        <v>1</v>
      </c>
      <c r="O91" s="7"/>
      <c r="P91" s="7"/>
      <c r="R91" s="9">
        <v>925.02344399087156</v>
      </c>
      <c r="T91" s="7" t="s">
        <v>34</v>
      </c>
      <c r="U91" s="7"/>
    </row>
    <row r="92" spans="1:21" ht="14.1" customHeight="1">
      <c r="A92" s="7">
        <v>88</v>
      </c>
      <c r="B92" s="14" t="s">
        <v>124</v>
      </c>
      <c r="C92" s="14" t="s">
        <v>1120</v>
      </c>
      <c r="D92" s="7" t="s">
        <v>35</v>
      </c>
      <c r="E92" s="14" t="s">
        <v>1287</v>
      </c>
      <c r="F92" s="7" t="s">
        <v>26</v>
      </c>
      <c r="G92" s="8" t="s">
        <v>1306</v>
      </c>
      <c r="H92" s="7" t="s">
        <v>567</v>
      </c>
      <c r="I92" s="8" t="s">
        <v>1307</v>
      </c>
      <c r="J92" s="7" t="s">
        <v>30</v>
      </c>
      <c r="K92" s="135" t="s">
        <v>1124</v>
      </c>
      <c r="L92" s="7" t="s">
        <v>307</v>
      </c>
      <c r="M92" s="7">
        <v>8301401900</v>
      </c>
      <c r="N92" s="7">
        <v>1</v>
      </c>
      <c r="O92" s="7"/>
      <c r="P92" s="7"/>
      <c r="R92" s="9">
        <v>3103.5522247598519</v>
      </c>
      <c r="T92" s="7" t="s">
        <v>34</v>
      </c>
      <c r="U92" s="7"/>
    </row>
    <row r="93" spans="1:21" ht="14.1" customHeight="1">
      <c r="A93" s="7">
        <v>89</v>
      </c>
      <c r="B93" s="14" t="s">
        <v>124</v>
      </c>
      <c r="C93" s="14" t="s">
        <v>1120</v>
      </c>
      <c r="D93" s="7" t="s">
        <v>35</v>
      </c>
      <c r="E93" s="14" t="s">
        <v>1287</v>
      </c>
      <c r="F93" s="7" t="s">
        <v>26</v>
      </c>
      <c r="G93" s="8" t="s">
        <v>1308</v>
      </c>
      <c r="H93" s="7" t="s">
        <v>567</v>
      </c>
      <c r="I93" s="8" t="s">
        <v>1309</v>
      </c>
      <c r="J93" s="7" t="s">
        <v>30</v>
      </c>
      <c r="K93" s="135" t="s">
        <v>1124</v>
      </c>
      <c r="L93" s="7" t="s">
        <v>307</v>
      </c>
      <c r="M93" s="7">
        <v>8301401900</v>
      </c>
      <c r="N93" s="7">
        <v>1</v>
      </c>
      <c r="O93" s="7"/>
      <c r="P93" s="7"/>
      <c r="R93" s="9">
        <v>3103.5522247598519</v>
      </c>
      <c r="T93" s="7" t="s">
        <v>34</v>
      </c>
      <c r="U93" s="7"/>
    </row>
    <row r="94" spans="1:21" ht="14.1" customHeight="1">
      <c r="A94" s="7">
        <v>90</v>
      </c>
      <c r="B94" s="14" t="s">
        <v>124</v>
      </c>
      <c r="C94" s="14" t="s">
        <v>1120</v>
      </c>
      <c r="D94" s="7" t="s">
        <v>35</v>
      </c>
      <c r="E94" s="14" t="s">
        <v>1121</v>
      </c>
      <c r="F94" s="7" t="s">
        <v>26</v>
      </c>
      <c r="G94" s="8" t="s">
        <v>1310</v>
      </c>
      <c r="H94" s="7" t="s">
        <v>567</v>
      </c>
      <c r="I94" s="8" t="s">
        <v>1311</v>
      </c>
      <c r="J94" s="7" t="s">
        <v>30</v>
      </c>
      <c r="K94" s="135" t="s">
        <v>1124</v>
      </c>
      <c r="L94" s="7" t="s">
        <v>307</v>
      </c>
      <c r="M94" s="7">
        <v>8301401900</v>
      </c>
      <c r="N94" s="7">
        <v>1</v>
      </c>
      <c r="O94" s="7"/>
      <c r="P94" s="7"/>
      <c r="R94" s="9">
        <v>2786.8475471465922</v>
      </c>
      <c r="T94" s="7" t="s">
        <v>34</v>
      </c>
      <c r="U94" s="7"/>
    </row>
    <row r="95" spans="1:21" ht="14.1" customHeight="1">
      <c r="A95" s="7">
        <v>91</v>
      </c>
      <c r="B95" s="14" t="s">
        <v>124</v>
      </c>
      <c r="C95" s="14" t="s">
        <v>1120</v>
      </c>
      <c r="D95" s="7" t="s">
        <v>35</v>
      </c>
      <c r="E95" s="14" t="s">
        <v>1121</v>
      </c>
      <c r="F95" s="7" t="s">
        <v>26</v>
      </c>
      <c r="G95" s="8" t="s">
        <v>1312</v>
      </c>
      <c r="H95" s="7" t="s">
        <v>567</v>
      </c>
      <c r="I95" s="8" t="s">
        <v>1313</v>
      </c>
      <c r="J95" s="7" t="s">
        <v>30</v>
      </c>
      <c r="K95" s="135" t="s">
        <v>1124</v>
      </c>
      <c r="L95" s="7" t="s">
        <v>307</v>
      </c>
      <c r="M95" s="7">
        <v>8301401900</v>
      </c>
      <c r="N95" s="7">
        <v>1</v>
      </c>
      <c r="O95" s="7"/>
      <c r="P95" s="7"/>
      <c r="R95" s="9">
        <v>2786.8475471465922</v>
      </c>
      <c r="T95" s="7" t="s">
        <v>34</v>
      </c>
      <c r="U95" s="7"/>
    </row>
    <row r="96" spans="1:21" ht="14.1" customHeight="1">
      <c r="A96" s="7">
        <v>92</v>
      </c>
      <c r="B96" s="14" t="s">
        <v>124</v>
      </c>
      <c r="C96" s="14" t="s">
        <v>1120</v>
      </c>
      <c r="D96" s="7" t="s">
        <v>35</v>
      </c>
      <c r="E96" s="14" t="s">
        <v>1246</v>
      </c>
      <c r="F96" s="7" t="s">
        <v>26</v>
      </c>
      <c r="G96" s="8" t="s">
        <v>1314</v>
      </c>
      <c r="H96" s="7" t="s">
        <v>1304</v>
      </c>
      <c r="I96" s="8" t="s">
        <v>1315</v>
      </c>
      <c r="J96" s="7" t="s">
        <v>30</v>
      </c>
      <c r="K96" s="135"/>
      <c r="L96" s="7" t="s">
        <v>307</v>
      </c>
      <c r="M96" s="7">
        <v>8302419000</v>
      </c>
      <c r="N96" s="7">
        <v>1</v>
      </c>
      <c r="O96" s="7"/>
      <c r="P96" s="7"/>
      <c r="R96" s="9">
        <v>1180.2817815659889</v>
      </c>
      <c r="T96" s="7" t="s">
        <v>34</v>
      </c>
      <c r="U96" s="7"/>
    </row>
    <row r="97" spans="1:21" ht="14.1" customHeight="1">
      <c r="A97" s="7">
        <v>93</v>
      </c>
      <c r="B97" s="14" t="s">
        <v>124</v>
      </c>
      <c r="C97" s="14" t="s">
        <v>1120</v>
      </c>
      <c r="D97" s="7" t="s">
        <v>35</v>
      </c>
      <c r="E97" s="14" t="s">
        <v>1316</v>
      </c>
      <c r="F97" s="7" t="s">
        <v>26</v>
      </c>
      <c r="G97" s="8" t="s">
        <v>1317</v>
      </c>
      <c r="H97" s="7" t="s">
        <v>567</v>
      </c>
      <c r="I97" s="8" t="s">
        <v>1318</v>
      </c>
      <c r="J97" s="7" t="s">
        <v>30</v>
      </c>
      <c r="K97" s="135" t="s">
        <v>1124</v>
      </c>
      <c r="L97" s="7" t="s">
        <v>307</v>
      </c>
      <c r="M97" s="7">
        <v>8301401900</v>
      </c>
      <c r="N97" s="7">
        <v>1</v>
      </c>
      <c r="O97" s="7"/>
      <c r="P97" s="7"/>
      <c r="R97" s="9">
        <v>507.95641098197871</v>
      </c>
      <c r="T97" s="7" t="s">
        <v>34</v>
      </c>
      <c r="U97" s="7"/>
    </row>
    <row r="98" spans="1:21" ht="14.1" customHeight="1">
      <c r="A98" s="7">
        <v>94</v>
      </c>
      <c r="B98" s="14" t="s">
        <v>124</v>
      </c>
      <c r="C98" s="14" t="s">
        <v>1120</v>
      </c>
      <c r="D98" s="7" t="s">
        <v>35</v>
      </c>
      <c r="E98" s="14" t="s">
        <v>1153</v>
      </c>
      <c r="F98" s="7" t="s">
        <v>26</v>
      </c>
      <c r="G98" s="8" t="s">
        <v>1319</v>
      </c>
      <c r="H98" s="7" t="s">
        <v>1320</v>
      </c>
      <c r="I98" s="8" t="s">
        <v>1321</v>
      </c>
      <c r="J98" s="7" t="s">
        <v>30</v>
      </c>
      <c r="K98" s="135" t="s">
        <v>1322</v>
      </c>
      <c r="L98" s="7" t="s">
        <v>307</v>
      </c>
      <c r="M98" s="7">
        <v>8301700000</v>
      </c>
      <c r="N98" s="7">
        <v>1</v>
      </c>
      <c r="O98" s="7"/>
      <c r="P98" s="7"/>
      <c r="R98" s="9">
        <v>282.65316417545591</v>
      </c>
      <c r="T98" s="7" t="s">
        <v>34</v>
      </c>
      <c r="U98" s="7"/>
    </row>
    <row r="99" spans="1:21" ht="14.1" customHeight="1">
      <c r="A99" s="7">
        <v>95</v>
      </c>
      <c r="B99" s="14" t="s">
        <v>124</v>
      </c>
      <c r="C99" s="14" t="s">
        <v>1120</v>
      </c>
      <c r="D99" s="7" t="s">
        <v>35</v>
      </c>
      <c r="E99" s="14" t="s">
        <v>1156</v>
      </c>
      <c r="F99" s="7" t="s">
        <v>26</v>
      </c>
      <c r="G99" s="8" t="s">
        <v>1323</v>
      </c>
      <c r="H99" s="7" t="s">
        <v>1320</v>
      </c>
      <c r="I99" s="8" t="s">
        <v>1324</v>
      </c>
      <c r="J99" s="7" t="s">
        <v>30</v>
      </c>
      <c r="K99" s="135" t="s">
        <v>1322</v>
      </c>
      <c r="L99" s="7" t="s">
        <v>307</v>
      </c>
      <c r="M99" s="7">
        <v>8301700000</v>
      </c>
      <c r="N99" s="7">
        <v>1</v>
      </c>
      <c r="O99" s="7"/>
      <c r="P99" s="7"/>
      <c r="R99" s="9">
        <v>282.65316417545591</v>
      </c>
      <c r="T99" s="7" t="s">
        <v>34</v>
      </c>
      <c r="U99" s="7"/>
    </row>
    <row r="100" spans="1:21" ht="14.1" customHeight="1">
      <c r="A100" s="7">
        <v>96</v>
      </c>
      <c r="B100" s="14" t="s">
        <v>124</v>
      </c>
      <c r="C100" s="14" t="s">
        <v>1120</v>
      </c>
      <c r="D100" s="7" t="s">
        <v>35</v>
      </c>
      <c r="E100" s="14" t="s">
        <v>1159</v>
      </c>
      <c r="F100" s="7" t="s">
        <v>26</v>
      </c>
      <c r="G100" s="8" t="s">
        <v>1325</v>
      </c>
      <c r="H100" s="7" t="s">
        <v>1304</v>
      </c>
      <c r="I100" s="8" t="s">
        <v>1326</v>
      </c>
      <c r="J100" s="7" t="s">
        <v>30</v>
      </c>
      <c r="K100" s="135"/>
      <c r="L100" s="7" t="s">
        <v>307</v>
      </c>
      <c r="M100" s="7">
        <v>8301600090</v>
      </c>
      <c r="N100" s="7">
        <v>1</v>
      </c>
      <c r="O100" s="7"/>
      <c r="P100" s="7"/>
      <c r="R100" s="9">
        <v>106.7630158162727</v>
      </c>
      <c r="T100" s="7" t="s">
        <v>34</v>
      </c>
      <c r="U100" s="7"/>
    </row>
    <row r="101" spans="1:21" ht="14.1" customHeight="1">
      <c r="A101" s="7">
        <v>97</v>
      </c>
      <c r="B101" s="14" t="s">
        <v>124</v>
      </c>
      <c r="C101" s="14" t="s">
        <v>1120</v>
      </c>
      <c r="D101" s="7" t="s">
        <v>944</v>
      </c>
      <c r="E101" s="14" t="s">
        <v>1327</v>
      </c>
      <c r="F101" s="7" t="s">
        <v>26</v>
      </c>
      <c r="G101" s="8" t="s">
        <v>1328</v>
      </c>
      <c r="H101" s="7" t="s">
        <v>1329</v>
      </c>
      <c r="I101" s="8" t="s">
        <v>1330</v>
      </c>
      <c r="J101" s="7" t="s">
        <v>30</v>
      </c>
      <c r="K101" s="135"/>
      <c r="L101" s="7" t="s">
        <v>307</v>
      </c>
      <c r="M101" s="7">
        <v>8301409000</v>
      </c>
      <c r="N101" s="7">
        <v>1</v>
      </c>
      <c r="O101" s="7"/>
      <c r="P101" s="7"/>
      <c r="R101" s="9">
        <v>21203.595788662049</v>
      </c>
      <c r="T101" s="7" t="s">
        <v>34</v>
      </c>
      <c r="U101" s="7"/>
    </row>
    <row r="102" spans="1:21" ht="14.1" customHeight="1">
      <c r="A102" s="7">
        <v>98</v>
      </c>
      <c r="B102" s="14" t="s">
        <v>124</v>
      </c>
      <c r="C102" s="14" t="s">
        <v>1120</v>
      </c>
      <c r="D102" s="7" t="s">
        <v>35</v>
      </c>
      <c r="E102" s="14" t="s">
        <v>1331</v>
      </c>
      <c r="F102" s="7" t="s">
        <v>26</v>
      </c>
      <c r="G102" s="8" t="s">
        <v>1332</v>
      </c>
      <c r="H102" s="7" t="s">
        <v>459</v>
      </c>
      <c r="I102" s="8" t="s">
        <v>1333</v>
      </c>
      <c r="J102" s="7" t="s">
        <v>30</v>
      </c>
      <c r="K102" s="135" t="s">
        <v>1334</v>
      </c>
      <c r="L102" s="7" t="s">
        <v>307</v>
      </c>
      <c r="M102" s="7">
        <v>8301409000</v>
      </c>
      <c r="N102" s="7">
        <v>1</v>
      </c>
      <c r="O102" s="7"/>
      <c r="P102" s="7"/>
      <c r="R102" s="9">
        <v>6280.58403114865</v>
      </c>
      <c r="T102" s="7" t="s">
        <v>34</v>
      </c>
      <c r="U102" s="7"/>
    </row>
    <row r="103" spans="1:21" ht="14.1" customHeight="1">
      <c r="A103" s="7">
        <v>99</v>
      </c>
      <c r="B103" s="14" t="s">
        <v>124</v>
      </c>
      <c r="C103" s="14" t="s">
        <v>1120</v>
      </c>
      <c r="D103" s="7" t="s">
        <v>35</v>
      </c>
      <c r="E103" s="14" t="s">
        <v>1335</v>
      </c>
      <c r="F103" s="7" t="s">
        <v>26</v>
      </c>
      <c r="G103" s="8" t="s">
        <v>1336</v>
      </c>
      <c r="H103" s="7" t="s">
        <v>459</v>
      </c>
      <c r="I103" s="8" t="s">
        <v>1337</v>
      </c>
      <c r="J103" s="7" t="s">
        <v>30</v>
      </c>
      <c r="K103" s="135" t="s">
        <v>1334</v>
      </c>
      <c r="L103" s="7" t="s">
        <v>307</v>
      </c>
      <c r="M103" s="7">
        <v>8301409000</v>
      </c>
      <c r="N103" s="7">
        <v>1</v>
      </c>
      <c r="O103" s="7"/>
      <c r="P103" s="7"/>
      <c r="R103" s="9">
        <v>347.68387404915683</v>
      </c>
      <c r="T103" s="7" t="s">
        <v>34</v>
      </c>
      <c r="U103" s="7"/>
    </row>
    <row r="104" spans="1:21" ht="14.1" customHeight="1">
      <c r="A104" s="7">
        <v>100</v>
      </c>
      <c r="B104" s="14" t="s">
        <v>124</v>
      </c>
      <c r="C104" s="14" t="s">
        <v>1120</v>
      </c>
      <c r="D104" s="7" t="s">
        <v>35</v>
      </c>
      <c r="E104" s="14" t="s">
        <v>1335</v>
      </c>
      <c r="F104" s="7" t="s">
        <v>26</v>
      </c>
      <c r="G104" s="8" t="s">
        <v>1338</v>
      </c>
      <c r="H104" s="7" t="s">
        <v>459</v>
      </c>
      <c r="I104" s="8" t="s">
        <v>1339</v>
      </c>
      <c r="J104" s="7" t="s">
        <v>30</v>
      </c>
      <c r="K104" s="135" t="s">
        <v>1334</v>
      </c>
      <c r="L104" s="7" t="s">
        <v>307</v>
      </c>
      <c r="M104" s="7">
        <v>8301409000</v>
      </c>
      <c r="N104" s="7">
        <v>1</v>
      </c>
      <c r="O104" s="7"/>
      <c r="P104" s="7"/>
      <c r="R104" s="9">
        <v>347.68387404915683</v>
      </c>
      <c r="T104" s="7" t="s">
        <v>34</v>
      </c>
      <c r="U104" s="7"/>
    </row>
    <row r="105" spans="1:21" ht="14.1" customHeight="1">
      <c r="A105" s="7">
        <v>101</v>
      </c>
      <c r="B105" s="14" t="s">
        <v>124</v>
      </c>
      <c r="C105" s="14" t="s">
        <v>1120</v>
      </c>
      <c r="D105" s="7" t="s">
        <v>35</v>
      </c>
      <c r="E105" s="14" t="s">
        <v>1335</v>
      </c>
      <c r="F105" s="7" t="s">
        <v>26</v>
      </c>
      <c r="G105" s="8" t="s">
        <v>1340</v>
      </c>
      <c r="H105" s="7" t="s">
        <v>459</v>
      </c>
      <c r="I105" s="8" t="s">
        <v>1341</v>
      </c>
      <c r="J105" s="7" t="s">
        <v>30</v>
      </c>
      <c r="K105" s="135" t="s">
        <v>1334</v>
      </c>
      <c r="L105" s="7" t="s">
        <v>307</v>
      </c>
      <c r="M105" s="7">
        <v>8301409000</v>
      </c>
      <c r="N105" s="7">
        <v>1</v>
      </c>
      <c r="O105" s="7"/>
      <c r="P105" s="7"/>
      <c r="R105" s="9">
        <v>347.68387404915683</v>
      </c>
      <c r="T105" s="7" t="s">
        <v>34</v>
      </c>
      <c r="U105" s="7"/>
    </row>
    <row r="106" spans="1:21" ht="14.1" customHeight="1">
      <c r="A106" s="7">
        <v>102</v>
      </c>
      <c r="B106" s="14" t="s">
        <v>124</v>
      </c>
      <c r="C106" s="14" t="s">
        <v>1120</v>
      </c>
      <c r="D106" s="7" t="s">
        <v>35</v>
      </c>
      <c r="E106" s="14" t="s">
        <v>1342</v>
      </c>
      <c r="F106" s="7" t="s">
        <v>26</v>
      </c>
      <c r="G106" s="8" t="s">
        <v>1343</v>
      </c>
      <c r="H106" s="7" t="s">
        <v>1221</v>
      </c>
      <c r="I106" s="8" t="s">
        <v>1344</v>
      </c>
      <c r="J106" s="7" t="s">
        <v>30</v>
      </c>
      <c r="K106" s="135" t="s">
        <v>1001</v>
      </c>
      <c r="L106" s="7" t="s">
        <v>307</v>
      </c>
      <c r="M106" s="7">
        <v>8301700000</v>
      </c>
      <c r="N106" s="7">
        <v>1</v>
      </c>
      <c r="O106" s="7"/>
      <c r="P106" s="7"/>
      <c r="R106" s="9">
        <v>162.5767746842522</v>
      </c>
      <c r="T106" s="7" t="s">
        <v>34</v>
      </c>
      <c r="U106" s="7"/>
    </row>
    <row r="107" spans="1:21" ht="14.1" customHeight="1"/>
    <row r="108" spans="1:21" ht="14.1" customHeight="1"/>
    <row r="109" spans="1:21" ht="14.1" customHeight="1"/>
    <row r="110" spans="1:21" ht="14.1" customHeight="1"/>
    <row r="111" spans="1:21" ht="14.1" customHeight="1"/>
    <row r="112" spans="1:21" ht="14.1" customHeight="1"/>
    <row r="113" ht="14.1" customHeight="1"/>
    <row r="114" ht="14.1" customHeight="1"/>
    <row r="115" ht="14.1" customHeight="1"/>
    <row r="116" ht="14.1" customHeight="1"/>
    <row r="117" ht="14.1" customHeight="1"/>
    <row r="118" ht="14.1" customHeight="1"/>
    <row r="119" ht="14.1" customHeight="1"/>
    <row r="120" ht="14.1" customHeight="1"/>
    <row r="121" ht="14.1" customHeight="1"/>
    <row r="122" ht="14.1" customHeight="1"/>
    <row r="123" ht="14.1" customHeight="1"/>
    <row r="124" ht="14.1" customHeight="1"/>
    <row r="125" ht="14.1" customHeight="1"/>
    <row r="126" ht="14.1" customHeight="1"/>
    <row r="127" ht="14.1" customHeight="1"/>
    <row r="128" ht="14.1" customHeight="1"/>
    <row r="129" ht="14.1" customHeight="1"/>
    <row r="130" ht="14.1" customHeight="1"/>
    <row r="131" ht="14.1" customHeight="1"/>
    <row r="132" ht="14.1" customHeight="1"/>
    <row r="133" ht="14.1" customHeight="1"/>
    <row r="134" ht="14.1" customHeight="1"/>
    <row r="135" ht="14.1" customHeight="1"/>
    <row r="136" ht="14.1" customHeight="1"/>
    <row r="137" ht="14.1" customHeight="1"/>
    <row r="138" ht="14.1" customHeight="1"/>
    <row r="139" ht="14.1" customHeight="1"/>
    <row r="140" ht="14.1" customHeight="1"/>
    <row r="141" ht="14.1" customHeight="1"/>
    <row r="142" ht="14.1" customHeight="1"/>
    <row r="143" ht="14.1" customHeight="1"/>
    <row r="144" ht="14.1" customHeight="1"/>
    <row r="145" ht="14.1" customHeight="1"/>
    <row r="146" ht="14.1" customHeight="1"/>
    <row r="147" ht="14.1" customHeight="1"/>
    <row r="148" ht="14.1" customHeight="1"/>
    <row r="149" ht="14.1" customHeight="1"/>
    <row r="150" ht="14.1" customHeight="1"/>
    <row r="151" ht="14.1" customHeight="1"/>
    <row r="152" ht="14.1" customHeight="1"/>
    <row r="153" ht="14.1" customHeight="1"/>
    <row r="154" ht="14.1" customHeight="1"/>
    <row r="155" ht="14.1" customHeight="1"/>
    <row r="156" ht="14.1" customHeight="1"/>
    <row r="157" ht="14.1" customHeight="1"/>
    <row r="158" ht="14.1" customHeight="1"/>
    <row r="159" ht="14.1" customHeight="1"/>
    <row r="160" ht="14.1" customHeight="1"/>
    <row r="161" ht="14.1" customHeight="1"/>
    <row r="162" ht="14.1" customHeight="1"/>
    <row r="163" ht="14.1" customHeight="1"/>
    <row r="164" ht="14.1" customHeight="1"/>
    <row r="165" ht="14.1" customHeight="1"/>
    <row r="166" ht="14.1" customHeight="1"/>
    <row r="167" ht="14.1" customHeight="1"/>
    <row r="168" ht="14.1" customHeight="1"/>
    <row r="169" ht="14.1" customHeight="1"/>
    <row r="170" ht="14.1" customHeight="1"/>
    <row r="171" ht="14.1" customHeight="1"/>
    <row r="172" ht="14.1" customHeight="1"/>
    <row r="173" ht="14.1" customHeight="1"/>
    <row r="174" ht="14.1" customHeight="1"/>
    <row r="175" ht="14.1" customHeight="1"/>
    <row r="176" ht="14.1" customHeight="1"/>
    <row r="177" ht="14.1" customHeight="1"/>
    <row r="178" ht="14.1" customHeight="1"/>
    <row r="179" ht="14.1" customHeight="1"/>
    <row r="180" ht="14.1" customHeight="1"/>
    <row r="181" ht="14.1" customHeight="1"/>
    <row r="182" ht="14.1" customHeight="1"/>
    <row r="183" ht="14.1" customHeight="1"/>
    <row r="184" ht="14.1" customHeight="1"/>
    <row r="185" ht="14.1" customHeight="1"/>
    <row r="186" ht="14.1" customHeight="1"/>
    <row r="187" ht="14.1" customHeight="1"/>
    <row r="188" ht="14.1" customHeight="1"/>
    <row r="189" ht="14.1" customHeight="1"/>
    <row r="190" ht="14.1" customHeight="1"/>
    <row r="191" ht="14.1" customHeight="1"/>
    <row r="192" ht="14.1" customHeight="1"/>
    <row r="193" ht="14.1" customHeight="1"/>
    <row r="194" ht="14.1" customHeight="1"/>
    <row r="195" ht="14.1" customHeight="1"/>
    <row r="196" ht="14.1" customHeight="1"/>
    <row r="197" ht="14.1" customHeight="1"/>
    <row r="198" ht="14.1" customHeight="1"/>
    <row r="199" ht="14.1" customHeight="1"/>
    <row r="200" ht="14.1" customHeight="1"/>
    <row r="201" ht="14.1" customHeight="1"/>
    <row r="202" ht="14.1" customHeight="1"/>
    <row r="203" ht="14.1" customHeight="1"/>
    <row r="204" ht="14.1" customHeight="1"/>
    <row r="205" ht="14.1" customHeight="1"/>
    <row r="206" ht="14.1" customHeight="1"/>
    <row r="207" ht="14.1" customHeight="1"/>
    <row r="208" ht="14.1" customHeight="1"/>
    <row r="209" ht="14.1" customHeight="1"/>
    <row r="210" ht="14.1" customHeight="1"/>
    <row r="211" ht="14.1" customHeight="1"/>
    <row r="212" ht="14.1" customHeight="1"/>
    <row r="213" ht="14.1" customHeight="1"/>
    <row r="214" ht="14.1" customHeight="1"/>
    <row r="215" ht="14.1" customHeight="1"/>
    <row r="216" ht="14.1" customHeight="1"/>
    <row r="217" ht="14.1" customHeight="1"/>
    <row r="218" ht="14.1" customHeight="1"/>
    <row r="219" ht="14.1" customHeight="1"/>
    <row r="220" ht="14.1" customHeight="1"/>
    <row r="221" ht="14.1" customHeight="1"/>
    <row r="222" ht="14.1" customHeight="1"/>
    <row r="223" ht="14.1" customHeight="1"/>
    <row r="224" ht="14.1" customHeight="1"/>
    <row r="225" ht="14.1" customHeight="1"/>
    <row r="226" ht="14.1" customHeight="1"/>
    <row r="227" ht="14.1" customHeight="1"/>
    <row r="228" ht="14.1" customHeight="1"/>
    <row r="229" ht="14.1" customHeight="1"/>
    <row r="230" ht="14.1" customHeight="1"/>
    <row r="231" ht="14.1" customHeight="1"/>
    <row r="232" ht="14.1" customHeight="1"/>
    <row r="233" ht="14.1" customHeight="1"/>
    <row r="234" ht="14.1" customHeight="1"/>
    <row r="235" ht="14.1" customHeight="1"/>
    <row r="236" ht="14.1" customHeight="1"/>
    <row r="237" ht="14.1" customHeight="1"/>
    <row r="238" ht="14.1" customHeight="1"/>
    <row r="239" ht="14.1" customHeight="1"/>
    <row r="240" ht="14.1" customHeight="1"/>
    <row r="241" ht="14.1" customHeight="1"/>
    <row r="242" ht="14.1" customHeight="1"/>
    <row r="243" ht="14.1" customHeight="1"/>
    <row r="244" ht="14.1" customHeight="1"/>
    <row r="245" ht="14.1" customHeight="1"/>
    <row r="246" ht="14.1" customHeight="1"/>
    <row r="247" ht="14.1" customHeight="1"/>
    <row r="248" ht="14.1" customHeight="1"/>
    <row r="249" ht="14.1" customHeight="1"/>
    <row r="250" ht="14.1" customHeight="1"/>
    <row r="251" ht="14.1" customHeight="1"/>
    <row r="252" ht="14.1" customHeight="1"/>
    <row r="253" ht="14.1" customHeight="1"/>
    <row r="254" ht="14.1" customHeight="1"/>
    <row r="255" ht="14.1" customHeight="1"/>
    <row r="256" ht="14.1" customHeight="1"/>
    <row r="257" ht="14.1" customHeight="1"/>
    <row r="258" ht="14.1" customHeight="1"/>
    <row r="259" ht="14.1" customHeight="1"/>
    <row r="260" ht="14.1" customHeight="1"/>
    <row r="261" ht="14.1" customHeight="1"/>
    <row r="262" ht="14.1" customHeight="1"/>
    <row r="263" ht="14.1" customHeight="1"/>
    <row r="264" ht="14.1" customHeight="1"/>
    <row r="265" ht="14.1" customHeight="1"/>
    <row r="266" ht="14.1" customHeight="1"/>
    <row r="267" ht="14.1" customHeight="1"/>
    <row r="268" ht="14.1" customHeight="1"/>
    <row r="269" ht="14.1" customHeight="1"/>
    <row r="270" ht="14.1" customHeight="1"/>
    <row r="271" ht="14.1" customHeight="1"/>
    <row r="272" ht="14.1" customHeight="1"/>
    <row r="273" ht="14.1" customHeight="1"/>
    <row r="274" ht="14.1" customHeight="1"/>
    <row r="275" ht="14.1" customHeight="1"/>
    <row r="276" ht="14.1" customHeight="1"/>
    <row r="277" ht="14.1" customHeight="1"/>
    <row r="278" ht="14.1" customHeight="1"/>
    <row r="279" ht="14.1" customHeight="1"/>
    <row r="280" ht="14.1" customHeight="1"/>
    <row r="281" ht="14.1" customHeight="1"/>
    <row r="282" ht="14.1" customHeight="1"/>
    <row r="283" ht="14.1" customHeight="1"/>
    <row r="284" ht="14.1" customHeight="1"/>
    <row r="285" ht="14.1" customHeight="1"/>
    <row r="286" ht="14.1" customHeight="1"/>
    <row r="287" ht="14.1" customHeight="1"/>
    <row r="288" ht="14.1" customHeight="1"/>
    <row r="289" ht="14.1" customHeight="1"/>
    <row r="290" ht="14.1" customHeight="1"/>
    <row r="291" ht="14.1" customHeight="1"/>
    <row r="292" ht="14.1" customHeight="1"/>
    <row r="293" ht="14.1" customHeight="1"/>
    <row r="294" ht="14.1" customHeight="1"/>
    <row r="295" ht="14.1" customHeight="1"/>
    <row r="296" ht="14.1" customHeight="1"/>
    <row r="297" ht="14.1" customHeight="1"/>
    <row r="298" ht="14.1" customHeight="1"/>
    <row r="299" ht="14.1" customHeight="1"/>
    <row r="300" ht="14.1" customHeight="1"/>
    <row r="301" ht="14.1" customHeight="1"/>
    <row r="302" ht="14.1" customHeight="1"/>
    <row r="303" ht="14.1" customHeight="1"/>
    <row r="304" ht="14.1" customHeight="1"/>
    <row r="305" ht="14.1" customHeight="1"/>
    <row r="306" ht="14.1" customHeight="1"/>
    <row r="307" ht="14.1" customHeight="1"/>
    <row r="308" ht="14.1" customHeight="1"/>
    <row r="309" ht="14.1" customHeight="1"/>
    <row r="310" ht="14.1" customHeight="1"/>
    <row r="311" ht="14.1" customHeight="1"/>
    <row r="312" ht="14.1" customHeight="1"/>
    <row r="313" ht="14.1" customHeight="1"/>
    <row r="314" ht="14.1" customHeight="1"/>
    <row r="315" ht="14.1" customHeight="1"/>
    <row r="316" ht="14.1" customHeight="1"/>
    <row r="317" ht="14.1" customHeight="1"/>
    <row r="318" ht="14.1" customHeight="1"/>
    <row r="319" ht="14.1" customHeight="1"/>
    <row r="320" ht="14.1" customHeight="1"/>
    <row r="321" ht="14.1" customHeight="1"/>
    <row r="322" ht="14.1" customHeight="1"/>
    <row r="323" ht="14.1" customHeight="1"/>
    <row r="324" ht="14.1" customHeight="1"/>
    <row r="325" ht="14.1" customHeight="1"/>
    <row r="326" ht="14.1" customHeight="1"/>
    <row r="327" ht="14.1" customHeight="1"/>
    <row r="328" ht="14.1" customHeight="1"/>
    <row r="329" ht="14.1" customHeight="1"/>
    <row r="330" ht="14.1" customHeight="1"/>
    <row r="331" ht="14.1" customHeight="1"/>
    <row r="332" ht="14.1" customHeight="1"/>
    <row r="333" ht="14.1" customHeight="1"/>
    <row r="334" ht="14.1" customHeight="1"/>
    <row r="335" ht="14.1" customHeight="1"/>
    <row r="336" ht="14.1" customHeight="1"/>
    <row r="337" ht="14.1" customHeight="1"/>
    <row r="338" ht="14.1" customHeight="1"/>
    <row r="339" ht="14.1" customHeight="1"/>
    <row r="340" ht="14.1" customHeight="1"/>
    <row r="341" ht="14.1" customHeight="1"/>
    <row r="342" ht="14.1" customHeight="1"/>
    <row r="343" ht="14.1" customHeight="1"/>
    <row r="344" ht="14.1" customHeight="1"/>
    <row r="345" ht="14.1" customHeight="1"/>
    <row r="346" ht="14.1" customHeight="1"/>
    <row r="347" ht="14.1" customHeight="1"/>
    <row r="348" ht="14.1" customHeight="1"/>
    <row r="349" ht="14.1" customHeight="1"/>
    <row r="350" ht="14.1" customHeight="1"/>
    <row r="351" ht="14.1" customHeight="1"/>
    <row r="352" ht="14.1" customHeight="1"/>
    <row r="353" ht="14.1" customHeight="1"/>
    <row r="354" ht="14.1" customHeight="1"/>
    <row r="355" ht="14.1" customHeight="1"/>
    <row r="356" ht="14.1" customHeight="1"/>
    <row r="357" ht="14.1" customHeight="1"/>
    <row r="358" ht="14.1" customHeight="1"/>
    <row r="359" ht="14.1" customHeight="1"/>
    <row r="360" ht="14.1" customHeight="1"/>
    <row r="361" ht="14.1" customHeight="1"/>
    <row r="362" ht="14.1" customHeight="1"/>
    <row r="363" ht="14.1" customHeight="1"/>
    <row r="364" ht="14.1" customHeight="1"/>
    <row r="365" ht="14.1" customHeight="1"/>
    <row r="366" ht="14.1" customHeight="1"/>
    <row r="367" ht="14.1" customHeight="1"/>
    <row r="368" ht="14.1" customHeight="1"/>
    <row r="369" ht="14.1" customHeight="1"/>
    <row r="370" ht="14.1" customHeight="1"/>
    <row r="371" ht="14.1" customHeight="1"/>
    <row r="372" ht="14.1" customHeight="1"/>
    <row r="373" ht="14.1" customHeight="1"/>
    <row r="374" ht="14.1" customHeight="1"/>
    <row r="375" ht="14.1" customHeight="1"/>
    <row r="376" ht="14.1" customHeight="1"/>
    <row r="377" ht="14.1" customHeight="1"/>
    <row r="378" ht="14.1" customHeight="1"/>
    <row r="379" ht="14.1" customHeight="1"/>
    <row r="380" ht="14.1" customHeight="1"/>
    <row r="381" ht="14.1" customHeight="1"/>
    <row r="382" ht="14.1" customHeight="1"/>
    <row r="383" ht="14.1" customHeight="1"/>
    <row r="384" ht="14.1" customHeight="1"/>
    <row r="385" ht="14.1" customHeight="1"/>
    <row r="386" ht="14.1" customHeight="1"/>
    <row r="387" ht="14.1" customHeight="1"/>
    <row r="388" ht="14.1" customHeight="1"/>
    <row r="389" ht="14.1" customHeight="1"/>
    <row r="390" ht="14.1" customHeight="1"/>
    <row r="391" ht="14.1" customHeight="1"/>
    <row r="392" ht="14.1" customHeight="1"/>
    <row r="393" ht="14.1" customHeight="1"/>
    <row r="394" ht="14.1" customHeight="1"/>
    <row r="395" ht="14.1" customHeight="1"/>
    <row r="396" ht="14.1" customHeight="1"/>
    <row r="397" ht="14.1" customHeight="1"/>
    <row r="398" ht="14.1" customHeight="1"/>
    <row r="399" ht="14.1" customHeight="1"/>
    <row r="400" ht="14.1" customHeight="1"/>
    <row r="401" ht="14.1" customHeight="1"/>
    <row r="402" ht="14.1" customHeight="1"/>
    <row r="403" ht="14.1" customHeight="1"/>
    <row r="404" ht="14.1" customHeight="1"/>
    <row r="405" ht="14.1" customHeight="1"/>
    <row r="406" ht="14.1" customHeight="1"/>
    <row r="407" ht="14.1" customHeight="1"/>
    <row r="408" ht="14.1" customHeight="1"/>
    <row r="409" ht="14.1" customHeight="1"/>
    <row r="410" ht="14.1" customHeight="1"/>
    <row r="411" ht="14.1" customHeight="1"/>
    <row r="412" ht="14.1" customHeight="1"/>
    <row r="413" ht="14.1" customHeight="1"/>
    <row r="414" ht="14.1" customHeight="1"/>
    <row r="415" ht="14.1" customHeight="1"/>
    <row r="416" ht="14.1" customHeight="1"/>
    <row r="417" ht="14.1" customHeight="1"/>
    <row r="418" ht="14.1" customHeight="1"/>
    <row r="419" ht="14.1" customHeight="1"/>
    <row r="420" ht="14.1" customHeight="1"/>
    <row r="421" ht="14.1" customHeight="1"/>
    <row r="422" ht="14.1" customHeight="1"/>
    <row r="423" ht="14.1" customHeight="1"/>
    <row r="424" ht="14.1" customHeight="1"/>
    <row r="425" ht="14.1" customHeight="1"/>
    <row r="426" ht="14.1" customHeight="1"/>
    <row r="427" ht="14.1" customHeight="1"/>
    <row r="428" ht="14.1" customHeight="1"/>
    <row r="429" ht="14.1" customHeight="1"/>
    <row r="430" ht="14.1" customHeight="1"/>
    <row r="431" ht="14.1" customHeight="1"/>
    <row r="432" ht="14.1" customHeight="1"/>
    <row r="433" ht="14.1" customHeight="1"/>
    <row r="434" ht="14.1" customHeight="1"/>
    <row r="435" ht="14.1" customHeight="1"/>
    <row r="436" ht="14.1" customHeight="1"/>
    <row r="437" ht="14.1" customHeight="1"/>
    <row r="438" ht="14.1" customHeight="1"/>
    <row r="439" ht="14.1" customHeight="1"/>
    <row r="440" ht="14.1" customHeight="1"/>
    <row r="441" ht="14.1" customHeight="1"/>
    <row r="442" ht="14.1" customHeight="1"/>
    <row r="443" ht="14.1" customHeight="1"/>
    <row r="444" ht="14.1" customHeight="1"/>
    <row r="445" ht="14.1" customHeight="1"/>
    <row r="446" ht="14.1" customHeight="1"/>
    <row r="447" ht="14.1" customHeight="1"/>
    <row r="448" ht="14.1" customHeight="1"/>
    <row r="449" ht="14.1" customHeight="1"/>
    <row r="450" ht="14.1" customHeight="1"/>
    <row r="451" ht="14.1" customHeight="1"/>
    <row r="452" ht="14.1" customHeight="1"/>
    <row r="453" ht="14.1" customHeight="1"/>
    <row r="454" ht="14.1" customHeight="1"/>
    <row r="455" ht="14.1" customHeight="1"/>
    <row r="456" ht="14.1" customHeight="1"/>
    <row r="457" ht="14.1" customHeight="1"/>
    <row r="458" ht="14.1" customHeight="1"/>
    <row r="459" ht="14.1" customHeight="1"/>
    <row r="460" ht="14.1" customHeight="1"/>
    <row r="461" ht="14.1" customHeight="1"/>
    <row r="462" ht="14.1" customHeight="1"/>
    <row r="463" ht="14.1" customHeight="1"/>
    <row r="464" ht="14.1" customHeight="1"/>
    <row r="465" ht="14.1" customHeight="1"/>
    <row r="466" ht="14.1" customHeight="1"/>
    <row r="467" ht="14.1" customHeight="1"/>
    <row r="468" ht="14.1" customHeight="1"/>
    <row r="469" ht="14.1" customHeight="1"/>
    <row r="470" ht="14.1" customHeight="1"/>
    <row r="471" ht="14.1" customHeight="1"/>
    <row r="472" ht="14.1" customHeight="1"/>
    <row r="473" ht="14.1" customHeight="1"/>
    <row r="474" ht="14.1" customHeight="1"/>
    <row r="475" ht="14.1" customHeight="1"/>
    <row r="476" ht="14.1" customHeight="1"/>
    <row r="477" ht="14.1" customHeight="1"/>
    <row r="478" ht="14.1" customHeight="1"/>
    <row r="479" ht="14.1" customHeight="1"/>
    <row r="480" ht="14.1" customHeight="1"/>
    <row r="481" ht="14.1" customHeight="1"/>
    <row r="482" ht="14.1" customHeight="1"/>
    <row r="483" ht="14.1" customHeight="1"/>
    <row r="484" ht="14.1" customHeight="1"/>
    <row r="485" ht="14.1" customHeight="1"/>
    <row r="486" ht="14.1" customHeight="1"/>
    <row r="487" ht="14.1" customHeight="1"/>
    <row r="488" ht="14.1" customHeight="1"/>
    <row r="489" ht="14.1" customHeight="1"/>
    <row r="490" ht="14.1" customHeight="1"/>
    <row r="491" ht="14.1" customHeight="1"/>
    <row r="492" ht="14.1" customHeight="1"/>
    <row r="493" ht="14.1" customHeight="1"/>
    <row r="494" ht="14.1" customHeight="1"/>
    <row r="495" ht="14.1" customHeight="1"/>
    <row r="496" ht="14.1" customHeight="1"/>
    <row r="497" ht="14.1" customHeight="1"/>
    <row r="498" ht="14.1" customHeight="1"/>
    <row r="499" ht="14.1" customHeight="1"/>
    <row r="500" ht="14.1" customHeight="1"/>
    <row r="501" ht="14.1" customHeight="1"/>
    <row r="502" ht="14.1" customHeight="1"/>
    <row r="503" ht="14.1" customHeight="1"/>
    <row r="504" ht="14.1" customHeight="1"/>
    <row r="505" ht="14.1" customHeight="1"/>
    <row r="506" ht="14.1" customHeight="1"/>
    <row r="507" ht="14.1" customHeight="1"/>
    <row r="508" ht="14.1" customHeight="1"/>
    <row r="509" ht="14.1" customHeight="1"/>
    <row r="510" ht="14.1" customHeight="1"/>
    <row r="511" ht="14.1" customHeight="1"/>
    <row r="512" ht="14.1" customHeight="1"/>
    <row r="513" ht="14.1" customHeight="1"/>
    <row r="514" ht="14.1" customHeight="1"/>
    <row r="515" ht="14.1" customHeight="1"/>
    <row r="516" ht="14.1" customHeight="1"/>
    <row r="517" ht="14.1" customHeight="1"/>
    <row r="518" ht="14.1" customHeight="1"/>
    <row r="519" ht="14.1" customHeight="1"/>
    <row r="520" ht="14.1" customHeight="1"/>
    <row r="521" ht="14.1" customHeight="1"/>
    <row r="522" ht="14.1" customHeight="1"/>
    <row r="523" ht="14.1" customHeight="1"/>
    <row r="524" ht="14.1" customHeight="1"/>
    <row r="525" ht="14.1" customHeight="1"/>
    <row r="526" ht="14.1" customHeight="1"/>
    <row r="527" ht="14.1" customHeight="1"/>
    <row r="528" ht="14.1" customHeight="1"/>
    <row r="529" ht="14.1" customHeight="1"/>
    <row r="530" ht="14.1" customHeight="1"/>
    <row r="531" ht="14.1" customHeight="1"/>
    <row r="532" ht="14.1" customHeight="1"/>
    <row r="533" ht="14.1" customHeight="1"/>
    <row r="534" ht="14.1" customHeight="1"/>
    <row r="535" ht="14.1" customHeight="1"/>
    <row r="536" ht="14.1" customHeight="1"/>
    <row r="537" ht="14.1" customHeight="1"/>
    <row r="538" ht="14.1" customHeight="1"/>
    <row r="539" ht="14.1" customHeight="1"/>
    <row r="540" ht="14.1" customHeight="1"/>
    <row r="541" ht="14.1" customHeight="1"/>
    <row r="542" ht="14.1" customHeight="1"/>
    <row r="543" ht="14.1" customHeight="1"/>
    <row r="544" ht="14.1" customHeight="1"/>
    <row r="545" ht="14.1" customHeight="1"/>
    <row r="546" ht="14.1" customHeight="1"/>
    <row r="547" ht="14.1" customHeight="1"/>
    <row r="548" ht="14.1" customHeight="1"/>
    <row r="549" ht="14.1" customHeight="1"/>
    <row r="550" ht="14.1" customHeight="1"/>
    <row r="551" ht="14.1" customHeight="1"/>
    <row r="552" ht="14.1" customHeight="1"/>
    <row r="553" ht="14.1" customHeight="1"/>
    <row r="554" ht="14.1" customHeight="1"/>
    <row r="555" ht="14.1" customHeight="1"/>
    <row r="556" ht="14.1" customHeight="1"/>
    <row r="557" ht="14.1" customHeight="1"/>
    <row r="558" ht="14.1" customHeight="1"/>
    <row r="559" ht="14.1" customHeight="1"/>
    <row r="560" ht="14.1" customHeight="1"/>
    <row r="561" ht="14.1" customHeight="1"/>
    <row r="562" ht="14.1" customHeight="1"/>
    <row r="563" ht="14.1" customHeight="1"/>
    <row r="564" ht="14.1" customHeight="1"/>
    <row r="565" ht="14.1" customHeight="1"/>
    <row r="566" ht="14.1" customHeight="1"/>
    <row r="567" ht="14.1" customHeight="1"/>
    <row r="568" ht="14.1" customHeight="1"/>
    <row r="569" ht="14.1" customHeight="1"/>
    <row r="570" ht="14.1" customHeight="1"/>
    <row r="571" ht="14.1" customHeight="1"/>
    <row r="572" ht="14.1" customHeight="1"/>
    <row r="573" ht="14.1" customHeight="1"/>
    <row r="574" ht="14.1" customHeight="1"/>
    <row r="575" ht="14.1" customHeight="1"/>
    <row r="576" ht="14.1" customHeight="1"/>
    <row r="577" ht="14.1" customHeight="1"/>
    <row r="578" ht="14.1" customHeight="1"/>
    <row r="579" ht="14.1" customHeight="1"/>
    <row r="580" ht="14.1" customHeight="1"/>
    <row r="581" ht="14.1" customHeight="1"/>
    <row r="582" ht="14.1" customHeight="1"/>
    <row r="583" ht="14.1" customHeight="1"/>
    <row r="584" ht="14.1" customHeight="1"/>
    <row r="585" ht="14.1" customHeight="1"/>
    <row r="586" ht="14.1" customHeight="1"/>
    <row r="587" ht="14.1" customHeight="1"/>
    <row r="588" ht="14.1" customHeight="1"/>
    <row r="589" ht="14.1" customHeight="1"/>
    <row r="590" ht="14.1" customHeight="1"/>
    <row r="591" ht="14.1" customHeight="1"/>
    <row r="592" ht="14.1" customHeight="1"/>
    <row r="593" ht="14.1" customHeight="1"/>
    <row r="594" ht="14.1" customHeight="1"/>
    <row r="595" ht="14.1" customHeight="1"/>
    <row r="596" ht="14.1" customHeight="1"/>
    <row r="597" ht="14.1" customHeight="1"/>
    <row r="598" ht="14.1" customHeight="1"/>
    <row r="599" ht="14.1" customHeight="1"/>
    <row r="600" ht="14.1" customHeight="1"/>
    <row r="601" ht="14.1" customHeight="1"/>
    <row r="602" ht="14.1" customHeight="1"/>
    <row r="603" ht="14.1" customHeight="1"/>
    <row r="604" ht="14.1" customHeight="1"/>
    <row r="605" ht="14.1" customHeight="1"/>
    <row r="606" ht="14.1" customHeight="1"/>
    <row r="607" ht="14.1" customHeight="1"/>
    <row r="608" ht="14.1" customHeight="1"/>
    <row r="609" ht="14.1" customHeight="1"/>
    <row r="610" ht="14.1" customHeight="1"/>
    <row r="611" ht="14.1" customHeight="1"/>
    <row r="612" ht="14.1" customHeight="1"/>
    <row r="613" ht="14.1" customHeight="1"/>
    <row r="614" ht="14.1" customHeight="1"/>
    <row r="615" ht="14.1" customHeight="1"/>
    <row r="616" ht="14.1" customHeight="1"/>
    <row r="617" ht="14.1" customHeight="1"/>
    <row r="618" ht="14.1" customHeight="1"/>
    <row r="619" ht="14.1" customHeight="1"/>
    <row r="620" ht="14.1" customHeight="1"/>
    <row r="621" ht="14.1" customHeight="1"/>
    <row r="622" ht="14.1" customHeight="1"/>
    <row r="623" ht="14.1" customHeight="1"/>
    <row r="624" ht="14.1" customHeight="1"/>
    <row r="625" ht="14.1" customHeight="1"/>
    <row r="626" ht="14.1" customHeight="1"/>
    <row r="627" ht="14.1" customHeight="1"/>
    <row r="628" ht="14.1" customHeight="1"/>
    <row r="629" ht="14.1" customHeight="1"/>
    <row r="630" ht="14.1" customHeight="1"/>
    <row r="631" ht="14.1" customHeight="1"/>
    <row r="632" ht="14.1" customHeight="1"/>
    <row r="633" ht="14.1" customHeight="1"/>
    <row r="634" ht="14.1" customHeight="1"/>
    <row r="635" ht="14.1" customHeight="1"/>
    <row r="636" ht="14.1" customHeight="1"/>
    <row r="637" ht="14.1" customHeight="1"/>
    <row r="638" ht="14.1" customHeight="1"/>
    <row r="639" ht="14.1" customHeight="1"/>
    <row r="640" ht="14.1" customHeight="1"/>
    <row r="641" ht="14.1" customHeight="1"/>
    <row r="642" ht="14.1" customHeight="1"/>
    <row r="643" ht="14.1" customHeight="1"/>
    <row r="644" ht="14.1" customHeight="1"/>
    <row r="645" ht="14.1" customHeight="1"/>
    <row r="646" ht="14.1" customHeight="1"/>
    <row r="647" ht="14.1" customHeight="1"/>
    <row r="648" ht="14.1" customHeight="1"/>
    <row r="649" ht="14.1" customHeight="1"/>
    <row r="650" ht="14.1" customHeight="1"/>
    <row r="651" ht="14.1" customHeight="1"/>
    <row r="652" ht="14.1" customHeight="1"/>
    <row r="653" ht="14.1" customHeight="1"/>
    <row r="654" ht="14.1" customHeight="1"/>
    <row r="655" ht="14.1" customHeight="1"/>
    <row r="656" ht="14.1" customHeight="1"/>
    <row r="657" ht="14.1" customHeight="1"/>
    <row r="658" ht="14.1" customHeight="1"/>
    <row r="659" ht="14.1" customHeight="1"/>
    <row r="660" ht="14.1" customHeight="1"/>
    <row r="661" ht="14.1" customHeight="1"/>
    <row r="662" ht="14.1" customHeight="1"/>
    <row r="663" ht="14.1" customHeight="1"/>
    <row r="664" ht="14.1" customHeight="1"/>
    <row r="665" ht="14.1" customHeight="1"/>
    <row r="666" ht="14.1" customHeight="1"/>
    <row r="667" ht="14.1" customHeight="1"/>
    <row r="668" ht="14.1" customHeight="1"/>
    <row r="669" ht="14.1" customHeight="1"/>
    <row r="670" ht="14.1" customHeight="1"/>
    <row r="671" ht="14.1" customHeight="1"/>
    <row r="672" ht="14.1" customHeight="1"/>
    <row r="673" ht="14.1" customHeight="1"/>
    <row r="674" ht="14.1" customHeight="1"/>
    <row r="675" ht="14.1" customHeight="1"/>
    <row r="676" ht="14.1" customHeight="1"/>
    <row r="677" ht="14.1" customHeight="1"/>
    <row r="678" ht="14.1" customHeight="1"/>
    <row r="679" ht="14.1" customHeight="1"/>
    <row r="680" ht="14.1" customHeight="1"/>
    <row r="681" ht="14.1" customHeight="1"/>
    <row r="682" ht="14.1" customHeight="1"/>
    <row r="683" ht="14.1" customHeight="1"/>
    <row r="684" ht="14.1" customHeight="1"/>
    <row r="685" ht="14.1" customHeight="1"/>
    <row r="686" ht="14.1" customHeight="1"/>
    <row r="687" ht="14.1" customHeight="1"/>
    <row r="688" ht="14.1" customHeight="1"/>
    <row r="689" ht="14.1" customHeight="1"/>
    <row r="690" ht="14.1" customHeight="1"/>
    <row r="691" ht="14.1" customHeight="1"/>
    <row r="692" ht="14.1" customHeight="1"/>
    <row r="693" ht="14.1" customHeight="1"/>
    <row r="694" ht="14.1" customHeight="1"/>
    <row r="695" ht="14.1" customHeight="1"/>
    <row r="696" ht="14.1" customHeight="1"/>
    <row r="697" ht="14.1" customHeight="1"/>
    <row r="698" ht="14.1" customHeight="1"/>
    <row r="699" ht="14.1" customHeight="1"/>
    <row r="700" ht="14.1" customHeight="1"/>
    <row r="701" ht="14.1" customHeight="1"/>
    <row r="702" ht="14.1" customHeight="1"/>
    <row r="703" ht="14.1" customHeight="1"/>
    <row r="704" ht="14.1" customHeight="1"/>
    <row r="705" ht="14.1" customHeight="1"/>
    <row r="706" ht="14.1" customHeight="1"/>
    <row r="707" ht="14.1" customHeight="1"/>
    <row r="708" ht="14.1" customHeight="1"/>
    <row r="709" ht="14.1" customHeight="1"/>
    <row r="710" ht="14.1" customHeight="1"/>
    <row r="711" ht="14.1" customHeight="1"/>
    <row r="712" ht="14.1" customHeight="1"/>
    <row r="713" ht="14.1" customHeight="1"/>
    <row r="714" ht="14.1" customHeight="1"/>
    <row r="715" ht="14.1" customHeight="1"/>
    <row r="716" ht="14.1" customHeight="1"/>
    <row r="717" ht="14.1" customHeight="1"/>
    <row r="718" ht="14.1" customHeight="1"/>
    <row r="719" ht="14.1" customHeight="1"/>
    <row r="720" ht="14.1" customHeight="1"/>
    <row r="721" ht="14.1" customHeight="1"/>
    <row r="722" ht="14.1" customHeight="1"/>
    <row r="723" ht="14.1" customHeight="1"/>
    <row r="724" ht="14.1" customHeight="1"/>
    <row r="725" ht="14.1" customHeight="1"/>
    <row r="726" ht="14.1" customHeight="1"/>
    <row r="727" ht="14.1" customHeight="1"/>
    <row r="728" ht="14.1" customHeight="1"/>
    <row r="729" ht="14.1" customHeight="1"/>
    <row r="730" ht="14.1" customHeight="1"/>
    <row r="731" ht="14.1" customHeight="1"/>
    <row r="732" ht="14.1" customHeight="1"/>
    <row r="733" ht="14.1" customHeight="1"/>
    <row r="734" ht="14.1" customHeight="1"/>
    <row r="735" ht="14.1" customHeight="1"/>
    <row r="736" ht="14.1" customHeight="1"/>
    <row r="737" ht="14.1" customHeight="1"/>
    <row r="738" ht="14.1" customHeight="1"/>
    <row r="739" ht="14.1" customHeight="1"/>
    <row r="740" ht="14.1" customHeight="1"/>
    <row r="741" ht="14.1" customHeight="1"/>
    <row r="742" ht="14.1" customHeight="1"/>
    <row r="743" ht="14.1" customHeight="1"/>
    <row r="744" ht="14.1" customHeight="1"/>
    <row r="745" ht="14.1" customHeight="1"/>
    <row r="746" ht="14.1" customHeight="1"/>
    <row r="747" ht="14.1" customHeight="1"/>
    <row r="748" ht="14.1" customHeight="1"/>
    <row r="749" ht="14.1" customHeight="1"/>
    <row r="750" ht="14.1" customHeight="1"/>
    <row r="751" ht="14.1" customHeight="1"/>
    <row r="752" ht="14.1" customHeight="1"/>
    <row r="753" ht="14.1" customHeight="1"/>
    <row r="754" ht="14.1" customHeight="1"/>
    <row r="755" ht="14.1" customHeight="1"/>
    <row r="756" ht="14.1" customHeight="1"/>
    <row r="757" ht="14.1" customHeight="1"/>
    <row r="758" ht="14.1" customHeight="1"/>
    <row r="759" ht="14.1" customHeight="1"/>
    <row r="760" ht="14.1" customHeight="1"/>
    <row r="761" ht="14.1" customHeight="1"/>
    <row r="762" ht="14.1" customHeight="1"/>
    <row r="763" ht="14.1" customHeight="1"/>
    <row r="764" ht="14.1" customHeight="1"/>
    <row r="765" ht="14.1" customHeight="1"/>
    <row r="766" ht="14.1" customHeight="1"/>
    <row r="767" ht="14.1" customHeight="1"/>
    <row r="768" ht="14.1" customHeight="1"/>
    <row r="769" ht="14.1" customHeight="1"/>
    <row r="770" ht="14.1" customHeight="1"/>
    <row r="771" ht="14.1" customHeight="1"/>
    <row r="772" ht="14.1" customHeight="1"/>
    <row r="773" ht="14.1" customHeight="1"/>
    <row r="774" ht="14.1" customHeight="1"/>
    <row r="775" ht="14.1" customHeight="1"/>
    <row r="776" ht="14.1" customHeight="1"/>
    <row r="777" ht="14.1" customHeight="1"/>
    <row r="778" ht="14.1" customHeight="1"/>
    <row r="779" ht="14.1" customHeight="1"/>
    <row r="780" ht="14.1" customHeight="1"/>
    <row r="781" ht="14.1" customHeight="1"/>
    <row r="782" ht="14.1" customHeight="1"/>
    <row r="783" ht="14.1" customHeight="1"/>
    <row r="784" ht="14.1" customHeight="1"/>
    <row r="785" ht="14.1" customHeight="1"/>
    <row r="786" ht="14.1" customHeight="1"/>
    <row r="787" ht="14.1" customHeight="1"/>
    <row r="788" ht="14.1" customHeight="1"/>
    <row r="789" ht="14.1" customHeight="1"/>
    <row r="790" ht="14.1" customHeight="1"/>
    <row r="791" ht="14.1" customHeight="1"/>
    <row r="792" ht="14.1" customHeight="1"/>
    <row r="793" ht="14.1" customHeight="1"/>
  </sheetData>
  <pageMargins left="0.61" right="0.16" top="0.87" bottom="0.21" header="0.16" footer="0.16"/>
  <pageSetup paperSize="8" scale="51" orientation="portrait"/>
  <headerFooter alignWithMargins="0">
    <oddFooter>&amp;L_x000D_&amp;1#&amp;"Arial"&amp;7&amp;KDAD4CE Public&amp;C&amp;"Verdana"&amp;10 &amp;KC1C1C1_x000D_# Restricted</oddFooter>
  </headerFooter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21">
    <tabColor rgb="FF92D050"/>
    <pageSetUpPr fitToPage="1"/>
  </sheetPr>
  <dimension ref="A1:U793"/>
  <sheetViews>
    <sheetView zoomScale="80" zoomScaleNormal="80" workbookViewId="0">
      <pane ySplit="4" topLeftCell="A5" activePane="bottomLeft" state="frozen"/>
      <selection activeCell="A16" sqref="A16"/>
      <selection pane="bottomLeft" activeCell="A16" sqref="A16"/>
    </sheetView>
  </sheetViews>
  <sheetFormatPr defaultColWidth="8.85546875" defaultRowHeight="15" customHeight="1"/>
  <cols>
    <col min="1" max="1" width="4.140625" style="3" customWidth="1"/>
    <col min="2" max="3" width="8.5703125" style="20" customWidth="1"/>
    <col min="4" max="4" width="14.5703125" style="3" customWidth="1"/>
    <col min="5" max="5" width="20.5703125" style="20" customWidth="1"/>
    <col min="6" max="6" width="8.5703125" style="3" customWidth="1"/>
    <col min="7" max="7" width="32.5703125" style="2" customWidth="1"/>
    <col min="8" max="8" width="18.5703125" style="3" customWidth="1"/>
    <col min="9" max="9" width="62.5703125" style="2" customWidth="1"/>
    <col min="10" max="12" width="9.5703125" style="3" customWidth="1"/>
    <col min="13" max="13" width="10.5703125" style="3" customWidth="1"/>
    <col min="14" max="14" width="8.5703125" style="3" customWidth="1"/>
    <col min="15" max="15" width="10.5703125" style="3" customWidth="1"/>
    <col min="16" max="16" width="5.5703125" style="3" customWidth="1"/>
    <col min="17" max="17" width="1.5703125" style="2" customWidth="1"/>
    <col min="18" max="18" width="10.5703125" style="30" customWidth="1"/>
    <col min="19" max="19" width="1.5703125" style="2" customWidth="1"/>
    <col min="20" max="21" width="10.5703125" style="2" customWidth="1"/>
    <col min="22" max="219" width="8.85546875" style="2" customWidth="1"/>
    <col min="220" max="220" width="8.140625" style="2" customWidth="1"/>
    <col min="221" max="221" width="14.42578125" style="2" customWidth="1"/>
    <col min="222" max="222" width="37.42578125" style="2" customWidth="1"/>
    <col min="223" max="223" width="63.140625" style="2" customWidth="1"/>
    <col min="224" max="224" width="20" style="2" customWidth="1"/>
    <col min="225" max="225" width="11.140625" style="2" customWidth="1"/>
    <col min="226" max="226" width="10.85546875" style="2" customWidth="1"/>
    <col min="227" max="227" width="21" style="2" customWidth="1"/>
    <col min="228" max="228" width="10.85546875" style="2" customWidth="1"/>
    <col min="229" max="229" width="17.42578125" style="2" customWidth="1"/>
    <col min="230" max="230" width="14.85546875" style="2" customWidth="1"/>
    <col min="231" max="231" width="15" style="2" customWidth="1"/>
    <col min="232" max="232" width="14.85546875" style="2" customWidth="1"/>
    <col min="233" max="233" width="7.140625" style="2" customWidth="1"/>
    <col min="234" max="235" width="20.140625" style="2" customWidth="1"/>
    <col min="236" max="236" width="18.42578125" style="2" customWidth="1"/>
    <col min="237" max="237" width="9.140625" style="2" customWidth="1"/>
    <col min="238" max="238" width="12" style="2" customWidth="1"/>
    <col min="239" max="239" width="14.85546875" style="2" customWidth="1"/>
    <col min="240" max="240" width="22.42578125" style="2" customWidth="1"/>
    <col min="241" max="241" width="14.85546875" style="2" customWidth="1"/>
    <col min="242" max="242" width="7.140625" style="2" customWidth="1"/>
    <col min="243" max="243" width="20.140625" style="2" customWidth="1"/>
    <col min="244" max="475" width="8.85546875" style="2" customWidth="1"/>
    <col min="476" max="476" width="8.140625" style="2" customWidth="1"/>
    <col min="477" max="477" width="14.42578125" style="2" customWidth="1"/>
    <col min="478" max="478" width="37.42578125" style="2" customWidth="1"/>
    <col min="479" max="479" width="63.140625" style="2" customWidth="1"/>
    <col min="480" max="480" width="20" style="2" customWidth="1"/>
    <col min="481" max="481" width="11.140625" style="2" customWidth="1"/>
    <col min="482" max="482" width="10.85546875" style="2" customWidth="1"/>
    <col min="483" max="483" width="21" style="2" customWidth="1"/>
    <col min="484" max="484" width="10.85546875" style="2" customWidth="1"/>
    <col min="485" max="485" width="17.42578125" style="2" customWidth="1"/>
    <col min="486" max="486" width="14.85546875" style="2" customWidth="1"/>
    <col min="487" max="487" width="15" style="2" customWidth="1"/>
    <col min="488" max="488" width="14.85546875" style="2" customWidth="1"/>
    <col min="489" max="489" width="7.140625" style="2" customWidth="1"/>
    <col min="490" max="491" width="20.140625" style="2" customWidth="1"/>
    <col min="492" max="492" width="18.42578125" style="2" customWidth="1"/>
    <col min="493" max="493" width="9.140625" style="2" customWidth="1"/>
    <col min="494" max="494" width="12" style="2" customWidth="1"/>
    <col min="495" max="495" width="14.85546875" style="2" customWidth="1"/>
    <col min="496" max="496" width="22.42578125" style="2" customWidth="1"/>
    <col min="497" max="497" width="14.85546875" style="2" customWidth="1"/>
    <col min="498" max="498" width="7.140625" style="2" customWidth="1"/>
    <col min="499" max="499" width="20.140625" style="2" customWidth="1"/>
    <col min="500" max="731" width="8.85546875" style="2" customWidth="1"/>
    <col min="732" max="732" width="8.140625" style="2" customWidth="1"/>
    <col min="733" max="733" width="14.42578125" style="2" customWidth="1"/>
    <col min="734" max="734" width="37.42578125" style="2" customWidth="1"/>
    <col min="735" max="735" width="63.140625" style="2" customWidth="1"/>
    <col min="736" max="736" width="20" style="2" customWidth="1"/>
    <col min="737" max="737" width="11.140625" style="2" customWidth="1"/>
    <col min="738" max="738" width="10.85546875" style="2" customWidth="1"/>
    <col min="739" max="739" width="21" style="2" customWidth="1"/>
    <col min="740" max="740" width="10.85546875" style="2" customWidth="1"/>
    <col min="741" max="741" width="17.42578125" style="2" customWidth="1"/>
    <col min="742" max="742" width="14.85546875" style="2" customWidth="1"/>
    <col min="743" max="743" width="15" style="2" customWidth="1"/>
    <col min="744" max="744" width="14.85546875" style="2" customWidth="1"/>
    <col min="745" max="745" width="7.140625" style="2" customWidth="1"/>
    <col min="746" max="747" width="20.140625" style="2" customWidth="1"/>
    <col min="748" max="748" width="18.42578125" style="2" customWidth="1"/>
    <col min="749" max="749" width="9.140625" style="2" customWidth="1"/>
    <col min="750" max="750" width="12" style="2" customWidth="1"/>
    <col min="751" max="751" width="14.85546875" style="2" customWidth="1"/>
    <col min="752" max="752" width="22.42578125" style="2" customWidth="1"/>
    <col min="753" max="753" width="14.85546875" style="2" customWidth="1"/>
    <col min="754" max="754" width="7.140625" style="2" customWidth="1"/>
    <col min="755" max="755" width="20.140625" style="2" customWidth="1"/>
    <col min="756" max="987" width="8.85546875" style="2" customWidth="1"/>
    <col min="988" max="988" width="8.140625" style="2" customWidth="1"/>
    <col min="989" max="989" width="14.42578125" style="2" customWidth="1"/>
    <col min="990" max="990" width="37.42578125" style="2" customWidth="1"/>
    <col min="991" max="991" width="63.140625" style="2" customWidth="1"/>
    <col min="992" max="992" width="20" style="2" customWidth="1"/>
    <col min="993" max="993" width="11.140625" style="2" customWidth="1"/>
    <col min="994" max="994" width="10.85546875" style="2" customWidth="1"/>
    <col min="995" max="995" width="21" style="2" customWidth="1"/>
    <col min="996" max="996" width="10.85546875" style="2" customWidth="1"/>
    <col min="997" max="997" width="17.42578125" style="2" customWidth="1"/>
    <col min="998" max="998" width="14.85546875" style="2" customWidth="1"/>
    <col min="999" max="999" width="15" style="2" customWidth="1"/>
    <col min="1000" max="1000" width="14.85546875" style="2" customWidth="1"/>
    <col min="1001" max="1001" width="7.140625" style="2" customWidth="1"/>
    <col min="1002" max="1003" width="20.140625" style="2" customWidth="1"/>
    <col min="1004" max="1004" width="18.42578125" style="2" customWidth="1"/>
    <col min="1005" max="1005" width="9.140625" style="2" customWidth="1"/>
    <col min="1006" max="1006" width="12" style="2" customWidth="1"/>
    <col min="1007" max="1007" width="14.85546875" style="2" customWidth="1"/>
    <col min="1008" max="1008" width="22.42578125" style="2" customWidth="1"/>
    <col min="1009" max="1009" width="14.85546875" style="2" customWidth="1"/>
    <col min="1010" max="1010" width="7.140625" style="2" customWidth="1"/>
    <col min="1011" max="1011" width="20.140625" style="2" customWidth="1"/>
    <col min="1012" max="1243" width="8.85546875" style="2" customWidth="1"/>
    <col min="1244" max="1244" width="8.140625" style="2" customWidth="1"/>
    <col min="1245" max="1245" width="14.42578125" style="2" customWidth="1"/>
    <col min="1246" max="1246" width="37.42578125" style="2" customWidth="1"/>
    <col min="1247" max="1247" width="63.140625" style="2" customWidth="1"/>
    <col min="1248" max="1248" width="20" style="2" customWidth="1"/>
    <col min="1249" max="1249" width="11.140625" style="2" customWidth="1"/>
    <col min="1250" max="1250" width="10.85546875" style="2" customWidth="1"/>
    <col min="1251" max="1251" width="21" style="2" customWidth="1"/>
    <col min="1252" max="1252" width="10.85546875" style="2" customWidth="1"/>
    <col min="1253" max="1253" width="17.42578125" style="2" customWidth="1"/>
    <col min="1254" max="1254" width="14.85546875" style="2" customWidth="1"/>
    <col min="1255" max="1255" width="15" style="2" customWidth="1"/>
    <col min="1256" max="1256" width="14.85546875" style="2" customWidth="1"/>
    <col min="1257" max="1257" width="7.140625" style="2" customWidth="1"/>
    <col min="1258" max="1259" width="20.140625" style="2" customWidth="1"/>
    <col min="1260" max="1260" width="18.42578125" style="2" customWidth="1"/>
    <col min="1261" max="1261" width="9.140625" style="2" customWidth="1"/>
    <col min="1262" max="1262" width="12" style="2" customWidth="1"/>
    <col min="1263" max="1263" width="14.85546875" style="2" customWidth="1"/>
    <col min="1264" max="1264" width="22.42578125" style="2" customWidth="1"/>
    <col min="1265" max="1265" width="14.85546875" style="2" customWidth="1"/>
    <col min="1266" max="1266" width="7.140625" style="2" customWidth="1"/>
    <col min="1267" max="1267" width="20.140625" style="2" customWidth="1"/>
    <col min="1268" max="1499" width="8.85546875" style="2" customWidth="1"/>
    <col min="1500" max="1500" width="8.140625" style="2" customWidth="1"/>
    <col min="1501" max="1501" width="14.42578125" style="2" customWidth="1"/>
    <col min="1502" max="1502" width="37.42578125" style="2" customWidth="1"/>
    <col min="1503" max="1503" width="63.140625" style="2" customWidth="1"/>
    <col min="1504" max="1504" width="20" style="2" customWidth="1"/>
    <col min="1505" max="1505" width="11.140625" style="2" customWidth="1"/>
    <col min="1506" max="1506" width="10.85546875" style="2" customWidth="1"/>
    <col min="1507" max="1507" width="21" style="2" customWidth="1"/>
    <col min="1508" max="1508" width="10.85546875" style="2" customWidth="1"/>
    <col min="1509" max="1509" width="17.42578125" style="2" customWidth="1"/>
    <col min="1510" max="1510" width="14.85546875" style="2" customWidth="1"/>
    <col min="1511" max="1511" width="15" style="2" customWidth="1"/>
    <col min="1512" max="1512" width="14.85546875" style="2" customWidth="1"/>
    <col min="1513" max="1513" width="7.140625" style="2" customWidth="1"/>
    <col min="1514" max="1515" width="20.140625" style="2" customWidth="1"/>
    <col min="1516" max="1516" width="18.42578125" style="2" customWidth="1"/>
    <col min="1517" max="1517" width="9.140625" style="2" customWidth="1"/>
    <col min="1518" max="1518" width="12" style="2" customWidth="1"/>
    <col min="1519" max="1519" width="14.85546875" style="2" customWidth="1"/>
    <col min="1520" max="1520" width="22.42578125" style="2" customWidth="1"/>
    <col min="1521" max="1521" width="14.85546875" style="2" customWidth="1"/>
    <col min="1522" max="1522" width="7.140625" style="2" customWidth="1"/>
    <col min="1523" max="1523" width="20.140625" style="2" customWidth="1"/>
    <col min="1524" max="1755" width="8.85546875" style="2" customWidth="1"/>
    <col min="1756" max="1756" width="8.140625" style="2" customWidth="1"/>
    <col min="1757" max="1757" width="14.42578125" style="2" customWidth="1"/>
    <col min="1758" max="1758" width="37.42578125" style="2" customWidth="1"/>
    <col min="1759" max="1759" width="63.140625" style="2" customWidth="1"/>
    <col min="1760" max="1760" width="20" style="2" customWidth="1"/>
    <col min="1761" max="1761" width="11.140625" style="2" customWidth="1"/>
    <col min="1762" max="1762" width="10.85546875" style="2" customWidth="1"/>
    <col min="1763" max="1763" width="21" style="2" customWidth="1"/>
    <col min="1764" max="1764" width="10.85546875" style="2" customWidth="1"/>
    <col min="1765" max="1765" width="17.42578125" style="2" customWidth="1"/>
    <col min="1766" max="1766" width="14.85546875" style="2" customWidth="1"/>
    <col min="1767" max="1767" width="15" style="2" customWidth="1"/>
    <col min="1768" max="1768" width="14.85546875" style="2" customWidth="1"/>
    <col min="1769" max="1769" width="7.140625" style="2" customWidth="1"/>
    <col min="1770" max="1771" width="20.140625" style="2" customWidth="1"/>
    <col min="1772" max="1772" width="18.42578125" style="2" customWidth="1"/>
    <col min="1773" max="1773" width="9.140625" style="2" customWidth="1"/>
    <col min="1774" max="1774" width="12" style="2" customWidth="1"/>
    <col min="1775" max="1775" width="14.85546875" style="2" customWidth="1"/>
    <col min="1776" max="1776" width="22.42578125" style="2" customWidth="1"/>
    <col min="1777" max="1777" width="14.85546875" style="2" customWidth="1"/>
    <col min="1778" max="1778" width="7.140625" style="2" customWidth="1"/>
    <col min="1779" max="1779" width="20.140625" style="2" customWidth="1"/>
    <col min="1780" max="2011" width="8.85546875" style="2" customWidth="1"/>
    <col min="2012" max="2012" width="8.140625" style="2" customWidth="1"/>
    <col min="2013" max="2013" width="14.42578125" style="2" customWidth="1"/>
    <col min="2014" max="2014" width="37.42578125" style="2" customWidth="1"/>
    <col min="2015" max="2015" width="63.140625" style="2" customWidth="1"/>
    <col min="2016" max="2016" width="20" style="2" customWidth="1"/>
    <col min="2017" max="2017" width="11.140625" style="2" customWidth="1"/>
    <col min="2018" max="2018" width="10.85546875" style="2" customWidth="1"/>
    <col min="2019" max="2019" width="21" style="2" customWidth="1"/>
    <col min="2020" max="2020" width="10.85546875" style="2" customWidth="1"/>
    <col min="2021" max="2021" width="17.42578125" style="2" customWidth="1"/>
    <col min="2022" max="2022" width="14.85546875" style="2" customWidth="1"/>
    <col min="2023" max="2023" width="15" style="2" customWidth="1"/>
    <col min="2024" max="2024" width="14.85546875" style="2" customWidth="1"/>
    <col min="2025" max="2025" width="7.140625" style="2" customWidth="1"/>
    <col min="2026" max="2027" width="20.140625" style="2" customWidth="1"/>
    <col min="2028" max="2028" width="18.42578125" style="2" customWidth="1"/>
    <col min="2029" max="2029" width="9.140625" style="2" customWidth="1"/>
    <col min="2030" max="2030" width="12" style="2" customWidth="1"/>
    <col min="2031" max="2031" width="14.85546875" style="2" customWidth="1"/>
    <col min="2032" max="2032" width="22.42578125" style="2" customWidth="1"/>
    <col min="2033" max="2033" width="14.85546875" style="2" customWidth="1"/>
    <col min="2034" max="2034" width="7.140625" style="2" customWidth="1"/>
    <col min="2035" max="2035" width="20.140625" style="2" customWidth="1"/>
    <col min="2036" max="2267" width="8.85546875" style="2" customWidth="1"/>
    <col min="2268" max="2268" width="8.140625" style="2" customWidth="1"/>
    <col min="2269" max="2269" width="14.42578125" style="2" customWidth="1"/>
    <col min="2270" max="2270" width="37.42578125" style="2" customWidth="1"/>
    <col min="2271" max="2271" width="63.140625" style="2" customWidth="1"/>
    <col min="2272" max="2272" width="20" style="2" customWidth="1"/>
    <col min="2273" max="2273" width="11.140625" style="2" customWidth="1"/>
    <col min="2274" max="2274" width="10.85546875" style="2" customWidth="1"/>
    <col min="2275" max="2275" width="21" style="2" customWidth="1"/>
    <col min="2276" max="2276" width="10.85546875" style="2" customWidth="1"/>
    <col min="2277" max="2277" width="17.42578125" style="2" customWidth="1"/>
    <col min="2278" max="2278" width="14.85546875" style="2" customWidth="1"/>
    <col min="2279" max="2279" width="15" style="2" customWidth="1"/>
    <col min="2280" max="2280" width="14.85546875" style="2" customWidth="1"/>
    <col min="2281" max="2281" width="7.140625" style="2" customWidth="1"/>
    <col min="2282" max="2283" width="20.140625" style="2" customWidth="1"/>
    <col min="2284" max="2284" width="18.42578125" style="2" customWidth="1"/>
    <col min="2285" max="2285" width="9.140625" style="2" customWidth="1"/>
    <col min="2286" max="2286" width="12" style="2" customWidth="1"/>
    <col min="2287" max="2287" width="14.85546875" style="2" customWidth="1"/>
    <col min="2288" max="2288" width="22.42578125" style="2" customWidth="1"/>
    <col min="2289" max="2289" width="14.85546875" style="2" customWidth="1"/>
    <col min="2290" max="2290" width="7.140625" style="2" customWidth="1"/>
    <col min="2291" max="2291" width="20.140625" style="2" customWidth="1"/>
    <col min="2292" max="2523" width="8.85546875" style="2" customWidth="1"/>
    <col min="2524" max="2524" width="8.140625" style="2" customWidth="1"/>
    <col min="2525" max="2525" width="14.42578125" style="2" customWidth="1"/>
    <col min="2526" max="2526" width="37.42578125" style="2" customWidth="1"/>
    <col min="2527" max="2527" width="63.140625" style="2" customWidth="1"/>
    <col min="2528" max="2528" width="20" style="2" customWidth="1"/>
    <col min="2529" max="2529" width="11.140625" style="2" customWidth="1"/>
    <col min="2530" max="2530" width="10.85546875" style="2" customWidth="1"/>
    <col min="2531" max="2531" width="21" style="2" customWidth="1"/>
    <col min="2532" max="2532" width="10.85546875" style="2" customWidth="1"/>
    <col min="2533" max="2533" width="17.42578125" style="2" customWidth="1"/>
    <col min="2534" max="2534" width="14.85546875" style="2" customWidth="1"/>
    <col min="2535" max="2535" width="15" style="2" customWidth="1"/>
    <col min="2536" max="2536" width="14.85546875" style="2" customWidth="1"/>
    <col min="2537" max="2537" width="7.140625" style="2" customWidth="1"/>
    <col min="2538" max="2539" width="20.140625" style="2" customWidth="1"/>
    <col min="2540" max="2540" width="18.42578125" style="2" customWidth="1"/>
    <col min="2541" max="2541" width="9.140625" style="2" customWidth="1"/>
    <col min="2542" max="2542" width="12" style="2" customWidth="1"/>
    <col min="2543" max="2543" width="14.85546875" style="2" customWidth="1"/>
    <col min="2544" max="2544" width="22.42578125" style="2" customWidth="1"/>
    <col min="2545" max="2545" width="14.85546875" style="2" customWidth="1"/>
    <col min="2546" max="2546" width="7.140625" style="2" customWidth="1"/>
    <col min="2547" max="2547" width="20.140625" style="2" customWidth="1"/>
    <col min="2548" max="2779" width="8.85546875" style="2" customWidth="1"/>
    <col min="2780" max="2780" width="8.140625" style="2" customWidth="1"/>
    <col min="2781" max="2781" width="14.42578125" style="2" customWidth="1"/>
    <col min="2782" max="2782" width="37.42578125" style="2" customWidth="1"/>
    <col min="2783" max="2783" width="63.140625" style="2" customWidth="1"/>
    <col min="2784" max="2784" width="20" style="2" customWidth="1"/>
    <col min="2785" max="2785" width="11.140625" style="2" customWidth="1"/>
    <col min="2786" max="2786" width="10.85546875" style="2" customWidth="1"/>
    <col min="2787" max="2787" width="21" style="2" customWidth="1"/>
    <col min="2788" max="2788" width="10.85546875" style="2" customWidth="1"/>
    <col min="2789" max="2789" width="17.42578125" style="2" customWidth="1"/>
    <col min="2790" max="2790" width="14.85546875" style="2" customWidth="1"/>
    <col min="2791" max="2791" width="15" style="2" customWidth="1"/>
    <col min="2792" max="2792" width="14.85546875" style="2" customWidth="1"/>
    <col min="2793" max="2793" width="7.140625" style="2" customWidth="1"/>
    <col min="2794" max="2795" width="20.140625" style="2" customWidth="1"/>
    <col min="2796" max="2796" width="18.42578125" style="2" customWidth="1"/>
    <col min="2797" max="2797" width="9.140625" style="2" customWidth="1"/>
    <col min="2798" max="2798" width="12" style="2" customWidth="1"/>
    <col min="2799" max="2799" width="14.85546875" style="2" customWidth="1"/>
    <col min="2800" max="2800" width="22.42578125" style="2" customWidth="1"/>
    <col min="2801" max="2801" width="14.85546875" style="2" customWidth="1"/>
    <col min="2802" max="2802" width="7.140625" style="2" customWidth="1"/>
    <col min="2803" max="2803" width="20.140625" style="2" customWidth="1"/>
    <col min="2804" max="3035" width="8.85546875" style="2" customWidth="1"/>
    <col min="3036" max="3036" width="8.140625" style="2" customWidth="1"/>
    <col min="3037" max="3037" width="14.42578125" style="2" customWidth="1"/>
    <col min="3038" max="3038" width="37.42578125" style="2" customWidth="1"/>
    <col min="3039" max="3039" width="63.140625" style="2" customWidth="1"/>
    <col min="3040" max="3040" width="20" style="2" customWidth="1"/>
    <col min="3041" max="3041" width="11.140625" style="2" customWidth="1"/>
    <col min="3042" max="3042" width="10.85546875" style="2" customWidth="1"/>
    <col min="3043" max="3043" width="21" style="2" customWidth="1"/>
    <col min="3044" max="3044" width="10.85546875" style="2" customWidth="1"/>
    <col min="3045" max="3045" width="17.42578125" style="2" customWidth="1"/>
    <col min="3046" max="3046" width="14.85546875" style="2" customWidth="1"/>
    <col min="3047" max="3047" width="15" style="2" customWidth="1"/>
    <col min="3048" max="3048" width="14.85546875" style="2" customWidth="1"/>
    <col min="3049" max="3049" width="7.140625" style="2" customWidth="1"/>
    <col min="3050" max="3051" width="20.140625" style="2" customWidth="1"/>
    <col min="3052" max="3052" width="18.42578125" style="2" customWidth="1"/>
    <col min="3053" max="3053" width="9.140625" style="2" customWidth="1"/>
    <col min="3054" max="3054" width="12" style="2" customWidth="1"/>
    <col min="3055" max="3055" width="14.85546875" style="2" customWidth="1"/>
    <col min="3056" max="3056" width="22.42578125" style="2" customWidth="1"/>
    <col min="3057" max="3057" width="14.85546875" style="2" customWidth="1"/>
    <col min="3058" max="3058" width="7.140625" style="2" customWidth="1"/>
    <col min="3059" max="3059" width="20.140625" style="2" customWidth="1"/>
    <col min="3060" max="3291" width="8.85546875" style="2" customWidth="1"/>
    <col min="3292" max="3292" width="8.140625" style="2" customWidth="1"/>
    <col min="3293" max="3293" width="14.42578125" style="2" customWidth="1"/>
    <col min="3294" max="3294" width="37.42578125" style="2" customWidth="1"/>
    <col min="3295" max="3295" width="63.140625" style="2" customWidth="1"/>
    <col min="3296" max="3296" width="20" style="2" customWidth="1"/>
    <col min="3297" max="3297" width="11.140625" style="2" customWidth="1"/>
    <col min="3298" max="3298" width="10.85546875" style="2" customWidth="1"/>
    <col min="3299" max="3299" width="21" style="2" customWidth="1"/>
    <col min="3300" max="3300" width="10.85546875" style="2" customWidth="1"/>
    <col min="3301" max="3301" width="17.42578125" style="2" customWidth="1"/>
    <col min="3302" max="3302" width="14.85546875" style="2" customWidth="1"/>
    <col min="3303" max="3303" width="15" style="2" customWidth="1"/>
    <col min="3304" max="3304" width="14.85546875" style="2" customWidth="1"/>
    <col min="3305" max="3305" width="7.140625" style="2" customWidth="1"/>
    <col min="3306" max="3307" width="20.140625" style="2" customWidth="1"/>
    <col min="3308" max="3308" width="18.42578125" style="2" customWidth="1"/>
    <col min="3309" max="3309" width="9.140625" style="2" customWidth="1"/>
    <col min="3310" max="3310" width="12" style="2" customWidth="1"/>
    <col min="3311" max="3311" width="14.85546875" style="2" customWidth="1"/>
    <col min="3312" max="3312" width="22.42578125" style="2" customWidth="1"/>
    <col min="3313" max="3313" width="14.85546875" style="2" customWidth="1"/>
    <col min="3314" max="3314" width="7.140625" style="2" customWidth="1"/>
    <col min="3315" max="3315" width="20.140625" style="2" customWidth="1"/>
    <col min="3316" max="3547" width="8.85546875" style="2" customWidth="1"/>
    <col min="3548" max="3548" width="8.140625" style="2" customWidth="1"/>
    <col min="3549" max="3549" width="14.42578125" style="2" customWidth="1"/>
    <col min="3550" max="3550" width="37.42578125" style="2" customWidth="1"/>
    <col min="3551" max="3551" width="63.140625" style="2" customWidth="1"/>
    <col min="3552" max="3552" width="20" style="2" customWidth="1"/>
    <col min="3553" max="3553" width="11.140625" style="2" customWidth="1"/>
    <col min="3554" max="3554" width="10.85546875" style="2" customWidth="1"/>
    <col min="3555" max="3555" width="21" style="2" customWidth="1"/>
    <col min="3556" max="3556" width="10.85546875" style="2" customWidth="1"/>
    <col min="3557" max="3557" width="17.42578125" style="2" customWidth="1"/>
    <col min="3558" max="3558" width="14.85546875" style="2" customWidth="1"/>
    <col min="3559" max="3559" width="15" style="2" customWidth="1"/>
    <col min="3560" max="3560" width="14.85546875" style="2" customWidth="1"/>
    <col min="3561" max="3561" width="7.140625" style="2" customWidth="1"/>
    <col min="3562" max="3563" width="20.140625" style="2" customWidth="1"/>
    <col min="3564" max="3564" width="18.42578125" style="2" customWidth="1"/>
    <col min="3565" max="3565" width="9.140625" style="2" customWidth="1"/>
    <col min="3566" max="3566" width="12" style="2" customWidth="1"/>
    <col min="3567" max="3567" width="14.85546875" style="2" customWidth="1"/>
    <col min="3568" max="3568" width="22.42578125" style="2" customWidth="1"/>
    <col min="3569" max="3569" width="14.85546875" style="2" customWidth="1"/>
    <col min="3570" max="3570" width="7.140625" style="2" customWidth="1"/>
    <col min="3571" max="3571" width="20.140625" style="2" customWidth="1"/>
    <col min="3572" max="3803" width="8.85546875" style="2" customWidth="1"/>
    <col min="3804" max="3804" width="8.140625" style="2" customWidth="1"/>
    <col min="3805" max="3805" width="14.42578125" style="2" customWidth="1"/>
    <col min="3806" max="3806" width="37.42578125" style="2" customWidth="1"/>
    <col min="3807" max="3807" width="63.140625" style="2" customWidth="1"/>
    <col min="3808" max="3808" width="20" style="2" customWidth="1"/>
    <col min="3809" max="3809" width="11.140625" style="2" customWidth="1"/>
    <col min="3810" max="3810" width="10.85546875" style="2" customWidth="1"/>
    <col min="3811" max="3811" width="21" style="2" customWidth="1"/>
    <col min="3812" max="3812" width="10.85546875" style="2" customWidth="1"/>
    <col min="3813" max="3813" width="17.42578125" style="2" customWidth="1"/>
    <col min="3814" max="3814" width="14.85546875" style="2" customWidth="1"/>
    <col min="3815" max="3815" width="15" style="2" customWidth="1"/>
    <col min="3816" max="3816" width="14.85546875" style="2" customWidth="1"/>
    <col min="3817" max="3817" width="7.140625" style="2" customWidth="1"/>
    <col min="3818" max="3819" width="20.140625" style="2" customWidth="1"/>
    <col min="3820" max="3820" width="18.42578125" style="2" customWidth="1"/>
    <col min="3821" max="3821" width="9.140625" style="2" customWidth="1"/>
    <col min="3822" max="3822" width="12" style="2" customWidth="1"/>
    <col min="3823" max="3823" width="14.85546875" style="2" customWidth="1"/>
    <col min="3824" max="3824" width="22.42578125" style="2" customWidth="1"/>
    <col min="3825" max="3825" width="14.85546875" style="2" customWidth="1"/>
    <col min="3826" max="3826" width="7.140625" style="2" customWidth="1"/>
    <col min="3827" max="3827" width="20.140625" style="2" customWidth="1"/>
    <col min="3828" max="4059" width="8.85546875" style="2" customWidth="1"/>
    <col min="4060" max="4060" width="8.140625" style="2" customWidth="1"/>
    <col min="4061" max="4061" width="14.42578125" style="2" customWidth="1"/>
    <col min="4062" max="4062" width="37.42578125" style="2" customWidth="1"/>
    <col min="4063" max="4063" width="63.140625" style="2" customWidth="1"/>
    <col min="4064" max="4064" width="20" style="2" customWidth="1"/>
    <col min="4065" max="4065" width="11.140625" style="2" customWidth="1"/>
    <col min="4066" max="4066" width="10.85546875" style="2" customWidth="1"/>
    <col min="4067" max="4067" width="21" style="2" customWidth="1"/>
    <col min="4068" max="4068" width="10.85546875" style="2" customWidth="1"/>
    <col min="4069" max="4069" width="17.42578125" style="2" customWidth="1"/>
    <col min="4070" max="4070" width="14.85546875" style="2" customWidth="1"/>
    <col min="4071" max="4071" width="15" style="2" customWidth="1"/>
    <col min="4072" max="4072" width="14.85546875" style="2" customWidth="1"/>
    <col min="4073" max="4073" width="7.140625" style="2" customWidth="1"/>
    <col min="4074" max="4075" width="20.140625" style="2" customWidth="1"/>
    <col min="4076" max="4076" width="18.42578125" style="2" customWidth="1"/>
    <col min="4077" max="4077" width="9.140625" style="2" customWidth="1"/>
    <col min="4078" max="4078" width="12" style="2" customWidth="1"/>
    <col min="4079" max="4079" width="14.85546875" style="2" customWidth="1"/>
    <col min="4080" max="4080" width="22.42578125" style="2" customWidth="1"/>
    <col min="4081" max="4081" width="14.85546875" style="2" customWidth="1"/>
    <col min="4082" max="4082" width="7.140625" style="2" customWidth="1"/>
    <col min="4083" max="4083" width="20.140625" style="2" customWidth="1"/>
    <col min="4084" max="4315" width="8.85546875" style="2" customWidth="1"/>
    <col min="4316" max="4316" width="8.140625" style="2" customWidth="1"/>
    <col min="4317" max="4317" width="14.42578125" style="2" customWidth="1"/>
    <col min="4318" max="4318" width="37.42578125" style="2" customWidth="1"/>
    <col min="4319" max="4319" width="63.140625" style="2" customWidth="1"/>
    <col min="4320" max="4320" width="20" style="2" customWidth="1"/>
    <col min="4321" max="4321" width="11.140625" style="2" customWidth="1"/>
    <col min="4322" max="4322" width="10.85546875" style="2" customWidth="1"/>
    <col min="4323" max="4323" width="21" style="2" customWidth="1"/>
    <col min="4324" max="4324" width="10.85546875" style="2" customWidth="1"/>
    <col min="4325" max="4325" width="17.42578125" style="2" customWidth="1"/>
    <col min="4326" max="4326" width="14.85546875" style="2" customWidth="1"/>
    <col min="4327" max="4327" width="15" style="2" customWidth="1"/>
    <col min="4328" max="4328" width="14.85546875" style="2" customWidth="1"/>
    <col min="4329" max="4329" width="7.140625" style="2" customWidth="1"/>
    <col min="4330" max="4331" width="20.140625" style="2" customWidth="1"/>
    <col min="4332" max="4332" width="18.42578125" style="2" customWidth="1"/>
    <col min="4333" max="4333" width="9.140625" style="2" customWidth="1"/>
    <col min="4334" max="4334" width="12" style="2" customWidth="1"/>
    <col min="4335" max="4335" width="14.85546875" style="2" customWidth="1"/>
    <col min="4336" max="4336" width="22.42578125" style="2" customWidth="1"/>
    <col min="4337" max="4337" width="14.85546875" style="2" customWidth="1"/>
    <col min="4338" max="4338" width="7.140625" style="2" customWidth="1"/>
    <col min="4339" max="4339" width="20.140625" style="2" customWidth="1"/>
    <col min="4340" max="4571" width="8.85546875" style="2" customWidth="1"/>
    <col min="4572" max="4572" width="8.140625" style="2" customWidth="1"/>
    <col min="4573" max="4573" width="14.42578125" style="2" customWidth="1"/>
    <col min="4574" max="4574" width="37.42578125" style="2" customWidth="1"/>
    <col min="4575" max="4575" width="63.140625" style="2" customWidth="1"/>
    <col min="4576" max="4576" width="20" style="2" customWidth="1"/>
    <col min="4577" max="4577" width="11.140625" style="2" customWidth="1"/>
    <col min="4578" max="4578" width="10.85546875" style="2" customWidth="1"/>
    <col min="4579" max="4579" width="21" style="2" customWidth="1"/>
    <col min="4580" max="4580" width="10.85546875" style="2" customWidth="1"/>
    <col min="4581" max="4581" width="17.42578125" style="2" customWidth="1"/>
    <col min="4582" max="4582" width="14.85546875" style="2" customWidth="1"/>
    <col min="4583" max="4583" width="15" style="2" customWidth="1"/>
    <col min="4584" max="4584" width="14.85546875" style="2" customWidth="1"/>
    <col min="4585" max="4585" width="7.140625" style="2" customWidth="1"/>
    <col min="4586" max="4587" width="20.140625" style="2" customWidth="1"/>
    <col min="4588" max="4588" width="18.42578125" style="2" customWidth="1"/>
    <col min="4589" max="4589" width="9.140625" style="2" customWidth="1"/>
    <col min="4590" max="4590" width="12" style="2" customWidth="1"/>
    <col min="4591" max="4591" width="14.85546875" style="2" customWidth="1"/>
    <col min="4592" max="4592" width="22.42578125" style="2" customWidth="1"/>
    <col min="4593" max="4593" width="14.85546875" style="2" customWidth="1"/>
    <col min="4594" max="4594" width="7.140625" style="2" customWidth="1"/>
    <col min="4595" max="4595" width="20.140625" style="2" customWidth="1"/>
    <col min="4596" max="4827" width="8.85546875" style="2" customWidth="1"/>
    <col min="4828" max="4828" width="8.140625" style="2" customWidth="1"/>
    <col min="4829" max="4829" width="14.42578125" style="2" customWidth="1"/>
    <col min="4830" max="4830" width="37.42578125" style="2" customWidth="1"/>
    <col min="4831" max="4831" width="63.140625" style="2" customWidth="1"/>
    <col min="4832" max="4832" width="20" style="2" customWidth="1"/>
    <col min="4833" max="4833" width="11.140625" style="2" customWidth="1"/>
    <col min="4834" max="4834" width="10.85546875" style="2" customWidth="1"/>
    <col min="4835" max="4835" width="21" style="2" customWidth="1"/>
    <col min="4836" max="4836" width="10.85546875" style="2" customWidth="1"/>
    <col min="4837" max="4837" width="17.42578125" style="2" customWidth="1"/>
    <col min="4838" max="4838" width="14.85546875" style="2" customWidth="1"/>
    <col min="4839" max="4839" width="15" style="2" customWidth="1"/>
    <col min="4840" max="4840" width="14.85546875" style="2" customWidth="1"/>
    <col min="4841" max="4841" width="7.140625" style="2" customWidth="1"/>
    <col min="4842" max="4843" width="20.140625" style="2" customWidth="1"/>
    <col min="4844" max="4844" width="18.42578125" style="2" customWidth="1"/>
    <col min="4845" max="4845" width="9.140625" style="2" customWidth="1"/>
    <col min="4846" max="4846" width="12" style="2" customWidth="1"/>
    <col min="4847" max="4847" width="14.85546875" style="2" customWidth="1"/>
    <col min="4848" max="4848" width="22.42578125" style="2" customWidth="1"/>
    <col min="4849" max="4849" width="14.85546875" style="2" customWidth="1"/>
    <col min="4850" max="4850" width="7.140625" style="2" customWidth="1"/>
    <col min="4851" max="4851" width="20.140625" style="2" customWidth="1"/>
    <col min="4852" max="5083" width="8.85546875" style="2" customWidth="1"/>
    <col min="5084" max="5084" width="8.140625" style="2" customWidth="1"/>
    <col min="5085" max="5085" width="14.42578125" style="2" customWidth="1"/>
    <col min="5086" max="5086" width="37.42578125" style="2" customWidth="1"/>
    <col min="5087" max="5087" width="63.140625" style="2" customWidth="1"/>
    <col min="5088" max="5088" width="20" style="2" customWidth="1"/>
    <col min="5089" max="5089" width="11.140625" style="2" customWidth="1"/>
    <col min="5090" max="5090" width="10.85546875" style="2" customWidth="1"/>
    <col min="5091" max="5091" width="21" style="2" customWidth="1"/>
    <col min="5092" max="5092" width="10.85546875" style="2" customWidth="1"/>
    <col min="5093" max="5093" width="17.42578125" style="2" customWidth="1"/>
    <col min="5094" max="5094" width="14.85546875" style="2" customWidth="1"/>
    <col min="5095" max="5095" width="15" style="2" customWidth="1"/>
    <col min="5096" max="5096" width="14.85546875" style="2" customWidth="1"/>
    <col min="5097" max="5097" width="7.140625" style="2" customWidth="1"/>
    <col min="5098" max="5099" width="20.140625" style="2" customWidth="1"/>
    <col min="5100" max="5100" width="18.42578125" style="2" customWidth="1"/>
    <col min="5101" max="5101" width="9.140625" style="2" customWidth="1"/>
    <col min="5102" max="5102" width="12" style="2" customWidth="1"/>
    <col min="5103" max="5103" width="14.85546875" style="2" customWidth="1"/>
    <col min="5104" max="5104" width="22.42578125" style="2" customWidth="1"/>
    <col min="5105" max="5105" width="14.85546875" style="2" customWidth="1"/>
    <col min="5106" max="5106" width="7.140625" style="2" customWidth="1"/>
    <col min="5107" max="5107" width="20.140625" style="2" customWidth="1"/>
    <col min="5108" max="5339" width="8.85546875" style="2" customWidth="1"/>
    <col min="5340" max="5340" width="8.140625" style="2" customWidth="1"/>
    <col min="5341" max="5341" width="14.42578125" style="2" customWidth="1"/>
    <col min="5342" max="5342" width="37.42578125" style="2" customWidth="1"/>
    <col min="5343" max="5343" width="63.140625" style="2" customWidth="1"/>
    <col min="5344" max="5344" width="20" style="2" customWidth="1"/>
    <col min="5345" max="5345" width="11.140625" style="2" customWidth="1"/>
    <col min="5346" max="5346" width="10.85546875" style="2" customWidth="1"/>
    <col min="5347" max="5347" width="21" style="2" customWidth="1"/>
    <col min="5348" max="5348" width="10.85546875" style="2" customWidth="1"/>
    <col min="5349" max="5349" width="17.42578125" style="2" customWidth="1"/>
    <col min="5350" max="5350" width="14.85546875" style="2" customWidth="1"/>
    <col min="5351" max="5351" width="15" style="2" customWidth="1"/>
    <col min="5352" max="5352" width="14.85546875" style="2" customWidth="1"/>
    <col min="5353" max="5353" width="7.140625" style="2" customWidth="1"/>
    <col min="5354" max="5355" width="20.140625" style="2" customWidth="1"/>
    <col min="5356" max="5356" width="18.42578125" style="2" customWidth="1"/>
    <col min="5357" max="5357" width="9.140625" style="2" customWidth="1"/>
    <col min="5358" max="5358" width="12" style="2" customWidth="1"/>
    <col min="5359" max="5359" width="14.85546875" style="2" customWidth="1"/>
    <col min="5360" max="5360" width="22.42578125" style="2" customWidth="1"/>
    <col min="5361" max="5361" width="14.85546875" style="2" customWidth="1"/>
    <col min="5362" max="5362" width="7.140625" style="2" customWidth="1"/>
    <col min="5363" max="5363" width="20.140625" style="2" customWidth="1"/>
    <col min="5364" max="5595" width="8.85546875" style="2" customWidth="1"/>
    <col min="5596" max="5596" width="8.140625" style="2" customWidth="1"/>
    <col min="5597" max="5597" width="14.42578125" style="2" customWidth="1"/>
    <col min="5598" max="5598" width="37.42578125" style="2" customWidth="1"/>
    <col min="5599" max="5599" width="63.140625" style="2" customWidth="1"/>
    <col min="5600" max="5600" width="20" style="2" customWidth="1"/>
    <col min="5601" max="5601" width="11.140625" style="2" customWidth="1"/>
    <col min="5602" max="5602" width="10.85546875" style="2" customWidth="1"/>
    <col min="5603" max="5603" width="21" style="2" customWidth="1"/>
    <col min="5604" max="5604" width="10.85546875" style="2" customWidth="1"/>
    <col min="5605" max="5605" width="17.42578125" style="2" customWidth="1"/>
    <col min="5606" max="5606" width="14.85546875" style="2" customWidth="1"/>
    <col min="5607" max="5607" width="15" style="2" customWidth="1"/>
    <col min="5608" max="5608" width="14.85546875" style="2" customWidth="1"/>
    <col min="5609" max="5609" width="7.140625" style="2" customWidth="1"/>
    <col min="5610" max="5611" width="20.140625" style="2" customWidth="1"/>
    <col min="5612" max="5612" width="18.42578125" style="2" customWidth="1"/>
    <col min="5613" max="5613" width="9.140625" style="2" customWidth="1"/>
    <col min="5614" max="5614" width="12" style="2" customWidth="1"/>
    <col min="5615" max="5615" width="14.85546875" style="2" customWidth="1"/>
    <col min="5616" max="5616" width="22.42578125" style="2" customWidth="1"/>
    <col min="5617" max="5617" width="14.85546875" style="2" customWidth="1"/>
    <col min="5618" max="5618" width="7.140625" style="2" customWidth="1"/>
    <col min="5619" max="5619" width="20.140625" style="2" customWidth="1"/>
    <col min="5620" max="5851" width="8.85546875" style="2" customWidth="1"/>
    <col min="5852" max="5852" width="8.140625" style="2" customWidth="1"/>
    <col min="5853" max="5853" width="14.42578125" style="2" customWidth="1"/>
    <col min="5854" max="5854" width="37.42578125" style="2" customWidth="1"/>
    <col min="5855" max="5855" width="63.140625" style="2" customWidth="1"/>
    <col min="5856" max="5856" width="20" style="2" customWidth="1"/>
    <col min="5857" max="5857" width="11.140625" style="2" customWidth="1"/>
    <col min="5858" max="5858" width="10.85546875" style="2" customWidth="1"/>
    <col min="5859" max="5859" width="21" style="2" customWidth="1"/>
    <col min="5860" max="5860" width="10.85546875" style="2" customWidth="1"/>
    <col min="5861" max="5861" width="17.42578125" style="2" customWidth="1"/>
    <col min="5862" max="5862" width="14.85546875" style="2" customWidth="1"/>
    <col min="5863" max="5863" width="15" style="2" customWidth="1"/>
    <col min="5864" max="5864" width="14.85546875" style="2" customWidth="1"/>
    <col min="5865" max="5865" width="7.140625" style="2" customWidth="1"/>
    <col min="5866" max="5867" width="20.140625" style="2" customWidth="1"/>
    <col min="5868" max="5868" width="18.42578125" style="2" customWidth="1"/>
    <col min="5869" max="5869" width="9.140625" style="2" customWidth="1"/>
    <col min="5870" max="5870" width="12" style="2" customWidth="1"/>
    <col min="5871" max="5871" width="14.85546875" style="2" customWidth="1"/>
    <col min="5872" max="5872" width="22.42578125" style="2" customWidth="1"/>
    <col min="5873" max="5873" width="14.85546875" style="2" customWidth="1"/>
    <col min="5874" max="5874" width="7.140625" style="2" customWidth="1"/>
    <col min="5875" max="5875" width="20.140625" style="2" customWidth="1"/>
    <col min="5876" max="6107" width="8.85546875" style="2" customWidth="1"/>
    <col min="6108" max="6108" width="8.140625" style="2" customWidth="1"/>
    <col min="6109" max="6109" width="14.42578125" style="2" customWidth="1"/>
    <col min="6110" max="6110" width="37.42578125" style="2" customWidth="1"/>
    <col min="6111" max="6111" width="63.140625" style="2" customWidth="1"/>
    <col min="6112" max="6112" width="20" style="2" customWidth="1"/>
    <col min="6113" max="6113" width="11.140625" style="2" customWidth="1"/>
    <col min="6114" max="6114" width="10.85546875" style="2" customWidth="1"/>
    <col min="6115" max="6115" width="21" style="2" customWidth="1"/>
    <col min="6116" max="6116" width="10.85546875" style="2" customWidth="1"/>
    <col min="6117" max="6117" width="17.42578125" style="2" customWidth="1"/>
    <col min="6118" max="6118" width="14.85546875" style="2" customWidth="1"/>
    <col min="6119" max="6119" width="15" style="2" customWidth="1"/>
    <col min="6120" max="6120" width="14.85546875" style="2" customWidth="1"/>
    <col min="6121" max="6121" width="7.140625" style="2" customWidth="1"/>
    <col min="6122" max="6123" width="20.140625" style="2" customWidth="1"/>
    <col min="6124" max="6124" width="18.42578125" style="2" customWidth="1"/>
    <col min="6125" max="6125" width="9.140625" style="2" customWidth="1"/>
    <col min="6126" max="6126" width="12" style="2" customWidth="1"/>
    <col min="6127" max="6127" width="14.85546875" style="2" customWidth="1"/>
    <col min="6128" max="6128" width="22.42578125" style="2" customWidth="1"/>
    <col min="6129" max="6129" width="14.85546875" style="2" customWidth="1"/>
    <col min="6130" max="6130" width="7.140625" style="2" customWidth="1"/>
    <col min="6131" max="6131" width="20.140625" style="2" customWidth="1"/>
    <col min="6132" max="6363" width="8.85546875" style="2" customWidth="1"/>
    <col min="6364" max="6364" width="8.140625" style="2" customWidth="1"/>
    <col min="6365" max="6365" width="14.42578125" style="2" customWidth="1"/>
    <col min="6366" max="6366" width="37.42578125" style="2" customWidth="1"/>
    <col min="6367" max="6367" width="63.140625" style="2" customWidth="1"/>
    <col min="6368" max="6368" width="20" style="2" customWidth="1"/>
    <col min="6369" max="6369" width="11.140625" style="2" customWidth="1"/>
    <col min="6370" max="6370" width="10.85546875" style="2" customWidth="1"/>
    <col min="6371" max="6371" width="21" style="2" customWidth="1"/>
    <col min="6372" max="6372" width="10.85546875" style="2" customWidth="1"/>
    <col min="6373" max="6373" width="17.42578125" style="2" customWidth="1"/>
    <col min="6374" max="6374" width="14.85546875" style="2" customWidth="1"/>
    <col min="6375" max="6375" width="15" style="2" customWidth="1"/>
    <col min="6376" max="6376" width="14.85546875" style="2" customWidth="1"/>
    <col min="6377" max="6377" width="7.140625" style="2" customWidth="1"/>
    <col min="6378" max="6379" width="20.140625" style="2" customWidth="1"/>
    <col min="6380" max="6380" width="18.42578125" style="2" customWidth="1"/>
    <col min="6381" max="6381" width="9.140625" style="2" customWidth="1"/>
    <col min="6382" max="6382" width="12" style="2" customWidth="1"/>
    <col min="6383" max="6383" width="14.85546875" style="2" customWidth="1"/>
    <col min="6384" max="6384" width="22.42578125" style="2" customWidth="1"/>
    <col min="6385" max="6385" width="14.85546875" style="2" customWidth="1"/>
    <col min="6386" max="6386" width="7.140625" style="2" customWidth="1"/>
    <col min="6387" max="6387" width="20.140625" style="2" customWidth="1"/>
    <col min="6388" max="6619" width="8.85546875" style="2" customWidth="1"/>
    <col min="6620" max="6620" width="8.140625" style="2" customWidth="1"/>
    <col min="6621" max="6621" width="14.42578125" style="2" customWidth="1"/>
    <col min="6622" max="6622" width="37.42578125" style="2" customWidth="1"/>
    <col min="6623" max="6623" width="63.140625" style="2" customWidth="1"/>
    <col min="6624" max="6624" width="20" style="2" customWidth="1"/>
    <col min="6625" max="6625" width="11.140625" style="2" customWidth="1"/>
    <col min="6626" max="6626" width="10.85546875" style="2" customWidth="1"/>
    <col min="6627" max="6627" width="21" style="2" customWidth="1"/>
    <col min="6628" max="6628" width="10.85546875" style="2" customWidth="1"/>
    <col min="6629" max="6629" width="17.42578125" style="2" customWidth="1"/>
    <col min="6630" max="6630" width="14.85546875" style="2" customWidth="1"/>
    <col min="6631" max="6631" width="15" style="2" customWidth="1"/>
    <col min="6632" max="6632" width="14.85546875" style="2" customWidth="1"/>
    <col min="6633" max="6633" width="7.140625" style="2" customWidth="1"/>
    <col min="6634" max="6635" width="20.140625" style="2" customWidth="1"/>
    <col min="6636" max="6636" width="18.42578125" style="2" customWidth="1"/>
    <col min="6637" max="6637" width="9.140625" style="2" customWidth="1"/>
    <col min="6638" max="6638" width="12" style="2" customWidth="1"/>
    <col min="6639" max="6639" width="14.85546875" style="2" customWidth="1"/>
    <col min="6640" max="6640" width="22.42578125" style="2" customWidth="1"/>
    <col min="6641" max="6641" width="14.85546875" style="2" customWidth="1"/>
    <col min="6642" max="6642" width="7.140625" style="2" customWidth="1"/>
    <col min="6643" max="6643" width="20.140625" style="2" customWidth="1"/>
    <col min="6644" max="6875" width="8.85546875" style="2" customWidth="1"/>
    <col min="6876" max="6876" width="8.140625" style="2" customWidth="1"/>
    <col min="6877" max="6877" width="14.42578125" style="2" customWidth="1"/>
    <col min="6878" max="6878" width="37.42578125" style="2" customWidth="1"/>
    <col min="6879" max="6879" width="63.140625" style="2" customWidth="1"/>
    <col min="6880" max="6880" width="20" style="2" customWidth="1"/>
    <col min="6881" max="6881" width="11.140625" style="2" customWidth="1"/>
    <col min="6882" max="6882" width="10.85546875" style="2" customWidth="1"/>
    <col min="6883" max="6883" width="21" style="2" customWidth="1"/>
    <col min="6884" max="6884" width="10.85546875" style="2" customWidth="1"/>
    <col min="6885" max="6885" width="17.42578125" style="2" customWidth="1"/>
    <col min="6886" max="6886" width="14.85546875" style="2" customWidth="1"/>
    <col min="6887" max="6887" width="15" style="2" customWidth="1"/>
    <col min="6888" max="6888" width="14.85546875" style="2" customWidth="1"/>
    <col min="6889" max="6889" width="7.140625" style="2" customWidth="1"/>
    <col min="6890" max="6891" width="20.140625" style="2" customWidth="1"/>
    <col min="6892" max="6892" width="18.42578125" style="2" customWidth="1"/>
    <col min="6893" max="6893" width="9.140625" style="2" customWidth="1"/>
    <col min="6894" max="6894" width="12" style="2" customWidth="1"/>
    <col min="6895" max="6895" width="14.85546875" style="2" customWidth="1"/>
    <col min="6896" max="6896" width="22.42578125" style="2" customWidth="1"/>
    <col min="6897" max="6897" width="14.85546875" style="2" customWidth="1"/>
    <col min="6898" max="6898" width="7.140625" style="2" customWidth="1"/>
    <col min="6899" max="6899" width="20.140625" style="2" customWidth="1"/>
    <col min="6900" max="7131" width="8.85546875" style="2" customWidth="1"/>
    <col min="7132" max="7132" width="8.140625" style="2" customWidth="1"/>
    <col min="7133" max="7133" width="14.42578125" style="2" customWidth="1"/>
    <col min="7134" max="7134" width="37.42578125" style="2" customWidth="1"/>
    <col min="7135" max="7135" width="63.140625" style="2" customWidth="1"/>
    <col min="7136" max="7136" width="20" style="2" customWidth="1"/>
    <col min="7137" max="7137" width="11.140625" style="2" customWidth="1"/>
    <col min="7138" max="7138" width="10.85546875" style="2" customWidth="1"/>
    <col min="7139" max="7139" width="21" style="2" customWidth="1"/>
    <col min="7140" max="7140" width="10.85546875" style="2" customWidth="1"/>
    <col min="7141" max="7141" width="17.42578125" style="2" customWidth="1"/>
    <col min="7142" max="7142" width="14.85546875" style="2" customWidth="1"/>
    <col min="7143" max="7143" width="15" style="2" customWidth="1"/>
    <col min="7144" max="7144" width="14.85546875" style="2" customWidth="1"/>
    <col min="7145" max="7145" width="7.140625" style="2" customWidth="1"/>
    <col min="7146" max="7147" width="20.140625" style="2" customWidth="1"/>
    <col min="7148" max="7148" width="18.42578125" style="2" customWidth="1"/>
    <col min="7149" max="7149" width="9.140625" style="2" customWidth="1"/>
    <col min="7150" max="7150" width="12" style="2" customWidth="1"/>
    <col min="7151" max="7151" width="14.85546875" style="2" customWidth="1"/>
    <col min="7152" max="7152" width="22.42578125" style="2" customWidth="1"/>
    <col min="7153" max="7153" width="14.85546875" style="2" customWidth="1"/>
    <col min="7154" max="7154" width="7.140625" style="2" customWidth="1"/>
    <col min="7155" max="7155" width="20.140625" style="2" customWidth="1"/>
    <col min="7156" max="7387" width="8.85546875" style="2" customWidth="1"/>
    <col min="7388" max="7388" width="8.140625" style="2" customWidth="1"/>
    <col min="7389" max="7389" width="14.42578125" style="2" customWidth="1"/>
    <col min="7390" max="7390" width="37.42578125" style="2" customWidth="1"/>
    <col min="7391" max="7391" width="63.140625" style="2" customWidth="1"/>
    <col min="7392" max="7392" width="20" style="2" customWidth="1"/>
    <col min="7393" max="7393" width="11.140625" style="2" customWidth="1"/>
    <col min="7394" max="7394" width="10.85546875" style="2" customWidth="1"/>
    <col min="7395" max="7395" width="21" style="2" customWidth="1"/>
    <col min="7396" max="7396" width="10.85546875" style="2" customWidth="1"/>
    <col min="7397" max="7397" width="17.42578125" style="2" customWidth="1"/>
    <col min="7398" max="7398" width="14.85546875" style="2" customWidth="1"/>
    <col min="7399" max="7399" width="15" style="2" customWidth="1"/>
    <col min="7400" max="7400" width="14.85546875" style="2" customWidth="1"/>
    <col min="7401" max="7401" width="7.140625" style="2" customWidth="1"/>
    <col min="7402" max="7403" width="20.140625" style="2" customWidth="1"/>
    <col min="7404" max="7404" width="18.42578125" style="2" customWidth="1"/>
    <col min="7405" max="7405" width="9.140625" style="2" customWidth="1"/>
    <col min="7406" max="7406" width="12" style="2" customWidth="1"/>
    <col min="7407" max="7407" width="14.85546875" style="2" customWidth="1"/>
    <col min="7408" max="7408" width="22.42578125" style="2" customWidth="1"/>
    <col min="7409" max="7409" width="14.85546875" style="2" customWidth="1"/>
    <col min="7410" max="7410" width="7.140625" style="2" customWidth="1"/>
    <col min="7411" max="7411" width="20.140625" style="2" customWidth="1"/>
    <col min="7412" max="7643" width="8.85546875" style="2" customWidth="1"/>
    <col min="7644" max="7644" width="8.140625" style="2" customWidth="1"/>
    <col min="7645" max="7645" width="14.42578125" style="2" customWidth="1"/>
    <col min="7646" max="7646" width="37.42578125" style="2" customWidth="1"/>
    <col min="7647" max="7647" width="63.140625" style="2" customWidth="1"/>
    <col min="7648" max="7648" width="20" style="2" customWidth="1"/>
    <col min="7649" max="7649" width="11.140625" style="2" customWidth="1"/>
    <col min="7650" max="7650" width="10.85546875" style="2" customWidth="1"/>
    <col min="7651" max="7651" width="21" style="2" customWidth="1"/>
    <col min="7652" max="7652" width="10.85546875" style="2" customWidth="1"/>
    <col min="7653" max="7653" width="17.42578125" style="2" customWidth="1"/>
    <col min="7654" max="7654" width="14.85546875" style="2" customWidth="1"/>
    <col min="7655" max="7655" width="15" style="2" customWidth="1"/>
    <col min="7656" max="7656" width="14.85546875" style="2" customWidth="1"/>
    <col min="7657" max="7657" width="7.140625" style="2" customWidth="1"/>
    <col min="7658" max="7659" width="20.140625" style="2" customWidth="1"/>
    <col min="7660" max="7660" width="18.42578125" style="2" customWidth="1"/>
    <col min="7661" max="7661" width="9.140625" style="2" customWidth="1"/>
    <col min="7662" max="7662" width="12" style="2" customWidth="1"/>
    <col min="7663" max="7663" width="14.85546875" style="2" customWidth="1"/>
    <col min="7664" max="7664" width="22.42578125" style="2" customWidth="1"/>
    <col min="7665" max="7665" width="14.85546875" style="2" customWidth="1"/>
    <col min="7666" max="7666" width="7.140625" style="2" customWidth="1"/>
    <col min="7667" max="7667" width="20.140625" style="2" customWidth="1"/>
    <col min="7668" max="7899" width="8.85546875" style="2" customWidth="1"/>
    <col min="7900" max="7900" width="8.140625" style="2" customWidth="1"/>
    <col min="7901" max="7901" width="14.42578125" style="2" customWidth="1"/>
    <col min="7902" max="7902" width="37.42578125" style="2" customWidth="1"/>
    <col min="7903" max="7903" width="63.140625" style="2" customWidth="1"/>
    <col min="7904" max="7904" width="20" style="2" customWidth="1"/>
    <col min="7905" max="7905" width="11.140625" style="2" customWidth="1"/>
    <col min="7906" max="7906" width="10.85546875" style="2" customWidth="1"/>
    <col min="7907" max="7907" width="21" style="2" customWidth="1"/>
    <col min="7908" max="7908" width="10.85546875" style="2" customWidth="1"/>
    <col min="7909" max="7909" width="17.42578125" style="2" customWidth="1"/>
    <col min="7910" max="7910" width="14.85546875" style="2" customWidth="1"/>
    <col min="7911" max="7911" width="15" style="2" customWidth="1"/>
    <col min="7912" max="7912" width="14.85546875" style="2" customWidth="1"/>
    <col min="7913" max="7913" width="7.140625" style="2" customWidth="1"/>
    <col min="7914" max="7915" width="20.140625" style="2" customWidth="1"/>
    <col min="7916" max="7916" width="18.42578125" style="2" customWidth="1"/>
    <col min="7917" max="7917" width="9.140625" style="2" customWidth="1"/>
    <col min="7918" max="7918" width="12" style="2" customWidth="1"/>
    <col min="7919" max="7919" width="14.85546875" style="2" customWidth="1"/>
    <col min="7920" max="7920" width="22.42578125" style="2" customWidth="1"/>
    <col min="7921" max="7921" width="14.85546875" style="2" customWidth="1"/>
    <col min="7922" max="7922" width="7.140625" style="2" customWidth="1"/>
    <col min="7923" max="7923" width="20.140625" style="2" customWidth="1"/>
    <col min="7924" max="8155" width="8.85546875" style="2" customWidth="1"/>
    <col min="8156" max="8156" width="8.140625" style="2" customWidth="1"/>
    <col min="8157" max="8157" width="14.42578125" style="2" customWidth="1"/>
    <col min="8158" max="8158" width="37.42578125" style="2" customWidth="1"/>
    <col min="8159" max="8159" width="63.140625" style="2" customWidth="1"/>
    <col min="8160" max="8160" width="20" style="2" customWidth="1"/>
    <col min="8161" max="8161" width="11.140625" style="2" customWidth="1"/>
    <col min="8162" max="8162" width="10.85546875" style="2" customWidth="1"/>
    <col min="8163" max="8163" width="21" style="2" customWidth="1"/>
    <col min="8164" max="8164" width="10.85546875" style="2" customWidth="1"/>
    <col min="8165" max="8165" width="17.42578125" style="2" customWidth="1"/>
    <col min="8166" max="8166" width="14.85546875" style="2" customWidth="1"/>
    <col min="8167" max="8167" width="15" style="2" customWidth="1"/>
    <col min="8168" max="8168" width="14.85546875" style="2" customWidth="1"/>
    <col min="8169" max="8169" width="7.140625" style="2" customWidth="1"/>
    <col min="8170" max="8171" width="20.140625" style="2" customWidth="1"/>
    <col min="8172" max="8172" width="18.42578125" style="2" customWidth="1"/>
    <col min="8173" max="8173" width="9.140625" style="2" customWidth="1"/>
    <col min="8174" max="8174" width="12" style="2" customWidth="1"/>
    <col min="8175" max="8175" width="14.85546875" style="2" customWidth="1"/>
    <col min="8176" max="8176" width="22.42578125" style="2" customWidth="1"/>
    <col min="8177" max="8177" width="14.85546875" style="2" customWidth="1"/>
    <col min="8178" max="8178" width="7.140625" style="2" customWidth="1"/>
    <col min="8179" max="8179" width="20.140625" style="2" customWidth="1"/>
    <col min="8180" max="8411" width="8.85546875" style="2" customWidth="1"/>
    <col min="8412" max="8412" width="8.140625" style="2" customWidth="1"/>
    <col min="8413" max="8413" width="14.42578125" style="2" customWidth="1"/>
    <col min="8414" max="8414" width="37.42578125" style="2" customWidth="1"/>
    <col min="8415" max="8415" width="63.140625" style="2" customWidth="1"/>
    <col min="8416" max="8416" width="20" style="2" customWidth="1"/>
    <col min="8417" max="8417" width="11.140625" style="2" customWidth="1"/>
    <col min="8418" max="8418" width="10.85546875" style="2" customWidth="1"/>
    <col min="8419" max="8419" width="21" style="2" customWidth="1"/>
    <col min="8420" max="8420" width="10.85546875" style="2" customWidth="1"/>
    <col min="8421" max="8421" width="17.42578125" style="2" customWidth="1"/>
    <col min="8422" max="8422" width="14.85546875" style="2" customWidth="1"/>
    <col min="8423" max="8423" width="15" style="2" customWidth="1"/>
    <col min="8424" max="8424" width="14.85546875" style="2" customWidth="1"/>
    <col min="8425" max="8425" width="7.140625" style="2" customWidth="1"/>
    <col min="8426" max="8427" width="20.140625" style="2" customWidth="1"/>
    <col min="8428" max="8428" width="18.42578125" style="2" customWidth="1"/>
    <col min="8429" max="8429" width="9.140625" style="2" customWidth="1"/>
    <col min="8430" max="8430" width="12" style="2" customWidth="1"/>
    <col min="8431" max="8431" width="14.85546875" style="2" customWidth="1"/>
    <col min="8432" max="8432" width="22.42578125" style="2" customWidth="1"/>
    <col min="8433" max="8433" width="14.85546875" style="2" customWidth="1"/>
    <col min="8434" max="8434" width="7.140625" style="2" customWidth="1"/>
    <col min="8435" max="8435" width="20.140625" style="2" customWidth="1"/>
    <col min="8436" max="8667" width="8.85546875" style="2" customWidth="1"/>
    <col min="8668" max="8668" width="8.140625" style="2" customWidth="1"/>
    <col min="8669" max="8669" width="14.42578125" style="2" customWidth="1"/>
    <col min="8670" max="8670" width="37.42578125" style="2" customWidth="1"/>
    <col min="8671" max="8671" width="63.140625" style="2" customWidth="1"/>
    <col min="8672" max="8672" width="20" style="2" customWidth="1"/>
    <col min="8673" max="8673" width="11.140625" style="2" customWidth="1"/>
    <col min="8674" max="8674" width="10.85546875" style="2" customWidth="1"/>
    <col min="8675" max="8675" width="21" style="2" customWidth="1"/>
    <col min="8676" max="8676" width="10.85546875" style="2" customWidth="1"/>
    <col min="8677" max="8677" width="17.42578125" style="2" customWidth="1"/>
    <col min="8678" max="8678" width="14.85546875" style="2" customWidth="1"/>
    <col min="8679" max="8679" width="15" style="2" customWidth="1"/>
    <col min="8680" max="8680" width="14.85546875" style="2" customWidth="1"/>
    <col min="8681" max="8681" width="7.140625" style="2" customWidth="1"/>
    <col min="8682" max="8683" width="20.140625" style="2" customWidth="1"/>
    <col min="8684" max="8684" width="18.42578125" style="2" customWidth="1"/>
    <col min="8685" max="8685" width="9.140625" style="2" customWidth="1"/>
    <col min="8686" max="8686" width="12" style="2" customWidth="1"/>
    <col min="8687" max="8687" width="14.85546875" style="2" customWidth="1"/>
    <col min="8688" max="8688" width="22.42578125" style="2" customWidth="1"/>
    <col min="8689" max="8689" width="14.85546875" style="2" customWidth="1"/>
    <col min="8690" max="8690" width="7.140625" style="2" customWidth="1"/>
    <col min="8691" max="8691" width="20.140625" style="2" customWidth="1"/>
    <col min="8692" max="8923" width="8.85546875" style="2" customWidth="1"/>
    <col min="8924" max="8924" width="8.140625" style="2" customWidth="1"/>
    <col min="8925" max="8925" width="14.42578125" style="2" customWidth="1"/>
    <col min="8926" max="8926" width="37.42578125" style="2" customWidth="1"/>
    <col min="8927" max="8927" width="63.140625" style="2" customWidth="1"/>
    <col min="8928" max="8928" width="20" style="2" customWidth="1"/>
    <col min="8929" max="8929" width="11.140625" style="2" customWidth="1"/>
    <col min="8930" max="8930" width="10.85546875" style="2" customWidth="1"/>
    <col min="8931" max="8931" width="21" style="2" customWidth="1"/>
    <col min="8932" max="8932" width="10.85546875" style="2" customWidth="1"/>
    <col min="8933" max="8933" width="17.42578125" style="2" customWidth="1"/>
    <col min="8934" max="8934" width="14.85546875" style="2" customWidth="1"/>
    <col min="8935" max="8935" width="15" style="2" customWidth="1"/>
    <col min="8936" max="8936" width="14.85546875" style="2" customWidth="1"/>
    <col min="8937" max="8937" width="7.140625" style="2" customWidth="1"/>
    <col min="8938" max="8939" width="20.140625" style="2" customWidth="1"/>
    <col min="8940" max="8940" width="18.42578125" style="2" customWidth="1"/>
    <col min="8941" max="8941" width="9.140625" style="2" customWidth="1"/>
    <col min="8942" max="8942" width="12" style="2" customWidth="1"/>
    <col min="8943" max="8943" width="14.85546875" style="2" customWidth="1"/>
    <col min="8944" max="8944" width="22.42578125" style="2" customWidth="1"/>
    <col min="8945" max="8945" width="14.85546875" style="2" customWidth="1"/>
    <col min="8946" max="8946" width="7.140625" style="2" customWidth="1"/>
    <col min="8947" max="8947" width="20.140625" style="2" customWidth="1"/>
    <col min="8948" max="9179" width="8.85546875" style="2" customWidth="1"/>
    <col min="9180" max="9180" width="8.140625" style="2" customWidth="1"/>
    <col min="9181" max="9181" width="14.42578125" style="2" customWidth="1"/>
    <col min="9182" max="9182" width="37.42578125" style="2" customWidth="1"/>
    <col min="9183" max="9183" width="63.140625" style="2" customWidth="1"/>
    <col min="9184" max="9184" width="20" style="2" customWidth="1"/>
    <col min="9185" max="9185" width="11.140625" style="2" customWidth="1"/>
    <col min="9186" max="9186" width="10.85546875" style="2" customWidth="1"/>
    <col min="9187" max="9187" width="21" style="2" customWidth="1"/>
    <col min="9188" max="9188" width="10.85546875" style="2" customWidth="1"/>
    <col min="9189" max="9189" width="17.42578125" style="2" customWidth="1"/>
    <col min="9190" max="9190" width="14.85546875" style="2" customWidth="1"/>
    <col min="9191" max="9191" width="15" style="2" customWidth="1"/>
    <col min="9192" max="9192" width="14.85546875" style="2" customWidth="1"/>
    <col min="9193" max="9193" width="7.140625" style="2" customWidth="1"/>
    <col min="9194" max="9195" width="20.140625" style="2" customWidth="1"/>
    <col min="9196" max="9196" width="18.42578125" style="2" customWidth="1"/>
    <col min="9197" max="9197" width="9.140625" style="2" customWidth="1"/>
    <col min="9198" max="9198" width="12" style="2" customWidth="1"/>
    <col min="9199" max="9199" width="14.85546875" style="2" customWidth="1"/>
    <col min="9200" max="9200" width="22.42578125" style="2" customWidth="1"/>
    <col min="9201" max="9201" width="14.85546875" style="2" customWidth="1"/>
    <col min="9202" max="9202" width="7.140625" style="2" customWidth="1"/>
    <col min="9203" max="9203" width="20.140625" style="2" customWidth="1"/>
    <col min="9204" max="9435" width="8.85546875" style="2" customWidth="1"/>
    <col min="9436" max="9436" width="8.140625" style="2" customWidth="1"/>
    <col min="9437" max="9437" width="14.42578125" style="2" customWidth="1"/>
    <col min="9438" max="9438" width="37.42578125" style="2" customWidth="1"/>
    <col min="9439" max="9439" width="63.140625" style="2" customWidth="1"/>
    <col min="9440" max="9440" width="20" style="2" customWidth="1"/>
    <col min="9441" max="9441" width="11.140625" style="2" customWidth="1"/>
    <col min="9442" max="9442" width="10.85546875" style="2" customWidth="1"/>
    <col min="9443" max="9443" width="21" style="2" customWidth="1"/>
    <col min="9444" max="9444" width="10.85546875" style="2" customWidth="1"/>
    <col min="9445" max="9445" width="17.42578125" style="2" customWidth="1"/>
    <col min="9446" max="9446" width="14.85546875" style="2" customWidth="1"/>
    <col min="9447" max="9447" width="15" style="2" customWidth="1"/>
    <col min="9448" max="9448" width="14.85546875" style="2" customWidth="1"/>
    <col min="9449" max="9449" width="7.140625" style="2" customWidth="1"/>
    <col min="9450" max="9451" width="20.140625" style="2" customWidth="1"/>
    <col min="9452" max="9452" width="18.42578125" style="2" customWidth="1"/>
    <col min="9453" max="9453" width="9.140625" style="2" customWidth="1"/>
    <col min="9454" max="9454" width="12" style="2" customWidth="1"/>
    <col min="9455" max="9455" width="14.85546875" style="2" customWidth="1"/>
    <col min="9456" max="9456" width="22.42578125" style="2" customWidth="1"/>
    <col min="9457" max="9457" width="14.85546875" style="2" customWidth="1"/>
    <col min="9458" max="9458" width="7.140625" style="2" customWidth="1"/>
    <col min="9459" max="9459" width="20.140625" style="2" customWidth="1"/>
    <col min="9460" max="9691" width="8.85546875" style="2" customWidth="1"/>
    <col min="9692" max="9692" width="8.140625" style="2" customWidth="1"/>
    <col min="9693" max="9693" width="14.42578125" style="2" customWidth="1"/>
    <col min="9694" max="9694" width="37.42578125" style="2" customWidth="1"/>
    <col min="9695" max="9695" width="63.140625" style="2" customWidth="1"/>
    <col min="9696" max="9696" width="20" style="2" customWidth="1"/>
    <col min="9697" max="9697" width="11.140625" style="2" customWidth="1"/>
    <col min="9698" max="9698" width="10.85546875" style="2" customWidth="1"/>
    <col min="9699" max="9699" width="21" style="2" customWidth="1"/>
    <col min="9700" max="9700" width="10.85546875" style="2" customWidth="1"/>
    <col min="9701" max="9701" width="17.42578125" style="2" customWidth="1"/>
    <col min="9702" max="9702" width="14.85546875" style="2" customWidth="1"/>
    <col min="9703" max="9703" width="15" style="2" customWidth="1"/>
    <col min="9704" max="9704" width="14.85546875" style="2" customWidth="1"/>
    <col min="9705" max="9705" width="7.140625" style="2" customWidth="1"/>
    <col min="9706" max="9707" width="20.140625" style="2" customWidth="1"/>
    <col min="9708" max="9708" width="18.42578125" style="2" customWidth="1"/>
    <col min="9709" max="9709" width="9.140625" style="2" customWidth="1"/>
    <col min="9710" max="9710" width="12" style="2" customWidth="1"/>
    <col min="9711" max="9711" width="14.85546875" style="2" customWidth="1"/>
    <col min="9712" max="9712" width="22.42578125" style="2" customWidth="1"/>
    <col min="9713" max="9713" width="14.85546875" style="2" customWidth="1"/>
    <col min="9714" max="9714" width="7.140625" style="2" customWidth="1"/>
    <col min="9715" max="9715" width="20.140625" style="2" customWidth="1"/>
    <col min="9716" max="9947" width="8.85546875" style="2" customWidth="1"/>
    <col min="9948" max="9948" width="8.140625" style="2" customWidth="1"/>
    <col min="9949" max="9949" width="14.42578125" style="2" customWidth="1"/>
    <col min="9950" max="9950" width="37.42578125" style="2" customWidth="1"/>
    <col min="9951" max="9951" width="63.140625" style="2" customWidth="1"/>
    <col min="9952" max="9952" width="20" style="2" customWidth="1"/>
    <col min="9953" max="9953" width="11.140625" style="2" customWidth="1"/>
    <col min="9954" max="9954" width="10.85546875" style="2" customWidth="1"/>
    <col min="9955" max="9955" width="21" style="2" customWidth="1"/>
    <col min="9956" max="9956" width="10.85546875" style="2" customWidth="1"/>
    <col min="9957" max="9957" width="17.42578125" style="2" customWidth="1"/>
    <col min="9958" max="9958" width="14.85546875" style="2" customWidth="1"/>
    <col min="9959" max="9959" width="15" style="2" customWidth="1"/>
    <col min="9960" max="9960" width="14.85546875" style="2" customWidth="1"/>
    <col min="9961" max="9961" width="7.140625" style="2" customWidth="1"/>
    <col min="9962" max="9963" width="20.140625" style="2" customWidth="1"/>
    <col min="9964" max="9964" width="18.42578125" style="2" customWidth="1"/>
    <col min="9965" max="9965" width="9.140625" style="2" customWidth="1"/>
    <col min="9966" max="9966" width="12" style="2" customWidth="1"/>
    <col min="9967" max="9967" width="14.85546875" style="2" customWidth="1"/>
    <col min="9968" max="9968" width="22.42578125" style="2" customWidth="1"/>
    <col min="9969" max="9969" width="14.85546875" style="2" customWidth="1"/>
    <col min="9970" max="9970" width="7.140625" style="2" customWidth="1"/>
    <col min="9971" max="9971" width="20.140625" style="2" customWidth="1"/>
    <col min="9972" max="10203" width="8.85546875" style="2" customWidth="1"/>
    <col min="10204" max="10204" width="8.140625" style="2" customWidth="1"/>
    <col min="10205" max="10205" width="14.42578125" style="2" customWidth="1"/>
    <col min="10206" max="10206" width="37.42578125" style="2" customWidth="1"/>
    <col min="10207" max="10207" width="63.140625" style="2" customWidth="1"/>
    <col min="10208" max="10208" width="20" style="2" customWidth="1"/>
    <col min="10209" max="10209" width="11.140625" style="2" customWidth="1"/>
    <col min="10210" max="10210" width="10.85546875" style="2" customWidth="1"/>
    <col min="10211" max="10211" width="21" style="2" customWidth="1"/>
    <col min="10212" max="10212" width="10.85546875" style="2" customWidth="1"/>
    <col min="10213" max="10213" width="17.42578125" style="2" customWidth="1"/>
    <col min="10214" max="10214" width="14.85546875" style="2" customWidth="1"/>
    <col min="10215" max="10215" width="15" style="2" customWidth="1"/>
    <col min="10216" max="10216" width="14.85546875" style="2" customWidth="1"/>
    <col min="10217" max="10217" width="7.140625" style="2" customWidth="1"/>
    <col min="10218" max="10219" width="20.140625" style="2" customWidth="1"/>
    <col min="10220" max="10220" width="18.42578125" style="2" customWidth="1"/>
    <col min="10221" max="10221" width="9.140625" style="2" customWidth="1"/>
    <col min="10222" max="10222" width="12" style="2" customWidth="1"/>
    <col min="10223" max="10223" width="14.85546875" style="2" customWidth="1"/>
    <col min="10224" max="10224" width="22.42578125" style="2" customWidth="1"/>
    <col min="10225" max="10225" width="14.85546875" style="2" customWidth="1"/>
    <col min="10226" max="10226" width="7.140625" style="2" customWidth="1"/>
    <col min="10227" max="10227" width="20.140625" style="2" customWidth="1"/>
    <col min="10228" max="10459" width="8.85546875" style="2" customWidth="1"/>
    <col min="10460" max="10460" width="8.140625" style="2" customWidth="1"/>
    <col min="10461" max="10461" width="14.42578125" style="2" customWidth="1"/>
    <col min="10462" max="10462" width="37.42578125" style="2" customWidth="1"/>
    <col min="10463" max="10463" width="63.140625" style="2" customWidth="1"/>
    <col min="10464" max="10464" width="20" style="2" customWidth="1"/>
    <col min="10465" max="10465" width="11.140625" style="2" customWidth="1"/>
    <col min="10466" max="10466" width="10.85546875" style="2" customWidth="1"/>
    <col min="10467" max="10467" width="21" style="2" customWidth="1"/>
    <col min="10468" max="10468" width="10.85546875" style="2" customWidth="1"/>
    <col min="10469" max="10469" width="17.42578125" style="2" customWidth="1"/>
    <col min="10470" max="10470" width="14.85546875" style="2" customWidth="1"/>
    <col min="10471" max="10471" width="15" style="2" customWidth="1"/>
    <col min="10472" max="10472" width="14.85546875" style="2" customWidth="1"/>
    <col min="10473" max="10473" width="7.140625" style="2" customWidth="1"/>
    <col min="10474" max="10475" width="20.140625" style="2" customWidth="1"/>
    <col min="10476" max="10476" width="18.42578125" style="2" customWidth="1"/>
    <col min="10477" max="10477" width="9.140625" style="2" customWidth="1"/>
    <col min="10478" max="10478" width="12" style="2" customWidth="1"/>
    <col min="10479" max="10479" width="14.85546875" style="2" customWidth="1"/>
    <col min="10480" max="10480" width="22.42578125" style="2" customWidth="1"/>
    <col min="10481" max="10481" width="14.85546875" style="2" customWidth="1"/>
    <col min="10482" max="10482" width="7.140625" style="2" customWidth="1"/>
    <col min="10483" max="10483" width="20.140625" style="2" customWidth="1"/>
    <col min="10484" max="10715" width="8.85546875" style="2" customWidth="1"/>
    <col min="10716" max="10716" width="8.140625" style="2" customWidth="1"/>
    <col min="10717" max="10717" width="14.42578125" style="2" customWidth="1"/>
    <col min="10718" max="10718" width="37.42578125" style="2" customWidth="1"/>
    <col min="10719" max="10719" width="63.140625" style="2" customWidth="1"/>
    <col min="10720" max="10720" width="20" style="2" customWidth="1"/>
    <col min="10721" max="10721" width="11.140625" style="2" customWidth="1"/>
    <col min="10722" max="10722" width="10.85546875" style="2" customWidth="1"/>
    <col min="10723" max="10723" width="21" style="2" customWidth="1"/>
    <col min="10724" max="10724" width="10.85546875" style="2" customWidth="1"/>
    <col min="10725" max="10725" width="17.42578125" style="2" customWidth="1"/>
    <col min="10726" max="10726" width="14.85546875" style="2" customWidth="1"/>
    <col min="10727" max="10727" width="15" style="2" customWidth="1"/>
    <col min="10728" max="10728" width="14.85546875" style="2" customWidth="1"/>
    <col min="10729" max="10729" width="7.140625" style="2" customWidth="1"/>
    <col min="10730" max="10731" width="20.140625" style="2" customWidth="1"/>
    <col min="10732" max="10732" width="18.42578125" style="2" customWidth="1"/>
    <col min="10733" max="10733" width="9.140625" style="2" customWidth="1"/>
    <col min="10734" max="10734" width="12" style="2" customWidth="1"/>
    <col min="10735" max="10735" width="14.85546875" style="2" customWidth="1"/>
    <col min="10736" max="10736" width="22.42578125" style="2" customWidth="1"/>
    <col min="10737" max="10737" width="14.85546875" style="2" customWidth="1"/>
    <col min="10738" max="10738" width="7.140625" style="2" customWidth="1"/>
    <col min="10739" max="10739" width="20.140625" style="2" customWidth="1"/>
    <col min="10740" max="10971" width="8.85546875" style="2" customWidth="1"/>
    <col min="10972" max="10972" width="8.140625" style="2" customWidth="1"/>
    <col min="10973" max="10973" width="14.42578125" style="2" customWidth="1"/>
    <col min="10974" max="10974" width="37.42578125" style="2" customWidth="1"/>
    <col min="10975" max="10975" width="63.140625" style="2" customWidth="1"/>
    <col min="10976" max="10976" width="20" style="2" customWidth="1"/>
    <col min="10977" max="10977" width="11.140625" style="2" customWidth="1"/>
    <col min="10978" max="10978" width="10.85546875" style="2" customWidth="1"/>
    <col min="10979" max="10979" width="21" style="2" customWidth="1"/>
    <col min="10980" max="10980" width="10.85546875" style="2" customWidth="1"/>
    <col min="10981" max="10981" width="17.42578125" style="2" customWidth="1"/>
    <col min="10982" max="10982" width="14.85546875" style="2" customWidth="1"/>
    <col min="10983" max="10983" width="15" style="2" customWidth="1"/>
    <col min="10984" max="10984" width="14.85546875" style="2" customWidth="1"/>
    <col min="10985" max="10985" width="7.140625" style="2" customWidth="1"/>
    <col min="10986" max="10987" width="20.140625" style="2" customWidth="1"/>
    <col min="10988" max="10988" width="18.42578125" style="2" customWidth="1"/>
    <col min="10989" max="10989" width="9.140625" style="2" customWidth="1"/>
    <col min="10990" max="10990" width="12" style="2" customWidth="1"/>
    <col min="10991" max="10991" width="14.85546875" style="2" customWidth="1"/>
    <col min="10992" max="10992" width="22.42578125" style="2" customWidth="1"/>
    <col min="10993" max="10993" width="14.85546875" style="2" customWidth="1"/>
    <col min="10994" max="10994" width="7.140625" style="2" customWidth="1"/>
    <col min="10995" max="10995" width="20.140625" style="2" customWidth="1"/>
    <col min="10996" max="11227" width="8.85546875" style="2" customWidth="1"/>
    <col min="11228" max="11228" width="8.140625" style="2" customWidth="1"/>
    <col min="11229" max="11229" width="14.42578125" style="2" customWidth="1"/>
    <col min="11230" max="11230" width="37.42578125" style="2" customWidth="1"/>
    <col min="11231" max="11231" width="63.140625" style="2" customWidth="1"/>
    <col min="11232" max="11232" width="20" style="2" customWidth="1"/>
    <col min="11233" max="11233" width="11.140625" style="2" customWidth="1"/>
    <col min="11234" max="11234" width="10.85546875" style="2" customWidth="1"/>
    <col min="11235" max="11235" width="21" style="2" customWidth="1"/>
    <col min="11236" max="11236" width="10.85546875" style="2" customWidth="1"/>
    <col min="11237" max="11237" width="17.42578125" style="2" customWidth="1"/>
    <col min="11238" max="11238" width="14.85546875" style="2" customWidth="1"/>
    <col min="11239" max="11239" width="15" style="2" customWidth="1"/>
    <col min="11240" max="11240" width="14.85546875" style="2" customWidth="1"/>
    <col min="11241" max="11241" width="7.140625" style="2" customWidth="1"/>
    <col min="11242" max="11243" width="20.140625" style="2" customWidth="1"/>
    <col min="11244" max="11244" width="18.42578125" style="2" customWidth="1"/>
    <col min="11245" max="11245" width="9.140625" style="2" customWidth="1"/>
    <col min="11246" max="11246" width="12" style="2" customWidth="1"/>
    <col min="11247" max="11247" width="14.85546875" style="2" customWidth="1"/>
    <col min="11248" max="11248" width="22.42578125" style="2" customWidth="1"/>
    <col min="11249" max="11249" width="14.85546875" style="2" customWidth="1"/>
    <col min="11250" max="11250" width="7.140625" style="2" customWidth="1"/>
    <col min="11251" max="11251" width="20.140625" style="2" customWidth="1"/>
    <col min="11252" max="11483" width="8.85546875" style="2" customWidth="1"/>
    <col min="11484" max="11484" width="8.140625" style="2" customWidth="1"/>
    <col min="11485" max="11485" width="14.42578125" style="2" customWidth="1"/>
    <col min="11486" max="11486" width="37.42578125" style="2" customWidth="1"/>
    <col min="11487" max="11487" width="63.140625" style="2" customWidth="1"/>
    <col min="11488" max="11488" width="20" style="2" customWidth="1"/>
    <col min="11489" max="11489" width="11.140625" style="2" customWidth="1"/>
    <col min="11490" max="11490" width="10.85546875" style="2" customWidth="1"/>
    <col min="11491" max="11491" width="21" style="2" customWidth="1"/>
    <col min="11492" max="11492" width="10.85546875" style="2" customWidth="1"/>
    <col min="11493" max="11493" width="17.42578125" style="2" customWidth="1"/>
    <col min="11494" max="11494" width="14.85546875" style="2" customWidth="1"/>
    <col min="11495" max="11495" width="15" style="2" customWidth="1"/>
    <col min="11496" max="11496" width="14.85546875" style="2" customWidth="1"/>
    <col min="11497" max="11497" width="7.140625" style="2" customWidth="1"/>
    <col min="11498" max="11499" width="20.140625" style="2" customWidth="1"/>
    <col min="11500" max="11500" width="18.42578125" style="2" customWidth="1"/>
    <col min="11501" max="11501" width="9.140625" style="2" customWidth="1"/>
    <col min="11502" max="11502" width="12" style="2" customWidth="1"/>
    <col min="11503" max="11503" width="14.85546875" style="2" customWidth="1"/>
    <col min="11504" max="11504" width="22.42578125" style="2" customWidth="1"/>
    <col min="11505" max="11505" width="14.85546875" style="2" customWidth="1"/>
    <col min="11506" max="11506" width="7.140625" style="2" customWidth="1"/>
    <col min="11507" max="11507" width="20.140625" style="2" customWidth="1"/>
    <col min="11508" max="11739" width="8.85546875" style="2" customWidth="1"/>
    <col min="11740" max="11740" width="8.140625" style="2" customWidth="1"/>
    <col min="11741" max="11741" width="14.42578125" style="2" customWidth="1"/>
    <col min="11742" max="11742" width="37.42578125" style="2" customWidth="1"/>
    <col min="11743" max="11743" width="63.140625" style="2" customWidth="1"/>
    <col min="11744" max="11744" width="20" style="2" customWidth="1"/>
    <col min="11745" max="11745" width="11.140625" style="2" customWidth="1"/>
    <col min="11746" max="11746" width="10.85546875" style="2" customWidth="1"/>
    <col min="11747" max="11747" width="21" style="2" customWidth="1"/>
    <col min="11748" max="11748" width="10.85546875" style="2" customWidth="1"/>
    <col min="11749" max="11749" width="17.42578125" style="2" customWidth="1"/>
    <col min="11750" max="11750" width="14.85546875" style="2" customWidth="1"/>
    <col min="11751" max="11751" width="15" style="2" customWidth="1"/>
    <col min="11752" max="11752" width="14.85546875" style="2" customWidth="1"/>
    <col min="11753" max="11753" width="7.140625" style="2" customWidth="1"/>
    <col min="11754" max="11755" width="20.140625" style="2" customWidth="1"/>
    <col min="11756" max="11756" width="18.42578125" style="2" customWidth="1"/>
    <col min="11757" max="11757" width="9.140625" style="2" customWidth="1"/>
    <col min="11758" max="11758" width="12" style="2" customWidth="1"/>
    <col min="11759" max="11759" width="14.85546875" style="2" customWidth="1"/>
    <col min="11760" max="11760" width="22.42578125" style="2" customWidth="1"/>
    <col min="11761" max="11761" width="14.85546875" style="2" customWidth="1"/>
    <col min="11762" max="11762" width="7.140625" style="2" customWidth="1"/>
    <col min="11763" max="11763" width="20.140625" style="2" customWidth="1"/>
    <col min="11764" max="11995" width="8.85546875" style="2" customWidth="1"/>
    <col min="11996" max="11996" width="8.140625" style="2" customWidth="1"/>
    <col min="11997" max="11997" width="14.42578125" style="2" customWidth="1"/>
    <col min="11998" max="11998" width="37.42578125" style="2" customWidth="1"/>
    <col min="11999" max="11999" width="63.140625" style="2" customWidth="1"/>
    <col min="12000" max="12000" width="20" style="2" customWidth="1"/>
    <col min="12001" max="12001" width="11.140625" style="2" customWidth="1"/>
    <col min="12002" max="12002" width="10.85546875" style="2" customWidth="1"/>
    <col min="12003" max="12003" width="21" style="2" customWidth="1"/>
    <col min="12004" max="12004" width="10.85546875" style="2" customWidth="1"/>
    <col min="12005" max="12005" width="17.42578125" style="2" customWidth="1"/>
    <col min="12006" max="12006" width="14.85546875" style="2" customWidth="1"/>
    <col min="12007" max="12007" width="15" style="2" customWidth="1"/>
    <col min="12008" max="12008" width="14.85546875" style="2" customWidth="1"/>
    <col min="12009" max="12009" width="7.140625" style="2" customWidth="1"/>
    <col min="12010" max="12011" width="20.140625" style="2" customWidth="1"/>
    <col min="12012" max="12012" width="18.42578125" style="2" customWidth="1"/>
    <col min="12013" max="12013" width="9.140625" style="2" customWidth="1"/>
    <col min="12014" max="12014" width="12" style="2" customWidth="1"/>
    <col min="12015" max="12015" width="14.85546875" style="2" customWidth="1"/>
    <col min="12016" max="12016" width="22.42578125" style="2" customWidth="1"/>
    <col min="12017" max="12017" width="14.85546875" style="2" customWidth="1"/>
    <col min="12018" max="12018" width="7.140625" style="2" customWidth="1"/>
    <col min="12019" max="12019" width="20.140625" style="2" customWidth="1"/>
    <col min="12020" max="12251" width="8.85546875" style="2" customWidth="1"/>
    <col min="12252" max="12252" width="8.140625" style="2" customWidth="1"/>
    <col min="12253" max="12253" width="14.42578125" style="2" customWidth="1"/>
    <col min="12254" max="12254" width="37.42578125" style="2" customWidth="1"/>
    <col min="12255" max="12255" width="63.140625" style="2" customWidth="1"/>
    <col min="12256" max="12256" width="20" style="2" customWidth="1"/>
    <col min="12257" max="12257" width="11.140625" style="2" customWidth="1"/>
    <col min="12258" max="12258" width="10.85546875" style="2" customWidth="1"/>
    <col min="12259" max="12259" width="21" style="2" customWidth="1"/>
    <col min="12260" max="12260" width="10.85546875" style="2" customWidth="1"/>
    <col min="12261" max="12261" width="17.42578125" style="2" customWidth="1"/>
    <col min="12262" max="12262" width="14.85546875" style="2" customWidth="1"/>
    <col min="12263" max="12263" width="15" style="2" customWidth="1"/>
    <col min="12264" max="12264" width="14.85546875" style="2" customWidth="1"/>
    <col min="12265" max="12265" width="7.140625" style="2" customWidth="1"/>
    <col min="12266" max="12267" width="20.140625" style="2" customWidth="1"/>
    <col min="12268" max="12268" width="18.42578125" style="2" customWidth="1"/>
    <col min="12269" max="12269" width="9.140625" style="2" customWidth="1"/>
    <col min="12270" max="12270" width="12" style="2" customWidth="1"/>
    <col min="12271" max="12271" width="14.85546875" style="2" customWidth="1"/>
    <col min="12272" max="12272" width="22.42578125" style="2" customWidth="1"/>
    <col min="12273" max="12273" width="14.85546875" style="2" customWidth="1"/>
    <col min="12274" max="12274" width="7.140625" style="2" customWidth="1"/>
    <col min="12275" max="12275" width="20.140625" style="2" customWidth="1"/>
    <col min="12276" max="12507" width="8.85546875" style="2" customWidth="1"/>
    <col min="12508" max="12508" width="8.140625" style="2" customWidth="1"/>
    <col min="12509" max="12509" width="14.42578125" style="2" customWidth="1"/>
    <col min="12510" max="12510" width="37.42578125" style="2" customWidth="1"/>
    <col min="12511" max="12511" width="63.140625" style="2" customWidth="1"/>
    <col min="12512" max="12512" width="20" style="2" customWidth="1"/>
    <col min="12513" max="12513" width="11.140625" style="2" customWidth="1"/>
    <col min="12514" max="12514" width="10.85546875" style="2" customWidth="1"/>
    <col min="12515" max="12515" width="21" style="2" customWidth="1"/>
    <col min="12516" max="12516" width="10.85546875" style="2" customWidth="1"/>
    <col min="12517" max="12517" width="17.42578125" style="2" customWidth="1"/>
    <col min="12518" max="12518" width="14.85546875" style="2" customWidth="1"/>
    <col min="12519" max="12519" width="15" style="2" customWidth="1"/>
    <col min="12520" max="12520" width="14.85546875" style="2" customWidth="1"/>
    <col min="12521" max="12521" width="7.140625" style="2" customWidth="1"/>
    <col min="12522" max="12523" width="20.140625" style="2" customWidth="1"/>
    <col min="12524" max="12524" width="18.42578125" style="2" customWidth="1"/>
    <col min="12525" max="12525" width="9.140625" style="2" customWidth="1"/>
    <col min="12526" max="12526" width="12" style="2" customWidth="1"/>
    <col min="12527" max="12527" width="14.85546875" style="2" customWidth="1"/>
    <col min="12528" max="12528" width="22.42578125" style="2" customWidth="1"/>
    <col min="12529" max="12529" width="14.85546875" style="2" customWidth="1"/>
    <col min="12530" max="12530" width="7.140625" style="2" customWidth="1"/>
    <col min="12531" max="12531" width="20.140625" style="2" customWidth="1"/>
    <col min="12532" max="12763" width="8.85546875" style="2" customWidth="1"/>
    <col min="12764" max="12764" width="8.140625" style="2" customWidth="1"/>
    <col min="12765" max="12765" width="14.42578125" style="2" customWidth="1"/>
    <col min="12766" max="12766" width="37.42578125" style="2" customWidth="1"/>
    <col min="12767" max="12767" width="63.140625" style="2" customWidth="1"/>
    <col min="12768" max="12768" width="20" style="2" customWidth="1"/>
    <col min="12769" max="12769" width="11.140625" style="2" customWidth="1"/>
    <col min="12770" max="12770" width="10.85546875" style="2" customWidth="1"/>
    <col min="12771" max="12771" width="21" style="2" customWidth="1"/>
    <col min="12772" max="12772" width="10.85546875" style="2" customWidth="1"/>
    <col min="12773" max="12773" width="17.42578125" style="2" customWidth="1"/>
    <col min="12774" max="12774" width="14.85546875" style="2" customWidth="1"/>
    <col min="12775" max="12775" width="15" style="2" customWidth="1"/>
    <col min="12776" max="12776" width="14.85546875" style="2" customWidth="1"/>
    <col min="12777" max="12777" width="7.140625" style="2" customWidth="1"/>
    <col min="12778" max="12779" width="20.140625" style="2" customWidth="1"/>
    <col min="12780" max="12780" width="18.42578125" style="2" customWidth="1"/>
    <col min="12781" max="12781" width="9.140625" style="2" customWidth="1"/>
    <col min="12782" max="12782" width="12" style="2" customWidth="1"/>
    <col min="12783" max="12783" width="14.85546875" style="2" customWidth="1"/>
    <col min="12784" max="12784" width="22.42578125" style="2" customWidth="1"/>
    <col min="12785" max="12785" width="14.85546875" style="2" customWidth="1"/>
    <col min="12786" max="12786" width="7.140625" style="2" customWidth="1"/>
    <col min="12787" max="12787" width="20.140625" style="2" customWidth="1"/>
    <col min="12788" max="13019" width="8.85546875" style="2" customWidth="1"/>
    <col min="13020" max="13020" width="8.140625" style="2" customWidth="1"/>
    <col min="13021" max="13021" width="14.42578125" style="2" customWidth="1"/>
    <col min="13022" max="13022" width="37.42578125" style="2" customWidth="1"/>
    <col min="13023" max="13023" width="63.140625" style="2" customWidth="1"/>
    <col min="13024" max="13024" width="20" style="2" customWidth="1"/>
    <col min="13025" max="13025" width="11.140625" style="2" customWidth="1"/>
    <col min="13026" max="13026" width="10.85546875" style="2" customWidth="1"/>
    <col min="13027" max="13027" width="21" style="2" customWidth="1"/>
    <col min="13028" max="13028" width="10.85546875" style="2" customWidth="1"/>
    <col min="13029" max="13029" width="17.42578125" style="2" customWidth="1"/>
    <col min="13030" max="13030" width="14.85546875" style="2" customWidth="1"/>
    <col min="13031" max="13031" width="15" style="2" customWidth="1"/>
    <col min="13032" max="13032" width="14.85546875" style="2" customWidth="1"/>
    <col min="13033" max="13033" width="7.140625" style="2" customWidth="1"/>
    <col min="13034" max="13035" width="20.140625" style="2" customWidth="1"/>
    <col min="13036" max="13036" width="18.42578125" style="2" customWidth="1"/>
    <col min="13037" max="13037" width="9.140625" style="2" customWidth="1"/>
    <col min="13038" max="13038" width="12" style="2" customWidth="1"/>
    <col min="13039" max="13039" width="14.85546875" style="2" customWidth="1"/>
    <col min="13040" max="13040" width="22.42578125" style="2" customWidth="1"/>
    <col min="13041" max="13041" width="14.85546875" style="2" customWidth="1"/>
    <col min="13042" max="13042" width="7.140625" style="2" customWidth="1"/>
    <col min="13043" max="13043" width="20.140625" style="2" customWidth="1"/>
    <col min="13044" max="13275" width="8.85546875" style="2" customWidth="1"/>
    <col min="13276" max="13276" width="8.140625" style="2" customWidth="1"/>
    <col min="13277" max="13277" width="14.42578125" style="2" customWidth="1"/>
    <col min="13278" max="13278" width="37.42578125" style="2" customWidth="1"/>
    <col min="13279" max="13279" width="63.140625" style="2" customWidth="1"/>
    <col min="13280" max="13280" width="20" style="2" customWidth="1"/>
    <col min="13281" max="13281" width="11.140625" style="2" customWidth="1"/>
    <col min="13282" max="13282" width="10.85546875" style="2" customWidth="1"/>
    <col min="13283" max="13283" width="21" style="2" customWidth="1"/>
    <col min="13284" max="13284" width="10.85546875" style="2" customWidth="1"/>
    <col min="13285" max="13285" width="17.42578125" style="2" customWidth="1"/>
    <col min="13286" max="13286" width="14.85546875" style="2" customWidth="1"/>
    <col min="13287" max="13287" width="15" style="2" customWidth="1"/>
    <col min="13288" max="13288" width="14.85546875" style="2" customWidth="1"/>
    <col min="13289" max="13289" width="7.140625" style="2" customWidth="1"/>
    <col min="13290" max="13291" width="20.140625" style="2" customWidth="1"/>
    <col min="13292" max="13292" width="18.42578125" style="2" customWidth="1"/>
    <col min="13293" max="13293" width="9.140625" style="2" customWidth="1"/>
    <col min="13294" max="13294" width="12" style="2" customWidth="1"/>
    <col min="13295" max="13295" width="14.85546875" style="2" customWidth="1"/>
    <col min="13296" max="13296" width="22.42578125" style="2" customWidth="1"/>
    <col min="13297" max="13297" width="14.85546875" style="2" customWidth="1"/>
    <col min="13298" max="13298" width="7.140625" style="2" customWidth="1"/>
    <col min="13299" max="13299" width="20.140625" style="2" customWidth="1"/>
    <col min="13300" max="13531" width="8.85546875" style="2" customWidth="1"/>
    <col min="13532" max="13532" width="8.140625" style="2" customWidth="1"/>
    <col min="13533" max="13533" width="14.42578125" style="2" customWidth="1"/>
    <col min="13534" max="13534" width="37.42578125" style="2" customWidth="1"/>
    <col min="13535" max="13535" width="63.140625" style="2" customWidth="1"/>
    <col min="13536" max="13536" width="20" style="2" customWidth="1"/>
    <col min="13537" max="13537" width="11.140625" style="2" customWidth="1"/>
    <col min="13538" max="13538" width="10.85546875" style="2" customWidth="1"/>
    <col min="13539" max="13539" width="21" style="2" customWidth="1"/>
    <col min="13540" max="13540" width="10.85546875" style="2" customWidth="1"/>
    <col min="13541" max="13541" width="17.42578125" style="2" customWidth="1"/>
    <col min="13542" max="13542" width="14.85546875" style="2" customWidth="1"/>
    <col min="13543" max="13543" width="15" style="2" customWidth="1"/>
    <col min="13544" max="13544" width="14.85546875" style="2" customWidth="1"/>
    <col min="13545" max="13545" width="7.140625" style="2" customWidth="1"/>
    <col min="13546" max="13547" width="20.140625" style="2" customWidth="1"/>
    <col min="13548" max="13548" width="18.42578125" style="2" customWidth="1"/>
    <col min="13549" max="13549" width="9.140625" style="2" customWidth="1"/>
    <col min="13550" max="13550" width="12" style="2" customWidth="1"/>
    <col min="13551" max="13551" width="14.85546875" style="2" customWidth="1"/>
    <col min="13552" max="13552" width="22.42578125" style="2" customWidth="1"/>
    <col min="13553" max="13553" width="14.85546875" style="2" customWidth="1"/>
    <col min="13554" max="13554" width="7.140625" style="2" customWidth="1"/>
    <col min="13555" max="13555" width="20.140625" style="2" customWidth="1"/>
    <col min="13556" max="13787" width="8.85546875" style="2" customWidth="1"/>
    <col min="13788" max="13788" width="8.140625" style="2" customWidth="1"/>
    <col min="13789" max="13789" width="14.42578125" style="2" customWidth="1"/>
    <col min="13790" max="13790" width="37.42578125" style="2" customWidth="1"/>
    <col min="13791" max="13791" width="63.140625" style="2" customWidth="1"/>
    <col min="13792" max="13792" width="20" style="2" customWidth="1"/>
    <col min="13793" max="13793" width="11.140625" style="2" customWidth="1"/>
    <col min="13794" max="13794" width="10.85546875" style="2" customWidth="1"/>
    <col min="13795" max="13795" width="21" style="2" customWidth="1"/>
    <col min="13796" max="13796" width="10.85546875" style="2" customWidth="1"/>
    <col min="13797" max="13797" width="17.42578125" style="2" customWidth="1"/>
    <col min="13798" max="13798" width="14.85546875" style="2" customWidth="1"/>
    <col min="13799" max="13799" width="15" style="2" customWidth="1"/>
    <col min="13800" max="13800" width="14.85546875" style="2" customWidth="1"/>
    <col min="13801" max="13801" width="7.140625" style="2" customWidth="1"/>
    <col min="13802" max="13803" width="20.140625" style="2" customWidth="1"/>
    <col min="13804" max="13804" width="18.42578125" style="2" customWidth="1"/>
    <col min="13805" max="13805" width="9.140625" style="2" customWidth="1"/>
    <col min="13806" max="13806" width="12" style="2" customWidth="1"/>
    <col min="13807" max="13807" width="14.85546875" style="2" customWidth="1"/>
    <col min="13808" max="13808" width="22.42578125" style="2" customWidth="1"/>
    <col min="13809" max="13809" width="14.85546875" style="2" customWidth="1"/>
    <col min="13810" max="13810" width="7.140625" style="2" customWidth="1"/>
    <col min="13811" max="13811" width="20.140625" style="2" customWidth="1"/>
    <col min="13812" max="14043" width="8.85546875" style="2" customWidth="1"/>
    <col min="14044" max="14044" width="8.140625" style="2" customWidth="1"/>
    <col min="14045" max="14045" width="14.42578125" style="2" customWidth="1"/>
    <col min="14046" max="14046" width="37.42578125" style="2" customWidth="1"/>
    <col min="14047" max="14047" width="63.140625" style="2" customWidth="1"/>
    <col min="14048" max="14048" width="20" style="2" customWidth="1"/>
    <col min="14049" max="14049" width="11.140625" style="2" customWidth="1"/>
    <col min="14050" max="14050" width="10.85546875" style="2" customWidth="1"/>
    <col min="14051" max="14051" width="21" style="2" customWidth="1"/>
    <col min="14052" max="14052" width="10.85546875" style="2" customWidth="1"/>
    <col min="14053" max="14053" width="17.42578125" style="2" customWidth="1"/>
    <col min="14054" max="14054" width="14.85546875" style="2" customWidth="1"/>
    <col min="14055" max="14055" width="15" style="2" customWidth="1"/>
    <col min="14056" max="14056" width="14.85546875" style="2" customWidth="1"/>
    <col min="14057" max="14057" width="7.140625" style="2" customWidth="1"/>
    <col min="14058" max="14059" width="20.140625" style="2" customWidth="1"/>
    <col min="14060" max="14060" width="18.42578125" style="2" customWidth="1"/>
    <col min="14061" max="14061" width="9.140625" style="2" customWidth="1"/>
    <col min="14062" max="14062" width="12" style="2" customWidth="1"/>
    <col min="14063" max="14063" width="14.85546875" style="2" customWidth="1"/>
    <col min="14064" max="14064" width="22.42578125" style="2" customWidth="1"/>
    <col min="14065" max="14065" width="14.85546875" style="2" customWidth="1"/>
    <col min="14066" max="14066" width="7.140625" style="2" customWidth="1"/>
    <col min="14067" max="14067" width="20.140625" style="2" customWidth="1"/>
    <col min="14068" max="14299" width="8.85546875" style="2" customWidth="1"/>
    <col min="14300" max="14300" width="8.140625" style="2" customWidth="1"/>
    <col min="14301" max="14301" width="14.42578125" style="2" customWidth="1"/>
    <col min="14302" max="14302" width="37.42578125" style="2" customWidth="1"/>
    <col min="14303" max="14303" width="63.140625" style="2" customWidth="1"/>
    <col min="14304" max="14304" width="20" style="2" customWidth="1"/>
    <col min="14305" max="14305" width="11.140625" style="2" customWidth="1"/>
    <col min="14306" max="14306" width="10.85546875" style="2" customWidth="1"/>
    <col min="14307" max="14307" width="21" style="2" customWidth="1"/>
    <col min="14308" max="14308" width="10.85546875" style="2" customWidth="1"/>
    <col min="14309" max="14309" width="17.42578125" style="2" customWidth="1"/>
    <col min="14310" max="14310" width="14.85546875" style="2" customWidth="1"/>
    <col min="14311" max="14311" width="15" style="2" customWidth="1"/>
    <col min="14312" max="14312" width="14.85546875" style="2" customWidth="1"/>
    <col min="14313" max="14313" width="7.140625" style="2" customWidth="1"/>
    <col min="14314" max="14315" width="20.140625" style="2" customWidth="1"/>
    <col min="14316" max="14316" width="18.42578125" style="2" customWidth="1"/>
    <col min="14317" max="14317" width="9.140625" style="2" customWidth="1"/>
    <col min="14318" max="14318" width="12" style="2" customWidth="1"/>
    <col min="14319" max="14319" width="14.85546875" style="2" customWidth="1"/>
    <col min="14320" max="14320" width="22.42578125" style="2" customWidth="1"/>
    <col min="14321" max="14321" width="14.85546875" style="2" customWidth="1"/>
    <col min="14322" max="14322" width="7.140625" style="2" customWidth="1"/>
    <col min="14323" max="14323" width="20.140625" style="2" customWidth="1"/>
    <col min="14324" max="14555" width="8.85546875" style="2" customWidth="1"/>
    <col min="14556" max="14556" width="8.140625" style="2" customWidth="1"/>
    <col min="14557" max="14557" width="14.42578125" style="2" customWidth="1"/>
    <col min="14558" max="14558" width="37.42578125" style="2" customWidth="1"/>
    <col min="14559" max="14559" width="63.140625" style="2" customWidth="1"/>
    <col min="14560" max="14560" width="20" style="2" customWidth="1"/>
    <col min="14561" max="14561" width="11.140625" style="2" customWidth="1"/>
    <col min="14562" max="14562" width="10.85546875" style="2" customWidth="1"/>
    <col min="14563" max="14563" width="21" style="2" customWidth="1"/>
    <col min="14564" max="14564" width="10.85546875" style="2" customWidth="1"/>
    <col min="14565" max="14565" width="17.42578125" style="2" customWidth="1"/>
    <col min="14566" max="14566" width="14.85546875" style="2" customWidth="1"/>
    <col min="14567" max="14567" width="15" style="2" customWidth="1"/>
    <col min="14568" max="14568" width="14.85546875" style="2" customWidth="1"/>
    <col min="14569" max="14569" width="7.140625" style="2" customWidth="1"/>
    <col min="14570" max="14571" width="20.140625" style="2" customWidth="1"/>
    <col min="14572" max="14572" width="18.42578125" style="2" customWidth="1"/>
    <col min="14573" max="14573" width="9.140625" style="2" customWidth="1"/>
    <col min="14574" max="14574" width="12" style="2" customWidth="1"/>
    <col min="14575" max="14575" width="14.85546875" style="2" customWidth="1"/>
    <col min="14576" max="14576" width="22.42578125" style="2" customWidth="1"/>
    <col min="14577" max="14577" width="14.85546875" style="2" customWidth="1"/>
    <col min="14578" max="14578" width="7.140625" style="2" customWidth="1"/>
    <col min="14579" max="14579" width="20.140625" style="2" customWidth="1"/>
    <col min="14580" max="14811" width="8.85546875" style="2" customWidth="1"/>
    <col min="14812" max="14812" width="8.140625" style="2" customWidth="1"/>
    <col min="14813" max="14813" width="14.42578125" style="2" customWidth="1"/>
    <col min="14814" max="14814" width="37.42578125" style="2" customWidth="1"/>
    <col min="14815" max="14815" width="63.140625" style="2" customWidth="1"/>
    <col min="14816" max="14816" width="20" style="2" customWidth="1"/>
    <col min="14817" max="14817" width="11.140625" style="2" customWidth="1"/>
    <col min="14818" max="14818" width="10.85546875" style="2" customWidth="1"/>
    <col min="14819" max="14819" width="21" style="2" customWidth="1"/>
    <col min="14820" max="14820" width="10.85546875" style="2" customWidth="1"/>
    <col min="14821" max="14821" width="17.42578125" style="2" customWidth="1"/>
    <col min="14822" max="14822" width="14.85546875" style="2" customWidth="1"/>
    <col min="14823" max="14823" width="15" style="2" customWidth="1"/>
    <col min="14824" max="14824" width="14.85546875" style="2" customWidth="1"/>
    <col min="14825" max="14825" width="7.140625" style="2" customWidth="1"/>
    <col min="14826" max="14827" width="20.140625" style="2" customWidth="1"/>
    <col min="14828" max="14828" width="18.42578125" style="2" customWidth="1"/>
    <col min="14829" max="14829" width="9.140625" style="2" customWidth="1"/>
    <col min="14830" max="14830" width="12" style="2" customWidth="1"/>
    <col min="14831" max="14831" width="14.85546875" style="2" customWidth="1"/>
    <col min="14832" max="14832" width="22.42578125" style="2" customWidth="1"/>
    <col min="14833" max="14833" width="14.85546875" style="2" customWidth="1"/>
    <col min="14834" max="14834" width="7.140625" style="2" customWidth="1"/>
    <col min="14835" max="14835" width="20.140625" style="2" customWidth="1"/>
    <col min="14836" max="15067" width="8.85546875" style="2" customWidth="1"/>
    <col min="15068" max="15068" width="8.140625" style="2" customWidth="1"/>
    <col min="15069" max="15069" width="14.42578125" style="2" customWidth="1"/>
    <col min="15070" max="15070" width="37.42578125" style="2" customWidth="1"/>
    <col min="15071" max="15071" width="63.140625" style="2" customWidth="1"/>
    <col min="15072" max="15072" width="20" style="2" customWidth="1"/>
    <col min="15073" max="15073" width="11.140625" style="2" customWidth="1"/>
    <col min="15074" max="15074" width="10.85546875" style="2" customWidth="1"/>
    <col min="15075" max="15075" width="21" style="2" customWidth="1"/>
    <col min="15076" max="15076" width="10.85546875" style="2" customWidth="1"/>
    <col min="15077" max="15077" width="17.42578125" style="2" customWidth="1"/>
    <col min="15078" max="15078" width="14.85546875" style="2" customWidth="1"/>
    <col min="15079" max="15079" width="15" style="2" customWidth="1"/>
    <col min="15080" max="15080" width="14.85546875" style="2" customWidth="1"/>
    <col min="15081" max="15081" width="7.140625" style="2" customWidth="1"/>
    <col min="15082" max="15083" width="20.140625" style="2" customWidth="1"/>
    <col min="15084" max="15084" width="18.42578125" style="2" customWidth="1"/>
    <col min="15085" max="15085" width="9.140625" style="2" customWidth="1"/>
    <col min="15086" max="15086" width="12" style="2" customWidth="1"/>
    <col min="15087" max="15087" width="14.85546875" style="2" customWidth="1"/>
    <col min="15088" max="15088" width="22.42578125" style="2" customWidth="1"/>
    <col min="15089" max="15089" width="14.85546875" style="2" customWidth="1"/>
    <col min="15090" max="15090" width="7.140625" style="2" customWidth="1"/>
    <col min="15091" max="15091" width="20.140625" style="2" customWidth="1"/>
    <col min="15092" max="15323" width="8.85546875" style="2" customWidth="1"/>
    <col min="15324" max="15324" width="8.140625" style="2" customWidth="1"/>
    <col min="15325" max="15325" width="14.42578125" style="2" customWidth="1"/>
    <col min="15326" max="15326" width="37.42578125" style="2" customWidth="1"/>
    <col min="15327" max="15327" width="63.140625" style="2" customWidth="1"/>
    <col min="15328" max="15328" width="20" style="2" customWidth="1"/>
    <col min="15329" max="15329" width="11.140625" style="2" customWidth="1"/>
    <col min="15330" max="15330" width="10.85546875" style="2" customWidth="1"/>
    <col min="15331" max="15331" width="21" style="2" customWidth="1"/>
    <col min="15332" max="15332" width="10.85546875" style="2" customWidth="1"/>
    <col min="15333" max="15333" width="17.42578125" style="2" customWidth="1"/>
    <col min="15334" max="15334" width="14.85546875" style="2" customWidth="1"/>
    <col min="15335" max="15335" width="15" style="2" customWidth="1"/>
    <col min="15336" max="15336" width="14.85546875" style="2" customWidth="1"/>
    <col min="15337" max="15337" width="7.140625" style="2" customWidth="1"/>
    <col min="15338" max="15339" width="20.140625" style="2" customWidth="1"/>
    <col min="15340" max="15340" width="18.42578125" style="2" customWidth="1"/>
    <col min="15341" max="15341" width="9.140625" style="2" customWidth="1"/>
    <col min="15342" max="15342" width="12" style="2" customWidth="1"/>
    <col min="15343" max="15343" width="14.85546875" style="2" customWidth="1"/>
    <col min="15344" max="15344" width="22.42578125" style="2" customWidth="1"/>
    <col min="15345" max="15345" width="14.85546875" style="2" customWidth="1"/>
    <col min="15346" max="15346" width="7.140625" style="2" customWidth="1"/>
    <col min="15347" max="15347" width="20.140625" style="2" customWidth="1"/>
    <col min="15348" max="15579" width="8.85546875" style="2" customWidth="1"/>
    <col min="15580" max="15580" width="8.140625" style="2" customWidth="1"/>
    <col min="15581" max="15581" width="14.42578125" style="2" customWidth="1"/>
    <col min="15582" max="15582" width="37.42578125" style="2" customWidth="1"/>
    <col min="15583" max="15583" width="63.140625" style="2" customWidth="1"/>
    <col min="15584" max="15584" width="20" style="2" customWidth="1"/>
    <col min="15585" max="15585" width="11.140625" style="2" customWidth="1"/>
    <col min="15586" max="15586" width="10.85546875" style="2" customWidth="1"/>
    <col min="15587" max="15587" width="21" style="2" customWidth="1"/>
    <col min="15588" max="15588" width="10.85546875" style="2" customWidth="1"/>
    <col min="15589" max="15589" width="17.42578125" style="2" customWidth="1"/>
    <col min="15590" max="15590" width="14.85546875" style="2" customWidth="1"/>
    <col min="15591" max="15591" width="15" style="2" customWidth="1"/>
    <col min="15592" max="15592" width="14.85546875" style="2" customWidth="1"/>
    <col min="15593" max="15593" width="7.140625" style="2" customWidth="1"/>
    <col min="15594" max="15595" width="20.140625" style="2" customWidth="1"/>
    <col min="15596" max="15596" width="18.42578125" style="2" customWidth="1"/>
    <col min="15597" max="15597" width="9.140625" style="2" customWidth="1"/>
    <col min="15598" max="15598" width="12" style="2" customWidth="1"/>
    <col min="15599" max="15599" width="14.85546875" style="2" customWidth="1"/>
    <col min="15600" max="15600" width="22.42578125" style="2" customWidth="1"/>
    <col min="15601" max="15601" width="14.85546875" style="2" customWidth="1"/>
    <col min="15602" max="15602" width="7.140625" style="2" customWidth="1"/>
    <col min="15603" max="15603" width="20.140625" style="2" customWidth="1"/>
    <col min="15604" max="15835" width="8.85546875" style="2" customWidth="1"/>
    <col min="15836" max="15836" width="8.140625" style="2" customWidth="1"/>
    <col min="15837" max="15837" width="14.42578125" style="2" customWidth="1"/>
    <col min="15838" max="15838" width="37.42578125" style="2" customWidth="1"/>
    <col min="15839" max="15839" width="63.140625" style="2" customWidth="1"/>
    <col min="15840" max="15840" width="20" style="2" customWidth="1"/>
    <col min="15841" max="15841" width="11.140625" style="2" customWidth="1"/>
    <col min="15842" max="15842" width="10.85546875" style="2" customWidth="1"/>
    <col min="15843" max="15843" width="21" style="2" customWidth="1"/>
    <col min="15844" max="15844" width="10.85546875" style="2" customWidth="1"/>
    <col min="15845" max="15845" width="17.42578125" style="2" customWidth="1"/>
    <col min="15846" max="15846" width="14.85546875" style="2" customWidth="1"/>
    <col min="15847" max="15847" width="15" style="2" customWidth="1"/>
    <col min="15848" max="15848" width="14.85546875" style="2" customWidth="1"/>
    <col min="15849" max="15849" width="7.140625" style="2" customWidth="1"/>
    <col min="15850" max="15851" width="20.140625" style="2" customWidth="1"/>
    <col min="15852" max="15852" width="18.42578125" style="2" customWidth="1"/>
    <col min="15853" max="15853" width="9.140625" style="2" customWidth="1"/>
    <col min="15854" max="15854" width="12" style="2" customWidth="1"/>
    <col min="15855" max="15855" width="14.85546875" style="2" customWidth="1"/>
    <col min="15856" max="15856" width="22.42578125" style="2" customWidth="1"/>
    <col min="15857" max="15857" width="14.85546875" style="2" customWidth="1"/>
    <col min="15858" max="15858" width="7.140625" style="2" customWidth="1"/>
    <col min="15859" max="15859" width="20.140625" style="2" customWidth="1"/>
    <col min="15860" max="16091" width="8.85546875" style="2" customWidth="1"/>
    <col min="16092" max="16092" width="8.140625" style="2" customWidth="1"/>
    <col min="16093" max="16093" width="14.42578125" style="2" customWidth="1"/>
    <col min="16094" max="16094" width="37.42578125" style="2" customWidth="1"/>
    <col min="16095" max="16095" width="63.140625" style="2" customWidth="1"/>
    <col min="16096" max="16096" width="20" style="2" customWidth="1"/>
    <col min="16097" max="16097" width="11.140625" style="2" customWidth="1"/>
    <col min="16098" max="16098" width="10.85546875" style="2" customWidth="1"/>
    <col min="16099" max="16099" width="21" style="2" customWidth="1"/>
    <col min="16100" max="16100" width="10.85546875" style="2" customWidth="1"/>
    <col min="16101" max="16101" width="17.42578125" style="2" customWidth="1"/>
    <col min="16102" max="16102" width="14.85546875" style="2" customWidth="1"/>
    <col min="16103" max="16103" width="15" style="2" customWidth="1"/>
    <col min="16104" max="16104" width="14.85546875" style="2" customWidth="1"/>
    <col min="16105" max="16105" width="7.140625" style="2" customWidth="1"/>
    <col min="16106" max="16107" width="20.140625" style="2" customWidth="1"/>
    <col min="16108" max="16108" width="18.42578125" style="2" customWidth="1"/>
    <col min="16109" max="16109" width="9.140625" style="2" customWidth="1"/>
    <col min="16110" max="16110" width="12" style="2" customWidth="1"/>
    <col min="16111" max="16111" width="14.85546875" style="2" customWidth="1"/>
    <col min="16112" max="16112" width="22.42578125" style="2" customWidth="1"/>
    <col min="16113" max="16113" width="14.85546875" style="2" customWidth="1"/>
    <col min="16114" max="16114" width="7.140625" style="2" customWidth="1"/>
    <col min="16115" max="16115" width="20.140625" style="2" customWidth="1"/>
    <col min="16116" max="16384" width="8.85546875" style="2" customWidth="1"/>
  </cols>
  <sheetData>
    <row r="1" spans="1:21" ht="14.1" customHeight="1">
      <c r="A1" s="1" t="s">
        <v>1345</v>
      </c>
      <c r="B1" s="24"/>
      <c r="C1" s="2"/>
      <c r="D1" s="2"/>
      <c r="F1" s="2"/>
      <c r="H1" s="2"/>
      <c r="J1" s="2"/>
      <c r="K1" s="2"/>
      <c r="L1" s="2"/>
      <c r="M1" s="2"/>
      <c r="N1" s="2"/>
      <c r="O1" s="2"/>
      <c r="P1" s="2"/>
      <c r="R1" s="10"/>
    </row>
    <row r="2" spans="1:21" s="4" customFormat="1" ht="14.1" customHeight="1">
      <c r="A2" s="4" t="s">
        <v>1346</v>
      </c>
      <c r="E2" s="69"/>
      <c r="Q2" s="2"/>
      <c r="R2" s="336"/>
    </row>
    <row r="3" spans="1:21" s="6" customFormat="1" ht="14.1" customHeight="1">
      <c r="A3" s="3"/>
      <c r="B3" s="16"/>
      <c r="C3" s="16"/>
      <c r="D3" s="23"/>
      <c r="E3" s="16"/>
      <c r="F3" s="23"/>
      <c r="G3" s="15"/>
      <c r="H3" s="25"/>
      <c r="I3" s="15"/>
      <c r="J3" s="25"/>
      <c r="K3" s="25"/>
      <c r="L3" s="25"/>
      <c r="M3" s="25"/>
      <c r="N3" s="25"/>
      <c r="O3" s="25"/>
      <c r="P3" s="25"/>
      <c r="Q3" s="2"/>
      <c r="R3" s="355" t="s">
        <v>2</v>
      </c>
      <c r="S3" s="2"/>
      <c r="T3" s="2"/>
      <c r="U3" s="2"/>
    </row>
    <row r="4" spans="1:21" s="5" customFormat="1" ht="33" customHeight="1">
      <c r="A4" s="21" t="s">
        <v>3</v>
      </c>
      <c r="B4" s="52" t="s">
        <v>4</v>
      </c>
      <c r="C4" s="52" t="s">
        <v>5</v>
      </c>
      <c r="D4" s="21" t="s">
        <v>6</v>
      </c>
      <c r="E4" s="21" t="s">
        <v>7</v>
      </c>
      <c r="F4" s="21" t="s">
        <v>8</v>
      </c>
      <c r="G4" s="21" t="s">
        <v>9</v>
      </c>
      <c r="H4" s="21" t="s">
        <v>10</v>
      </c>
      <c r="I4" s="21" t="s">
        <v>11</v>
      </c>
      <c r="J4" s="21" t="s">
        <v>12</v>
      </c>
      <c r="K4" s="21" t="s">
        <v>13</v>
      </c>
      <c r="L4" s="21" t="s">
        <v>14</v>
      </c>
      <c r="M4" s="21" t="s">
        <v>15</v>
      </c>
      <c r="N4" s="21" t="s">
        <v>16</v>
      </c>
      <c r="O4" s="21" t="s">
        <v>17</v>
      </c>
      <c r="P4" s="21" t="s">
        <v>18</v>
      </c>
      <c r="Q4" s="3"/>
      <c r="R4" s="41" t="s">
        <v>19</v>
      </c>
      <c r="S4" s="20"/>
      <c r="T4" s="42" t="s">
        <v>20</v>
      </c>
      <c r="U4" s="42" t="s">
        <v>21</v>
      </c>
    </row>
    <row r="5" spans="1:21" ht="14.1" customHeight="1">
      <c r="A5" s="7">
        <v>1</v>
      </c>
      <c r="B5" s="14" t="s">
        <v>308</v>
      </c>
      <c r="C5" s="14" t="s">
        <v>308</v>
      </c>
      <c r="D5" s="7" t="s">
        <v>944</v>
      </c>
      <c r="E5" s="14" t="s">
        <v>945</v>
      </c>
      <c r="F5" s="7" t="s">
        <v>1347</v>
      </c>
      <c r="G5" s="8" t="s">
        <v>1348</v>
      </c>
      <c r="H5" s="7" t="s">
        <v>459</v>
      </c>
      <c r="I5" s="8" t="s">
        <v>1349</v>
      </c>
      <c r="J5" s="7" t="s">
        <v>30</v>
      </c>
      <c r="K5" s="7" t="s">
        <v>461</v>
      </c>
      <c r="L5" s="7" t="s">
        <v>311</v>
      </c>
      <c r="M5" s="7">
        <v>85437099</v>
      </c>
      <c r="N5" s="7">
        <v>10</v>
      </c>
      <c r="O5" s="7">
        <v>10</v>
      </c>
      <c r="P5" s="7"/>
      <c r="R5" s="9">
        <v>2491.74359085985</v>
      </c>
      <c r="S5" s="22"/>
      <c r="T5" s="7" t="s">
        <v>34</v>
      </c>
      <c r="U5" s="7"/>
    </row>
    <row r="6" spans="1:21" ht="14.1" customHeight="1">
      <c r="A6" s="7">
        <v>2</v>
      </c>
      <c r="B6" s="14" t="s">
        <v>308</v>
      </c>
      <c r="C6" s="14" t="s">
        <v>308</v>
      </c>
      <c r="D6" s="7" t="s">
        <v>944</v>
      </c>
      <c r="E6" s="14" t="s">
        <v>945</v>
      </c>
      <c r="F6" s="7" t="s">
        <v>1347</v>
      </c>
      <c r="G6" s="8" t="s">
        <v>1350</v>
      </c>
      <c r="H6" s="7" t="s">
        <v>459</v>
      </c>
      <c r="I6" s="8" t="s">
        <v>1351</v>
      </c>
      <c r="J6" s="7" t="s">
        <v>30</v>
      </c>
      <c r="K6" s="7" t="s">
        <v>461</v>
      </c>
      <c r="L6" s="7" t="s">
        <v>311</v>
      </c>
      <c r="M6" s="7">
        <v>85437099</v>
      </c>
      <c r="N6" s="7">
        <v>10</v>
      </c>
      <c r="O6" s="7">
        <v>10</v>
      </c>
      <c r="P6" s="7"/>
      <c r="R6" s="9">
        <v>2623.8815085569631</v>
      </c>
      <c r="T6" s="7" t="s">
        <v>34</v>
      </c>
      <c r="U6" s="7"/>
    </row>
    <row r="7" spans="1:21" ht="14.1" customHeight="1">
      <c r="A7" s="7">
        <v>3</v>
      </c>
      <c r="B7" s="14" t="s">
        <v>308</v>
      </c>
      <c r="C7" s="14" t="s">
        <v>308</v>
      </c>
      <c r="D7" s="7" t="s">
        <v>944</v>
      </c>
      <c r="E7" s="14" t="s">
        <v>945</v>
      </c>
      <c r="F7" s="7" t="s">
        <v>1347</v>
      </c>
      <c r="G7" s="8" t="s">
        <v>1352</v>
      </c>
      <c r="H7" s="7" t="s">
        <v>459</v>
      </c>
      <c r="I7" s="8" t="s">
        <v>1353</v>
      </c>
      <c r="J7" s="7" t="s">
        <v>30</v>
      </c>
      <c r="K7" s="7" t="s">
        <v>461</v>
      </c>
      <c r="L7" s="7" t="s">
        <v>311</v>
      </c>
      <c r="M7" s="7">
        <v>85437099</v>
      </c>
      <c r="N7" s="7">
        <v>10</v>
      </c>
      <c r="O7" s="7">
        <v>10</v>
      </c>
      <c r="P7" s="7"/>
      <c r="R7" s="9">
        <v>2718.265735483471</v>
      </c>
      <c r="T7" s="7" t="s">
        <v>34</v>
      </c>
      <c r="U7" s="7"/>
    </row>
    <row r="8" spans="1:21" ht="14.1" customHeight="1">
      <c r="A8" s="7">
        <v>4</v>
      </c>
      <c r="B8" s="14" t="s">
        <v>308</v>
      </c>
      <c r="C8" s="14" t="s">
        <v>308</v>
      </c>
      <c r="D8" s="7" t="s">
        <v>944</v>
      </c>
      <c r="E8" s="14" t="s">
        <v>945</v>
      </c>
      <c r="F8" s="7" t="s">
        <v>1347</v>
      </c>
      <c r="G8" s="8" t="s">
        <v>1354</v>
      </c>
      <c r="H8" s="7" t="s">
        <v>459</v>
      </c>
      <c r="I8" s="8" t="s">
        <v>1355</v>
      </c>
      <c r="J8" s="7" t="s">
        <v>30</v>
      </c>
      <c r="K8" s="7" t="s">
        <v>461</v>
      </c>
      <c r="L8" s="7" t="s">
        <v>311</v>
      </c>
      <c r="M8" s="7">
        <v>85437099</v>
      </c>
      <c r="N8" s="7">
        <v>10</v>
      </c>
      <c r="O8" s="7">
        <v>10</v>
      </c>
      <c r="P8" s="7"/>
      <c r="R8" s="9">
        <v>1661.162393906566</v>
      </c>
      <c r="T8" s="7" t="s">
        <v>34</v>
      </c>
      <c r="U8" s="7"/>
    </row>
    <row r="9" spans="1:21" ht="14.1" customHeight="1">
      <c r="A9" s="7">
        <v>5</v>
      </c>
      <c r="B9" s="14" t="s">
        <v>308</v>
      </c>
      <c r="C9" s="14" t="s">
        <v>308</v>
      </c>
      <c r="D9" s="7" t="s">
        <v>944</v>
      </c>
      <c r="E9" s="14" t="s">
        <v>945</v>
      </c>
      <c r="F9" s="7" t="s">
        <v>1347</v>
      </c>
      <c r="G9" s="8" t="s">
        <v>1356</v>
      </c>
      <c r="H9" s="7" t="s">
        <v>459</v>
      </c>
      <c r="I9" s="8" t="s">
        <v>1357</v>
      </c>
      <c r="J9" s="7" t="s">
        <v>30</v>
      </c>
      <c r="K9" s="7" t="s">
        <v>461</v>
      </c>
      <c r="L9" s="7" t="s">
        <v>311</v>
      </c>
      <c r="M9" s="7">
        <v>85437099</v>
      </c>
      <c r="N9" s="7">
        <v>10</v>
      </c>
      <c r="O9" s="7">
        <v>10</v>
      </c>
      <c r="P9" s="7"/>
      <c r="R9" s="9">
        <v>1755.5466208330749</v>
      </c>
      <c r="T9" s="7" t="s">
        <v>34</v>
      </c>
      <c r="U9" s="7"/>
    </row>
    <row r="10" spans="1:21" ht="14.1" customHeight="1">
      <c r="A10" s="7">
        <v>6</v>
      </c>
      <c r="B10" s="14" t="s">
        <v>308</v>
      </c>
      <c r="C10" s="14" t="s">
        <v>308</v>
      </c>
      <c r="D10" s="7" t="s">
        <v>944</v>
      </c>
      <c r="E10" s="14" t="s">
        <v>945</v>
      </c>
      <c r="F10" s="7" t="s">
        <v>1347</v>
      </c>
      <c r="G10" s="8" t="s">
        <v>1358</v>
      </c>
      <c r="H10" s="7" t="s">
        <v>459</v>
      </c>
      <c r="I10" s="8" t="s">
        <v>1359</v>
      </c>
      <c r="J10" s="7" t="s">
        <v>30</v>
      </c>
      <c r="K10" s="7" t="s">
        <v>461</v>
      </c>
      <c r="L10" s="7" t="s">
        <v>311</v>
      </c>
      <c r="M10" s="7">
        <v>85437099</v>
      </c>
      <c r="N10" s="7">
        <v>10</v>
      </c>
      <c r="O10" s="7">
        <v>10</v>
      </c>
      <c r="P10" s="7"/>
      <c r="R10" s="9">
        <v>2756.0194262540758</v>
      </c>
      <c r="T10" s="7" t="s">
        <v>34</v>
      </c>
      <c r="U10" s="7"/>
    </row>
    <row r="11" spans="1:21" ht="14.1" customHeight="1">
      <c r="A11" s="7">
        <v>7</v>
      </c>
      <c r="B11" s="14" t="s">
        <v>308</v>
      </c>
      <c r="C11" s="14" t="s">
        <v>308</v>
      </c>
      <c r="D11" s="7" t="s">
        <v>944</v>
      </c>
      <c r="E11" s="14" t="s">
        <v>945</v>
      </c>
      <c r="F11" s="7" t="s">
        <v>1347</v>
      </c>
      <c r="G11" s="8" t="s">
        <v>1360</v>
      </c>
      <c r="H11" s="7" t="s">
        <v>459</v>
      </c>
      <c r="I11" s="8" t="s">
        <v>1361</v>
      </c>
      <c r="J11" s="7" t="s">
        <v>30</v>
      </c>
      <c r="K11" s="7" t="s">
        <v>461</v>
      </c>
      <c r="L11" s="7" t="s">
        <v>311</v>
      </c>
      <c r="M11" s="7">
        <v>85437099</v>
      </c>
      <c r="N11" s="7">
        <v>10</v>
      </c>
      <c r="O11" s="7">
        <v>10</v>
      </c>
      <c r="P11" s="7"/>
      <c r="R11" s="9">
        <v>2850.403653180585</v>
      </c>
      <c r="T11" s="7" t="s">
        <v>34</v>
      </c>
      <c r="U11" s="7"/>
    </row>
    <row r="12" spans="1:21" ht="14.1" customHeight="1">
      <c r="A12" s="7">
        <v>8</v>
      </c>
      <c r="B12" s="123" t="s">
        <v>308</v>
      </c>
      <c r="C12" s="123" t="s">
        <v>308</v>
      </c>
      <c r="D12" s="124" t="s">
        <v>944</v>
      </c>
      <c r="E12" s="123" t="s">
        <v>945</v>
      </c>
      <c r="F12" s="124" t="s">
        <v>1347</v>
      </c>
      <c r="G12" s="2" t="s">
        <v>1362</v>
      </c>
      <c r="H12" s="124" t="s">
        <v>459</v>
      </c>
      <c r="I12" s="18" t="s">
        <v>1363</v>
      </c>
      <c r="J12" s="124" t="s">
        <v>30</v>
      </c>
      <c r="K12" s="7" t="s">
        <v>461</v>
      </c>
      <c r="L12" s="7" t="s">
        <v>311</v>
      </c>
      <c r="M12" s="7">
        <v>85437099</v>
      </c>
      <c r="N12" s="7">
        <v>10</v>
      </c>
      <c r="O12" s="7">
        <v>10</v>
      </c>
      <c r="P12" s="7"/>
      <c r="R12" s="9">
        <v>3926.383840142792</v>
      </c>
      <c r="T12" s="7" t="s">
        <v>34</v>
      </c>
      <c r="U12" s="7"/>
    </row>
    <row r="13" spans="1:21" ht="14.1" customHeight="1">
      <c r="A13" s="7">
        <v>9</v>
      </c>
      <c r="B13" s="14" t="s">
        <v>308</v>
      </c>
      <c r="C13" s="14" t="s">
        <v>308</v>
      </c>
      <c r="D13" s="7" t="s">
        <v>944</v>
      </c>
      <c r="E13" s="14" t="s">
        <v>945</v>
      </c>
      <c r="F13" s="7" t="s">
        <v>1347</v>
      </c>
      <c r="G13" s="8" t="s">
        <v>1364</v>
      </c>
      <c r="H13" s="7" t="s">
        <v>459</v>
      </c>
      <c r="I13" s="8" t="s">
        <v>1365</v>
      </c>
      <c r="J13" s="7" t="s">
        <v>30</v>
      </c>
      <c r="K13" s="7" t="s">
        <v>461</v>
      </c>
      <c r="L13" s="7" t="s">
        <v>311</v>
      </c>
      <c r="M13" s="7">
        <v>85437099</v>
      </c>
      <c r="N13" s="7">
        <v>10</v>
      </c>
      <c r="O13" s="7">
        <v>10</v>
      </c>
      <c r="P13" s="7"/>
      <c r="R13" s="9">
        <v>2831.5268077952842</v>
      </c>
      <c r="T13" s="7" t="s">
        <v>34</v>
      </c>
      <c r="U13" s="7"/>
    </row>
    <row r="14" spans="1:21" ht="14.1" customHeight="1">
      <c r="A14" s="7">
        <v>10</v>
      </c>
      <c r="B14" s="14" t="s">
        <v>308</v>
      </c>
      <c r="C14" s="14" t="s">
        <v>308</v>
      </c>
      <c r="D14" s="7" t="s">
        <v>944</v>
      </c>
      <c r="E14" s="14" t="s">
        <v>945</v>
      </c>
      <c r="F14" s="7" t="s">
        <v>1347</v>
      </c>
      <c r="G14" s="8" t="s">
        <v>1366</v>
      </c>
      <c r="H14" s="7" t="s">
        <v>459</v>
      </c>
      <c r="I14" s="8" t="s">
        <v>1367</v>
      </c>
      <c r="J14" s="7" t="s">
        <v>30</v>
      </c>
      <c r="K14" s="7" t="s">
        <v>461</v>
      </c>
      <c r="L14" s="7" t="s">
        <v>311</v>
      </c>
      <c r="M14" s="7">
        <v>85437099</v>
      </c>
      <c r="N14" s="7">
        <v>10</v>
      </c>
      <c r="O14" s="7">
        <v>10</v>
      </c>
      <c r="P14" s="7"/>
      <c r="R14" s="9">
        <v>6606.8958848556613</v>
      </c>
      <c r="T14" s="7" t="s">
        <v>34</v>
      </c>
      <c r="U14" s="7"/>
    </row>
    <row r="15" spans="1:21" ht="14.1" customHeight="1">
      <c r="A15" s="7">
        <v>11</v>
      </c>
      <c r="B15" s="14" t="s">
        <v>308</v>
      </c>
      <c r="C15" s="14" t="s">
        <v>308</v>
      </c>
      <c r="D15" s="7" t="s">
        <v>944</v>
      </c>
      <c r="E15" s="14" t="s">
        <v>945</v>
      </c>
      <c r="F15" s="7" t="s">
        <v>1347</v>
      </c>
      <c r="G15" s="8" t="s">
        <v>1368</v>
      </c>
      <c r="H15" s="7" t="s">
        <v>459</v>
      </c>
      <c r="I15" s="8" t="s">
        <v>1369</v>
      </c>
      <c r="J15" s="7" t="s">
        <v>30</v>
      </c>
      <c r="K15" s="7" t="s">
        <v>461</v>
      </c>
      <c r="L15" s="7" t="s">
        <v>311</v>
      </c>
      <c r="M15" s="7">
        <v>85437099</v>
      </c>
      <c r="N15" s="7">
        <v>10</v>
      </c>
      <c r="O15" s="7">
        <v>10</v>
      </c>
      <c r="P15" s="7"/>
      <c r="R15" s="9">
        <v>2925.911034721792</v>
      </c>
      <c r="T15" s="7" t="s">
        <v>34</v>
      </c>
      <c r="U15" s="7"/>
    </row>
    <row r="16" spans="1:21" ht="14.1" customHeight="1">
      <c r="A16" s="7">
        <v>12</v>
      </c>
      <c r="B16" s="14" t="s">
        <v>308</v>
      </c>
      <c r="C16" s="14" t="s">
        <v>308</v>
      </c>
      <c r="D16" s="7" t="s">
        <v>944</v>
      </c>
      <c r="E16" s="14" t="s">
        <v>945</v>
      </c>
      <c r="F16" s="7" t="s">
        <v>1347</v>
      </c>
      <c r="G16" s="8" t="s">
        <v>1370</v>
      </c>
      <c r="H16" s="7" t="s">
        <v>459</v>
      </c>
      <c r="I16" s="8" t="s">
        <v>1371</v>
      </c>
      <c r="J16" s="7" t="s">
        <v>30</v>
      </c>
      <c r="K16" s="7" t="s">
        <v>461</v>
      </c>
      <c r="L16" s="7" t="s">
        <v>311</v>
      </c>
      <c r="M16" s="7">
        <v>85437099</v>
      </c>
      <c r="N16" s="7">
        <v>10</v>
      </c>
      <c r="O16" s="7">
        <v>10</v>
      </c>
      <c r="P16" s="7"/>
      <c r="R16" s="9">
        <v>3209.063715501321</v>
      </c>
      <c r="T16" s="7" t="s">
        <v>34</v>
      </c>
      <c r="U16" s="7"/>
    </row>
    <row r="17" spans="1:21" ht="14.1" customHeight="1">
      <c r="A17" s="7">
        <v>13</v>
      </c>
      <c r="B17" s="14" t="s">
        <v>308</v>
      </c>
      <c r="C17" s="14" t="s">
        <v>308</v>
      </c>
      <c r="D17" s="7" t="s">
        <v>944</v>
      </c>
      <c r="E17" s="14" t="s">
        <v>945</v>
      </c>
      <c r="F17" s="7" t="s">
        <v>1347</v>
      </c>
      <c r="G17" s="8" t="s">
        <v>1372</v>
      </c>
      <c r="H17" s="7" t="s">
        <v>459</v>
      </c>
      <c r="I17" s="8" t="s">
        <v>1373</v>
      </c>
      <c r="J17" s="7" t="s">
        <v>30</v>
      </c>
      <c r="K17" s="7" t="s">
        <v>461</v>
      </c>
      <c r="L17" s="7" t="s">
        <v>311</v>
      </c>
      <c r="M17" s="7">
        <v>85437099</v>
      </c>
      <c r="N17" s="7">
        <v>10</v>
      </c>
      <c r="O17" s="7">
        <v>10</v>
      </c>
      <c r="P17" s="7"/>
      <c r="R17" s="9">
        <v>6984.432792561699</v>
      </c>
      <c r="T17" s="7" t="s">
        <v>34</v>
      </c>
      <c r="U17" s="7"/>
    </row>
    <row r="18" spans="1:21" ht="14.1" customHeight="1">
      <c r="A18" s="7">
        <v>14</v>
      </c>
      <c r="B18" s="14" t="s">
        <v>308</v>
      </c>
      <c r="C18" s="14" t="s">
        <v>308</v>
      </c>
      <c r="D18" s="7" t="s">
        <v>944</v>
      </c>
      <c r="E18" s="14" t="s">
        <v>945</v>
      </c>
      <c r="F18" s="7" t="s">
        <v>1347</v>
      </c>
      <c r="G18" s="8" t="s">
        <v>1374</v>
      </c>
      <c r="H18" s="7" t="s">
        <v>459</v>
      </c>
      <c r="I18" s="8" t="s">
        <v>1375</v>
      </c>
      <c r="J18" s="7" t="s">
        <v>30</v>
      </c>
      <c r="K18" s="7" t="s">
        <v>461</v>
      </c>
      <c r="L18" s="7" t="s">
        <v>311</v>
      </c>
      <c r="M18" s="7">
        <v>85437099</v>
      </c>
      <c r="N18" s="7">
        <v>10</v>
      </c>
      <c r="O18" s="7">
        <v>10</v>
      </c>
      <c r="P18" s="7"/>
      <c r="R18" s="9">
        <v>3303.4479424278311</v>
      </c>
      <c r="T18" s="7" t="s">
        <v>34</v>
      </c>
      <c r="U18" s="7"/>
    </row>
    <row r="19" spans="1:21" ht="14.1" customHeight="1">
      <c r="A19" s="7">
        <v>15</v>
      </c>
      <c r="B19" s="14" t="s">
        <v>308</v>
      </c>
      <c r="C19" s="14" t="s">
        <v>308</v>
      </c>
      <c r="D19" s="7" t="s">
        <v>944</v>
      </c>
      <c r="E19" s="14" t="s">
        <v>945</v>
      </c>
      <c r="F19" s="7" t="s">
        <v>1347</v>
      </c>
      <c r="G19" s="8" t="s">
        <v>1376</v>
      </c>
      <c r="H19" s="7" t="s">
        <v>459</v>
      </c>
      <c r="I19" s="8" t="s">
        <v>1377</v>
      </c>
      <c r="J19" s="7" t="s">
        <v>30</v>
      </c>
      <c r="K19" s="7" t="s">
        <v>461</v>
      </c>
      <c r="L19" s="7" t="s">
        <v>311</v>
      </c>
      <c r="M19" s="7">
        <v>85437099</v>
      </c>
      <c r="N19" s="7">
        <v>10</v>
      </c>
      <c r="O19" s="7">
        <v>10</v>
      </c>
      <c r="P19" s="7"/>
      <c r="R19" s="9">
        <v>1661.162393906566</v>
      </c>
      <c r="T19" s="7" t="s">
        <v>34</v>
      </c>
      <c r="U19" s="7"/>
    </row>
    <row r="20" spans="1:21" ht="14.1" customHeight="1">
      <c r="A20" s="7">
        <v>16</v>
      </c>
      <c r="B20" s="14" t="s">
        <v>308</v>
      </c>
      <c r="C20" s="14" t="s">
        <v>308</v>
      </c>
      <c r="D20" s="7" t="s">
        <v>944</v>
      </c>
      <c r="E20" s="14" t="s">
        <v>945</v>
      </c>
      <c r="F20" s="7" t="s">
        <v>1347</v>
      </c>
      <c r="G20" s="8" t="s">
        <v>1378</v>
      </c>
      <c r="H20" s="7" t="s">
        <v>459</v>
      </c>
      <c r="I20" s="8" t="s">
        <v>1379</v>
      </c>
      <c r="J20" s="7" t="s">
        <v>30</v>
      </c>
      <c r="K20" s="7" t="s">
        <v>461</v>
      </c>
      <c r="L20" s="7" t="s">
        <v>311</v>
      </c>
      <c r="M20" s="7">
        <v>85437099</v>
      </c>
      <c r="N20" s="7">
        <v>10</v>
      </c>
      <c r="O20" s="7">
        <v>10</v>
      </c>
      <c r="P20" s="7"/>
      <c r="R20" s="9">
        <v>1793.3003116036789</v>
      </c>
      <c r="T20" s="7" t="s">
        <v>34</v>
      </c>
      <c r="U20" s="7"/>
    </row>
    <row r="21" spans="1:21" ht="14.1" customHeight="1">
      <c r="A21" s="7">
        <v>17</v>
      </c>
      <c r="B21" s="14" t="s">
        <v>308</v>
      </c>
      <c r="C21" s="14" t="s">
        <v>308</v>
      </c>
      <c r="D21" s="7" t="s">
        <v>944</v>
      </c>
      <c r="E21" s="14" t="s">
        <v>945</v>
      </c>
      <c r="F21" s="7" t="s">
        <v>1347</v>
      </c>
      <c r="G21" s="8" t="s">
        <v>1380</v>
      </c>
      <c r="H21" s="7" t="s">
        <v>459</v>
      </c>
      <c r="I21" s="8" t="s">
        <v>1381</v>
      </c>
      <c r="J21" s="7" t="s">
        <v>30</v>
      </c>
      <c r="K21" s="7" t="s">
        <v>461</v>
      </c>
      <c r="L21" s="7" t="s">
        <v>311</v>
      </c>
      <c r="M21" s="7">
        <v>85437099</v>
      </c>
      <c r="N21" s="7">
        <v>10</v>
      </c>
      <c r="O21" s="7">
        <v>10</v>
      </c>
      <c r="P21" s="7"/>
      <c r="R21" s="9">
        <v>1887.684538530189</v>
      </c>
      <c r="T21" s="7" t="s">
        <v>34</v>
      </c>
      <c r="U21" s="7"/>
    </row>
    <row r="22" spans="1:21" ht="14.1" customHeight="1">
      <c r="A22" s="7">
        <v>18</v>
      </c>
      <c r="B22" s="14" t="s">
        <v>308</v>
      </c>
      <c r="C22" s="14" t="s">
        <v>308</v>
      </c>
      <c r="D22" s="7" t="s">
        <v>944</v>
      </c>
      <c r="E22" s="14" t="s">
        <v>945</v>
      </c>
      <c r="F22" s="7" t="s">
        <v>1347</v>
      </c>
      <c r="G22" s="8" t="s">
        <v>1382</v>
      </c>
      <c r="H22" s="7" t="s">
        <v>459</v>
      </c>
      <c r="I22" s="8" t="s">
        <v>1383</v>
      </c>
      <c r="J22" s="7" t="s">
        <v>30</v>
      </c>
      <c r="K22" s="7" t="s">
        <v>461</v>
      </c>
      <c r="L22" s="7" t="s">
        <v>311</v>
      </c>
      <c r="M22" s="7">
        <v>85437099</v>
      </c>
      <c r="N22" s="7">
        <v>10</v>
      </c>
      <c r="O22" s="7">
        <v>10</v>
      </c>
      <c r="P22" s="7"/>
      <c r="R22" s="9">
        <v>1566.778166980057</v>
      </c>
      <c r="T22" s="7" t="s">
        <v>34</v>
      </c>
      <c r="U22" s="7"/>
    </row>
    <row r="23" spans="1:21" ht="14.1" customHeight="1">
      <c r="A23" s="7">
        <v>19</v>
      </c>
      <c r="B23" s="14" t="s">
        <v>308</v>
      </c>
      <c r="C23" s="14" t="s">
        <v>308</v>
      </c>
      <c r="D23" s="7" t="s">
        <v>944</v>
      </c>
      <c r="E23" s="14" t="s">
        <v>945</v>
      </c>
      <c r="F23" s="7" t="s">
        <v>1347</v>
      </c>
      <c r="G23" s="8" t="s">
        <v>1384</v>
      </c>
      <c r="H23" s="7" t="s">
        <v>459</v>
      </c>
      <c r="I23" s="8" t="s">
        <v>1385</v>
      </c>
      <c r="J23" s="7" t="s">
        <v>30</v>
      </c>
      <c r="K23" s="7" t="s">
        <v>461</v>
      </c>
      <c r="L23" s="7" t="s">
        <v>311</v>
      </c>
      <c r="M23" s="7">
        <v>85437099</v>
      </c>
      <c r="N23" s="7">
        <v>10</v>
      </c>
      <c r="O23" s="7">
        <v>10</v>
      </c>
      <c r="P23" s="7"/>
      <c r="R23" s="9">
        <v>1698.9160846771699</v>
      </c>
      <c r="T23" s="7" t="s">
        <v>34</v>
      </c>
      <c r="U23" s="7"/>
    </row>
    <row r="24" spans="1:21" ht="14.1" customHeight="1">
      <c r="A24" s="7">
        <v>20</v>
      </c>
      <c r="B24" s="14" t="s">
        <v>308</v>
      </c>
      <c r="C24" s="14" t="s">
        <v>308</v>
      </c>
      <c r="D24" s="7" t="s">
        <v>944</v>
      </c>
      <c r="E24" s="14" t="s">
        <v>945</v>
      </c>
      <c r="F24" s="7" t="s">
        <v>1347</v>
      </c>
      <c r="G24" s="8" t="s">
        <v>1386</v>
      </c>
      <c r="H24" s="7" t="s">
        <v>459</v>
      </c>
      <c r="I24" s="8" t="s">
        <v>1387</v>
      </c>
      <c r="J24" s="7" t="s">
        <v>30</v>
      </c>
      <c r="K24" s="7" t="s">
        <v>461</v>
      </c>
      <c r="L24" s="7" t="s">
        <v>311</v>
      </c>
      <c r="M24" s="7">
        <v>85437099</v>
      </c>
      <c r="N24" s="7">
        <v>10</v>
      </c>
      <c r="O24" s="7">
        <v>10</v>
      </c>
      <c r="P24" s="7"/>
      <c r="R24" s="9">
        <v>1793.3003116036789</v>
      </c>
      <c r="T24" s="7" t="s">
        <v>34</v>
      </c>
      <c r="U24" s="7"/>
    </row>
    <row r="25" spans="1:21" ht="14.1" customHeight="1">
      <c r="A25" s="7">
        <v>21</v>
      </c>
      <c r="B25" s="14" t="s">
        <v>308</v>
      </c>
      <c r="C25" s="14" t="s">
        <v>308</v>
      </c>
      <c r="D25" s="7" t="s">
        <v>944</v>
      </c>
      <c r="E25" s="14" t="s">
        <v>945</v>
      </c>
      <c r="F25" s="7" t="s">
        <v>1347</v>
      </c>
      <c r="G25" s="8" t="s">
        <v>1388</v>
      </c>
      <c r="H25" s="7" t="s">
        <v>459</v>
      </c>
      <c r="I25" s="8" t="s">
        <v>1389</v>
      </c>
      <c r="J25" s="7" t="s">
        <v>30</v>
      </c>
      <c r="K25" s="7" t="s">
        <v>461</v>
      </c>
      <c r="L25" s="7" t="s">
        <v>311</v>
      </c>
      <c r="M25" s="7">
        <v>85437099</v>
      </c>
      <c r="N25" s="7">
        <v>10</v>
      </c>
      <c r="O25" s="7">
        <v>10</v>
      </c>
      <c r="P25" s="7"/>
      <c r="R25" s="9">
        <v>4719.2113463254718</v>
      </c>
      <c r="T25" s="7" t="s">
        <v>34</v>
      </c>
      <c r="U25" s="7"/>
    </row>
    <row r="26" spans="1:21" ht="14.1" customHeight="1">
      <c r="A26" s="7">
        <v>22</v>
      </c>
      <c r="B26" s="14" t="s">
        <v>308</v>
      </c>
      <c r="C26" s="14" t="s">
        <v>308</v>
      </c>
      <c r="D26" s="7" t="s">
        <v>944</v>
      </c>
      <c r="E26" s="14" t="s">
        <v>945</v>
      </c>
      <c r="F26" s="7" t="s">
        <v>1347</v>
      </c>
      <c r="G26" s="8" t="s">
        <v>1390</v>
      </c>
      <c r="H26" s="7" t="s">
        <v>459</v>
      </c>
      <c r="I26" s="8" t="s">
        <v>1391</v>
      </c>
      <c r="J26" s="7" t="s">
        <v>30</v>
      </c>
      <c r="K26" s="7" t="s">
        <v>461</v>
      </c>
      <c r="L26" s="7" t="s">
        <v>311</v>
      </c>
      <c r="M26" s="7">
        <v>85437099</v>
      </c>
      <c r="N26" s="7">
        <v>10</v>
      </c>
      <c r="O26" s="7">
        <v>10</v>
      </c>
      <c r="P26" s="7"/>
      <c r="R26" s="9">
        <v>5474.2851617375472</v>
      </c>
      <c r="T26" s="7" t="s">
        <v>34</v>
      </c>
      <c r="U26" s="7"/>
    </row>
    <row r="27" spans="1:21" ht="14.1" customHeight="1">
      <c r="A27" s="7">
        <v>23</v>
      </c>
      <c r="B27" s="14" t="s">
        <v>308</v>
      </c>
      <c r="C27" s="14" t="s">
        <v>308</v>
      </c>
      <c r="D27" s="7" t="s">
        <v>944</v>
      </c>
      <c r="E27" s="14" t="s">
        <v>945</v>
      </c>
      <c r="F27" s="7" t="s">
        <v>1347</v>
      </c>
      <c r="G27" s="8" t="s">
        <v>1392</v>
      </c>
      <c r="H27" s="7" t="s">
        <v>459</v>
      </c>
      <c r="I27" s="8" t="s">
        <v>1393</v>
      </c>
      <c r="J27" s="7" t="s">
        <v>30</v>
      </c>
      <c r="K27" s="7" t="s">
        <v>461</v>
      </c>
      <c r="L27" s="7" t="s">
        <v>311</v>
      </c>
      <c r="M27" s="7">
        <v>85437099</v>
      </c>
      <c r="N27" s="7">
        <v>10</v>
      </c>
      <c r="O27" s="7">
        <v>10</v>
      </c>
      <c r="P27" s="7"/>
      <c r="R27" s="9">
        <v>358.66006232073579</v>
      </c>
      <c r="T27" s="7" t="s">
        <v>34</v>
      </c>
      <c r="U27" s="7"/>
    </row>
    <row r="28" spans="1:21" ht="14.1" customHeight="1">
      <c r="A28" s="7">
        <v>24</v>
      </c>
      <c r="B28" s="14" t="s">
        <v>308</v>
      </c>
      <c r="C28" s="14" t="s">
        <v>308</v>
      </c>
      <c r="D28" s="7" t="s">
        <v>944</v>
      </c>
      <c r="E28" s="14" t="s">
        <v>945</v>
      </c>
      <c r="F28" s="7" t="s">
        <v>1347</v>
      </c>
      <c r="G28" s="8" t="s">
        <v>1394</v>
      </c>
      <c r="H28" s="7" t="s">
        <v>459</v>
      </c>
      <c r="I28" s="8" t="s">
        <v>1395</v>
      </c>
      <c r="J28" s="7" t="s">
        <v>30</v>
      </c>
      <c r="K28" s="7" t="s">
        <v>461</v>
      </c>
      <c r="L28" s="7" t="s">
        <v>311</v>
      </c>
      <c r="M28" s="7">
        <v>85437099</v>
      </c>
      <c r="N28" s="7">
        <v>10</v>
      </c>
      <c r="O28" s="7">
        <v>10</v>
      </c>
      <c r="P28" s="7"/>
      <c r="R28" s="9">
        <v>415.29059847664149</v>
      </c>
      <c r="T28" s="7" t="s">
        <v>34</v>
      </c>
      <c r="U28" s="7"/>
    </row>
    <row r="29" spans="1:21" ht="14.1" customHeight="1">
      <c r="A29" s="7">
        <v>25</v>
      </c>
      <c r="B29" s="14" t="s">
        <v>308</v>
      </c>
      <c r="C29" s="14" t="s">
        <v>308</v>
      </c>
      <c r="D29" s="7" t="s">
        <v>944</v>
      </c>
      <c r="E29" s="14" t="s">
        <v>945</v>
      </c>
      <c r="F29" s="7" t="s">
        <v>1347</v>
      </c>
      <c r="G29" s="8" t="s">
        <v>1396</v>
      </c>
      <c r="H29" s="7" t="s">
        <v>459</v>
      </c>
      <c r="I29" s="8" t="s">
        <v>1397</v>
      </c>
      <c r="J29" s="7" t="s">
        <v>30</v>
      </c>
      <c r="K29" s="7" t="s">
        <v>461</v>
      </c>
      <c r="L29" s="7" t="s">
        <v>311</v>
      </c>
      <c r="M29" s="7">
        <v>85437099</v>
      </c>
      <c r="N29" s="7">
        <v>10</v>
      </c>
      <c r="O29" s="7">
        <v>10</v>
      </c>
      <c r="P29" s="7"/>
      <c r="R29" s="9">
        <v>358.66006232073579</v>
      </c>
      <c r="T29" s="7" t="s">
        <v>34</v>
      </c>
      <c r="U29" s="7"/>
    </row>
    <row r="30" spans="1:21" ht="14.1" customHeight="1">
      <c r="A30" s="7">
        <v>26</v>
      </c>
      <c r="B30" s="14" t="s">
        <v>308</v>
      </c>
      <c r="C30" s="14" t="s">
        <v>308</v>
      </c>
      <c r="D30" s="7" t="s">
        <v>944</v>
      </c>
      <c r="E30" s="14" t="s">
        <v>945</v>
      </c>
      <c r="F30" s="7" t="s">
        <v>1347</v>
      </c>
      <c r="G30" s="8" t="s">
        <v>1398</v>
      </c>
      <c r="H30" s="7" t="s">
        <v>459</v>
      </c>
      <c r="I30" s="8" t="s">
        <v>1399</v>
      </c>
      <c r="J30" s="7" t="s">
        <v>30</v>
      </c>
      <c r="K30" s="7" t="s">
        <v>461</v>
      </c>
      <c r="L30" s="7" t="s">
        <v>311</v>
      </c>
      <c r="M30" s="7">
        <v>85437099</v>
      </c>
      <c r="N30" s="7">
        <v>10</v>
      </c>
      <c r="O30" s="7">
        <v>10</v>
      </c>
      <c r="P30" s="7"/>
      <c r="R30" s="9">
        <v>415.29059847664149</v>
      </c>
      <c r="T30" s="7" t="s">
        <v>34</v>
      </c>
      <c r="U30" s="7"/>
    </row>
    <row r="31" spans="1:21" ht="14.1" customHeight="1"/>
    <row r="32" spans="1:21" ht="14.1" customHeight="1"/>
    <row r="33" ht="14.1" customHeight="1"/>
    <row r="34" ht="14.1" customHeight="1"/>
    <row r="35" ht="14.1" customHeight="1"/>
    <row r="36" ht="14.1" customHeight="1"/>
    <row r="37" ht="14.1" customHeight="1"/>
    <row r="38" ht="14.1" customHeight="1"/>
    <row r="39" ht="14.1" customHeight="1"/>
    <row r="40" ht="14.1" customHeight="1"/>
    <row r="41" ht="14.1" customHeight="1"/>
    <row r="42" ht="14.1" customHeight="1"/>
    <row r="43" ht="14.1" customHeight="1"/>
    <row r="44" ht="14.1" customHeight="1"/>
    <row r="45" ht="14.1" customHeight="1"/>
    <row r="46" ht="14.1" customHeight="1"/>
    <row r="47" ht="14.1" customHeight="1"/>
    <row r="48" ht="14.1" customHeight="1"/>
    <row r="49" ht="14.1" customHeight="1"/>
    <row r="50" ht="14.1" customHeight="1"/>
    <row r="51" ht="14.1" customHeight="1"/>
    <row r="52" ht="14.1" customHeight="1"/>
    <row r="53" ht="14.1" customHeight="1"/>
    <row r="54" ht="14.1" customHeight="1"/>
    <row r="55" ht="14.1" customHeight="1"/>
    <row r="56" ht="14.1" customHeight="1"/>
    <row r="57" ht="14.1" customHeight="1"/>
    <row r="58" ht="14.1" customHeight="1"/>
    <row r="59" ht="14.1" customHeight="1"/>
    <row r="60" ht="14.1" customHeight="1"/>
    <row r="61" ht="14.1" customHeight="1"/>
    <row r="62" ht="14.1" customHeight="1"/>
    <row r="63" ht="14.1" customHeight="1"/>
    <row r="64" ht="14.1" customHeight="1"/>
    <row r="65" ht="14.1" customHeight="1"/>
    <row r="66" ht="14.1" customHeight="1"/>
    <row r="67" ht="14.1" customHeight="1"/>
    <row r="68" ht="14.1" customHeight="1"/>
    <row r="69" ht="14.1" customHeight="1"/>
    <row r="70" ht="14.1" customHeight="1"/>
    <row r="71" ht="14.1" customHeight="1"/>
    <row r="72" ht="14.1" customHeight="1"/>
    <row r="73" ht="14.1" customHeight="1"/>
    <row r="74" ht="14.1" customHeight="1"/>
    <row r="75" ht="14.1" customHeight="1"/>
    <row r="76" ht="14.1" customHeight="1"/>
    <row r="77" ht="14.1" customHeight="1"/>
    <row r="78" ht="14.1" customHeight="1"/>
    <row r="79" ht="14.1" customHeight="1"/>
    <row r="80" ht="14.1" customHeight="1"/>
    <row r="81" ht="14.1" customHeight="1"/>
    <row r="82" ht="14.1" customHeight="1"/>
    <row r="83" ht="14.1" customHeight="1"/>
    <row r="84" ht="14.1" customHeight="1"/>
    <row r="85" ht="14.1" customHeight="1"/>
    <row r="86" ht="14.1" customHeight="1"/>
    <row r="87" ht="14.1" customHeight="1"/>
    <row r="88" ht="14.1" customHeight="1"/>
    <row r="89" ht="14.1" customHeight="1"/>
    <row r="90" ht="14.1" customHeight="1"/>
    <row r="91" ht="14.1" customHeight="1"/>
    <row r="92" ht="14.1" customHeight="1"/>
    <row r="93" ht="14.1" customHeight="1"/>
    <row r="94" ht="14.1" customHeight="1"/>
    <row r="95" ht="14.1" customHeight="1"/>
    <row r="96" ht="14.1" customHeight="1"/>
    <row r="97" ht="14.1" customHeight="1"/>
    <row r="98" ht="14.1" customHeight="1"/>
    <row r="99" ht="14.1" customHeight="1"/>
    <row r="100" ht="14.1" customHeight="1"/>
    <row r="101" ht="14.1" customHeight="1"/>
    <row r="102" ht="14.1" customHeight="1"/>
    <row r="103" ht="14.1" customHeight="1"/>
    <row r="104" ht="14.1" customHeight="1"/>
    <row r="105" ht="14.1" customHeight="1"/>
    <row r="106" ht="14.1" customHeight="1"/>
    <row r="107" ht="14.1" customHeight="1"/>
    <row r="108" ht="14.1" customHeight="1"/>
    <row r="109" ht="14.1" customHeight="1"/>
    <row r="110" ht="14.1" customHeight="1"/>
    <row r="111" ht="14.1" customHeight="1"/>
    <row r="112" ht="14.1" customHeight="1"/>
    <row r="113" ht="14.1" customHeight="1"/>
    <row r="114" ht="14.1" customHeight="1"/>
    <row r="115" ht="14.1" customHeight="1"/>
    <row r="116" ht="14.1" customHeight="1"/>
    <row r="117" ht="14.1" customHeight="1"/>
    <row r="118" ht="14.1" customHeight="1"/>
    <row r="119" ht="14.1" customHeight="1"/>
    <row r="120" ht="14.1" customHeight="1"/>
    <row r="121" ht="14.1" customHeight="1"/>
    <row r="122" ht="14.1" customHeight="1"/>
    <row r="123" ht="14.1" customHeight="1"/>
    <row r="124" ht="14.1" customHeight="1"/>
    <row r="125" ht="14.1" customHeight="1"/>
    <row r="126" ht="14.1" customHeight="1"/>
    <row r="127" ht="14.1" customHeight="1"/>
    <row r="128" ht="14.1" customHeight="1"/>
    <row r="129" ht="14.1" customHeight="1"/>
    <row r="130" ht="14.1" customHeight="1"/>
    <row r="131" ht="14.1" customHeight="1"/>
    <row r="132" ht="14.1" customHeight="1"/>
    <row r="133" ht="14.1" customHeight="1"/>
    <row r="134" ht="14.1" customHeight="1"/>
    <row r="135" ht="14.1" customHeight="1"/>
    <row r="136" ht="14.1" customHeight="1"/>
    <row r="137" ht="14.1" customHeight="1"/>
    <row r="138" ht="14.1" customHeight="1"/>
    <row r="139" ht="14.1" customHeight="1"/>
    <row r="140" ht="14.1" customHeight="1"/>
    <row r="141" ht="14.1" customHeight="1"/>
    <row r="142" ht="14.1" customHeight="1"/>
    <row r="143" ht="14.1" customHeight="1"/>
    <row r="144" ht="14.1" customHeight="1"/>
    <row r="145" ht="14.1" customHeight="1"/>
    <row r="146" ht="14.1" customHeight="1"/>
    <row r="147" ht="14.1" customHeight="1"/>
    <row r="148" ht="14.1" customHeight="1"/>
    <row r="149" ht="14.1" customHeight="1"/>
    <row r="150" ht="14.1" customHeight="1"/>
    <row r="151" ht="14.1" customHeight="1"/>
    <row r="152" ht="14.1" customHeight="1"/>
    <row r="153" ht="14.1" customHeight="1"/>
    <row r="154" ht="14.1" customHeight="1"/>
    <row r="155" ht="14.1" customHeight="1"/>
    <row r="156" ht="14.1" customHeight="1"/>
    <row r="157" ht="14.1" customHeight="1"/>
    <row r="158" ht="14.1" customHeight="1"/>
    <row r="159" ht="14.1" customHeight="1"/>
    <row r="160" ht="14.1" customHeight="1"/>
    <row r="161" ht="14.1" customHeight="1"/>
    <row r="162" ht="14.1" customHeight="1"/>
    <row r="163" ht="14.1" customHeight="1"/>
    <row r="164" ht="14.1" customHeight="1"/>
    <row r="165" ht="14.1" customHeight="1"/>
    <row r="166" ht="14.1" customHeight="1"/>
    <row r="167" ht="14.1" customHeight="1"/>
    <row r="168" ht="14.1" customHeight="1"/>
    <row r="169" ht="14.1" customHeight="1"/>
    <row r="170" ht="14.1" customHeight="1"/>
    <row r="171" ht="14.1" customHeight="1"/>
    <row r="172" ht="14.1" customHeight="1"/>
    <row r="173" ht="14.1" customHeight="1"/>
    <row r="174" ht="14.1" customHeight="1"/>
    <row r="175" ht="14.1" customHeight="1"/>
    <row r="176" ht="14.1" customHeight="1"/>
    <row r="177" ht="14.1" customHeight="1"/>
    <row r="178" ht="14.1" customHeight="1"/>
    <row r="179" ht="14.1" customHeight="1"/>
    <row r="180" ht="14.1" customHeight="1"/>
    <row r="181" ht="14.1" customHeight="1"/>
    <row r="182" ht="14.1" customHeight="1"/>
    <row r="183" ht="14.1" customHeight="1"/>
    <row r="184" ht="14.1" customHeight="1"/>
    <row r="185" ht="14.1" customHeight="1"/>
    <row r="186" ht="14.1" customHeight="1"/>
    <row r="187" ht="14.1" customHeight="1"/>
    <row r="188" ht="14.1" customHeight="1"/>
    <row r="189" ht="14.1" customHeight="1"/>
    <row r="190" ht="14.1" customHeight="1"/>
    <row r="191" ht="14.1" customHeight="1"/>
    <row r="192" ht="14.1" customHeight="1"/>
    <row r="193" ht="14.1" customHeight="1"/>
    <row r="194" ht="14.1" customHeight="1"/>
    <row r="195" ht="14.1" customHeight="1"/>
    <row r="196" ht="14.1" customHeight="1"/>
    <row r="197" ht="14.1" customHeight="1"/>
    <row r="198" ht="14.1" customHeight="1"/>
    <row r="199" ht="14.1" customHeight="1"/>
    <row r="200" ht="14.1" customHeight="1"/>
    <row r="201" ht="14.1" customHeight="1"/>
    <row r="202" ht="14.1" customHeight="1"/>
    <row r="203" ht="14.1" customHeight="1"/>
    <row r="204" ht="14.1" customHeight="1"/>
    <row r="205" ht="14.1" customHeight="1"/>
    <row r="206" ht="14.1" customHeight="1"/>
    <row r="207" ht="14.1" customHeight="1"/>
    <row r="208" ht="14.1" customHeight="1"/>
    <row r="209" ht="14.1" customHeight="1"/>
    <row r="210" ht="14.1" customHeight="1"/>
    <row r="211" ht="14.1" customHeight="1"/>
    <row r="212" ht="14.1" customHeight="1"/>
    <row r="213" ht="14.1" customHeight="1"/>
    <row r="214" ht="14.1" customHeight="1"/>
    <row r="215" ht="14.1" customHeight="1"/>
    <row r="216" ht="14.1" customHeight="1"/>
    <row r="217" ht="14.1" customHeight="1"/>
    <row r="218" ht="14.1" customHeight="1"/>
    <row r="219" ht="14.1" customHeight="1"/>
    <row r="220" ht="14.1" customHeight="1"/>
    <row r="221" ht="14.1" customHeight="1"/>
    <row r="222" ht="14.1" customHeight="1"/>
    <row r="223" ht="14.1" customHeight="1"/>
    <row r="224" ht="14.1" customHeight="1"/>
    <row r="225" ht="14.1" customHeight="1"/>
    <row r="226" ht="14.1" customHeight="1"/>
    <row r="227" ht="14.1" customHeight="1"/>
    <row r="228" ht="14.1" customHeight="1"/>
    <row r="229" ht="14.1" customHeight="1"/>
    <row r="230" ht="14.1" customHeight="1"/>
    <row r="231" ht="14.1" customHeight="1"/>
    <row r="232" ht="14.1" customHeight="1"/>
    <row r="233" ht="14.1" customHeight="1"/>
    <row r="234" ht="14.1" customHeight="1"/>
    <row r="235" ht="14.1" customHeight="1"/>
    <row r="236" ht="14.1" customHeight="1"/>
    <row r="237" ht="14.1" customHeight="1"/>
    <row r="238" ht="14.1" customHeight="1"/>
    <row r="239" ht="14.1" customHeight="1"/>
    <row r="240" ht="14.1" customHeight="1"/>
    <row r="241" ht="14.1" customHeight="1"/>
    <row r="242" ht="14.1" customHeight="1"/>
    <row r="243" ht="14.1" customHeight="1"/>
    <row r="244" ht="14.1" customHeight="1"/>
    <row r="245" ht="14.1" customHeight="1"/>
    <row r="246" ht="14.1" customHeight="1"/>
    <row r="247" ht="14.1" customHeight="1"/>
    <row r="248" ht="14.1" customHeight="1"/>
    <row r="249" ht="14.1" customHeight="1"/>
    <row r="250" ht="14.1" customHeight="1"/>
    <row r="251" ht="14.1" customHeight="1"/>
    <row r="252" ht="14.1" customHeight="1"/>
    <row r="253" ht="14.1" customHeight="1"/>
    <row r="254" ht="14.1" customHeight="1"/>
    <row r="255" ht="14.1" customHeight="1"/>
    <row r="256" ht="14.1" customHeight="1"/>
    <row r="257" ht="14.1" customHeight="1"/>
    <row r="258" ht="14.1" customHeight="1"/>
    <row r="259" ht="14.1" customHeight="1"/>
    <row r="260" ht="14.1" customHeight="1"/>
    <row r="261" ht="14.1" customHeight="1"/>
    <row r="262" ht="14.1" customHeight="1"/>
    <row r="263" ht="14.1" customHeight="1"/>
    <row r="264" ht="14.1" customHeight="1"/>
    <row r="265" ht="14.1" customHeight="1"/>
    <row r="266" ht="14.1" customHeight="1"/>
    <row r="267" ht="14.1" customHeight="1"/>
    <row r="268" ht="14.1" customHeight="1"/>
    <row r="269" ht="14.1" customHeight="1"/>
    <row r="270" ht="14.1" customHeight="1"/>
    <row r="271" ht="14.1" customHeight="1"/>
    <row r="272" ht="14.1" customHeight="1"/>
    <row r="273" ht="14.1" customHeight="1"/>
    <row r="274" ht="14.1" customHeight="1"/>
    <row r="275" ht="14.1" customHeight="1"/>
    <row r="276" ht="14.1" customHeight="1"/>
    <row r="277" ht="14.1" customHeight="1"/>
    <row r="278" ht="14.1" customHeight="1"/>
    <row r="279" ht="14.1" customHeight="1"/>
    <row r="280" ht="14.1" customHeight="1"/>
    <row r="281" ht="14.1" customHeight="1"/>
    <row r="282" ht="14.1" customHeight="1"/>
    <row r="283" ht="14.1" customHeight="1"/>
    <row r="284" ht="14.1" customHeight="1"/>
    <row r="285" ht="14.1" customHeight="1"/>
    <row r="286" ht="14.1" customHeight="1"/>
    <row r="287" ht="14.1" customHeight="1"/>
    <row r="288" ht="14.1" customHeight="1"/>
    <row r="289" ht="14.1" customHeight="1"/>
    <row r="290" ht="14.1" customHeight="1"/>
    <row r="291" ht="14.1" customHeight="1"/>
    <row r="292" ht="14.1" customHeight="1"/>
    <row r="293" ht="14.1" customHeight="1"/>
    <row r="294" ht="14.1" customHeight="1"/>
    <row r="295" ht="14.1" customHeight="1"/>
    <row r="296" ht="14.1" customHeight="1"/>
    <row r="297" ht="14.1" customHeight="1"/>
    <row r="298" ht="14.1" customHeight="1"/>
    <row r="299" ht="14.1" customHeight="1"/>
    <row r="300" ht="14.1" customHeight="1"/>
    <row r="301" ht="14.1" customHeight="1"/>
    <row r="302" ht="14.1" customHeight="1"/>
    <row r="303" ht="14.1" customHeight="1"/>
    <row r="304" ht="14.1" customHeight="1"/>
    <row r="305" ht="14.1" customHeight="1"/>
    <row r="306" ht="14.1" customHeight="1"/>
    <row r="307" ht="14.1" customHeight="1"/>
    <row r="308" ht="14.1" customHeight="1"/>
    <row r="309" ht="14.1" customHeight="1"/>
    <row r="310" ht="14.1" customHeight="1"/>
    <row r="311" ht="14.1" customHeight="1"/>
    <row r="312" ht="14.1" customHeight="1"/>
    <row r="313" ht="14.1" customHeight="1"/>
    <row r="314" ht="14.1" customHeight="1"/>
    <row r="315" ht="14.1" customHeight="1"/>
    <row r="316" ht="14.1" customHeight="1"/>
    <row r="317" ht="14.1" customHeight="1"/>
    <row r="318" ht="14.1" customHeight="1"/>
    <row r="319" ht="14.1" customHeight="1"/>
    <row r="320" ht="14.1" customHeight="1"/>
    <row r="321" ht="14.1" customHeight="1"/>
    <row r="322" ht="14.1" customHeight="1"/>
    <row r="323" ht="14.1" customHeight="1"/>
    <row r="324" ht="14.1" customHeight="1"/>
    <row r="325" ht="14.1" customHeight="1"/>
    <row r="326" ht="14.1" customHeight="1"/>
    <row r="327" ht="14.1" customHeight="1"/>
    <row r="328" ht="14.1" customHeight="1"/>
    <row r="329" ht="14.1" customHeight="1"/>
    <row r="330" ht="14.1" customHeight="1"/>
    <row r="331" ht="14.1" customHeight="1"/>
    <row r="332" ht="14.1" customHeight="1"/>
    <row r="333" ht="14.1" customHeight="1"/>
    <row r="334" ht="14.1" customHeight="1"/>
    <row r="335" ht="14.1" customHeight="1"/>
    <row r="336" ht="14.1" customHeight="1"/>
    <row r="337" ht="14.1" customHeight="1"/>
    <row r="338" ht="14.1" customHeight="1"/>
    <row r="339" ht="14.1" customHeight="1"/>
    <row r="340" ht="14.1" customHeight="1"/>
    <row r="341" ht="14.1" customHeight="1"/>
    <row r="342" ht="14.1" customHeight="1"/>
    <row r="343" ht="14.1" customHeight="1"/>
    <row r="344" ht="14.1" customHeight="1"/>
    <row r="345" ht="14.1" customHeight="1"/>
    <row r="346" ht="14.1" customHeight="1"/>
    <row r="347" ht="14.1" customHeight="1"/>
    <row r="348" ht="14.1" customHeight="1"/>
    <row r="349" ht="14.1" customHeight="1"/>
    <row r="350" ht="14.1" customHeight="1"/>
    <row r="351" ht="14.1" customHeight="1"/>
    <row r="352" ht="14.1" customHeight="1"/>
    <row r="353" ht="14.1" customHeight="1"/>
    <row r="354" ht="14.1" customHeight="1"/>
    <row r="355" ht="14.1" customHeight="1"/>
    <row r="356" ht="14.1" customHeight="1"/>
    <row r="357" ht="14.1" customHeight="1"/>
    <row r="358" ht="14.1" customHeight="1"/>
    <row r="359" ht="14.1" customHeight="1"/>
    <row r="360" ht="14.1" customHeight="1"/>
    <row r="361" ht="14.1" customHeight="1"/>
    <row r="362" ht="14.1" customHeight="1"/>
    <row r="363" ht="14.1" customHeight="1"/>
    <row r="364" ht="14.1" customHeight="1"/>
    <row r="365" ht="14.1" customHeight="1"/>
    <row r="366" ht="14.1" customHeight="1"/>
    <row r="367" ht="14.1" customHeight="1"/>
    <row r="368" ht="14.1" customHeight="1"/>
    <row r="369" ht="14.1" customHeight="1"/>
    <row r="370" ht="14.1" customHeight="1"/>
    <row r="371" ht="14.1" customHeight="1"/>
    <row r="372" ht="14.1" customHeight="1"/>
    <row r="373" ht="14.1" customHeight="1"/>
    <row r="374" ht="14.1" customHeight="1"/>
    <row r="375" ht="14.1" customHeight="1"/>
    <row r="376" ht="14.1" customHeight="1"/>
    <row r="377" ht="14.1" customHeight="1"/>
    <row r="378" ht="14.1" customHeight="1"/>
    <row r="379" ht="14.1" customHeight="1"/>
    <row r="380" ht="14.1" customHeight="1"/>
    <row r="381" ht="14.1" customHeight="1"/>
    <row r="382" ht="14.1" customHeight="1"/>
    <row r="383" ht="14.1" customHeight="1"/>
    <row r="384" ht="14.1" customHeight="1"/>
    <row r="385" ht="14.1" customHeight="1"/>
    <row r="386" ht="14.1" customHeight="1"/>
    <row r="387" ht="14.1" customHeight="1"/>
    <row r="388" ht="14.1" customHeight="1"/>
    <row r="389" ht="14.1" customHeight="1"/>
    <row r="390" ht="14.1" customHeight="1"/>
    <row r="391" ht="14.1" customHeight="1"/>
    <row r="392" ht="14.1" customHeight="1"/>
    <row r="393" ht="14.1" customHeight="1"/>
    <row r="394" ht="14.1" customHeight="1"/>
    <row r="395" ht="14.1" customHeight="1"/>
    <row r="396" ht="14.1" customHeight="1"/>
    <row r="397" ht="14.1" customHeight="1"/>
    <row r="398" ht="14.1" customHeight="1"/>
    <row r="399" ht="14.1" customHeight="1"/>
    <row r="400" ht="14.1" customHeight="1"/>
    <row r="401" ht="14.1" customHeight="1"/>
    <row r="402" ht="14.1" customHeight="1"/>
    <row r="403" ht="14.1" customHeight="1"/>
    <row r="404" ht="14.1" customHeight="1"/>
    <row r="405" ht="14.1" customHeight="1"/>
    <row r="406" ht="14.1" customHeight="1"/>
    <row r="407" ht="14.1" customHeight="1"/>
    <row r="408" ht="14.1" customHeight="1"/>
    <row r="409" ht="14.1" customHeight="1"/>
    <row r="410" ht="14.1" customHeight="1"/>
    <row r="411" ht="14.1" customHeight="1"/>
    <row r="412" ht="14.1" customHeight="1"/>
    <row r="413" ht="14.1" customHeight="1"/>
    <row r="414" ht="14.1" customHeight="1"/>
    <row r="415" ht="14.1" customHeight="1"/>
    <row r="416" ht="14.1" customHeight="1"/>
    <row r="417" ht="14.1" customHeight="1"/>
    <row r="418" ht="14.1" customHeight="1"/>
    <row r="419" ht="14.1" customHeight="1"/>
    <row r="420" ht="14.1" customHeight="1"/>
    <row r="421" ht="14.1" customHeight="1"/>
    <row r="422" ht="14.1" customHeight="1"/>
    <row r="423" ht="14.1" customHeight="1"/>
    <row r="424" ht="14.1" customHeight="1"/>
    <row r="425" ht="14.1" customHeight="1"/>
    <row r="426" ht="14.1" customHeight="1"/>
    <row r="427" ht="14.1" customHeight="1"/>
    <row r="428" ht="14.1" customHeight="1"/>
    <row r="429" ht="14.1" customHeight="1"/>
    <row r="430" ht="14.1" customHeight="1"/>
    <row r="431" ht="14.1" customHeight="1"/>
    <row r="432" ht="14.1" customHeight="1"/>
    <row r="433" ht="14.1" customHeight="1"/>
    <row r="434" ht="14.1" customHeight="1"/>
    <row r="435" ht="14.1" customHeight="1"/>
    <row r="436" ht="14.1" customHeight="1"/>
    <row r="437" ht="14.1" customHeight="1"/>
    <row r="438" ht="14.1" customHeight="1"/>
    <row r="439" ht="14.1" customHeight="1"/>
    <row r="440" ht="14.1" customHeight="1"/>
    <row r="441" ht="14.1" customHeight="1"/>
    <row r="442" ht="14.1" customHeight="1"/>
    <row r="443" ht="14.1" customHeight="1"/>
    <row r="444" ht="14.1" customHeight="1"/>
    <row r="445" ht="14.1" customHeight="1"/>
    <row r="446" ht="14.1" customHeight="1"/>
    <row r="447" ht="14.1" customHeight="1"/>
    <row r="448" ht="14.1" customHeight="1"/>
    <row r="449" ht="14.1" customHeight="1"/>
    <row r="450" ht="14.1" customHeight="1"/>
    <row r="451" ht="14.1" customHeight="1"/>
    <row r="452" ht="14.1" customHeight="1"/>
    <row r="453" ht="14.1" customHeight="1"/>
    <row r="454" ht="14.1" customHeight="1"/>
    <row r="455" ht="14.1" customHeight="1"/>
    <row r="456" ht="14.1" customHeight="1"/>
    <row r="457" ht="14.1" customHeight="1"/>
    <row r="458" ht="14.1" customHeight="1"/>
    <row r="459" ht="14.1" customHeight="1"/>
    <row r="460" ht="14.1" customHeight="1"/>
    <row r="461" ht="14.1" customHeight="1"/>
    <row r="462" ht="14.1" customHeight="1"/>
    <row r="463" ht="14.1" customHeight="1"/>
    <row r="464" ht="14.1" customHeight="1"/>
    <row r="465" ht="14.1" customHeight="1"/>
    <row r="466" ht="14.1" customHeight="1"/>
    <row r="467" ht="14.1" customHeight="1"/>
    <row r="468" ht="14.1" customHeight="1"/>
    <row r="469" ht="14.1" customHeight="1"/>
    <row r="470" ht="14.1" customHeight="1"/>
    <row r="471" ht="14.1" customHeight="1"/>
    <row r="472" ht="14.1" customHeight="1"/>
    <row r="473" ht="14.1" customHeight="1"/>
    <row r="474" ht="14.1" customHeight="1"/>
    <row r="475" ht="14.1" customHeight="1"/>
    <row r="476" ht="14.1" customHeight="1"/>
    <row r="477" ht="14.1" customHeight="1"/>
    <row r="478" ht="14.1" customHeight="1"/>
    <row r="479" ht="14.1" customHeight="1"/>
    <row r="480" ht="14.1" customHeight="1"/>
    <row r="481" ht="14.1" customHeight="1"/>
    <row r="482" ht="14.1" customHeight="1"/>
    <row r="483" ht="14.1" customHeight="1"/>
    <row r="484" ht="14.1" customHeight="1"/>
    <row r="485" ht="14.1" customHeight="1"/>
    <row r="486" ht="14.1" customHeight="1"/>
    <row r="487" ht="14.1" customHeight="1"/>
    <row r="488" ht="14.1" customHeight="1"/>
    <row r="489" ht="14.1" customHeight="1"/>
    <row r="490" ht="14.1" customHeight="1"/>
    <row r="491" ht="14.1" customHeight="1"/>
    <row r="492" ht="14.1" customHeight="1"/>
    <row r="493" ht="14.1" customHeight="1"/>
    <row r="494" ht="14.1" customHeight="1"/>
    <row r="495" ht="14.1" customHeight="1"/>
    <row r="496" ht="14.1" customHeight="1"/>
    <row r="497" ht="14.1" customHeight="1"/>
    <row r="498" ht="14.1" customHeight="1"/>
    <row r="499" ht="14.1" customHeight="1"/>
    <row r="500" ht="14.1" customHeight="1"/>
    <row r="501" ht="14.1" customHeight="1"/>
    <row r="502" ht="14.1" customHeight="1"/>
    <row r="503" ht="14.1" customHeight="1"/>
    <row r="504" ht="14.1" customHeight="1"/>
    <row r="505" ht="14.1" customHeight="1"/>
    <row r="506" ht="14.1" customHeight="1"/>
    <row r="507" ht="14.1" customHeight="1"/>
    <row r="508" ht="14.1" customHeight="1"/>
    <row r="509" ht="14.1" customHeight="1"/>
    <row r="510" ht="14.1" customHeight="1"/>
    <row r="511" ht="14.1" customHeight="1"/>
    <row r="512" ht="14.1" customHeight="1"/>
    <row r="513" ht="14.1" customHeight="1"/>
    <row r="514" ht="14.1" customHeight="1"/>
    <row r="515" ht="14.1" customHeight="1"/>
    <row r="516" ht="14.1" customHeight="1"/>
    <row r="517" ht="14.1" customHeight="1"/>
    <row r="518" ht="14.1" customHeight="1"/>
    <row r="519" ht="14.1" customHeight="1"/>
    <row r="520" ht="14.1" customHeight="1"/>
    <row r="521" ht="14.1" customHeight="1"/>
    <row r="522" ht="14.1" customHeight="1"/>
    <row r="523" ht="14.1" customHeight="1"/>
    <row r="524" ht="14.1" customHeight="1"/>
    <row r="525" ht="14.1" customHeight="1"/>
    <row r="526" ht="14.1" customHeight="1"/>
    <row r="527" ht="14.1" customHeight="1"/>
    <row r="528" ht="14.1" customHeight="1"/>
    <row r="529" ht="14.1" customHeight="1"/>
    <row r="530" ht="14.1" customHeight="1"/>
    <row r="531" ht="14.1" customHeight="1"/>
    <row r="532" ht="14.1" customHeight="1"/>
    <row r="533" ht="14.1" customHeight="1"/>
    <row r="534" ht="14.1" customHeight="1"/>
    <row r="535" ht="14.1" customHeight="1"/>
    <row r="536" ht="14.1" customHeight="1"/>
    <row r="537" ht="14.1" customHeight="1"/>
    <row r="538" ht="14.1" customHeight="1"/>
    <row r="539" ht="14.1" customHeight="1"/>
    <row r="540" ht="14.1" customHeight="1"/>
    <row r="541" ht="14.1" customHeight="1"/>
    <row r="542" ht="14.1" customHeight="1"/>
    <row r="543" ht="14.1" customHeight="1"/>
    <row r="544" ht="14.1" customHeight="1"/>
    <row r="545" ht="14.1" customHeight="1"/>
    <row r="546" ht="14.1" customHeight="1"/>
    <row r="547" ht="14.1" customHeight="1"/>
    <row r="548" ht="14.1" customHeight="1"/>
    <row r="549" ht="14.1" customHeight="1"/>
    <row r="550" ht="14.1" customHeight="1"/>
    <row r="551" ht="14.1" customHeight="1"/>
    <row r="552" ht="14.1" customHeight="1"/>
    <row r="553" ht="14.1" customHeight="1"/>
    <row r="554" ht="14.1" customHeight="1"/>
    <row r="555" ht="14.1" customHeight="1"/>
    <row r="556" ht="14.1" customHeight="1"/>
    <row r="557" ht="14.1" customHeight="1"/>
    <row r="558" ht="14.1" customHeight="1"/>
    <row r="559" ht="14.1" customHeight="1"/>
    <row r="560" ht="14.1" customHeight="1"/>
    <row r="561" ht="14.1" customHeight="1"/>
    <row r="562" ht="14.1" customHeight="1"/>
    <row r="563" ht="14.1" customHeight="1"/>
    <row r="564" ht="14.1" customHeight="1"/>
    <row r="565" ht="14.1" customHeight="1"/>
    <row r="566" ht="14.1" customHeight="1"/>
    <row r="567" ht="14.1" customHeight="1"/>
    <row r="568" ht="14.1" customHeight="1"/>
    <row r="569" ht="14.1" customHeight="1"/>
    <row r="570" ht="14.1" customHeight="1"/>
    <row r="571" ht="14.1" customHeight="1"/>
    <row r="572" ht="14.1" customHeight="1"/>
    <row r="573" ht="14.1" customHeight="1"/>
    <row r="574" ht="14.1" customHeight="1"/>
    <row r="575" ht="14.1" customHeight="1"/>
    <row r="576" ht="14.1" customHeight="1"/>
    <row r="577" ht="14.1" customHeight="1"/>
    <row r="578" ht="14.1" customHeight="1"/>
    <row r="579" ht="14.1" customHeight="1"/>
    <row r="580" ht="14.1" customHeight="1"/>
    <row r="581" ht="14.1" customHeight="1"/>
    <row r="582" ht="14.1" customHeight="1"/>
    <row r="583" ht="14.1" customHeight="1"/>
    <row r="584" ht="14.1" customHeight="1"/>
    <row r="585" ht="14.1" customHeight="1"/>
    <row r="586" ht="14.1" customHeight="1"/>
    <row r="587" ht="14.1" customHeight="1"/>
    <row r="588" ht="14.1" customHeight="1"/>
    <row r="589" ht="14.1" customHeight="1"/>
    <row r="590" ht="14.1" customHeight="1"/>
    <row r="591" ht="14.1" customHeight="1"/>
    <row r="592" ht="14.1" customHeight="1"/>
    <row r="593" ht="14.1" customHeight="1"/>
    <row r="594" ht="14.1" customHeight="1"/>
    <row r="595" ht="14.1" customHeight="1"/>
    <row r="596" ht="14.1" customHeight="1"/>
    <row r="597" ht="14.1" customHeight="1"/>
    <row r="598" ht="14.1" customHeight="1"/>
    <row r="599" ht="14.1" customHeight="1"/>
    <row r="600" ht="14.1" customHeight="1"/>
    <row r="601" ht="14.1" customHeight="1"/>
    <row r="602" ht="14.1" customHeight="1"/>
    <row r="603" ht="14.1" customHeight="1"/>
    <row r="604" ht="14.1" customHeight="1"/>
    <row r="605" ht="14.1" customHeight="1"/>
    <row r="606" ht="14.1" customHeight="1"/>
    <row r="607" ht="14.1" customHeight="1"/>
    <row r="608" ht="14.1" customHeight="1"/>
    <row r="609" ht="14.1" customHeight="1"/>
    <row r="610" ht="14.1" customHeight="1"/>
    <row r="611" ht="14.1" customHeight="1"/>
    <row r="612" ht="14.1" customHeight="1"/>
    <row r="613" ht="14.1" customHeight="1"/>
    <row r="614" ht="14.1" customHeight="1"/>
    <row r="615" ht="14.1" customHeight="1"/>
    <row r="616" ht="14.1" customHeight="1"/>
    <row r="617" ht="14.1" customHeight="1"/>
    <row r="618" ht="14.1" customHeight="1"/>
    <row r="619" ht="14.1" customHeight="1"/>
    <row r="620" ht="14.1" customHeight="1"/>
    <row r="621" ht="14.1" customHeight="1"/>
    <row r="622" ht="14.1" customHeight="1"/>
    <row r="623" ht="14.1" customHeight="1"/>
    <row r="624" ht="14.1" customHeight="1"/>
    <row r="625" ht="14.1" customHeight="1"/>
    <row r="626" ht="14.1" customHeight="1"/>
    <row r="627" ht="14.1" customHeight="1"/>
    <row r="628" ht="14.1" customHeight="1"/>
    <row r="629" ht="14.1" customHeight="1"/>
    <row r="630" ht="14.1" customHeight="1"/>
    <row r="631" ht="14.1" customHeight="1"/>
    <row r="632" ht="14.1" customHeight="1"/>
    <row r="633" ht="14.1" customHeight="1"/>
    <row r="634" ht="14.1" customHeight="1"/>
    <row r="635" ht="14.1" customHeight="1"/>
    <row r="636" ht="14.1" customHeight="1"/>
    <row r="637" ht="14.1" customHeight="1"/>
    <row r="638" ht="14.1" customHeight="1"/>
    <row r="639" ht="14.1" customHeight="1"/>
    <row r="640" ht="14.1" customHeight="1"/>
    <row r="641" ht="14.1" customHeight="1"/>
    <row r="642" ht="14.1" customHeight="1"/>
    <row r="643" ht="14.1" customHeight="1"/>
    <row r="644" ht="14.1" customHeight="1"/>
    <row r="645" ht="14.1" customHeight="1"/>
    <row r="646" ht="14.1" customHeight="1"/>
    <row r="647" ht="14.1" customHeight="1"/>
    <row r="648" ht="14.1" customHeight="1"/>
    <row r="649" ht="14.1" customHeight="1"/>
    <row r="650" ht="14.1" customHeight="1"/>
    <row r="651" ht="14.1" customHeight="1"/>
    <row r="652" ht="14.1" customHeight="1"/>
    <row r="653" ht="14.1" customHeight="1"/>
    <row r="654" ht="14.1" customHeight="1"/>
    <row r="655" ht="14.1" customHeight="1"/>
    <row r="656" ht="14.1" customHeight="1"/>
    <row r="657" ht="14.1" customHeight="1"/>
    <row r="658" ht="14.1" customHeight="1"/>
    <row r="659" ht="14.1" customHeight="1"/>
    <row r="660" ht="14.1" customHeight="1"/>
    <row r="661" ht="14.1" customHeight="1"/>
    <row r="662" ht="14.1" customHeight="1"/>
    <row r="663" ht="14.1" customHeight="1"/>
    <row r="664" ht="14.1" customHeight="1"/>
    <row r="665" ht="14.1" customHeight="1"/>
    <row r="666" ht="14.1" customHeight="1"/>
    <row r="667" ht="14.1" customHeight="1"/>
    <row r="668" ht="14.1" customHeight="1"/>
    <row r="669" ht="14.1" customHeight="1"/>
    <row r="670" ht="14.1" customHeight="1"/>
    <row r="671" ht="14.1" customHeight="1"/>
    <row r="672" ht="14.1" customHeight="1"/>
    <row r="673" ht="14.1" customHeight="1"/>
    <row r="674" ht="14.1" customHeight="1"/>
    <row r="675" ht="14.1" customHeight="1"/>
    <row r="676" ht="14.1" customHeight="1"/>
    <row r="677" ht="14.1" customHeight="1"/>
    <row r="678" ht="14.1" customHeight="1"/>
    <row r="679" ht="14.1" customHeight="1"/>
    <row r="680" ht="14.1" customHeight="1"/>
    <row r="681" ht="14.1" customHeight="1"/>
    <row r="682" ht="14.1" customHeight="1"/>
    <row r="683" ht="14.1" customHeight="1"/>
    <row r="684" ht="14.1" customHeight="1"/>
    <row r="685" ht="14.1" customHeight="1"/>
    <row r="686" ht="14.1" customHeight="1"/>
    <row r="687" ht="14.1" customHeight="1"/>
    <row r="688" ht="14.1" customHeight="1"/>
    <row r="689" ht="14.1" customHeight="1"/>
    <row r="690" ht="14.1" customHeight="1"/>
    <row r="691" ht="14.1" customHeight="1"/>
    <row r="692" ht="14.1" customHeight="1"/>
    <row r="693" ht="14.1" customHeight="1"/>
    <row r="694" ht="14.1" customHeight="1"/>
    <row r="695" ht="14.1" customHeight="1"/>
    <row r="696" ht="14.1" customHeight="1"/>
    <row r="697" ht="14.1" customHeight="1"/>
    <row r="698" ht="14.1" customHeight="1"/>
    <row r="699" ht="14.1" customHeight="1"/>
    <row r="700" ht="14.1" customHeight="1"/>
    <row r="701" ht="14.1" customHeight="1"/>
    <row r="702" ht="14.1" customHeight="1"/>
    <row r="703" ht="14.1" customHeight="1"/>
    <row r="704" ht="14.1" customHeight="1"/>
    <row r="705" ht="14.1" customHeight="1"/>
    <row r="706" ht="14.1" customHeight="1"/>
    <row r="707" ht="14.1" customHeight="1"/>
    <row r="708" ht="14.1" customHeight="1"/>
    <row r="709" ht="14.1" customHeight="1"/>
    <row r="710" ht="14.1" customHeight="1"/>
    <row r="711" ht="14.1" customHeight="1"/>
    <row r="712" ht="14.1" customHeight="1"/>
    <row r="713" ht="14.1" customHeight="1"/>
    <row r="714" ht="14.1" customHeight="1"/>
    <row r="715" ht="14.1" customHeight="1"/>
    <row r="716" ht="14.1" customHeight="1"/>
    <row r="717" ht="14.1" customHeight="1"/>
    <row r="718" ht="14.1" customHeight="1"/>
    <row r="719" ht="14.1" customHeight="1"/>
    <row r="720" ht="14.1" customHeight="1"/>
    <row r="721" ht="14.1" customHeight="1"/>
    <row r="722" ht="14.1" customHeight="1"/>
    <row r="723" ht="14.1" customHeight="1"/>
    <row r="724" ht="14.1" customHeight="1"/>
    <row r="725" ht="14.1" customHeight="1"/>
    <row r="726" ht="14.1" customHeight="1"/>
    <row r="727" ht="14.1" customHeight="1"/>
    <row r="728" ht="14.1" customHeight="1"/>
    <row r="729" ht="14.1" customHeight="1"/>
    <row r="730" ht="14.1" customHeight="1"/>
    <row r="731" ht="14.1" customHeight="1"/>
    <row r="732" ht="14.1" customHeight="1"/>
    <row r="733" ht="14.1" customHeight="1"/>
    <row r="734" ht="14.1" customHeight="1"/>
    <row r="735" ht="14.1" customHeight="1"/>
    <row r="736" ht="14.1" customHeight="1"/>
    <row r="737" ht="14.1" customHeight="1"/>
    <row r="738" ht="14.1" customHeight="1"/>
    <row r="739" ht="14.1" customHeight="1"/>
    <row r="740" ht="14.1" customHeight="1"/>
    <row r="741" ht="14.1" customHeight="1"/>
    <row r="742" ht="14.1" customHeight="1"/>
    <row r="743" ht="14.1" customHeight="1"/>
    <row r="744" ht="14.1" customHeight="1"/>
    <row r="745" ht="14.1" customHeight="1"/>
    <row r="746" ht="14.1" customHeight="1"/>
    <row r="747" ht="14.1" customHeight="1"/>
    <row r="748" ht="14.1" customHeight="1"/>
    <row r="749" ht="14.1" customHeight="1"/>
    <row r="750" ht="14.1" customHeight="1"/>
    <row r="751" ht="14.1" customHeight="1"/>
    <row r="752" ht="14.1" customHeight="1"/>
    <row r="753" ht="14.1" customHeight="1"/>
    <row r="754" ht="14.1" customHeight="1"/>
    <row r="755" ht="14.1" customHeight="1"/>
    <row r="756" ht="14.1" customHeight="1"/>
    <row r="757" ht="14.1" customHeight="1"/>
    <row r="758" ht="14.1" customHeight="1"/>
    <row r="759" ht="14.1" customHeight="1"/>
    <row r="760" ht="14.1" customHeight="1"/>
    <row r="761" ht="14.1" customHeight="1"/>
    <row r="762" ht="14.1" customHeight="1"/>
    <row r="763" ht="14.1" customHeight="1"/>
    <row r="764" ht="14.1" customHeight="1"/>
    <row r="765" ht="14.1" customHeight="1"/>
    <row r="766" ht="14.1" customHeight="1"/>
    <row r="767" ht="14.1" customHeight="1"/>
    <row r="768" ht="14.1" customHeight="1"/>
    <row r="769" ht="14.1" customHeight="1"/>
    <row r="770" ht="14.1" customHeight="1"/>
    <row r="771" ht="14.1" customHeight="1"/>
    <row r="772" ht="14.1" customHeight="1"/>
    <row r="773" ht="14.1" customHeight="1"/>
    <row r="774" ht="14.1" customHeight="1"/>
    <row r="775" ht="14.1" customHeight="1"/>
    <row r="776" ht="14.1" customHeight="1"/>
    <row r="777" ht="14.1" customHeight="1"/>
    <row r="778" ht="14.1" customHeight="1"/>
    <row r="779" ht="14.1" customHeight="1"/>
    <row r="780" ht="14.1" customHeight="1"/>
    <row r="781" ht="14.1" customHeight="1"/>
    <row r="782" ht="14.1" customHeight="1"/>
    <row r="783" ht="14.1" customHeight="1"/>
    <row r="784" ht="14.1" customHeight="1"/>
    <row r="785" ht="14.1" customHeight="1"/>
    <row r="786" ht="14.1" customHeight="1"/>
    <row r="787" ht="14.1" customHeight="1"/>
    <row r="788" ht="14.1" customHeight="1"/>
    <row r="789" ht="14.1" customHeight="1"/>
    <row r="790" ht="14.1" customHeight="1"/>
    <row r="791" ht="14.1" customHeight="1"/>
    <row r="792" ht="14.1" customHeight="1"/>
    <row r="793" ht="14.1" customHeight="1"/>
  </sheetData>
  <pageMargins left="0.61" right="0.16" top="0.87" bottom="0.21" header="0.16" footer="0.16"/>
  <pageSetup paperSize="8" scale="51" orientation="portrait"/>
  <headerFooter alignWithMargins="0">
    <oddFooter>&amp;L_x000D_&amp;1#&amp;"Arial"&amp;7&amp;KDAD4CE Public&amp;C&amp;"Verdana"&amp;10 &amp;KC1C1C1_x000D_# Restricted</oddFooter>
  </headerFooter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>
    <tabColor rgb="FF92D050"/>
    <pageSetUpPr fitToPage="1"/>
  </sheetPr>
  <dimension ref="A1:U793"/>
  <sheetViews>
    <sheetView zoomScale="80" zoomScaleNormal="80" workbookViewId="0">
      <pane ySplit="4" topLeftCell="A5" activePane="bottomLeft" state="frozen"/>
      <selection activeCell="A16" sqref="A16"/>
      <selection pane="bottomLeft" activeCell="A16" sqref="A16"/>
    </sheetView>
  </sheetViews>
  <sheetFormatPr defaultColWidth="8.85546875" defaultRowHeight="15" customHeight="1"/>
  <cols>
    <col min="1" max="1" width="4.140625" style="3" customWidth="1"/>
    <col min="2" max="3" width="8.5703125" style="20" customWidth="1"/>
    <col min="4" max="4" width="14.5703125" style="3" customWidth="1"/>
    <col min="5" max="5" width="20.5703125" style="20" customWidth="1"/>
    <col min="6" max="6" width="8.5703125" style="3" customWidth="1"/>
    <col min="7" max="7" width="32.5703125" style="2" customWidth="1"/>
    <col min="8" max="8" width="18.5703125" style="3" customWidth="1"/>
    <col min="9" max="9" width="62.5703125" style="2" customWidth="1"/>
    <col min="10" max="12" width="9.5703125" style="3" customWidth="1"/>
    <col min="13" max="13" width="10.5703125" style="3" customWidth="1"/>
    <col min="14" max="14" width="8.5703125" style="3" customWidth="1"/>
    <col min="15" max="15" width="10.5703125" style="3" customWidth="1"/>
    <col min="16" max="16" width="5.5703125" style="3" customWidth="1"/>
    <col min="17" max="17" width="1.5703125" style="2" customWidth="1"/>
    <col min="18" max="18" width="10.5703125" style="30" customWidth="1"/>
    <col min="19" max="19" width="1.5703125" style="2" customWidth="1"/>
    <col min="20" max="21" width="10.5703125" style="2" customWidth="1"/>
    <col min="22" max="219" width="8.85546875" style="2" customWidth="1"/>
    <col min="220" max="220" width="8.140625" style="2" customWidth="1"/>
    <col min="221" max="221" width="14.42578125" style="2" customWidth="1"/>
    <col min="222" max="222" width="37.42578125" style="2" customWidth="1"/>
    <col min="223" max="223" width="63.140625" style="2" customWidth="1"/>
    <col min="224" max="224" width="20" style="2" customWidth="1"/>
    <col min="225" max="225" width="11.140625" style="2" customWidth="1"/>
    <col min="226" max="226" width="10.85546875" style="2" customWidth="1"/>
    <col min="227" max="227" width="21" style="2" customWidth="1"/>
    <col min="228" max="228" width="10.85546875" style="2" customWidth="1"/>
    <col min="229" max="229" width="17.42578125" style="2" customWidth="1"/>
    <col min="230" max="230" width="14.85546875" style="2" customWidth="1"/>
    <col min="231" max="231" width="15" style="2" customWidth="1"/>
    <col min="232" max="232" width="14.85546875" style="2" customWidth="1"/>
    <col min="233" max="233" width="7.140625" style="2" customWidth="1"/>
    <col min="234" max="235" width="20.140625" style="2" customWidth="1"/>
    <col min="236" max="236" width="18.42578125" style="2" customWidth="1"/>
    <col min="237" max="237" width="9.140625" style="2" customWidth="1"/>
    <col min="238" max="238" width="12" style="2" customWidth="1"/>
    <col min="239" max="239" width="14.85546875" style="2" customWidth="1"/>
    <col min="240" max="240" width="22.42578125" style="2" customWidth="1"/>
    <col min="241" max="241" width="14.85546875" style="2" customWidth="1"/>
    <col min="242" max="242" width="7.140625" style="2" customWidth="1"/>
    <col min="243" max="243" width="20.140625" style="2" customWidth="1"/>
    <col min="244" max="475" width="8.85546875" style="2" customWidth="1"/>
    <col min="476" max="476" width="8.140625" style="2" customWidth="1"/>
    <col min="477" max="477" width="14.42578125" style="2" customWidth="1"/>
    <col min="478" max="478" width="37.42578125" style="2" customWidth="1"/>
    <col min="479" max="479" width="63.140625" style="2" customWidth="1"/>
    <col min="480" max="480" width="20" style="2" customWidth="1"/>
    <col min="481" max="481" width="11.140625" style="2" customWidth="1"/>
    <col min="482" max="482" width="10.85546875" style="2" customWidth="1"/>
    <col min="483" max="483" width="21" style="2" customWidth="1"/>
    <col min="484" max="484" width="10.85546875" style="2" customWidth="1"/>
    <col min="485" max="485" width="17.42578125" style="2" customWidth="1"/>
    <col min="486" max="486" width="14.85546875" style="2" customWidth="1"/>
    <col min="487" max="487" width="15" style="2" customWidth="1"/>
    <col min="488" max="488" width="14.85546875" style="2" customWidth="1"/>
    <col min="489" max="489" width="7.140625" style="2" customWidth="1"/>
    <col min="490" max="491" width="20.140625" style="2" customWidth="1"/>
    <col min="492" max="492" width="18.42578125" style="2" customWidth="1"/>
    <col min="493" max="493" width="9.140625" style="2" customWidth="1"/>
    <col min="494" max="494" width="12" style="2" customWidth="1"/>
    <col min="495" max="495" width="14.85546875" style="2" customWidth="1"/>
    <col min="496" max="496" width="22.42578125" style="2" customWidth="1"/>
    <col min="497" max="497" width="14.85546875" style="2" customWidth="1"/>
    <col min="498" max="498" width="7.140625" style="2" customWidth="1"/>
    <col min="499" max="499" width="20.140625" style="2" customWidth="1"/>
    <col min="500" max="731" width="8.85546875" style="2" customWidth="1"/>
    <col min="732" max="732" width="8.140625" style="2" customWidth="1"/>
    <col min="733" max="733" width="14.42578125" style="2" customWidth="1"/>
    <col min="734" max="734" width="37.42578125" style="2" customWidth="1"/>
    <col min="735" max="735" width="63.140625" style="2" customWidth="1"/>
    <col min="736" max="736" width="20" style="2" customWidth="1"/>
    <col min="737" max="737" width="11.140625" style="2" customWidth="1"/>
    <col min="738" max="738" width="10.85546875" style="2" customWidth="1"/>
    <col min="739" max="739" width="21" style="2" customWidth="1"/>
    <col min="740" max="740" width="10.85546875" style="2" customWidth="1"/>
    <col min="741" max="741" width="17.42578125" style="2" customWidth="1"/>
    <col min="742" max="742" width="14.85546875" style="2" customWidth="1"/>
    <col min="743" max="743" width="15" style="2" customWidth="1"/>
    <col min="744" max="744" width="14.85546875" style="2" customWidth="1"/>
    <col min="745" max="745" width="7.140625" style="2" customWidth="1"/>
    <col min="746" max="747" width="20.140625" style="2" customWidth="1"/>
    <col min="748" max="748" width="18.42578125" style="2" customWidth="1"/>
    <col min="749" max="749" width="9.140625" style="2" customWidth="1"/>
    <col min="750" max="750" width="12" style="2" customWidth="1"/>
    <col min="751" max="751" width="14.85546875" style="2" customWidth="1"/>
    <col min="752" max="752" width="22.42578125" style="2" customWidth="1"/>
    <col min="753" max="753" width="14.85546875" style="2" customWidth="1"/>
    <col min="754" max="754" width="7.140625" style="2" customWidth="1"/>
    <col min="755" max="755" width="20.140625" style="2" customWidth="1"/>
    <col min="756" max="987" width="8.85546875" style="2" customWidth="1"/>
    <col min="988" max="988" width="8.140625" style="2" customWidth="1"/>
    <col min="989" max="989" width="14.42578125" style="2" customWidth="1"/>
    <col min="990" max="990" width="37.42578125" style="2" customWidth="1"/>
    <col min="991" max="991" width="63.140625" style="2" customWidth="1"/>
    <col min="992" max="992" width="20" style="2" customWidth="1"/>
    <col min="993" max="993" width="11.140625" style="2" customWidth="1"/>
    <col min="994" max="994" width="10.85546875" style="2" customWidth="1"/>
    <col min="995" max="995" width="21" style="2" customWidth="1"/>
    <col min="996" max="996" width="10.85546875" style="2" customWidth="1"/>
    <col min="997" max="997" width="17.42578125" style="2" customWidth="1"/>
    <col min="998" max="998" width="14.85546875" style="2" customWidth="1"/>
    <col min="999" max="999" width="15" style="2" customWidth="1"/>
    <col min="1000" max="1000" width="14.85546875" style="2" customWidth="1"/>
    <col min="1001" max="1001" width="7.140625" style="2" customWidth="1"/>
    <col min="1002" max="1003" width="20.140625" style="2" customWidth="1"/>
    <col min="1004" max="1004" width="18.42578125" style="2" customWidth="1"/>
    <col min="1005" max="1005" width="9.140625" style="2" customWidth="1"/>
    <col min="1006" max="1006" width="12" style="2" customWidth="1"/>
    <col min="1007" max="1007" width="14.85546875" style="2" customWidth="1"/>
    <col min="1008" max="1008" width="22.42578125" style="2" customWidth="1"/>
    <col min="1009" max="1009" width="14.85546875" style="2" customWidth="1"/>
    <col min="1010" max="1010" width="7.140625" style="2" customWidth="1"/>
    <col min="1011" max="1011" width="20.140625" style="2" customWidth="1"/>
    <col min="1012" max="1243" width="8.85546875" style="2" customWidth="1"/>
    <col min="1244" max="1244" width="8.140625" style="2" customWidth="1"/>
    <col min="1245" max="1245" width="14.42578125" style="2" customWidth="1"/>
    <col min="1246" max="1246" width="37.42578125" style="2" customWidth="1"/>
    <col min="1247" max="1247" width="63.140625" style="2" customWidth="1"/>
    <col min="1248" max="1248" width="20" style="2" customWidth="1"/>
    <col min="1249" max="1249" width="11.140625" style="2" customWidth="1"/>
    <col min="1250" max="1250" width="10.85546875" style="2" customWidth="1"/>
    <col min="1251" max="1251" width="21" style="2" customWidth="1"/>
    <col min="1252" max="1252" width="10.85546875" style="2" customWidth="1"/>
    <col min="1253" max="1253" width="17.42578125" style="2" customWidth="1"/>
    <col min="1254" max="1254" width="14.85546875" style="2" customWidth="1"/>
    <col min="1255" max="1255" width="15" style="2" customWidth="1"/>
    <col min="1256" max="1256" width="14.85546875" style="2" customWidth="1"/>
    <col min="1257" max="1257" width="7.140625" style="2" customWidth="1"/>
    <col min="1258" max="1259" width="20.140625" style="2" customWidth="1"/>
    <col min="1260" max="1260" width="18.42578125" style="2" customWidth="1"/>
    <col min="1261" max="1261" width="9.140625" style="2" customWidth="1"/>
    <col min="1262" max="1262" width="12" style="2" customWidth="1"/>
    <col min="1263" max="1263" width="14.85546875" style="2" customWidth="1"/>
    <col min="1264" max="1264" width="22.42578125" style="2" customWidth="1"/>
    <col min="1265" max="1265" width="14.85546875" style="2" customWidth="1"/>
    <col min="1266" max="1266" width="7.140625" style="2" customWidth="1"/>
    <col min="1267" max="1267" width="20.140625" style="2" customWidth="1"/>
    <col min="1268" max="1499" width="8.85546875" style="2" customWidth="1"/>
    <col min="1500" max="1500" width="8.140625" style="2" customWidth="1"/>
    <col min="1501" max="1501" width="14.42578125" style="2" customWidth="1"/>
    <col min="1502" max="1502" width="37.42578125" style="2" customWidth="1"/>
    <col min="1503" max="1503" width="63.140625" style="2" customWidth="1"/>
    <col min="1504" max="1504" width="20" style="2" customWidth="1"/>
    <col min="1505" max="1505" width="11.140625" style="2" customWidth="1"/>
    <col min="1506" max="1506" width="10.85546875" style="2" customWidth="1"/>
    <col min="1507" max="1507" width="21" style="2" customWidth="1"/>
    <col min="1508" max="1508" width="10.85546875" style="2" customWidth="1"/>
    <col min="1509" max="1509" width="17.42578125" style="2" customWidth="1"/>
    <col min="1510" max="1510" width="14.85546875" style="2" customWidth="1"/>
    <col min="1511" max="1511" width="15" style="2" customWidth="1"/>
    <col min="1512" max="1512" width="14.85546875" style="2" customWidth="1"/>
    <col min="1513" max="1513" width="7.140625" style="2" customWidth="1"/>
    <col min="1514" max="1515" width="20.140625" style="2" customWidth="1"/>
    <col min="1516" max="1516" width="18.42578125" style="2" customWidth="1"/>
    <col min="1517" max="1517" width="9.140625" style="2" customWidth="1"/>
    <col min="1518" max="1518" width="12" style="2" customWidth="1"/>
    <col min="1519" max="1519" width="14.85546875" style="2" customWidth="1"/>
    <col min="1520" max="1520" width="22.42578125" style="2" customWidth="1"/>
    <col min="1521" max="1521" width="14.85546875" style="2" customWidth="1"/>
    <col min="1522" max="1522" width="7.140625" style="2" customWidth="1"/>
    <col min="1523" max="1523" width="20.140625" style="2" customWidth="1"/>
    <col min="1524" max="1755" width="8.85546875" style="2" customWidth="1"/>
    <col min="1756" max="1756" width="8.140625" style="2" customWidth="1"/>
    <col min="1757" max="1757" width="14.42578125" style="2" customWidth="1"/>
    <col min="1758" max="1758" width="37.42578125" style="2" customWidth="1"/>
    <col min="1759" max="1759" width="63.140625" style="2" customWidth="1"/>
    <col min="1760" max="1760" width="20" style="2" customWidth="1"/>
    <col min="1761" max="1761" width="11.140625" style="2" customWidth="1"/>
    <col min="1762" max="1762" width="10.85546875" style="2" customWidth="1"/>
    <col min="1763" max="1763" width="21" style="2" customWidth="1"/>
    <col min="1764" max="1764" width="10.85546875" style="2" customWidth="1"/>
    <col min="1765" max="1765" width="17.42578125" style="2" customWidth="1"/>
    <col min="1766" max="1766" width="14.85546875" style="2" customWidth="1"/>
    <col min="1767" max="1767" width="15" style="2" customWidth="1"/>
    <col min="1768" max="1768" width="14.85546875" style="2" customWidth="1"/>
    <col min="1769" max="1769" width="7.140625" style="2" customWidth="1"/>
    <col min="1770" max="1771" width="20.140625" style="2" customWidth="1"/>
    <col min="1772" max="1772" width="18.42578125" style="2" customWidth="1"/>
    <col min="1773" max="1773" width="9.140625" style="2" customWidth="1"/>
    <col min="1774" max="1774" width="12" style="2" customWidth="1"/>
    <col min="1775" max="1775" width="14.85546875" style="2" customWidth="1"/>
    <col min="1776" max="1776" width="22.42578125" style="2" customWidth="1"/>
    <col min="1777" max="1777" width="14.85546875" style="2" customWidth="1"/>
    <col min="1778" max="1778" width="7.140625" style="2" customWidth="1"/>
    <col min="1779" max="1779" width="20.140625" style="2" customWidth="1"/>
    <col min="1780" max="2011" width="8.85546875" style="2" customWidth="1"/>
    <col min="2012" max="2012" width="8.140625" style="2" customWidth="1"/>
    <col min="2013" max="2013" width="14.42578125" style="2" customWidth="1"/>
    <col min="2014" max="2014" width="37.42578125" style="2" customWidth="1"/>
    <col min="2015" max="2015" width="63.140625" style="2" customWidth="1"/>
    <col min="2016" max="2016" width="20" style="2" customWidth="1"/>
    <col min="2017" max="2017" width="11.140625" style="2" customWidth="1"/>
    <col min="2018" max="2018" width="10.85546875" style="2" customWidth="1"/>
    <col min="2019" max="2019" width="21" style="2" customWidth="1"/>
    <col min="2020" max="2020" width="10.85546875" style="2" customWidth="1"/>
    <col min="2021" max="2021" width="17.42578125" style="2" customWidth="1"/>
    <col min="2022" max="2022" width="14.85546875" style="2" customWidth="1"/>
    <col min="2023" max="2023" width="15" style="2" customWidth="1"/>
    <col min="2024" max="2024" width="14.85546875" style="2" customWidth="1"/>
    <col min="2025" max="2025" width="7.140625" style="2" customWidth="1"/>
    <col min="2026" max="2027" width="20.140625" style="2" customWidth="1"/>
    <col min="2028" max="2028" width="18.42578125" style="2" customWidth="1"/>
    <col min="2029" max="2029" width="9.140625" style="2" customWidth="1"/>
    <col min="2030" max="2030" width="12" style="2" customWidth="1"/>
    <col min="2031" max="2031" width="14.85546875" style="2" customWidth="1"/>
    <col min="2032" max="2032" width="22.42578125" style="2" customWidth="1"/>
    <col min="2033" max="2033" width="14.85546875" style="2" customWidth="1"/>
    <col min="2034" max="2034" width="7.140625" style="2" customWidth="1"/>
    <col min="2035" max="2035" width="20.140625" style="2" customWidth="1"/>
    <col min="2036" max="2267" width="8.85546875" style="2" customWidth="1"/>
    <col min="2268" max="2268" width="8.140625" style="2" customWidth="1"/>
    <col min="2269" max="2269" width="14.42578125" style="2" customWidth="1"/>
    <col min="2270" max="2270" width="37.42578125" style="2" customWidth="1"/>
    <col min="2271" max="2271" width="63.140625" style="2" customWidth="1"/>
    <col min="2272" max="2272" width="20" style="2" customWidth="1"/>
    <col min="2273" max="2273" width="11.140625" style="2" customWidth="1"/>
    <col min="2274" max="2274" width="10.85546875" style="2" customWidth="1"/>
    <col min="2275" max="2275" width="21" style="2" customWidth="1"/>
    <col min="2276" max="2276" width="10.85546875" style="2" customWidth="1"/>
    <col min="2277" max="2277" width="17.42578125" style="2" customWidth="1"/>
    <col min="2278" max="2278" width="14.85546875" style="2" customWidth="1"/>
    <col min="2279" max="2279" width="15" style="2" customWidth="1"/>
    <col min="2280" max="2280" width="14.85546875" style="2" customWidth="1"/>
    <col min="2281" max="2281" width="7.140625" style="2" customWidth="1"/>
    <col min="2282" max="2283" width="20.140625" style="2" customWidth="1"/>
    <col min="2284" max="2284" width="18.42578125" style="2" customWidth="1"/>
    <col min="2285" max="2285" width="9.140625" style="2" customWidth="1"/>
    <col min="2286" max="2286" width="12" style="2" customWidth="1"/>
    <col min="2287" max="2287" width="14.85546875" style="2" customWidth="1"/>
    <col min="2288" max="2288" width="22.42578125" style="2" customWidth="1"/>
    <col min="2289" max="2289" width="14.85546875" style="2" customWidth="1"/>
    <col min="2290" max="2290" width="7.140625" style="2" customWidth="1"/>
    <col min="2291" max="2291" width="20.140625" style="2" customWidth="1"/>
    <col min="2292" max="2523" width="8.85546875" style="2" customWidth="1"/>
    <col min="2524" max="2524" width="8.140625" style="2" customWidth="1"/>
    <col min="2525" max="2525" width="14.42578125" style="2" customWidth="1"/>
    <col min="2526" max="2526" width="37.42578125" style="2" customWidth="1"/>
    <col min="2527" max="2527" width="63.140625" style="2" customWidth="1"/>
    <col min="2528" max="2528" width="20" style="2" customWidth="1"/>
    <col min="2529" max="2529" width="11.140625" style="2" customWidth="1"/>
    <col min="2530" max="2530" width="10.85546875" style="2" customWidth="1"/>
    <col min="2531" max="2531" width="21" style="2" customWidth="1"/>
    <col min="2532" max="2532" width="10.85546875" style="2" customWidth="1"/>
    <col min="2533" max="2533" width="17.42578125" style="2" customWidth="1"/>
    <col min="2534" max="2534" width="14.85546875" style="2" customWidth="1"/>
    <col min="2535" max="2535" width="15" style="2" customWidth="1"/>
    <col min="2536" max="2536" width="14.85546875" style="2" customWidth="1"/>
    <col min="2537" max="2537" width="7.140625" style="2" customWidth="1"/>
    <col min="2538" max="2539" width="20.140625" style="2" customWidth="1"/>
    <col min="2540" max="2540" width="18.42578125" style="2" customWidth="1"/>
    <col min="2541" max="2541" width="9.140625" style="2" customWidth="1"/>
    <col min="2542" max="2542" width="12" style="2" customWidth="1"/>
    <col min="2543" max="2543" width="14.85546875" style="2" customWidth="1"/>
    <col min="2544" max="2544" width="22.42578125" style="2" customWidth="1"/>
    <col min="2545" max="2545" width="14.85546875" style="2" customWidth="1"/>
    <col min="2546" max="2546" width="7.140625" style="2" customWidth="1"/>
    <col min="2547" max="2547" width="20.140625" style="2" customWidth="1"/>
    <col min="2548" max="2779" width="8.85546875" style="2" customWidth="1"/>
    <col min="2780" max="2780" width="8.140625" style="2" customWidth="1"/>
    <col min="2781" max="2781" width="14.42578125" style="2" customWidth="1"/>
    <col min="2782" max="2782" width="37.42578125" style="2" customWidth="1"/>
    <col min="2783" max="2783" width="63.140625" style="2" customWidth="1"/>
    <col min="2784" max="2784" width="20" style="2" customWidth="1"/>
    <col min="2785" max="2785" width="11.140625" style="2" customWidth="1"/>
    <col min="2786" max="2786" width="10.85546875" style="2" customWidth="1"/>
    <col min="2787" max="2787" width="21" style="2" customWidth="1"/>
    <col min="2788" max="2788" width="10.85546875" style="2" customWidth="1"/>
    <col min="2789" max="2789" width="17.42578125" style="2" customWidth="1"/>
    <col min="2790" max="2790" width="14.85546875" style="2" customWidth="1"/>
    <col min="2791" max="2791" width="15" style="2" customWidth="1"/>
    <col min="2792" max="2792" width="14.85546875" style="2" customWidth="1"/>
    <col min="2793" max="2793" width="7.140625" style="2" customWidth="1"/>
    <col min="2794" max="2795" width="20.140625" style="2" customWidth="1"/>
    <col min="2796" max="2796" width="18.42578125" style="2" customWidth="1"/>
    <col min="2797" max="2797" width="9.140625" style="2" customWidth="1"/>
    <col min="2798" max="2798" width="12" style="2" customWidth="1"/>
    <col min="2799" max="2799" width="14.85546875" style="2" customWidth="1"/>
    <col min="2800" max="2800" width="22.42578125" style="2" customWidth="1"/>
    <col min="2801" max="2801" width="14.85546875" style="2" customWidth="1"/>
    <col min="2802" max="2802" width="7.140625" style="2" customWidth="1"/>
    <col min="2803" max="2803" width="20.140625" style="2" customWidth="1"/>
    <col min="2804" max="3035" width="8.85546875" style="2" customWidth="1"/>
    <col min="3036" max="3036" width="8.140625" style="2" customWidth="1"/>
    <col min="3037" max="3037" width="14.42578125" style="2" customWidth="1"/>
    <col min="3038" max="3038" width="37.42578125" style="2" customWidth="1"/>
    <col min="3039" max="3039" width="63.140625" style="2" customWidth="1"/>
    <col min="3040" max="3040" width="20" style="2" customWidth="1"/>
    <col min="3041" max="3041" width="11.140625" style="2" customWidth="1"/>
    <col min="3042" max="3042" width="10.85546875" style="2" customWidth="1"/>
    <col min="3043" max="3043" width="21" style="2" customWidth="1"/>
    <col min="3044" max="3044" width="10.85546875" style="2" customWidth="1"/>
    <col min="3045" max="3045" width="17.42578125" style="2" customWidth="1"/>
    <col min="3046" max="3046" width="14.85546875" style="2" customWidth="1"/>
    <col min="3047" max="3047" width="15" style="2" customWidth="1"/>
    <col min="3048" max="3048" width="14.85546875" style="2" customWidth="1"/>
    <col min="3049" max="3049" width="7.140625" style="2" customWidth="1"/>
    <col min="3050" max="3051" width="20.140625" style="2" customWidth="1"/>
    <col min="3052" max="3052" width="18.42578125" style="2" customWidth="1"/>
    <col min="3053" max="3053" width="9.140625" style="2" customWidth="1"/>
    <col min="3054" max="3054" width="12" style="2" customWidth="1"/>
    <col min="3055" max="3055" width="14.85546875" style="2" customWidth="1"/>
    <col min="3056" max="3056" width="22.42578125" style="2" customWidth="1"/>
    <col min="3057" max="3057" width="14.85546875" style="2" customWidth="1"/>
    <col min="3058" max="3058" width="7.140625" style="2" customWidth="1"/>
    <col min="3059" max="3059" width="20.140625" style="2" customWidth="1"/>
    <col min="3060" max="3291" width="8.85546875" style="2" customWidth="1"/>
    <col min="3292" max="3292" width="8.140625" style="2" customWidth="1"/>
    <col min="3293" max="3293" width="14.42578125" style="2" customWidth="1"/>
    <col min="3294" max="3294" width="37.42578125" style="2" customWidth="1"/>
    <col min="3295" max="3295" width="63.140625" style="2" customWidth="1"/>
    <col min="3296" max="3296" width="20" style="2" customWidth="1"/>
    <col min="3297" max="3297" width="11.140625" style="2" customWidth="1"/>
    <col min="3298" max="3298" width="10.85546875" style="2" customWidth="1"/>
    <col min="3299" max="3299" width="21" style="2" customWidth="1"/>
    <col min="3300" max="3300" width="10.85546875" style="2" customWidth="1"/>
    <col min="3301" max="3301" width="17.42578125" style="2" customWidth="1"/>
    <col min="3302" max="3302" width="14.85546875" style="2" customWidth="1"/>
    <col min="3303" max="3303" width="15" style="2" customWidth="1"/>
    <col min="3304" max="3304" width="14.85546875" style="2" customWidth="1"/>
    <col min="3305" max="3305" width="7.140625" style="2" customWidth="1"/>
    <col min="3306" max="3307" width="20.140625" style="2" customWidth="1"/>
    <col min="3308" max="3308" width="18.42578125" style="2" customWidth="1"/>
    <col min="3309" max="3309" width="9.140625" style="2" customWidth="1"/>
    <col min="3310" max="3310" width="12" style="2" customWidth="1"/>
    <col min="3311" max="3311" width="14.85546875" style="2" customWidth="1"/>
    <col min="3312" max="3312" width="22.42578125" style="2" customWidth="1"/>
    <col min="3313" max="3313" width="14.85546875" style="2" customWidth="1"/>
    <col min="3314" max="3314" width="7.140625" style="2" customWidth="1"/>
    <col min="3315" max="3315" width="20.140625" style="2" customWidth="1"/>
    <col min="3316" max="3547" width="8.85546875" style="2" customWidth="1"/>
    <col min="3548" max="3548" width="8.140625" style="2" customWidth="1"/>
    <col min="3549" max="3549" width="14.42578125" style="2" customWidth="1"/>
    <col min="3550" max="3550" width="37.42578125" style="2" customWidth="1"/>
    <col min="3551" max="3551" width="63.140625" style="2" customWidth="1"/>
    <col min="3552" max="3552" width="20" style="2" customWidth="1"/>
    <col min="3553" max="3553" width="11.140625" style="2" customWidth="1"/>
    <col min="3554" max="3554" width="10.85546875" style="2" customWidth="1"/>
    <col min="3555" max="3555" width="21" style="2" customWidth="1"/>
    <col min="3556" max="3556" width="10.85546875" style="2" customWidth="1"/>
    <col min="3557" max="3557" width="17.42578125" style="2" customWidth="1"/>
    <col min="3558" max="3558" width="14.85546875" style="2" customWidth="1"/>
    <col min="3559" max="3559" width="15" style="2" customWidth="1"/>
    <col min="3560" max="3560" width="14.85546875" style="2" customWidth="1"/>
    <col min="3561" max="3561" width="7.140625" style="2" customWidth="1"/>
    <col min="3562" max="3563" width="20.140625" style="2" customWidth="1"/>
    <col min="3564" max="3564" width="18.42578125" style="2" customWidth="1"/>
    <col min="3565" max="3565" width="9.140625" style="2" customWidth="1"/>
    <col min="3566" max="3566" width="12" style="2" customWidth="1"/>
    <col min="3567" max="3567" width="14.85546875" style="2" customWidth="1"/>
    <col min="3568" max="3568" width="22.42578125" style="2" customWidth="1"/>
    <col min="3569" max="3569" width="14.85546875" style="2" customWidth="1"/>
    <col min="3570" max="3570" width="7.140625" style="2" customWidth="1"/>
    <col min="3571" max="3571" width="20.140625" style="2" customWidth="1"/>
    <col min="3572" max="3803" width="8.85546875" style="2" customWidth="1"/>
    <col min="3804" max="3804" width="8.140625" style="2" customWidth="1"/>
    <col min="3805" max="3805" width="14.42578125" style="2" customWidth="1"/>
    <col min="3806" max="3806" width="37.42578125" style="2" customWidth="1"/>
    <col min="3807" max="3807" width="63.140625" style="2" customWidth="1"/>
    <col min="3808" max="3808" width="20" style="2" customWidth="1"/>
    <col min="3809" max="3809" width="11.140625" style="2" customWidth="1"/>
    <col min="3810" max="3810" width="10.85546875" style="2" customWidth="1"/>
    <col min="3811" max="3811" width="21" style="2" customWidth="1"/>
    <col min="3812" max="3812" width="10.85546875" style="2" customWidth="1"/>
    <col min="3813" max="3813" width="17.42578125" style="2" customWidth="1"/>
    <col min="3814" max="3814" width="14.85546875" style="2" customWidth="1"/>
    <col min="3815" max="3815" width="15" style="2" customWidth="1"/>
    <col min="3816" max="3816" width="14.85546875" style="2" customWidth="1"/>
    <col min="3817" max="3817" width="7.140625" style="2" customWidth="1"/>
    <col min="3818" max="3819" width="20.140625" style="2" customWidth="1"/>
    <col min="3820" max="3820" width="18.42578125" style="2" customWidth="1"/>
    <col min="3821" max="3821" width="9.140625" style="2" customWidth="1"/>
    <col min="3822" max="3822" width="12" style="2" customWidth="1"/>
    <col min="3823" max="3823" width="14.85546875" style="2" customWidth="1"/>
    <col min="3824" max="3824" width="22.42578125" style="2" customWidth="1"/>
    <col min="3825" max="3825" width="14.85546875" style="2" customWidth="1"/>
    <col min="3826" max="3826" width="7.140625" style="2" customWidth="1"/>
    <col min="3827" max="3827" width="20.140625" style="2" customWidth="1"/>
    <col min="3828" max="4059" width="8.85546875" style="2" customWidth="1"/>
    <col min="4060" max="4060" width="8.140625" style="2" customWidth="1"/>
    <col min="4061" max="4061" width="14.42578125" style="2" customWidth="1"/>
    <col min="4062" max="4062" width="37.42578125" style="2" customWidth="1"/>
    <col min="4063" max="4063" width="63.140625" style="2" customWidth="1"/>
    <col min="4064" max="4064" width="20" style="2" customWidth="1"/>
    <col min="4065" max="4065" width="11.140625" style="2" customWidth="1"/>
    <col min="4066" max="4066" width="10.85546875" style="2" customWidth="1"/>
    <col min="4067" max="4067" width="21" style="2" customWidth="1"/>
    <col min="4068" max="4068" width="10.85546875" style="2" customWidth="1"/>
    <col min="4069" max="4069" width="17.42578125" style="2" customWidth="1"/>
    <col min="4070" max="4070" width="14.85546875" style="2" customWidth="1"/>
    <col min="4071" max="4071" width="15" style="2" customWidth="1"/>
    <col min="4072" max="4072" width="14.85546875" style="2" customWidth="1"/>
    <col min="4073" max="4073" width="7.140625" style="2" customWidth="1"/>
    <col min="4074" max="4075" width="20.140625" style="2" customWidth="1"/>
    <col min="4076" max="4076" width="18.42578125" style="2" customWidth="1"/>
    <col min="4077" max="4077" width="9.140625" style="2" customWidth="1"/>
    <col min="4078" max="4078" width="12" style="2" customWidth="1"/>
    <col min="4079" max="4079" width="14.85546875" style="2" customWidth="1"/>
    <col min="4080" max="4080" width="22.42578125" style="2" customWidth="1"/>
    <col min="4081" max="4081" width="14.85546875" style="2" customWidth="1"/>
    <col min="4082" max="4082" width="7.140625" style="2" customWidth="1"/>
    <col min="4083" max="4083" width="20.140625" style="2" customWidth="1"/>
    <col min="4084" max="4315" width="8.85546875" style="2" customWidth="1"/>
    <col min="4316" max="4316" width="8.140625" style="2" customWidth="1"/>
    <col min="4317" max="4317" width="14.42578125" style="2" customWidth="1"/>
    <col min="4318" max="4318" width="37.42578125" style="2" customWidth="1"/>
    <col min="4319" max="4319" width="63.140625" style="2" customWidth="1"/>
    <col min="4320" max="4320" width="20" style="2" customWidth="1"/>
    <col min="4321" max="4321" width="11.140625" style="2" customWidth="1"/>
    <col min="4322" max="4322" width="10.85546875" style="2" customWidth="1"/>
    <col min="4323" max="4323" width="21" style="2" customWidth="1"/>
    <col min="4324" max="4324" width="10.85546875" style="2" customWidth="1"/>
    <col min="4325" max="4325" width="17.42578125" style="2" customWidth="1"/>
    <col min="4326" max="4326" width="14.85546875" style="2" customWidth="1"/>
    <col min="4327" max="4327" width="15" style="2" customWidth="1"/>
    <col min="4328" max="4328" width="14.85546875" style="2" customWidth="1"/>
    <col min="4329" max="4329" width="7.140625" style="2" customWidth="1"/>
    <col min="4330" max="4331" width="20.140625" style="2" customWidth="1"/>
    <col min="4332" max="4332" width="18.42578125" style="2" customWidth="1"/>
    <col min="4333" max="4333" width="9.140625" style="2" customWidth="1"/>
    <col min="4334" max="4334" width="12" style="2" customWidth="1"/>
    <col min="4335" max="4335" width="14.85546875" style="2" customWidth="1"/>
    <col min="4336" max="4336" width="22.42578125" style="2" customWidth="1"/>
    <col min="4337" max="4337" width="14.85546875" style="2" customWidth="1"/>
    <col min="4338" max="4338" width="7.140625" style="2" customWidth="1"/>
    <col min="4339" max="4339" width="20.140625" style="2" customWidth="1"/>
    <col min="4340" max="4571" width="8.85546875" style="2" customWidth="1"/>
    <col min="4572" max="4572" width="8.140625" style="2" customWidth="1"/>
    <col min="4573" max="4573" width="14.42578125" style="2" customWidth="1"/>
    <col min="4574" max="4574" width="37.42578125" style="2" customWidth="1"/>
    <col min="4575" max="4575" width="63.140625" style="2" customWidth="1"/>
    <col min="4576" max="4576" width="20" style="2" customWidth="1"/>
    <col min="4577" max="4577" width="11.140625" style="2" customWidth="1"/>
    <col min="4578" max="4578" width="10.85546875" style="2" customWidth="1"/>
    <col min="4579" max="4579" width="21" style="2" customWidth="1"/>
    <col min="4580" max="4580" width="10.85546875" style="2" customWidth="1"/>
    <col min="4581" max="4581" width="17.42578125" style="2" customWidth="1"/>
    <col min="4582" max="4582" width="14.85546875" style="2" customWidth="1"/>
    <col min="4583" max="4583" width="15" style="2" customWidth="1"/>
    <col min="4584" max="4584" width="14.85546875" style="2" customWidth="1"/>
    <col min="4585" max="4585" width="7.140625" style="2" customWidth="1"/>
    <col min="4586" max="4587" width="20.140625" style="2" customWidth="1"/>
    <col min="4588" max="4588" width="18.42578125" style="2" customWidth="1"/>
    <col min="4589" max="4589" width="9.140625" style="2" customWidth="1"/>
    <col min="4590" max="4590" width="12" style="2" customWidth="1"/>
    <col min="4591" max="4591" width="14.85546875" style="2" customWidth="1"/>
    <col min="4592" max="4592" width="22.42578125" style="2" customWidth="1"/>
    <col min="4593" max="4593" width="14.85546875" style="2" customWidth="1"/>
    <col min="4594" max="4594" width="7.140625" style="2" customWidth="1"/>
    <col min="4595" max="4595" width="20.140625" style="2" customWidth="1"/>
    <col min="4596" max="4827" width="8.85546875" style="2" customWidth="1"/>
    <col min="4828" max="4828" width="8.140625" style="2" customWidth="1"/>
    <col min="4829" max="4829" width="14.42578125" style="2" customWidth="1"/>
    <col min="4830" max="4830" width="37.42578125" style="2" customWidth="1"/>
    <col min="4831" max="4831" width="63.140625" style="2" customWidth="1"/>
    <col min="4832" max="4832" width="20" style="2" customWidth="1"/>
    <col min="4833" max="4833" width="11.140625" style="2" customWidth="1"/>
    <col min="4834" max="4834" width="10.85546875" style="2" customWidth="1"/>
    <col min="4835" max="4835" width="21" style="2" customWidth="1"/>
    <col min="4836" max="4836" width="10.85546875" style="2" customWidth="1"/>
    <col min="4837" max="4837" width="17.42578125" style="2" customWidth="1"/>
    <col min="4838" max="4838" width="14.85546875" style="2" customWidth="1"/>
    <col min="4839" max="4839" width="15" style="2" customWidth="1"/>
    <col min="4840" max="4840" width="14.85546875" style="2" customWidth="1"/>
    <col min="4841" max="4841" width="7.140625" style="2" customWidth="1"/>
    <col min="4842" max="4843" width="20.140625" style="2" customWidth="1"/>
    <col min="4844" max="4844" width="18.42578125" style="2" customWidth="1"/>
    <col min="4845" max="4845" width="9.140625" style="2" customWidth="1"/>
    <col min="4846" max="4846" width="12" style="2" customWidth="1"/>
    <col min="4847" max="4847" width="14.85546875" style="2" customWidth="1"/>
    <col min="4848" max="4848" width="22.42578125" style="2" customWidth="1"/>
    <col min="4849" max="4849" width="14.85546875" style="2" customWidth="1"/>
    <col min="4850" max="4850" width="7.140625" style="2" customWidth="1"/>
    <col min="4851" max="4851" width="20.140625" style="2" customWidth="1"/>
    <col min="4852" max="5083" width="8.85546875" style="2" customWidth="1"/>
    <col min="5084" max="5084" width="8.140625" style="2" customWidth="1"/>
    <col min="5085" max="5085" width="14.42578125" style="2" customWidth="1"/>
    <col min="5086" max="5086" width="37.42578125" style="2" customWidth="1"/>
    <col min="5087" max="5087" width="63.140625" style="2" customWidth="1"/>
    <col min="5088" max="5088" width="20" style="2" customWidth="1"/>
    <col min="5089" max="5089" width="11.140625" style="2" customWidth="1"/>
    <col min="5090" max="5090" width="10.85546875" style="2" customWidth="1"/>
    <col min="5091" max="5091" width="21" style="2" customWidth="1"/>
    <col min="5092" max="5092" width="10.85546875" style="2" customWidth="1"/>
    <col min="5093" max="5093" width="17.42578125" style="2" customWidth="1"/>
    <col min="5094" max="5094" width="14.85546875" style="2" customWidth="1"/>
    <col min="5095" max="5095" width="15" style="2" customWidth="1"/>
    <col min="5096" max="5096" width="14.85546875" style="2" customWidth="1"/>
    <col min="5097" max="5097" width="7.140625" style="2" customWidth="1"/>
    <col min="5098" max="5099" width="20.140625" style="2" customWidth="1"/>
    <col min="5100" max="5100" width="18.42578125" style="2" customWidth="1"/>
    <col min="5101" max="5101" width="9.140625" style="2" customWidth="1"/>
    <col min="5102" max="5102" width="12" style="2" customWidth="1"/>
    <col min="5103" max="5103" width="14.85546875" style="2" customWidth="1"/>
    <col min="5104" max="5104" width="22.42578125" style="2" customWidth="1"/>
    <col min="5105" max="5105" width="14.85546875" style="2" customWidth="1"/>
    <col min="5106" max="5106" width="7.140625" style="2" customWidth="1"/>
    <col min="5107" max="5107" width="20.140625" style="2" customWidth="1"/>
    <col min="5108" max="5339" width="8.85546875" style="2" customWidth="1"/>
    <col min="5340" max="5340" width="8.140625" style="2" customWidth="1"/>
    <col min="5341" max="5341" width="14.42578125" style="2" customWidth="1"/>
    <col min="5342" max="5342" width="37.42578125" style="2" customWidth="1"/>
    <col min="5343" max="5343" width="63.140625" style="2" customWidth="1"/>
    <col min="5344" max="5344" width="20" style="2" customWidth="1"/>
    <col min="5345" max="5345" width="11.140625" style="2" customWidth="1"/>
    <col min="5346" max="5346" width="10.85546875" style="2" customWidth="1"/>
    <col min="5347" max="5347" width="21" style="2" customWidth="1"/>
    <col min="5348" max="5348" width="10.85546875" style="2" customWidth="1"/>
    <col min="5349" max="5349" width="17.42578125" style="2" customWidth="1"/>
    <col min="5350" max="5350" width="14.85546875" style="2" customWidth="1"/>
    <col min="5351" max="5351" width="15" style="2" customWidth="1"/>
    <col min="5352" max="5352" width="14.85546875" style="2" customWidth="1"/>
    <col min="5353" max="5353" width="7.140625" style="2" customWidth="1"/>
    <col min="5354" max="5355" width="20.140625" style="2" customWidth="1"/>
    <col min="5356" max="5356" width="18.42578125" style="2" customWidth="1"/>
    <col min="5357" max="5357" width="9.140625" style="2" customWidth="1"/>
    <col min="5358" max="5358" width="12" style="2" customWidth="1"/>
    <col min="5359" max="5359" width="14.85546875" style="2" customWidth="1"/>
    <col min="5360" max="5360" width="22.42578125" style="2" customWidth="1"/>
    <col min="5361" max="5361" width="14.85546875" style="2" customWidth="1"/>
    <col min="5362" max="5362" width="7.140625" style="2" customWidth="1"/>
    <col min="5363" max="5363" width="20.140625" style="2" customWidth="1"/>
    <col min="5364" max="5595" width="8.85546875" style="2" customWidth="1"/>
    <col min="5596" max="5596" width="8.140625" style="2" customWidth="1"/>
    <col min="5597" max="5597" width="14.42578125" style="2" customWidth="1"/>
    <col min="5598" max="5598" width="37.42578125" style="2" customWidth="1"/>
    <col min="5599" max="5599" width="63.140625" style="2" customWidth="1"/>
    <col min="5600" max="5600" width="20" style="2" customWidth="1"/>
    <col min="5601" max="5601" width="11.140625" style="2" customWidth="1"/>
    <col min="5602" max="5602" width="10.85546875" style="2" customWidth="1"/>
    <col min="5603" max="5603" width="21" style="2" customWidth="1"/>
    <col min="5604" max="5604" width="10.85546875" style="2" customWidth="1"/>
    <col min="5605" max="5605" width="17.42578125" style="2" customWidth="1"/>
    <col min="5606" max="5606" width="14.85546875" style="2" customWidth="1"/>
    <col min="5607" max="5607" width="15" style="2" customWidth="1"/>
    <col min="5608" max="5608" width="14.85546875" style="2" customWidth="1"/>
    <col min="5609" max="5609" width="7.140625" style="2" customWidth="1"/>
    <col min="5610" max="5611" width="20.140625" style="2" customWidth="1"/>
    <col min="5612" max="5612" width="18.42578125" style="2" customWidth="1"/>
    <col min="5613" max="5613" width="9.140625" style="2" customWidth="1"/>
    <col min="5614" max="5614" width="12" style="2" customWidth="1"/>
    <col min="5615" max="5615" width="14.85546875" style="2" customWidth="1"/>
    <col min="5616" max="5616" width="22.42578125" style="2" customWidth="1"/>
    <col min="5617" max="5617" width="14.85546875" style="2" customWidth="1"/>
    <col min="5618" max="5618" width="7.140625" style="2" customWidth="1"/>
    <col min="5619" max="5619" width="20.140625" style="2" customWidth="1"/>
    <col min="5620" max="5851" width="8.85546875" style="2" customWidth="1"/>
    <col min="5852" max="5852" width="8.140625" style="2" customWidth="1"/>
    <col min="5853" max="5853" width="14.42578125" style="2" customWidth="1"/>
    <col min="5854" max="5854" width="37.42578125" style="2" customWidth="1"/>
    <col min="5855" max="5855" width="63.140625" style="2" customWidth="1"/>
    <col min="5856" max="5856" width="20" style="2" customWidth="1"/>
    <col min="5857" max="5857" width="11.140625" style="2" customWidth="1"/>
    <col min="5858" max="5858" width="10.85546875" style="2" customWidth="1"/>
    <col min="5859" max="5859" width="21" style="2" customWidth="1"/>
    <col min="5860" max="5860" width="10.85546875" style="2" customWidth="1"/>
    <col min="5861" max="5861" width="17.42578125" style="2" customWidth="1"/>
    <col min="5862" max="5862" width="14.85546875" style="2" customWidth="1"/>
    <col min="5863" max="5863" width="15" style="2" customWidth="1"/>
    <col min="5864" max="5864" width="14.85546875" style="2" customWidth="1"/>
    <col min="5865" max="5865" width="7.140625" style="2" customWidth="1"/>
    <col min="5866" max="5867" width="20.140625" style="2" customWidth="1"/>
    <col min="5868" max="5868" width="18.42578125" style="2" customWidth="1"/>
    <col min="5869" max="5869" width="9.140625" style="2" customWidth="1"/>
    <col min="5870" max="5870" width="12" style="2" customWidth="1"/>
    <col min="5871" max="5871" width="14.85546875" style="2" customWidth="1"/>
    <col min="5872" max="5872" width="22.42578125" style="2" customWidth="1"/>
    <col min="5873" max="5873" width="14.85546875" style="2" customWidth="1"/>
    <col min="5874" max="5874" width="7.140625" style="2" customWidth="1"/>
    <col min="5875" max="5875" width="20.140625" style="2" customWidth="1"/>
    <col min="5876" max="6107" width="8.85546875" style="2" customWidth="1"/>
    <col min="6108" max="6108" width="8.140625" style="2" customWidth="1"/>
    <col min="6109" max="6109" width="14.42578125" style="2" customWidth="1"/>
    <col min="6110" max="6110" width="37.42578125" style="2" customWidth="1"/>
    <col min="6111" max="6111" width="63.140625" style="2" customWidth="1"/>
    <col min="6112" max="6112" width="20" style="2" customWidth="1"/>
    <col min="6113" max="6113" width="11.140625" style="2" customWidth="1"/>
    <col min="6114" max="6114" width="10.85546875" style="2" customWidth="1"/>
    <col min="6115" max="6115" width="21" style="2" customWidth="1"/>
    <col min="6116" max="6116" width="10.85546875" style="2" customWidth="1"/>
    <col min="6117" max="6117" width="17.42578125" style="2" customWidth="1"/>
    <col min="6118" max="6118" width="14.85546875" style="2" customWidth="1"/>
    <col min="6119" max="6119" width="15" style="2" customWidth="1"/>
    <col min="6120" max="6120" width="14.85546875" style="2" customWidth="1"/>
    <col min="6121" max="6121" width="7.140625" style="2" customWidth="1"/>
    <col min="6122" max="6123" width="20.140625" style="2" customWidth="1"/>
    <col min="6124" max="6124" width="18.42578125" style="2" customWidth="1"/>
    <col min="6125" max="6125" width="9.140625" style="2" customWidth="1"/>
    <col min="6126" max="6126" width="12" style="2" customWidth="1"/>
    <col min="6127" max="6127" width="14.85546875" style="2" customWidth="1"/>
    <col min="6128" max="6128" width="22.42578125" style="2" customWidth="1"/>
    <col min="6129" max="6129" width="14.85546875" style="2" customWidth="1"/>
    <col min="6130" max="6130" width="7.140625" style="2" customWidth="1"/>
    <col min="6131" max="6131" width="20.140625" style="2" customWidth="1"/>
    <col min="6132" max="6363" width="8.85546875" style="2" customWidth="1"/>
    <col min="6364" max="6364" width="8.140625" style="2" customWidth="1"/>
    <col min="6365" max="6365" width="14.42578125" style="2" customWidth="1"/>
    <col min="6366" max="6366" width="37.42578125" style="2" customWidth="1"/>
    <col min="6367" max="6367" width="63.140625" style="2" customWidth="1"/>
    <col min="6368" max="6368" width="20" style="2" customWidth="1"/>
    <col min="6369" max="6369" width="11.140625" style="2" customWidth="1"/>
    <col min="6370" max="6370" width="10.85546875" style="2" customWidth="1"/>
    <col min="6371" max="6371" width="21" style="2" customWidth="1"/>
    <col min="6372" max="6372" width="10.85546875" style="2" customWidth="1"/>
    <col min="6373" max="6373" width="17.42578125" style="2" customWidth="1"/>
    <col min="6374" max="6374" width="14.85546875" style="2" customWidth="1"/>
    <col min="6375" max="6375" width="15" style="2" customWidth="1"/>
    <col min="6376" max="6376" width="14.85546875" style="2" customWidth="1"/>
    <col min="6377" max="6377" width="7.140625" style="2" customWidth="1"/>
    <col min="6378" max="6379" width="20.140625" style="2" customWidth="1"/>
    <col min="6380" max="6380" width="18.42578125" style="2" customWidth="1"/>
    <col min="6381" max="6381" width="9.140625" style="2" customWidth="1"/>
    <col min="6382" max="6382" width="12" style="2" customWidth="1"/>
    <col min="6383" max="6383" width="14.85546875" style="2" customWidth="1"/>
    <col min="6384" max="6384" width="22.42578125" style="2" customWidth="1"/>
    <col min="6385" max="6385" width="14.85546875" style="2" customWidth="1"/>
    <col min="6386" max="6386" width="7.140625" style="2" customWidth="1"/>
    <col min="6387" max="6387" width="20.140625" style="2" customWidth="1"/>
    <col min="6388" max="6619" width="8.85546875" style="2" customWidth="1"/>
    <col min="6620" max="6620" width="8.140625" style="2" customWidth="1"/>
    <col min="6621" max="6621" width="14.42578125" style="2" customWidth="1"/>
    <col min="6622" max="6622" width="37.42578125" style="2" customWidth="1"/>
    <col min="6623" max="6623" width="63.140625" style="2" customWidth="1"/>
    <col min="6624" max="6624" width="20" style="2" customWidth="1"/>
    <col min="6625" max="6625" width="11.140625" style="2" customWidth="1"/>
    <col min="6626" max="6626" width="10.85546875" style="2" customWidth="1"/>
    <col min="6627" max="6627" width="21" style="2" customWidth="1"/>
    <col min="6628" max="6628" width="10.85546875" style="2" customWidth="1"/>
    <col min="6629" max="6629" width="17.42578125" style="2" customWidth="1"/>
    <col min="6630" max="6630" width="14.85546875" style="2" customWidth="1"/>
    <col min="6631" max="6631" width="15" style="2" customWidth="1"/>
    <col min="6632" max="6632" width="14.85546875" style="2" customWidth="1"/>
    <col min="6633" max="6633" width="7.140625" style="2" customWidth="1"/>
    <col min="6634" max="6635" width="20.140625" style="2" customWidth="1"/>
    <col min="6636" max="6636" width="18.42578125" style="2" customWidth="1"/>
    <col min="6637" max="6637" width="9.140625" style="2" customWidth="1"/>
    <col min="6638" max="6638" width="12" style="2" customWidth="1"/>
    <col min="6639" max="6639" width="14.85546875" style="2" customWidth="1"/>
    <col min="6640" max="6640" width="22.42578125" style="2" customWidth="1"/>
    <col min="6641" max="6641" width="14.85546875" style="2" customWidth="1"/>
    <col min="6642" max="6642" width="7.140625" style="2" customWidth="1"/>
    <col min="6643" max="6643" width="20.140625" style="2" customWidth="1"/>
    <col min="6644" max="6875" width="8.85546875" style="2" customWidth="1"/>
    <col min="6876" max="6876" width="8.140625" style="2" customWidth="1"/>
    <col min="6877" max="6877" width="14.42578125" style="2" customWidth="1"/>
    <col min="6878" max="6878" width="37.42578125" style="2" customWidth="1"/>
    <col min="6879" max="6879" width="63.140625" style="2" customWidth="1"/>
    <col min="6880" max="6880" width="20" style="2" customWidth="1"/>
    <col min="6881" max="6881" width="11.140625" style="2" customWidth="1"/>
    <col min="6882" max="6882" width="10.85546875" style="2" customWidth="1"/>
    <col min="6883" max="6883" width="21" style="2" customWidth="1"/>
    <col min="6884" max="6884" width="10.85546875" style="2" customWidth="1"/>
    <col min="6885" max="6885" width="17.42578125" style="2" customWidth="1"/>
    <col min="6886" max="6886" width="14.85546875" style="2" customWidth="1"/>
    <col min="6887" max="6887" width="15" style="2" customWidth="1"/>
    <col min="6888" max="6888" width="14.85546875" style="2" customWidth="1"/>
    <col min="6889" max="6889" width="7.140625" style="2" customWidth="1"/>
    <col min="6890" max="6891" width="20.140625" style="2" customWidth="1"/>
    <col min="6892" max="6892" width="18.42578125" style="2" customWidth="1"/>
    <col min="6893" max="6893" width="9.140625" style="2" customWidth="1"/>
    <col min="6894" max="6894" width="12" style="2" customWidth="1"/>
    <col min="6895" max="6895" width="14.85546875" style="2" customWidth="1"/>
    <col min="6896" max="6896" width="22.42578125" style="2" customWidth="1"/>
    <col min="6897" max="6897" width="14.85546875" style="2" customWidth="1"/>
    <col min="6898" max="6898" width="7.140625" style="2" customWidth="1"/>
    <col min="6899" max="6899" width="20.140625" style="2" customWidth="1"/>
    <col min="6900" max="7131" width="8.85546875" style="2" customWidth="1"/>
    <col min="7132" max="7132" width="8.140625" style="2" customWidth="1"/>
    <col min="7133" max="7133" width="14.42578125" style="2" customWidth="1"/>
    <col min="7134" max="7134" width="37.42578125" style="2" customWidth="1"/>
    <col min="7135" max="7135" width="63.140625" style="2" customWidth="1"/>
    <col min="7136" max="7136" width="20" style="2" customWidth="1"/>
    <col min="7137" max="7137" width="11.140625" style="2" customWidth="1"/>
    <col min="7138" max="7138" width="10.85546875" style="2" customWidth="1"/>
    <col min="7139" max="7139" width="21" style="2" customWidth="1"/>
    <col min="7140" max="7140" width="10.85546875" style="2" customWidth="1"/>
    <col min="7141" max="7141" width="17.42578125" style="2" customWidth="1"/>
    <col min="7142" max="7142" width="14.85546875" style="2" customWidth="1"/>
    <col min="7143" max="7143" width="15" style="2" customWidth="1"/>
    <col min="7144" max="7144" width="14.85546875" style="2" customWidth="1"/>
    <col min="7145" max="7145" width="7.140625" style="2" customWidth="1"/>
    <col min="7146" max="7147" width="20.140625" style="2" customWidth="1"/>
    <col min="7148" max="7148" width="18.42578125" style="2" customWidth="1"/>
    <col min="7149" max="7149" width="9.140625" style="2" customWidth="1"/>
    <col min="7150" max="7150" width="12" style="2" customWidth="1"/>
    <col min="7151" max="7151" width="14.85546875" style="2" customWidth="1"/>
    <col min="7152" max="7152" width="22.42578125" style="2" customWidth="1"/>
    <col min="7153" max="7153" width="14.85546875" style="2" customWidth="1"/>
    <col min="7154" max="7154" width="7.140625" style="2" customWidth="1"/>
    <col min="7155" max="7155" width="20.140625" style="2" customWidth="1"/>
    <col min="7156" max="7387" width="8.85546875" style="2" customWidth="1"/>
    <col min="7388" max="7388" width="8.140625" style="2" customWidth="1"/>
    <col min="7389" max="7389" width="14.42578125" style="2" customWidth="1"/>
    <col min="7390" max="7390" width="37.42578125" style="2" customWidth="1"/>
    <col min="7391" max="7391" width="63.140625" style="2" customWidth="1"/>
    <col min="7392" max="7392" width="20" style="2" customWidth="1"/>
    <col min="7393" max="7393" width="11.140625" style="2" customWidth="1"/>
    <col min="7394" max="7394" width="10.85546875" style="2" customWidth="1"/>
    <col min="7395" max="7395" width="21" style="2" customWidth="1"/>
    <col min="7396" max="7396" width="10.85546875" style="2" customWidth="1"/>
    <col min="7397" max="7397" width="17.42578125" style="2" customWidth="1"/>
    <col min="7398" max="7398" width="14.85546875" style="2" customWidth="1"/>
    <col min="7399" max="7399" width="15" style="2" customWidth="1"/>
    <col min="7400" max="7400" width="14.85546875" style="2" customWidth="1"/>
    <col min="7401" max="7401" width="7.140625" style="2" customWidth="1"/>
    <col min="7402" max="7403" width="20.140625" style="2" customWidth="1"/>
    <col min="7404" max="7404" width="18.42578125" style="2" customWidth="1"/>
    <col min="7405" max="7405" width="9.140625" style="2" customWidth="1"/>
    <col min="7406" max="7406" width="12" style="2" customWidth="1"/>
    <col min="7407" max="7407" width="14.85546875" style="2" customWidth="1"/>
    <col min="7408" max="7408" width="22.42578125" style="2" customWidth="1"/>
    <col min="7409" max="7409" width="14.85546875" style="2" customWidth="1"/>
    <col min="7410" max="7410" width="7.140625" style="2" customWidth="1"/>
    <col min="7411" max="7411" width="20.140625" style="2" customWidth="1"/>
    <col min="7412" max="7643" width="8.85546875" style="2" customWidth="1"/>
    <col min="7644" max="7644" width="8.140625" style="2" customWidth="1"/>
    <col min="7645" max="7645" width="14.42578125" style="2" customWidth="1"/>
    <col min="7646" max="7646" width="37.42578125" style="2" customWidth="1"/>
    <col min="7647" max="7647" width="63.140625" style="2" customWidth="1"/>
    <col min="7648" max="7648" width="20" style="2" customWidth="1"/>
    <col min="7649" max="7649" width="11.140625" style="2" customWidth="1"/>
    <col min="7650" max="7650" width="10.85546875" style="2" customWidth="1"/>
    <col min="7651" max="7651" width="21" style="2" customWidth="1"/>
    <col min="7652" max="7652" width="10.85546875" style="2" customWidth="1"/>
    <col min="7653" max="7653" width="17.42578125" style="2" customWidth="1"/>
    <col min="7654" max="7654" width="14.85546875" style="2" customWidth="1"/>
    <col min="7655" max="7655" width="15" style="2" customWidth="1"/>
    <col min="7656" max="7656" width="14.85546875" style="2" customWidth="1"/>
    <col min="7657" max="7657" width="7.140625" style="2" customWidth="1"/>
    <col min="7658" max="7659" width="20.140625" style="2" customWidth="1"/>
    <col min="7660" max="7660" width="18.42578125" style="2" customWidth="1"/>
    <col min="7661" max="7661" width="9.140625" style="2" customWidth="1"/>
    <col min="7662" max="7662" width="12" style="2" customWidth="1"/>
    <col min="7663" max="7663" width="14.85546875" style="2" customWidth="1"/>
    <col min="7664" max="7664" width="22.42578125" style="2" customWidth="1"/>
    <col min="7665" max="7665" width="14.85546875" style="2" customWidth="1"/>
    <col min="7666" max="7666" width="7.140625" style="2" customWidth="1"/>
    <col min="7667" max="7667" width="20.140625" style="2" customWidth="1"/>
    <col min="7668" max="7899" width="8.85546875" style="2" customWidth="1"/>
    <col min="7900" max="7900" width="8.140625" style="2" customWidth="1"/>
    <col min="7901" max="7901" width="14.42578125" style="2" customWidth="1"/>
    <col min="7902" max="7902" width="37.42578125" style="2" customWidth="1"/>
    <col min="7903" max="7903" width="63.140625" style="2" customWidth="1"/>
    <col min="7904" max="7904" width="20" style="2" customWidth="1"/>
    <col min="7905" max="7905" width="11.140625" style="2" customWidth="1"/>
    <col min="7906" max="7906" width="10.85546875" style="2" customWidth="1"/>
    <col min="7907" max="7907" width="21" style="2" customWidth="1"/>
    <col min="7908" max="7908" width="10.85546875" style="2" customWidth="1"/>
    <col min="7909" max="7909" width="17.42578125" style="2" customWidth="1"/>
    <col min="7910" max="7910" width="14.85546875" style="2" customWidth="1"/>
    <col min="7911" max="7911" width="15" style="2" customWidth="1"/>
    <col min="7912" max="7912" width="14.85546875" style="2" customWidth="1"/>
    <col min="7913" max="7913" width="7.140625" style="2" customWidth="1"/>
    <col min="7914" max="7915" width="20.140625" style="2" customWidth="1"/>
    <col min="7916" max="7916" width="18.42578125" style="2" customWidth="1"/>
    <col min="7917" max="7917" width="9.140625" style="2" customWidth="1"/>
    <col min="7918" max="7918" width="12" style="2" customWidth="1"/>
    <col min="7919" max="7919" width="14.85546875" style="2" customWidth="1"/>
    <col min="7920" max="7920" width="22.42578125" style="2" customWidth="1"/>
    <col min="7921" max="7921" width="14.85546875" style="2" customWidth="1"/>
    <col min="7922" max="7922" width="7.140625" style="2" customWidth="1"/>
    <col min="7923" max="7923" width="20.140625" style="2" customWidth="1"/>
    <col min="7924" max="8155" width="8.85546875" style="2" customWidth="1"/>
    <col min="8156" max="8156" width="8.140625" style="2" customWidth="1"/>
    <col min="8157" max="8157" width="14.42578125" style="2" customWidth="1"/>
    <col min="8158" max="8158" width="37.42578125" style="2" customWidth="1"/>
    <col min="8159" max="8159" width="63.140625" style="2" customWidth="1"/>
    <col min="8160" max="8160" width="20" style="2" customWidth="1"/>
    <col min="8161" max="8161" width="11.140625" style="2" customWidth="1"/>
    <col min="8162" max="8162" width="10.85546875" style="2" customWidth="1"/>
    <col min="8163" max="8163" width="21" style="2" customWidth="1"/>
    <col min="8164" max="8164" width="10.85546875" style="2" customWidth="1"/>
    <col min="8165" max="8165" width="17.42578125" style="2" customWidth="1"/>
    <col min="8166" max="8166" width="14.85546875" style="2" customWidth="1"/>
    <col min="8167" max="8167" width="15" style="2" customWidth="1"/>
    <col min="8168" max="8168" width="14.85546875" style="2" customWidth="1"/>
    <col min="8169" max="8169" width="7.140625" style="2" customWidth="1"/>
    <col min="8170" max="8171" width="20.140625" style="2" customWidth="1"/>
    <col min="8172" max="8172" width="18.42578125" style="2" customWidth="1"/>
    <col min="8173" max="8173" width="9.140625" style="2" customWidth="1"/>
    <col min="8174" max="8174" width="12" style="2" customWidth="1"/>
    <col min="8175" max="8175" width="14.85546875" style="2" customWidth="1"/>
    <col min="8176" max="8176" width="22.42578125" style="2" customWidth="1"/>
    <col min="8177" max="8177" width="14.85546875" style="2" customWidth="1"/>
    <col min="8178" max="8178" width="7.140625" style="2" customWidth="1"/>
    <col min="8179" max="8179" width="20.140625" style="2" customWidth="1"/>
    <col min="8180" max="8411" width="8.85546875" style="2" customWidth="1"/>
    <col min="8412" max="8412" width="8.140625" style="2" customWidth="1"/>
    <col min="8413" max="8413" width="14.42578125" style="2" customWidth="1"/>
    <col min="8414" max="8414" width="37.42578125" style="2" customWidth="1"/>
    <col min="8415" max="8415" width="63.140625" style="2" customWidth="1"/>
    <col min="8416" max="8416" width="20" style="2" customWidth="1"/>
    <col min="8417" max="8417" width="11.140625" style="2" customWidth="1"/>
    <col min="8418" max="8418" width="10.85546875" style="2" customWidth="1"/>
    <col min="8419" max="8419" width="21" style="2" customWidth="1"/>
    <col min="8420" max="8420" width="10.85546875" style="2" customWidth="1"/>
    <col min="8421" max="8421" width="17.42578125" style="2" customWidth="1"/>
    <col min="8422" max="8422" width="14.85546875" style="2" customWidth="1"/>
    <col min="8423" max="8423" width="15" style="2" customWidth="1"/>
    <col min="8424" max="8424" width="14.85546875" style="2" customWidth="1"/>
    <col min="8425" max="8425" width="7.140625" style="2" customWidth="1"/>
    <col min="8426" max="8427" width="20.140625" style="2" customWidth="1"/>
    <col min="8428" max="8428" width="18.42578125" style="2" customWidth="1"/>
    <col min="8429" max="8429" width="9.140625" style="2" customWidth="1"/>
    <col min="8430" max="8430" width="12" style="2" customWidth="1"/>
    <col min="8431" max="8431" width="14.85546875" style="2" customWidth="1"/>
    <col min="8432" max="8432" width="22.42578125" style="2" customWidth="1"/>
    <col min="8433" max="8433" width="14.85546875" style="2" customWidth="1"/>
    <col min="8434" max="8434" width="7.140625" style="2" customWidth="1"/>
    <col min="8435" max="8435" width="20.140625" style="2" customWidth="1"/>
    <col min="8436" max="8667" width="8.85546875" style="2" customWidth="1"/>
    <col min="8668" max="8668" width="8.140625" style="2" customWidth="1"/>
    <col min="8669" max="8669" width="14.42578125" style="2" customWidth="1"/>
    <col min="8670" max="8670" width="37.42578125" style="2" customWidth="1"/>
    <col min="8671" max="8671" width="63.140625" style="2" customWidth="1"/>
    <col min="8672" max="8672" width="20" style="2" customWidth="1"/>
    <col min="8673" max="8673" width="11.140625" style="2" customWidth="1"/>
    <col min="8674" max="8674" width="10.85546875" style="2" customWidth="1"/>
    <col min="8675" max="8675" width="21" style="2" customWidth="1"/>
    <col min="8676" max="8676" width="10.85546875" style="2" customWidth="1"/>
    <col min="8677" max="8677" width="17.42578125" style="2" customWidth="1"/>
    <col min="8678" max="8678" width="14.85546875" style="2" customWidth="1"/>
    <col min="8679" max="8679" width="15" style="2" customWidth="1"/>
    <col min="8680" max="8680" width="14.85546875" style="2" customWidth="1"/>
    <col min="8681" max="8681" width="7.140625" style="2" customWidth="1"/>
    <col min="8682" max="8683" width="20.140625" style="2" customWidth="1"/>
    <col min="8684" max="8684" width="18.42578125" style="2" customWidth="1"/>
    <col min="8685" max="8685" width="9.140625" style="2" customWidth="1"/>
    <col min="8686" max="8686" width="12" style="2" customWidth="1"/>
    <col min="8687" max="8687" width="14.85546875" style="2" customWidth="1"/>
    <col min="8688" max="8688" width="22.42578125" style="2" customWidth="1"/>
    <col min="8689" max="8689" width="14.85546875" style="2" customWidth="1"/>
    <col min="8690" max="8690" width="7.140625" style="2" customWidth="1"/>
    <col min="8691" max="8691" width="20.140625" style="2" customWidth="1"/>
    <col min="8692" max="8923" width="8.85546875" style="2" customWidth="1"/>
    <col min="8924" max="8924" width="8.140625" style="2" customWidth="1"/>
    <col min="8925" max="8925" width="14.42578125" style="2" customWidth="1"/>
    <col min="8926" max="8926" width="37.42578125" style="2" customWidth="1"/>
    <col min="8927" max="8927" width="63.140625" style="2" customWidth="1"/>
    <col min="8928" max="8928" width="20" style="2" customWidth="1"/>
    <col min="8929" max="8929" width="11.140625" style="2" customWidth="1"/>
    <col min="8930" max="8930" width="10.85546875" style="2" customWidth="1"/>
    <col min="8931" max="8931" width="21" style="2" customWidth="1"/>
    <col min="8932" max="8932" width="10.85546875" style="2" customWidth="1"/>
    <col min="8933" max="8933" width="17.42578125" style="2" customWidth="1"/>
    <col min="8934" max="8934" width="14.85546875" style="2" customWidth="1"/>
    <col min="8935" max="8935" width="15" style="2" customWidth="1"/>
    <col min="8936" max="8936" width="14.85546875" style="2" customWidth="1"/>
    <col min="8937" max="8937" width="7.140625" style="2" customWidth="1"/>
    <col min="8938" max="8939" width="20.140625" style="2" customWidth="1"/>
    <col min="8940" max="8940" width="18.42578125" style="2" customWidth="1"/>
    <col min="8941" max="8941" width="9.140625" style="2" customWidth="1"/>
    <col min="8942" max="8942" width="12" style="2" customWidth="1"/>
    <col min="8943" max="8943" width="14.85546875" style="2" customWidth="1"/>
    <col min="8944" max="8944" width="22.42578125" style="2" customWidth="1"/>
    <col min="8945" max="8945" width="14.85546875" style="2" customWidth="1"/>
    <col min="8946" max="8946" width="7.140625" style="2" customWidth="1"/>
    <col min="8947" max="8947" width="20.140625" style="2" customWidth="1"/>
    <col min="8948" max="9179" width="8.85546875" style="2" customWidth="1"/>
    <col min="9180" max="9180" width="8.140625" style="2" customWidth="1"/>
    <col min="9181" max="9181" width="14.42578125" style="2" customWidth="1"/>
    <col min="9182" max="9182" width="37.42578125" style="2" customWidth="1"/>
    <col min="9183" max="9183" width="63.140625" style="2" customWidth="1"/>
    <col min="9184" max="9184" width="20" style="2" customWidth="1"/>
    <col min="9185" max="9185" width="11.140625" style="2" customWidth="1"/>
    <col min="9186" max="9186" width="10.85546875" style="2" customWidth="1"/>
    <col min="9187" max="9187" width="21" style="2" customWidth="1"/>
    <col min="9188" max="9188" width="10.85546875" style="2" customWidth="1"/>
    <col min="9189" max="9189" width="17.42578125" style="2" customWidth="1"/>
    <col min="9190" max="9190" width="14.85546875" style="2" customWidth="1"/>
    <col min="9191" max="9191" width="15" style="2" customWidth="1"/>
    <col min="9192" max="9192" width="14.85546875" style="2" customWidth="1"/>
    <col min="9193" max="9193" width="7.140625" style="2" customWidth="1"/>
    <col min="9194" max="9195" width="20.140625" style="2" customWidth="1"/>
    <col min="9196" max="9196" width="18.42578125" style="2" customWidth="1"/>
    <col min="9197" max="9197" width="9.140625" style="2" customWidth="1"/>
    <col min="9198" max="9198" width="12" style="2" customWidth="1"/>
    <col min="9199" max="9199" width="14.85546875" style="2" customWidth="1"/>
    <col min="9200" max="9200" width="22.42578125" style="2" customWidth="1"/>
    <col min="9201" max="9201" width="14.85546875" style="2" customWidth="1"/>
    <col min="9202" max="9202" width="7.140625" style="2" customWidth="1"/>
    <col min="9203" max="9203" width="20.140625" style="2" customWidth="1"/>
    <col min="9204" max="9435" width="8.85546875" style="2" customWidth="1"/>
    <col min="9436" max="9436" width="8.140625" style="2" customWidth="1"/>
    <col min="9437" max="9437" width="14.42578125" style="2" customWidth="1"/>
    <col min="9438" max="9438" width="37.42578125" style="2" customWidth="1"/>
    <col min="9439" max="9439" width="63.140625" style="2" customWidth="1"/>
    <col min="9440" max="9440" width="20" style="2" customWidth="1"/>
    <col min="9441" max="9441" width="11.140625" style="2" customWidth="1"/>
    <col min="9442" max="9442" width="10.85546875" style="2" customWidth="1"/>
    <col min="9443" max="9443" width="21" style="2" customWidth="1"/>
    <col min="9444" max="9444" width="10.85546875" style="2" customWidth="1"/>
    <col min="9445" max="9445" width="17.42578125" style="2" customWidth="1"/>
    <col min="9446" max="9446" width="14.85546875" style="2" customWidth="1"/>
    <col min="9447" max="9447" width="15" style="2" customWidth="1"/>
    <col min="9448" max="9448" width="14.85546875" style="2" customWidth="1"/>
    <col min="9449" max="9449" width="7.140625" style="2" customWidth="1"/>
    <col min="9450" max="9451" width="20.140625" style="2" customWidth="1"/>
    <col min="9452" max="9452" width="18.42578125" style="2" customWidth="1"/>
    <col min="9453" max="9453" width="9.140625" style="2" customWidth="1"/>
    <col min="9454" max="9454" width="12" style="2" customWidth="1"/>
    <col min="9455" max="9455" width="14.85546875" style="2" customWidth="1"/>
    <col min="9456" max="9456" width="22.42578125" style="2" customWidth="1"/>
    <col min="9457" max="9457" width="14.85546875" style="2" customWidth="1"/>
    <col min="9458" max="9458" width="7.140625" style="2" customWidth="1"/>
    <col min="9459" max="9459" width="20.140625" style="2" customWidth="1"/>
    <col min="9460" max="9691" width="8.85546875" style="2" customWidth="1"/>
    <col min="9692" max="9692" width="8.140625" style="2" customWidth="1"/>
    <col min="9693" max="9693" width="14.42578125" style="2" customWidth="1"/>
    <col min="9694" max="9694" width="37.42578125" style="2" customWidth="1"/>
    <col min="9695" max="9695" width="63.140625" style="2" customWidth="1"/>
    <col min="9696" max="9696" width="20" style="2" customWidth="1"/>
    <col min="9697" max="9697" width="11.140625" style="2" customWidth="1"/>
    <col min="9698" max="9698" width="10.85546875" style="2" customWidth="1"/>
    <col min="9699" max="9699" width="21" style="2" customWidth="1"/>
    <col min="9700" max="9700" width="10.85546875" style="2" customWidth="1"/>
    <col min="9701" max="9701" width="17.42578125" style="2" customWidth="1"/>
    <col min="9702" max="9702" width="14.85546875" style="2" customWidth="1"/>
    <col min="9703" max="9703" width="15" style="2" customWidth="1"/>
    <col min="9704" max="9704" width="14.85546875" style="2" customWidth="1"/>
    <col min="9705" max="9705" width="7.140625" style="2" customWidth="1"/>
    <col min="9706" max="9707" width="20.140625" style="2" customWidth="1"/>
    <col min="9708" max="9708" width="18.42578125" style="2" customWidth="1"/>
    <col min="9709" max="9709" width="9.140625" style="2" customWidth="1"/>
    <col min="9710" max="9710" width="12" style="2" customWidth="1"/>
    <col min="9711" max="9711" width="14.85546875" style="2" customWidth="1"/>
    <col min="9712" max="9712" width="22.42578125" style="2" customWidth="1"/>
    <col min="9713" max="9713" width="14.85546875" style="2" customWidth="1"/>
    <col min="9714" max="9714" width="7.140625" style="2" customWidth="1"/>
    <col min="9715" max="9715" width="20.140625" style="2" customWidth="1"/>
    <col min="9716" max="9947" width="8.85546875" style="2" customWidth="1"/>
    <col min="9948" max="9948" width="8.140625" style="2" customWidth="1"/>
    <col min="9949" max="9949" width="14.42578125" style="2" customWidth="1"/>
    <col min="9950" max="9950" width="37.42578125" style="2" customWidth="1"/>
    <col min="9951" max="9951" width="63.140625" style="2" customWidth="1"/>
    <col min="9952" max="9952" width="20" style="2" customWidth="1"/>
    <col min="9953" max="9953" width="11.140625" style="2" customWidth="1"/>
    <col min="9954" max="9954" width="10.85546875" style="2" customWidth="1"/>
    <col min="9955" max="9955" width="21" style="2" customWidth="1"/>
    <col min="9956" max="9956" width="10.85546875" style="2" customWidth="1"/>
    <col min="9957" max="9957" width="17.42578125" style="2" customWidth="1"/>
    <col min="9958" max="9958" width="14.85546875" style="2" customWidth="1"/>
    <col min="9959" max="9959" width="15" style="2" customWidth="1"/>
    <col min="9960" max="9960" width="14.85546875" style="2" customWidth="1"/>
    <col min="9961" max="9961" width="7.140625" style="2" customWidth="1"/>
    <col min="9962" max="9963" width="20.140625" style="2" customWidth="1"/>
    <col min="9964" max="9964" width="18.42578125" style="2" customWidth="1"/>
    <col min="9965" max="9965" width="9.140625" style="2" customWidth="1"/>
    <col min="9966" max="9966" width="12" style="2" customWidth="1"/>
    <col min="9967" max="9967" width="14.85546875" style="2" customWidth="1"/>
    <col min="9968" max="9968" width="22.42578125" style="2" customWidth="1"/>
    <col min="9969" max="9969" width="14.85546875" style="2" customWidth="1"/>
    <col min="9970" max="9970" width="7.140625" style="2" customWidth="1"/>
    <col min="9971" max="9971" width="20.140625" style="2" customWidth="1"/>
    <col min="9972" max="10203" width="8.85546875" style="2" customWidth="1"/>
    <col min="10204" max="10204" width="8.140625" style="2" customWidth="1"/>
    <col min="10205" max="10205" width="14.42578125" style="2" customWidth="1"/>
    <col min="10206" max="10206" width="37.42578125" style="2" customWidth="1"/>
    <col min="10207" max="10207" width="63.140625" style="2" customWidth="1"/>
    <col min="10208" max="10208" width="20" style="2" customWidth="1"/>
    <col min="10209" max="10209" width="11.140625" style="2" customWidth="1"/>
    <col min="10210" max="10210" width="10.85546875" style="2" customWidth="1"/>
    <col min="10211" max="10211" width="21" style="2" customWidth="1"/>
    <col min="10212" max="10212" width="10.85546875" style="2" customWidth="1"/>
    <col min="10213" max="10213" width="17.42578125" style="2" customWidth="1"/>
    <col min="10214" max="10214" width="14.85546875" style="2" customWidth="1"/>
    <col min="10215" max="10215" width="15" style="2" customWidth="1"/>
    <col min="10216" max="10216" width="14.85546875" style="2" customWidth="1"/>
    <col min="10217" max="10217" width="7.140625" style="2" customWidth="1"/>
    <col min="10218" max="10219" width="20.140625" style="2" customWidth="1"/>
    <col min="10220" max="10220" width="18.42578125" style="2" customWidth="1"/>
    <col min="10221" max="10221" width="9.140625" style="2" customWidth="1"/>
    <col min="10222" max="10222" width="12" style="2" customWidth="1"/>
    <col min="10223" max="10223" width="14.85546875" style="2" customWidth="1"/>
    <col min="10224" max="10224" width="22.42578125" style="2" customWidth="1"/>
    <col min="10225" max="10225" width="14.85546875" style="2" customWidth="1"/>
    <col min="10226" max="10226" width="7.140625" style="2" customWidth="1"/>
    <col min="10227" max="10227" width="20.140625" style="2" customWidth="1"/>
    <col min="10228" max="10459" width="8.85546875" style="2" customWidth="1"/>
    <col min="10460" max="10460" width="8.140625" style="2" customWidth="1"/>
    <col min="10461" max="10461" width="14.42578125" style="2" customWidth="1"/>
    <col min="10462" max="10462" width="37.42578125" style="2" customWidth="1"/>
    <col min="10463" max="10463" width="63.140625" style="2" customWidth="1"/>
    <col min="10464" max="10464" width="20" style="2" customWidth="1"/>
    <col min="10465" max="10465" width="11.140625" style="2" customWidth="1"/>
    <col min="10466" max="10466" width="10.85546875" style="2" customWidth="1"/>
    <col min="10467" max="10467" width="21" style="2" customWidth="1"/>
    <col min="10468" max="10468" width="10.85546875" style="2" customWidth="1"/>
    <col min="10469" max="10469" width="17.42578125" style="2" customWidth="1"/>
    <col min="10470" max="10470" width="14.85546875" style="2" customWidth="1"/>
    <col min="10471" max="10471" width="15" style="2" customWidth="1"/>
    <col min="10472" max="10472" width="14.85546875" style="2" customWidth="1"/>
    <col min="10473" max="10473" width="7.140625" style="2" customWidth="1"/>
    <col min="10474" max="10475" width="20.140625" style="2" customWidth="1"/>
    <col min="10476" max="10476" width="18.42578125" style="2" customWidth="1"/>
    <col min="10477" max="10477" width="9.140625" style="2" customWidth="1"/>
    <col min="10478" max="10478" width="12" style="2" customWidth="1"/>
    <col min="10479" max="10479" width="14.85546875" style="2" customWidth="1"/>
    <col min="10480" max="10480" width="22.42578125" style="2" customWidth="1"/>
    <col min="10481" max="10481" width="14.85546875" style="2" customWidth="1"/>
    <col min="10482" max="10482" width="7.140625" style="2" customWidth="1"/>
    <col min="10483" max="10483" width="20.140625" style="2" customWidth="1"/>
    <col min="10484" max="10715" width="8.85546875" style="2" customWidth="1"/>
    <col min="10716" max="10716" width="8.140625" style="2" customWidth="1"/>
    <col min="10717" max="10717" width="14.42578125" style="2" customWidth="1"/>
    <col min="10718" max="10718" width="37.42578125" style="2" customWidth="1"/>
    <col min="10719" max="10719" width="63.140625" style="2" customWidth="1"/>
    <col min="10720" max="10720" width="20" style="2" customWidth="1"/>
    <col min="10721" max="10721" width="11.140625" style="2" customWidth="1"/>
    <col min="10722" max="10722" width="10.85546875" style="2" customWidth="1"/>
    <col min="10723" max="10723" width="21" style="2" customWidth="1"/>
    <col min="10724" max="10724" width="10.85546875" style="2" customWidth="1"/>
    <col min="10725" max="10725" width="17.42578125" style="2" customWidth="1"/>
    <col min="10726" max="10726" width="14.85546875" style="2" customWidth="1"/>
    <col min="10727" max="10727" width="15" style="2" customWidth="1"/>
    <col min="10728" max="10728" width="14.85546875" style="2" customWidth="1"/>
    <col min="10729" max="10729" width="7.140625" style="2" customWidth="1"/>
    <col min="10730" max="10731" width="20.140625" style="2" customWidth="1"/>
    <col min="10732" max="10732" width="18.42578125" style="2" customWidth="1"/>
    <col min="10733" max="10733" width="9.140625" style="2" customWidth="1"/>
    <col min="10734" max="10734" width="12" style="2" customWidth="1"/>
    <col min="10735" max="10735" width="14.85546875" style="2" customWidth="1"/>
    <col min="10736" max="10736" width="22.42578125" style="2" customWidth="1"/>
    <col min="10737" max="10737" width="14.85546875" style="2" customWidth="1"/>
    <col min="10738" max="10738" width="7.140625" style="2" customWidth="1"/>
    <col min="10739" max="10739" width="20.140625" style="2" customWidth="1"/>
    <col min="10740" max="10971" width="8.85546875" style="2" customWidth="1"/>
    <col min="10972" max="10972" width="8.140625" style="2" customWidth="1"/>
    <col min="10973" max="10973" width="14.42578125" style="2" customWidth="1"/>
    <col min="10974" max="10974" width="37.42578125" style="2" customWidth="1"/>
    <col min="10975" max="10975" width="63.140625" style="2" customWidth="1"/>
    <col min="10976" max="10976" width="20" style="2" customWidth="1"/>
    <col min="10977" max="10977" width="11.140625" style="2" customWidth="1"/>
    <col min="10978" max="10978" width="10.85546875" style="2" customWidth="1"/>
    <col min="10979" max="10979" width="21" style="2" customWidth="1"/>
    <col min="10980" max="10980" width="10.85546875" style="2" customWidth="1"/>
    <col min="10981" max="10981" width="17.42578125" style="2" customWidth="1"/>
    <col min="10982" max="10982" width="14.85546875" style="2" customWidth="1"/>
    <col min="10983" max="10983" width="15" style="2" customWidth="1"/>
    <col min="10984" max="10984" width="14.85546875" style="2" customWidth="1"/>
    <col min="10985" max="10985" width="7.140625" style="2" customWidth="1"/>
    <col min="10986" max="10987" width="20.140625" style="2" customWidth="1"/>
    <col min="10988" max="10988" width="18.42578125" style="2" customWidth="1"/>
    <col min="10989" max="10989" width="9.140625" style="2" customWidth="1"/>
    <col min="10990" max="10990" width="12" style="2" customWidth="1"/>
    <col min="10991" max="10991" width="14.85546875" style="2" customWidth="1"/>
    <col min="10992" max="10992" width="22.42578125" style="2" customWidth="1"/>
    <col min="10993" max="10993" width="14.85546875" style="2" customWidth="1"/>
    <col min="10994" max="10994" width="7.140625" style="2" customWidth="1"/>
    <col min="10995" max="10995" width="20.140625" style="2" customWidth="1"/>
    <col min="10996" max="11227" width="8.85546875" style="2" customWidth="1"/>
    <col min="11228" max="11228" width="8.140625" style="2" customWidth="1"/>
    <col min="11229" max="11229" width="14.42578125" style="2" customWidth="1"/>
    <col min="11230" max="11230" width="37.42578125" style="2" customWidth="1"/>
    <col min="11231" max="11231" width="63.140625" style="2" customWidth="1"/>
    <col min="11232" max="11232" width="20" style="2" customWidth="1"/>
    <col min="11233" max="11233" width="11.140625" style="2" customWidth="1"/>
    <col min="11234" max="11234" width="10.85546875" style="2" customWidth="1"/>
    <col min="11235" max="11235" width="21" style="2" customWidth="1"/>
    <col min="11236" max="11236" width="10.85546875" style="2" customWidth="1"/>
    <col min="11237" max="11237" width="17.42578125" style="2" customWidth="1"/>
    <col min="11238" max="11238" width="14.85546875" style="2" customWidth="1"/>
    <col min="11239" max="11239" width="15" style="2" customWidth="1"/>
    <col min="11240" max="11240" width="14.85546875" style="2" customWidth="1"/>
    <col min="11241" max="11241" width="7.140625" style="2" customWidth="1"/>
    <col min="11242" max="11243" width="20.140625" style="2" customWidth="1"/>
    <col min="11244" max="11244" width="18.42578125" style="2" customWidth="1"/>
    <col min="11245" max="11245" width="9.140625" style="2" customWidth="1"/>
    <col min="11246" max="11246" width="12" style="2" customWidth="1"/>
    <col min="11247" max="11247" width="14.85546875" style="2" customWidth="1"/>
    <col min="11248" max="11248" width="22.42578125" style="2" customWidth="1"/>
    <col min="11249" max="11249" width="14.85546875" style="2" customWidth="1"/>
    <col min="11250" max="11250" width="7.140625" style="2" customWidth="1"/>
    <col min="11251" max="11251" width="20.140625" style="2" customWidth="1"/>
    <col min="11252" max="11483" width="8.85546875" style="2" customWidth="1"/>
    <col min="11484" max="11484" width="8.140625" style="2" customWidth="1"/>
    <col min="11485" max="11485" width="14.42578125" style="2" customWidth="1"/>
    <col min="11486" max="11486" width="37.42578125" style="2" customWidth="1"/>
    <col min="11487" max="11487" width="63.140625" style="2" customWidth="1"/>
    <col min="11488" max="11488" width="20" style="2" customWidth="1"/>
    <col min="11489" max="11489" width="11.140625" style="2" customWidth="1"/>
    <col min="11490" max="11490" width="10.85546875" style="2" customWidth="1"/>
    <col min="11491" max="11491" width="21" style="2" customWidth="1"/>
    <col min="11492" max="11492" width="10.85546875" style="2" customWidth="1"/>
    <col min="11493" max="11493" width="17.42578125" style="2" customWidth="1"/>
    <col min="11494" max="11494" width="14.85546875" style="2" customWidth="1"/>
    <col min="11495" max="11495" width="15" style="2" customWidth="1"/>
    <col min="11496" max="11496" width="14.85546875" style="2" customWidth="1"/>
    <col min="11497" max="11497" width="7.140625" style="2" customWidth="1"/>
    <col min="11498" max="11499" width="20.140625" style="2" customWidth="1"/>
    <col min="11500" max="11500" width="18.42578125" style="2" customWidth="1"/>
    <col min="11501" max="11501" width="9.140625" style="2" customWidth="1"/>
    <col min="11502" max="11502" width="12" style="2" customWidth="1"/>
    <col min="11503" max="11503" width="14.85546875" style="2" customWidth="1"/>
    <col min="11504" max="11504" width="22.42578125" style="2" customWidth="1"/>
    <col min="11505" max="11505" width="14.85546875" style="2" customWidth="1"/>
    <col min="11506" max="11506" width="7.140625" style="2" customWidth="1"/>
    <col min="11507" max="11507" width="20.140625" style="2" customWidth="1"/>
    <col min="11508" max="11739" width="8.85546875" style="2" customWidth="1"/>
    <col min="11740" max="11740" width="8.140625" style="2" customWidth="1"/>
    <col min="11741" max="11741" width="14.42578125" style="2" customWidth="1"/>
    <col min="11742" max="11742" width="37.42578125" style="2" customWidth="1"/>
    <col min="11743" max="11743" width="63.140625" style="2" customWidth="1"/>
    <col min="11744" max="11744" width="20" style="2" customWidth="1"/>
    <col min="11745" max="11745" width="11.140625" style="2" customWidth="1"/>
    <col min="11746" max="11746" width="10.85546875" style="2" customWidth="1"/>
    <col min="11747" max="11747" width="21" style="2" customWidth="1"/>
    <col min="11748" max="11748" width="10.85546875" style="2" customWidth="1"/>
    <col min="11749" max="11749" width="17.42578125" style="2" customWidth="1"/>
    <col min="11750" max="11750" width="14.85546875" style="2" customWidth="1"/>
    <col min="11751" max="11751" width="15" style="2" customWidth="1"/>
    <col min="11752" max="11752" width="14.85546875" style="2" customWidth="1"/>
    <col min="11753" max="11753" width="7.140625" style="2" customWidth="1"/>
    <col min="11754" max="11755" width="20.140625" style="2" customWidth="1"/>
    <col min="11756" max="11756" width="18.42578125" style="2" customWidth="1"/>
    <col min="11757" max="11757" width="9.140625" style="2" customWidth="1"/>
    <col min="11758" max="11758" width="12" style="2" customWidth="1"/>
    <col min="11759" max="11759" width="14.85546875" style="2" customWidth="1"/>
    <col min="11760" max="11760" width="22.42578125" style="2" customWidth="1"/>
    <col min="11761" max="11761" width="14.85546875" style="2" customWidth="1"/>
    <col min="11762" max="11762" width="7.140625" style="2" customWidth="1"/>
    <col min="11763" max="11763" width="20.140625" style="2" customWidth="1"/>
    <col min="11764" max="11995" width="8.85546875" style="2" customWidth="1"/>
    <col min="11996" max="11996" width="8.140625" style="2" customWidth="1"/>
    <col min="11997" max="11997" width="14.42578125" style="2" customWidth="1"/>
    <col min="11998" max="11998" width="37.42578125" style="2" customWidth="1"/>
    <col min="11999" max="11999" width="63.140625" style="2" customWidth="1"/>
    <col min="12000" max="12000" width="20" style="2" customWidth="1"/>
    <col min="12001" max="12001" width="11.140625" style="2" customWidth="1"/>
    <col min="12002" max="12002" width="10.85546875" style="2" customWidth="1"/>
    <col min="12003" max="12003" width="21" style="2" customWidth="1"/>
    <col min="12004" max="12004" width="10.85546875" style="2" customWidth="1"/>
    <col min="12005" max="12005" width="17.42578125" style="2" customWidth="1"/>
    <col min="12006" max="12006" width="14.85546875" style="2" customWidth="1"/>
    <col min="12007" max="12007" width="15" style="2" customWidth="1"/>
    <col min="12008" max="12008" width="14.85546875" style="2" customWidth="1"/>
    <col min="12009" max="12009" width="7.140625" style="2" customWidth="1"/>
    <col min="12010" max="12011" width="20.140625" style="2" customWidth="1"/>
    <col min="12012" max="12012" width="18.42578125" style="2" customWidth="1"/>
    <col min="12013" max="12013" width="9.140625" style="2" customWidth="1"/>
    <col min="12014" max="12014" width="12" style="2" customWidth="1"/>
    <col min="12015" max="12015" width="14.85546875" style="2" customWidth="1"/>
    <col min="12016" max="12016" width="22.42578125" style="2" customWidth="1"/>
    <col min="12017" max="12017" width="14.85546875" style="2" customWidth="1"/>
    <col min="12018" max="12018" width="7.140625" style="2" customWidth="1"/>
    <col min="12019" max="12019" width="20.140625" style="2" customWidth="1"/>
    <col min="12020" max="12251" width="8.85546875" style="2" customWidth="1"/>
    <col min="12252" max="12252" width="8.140625" style="2" customWidth="1"/>
    <col min="12253" max="12253" width="14.42578125" style="2" customWidth="1"/>
    <col min="12254" max="12254" width="37.42578125" style="2" customWidth="1"/>
    <col min="12255" max="12255" width="63.140625" style="2" customWidth="1"/>
    <col min="12256" max="12256" width="20" style="2" customWidth="1"/>
    <col min="12257" max="12257" width="11.140625" style="2" customWidth="1"/>
    <col min="12258" max="12258" width="10.85546875" style="2" customWidth="1"/>
    <col min="12259" max="12259" width="21" style="2" customWidth="1"/>
    <col min="12260" max="12260" width="10.85546875" style="2" customWidth="1"/>
    <col min="12261" max="12261" width="17.42578125" style="2" customWidth="1"/>
    <col min="12262" max="12262" width="14.85546875" style="2" customWidth="1"/>
    <col min="12263" max="12263" width="15" style="2" customWidth="1"/>
    <col min="12264" max="12264" width="14.85546875" style="2" customWidth="1"/>
    <col min="12265" max="12265" width="7.140625" style="2" customWidth="1"/>
    <col min="12266" max="12267" width="20.140625" style="2" customWidth="1"/>
    <col min="12268" max="12268" width="18.42578125" style="2" customWidth="1"/>
    <col min="12269" max="12269" width="9.140625" style="2" customWidth="1"/>
    <col min="12270" max="12270" width="12" style="2" customWidth="1"/>
    <col min="12271" max="12271" width="14.85546875" style="2" customWidth="1"/>
    <col min="12272" max="12272" width="22.42578125" style="2" customWidth="1"/>
    <col min="12273" max="12273" width="14.85546875" style="2" customWidth="1"/>
    <col min="12274" max="12274" width="7.140625" style="2" customWidth="1"/>
    <col min="12275" max="12275" width="20.140625" style="2" customWidth="1"/>
    <col min="12276" max="12507" width="8.85546875" style="2" customWidth="1"/>
    <col min="12508" max="12508" width="8.140625" style="2" customWidth="1"/>
    <col min="12509" max="12509" width="14.42578125" style="2" customWidth="1"/>
    <col min="12510" max="12510" width="37.42578125" style="2" customWidth="1"/>
    <col min="12511" max="12511" width="63.140625" style="2" customWidth="1"/>
    <col min="12512" max="12512" width="20" style="2" customWidth="1"/>
    <col min="12513" max="12513" width="11.140625" style="2" customWidth="1"/>
    <col min="12514" max="12514" width="10.85546875" style="2" customWidth="1"/>
    <col min="12515" max="12515" width="21" style="2" customWidth="1"/>
    <col min="12516" max="12516" width="10.85546875" style="2" customWidth="1"/>
    <col min="12517" max="12517" width="17.42578125" style="2" customWidth="1"/>
    <col min="12518" max="12518" width="14.85546875" style="2" customWidth="1"/>
    <col min="12519" max="12519" width="15" style="2" customWidth="1"/>
    <col min="12520" max="12520" width="14.85546875" style="2" customWidth="1"/>
    <col min="12521" max="12521" width="7.140625" style="2" customWidth="1"/>
    <col min="12522" max="12523" width="20.140625" style="2" customWidth="1"/>
    <col min="12524" max="12524" width="18.42578125" style="2" customWidth="1"/>
    <col min="12525" max="12525" width="9.140625" style="2" customWidth="1"/>
    <col min="12526" max="12526" width="12" style="2" customWidth="1"/>
    <col min="12527" max="12527" width="14.85546875" style="2" customWidth="1"/>
    <col min="12528" max="12528" width="22.42578125" style="2" customWidth="1"/>
    <col min="12529" max="12529" width="14.85546875" style="2" customWidth="1"/>
    <col min="12530" max="12530" width="7.140625" style="2" customWidth="1"/>
    <col min="12531" max="12531" width="20.140625" style="2" customWidth="1"/>
    <col min="12532" max="12763" width="8.85546875" style="2" customWidth="1"/>
    <col min="12764" max="12764" width="8.140625" style="2" customWidth="1"/>
    <col min="12765" max="12765" width="14.42578125" style="2" customWidth="1"/>
    <col min="12766" max="12766" width="37.42578125" style="2" customWidth="1"/>
    <col min="12767" max="12767" width="63.140625" style="2" customWidth="1"/>
    <col min="12768" max="12768" width="20" style="2" customWidth="1"/>
    <col min="12769" max="12769" width="11.140625" style="2" customWidth="1"/>
    <col min="12770" max="12770" width="10.85546875" style="2" customWidth="1"/>
    <col min="12771" max="12771" width="21" style="2" customWidth="1"/>
    <col min="12772" max="12772" width="10.85546875" style="2" customWidth="1"/>
    <col min="12773" max="12773" width="17.42578125" style="2" customWidth="1"/>
    <col min="12774" max="12774" width="14.85546875" style="2" customWidth="1"/>
    <col min="12775" max="12775" width="15" style="2" customWidth="1"/>
    <col min="12776" max="12776" width="14.85546875" style="2" customWidth="1"/>
    <col min="12777" max="12777" width="7.140625" style="2" customWidth="1"/>
    <col min="12778" max="12779" width="20.140625" style="2" customWidth="1"/>
    <col min="12780" max="12780" width="18.42578125" style="2" customWidth="1"/>
    <col min="12781" max="12781" width="9.140625" style="2" customWidth="1"/>
    <col min="12782" max="12782" width="12" style="2" customWidth="1"/>
    <col min="12783" max="12783" width="14.85546875" style="2" customWidth="1"/>
    <col min="12784" max="12784" width="22.42578125" style="2" customWidth="1"/>
    <col min="12785" max="12785" width="14.85546875" style="2" customWidth="1"/>
    <col min="12786" max="12786" width="7.140625" style="2" customWidth="1"/>
    <col min="12787" max="12787" width="20.140625" style="2" customWidth="1"/>
    <col min="12788" max="13019" width="8.85546875" style="2" customWidth="1"/>
    <col min="13020" max="13020" width="8.140625" style="2" customWidth="1"/>
    <col min="13021" max="13021" width="14.42578125" style="2" customWidth="1"/>
    <col min="13022" max="13022" width="37.42578125" style="2" customWidth="1"/>
    <col min="13023" max="13023" width="63.140625" style="2" customWidth="1"/>
    <col min="13024" max="13024" width="20" style="2" customWidth="1"/>
    <col min="13025" max="13025" width="11.140625" style="2" customWidth="1"/>
    <col min="13026" max="13026" width="10.85546875" style="2" customWidth="1"/>
    <col min="13027" max="13027" width="21" style="2" customWidth="1"/>
    <col min="13028" max="13028" width="10.85546875" style="2" customWidth="1"/>
    <col min="13029" max="13029" width="17.42578125" style="2" customWidth="1"/>
    <col min="13030" max="13030" width="14.85546875" style="2" customWidth="1"/>
    <col min="13031" max="13031" width="15" style="2" customWidth="1"/>
    <col min="13032" max="13032" width="14.85546875" style="2" customWidth="1"/>
    <col min="13033" max="13033" width="7.140625" style="2" customWidth="1"/>
    <col min="13034" max="13035" width="20.140625" style="2" customWidth="1"/>
    <col min="13036" max="13036" width="18.42578125" style="2" customWidth="1"/>
    <col min="13037" max="13037" width="9.140625" style="2" customWidth="1"/>
    <col min="13038" max="13038" width="12" style="2" customWidth="1"/>
    <col min="13039" max="13039" width="14.85546875" style="2" customWidth="1"/>
    <col min="13040" max="13040" width="22.42578125" style="2" customWidth="1"/>
    <col min="13041" max="13041" width="14.85546875" style="2" customWidth="1"/>
    <col min="13042" max="13042" width="7.140625" style="2" customWidth="1"/>
    <col min="13043" max="13043" width="20.140625" style="2" customWidth="1"/>
    <col min="13044" max="13275" width="8.85546875" style="2" customWidth="1"/>
    <col min="13276" max="13276" width="8.140625" style="2" customWidth="1"/>
    <col min="13277" max="13277" width="14.42578125" style="2" customWidth="1"/>
    <col min="13278" max="13278" width="37.42578125" style="2" customWidth="1"/>
    <col min="13279" max="13279" width="63.140625" style="2" customWidth="1"/>
    <col min="13280" max="13280" width="20" style="2" customWidth="1"/>
    <col min="13281" max="13281" width="11.140625" style="2" customWidth="1"/>
    <col min="13282" max="13282" width="10.85546875" style="2" customWidth="1"/>
    <col min="13283" max="13283" width="21" style="2" customWidth="1"/>
    <col min="13284" max="13284" width="10.85546875" style="2" customWidth="1"/>
    <col min="13285" max="13285" width="17.42578125" style="2" customWidth="1"/>
    <col min="13286" max="13286" width="14.85546875" style="2" customWidth="1"/>
    <col min="13287" max="13287" width="15" style="2" customWidth="1"/>
    <col min="13288" max="13288" width="14.85546875" style="2" customWidth="1"/>
    <col min="13289" max="13289" width="7.140625" style="2" customWidth="1"/>
    <col min="13290" max="13291" width="20.140625" style="2" customWidth="1"/>
    <col min="13292" max="13292" width="18.42578125" style="2" customWidth="1"/>
    <col min="13293" max="13293" width="9.140625" style="2" customWidth="1"/>
    <col min="13294" max="13294" width="12" style="2" customWidth="1"/>
    <col min="13295" max="13295" width="14.85546875" style="2" customWidth="1"/>
    <col min="13296" max="13296" width="22.42578125" style="2" customWidth="1"/>
    <col min="13297" max="13297" width="14.85546875" style="2" customWidth="1"/>
    <col min="13298" max="13298" width="7.140625" style="2" customWidth="1"/>
    <col min="13299" max="13299" width="20.140625" style="2" customWidth="1"/>
    <col min="13300" max="13531" width="8.85546875" style="2" customWidth="1"/>
    <col min="13532" max="13532" width="8.140625" style="2" customWidth="1"/>
    <col min="13533" max="13533" width="14.42578125" style="2" customWidth="1"/>
    <col min="13534" max="13534" width="37.42578125" style="2" customWidth="1"/>
    <col min="13535" max="13535" width="63.140625" style="2" customWidth="1"/>
    <col min="13536" max="13536" width="20" style="2" customWidth="1"/>
    <col min="13537" max="13537" width="11.140625" style="2" customWidth="1"/>
    <col min="13538" max="13538" width="10.85546875" style="2" customWidth="1"/>
    <col min="13539" max="13539" width="21" style="2" customWidth="1"/>
    <col min="13540" max="13540" width="10.85546875" style="2" customWidth="1"/>
    <col min="13541" max="13541" width="17.42578125" style="2" customWidth="1"/>
    <col min="13542" max="13542" width="14.85546875" style="2" customWidth="1"/>
    <col min="13543" max="13543" width="15" style="2" customWidth="1"/>
    <col min="13544" max="13544" width="14.85546875" style="2" customWidth="1"/>
    <col min="13545" max="13545" width="7.140625" style="2" customWidth="1"/>
    <col min="13546" max="13547" width="20.140625" style="2" customWidth="1"/>
    <col min="13548" max="13548" width="18.42578125" style="2" customWidth="1"/>
    <col min="13549" max="13549" width="9.140625" style="2" customWidth="1"/>
    <col min="13550" max="13550" width="12" style="2" customWidth="1"/>
    <col min="13551" max="13551" width="14.85546875" style="2" customWidth="1"/>
    <col min="13552" max="13552" width="22.42578125" style="2" customWidth="1"/>
    <col min="13553" max="13553" width="14.85546875" style="2" customWidth="1"/>
    <col min="13554" max="13554" width="7.140625" style="2" customWidth="1"/>
    <col min="13555" max="13555" width="20.140625" style="2" customWidth="1"/>
    <col min="13556" max="13787" width="8.85546875" style="2" customWidth="1"/>
    <col min="13788" max="13788" width="8.140625" style="2" customWidth="1"/>
    <col min="13789" max="13789" width="14.42578125" style="2" customWidth="1"/>
    <col min="13790" max="13790" width="37.42578125" style="2" customWidth="1"/>
    <col min="13791" max="13791" width="63.140625" style="2" customWidth="1"/>
    <col min="13792" max="13792" width="20" style="2" customWidth="1"/>
    <col min="13793" max="13793" width="11.140625" style="2" customWidth="1"/>
    <col min="13794" max="13794" width="10.85546875" style="2" customWidth="1"/>
    <col min="13795" max="13795" width="21" style="2" customWidth="1"/>
    <col min="13796" max="13796" width="10.85546875" style="2" customWidth="1"/>
    <col min="13797" max="13797" width="17.42578125" style="2" customWidth="1"/>
    <col min="13798" max="13798" width="14.85546875" style="2" customWidth="1"/>
    <col min="13799" max="13799" width="15" style="2" customWidth="1"/>
    <col min="13800" max="13800" width="14.85546875" style="2" customWidth="1"/>
    <col min="13801" max="13801" width="7.140625" style="2" customWidth="1"/>
    <col min="13802" max="13803" width="20.140625" style="2" customWidth="1"/>
    <col min="13804" max="13804" width="18.42578125" style="2" customWidth="1"/>
    <col min="13805" max="13805" width="9.140625" style="2" customWidth="1"/>
    <col min="13806" max="13806" width="12" style="2" customWidth="1"/>
    <col min="13807" max="13807" width="14.85546875" style="2" customWidth="1"/>
    <col min="13808" max="13808" width="22.42578125" style="2" customWidth="1"/>
    <col min="13809" max="13809" width="14.85546875" style="2" customWidth="1"/>
    <col min="13810" max="13810" width="7.140625" style="2" customWidth="1"/>
    <col min="13811" max="13811" width="20.140625" style="2" customWidth="1"/>
    <col min="13812" max="14043" width="8.85546875" style="2" customWidth="1"/>
    <col min="14044" max="14044" width="8.140625" style="2" customWidth="1"/>
    <col min="14045" max="14045" width="14.42578125" style="2" customWidth="1"/>
    <col min="14046" max="14046" width="37.42578125" style="2" customWidth="1"/>
    <col min="14047" max="14047" width="63.140625" style="2" customWidth="1"/>
    <col min="14048" max="14048" width="20" style="2" customWidth="1"/>
    <col min="14049" max="14049" width="11.140625" style="2" customWidth="1"/>
    <col min="14050" max="14050" width="10.85546875" style="2" customWidth="1"/>
    <col min="14051" max="14051" width="21" style="2" customWidth="1"/>
    <col min="14052" max="14052" width="10.85546875" style="2" customWidth="1"/>
    <col min="14053" max="14053" width="17.42578125" style="2" customWidth="1"/>
    <col min="14054" max="14054" width="14.85546875" style="2" customWidth="1"/>
    <col min="14055" max="14055" width="15" style="2" customWidth="1"/>
    <col min="14056" max="14056" width="14.85546875" style="2" customWidth="1"/>
    <col min="14057" max="14057" width="7.140625" style="2" customWidth="1"/>
    <col min="14058" max="14059" width="20.140625" style="2" customWidth="1"/>
    <col min="14060" max="14060" width="18.42578125" style="2" customWidth="1"/>
    <col min="14061" max="14061" width="9.140625" style="2" customWidth="1"/>
    <col min="14062" max="14062" width="12" style="2" customWidth="1"/>
    <col min="14063" max="14063" width="14.85546875" style="2" customWidth="1"/>
    <col min="14064" max="14064" width="22.42578125" style="2" customWidth="1"/>
    <col min="14065" max="14065" width="14.85546875" style="2" customWidth="1"/>
    <col min="14066" max="14066" width="7.140625" style="2" customWidth="1"/>
    <col min="14067" max="14067" width="20.140625" style="2" customWidth="1"/>
    <col min="14068" max="14299" width="8.85546875" style="2" customWidth="1"/>
    <col min="14300" max="14300" width="8.140625" style="2" customWidth="1"/>
    <col min="14301" max="14301" width="14.42578125" style="2" customWidth="1"/>
    <col min="14302" max="14302" width="37.42578125" style="2" customWidth="1"/>
    <col min="14303" max="14303" width="63.140625" style="2" customWidth="1"/>
    <col min="14304" max="14304" width="20" style="2" customWidth="1"/>
    <col min="14305" max="14305" width="11.140625" style="2" customWidth="1"/>
    <col min="14306" max="14306" width="10.85546875" style="2" customWidth="1"/>
    <col min="14307" max="14307" width="21" style="2" customWidth="1"/>
    <col min="14308" max="14308" width="10.85546875" style="2" customWidth="1"/>
    <col min="14309" max="14309" width="17.42578125" style="2" customWidth="1"/>
    <col min="14310" max="14310" width="14.85546875" style="2" customWidth="1"/>
    <col min="14311" max="14311" width="15" style="2" customWidth="1"/>
    <col min="14312" max="14312" width="14.85546875" style="2" customWidth="1"/>
    <col min="14313" max="14313" width="7.140625" style="2" customWidth="1"/>
    <col min="14314" max="14315" width="20.140625" style="2" customWidth="1"/>
    <col min="14316" max="14316" width="18.42578125" style="2" customWidth="1"/>
    <col min="14317" max="14317" width="9.140625" style="2" customWidth="1"/>
    <col min="14318" max="14318" width="12" style="2" customWidth="1"/>
    <col min="14319" max="14319" width="14.85546875" style="2" customWidth="1"/>
    <col min="14320" max="14320" width="22.42578125" style="2" customWidth="1"/>
    <col min="14321" max="14321" width="14.85546875" style="2" customWidth="1"/>
    <col min="14322" max="14322" width="7.140625" style="2" customWidth="1"/>
    <col min="14323" max="14323" width="20.140625" style="2" customWidth="1"/>
    <col min="14324" max="14555" width="8.85546875" style="2" customWidth="1"/>
    <col min="14556" max="14556" width="8.140625" style="2" customWidth="1"/>
    <col min="14557" max="14557" width="14.42578125" style="2" customWidth="1"/>
    <col min="14558" max="14558" width="37.42578125" style="2" customWidth="1"/>
    <col min="14559" max="14559" width="63.140625" style="2" customWidth="1"/>
    <col min="14560" max="14560" width="20" style="2" customWidth="1"/>
    <col min="14561" max="14561" width="11.140625" style="2" customWidth="1"/>
    <col min="14562" max="14562" width="10.85546875" style="2" customWidth="1"/>
    <col min="14563" max="14563" width="21" style="2" customWidth="1"/>
    <col min="14564" max="14564" width="10.85546875" style="2" customWidth="1"/>
    <col min="14565" max="14565" width="17.42578125" style="2" customWidth="1"/>
    <col min="14566" max="14566" width="14.85546875" style="2" customWidth="1"/>
    <col min="14567" max="14567" width="15" style="2" customWidth="1"/>
    <col min="14568" max="14568" width="14.85546875" style="2" customWidth="1"/>
    <col min="14569" max="14569" width="7.140625" style="2" customWidth="1"/>
    <col min="14570" max="14571" width="20.140625" style="2" customWidth="1"/>
    <col min="14572" max="14572" width="18.42578125" style="2" customWidth="1"/>
    <col min="14573" max="14573" width="9.140625" style="2" customWidth="1"/>
    <col min="14574" max="14574" width="12" style="2" customWidth="1"/>
    <col min="14575" max="14575" width="14.85546875" style="2" customWidth="1"/>
    <col min="14576" max="14576" width="22.42578125" style="2" customWidth="1"/>
    <col min="14577" max="14577" width="14.85546875" style="2" customWidth="1"/>
    <col min="14578" max="14578" width="7.140625" style="2" customWidth="1"/>
    <col min="14579" max="14579" width="20.140625" style="2" customWidth="1"/>
    <col min="14580" max="14811" width="8.85546875" style="2" customWidth="1"/>
    <col min="14812" max="14812" width="8.140625" style="2" customWidth="1"/>
    <col min="14813" max="14813" width="14.42578125" style="2" customWidth="1"/>
    <col min="14814" max="14814" width="37.42578125" style="2" customWidth="1"/>
    <col min="14815" max="14815" width="63.140625" style="2" customWidth="1"/>
    <col min="14816" max="14816" width="20" style="2" customWidth="1"/>
    <col min="14817" max="14817" width="11.140625" style="2" customWidth="1"/>
    <col min="14818" max="14818" width="10.85546875" style="2" customWidth="1"/>
    <col min="14819" max="14819" width="21" style="2" customWidth="1"/>
    <col min="14820" max="14820" width="10.85546875" style="2" customWidth="1"/>
    <col min="14821" max="14821" width="17.42578125" style="2" customWidth="1"/>
    <col min="14822" max="14822" width="14.85546875" style="2" customWidth="1"/>
    <col min="14823" max="14823" width="15" style="2" customWidth="1"/>
    <col min="14824" max="14824" width="14.85546875" style="2" customWidth="1"/>
    <col min="14825" max="14825" width="7.140625" style="2" customWidth="1"/>
    <col min="14826" max="14827" width="20.140625" style="2" customWidth="1"/>
    <col min="14828" max="14828" width="18.42578125" style="2" customWidth="1"/>
    <col min="14829" max="14829" width="9.140625" style="2" customWidth="1"/>
    <col min="14830" max="14830" width="12" style="2" customWidth="1"/>
    <col min="14831" max="14831" width="14.85546875" style="2" customWidth="1"/>
    <col min="14832" max="14832" width="22.42578125" style="2" customWidth="1"/>
    <col min="14833" max="14833" width="14.85546875" style="2" customWidth="1"/>
    <col min="14834" max="14834" width="7.140625" style="2" customWidth="1"/>
    <col min="14835" max="14835" width="20.140625" style="2" customWidth="1"/>
    <col min="14836" max="15067" width="8.85546875" style="2" customWidth="1"/>
    <col min="15068" max="15068" width="8.140625" style="2" customWidth="1"/>
    <col min="15069" max="15069" width="14.42578125" style="2" customWidth="1"/>
    <col min="15070" max="15070" width="37.42578125" style="2" customWidth="1"/>
    <col min="15071" max="15071" width="63.140625" style="2" customWidth="1"/>
    <col min="15072" max="15072" width="20" style="2" customWidth="1"/>
    <col min="15073" max="15073" width="11.140625" style="2" customWidth="1"/>
    <col min="15074" max="15074" width="10.85546875" style="2" customWidth="1"/>
    <col min="15075" max="15075" width="21" style="2" customWidth="1"/>
    <col min="15076" max="15076" width="10.85546875" style="2" customWidth="1"/>
    <col min="15077" max="15077" width="17.42578125" style="2" customWidth="1"/>
    <col min="15078" max="15078" width="14.85546875" style="2" customWidth="1"/>
    <col min="15079" max="15079" width="15" style="2" customWidth="1"/>
    <col min="15080" max="15080" width="14.85546875" style="2" customWidth="1"/>
    <col min="15081" max="15081" width="7.140625" style="2" customWidth="1"/>
    <col min="15082" max="15083" width="20.140625" style="2" customWidth="1"/>
    <col min="15084" max="15084" width="18.42578125" style="2" customWidth="1"/>
    <col min="15085" max="15085" width="9.140625" style="2" customWidth="1"/>
    <col min="15086" max="15086" width="12" style="2" customWidth="1"/>
    <col min="15087" max="15087" width="14.85546875" style="2" customWidth="1"/>
    <col min="15088" max="15088" width="22.42578125" style="2" customWidth="1"/>
    <col min="15089" max="15089" width="14.85546875" style="2" customWidth="1"/>
    <col min="15090" max="15090" width="7.140625" style="2" customWidth="1"/>
    <col min="15091" max="15091" width="20.140625" style="2" customWidth="1"/>
    <col min="15092" max="15323" width="8.85546875" style="2" customWidth="1"/>
    <col min="15324" max="15324" width="8.140625" style="2" customWidth="1"/>
    <col min="15325" max="15325" width="14.42578125" style="2" customWidth="1"/>
    <col min="15326" max="15326" width="37.42578125" style="2" customWidth="1"/>
    <col min="15327" max="15327" width="63.140625" style="2" customWidth="1"/>
    <col min="15328" max="15328" width="20" style="2" customWidth="1"/>
    <col min="15329" max="15329" width="11.140625" style="2" customWidth="1"/>
    <col min="15330" max="15330" width="10.85546875" style="2" customWidth="1"/>
    <col min="15331" max="15331" width="21" style="2" customWidth="1"/>
    <col min="15332" max="15332" width="10.85546875" style="2" customWidth="1"/>
    <col min="15333" max="15333" width="17.42578125" style="2" customWidth="1"/>
    <col min="15334" max="15334" width="14.85546875" style="2" customWidth="1"/>
    <col min="15335" max="15335" width="15" style="2" customWidth="1"/>
    <col min="15336" max="15336" width="14.85546875" style="2" customWidth="1"/>
    <col min="15337" max="15337" width="7.140625" style="2" customWidth="1"/>
    <col min="15338" max="15339" width="20.140625" style="2" customWidth="1"/>
    <col min="15340" max="15340" width="18.42578125" style="2" customWidth="1"/>
    <col min="15341" max="15341" width="9.140625" style="2" customWidth="1"/>
    <col min="15342" max="15342" width="12" style="2" customWidth="1"/>
    <col min="15343" max="15343" width="14.85546875" style="2" customWidth="1"/>
    <col min="15344" max="15344" width="22.42578125" style="2" customWidth="1"/>
    <col min="15345" max="15345" width="14.85546875" style="2" customWidth="1"/>
    <col min="15346" max="15346" width="7.140625" style="2" customWidth="1"/>
    <col min="15347" max="15347" width="20.140625" style="2" customWidth="1"/>
    <col min="15348" max="15579" width="8.85546875" style="2" customWidth="1"/>
    <col min="15580" max="15580" width="8.140625" style="2" customWidth="1"/>
    <col min="15581" max="15581" width="14.42578125" style="2" customWidth="1"/>
    <col min="15582" max="15582" width="37.42578125" style="2" customWidth="1"/>
    <col min="15583" max="15583" width="63.140625" style="2" customWidth="1"/>
    <col min="15584" max="15584" width="20" style="2" customWidth="1"/>
    <col min="15585" max="15585" width="11.140625" style="2" customWidth="1"/>
    <col min="15586" max="15586" width="10.85546875" style="2" customWidth="1"/>
    <col min="15587" max="15587" width="21" style="2" customWidth="1"/>
    <col min="15588" max="15588" width="10.85546875" style="2" customWidth="1"/>
    <col min="15589" max="15589" width="17.42578125" style="2" customWidth="1"/>
    <col min="15590" max="15590" width="14.85546875" style="2" customWidth="1"/>
    <col min="15591" max="15591" width="15" style="2" customWidth="1"/>
    <col min="15592" max="15592" width="14.85546875" style="2" customWidth="1"/>
    <col min="15593" max="15593" width="7.140625" style="2" customWidth="1"/>
    <col min="15594" max="15595" width="20.140625" style="2" customWidth="1"/>
    <col min="15596" max="15596" width="18.42578125" style="2" customWidth="1"/>
    <col min="15597" max="15597" width="9.140625" style="2" customWidth="1"/>
    <col min="15598" max="15598" width="12" style="2" customWidth="1"/>
    <col min="15599" max="15599" width="14.85546875" style="2" customWidth="1"/>
    <col min="15600" max="15600" width="22.42578125" style="2" customWidth="1"/>
    <col min="15601" max="15601" width="14.85546875" style="2" customWidth="1"/>
    <col min="15602" max="15602" width="7.140625" style="2" customWidth="1"/>
    <col min="15603" max="15603" width="20.140625" style="2" customWidth="1"/>
    <col min="15604" max="15835" width="8.85546875" style="2" customWidth="1"/>
    <col min="15836" max="15836" width="8.140625" style="2" customWidth="1"/>
    <col min="15837" max="15837" width="14.42578125" style="2" customWidth="1"/>
    <col min="15838" max="15838" width="37.42578125" style="2" customWidth="1"/>
    <col min="15839" max="15839" width="63.140625" style="2" customWidth="1"/>
    <col min="15840" max="15840" width="20" style="2" customWidth="1"/>
    <col min="15841" max="15841" width="11.140625" style="2" customWidth="1"/>
    <col min="15842" max="15842" width="10.85546875" style="2" customWidth="1"/>
    <col min="15843" max="15843" width="21" style="2" customWidth="1"/>
    <col min="15844" max="15844" width="10.85546875" style="2" customWidth="1"/>
    <col min="15845" max="15845" width="17.42578125" style="2" customWidth="1"/>
    <col min="15846" max="15846" width="14.85546875" style="2" customWidth="1"/>
    <col min="15847" max="15847" width="15" style="2" customWidth="1"/>
    <col min="15848" max="15848" width="14.85546875" style="2" customWidth="1"/>
    <col min="15849" max="15849" width="7.140625" style="2" customWidth="1"/>
    <col min="15850" max="15851" width="20.140625" style="2" customWidth="1"/>
    <col min="15852" max="15852" width="18.42578125" style="2" customWidth="1"/>
    <col min="15853" max="15853" width="9.140625" style="2" customWidth="1"/>
    <col min="15854" max="15854" width="12" style="2" customWidth="1"/>
    <col min="15855" max="15855" width="14.85546875" style="2" customWidth="1"/>
    <col min="15856" max="15856" width="22.42578125" style="2" customWidth="1"/>
    <col min="15857" max="15857" width="14.85546875" style="2" customWidth="1"/>
    <col min="15858" max="15858" width="7.140625" style="2" customWidth="1"/>
    <col min="15859" max="15859" width="20.140625" style="2" customWidth="1"/>
    <col min="15860" max="16091" width="8.85546875" style="2" customWidth="1"/>
    <col min="16092" max="16092" width="8.140625" style="2" customWidth="1"/>
    <col min="16093" max="16093" width="14.42578125" style="2" customWidth="1"/>
    <col min="16094" max="16094" width="37.42578125" style="2" customWidth="1"/>
    <col min="16095" max="16095" width="63.140625" style="2" customWidth="1"/>
    <col min="16096" max="16096" width="20" style="2" customWidth="1"/>
    <col min="16097" max="16097" width="11.140625" style="2" customWidth="1"/>
    <col min="16098" max="16098" width="10.85546875" style="2" customWidth="1"/>
    <col min="16099" max="16099" width="21" style="2" customWidth="1"/>
    <col min="16100" max="16100" width="10.85546875" style="2" customWidth="1"/>
    <col min="16101" max="16101" width="17.42578125" style="2" customWidth="1"/>
    <col min="16102" max="16102" width="14.85546875" style="2" customWidth="1"/>
    <col min="16103" max="16103" width="15" style="2" customWidth="1"/>
    <col min="16104" max="16104" width="14.85546875" style="2" customWidth="1"/>
    <col min="16105" max="16105" width="7.140625" style="2" customWidth="1"/>
    <col min="16106" max="16107" width="20.140625" style="2" customWidth="1"/>
    <col min="16108" max="16108" width="18.42578125" style="2" customWidth="1"/>
    <col min="16109" max="16109" width="9.140625" style="2" customWidth="1"/>
    <col min="16110" max="16110" width="12" style="2" customWidth="1"/>
    <col min="16111" max="16111" width="14.85546875" style="2" customWidth="1"/>
    <col min="16112" max="16112" width="22.42578125" style="2" customWidth="1"/>
    <col min="16113" max="16113" width="14.85546875" style="2" customWidth="1"/>
    <col min="16114" max="16114" width="7.140625" style="2" customWidth="1"/>
    <col min="16115" max="16115" width="20.140625" style="2" customWidth="1"/>
    <col min="16116" max="16384" width="8.85546875" style="2" customWidth="1"/>
  </cols>
  <sheetData>
    <row r="1" spans="1:21" ht="14.1" customHeight="1">
      <c r="A1" s="1" t="s">
        <v>1400</v>
      </c>
      <c r="B1" s="24"/>
      <c r="C1" s="2"/>
      <c r="D1" s="2"/>
      <c r="F1" s="2"/>
      <c r="H1" s="2"/>
      <c r="J1" s="2"/>
      <c r="K1" s="2"/>
      <c r="L1" s="2"/>
      <c r="M1" s="2"/>
      <c r="N1" s="2"/>
      <c r="O1" s="2"/>
      <c r="P1" s="2"/>
      <c r="R1" s="10"/>
    </row>
    <row r="2" spans="1:21" s="4" customFormat="1" ht="14.1" customHeight="1">
      <c r="A2" s="4" t="s">
        <v>1401</v>
      </c>
      <c r="E2" s="69"/>
      <c r="Q2" s="2"/>
      <c r="R2" s="336"/>
    </row>
    <row r="3" spans="1:21" s="6" customFormat="1" ht="14.1" customHeight="1">
      <c r="A3" s="3"/>
      <c r="B3" s="16"/>
      <c r="C3" s="16"/>
      <c r="D3" s="23"/>
      <c r="E3" s="16"/>
      <c r="F3" s="23"/>
      <c r="G3" s="15"/>
      <c r="H3" s="25"/>
      <c r="I3" s="15"/>
      <c r="J3" s="25"/>
      <c r="K3" s="25"/>
      <c r="L3" s="25"/>
      <c r="M3" s="25"/>
      <c r="N3" s="25"/>
      <c r="O3" s="25"/>
      <c r="P3" s="25"/>
      <c r="Q3" s="2"/>
      <c r="R3" s="355" t="s">
        <v>2</v>
      </c>
      <c r="S3" s="2"/>
      <c r="T3" s="2"/>
      <c r="U3" s="2"/>
    </row>
    <row r="4" spans="1:21" s="5" customFormat="1" ht="33" customHeight="1">
      <c r="A4" s="21" t="s">
        <v>3</v>
      </c>
      <c r="B4" s="52" t="s">
        <v>4</v>
      </c>
      <c r="C4" s="52" t="s">
        <v>5</v>
      </c>
      <c r="D4" s="21" t="s">
        <v>6</v>
      </c>
      <c r="E4" s="21" t="s">
        <v>7</v>
      </c>
      <c r="F4" s="21" t="s">
        <v>8</v>
      </c>
      <c r="G4" s="21" t="s">
        <v>9</v>
      </c>
      <c r="H4" s="21" t="s">
        <v>10</v>
      </c>
      <c r="I4" s="21" t="s">
        <v>11</v>
      </c>
      <c r="J4" s="21" t="s">
        <v>12</v>
      </c>
      <c r="K4" s="21" t="s">
        <v>13</v>
      </c>
      <c r="L4" s="21" t="s">
        <v>14</v>
      </c>
      <c r="M4" s="21" t="s">
        <v>15</v>
      </c>
      <c r="N4" s="21" t="s">
        <v>16</v>
      </c>
      <c r="O4" s="21" t="s">
        <v>17</v>
      </c>
      <c r="P4" s="21" t="s">
        <v>18</v>
      </c>
      <c r="Q4" s="3"/>
      <c r="R4" s="41" t="s">
        <v>19</v>
      </c>
      <c r="S4" s="20"/>
      <c r="T4" s="42" t="s">
        <v>20</v>
      </c>
      <c r="U4" s="42" t="s">
        <v>21</v>
      </c>
    </row>
    <row r="5" spans="1:21" ht="14.1" customHeight="1">
      <c r="A5" s="7">
        <v>1</v>
      </c>
      <c r="B5" s="14" t="s">
        <v>312</v>
      </c>
      <c r="C5" s="14" t="s">
        <v>312</v>
      </c>
      <c r="D5" s="7" t="s">
        <v>1402</v>
      </c>
      <c r="E5" s="14" t="s">
        <v>1403</v>
      </c>
      <c r="F5" s="7" t="s">
        <v>1404</v>
      </c>
      <c r="G5" s="8" t="s">
        <v>1405</v>
      </c>
      <c r="H5" s="7" t="s">
        <v>42</v>
      </c>
      <c r="I5" s="8" t="s">
        <v>1406</v>
      </c>
      <c r="J5" s="7" t="s">
        <v>123</v>
      </c>
      <c r="K5" s="7"/>
      <c r="L5" s="7" t="s">
        <v>322</v>
      </c>
      <c r="M5" s="7">
        <v>84798997</v>
      </c>
      <c r="N5" s="7">
        <v>25</v>
      </c>
      <c r="O5" s="7">
        <f t="shared" ref="O5:O11" si="0">6*7</f>
        <v>42</v>
      </c>
      <c r="P5" s="7"/>
      <c r="R5" s="9">
        <v>14274.44483652109</v>
      </c>
      <c r="S5" s="22"/>
      <c r="T5" s="7" t="s">
        <v>34</v>
      </c>
      <c r="U5" s="7"/>
    </row>
    <row r="6" spans="1:21" ht="14.1" customHeight="1">
      <c r="A6" s="7">
        <v>2</v>
      </c>
      <c r="B6" s="14" t="s">
        <v>312</v>
      </c>
      <c r="C6" s="14" t="s">
        <v>312</v>
      </c>
      <c r="D6" s="7" t="s">
        <v>1402</v>
      </c>
      <c r="E6" s="14" t="s">
        <v>1403</v>
      </c>
      <c r="F6" s="7" t="s">
        <v>1404</v>
      </c>
      <c r="G6" s="8" t="s">
        <v>1407</v>
      </c>
      <c r="H6" s="7" t="s">
        <v>42</v>
      </c>
      <c r="I6" s="8" t="s">
        <v>1408</v>
      </c>
      <c r="J6" s="7" t="s">
        <v>123</v>
      </c>
      <c r="K6" s="7"/>
      <c r="L6" s="7" t="s">
        <v>322</v>
      </c>
      <c r="M6" s="7">
        <v>84798997</v>
      </c>
      <c r="N6" s="7">
        <v>25</v>
      </c>
      <c r="O6" s="7">
        <f t="shared" si="0"/>
        <v>42</v>
      </c>
      <c r="P6" s="7"/>
      <c r="R6" s="9">
        <v>15242.934629868079</v>
      </c>
      <c r="T6" s="7" t="s">
        <v>34</v>
      </c>
      <c r="U6" s="7"/>
    </row>
    <row r="7" spans="1:21" ht="14.1" customHeight="1">
      <c r="A7" s="7">
        <v>3</v>
      </c>
      <c r="B7" s="14" t="s">
        <v>312</v>
      </c>
      <c r="C7" s="14" t="s">
        <v>312</v>
      </c>
      <c r="D7" s="7" t="s">
        <v>1402</v>
      </c>
      <c r="E7" s="14" t="s">
        <v>1403</v>
      </c>
      <c r="F7" s="7" t="s">
        <v>1404</v>
      </c>
      <c r="G7" s="8" t="s">
        <v>1409</v>
      </c>
      <c r="H7" s="7" t="s">
        <v>42</v>
      </c>
      <c r="I7" s="8" t="s">
        <v>1410</v>
      </c>
      <c r="J7" s="7" t="s">
        <v>123</v>
      </c>
      <c r="K7" s="7"/>
      <c r="L7" s="7" t="s">
        <v>322</v>
      </c>
      <c r="M7" s="7">
        <v>84798997</v>
      </c>
      <c r="N7" s="7">
        <v>25</v>
      </c>
      <c r="O7" s="7">
        <f t="shared" si="0"/>
        <v>42</v>
      </c>
      <c r="P7" s="7"/>
      <c r="R7" s="9">
        <v>16792.518299223259</v>
      </c>
      <c r="T7" s="7" t="s">
        <v>34</v>
      </c>
      <c r="U7" s="7"/>
    </row>
    <row r="8" spans="1:21" ht="14.1" customHeight="1">
      <c r="A8" s="7">
        <v>4</v>
      </c>
      <c r="B8" s="14" t="s">
        <v>312</v>
      </c>
      <c r="C8" s="14" t="s">
        <v>312</v>
      </c>
      <c r="D8" s="7" t="s">
        <v>1402</v>
      </c>
      <c r="E8" s="14" t="s">
        <v>1403</v>
      </c>
      <c r="F8" s="7" t="s">
        <v>1404</v>
      </c>
      <c r="G8" s="8" t="s">
        <v>1411</v>
      </c>
      <c r="H8" s="7" t="s">
        <v>1412</v>
      </c>
      <c r="I8" s="8" t="s">
        <v>1413</v>
      </c>
      <c r="J8" s="7" t="s">
        <v>123</v>
      </c>
      <c r="K8" s="7" t="s">
        <v>1412</v>
      </c>
      <c r="L8" s="7" t="s">
        <v>322</v>
      </c>
      <c r="M8" s="7">
        <v>84798997</v>
      </c>
      <c r="N8" s="7">
        <v>20</v>
      </c>
      <c r="O8" s="7">
        <f t="shared" si="0"/>
        <v>42</v>
      </c>
      <c r="P8" s="7"/>
      <c r="R8" s="9">
        <v>12825.84326326576</v>
      </c>
      <c r="T8" s="7" t="s">
        <v>34</v>
      </c>
      <c r="U8" s="7"/>
    </row>
    <row r="9" spans="1:21" ht="14.1" customHeight="1">
      <c r="A9" s="7">
        <v>5</v>
      </c>
      <c r="B9" s="14" t="s">
        <v>312</v>
      </c>
      <c r="C9" s="14" t="s">
        <v>312</v>
      </c>
      <c r="D9" s="7" t="s">
        <v>1402</v>
      </c>
      <c r="E9" s="14" t="s">
        <v>1403</v>
      </c>
      <c r="F9" s="7" t="s">
        <v>1404</v>
      </c>
      <c r="G9" s="8" t="s">
        <v>1414</v>
      </c>
      <c r="H9" s="7" t="s">
        <v>1412</v>
      </c>
      <c r="I9" s="8" t="s">
        <v>1415</v>
      </c>
      <c r="J9" s="7" t="s">
        <v>123</v>
      </c>
      <c r="K9" s="7" t="s">
        <v>1412</v>
      </c>
      <c r="L9" s="7" t="s">
        <v>322</v>
      </c>
      <c r="M9" s="7">
        <v>84798997</v>
      </c>
      <c r="N9" s="7">
        <v>20</v>
      </c>
      <c r="O9" s="7">
        <f t="shared" si="0"/>
        <v>42</v>
      </c>
      <c r="P9" s="7"/>
      <c r="R9" s="9">
        <v>16904.894392891889</v>
      </c>
      <c r="T9" s="7" t="s">
        <v>34</v>
      </c>
      <c r="U9" s="7"/>
    </row>
    <row r="10" spans="1:21" ht="14.1" customHeight="1">
      <c r="A10" s="7">
        <v>6</v>
      </c>
      <c r="B10" s="14" t="s">
        <v>312</v>
      </c>
      <c r="C10" s="14" t="s">
        <v>312</v>
      </c>
      <c r="D10" s="7" t="s">
        <v>1402</v>
      </c>
      <c r="E10" s="14" t="s">
        <v>1403</v>
      </c>
      <c r="F10" s="7" t="s">
        <v>1404</v>
      </c>
      <c r="G10" s="8" t="s">
        <v>1416</v>
      </c>
      <c r="H10" s="7" t="s">
        <v>1412</v>
      </c>
      <c r="I10" s="8" t="s">
        <v>1417</v>
      </c>
      <c r="J10" s="7" t="s">
        <v>123</v>
      </c>
      <c r="K10" s="7" t="s">
        <v>1412</v>
      </c>
      <c r="L10" s="7" t="s">
        <v>303</v>
      </c>
      <c r="M10" s="7">
        <v>84798997</v>
      </c>
      <c r="N10" s="7">
        <v>20</v>
      </c>
      <c r="O10" s="7">
        <f t="shared" si="0"/>
        <v>42</v>
      </c>
      <c r="P10" s="7"/>
      <c r="R10" s="9">
        <v>22184.113266430359</v>
      </c>
      <c r="T10" s="7" t="s">
        <v>34</v>
      </c>
      <c r="U10" s="7"/>
    </row>
    <row r="11" spans="1:21" ht="14.1" customHeight="1">
      <c r="A11" s="7">
        <v>7</v>
      </c>
      <c r="B11" s="14" t="s">
        <v>312</v>
      </c>
      <c r="C11" s="14" t="s">
        <v>312</v>
      </c>
      <c r="D11" s="7" t="s">
        <v>1402</v>
      </c>
      <c r="E11" s="14" t="s">
        <v>1403</v>
      </c>
      <c r="F11" s="7" t="s">
        <v>1404</v>
      </c>
      <c r="G11" s="8" t="s">
        <v>1418</v>
      </c>
      <c r="H11" s="7" t="s">
        <v>1412</v>
      </c>
      <c r="I11" s="8" t="s">
        <v>1419</v>
      </c>
      <c r="J11" s="7" t="s">
        <v>123</v>
      </c>
      <c r="K11" s="7" t="s">
        <v>1412</v>
      </c>
      <c r="L11" s="7" t="s">
        <v>303</v>
      </c>
      <c r="M11" s="7">
        <v>84798997</v>
      </c>
      <c r="N11" s="7">
        <v>20</v>
      </c>
      <c r="O11" s="7">
        <f t="shared" si="0"/>
        <v>42</v>
      </c>
      <c r="P11" s="7"/>
      <c r="R11" s="9">
        <v>22738.621148111379</v>
      </c>
      <c r="T11" s="7" t="s">
        <v>34</v>
      </c>
      <c r="U11" s="7"/>
    </row>
    <row r="12" spans="1:21" ht="14.1" customHeight="1"/>
    <row r="13" spans="1:21" ht="14.1" customHeight="1"/>
    <row r="14" spans="1:21" ht="14.1" customHeight="1"/>
    <row r="15" spans="1:21" ht="14.1" customHeight="1"/>
    <row r="16" spans="1:21" ht="14.1" customHeight="1"/>
    <row r="17" ht="14.1" customHeight="1"/>
    <row r="18" ht="14.1" customHeight="1"/>
    <row r="19" ht="14.1" customHeight="1"/>
    <row r="20" ht="14.1" customHeight="1"/>
    <row r="21" ht="14.1" customHeight="1"/>
    <row r="22" ht="14.1" customHeight="1"/>
    <row r="23" ht="14.1" customHeight="1"/>
    <row r="24" ht="14.1" customHeight="1"/>
    <row r="25" ht="14.1" customHeight="1"/>
    <row r="26" ht="14.1" customHeight="1"/>
    <row r="27" ht="14.1" customHeight="1"/>
    <row r="28" ht="14.1" customHeight="1"/>
    <row r="29" ht="14.1" customHeight="1"/>
    <row r="30" ht="14.1" customHeight="1"/>
    <row r="31" ht="14.1" customHeight="1"/>
    <row r="32" ht="14.1" customHeight="1"/>
    <row r="33" ht="14.1" customHeight="1"/>
    <row r="34" ht="14.1" customHeight="1"/>
    <row r="35" ht="14.1" customHeight="1"/>
    <row r="36" ht="14.1" customHeight="1"/>
    <row r="37" ht="14.1" customHeight="1"/>
    <row r="38" ht="14.1" customHeight="1"/>
    <row r="39" ht="14.1" customHeight="1"/>
    <row r="40" ht="14.1" customHeight="1"/>
    <row r="41" ht="14.1" customHeight="1"/>
    <row r="42" ht="14.1" customHeight="1"/>
    <row r="43" ht="14.1" customHeight="1"/>
    <row r="44" ht="14.1" customHeight="1"/>
    <row r="45" ht="14.1" customHeight="1"/>
    <row r="46" ht="14.1" customHeight="1"/>
    <row r="47" ht="14.1" customHeight="1"/>
    <row r="48" ht="14.1" customHeight="1"/>
    <row r="49" ht="14.1" customHeight="1"/>
    <row r="50" ht="14.1" customHeight="1"/>
    <row r="51" ht="14.1" customHeight="1"/>
    <row r="52" ht="14.1" customHeight="1"/>
    <row r="53" ht="14.1" customHeight="1"/>
    <row r="54" ht="14.1" customHeight="1"/>
    <row r="55" ht="14.1" customHeight="1"/>
    <row r="56" ht="14.1" customHeight="1"/>
    <row r="57" ht="14.1" customHeight="1"/>
    <row r="58" ht="14.1" customHeight="1"/>
    <row r="59" ht="14.1" customHeight="1"/>
    <row r="60" ht="14.1" customHeight="1"/>
    <row r="61" ht="14.1" customHeight="1"/>
    <row r="62" ht="14.1" customHeight="1"/>
    <row r="63" ht="14.1" customHeight="1"/>
    <row r="64" ht="14.1" customHeight="1"/>
    <row r="65" ht="14.1" customHeight="1"/>
    <row r="66" ht="14.1" customHeight="1"/>
    <row r="67" ht="14.1" customHeight="1"/>
    <row r="68" ht="14.1" customHeight="1"/>
    <row r="69" ht="14.1" customHeight="1"/>
    <row r="70" ht="14.1" customHeight="1"/>
    <row r="71" ht="14.1" customHeight="1"/>
    <row r="72" ht="14.1" customHeight="1"/>
    <row r="73" ht="14.1" customHeight="1"/>
    <row r="74" ht="14.1" customHeight="1"/>
    <row r="75" ht="14.1" customHeight="1"/>
    <row r="76" ht="14.1" customHeight="1"/>
    <row r="77" ht="14.1" customHeight="1"/>
    <row r="78" ht="14.1" customHeight="1"/>
    <row r="79" ht="14.1" customHeight="1"/>
    <row r="80" ht="14.1" customHeight="1"/>
    <row r="81" ht="14.1" customHeight="1"/>
    <row r="82" ht="14.1" customHeight="1"/>
    <row r="83" ht="14.1" customHeight="1"/>
    <row r="84" ht="14.1" customHeight="1"/>
    <row r="85" ht="14.1" customHeight="1"/>
    <row r="86" ht="14.1" customHeight="1"/>
    <row r="87" ht="14.1" customHeight="1"/>
    <row r="88" ht="14.1" customHeight="1"/>
    <row r="89" ht="14.1" customHeight="1"/>
    <row r="90" ht="14.1" customHeight="1"/>
    <row r="91" ht="14.1" customHeight="1"/>
    <row r="92" ht="14.1" customHeight="1"/>
    <row r="93" ht="14.1" customHeight="1"/>
    <row r="94" ht="14.1" customHeight="1"/>
    <row r="95" ht="14.1" customHeight="1"/>
    <row r="96" ht="14.1" customHeight="1"/>
    <row r="97" ht="14.1" customHeight="1"/>
    <row r="98" ht="14.1" customHeight="1"/>
    <row r="99" ht="14.1" customHeight="1"/>
    <row r="100" ht="14.1" customHeight="1"/>
    <row r="101" ht="14.1" customHeight="1"/>
    <row r="102" ht="14.1" customHeight="1"/>
    <row r="103" ht="14.1" customHeight="1"/>
    <row r="104" ht="14.1" customHeight="1"/>
    <row r="105" ht="14.1" customHeight="1"/>
    <row r="106" ht="14.1" customHeight="1"/>
    <row r="107" ht="14.1" customHeight="1"/>
    <row r="108" ht="14.1" customHeight="1"/>
    <row r="109" ht="14.1" customHeight="1"/>
    <row r="110" ht="14.1" customHeight="1"/>
    <row r="111" ht="14.1" customHeight="1"/>
    <row r="112" ht="14.1" customHeight="1"/>
    <row r="113" ht="14.1" customHeight="1"/>
    <row r="114" ht="14.1" customHeight="1"/>
    <row r="115" ht="14.1" customHeight="1"/>
    <row r="116" ht="14.1" customHeight="1"/>
    <row r="117" ht="14.1" customHeight="1"/>
    <row r="118" ht="14.1" customHeight="1"/>
    <row r="119" ht="14.1" customHeight="1"/>
    <row r="120" ht="14.1" customHeight="1"/>
    <row r="121" ht="14.1" customHeight="1"/>
    <row r="122" ht="14.1" customHeight="1"/>
    <row r="123" ht="14.1" customHeight="1"/>
    <row r="124" ht="14.1" customHeight="1"/>
    <row r="125" ht="14.1" customHeight="1"/>
    <row r="126" ht="14.1" customHeight="1"/>
    <row r="127" ht="14.1" customHeight="1"/>
    <row r="128" ht="14.1" customHeight="1"/>
    <row r="129" ht="14.1" customHeight="1"/>
    <row r="130" ht="14.1" customHeight="1"/>
    <row r="131" ht="14.1" customHeight="1"/>
    <row r="132" ht="14.1" customHeight="1"/>
    <row r="133" ht="14.1" customHeight="1"/>
    <row r="134" ht="14.1" customHeight="1"/>
    <row r="135" ht="14.1" customHeight="1"/>
    <row r="136" ht="14.1" customHeight="1"/>
    <row r="137" ht="14.1" customHeight="1"/>
    <row r="138" ht="14.1" customHeight="1"/>
    <row r="139" ht="14.1" customHeight="1"/>
    <row r="140" ht="14.1" customHeight="1"/>
    <row r="141" ht="14.1" customHeight="1"/>
    <row r="142" ht="14.1" customHeight="1"/>
    <row r="143" ht="14.1" customHeight="1"/>
    <row r="144" ht="14.1" customHeight="1"/>
    <row r="145" ht="14.1" customHeight="1"/>
    <row r="146" ht="14.1" customHeight="1"/>
    <row r="147" ht="14.1" customHeight="1"/>
    <row r="148" ht="14.1" customHeight="1"/>
    <row r="149" ht="14.1" customHeight="1"/>
    <row r="150" ht="14.1" customHeight="1"/>
    <row r="151" ht="14.1" customHeight="1"/>
    <row r="152" ht="14.1" customHeight="1"/>
    <row r="153" ht="14.1" customHeight="1"/>
    <row r="154" ht="14.1" customHeight="1"/>
    <row r="155" ht="14.1" customHeight="1"/>
    <row r="156" ht="14.1" customHeight="1"/>
    <row r="157" ht="14.1" customHeight="1"/>
    <row r="158" ht="14.1" customHeight="1"/>
    <row r="159" ht="14.1" customHeight="1"/>
    <row r="160" ht="14.1" customHeight="1"/>
    <row r="161" ht="14.1" customHeight="1"/>
    <row r="162" ht="14.1" customHeight="1"/>
    <row r="163" ht="14.1" customHeight="1"/>
    <row r="164" ht="14.1" customHeight="1"/>
    <row r="165" ht="14.1" customHeight="1"/>
    <row r="166" ht="14.1" customHeight="1"/>
    <row r="167" ht="14.1" customHeight="1"/>
    <row r="168" ht="14.1" customHeight="1"/>
    <row r="169" ht="14.1" customHeight="1"/>
    <row r="170" ht="14.1" customHeight="1"/>
    <row r="171" ht="14.1" customHeight="1"/>
    <row r="172" ht="14.1" customHeight="1"/>
    <row r="173" ht="14.1" customHeight="1"/>
    <row r="174" ht="14.1" customHeight="1"/>
    <row r="175" ht="14.1" customHeight="1"/>
    <row r="176" ht="14.1" customHeight="1"/>
    <row r="177" ht="14.1" customHeight="1"/>
    <row r="178" ht="14.1" customHeight="1"/>
    <row r="179" ht="14.1" customHeight="1"/>
    <row r="180" ht="14.1" customHeight="1"/>
    <row r="181" ht="14.1" customHeight="1"/>
    <row r="182" ht="14.1" customHeight="1"/>
    <row r="183" ht="14.1" customHeight="1"/>
    <row r="184" ht="14.1" customHeight="1"/>
    <row r="185" ht="14.1" customHeight="1"/>
    <row r="186" ht="14.1" customHeight="1"/>
    <row r="187" ht="14.1" customHeight="1"/>
    <row r="188" ht="14.1" customHeight="1"/>
    <row r="189" ht="14.1" customHeight="1"/>
    <row r="190" ht="14.1" customHeight="1"/>
    <row r="191" ht="14.1" customHeight="1"/>
    <row r="192" ht="14.1" customHeight="1"/>
    <row r="193" ht="14.1" customHeight="1"/>
    <row r="194" ht="14.1" customHeight="1"/>
    <row r="195" ht="14.1" customHeight="1"/>
    <row r="196" ht="14.1" customHeight="1"/>
    <row r="197" ht="14.1" customHeight="1"/>
    <row r="198" ht="14.1" customHeight="1"/>
    <row r="199" ht="14.1" customHeight="1"/>
    <row r="200" ht="14.1" customHeight="1"/>
    <row r="201" ht="14.1" customHeight="1"/>
    <row r="202" ht="14.1" customHeight="1"/>
    <row r="203" ht="14.1" customHeight="1"/>
    <row r="204" ht="14.1" customHeight="1"/>
    <row r="205" ht="14.1" customHeight="1"/>
    <row r="206" ht="14.1" customHeight="1"/>
    <row r="207" ht="14.1" customHeight="1"/>
    <row r="208" ht="14.1" customHeight="1"/>
    <row r="209" ht="14.1" customHeight="1"/>
    <row r="210" ht="14.1" customHeight="1"/>
    <row r="211" ht="14.1" customHeight="1"/>
    <row r="212" ht="14.1" customHeight="1"/>
    <row r="213" ht="14.1" customHeight="1"/>
    <row r="214" ht="14.1" customHeight="1"/>
    <row r="215" ht="14.1" customHeight="1"/>
    <row r="216" ht="14.1" customHeight="1"/>
    <row r="217" ht="14.1" customHeight="1"/>
    <row r="218" ht="14.1" customHeight="1"/>
    <row r="219" ht="14.1" customHeight="1"/>
    <row r="220" ht="14.1" customHeight="1"/>
    <row r="221" ht="14.1" customHeight="1"/>
    <row r="222" ht="14.1" customHeight="1"/>
    <row r="223" ht="14.1" customHeight="1"/>
    <row r="224" ht="14.1" customHeight="1"/>
    <row r="225" ht="14.1" customHeight="1"/>
    <row r="226" ht="14.1" customHeight="1"/>
    <row r="227" ht="14.1" customHeight="1"/>
    <row r="228" ht="14.1" customHeight="1"/>
    <row r="229" ht="14.1" customHeight="1"/>
    <row r="230" ht="14.1" customHeight="1"/>
    <row r="231" ht="14.1" customHeight="1"/>
    <row r="232" ht="14.1" customHeight="1"/>
    <row r="233" ht="14.1" customHeight="1"/>
    <row r="234" ht="14.1" customHeight="1"/>
    <row r="235" ht="14.1" customHeight="1"/>
    <row r="236" ht="14.1" customHeight="1"/>
    <row r="237" ht="14.1" customHeight="1"/>
    <row r="238" ht="14.1" customHeight="1"/>
    <row r="239" ht="14.1" customHeight="1"/>
    <row r="240" ht="14.1" customHeight="1"/>
    <row r="241" ht="14.1" customHeight="1"/>
    <row r="242" ht="14.1" customHeight="1"/>
    <row r="243" ht="14.1" customHeight="1"/>
    <row r="244" ht="14.1" customHeight="1"/>
    <row r="245" ht="14.1" customHeight="1"/>
    <row r="246" ht="14.1" customHeight="1"/>
    <row r="247" ht="14.1" customHeight="1"/>
    <row r="248" ht="14.1" customHeight="1"/>
    <row r="249" ht="14.1" customHeight="1"/>
    <row r="250" ht="14.1" customHeight="1"/>
    <row r="251" ht="14.1" customHeight="1"/>
    <row r="252" ht="14.1" customHeight="1"/>
    <row r="253" ht="14.1" customHeight="1"/>
    <row r="254" ht="14.1" customHeight="1"/>
    <row r="255" ht="14.1" customHeight="1"/>
    <row r="256" ht="14.1" customHeight="1"/>
    <row r="257" ht="14.1" customHeight="1"/>
    <row r="258" ht="14.1" customHeight="1"/>
    <row r="259" ht="14.1" customHeight="1"/>
    <row r="260" ht="14.1" customHeight="1"/>
    <row r="261" ht="14.1" customHeight="1"/>
    <row r="262" ht="14.1" customHeight="1"/>
    <row r="263" ht="14.1" customHeight="1"/>
    <row r="264" ht="14.1" customHeight="1"/>
    <row r="265" ht="14.1" customHeight="1"/>
    <row r="266" ht="14.1" customHeight="1"/>
    <row r="267" ht="14.1" customHeight="1"/>
    <row r="268" ht="14.1" customHeight="1"/>
    <row r="269" ht="14.1" customHeight="1"/>
    <row r="270" ht="14.1" customHeight="1"/>
    <row r="271" ht="14.1" customHeight="1"/>
    <row r="272" ht="14.1" customHeight="1"/>
    <row r="273" ht="14.1" customHeight="1"/>
    <row r="274" ht="14.1" customHeight="1"/>
    <row r="275" ht="14.1" customHeight="1"/>
    <row r="276" ht="14.1" customHeight="1"/>
    <row r="277" ht="14.1" customHeight="1"/>
    <row r="278" ht="14.1" customHeight="1"/>
    <row r="279" ht="14.1" customHeight="1"/>
    <row r="280" ht="14.1" customHeight="1"/>
    <row r="281" ht="14.1" customHeight="1"/>
    <row r="282" ht="14.1" customHeight="1"/>
    <row r="283" ht="14.1" customHeight="1"/>
    <row r="284" ht="14.1" customHeight="1"/>
    <row r="285" ht="14.1" customHeight="1"/>
    <row r="286" ht="14.1" customHeight="1"/>
    <row r="287" ht="14.1" customHeight="1"/>
    <row r="288" ht="14.1" customHeight="1"/>
    <row r="289" ht="14.1" customHeight="1"/>
    <row r="290" ht="14.1" customHeight="1"/>
    <row r="291" ht="14.1" customHeight="1"/>
    <row r="292" ht="14.1" customHeight="1"/>
    <row r="293" ht="14.1" customHeight="1"/>
    <row r="294" ht="14.1" customHeight="1"/>
    <row r="295" ht="14.1" customHeight="1"/>
    <row r="296" ht="14.1" customHeight="1"/>
    <row r="297" ht="14.1" customHeight="1"/>
    <row r="298" ht="14.1" customHeight="1"/>
    <row r="299" ht="14.1" customHeight="1"/>
    <row r="300" ht="14.1" customHeight="1"/>
    <row r="301" ht="14.1" customHeight="1"/>
    <row r="302" ht="14.1" customHeight="1"/>
    <row r="303" ht="14.1" customHeight="1"/>
    <row r="304" ht="14.1" customHeight="1"/>
    <row r="305" ht="14.1" customHeight="1"/>
    <row r="306" ht="14.1" customHeight="1"/>
    <row r="307" ht="14.1" customHeight="1"/>
    <row r="308" ht="14.1" customHeight="1"/>
    <row r="309" ht="14.1" customHeight="1"/>
    <row r="310" ht="14.1" customHeight="1"/>
    <row r="311" ht="14.1" customHeight="1"/>
    <row r="312" ht="14.1" customHeight="1"/>
    <row r="313" ht="14.1" customHeight="1"/>
    <row r="314" ht="14.1" customHeight="1"/>
    <row r="315" ht="14.1" customHeight="1"/>
    <row r="316" ht="14.1" customHeight="1"/>
    <row r="317" ht="14.1" customHeight="1"/>
    <row r="318" ht="14.1" customHeight="1"/>
    <row r="319" ht="14.1" customHeight="1"/>
    <row r="320" ht="14.1" customHeight="1"/>
    <row r="321" ht="14.1" customHeight="1"/>
    <row r="322" ht="14.1" customHeight="1"/>
    <row r="323" ht="14.1" customHeight="1"/>
    <row r="324" ht="14.1" customHeight="1"/>
    <row r="325" ht="14.1" customHeight="1"/>
    <row r="326" ht="14.1" customHeight="1"/>
    <row r="327" ht="14.1" customHeight="1"/>
    <row r="328" ht="14.1" customHeight="1"/>
    <row r="329" ht="14.1" customHeight="1"/>
    <row r="330" ht="14.1" customHeight="1"/>
    <row r="331" ht="14.1" customHeight="1"/>
    <row r="332" ht="14.1" customHeight="1"/>
    <row r="333" ht="14.1" customHeight="1"/>
    <row r="334" ht="14.1" customHeight="1"/>
    <row r="335" ht="14.1" customHeight="1"/>
    <row r="336" ht="14.1" customHeight="1"/>
    <row r="337" ht="14.1" customHeight="1"/>
    <row r="338" ht="14.1" customHeight="1"/>
    <row r="339" ht="14.1" customHeight="1"/>
    <row r="340" ht="14.1" customHeight="1"/>
    <row r="341" ht="14.1" customHeight="1"/>
    <row r="342" ht="14.1" customHeight="1"/>
    <row r="343" ht="14.1" customHeight="1"/>
    <row r="344" ht="14.1" customHeight="1"/>
    <row r="345" ht="14.1" customHeight="1"/>
    <row r="346" ht="14.1" customHeight="1"/>
    <row r="347" ht="14.1" customHeight="1"/>
    <row r="348" ht="14.1" customHeight="1"/>
    <row r="349" ht="14.1" customHeight="1"/>
    <row r="350" ht="14.1" customHeight="1"/>
    <row r="351" ht="14.1" customHeight="1"/>
    <row r="352" ht="14.1" customHeight="1"/>
    <row r="353" ht="14.1" customHeight="1"/>
    <row r="354" ht="14.1" customHeight="1"/>
    <row r="355" ht="14.1" customHeight="1"/>
    <row r="356" ht="14.1" customHeight="1"/>
    <row r="357" ht="14.1" customHeight="1"/>
    <row r="358" ht="14.1" customHeight="1"/>
    <row r="359" ht="14.1" customHeight="1"/>
    <row r="360" ht="14.1" customHeight="1"/>
    <row r="361" ht="14.1" customHeight="1"/>
    <row r="362" ht="14.1" customHeight="1"/>
    <row r="363" ht="14.1" customHeight="1"/>
    <row r="364" ht="14.1" customHeight="1"/>
    <row r="365" ht="14.1" customHeight="1"/>
    <row r="366" ht="14.1" customHeight="1"/>
    <row r="367" ht="14.1" customHeight="1"/>
    <row r="368" ht="14.1" customHeight="1"/>
    <row r="369" ht="14.1" customHeight="1"/>
    <row r="370" ht="14.1" customHeight="1"/>
    <row r="371" ht="14.1" customHeight="1"/>
    <row r="372" ht="14.1" customHeight="1"/>
    <row r="373" ht="14.1" customHeight="1"/>
    <row r="374" ht="14.1" customHeight="1"/>
    <row r="375" ht="14.1" customHeight="1"/>
    <row r="376" ht="14.1" customHeight="1"/>
    <row r="377" ht="14.1" customHeight="1"/>
    <row r="378" ht="14.1" customHeight="1"/>
    <row r="379" ht="14.1" customHeight="1"/>
    <row r="380" ht="14.1" customHeight="1"/>
    <row r="381" ht="14.1" customHeight="1"/>
    <row r="382" ht="14.1" customHeight="1"/>
    <row r="383" ht="14.1" customHeight="1"/>
    <row r="384" ht="14.1" customHeight="1"/>
    <row r="385" ht="14.1" customHeight="1"/>
    <row r="386" ht="14.1" customHeight="1"/>
    <row r="387" ht="14.1" customHeight="1"/>
    <row r="388" ht="14.1" customHeight="1"/>
    <row r="389" ht="14.1" customHeight="1"/>
    <row r="390" ht="14.1" customHeight="1"/>
    <row r="391" ht="14.1" customHeight="1"/>
    <row r="392" ht="14.1" customHeight="1"/>
    <row r="393" ht="14.1" customHeight="1"/>
    <row r="394" ht="14.1" customHeight="1"/>
    <row r="395" ht="14.1" customHeight="1"/>
    <row r="396" ht="14.1" customHeight="1"/>
    <row r="397" ht="14.1" customHeight="1"/>
    <row r="398" ht="14.1" customHeight="1"/>
    <row r="399" ht="14.1" customHeight="1"/>
    <row r="400" ht="14.1" customHeight="1"/>
    <row r="401" ht="14.1" customHeight="1"/>
    <row r="402" ht="14.1" customHeight="1"/>
    <row r="403" ht="14.1" customHeight="1"/>
    <row r="404" ht="14.1" customHeight="1"/>
    <row r="405" ht="14.1" customHeight="1"/>
    <row r="406" ht="14.1" customHeight="1"/>
    <row r="407" ht="14.1" customHeight="1"/>
    <row r="408" ht="14.1" customHeight="1"/>
    <row r="409" ht="14.1" customHeight="1"/>
    <row r="410" ht="14.1" customHeight="1"/>
    <row r="411" ht="14.1" customHeight="1"/>
    <row r="412" ht="14.1" customHeight="1"/>
    <row r="413" ht="14.1" customHeight="1"/>
    <row r="414" ht="14.1" customHeight="1"/>
    <row r="415" ht="14.1" customHeight="1"/>
    <row r="416" ht="14.1" customHeight="1"/>
    <row r="417" ht="14.1" customHeight="1"/>
    <row r="418" ht="14.1" customHeight="1"/>
    <row r="419" ht="14.1" customHeight="1"/>
    <row r="420" ht="14.1" customHeight="1"/>
    <row r="421" ht="14.1" customHeight="1"/>
    <row r="422" ht="14.1" customHeight="1"/>
    <row r="423" ht="14.1" customHeight="1"/>
    <row r="424" ht="14.1" customHeight="1"/>
    <row r="425" ht="14.1" customHeight="1"/>
    <row r="426" ht="14.1" customHeight="1"/>
    <row r="427" ht="14.1" customHeight="1"/>
    <row r="428" ht="14.1" customHeight="1"/>
    <row r="429" ht="14.1" customHeight="1"/>
    <row r="430" ht="14.1" customHeight="1"/>
    <row r="431" ht="14.1" customHeight="1"/>
    <row r="432" ht="14.1" customHeight="1"/>
    <row r="433" ht="14.1" customHeight="1"/>
    <row r="434" ht="14.1" customHeight="1"/>
    <row r="435" ht="14.1" customHeight="1"/>
    <row r="436" ht="14.1" customHeight="1"/>
    <row r="437" ht="14.1" customHeight="1"/>
    <row r="438" ht="14.1" customHeight="1"/>
    <row r="439" ht="14.1" customHeight="1"/>
    <row r="440" ht="14.1" customHeight="1"/>
    <row r="441" ht="14.1" customHeight="1"/>
    <row r="442" ht="14.1" customHeight="1"/>
    <row r="443" ht="14.1" customHeight="1"/>
    <row r="444" ht="14.1" customHeight="1"/>
    <row r="445" ht="14.1" customHeight="1"/>
    <row r="446" ht="14.1" customHeight="1"/>
    <row r="447" ht="14.1" customHeight="1"/>
    <row r="448" ht="14.1" customHeight="1"/>
    <row r="449" ht="14.1" customHeight="1"/>
    <row r="450" ht="14.1" customHeight="1"/>
    <row r="451" ht="14.1" customHeight="1"/>
    <row r="452" ht="14.1" customHeight="1"/>
    <row r="453" ht="14.1" customHeight="1"/>
    <row r="454" ht="14.1" customHeight="1"/>
    <row r="455" ht="14.1" customHeight="1"/>
    <row r="456" ht="14.1" customHeight="1"/>
    <row r="457" ht="14.1" customHeight="1"/>
    <row r="458" ht="14.1" customHeight="1"/>
    <row r="459" ht="14.1" customHeight="1"/>
    <row r="460" ht="14.1" customHeight="1"/>
    <row r="461" ht="14.1" customHeight="1"/>
    <row r="462" ht="14.1" customHeight="1"/>
    <row r="463" ht="14.1" customHeight="1"/>
    <row r="464" ht="14.1" customHeight="1"/>
    <row r="465" ht="14.1" customHeight="1"/>
    <row r="466" ht="14.1" customHeight="1"/>
    <row r="467" ht="14.1" customHeight="1"/>
    <row r="468" ht="14.1" customHeight="1"/>
    <row r="469" ht="14.1" customHeight="1"/>
    <row r="470" ht="14.1" customHeight="1"/>
    <row r="471" ht="14.1" customHeight="1"/>
    <row r="472" ht="14.1" customHeight="1"/>
    <row r="473" ht="14.1" customHeight="1"/>
    <row r="474" ht="14.1" customHeight="1"/>
    <row r="475" ht="14.1" customHeight="1"/>
    <row r="476" ht="14.1" customHeight="1"/>
    <row r="477" ht="14.1" customHeight="1"/>
    <row r="478" ht="14.1" customHeight="1"/>
    <row r="479" ht="14.1" customHeight="1"/>
    <row r="480" ht="14.1" customHeight="1"/>
    <row r="481" ht="14.1" customHeight="1"/>
    <row r="482" ht="14.1" customHeight="1"/>
    <row r="483" ht="14.1" customHeight="1"/>
    <row r="484" ht="14.1" customHeight="1"/>
    <row r="485" ht="14.1" customHeight="1"/>
    <row r="486" ht="14.1" customHeight="1"/>
    <row r="487" ht="14.1" customHeight="1"/>
    <row r="488" ht="14.1" customHeight="1"/>
    <row r="489" ht="14.1" customHeight="1"/>
    <row r="490" ht="14.1" customHeight="1"/>
    <row r="491" ht="14.1" customHeight="1"/>
    <row r="492" ht="14.1" customHeight="1"/>
    <row r="493" ht="14.1" customHeight="1"/>
    <row r="494" ht="14.1" customHeight="1"/>
    <row r="495" ht="14.1" customHeight="1"/>
    <row r="496" ht="14.1" customHeight="1"/>
    <row r="497" ht="14.1" customHeight="1"/>
    <row r="498" ht="14.1" customHeight="1"/>
    <row r="499" ht="14.1" customHeight="1"/>
    <row r="500" ht="14.1" customHeight="1"/>
    <row r="501" ht="14.1" customHeight="1"/>
    <row r="502" ht="14.1" customHeight="1"/>
    <row r="503" ht="14.1" customHeight="1"/>
    <row r="504" ht="14.1" customHeight="1"/>
    <row r="505" ht="14.1" customHeight="1"/>
    <row r="506" ht="14.1" customHeight="1"/>
    <row r="507" ht="14.1" customHeight="1"/>
    <row r="508" ht="14.1" customHeight="1"/>
    <row r="509" ht="14.1" customHeight="1"/>
    <row r="510" ht="14.1" customHeight="1"/>
    <row r="511" ht="14.1" customHeight="1"/>
    <row r="512" ht="14.1" customHeight="1"/>
    <row r="513" ht="14.1" customHeight="1"/>
    <row r="514" ht="14.1" customHeight="1"/>
    <row r="515" ht="14.1" customHeight="1"/>
    <row r="516" ht="14.1" customHeight="1"/>
    <row r="517" ht="14.1" customHeight="1"/>
    <row r="518" ht="14.1" customHeight="1"/>
    <row r="519" ht="14.1" customHeight="1"/>
    <row r="520" ht="14.1" customHeight="1"/>
    <row r="521" ht="14.1" customHeight="1"/>
    <row r="522" ht="14.1" customHeight="1"/>
    <row r="523" ht="14.1" customHeight="1"/>
    <row r="524" ht="14.1" customHeight="1"/>
    <row r="525" ht="14.1" customHeight="1"/>
    <row r="526" ht="14.1" customHeight="1"/>
    <row r="527" ht="14.1" customHeight="1"/>
    <row r="528" ht="14.1" customHeight="1"/>
    <row r="529" ht="14.1" customHeight="1"/>
    <row r="530" ht="14.1" customHeight="1"/>
    <row r="531" ht="14.1" customHeight="1"/>
    <row r="532" ht="14.1" customHeight="1"/>
    <row r="533" ht="14.1" customHeight="1"/>
    <row r="534" ht="14.1" customHeight="1"/>
    <row r="535" ht="14.1" customHeight="1"/>
    <row r="536" ht="14.1" customHeight="1"/>
    <row r="537" ht="14.1" customHeight="1"/>
    <row r="538" ht="14.1" customHeight="1"/>
    <row r="539" ht="14.1" customHeight="1"/>
    <row r="540" ht="14.1" customHeight="1"/>
    <row r="541" ht="14.1" customHeight="1"/>
    <row r="542" ht="14.1" customHeight="1"/>
    <row r="543" ht="14.1" customHeight="1"/>
    <row r="544" ht="14.1" customHeight="1"/>
    <row r="545" ht="14.1" customHeight="1"/>
    <row r="546" ht="14.1" customHeight="1"/>
    <row r="547" ht="14.1" customHeight="1"/>
    <row r="548" ht="14.1" customHeight="1"/>
    <row r="549" ht="14.1" customHeight="1"/>
    <row r="550" ht="14.1" customHeight="1"/>
    <row r="551" ht="14.1" customHeight="1"/>
    <row r="552" ht="14.1" customHeight="1"/>
    <row r="553" ht="14.1" customHeight="1"/>
    <row r="554" ht="14.1" customHeight="1"/>
    <row r="555" ht="14.1" customHeight="1"/>
    <row r="556" ht="14.1" customHeight="1"/>
    <row r="557" ht="14.1" customHeight="1"/>
    <row r="558" ht="14.1" customHeight="1"/>
    <row r="559" ht="14.1" customHeight="1"/>
    <row r="560" ht="14.1" customHeight="1"/>
    <row r="561" ht="14.1" customHeight="1"/>
    <row r="562" ht="14.1" customHeight="1"/>
    <row r="563" ht="14.1" customHeight="1"/>
    <row r="564" ht="14.1" customHeight="1"/>
    <row r="565" ht="14.1" customHeight="1"/>
    <row r="566" ht="14.1" customHeight="1"/>
    <row r="567" ht="14.1" customHeight="1"/>
    <row r="568" ht="14.1" customHeight="1"/>
    <row r="569" ht="14.1" customHeight="1"/>
    <row r="570" ht="14.1" customHeight="1"/>
    <row r="571" ht="14.1" customHeight="1"/>
    <row r="572" ht="14.1" customHeight="1"/>
    <row r="573" ht="14.1" customHeight="1"/>
    <row r="574" ht="14.1" customHeight="1"/>
    <row r="575" ht="14.1" customHeight="1"/>
    <row r="576" ht="14.1" customHeight="1"/>
    <row r="577" ht="14.1" customHeight="1"/>
    <row r="578" ht="14.1" customHeight="1"/>
    <row r="579" ht="14.1" customHeight="1"/>
    <row r="580" ht="14.1" customHeight="1"/>
    <row r="581" ht="14.1" customHeight="1"/>
    <row r="582" ht="14.1" customHeight="1"/>
    <row r="583" ht="14.1" customHeight="1"/>
    <row r="584" ht="14.1" customHeight="1"/>
    <row r="585" ht="14.1" customHeight="1"/>
    <row r="586" ht="14.1" customHeight="1"/>
    <row r="587" ht="14.1" customHeight="1"/>
    <row r="588" ht="14.1" customHeight="1"/>
    <row r="589" ht="14.1" customHeight="1"/>
    <row r="590" ht="14.1" customHeight="1"/>
    <row r="591" ht="14.1" customHeight="1"/>
    <row r="592" ht="14.1" customHeight="1"/>
    <row r="593" ht="14.1" customHeight="1"/>
    <row r="594" ht="14.1" customHeight="1"/>
    <row r="595" ht="14.1" customHeight="1"/>
    <row r="596" ht="14.1" customHeight="1"/>
    <row r="597" ht="14.1" customHeight="1"/>
    <row r="598" ht="14.1" customHeight="1"/>
    <row r="599" ht="14.1" customHeight="1"/>
    <row r="600" ht="14.1" customHeight="1"/>
    <row r="601" ht="14.1" customHeight="1"/>
    <row r="602" ht="14.1" customHeight="1"/>
    <row r="603" ht="14.1" customHeight="1"/>
    <row r="604" ht="14.1" customHeight="1"/>
    <row r="605" ht="14.1" customHeight="1"/>
    <row r="606" ht="14.1" customHeight="1"/>
    <row r="607" ht="14.1" customHeight="1"/>
    <row r="608" ht="14.1" customHeight="1"/>
    <row r="609" ht="14.1" customHeight="1"/>
    <row r="610" ht="14.1" customHeight="1"/>
    <row r="611" ht="14.1" customHeight="1"/>
    <row r="612" ht="14.1" customHeight="1"/>
    <row r="613" ht="14.1" customHeight="1"/>
    <row r="614" ht="14.1" customHeight="1"/>
    <row r="615" ht="14.1" customHeight="1"/>
    <row r="616" ht="14.1" customHeight="1"/>
    <row r="617" ht="14.1" customHeight="1"/>
    <row r="618" ht="14.1" customHeight="1"/>
    <row r="619" ht="14.1" customHeight="1"/>
    <row r="620" ht="14.1" customHeight="1"/>
    <row r="621" ht="14.1" customHeight="1"/>
    <row r="622" ht="14.1" customHeight="1"/>
    <row r="623" ht="14.1" customHeight="1"/>
    <row r="624" ht="14.1" customHeight="1"/>
    <row r="625" ht="14.1" customHeight="1"/>
    <row r="626" ht="14.1" customHeight="1"/>
    <row r="627" ht="14.1" customHeight="1"/>
    <row r="628" ht="14.1" customHeight="1"/>
    <row r="629" ht="14.1" customHeight="1"/>
    <row r="630" ht="14.1" customHeight="1"/>
    <row r="631" ht="14.1" customHeight="1"/>
    <row r="632" ht="14.1" customHeight="1"/>
    <row r="633" ht="14.1" customHeight="1"/>
    <row r="634" ht="14.1" customHeight="1"/>
    <row r="635" ht="14.1" customHeight="1"/>
    <row r="636" ht="14.1" customHeight="1"/>
    <row r="637" ht="14.1" customHeight="1"/>
    <row r="638" ht="14.1" customHeight="1"/>
    <row r="639" ht="14.1" customHeight="1"/>
    <row r="640" ht="14.1" customHeight="1"/>
    <row r="641" ht="14.1" customHeight="1"/>
    <row r="642" ht="14.1" customHeight="1"/>
    <row r="643" ht="14.1" customHeight="1"/>
    <row r="644" ht="14.1" customHeight="1"/>
    <row r="645" ht="14.1" customHeight="1"/>
    <row r="646" ht="14.1" customHeight="1"/>
    <row r="647" ht="14.1" customHeight="1"/>
    <row r="648" ht="14.1" customHeight="1"/>
    <row r="649" ht="14.1" customHeight="1"/>
    <row r="650" ht="14.1" customHeight="1"/>
    <row r="651" ht="14.1" customHeight="1"/>
    <row r="652" ht="14.1" customHeight="1"/>
    <row r="653" ht="14.1" customHeight="1"/>
    <row r="654" ht="14.1" customHeight="1"/>
    <row r="655" ht="14.1" customHeight="1"/>
    <row r="656" ht="14.1" customHeight="1"/>
    <row r="657" ht="14.1" customHeight="1"/>
    <row r="658" ht="14.1" customHeight="1"/>
    <row r="659" ht="14.1" customHeight="1"/>
    <row r="660" ht="14.1" customHeight="1"/>
    <row r="661" ht="14.1" customHeight="1"/>
    <row r="662" ht="14.1" customHeight="1"/>
    <row r="663" ht="14.1" customHeight="1"/>
    <row r="664" ht="14.1" customHeight="1"/>
    <row r="665" ht="14.1" customHeight="1"/>
    <row r="666" ht="14.1" customHeight="1"/>
    <row r="667" ht="14.1" customHeight="1"/>
    <row r="668" ht="14.1" customHeight="1"/>
    <row r="669" ht="14.1" customHeight="1"/>
    <row r="670" ht="14.1" customHeight="1"/>
    <row r="671" ht="14.1" customHeight="1"/>
    <row r="672" ht="14.1" customHeight="1"/>
    <row r="673" ht="14.1" customHeight="1"/>
    <row r="674" ht="14.1" customHeight="1"/>
    <row r="675" ht="14.1" customHeight="1"/>
    <row r="676" ht="14.1" customHeight="1"/>
    <row r="677" ht="14.1" customHeight="1"/>
    <row r="678" ht="14.1" customHeight="1"/>
    <row r="679" ht="14.1" customHeight="1"/>
    <row r="680" ht="14.1" customHeight="1"/>
    <row r="681" ht="14.1" customHeight="1"/>
    <row r="682" ht="14.1" customHeight="1"/>
    <row r="683" ht="14.1" customHeight="1"/>
    <row r="684" ht="14.1" customHeight="1"/>
    <row r="685" ht="14.1" customHeight="1"/>
    <row r="686" ht="14.1" customHeight="1"/>
    <row r="687" ht="14.1" customHeight="1"/>
    <row r="688" ht="14.1" customHeight="1"/>
    <row r="689" ht="14.1" customHeight="1"/>
    <row r="690" ht="14.1" customHeight="1"/>
    <row r="691" ht="14.1" customHeight="1"/>
    <row r="692" ht="14.1" customHeight="1"/>
    <row r="693" ht="14.1" customHeight="1"/>
    <row r="694" ht="14.1" customHeight="1"/>
    <row r="695" ht="14.1" customHeight="1"/>
    <row r="696" ht="14.1" customHeight="1"/>
    <row r="697" ht="14.1" customHeight="1"/>
    <row r="698" ht="14.1" customHeight="1"/>
    <row r="699" ht="14.1" customHeight="1"/>
    <row r="700" ht="14.1" customHeight="1"/>
    <row r="701" ht="14.1" customHeight="1"/>
    <row r="702" ht="14.1" customHeight="1"/>
    <row r="703" ht="14.1" customHeight="1"/>
    <row r="704" ht="14.1" customHeight="1"/>
    <row r="705" ht="14.1" customHeight="1"/>
    <row r="706" ht="14.1" customHeight="1"/>
    <row r="707" ht="14.1" customHeight="1"/>
    <row r="708" ht="14.1" customHeight="1"/>
    <row r="709" ht="14.1" customHeight="1"/>
    <row r="710" ht="14.1" customHeight="1"/>
    <row r="711" ht="14.1" customHeight="1"/>
    <row r="712" ht="14.1" customHeight="1"/>
    <row r="713" ht="14.1" customHeight="1"/>
    <row r="714" ht="14.1" customHeight="1"/>
    <row r="715" ht="14.1" customHeight="1"/>
    <row r="716" ht="14.1" customHeight="1"/>
    <row r="717" ht="14.1" customHeight="1"/>
    <row r="718" ht="14.1" customHeight="1"/>
    <row r="719" ht="14.1" customHeight="1"/>
    <row r="720" ht="14.1" customHeight="1"/>
    <row r="721" ht="14.1" customHeight="1"/>
    <row r="722" ht="14.1" customHeight="1"/>
    <row r="723" ht="14.1" customHeight="1"/>
    <row r="724" ht="14.1" customHeight="1"/>
    <row r="725" ht="14.1" customHeight="1"/>
    <row r="726" ht="14.1" customHeight="1"/>
    <row r="727" ht="14.1" customHeight="1"/>
    <row r="728" ht="14.1" customHeight="1"/>
    <row r="729" ht="14.1" customHeight="1"/>
    <row r="730" ht="14.1" customHeight="1"/>
    <row r="731" ht="14.1" customHeight="1"/>
    <row r="732" ht="14.1" customHeight="1"/>
    <row r="733" ht="14.1" customHeight="1"/>
    <row r="734" ht="14.1" customHeight="1"/>
    <row r="735" ht="14.1" customHeight="1"/>
    <row r="736" ht="14.1" customHeight="1"/>
    <row r="737" ht="14.1" customHeight="1"/>
    <row r="738" ht="14.1" customHeight="1"/>
    <row r="739" ht="14.1" customHeight="1"/>
    <row r="740" ht="14.1" customHeight="1"/>
    <row r="741" ht="14.1" customHeight="1"/>
    <row r="742" ht="14.1" customHeight="1"/>
    <row r="743" ht="14.1" customHeight="1"/>
    <row r="744" ht="14.1" customHeight="1"/>
    <row r="745" ht="14.1" customHeight="1"/>
    <row r="746" ht="14.1" customHeight="1"/>
    <row r="747" ht="14.1" customHeight="1"/>
    <row r="748" ht="14.1" customHeight="1"/>
    <row r="749" ht="14.1" customHeight="1"/>
    <row r="750" ht="14.1" customHeight="1"/>
    <row r="751" ht="14.1" customHeight="1"/>
    <row r="752" ht="14.1" customHeight="1"/>
    <row r="753" ht="14.1" customHeight="1"/>
    <row r="754" ht="14.1" customHeight="1"/>
    <row r="755" ht="14.1" customHeight="1"/>
    <row r="756" ht="14.1" customHeight="1"/>
    <row r="757" ht="14.1" customHeight="1"/>
    <row r="758" ht="14.1" customHeight="1"/>
    <row r="759" ht="14.1" customHeight="1"/>
    <row r="760" ht="14.1" customHeight="1"/>
    <row r="761" ht="14.1" customHeight="1"/>
    <row r="762" ht="14.1" customHeight="1"/>
    <row r="763" ht="14.1" customHeight="1"/>
    <row r="764" ht="14.1" customHeight="1"/>
    <row r="765" ht="14.1" customHeight="1"/>
    <row r="766" ht="14.1" customHeight="1"/>
    <row r="767" ht="14.1" customHeight="1"/>
    <row r="768" ht="14.1" customHeight="1"/>
    <row r="769" ht="14.1" customHeight="1"/>
    <row r="770" ht="14.1" customHeight="1"/>
    <row r="771" ht="14.1" customHeight="1"/>
    <row r="772" ht="14.1" customHeight="1"/>
    <row r="773" ht="14.1" customHeight="1"/>
    <row r="774" ht="14.1" customHeight="1"/>
    <row r="775" ht="14.1" customHeight="1"/>
    <row r="776" ht="14.1" customHeight="1"/>
    <row r="777" ht="14.1" customHeight="1"/>
    <row r="778" ht="14.1" customHeight="1"/>
    <row r="779" ht="14.1" customHeight="1"/>
    <row r="780" ht="14.1" customHeight="1"/>
    <row r="781" ht="14.1" customHeight="1"/>
    <row r="782" ht="14.1" customHeight="1"/>
    <row r="783" ht="14.1" customHeight="1"/>
    <row r="784" ht="14.1" customHeight="1"/>
    <row r="785" ht="14.1" customHeight="1"/>
    <row r="786" ht="14.1" customHeight="1"/>
    <row r="787" ht="14.1" customHeight="1"/>
    <row r="788" ht="14.1" customHeight="1"/>
    <row r="789" ht="14.1" customHeight="1"/>
    <row r="790" ht="14.1" customHeight="1"/>
    <row r="791" ht="14.1" customHeight="1"/>
    <row r="792" ht="14.1" customHeight="1"/>
    <row r="793" ht="14.1" customHeight="1"/>
  </sheetData>
  <pageMargins left="0.61" right="0.16" top="0.87" bottom="0.21" header="0.16" footer="0.16"/>
  <pageSetup paperSize="8" scale="51" orientation="portrait"/>
  <headerFooter alignWithMargins="0">
    <oddFooter>&amp;L&amp;"Arial"&amp;7 &amp;KDAD4CE_x000D_# Internal_x000D_&amp;1#&amp;"Arial"&amp;7&amp;KDAD4CE Public</oddFooter>
  </headerFooter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>
    <tabColor rgb="FF92D050"/>
    <pageSetUpPr fitToPage="1"/>
  </sheetPr>
  <dimension ref="A1:U793"/>
  <sheetViews>
    <sheetView zoomScale="80" zoomScaleNormal="80" workbookViewId="0">
      <pane ySplit="4" topLeftCell="A42" activePane="bottomLeft" state="frozen"/>
      <selection activeCell="A16" sqref="A16"/>
      <selection pane="bottomLeft" activeCell="R5" sqref="R5:R41"/>
    </sheetView>
  </sheetViews>
  <sheetFormatPr defaultColWidth="8.85546875" defaultRowHeight="15" customHeight="1"/>
  <cols>
    <col min="1" max="1" width="4.140625" style="3" customWidth="1"/>
    <col min="2" max="3" width="8.5703125" style="20" customWidth="1"/>
    <col min="4" max="4" width="14.5703125" style="3" customWidth="1"/>
    <col min="5" max="5" width="20.5703125" style="20" customWidth="1"/>
    <col min="6" max="6" width="8.5703125" style="3" customWidth="1"/>
    <col min="7" max="7" width="32.5703125" style="2" customWidth="1"/>
    <col min="8" max="8" width="18.5703125" style="3" customWidth="1"/>
    <col min="9" max="9" width="62.5703125" style="2" customWidth="1"/>
    <col min="10" max="12" width="9.5703125" style="3" customWidth="1"/>
    <col min="13" max="13" width="10.5703125" style="3" customWidth="1"/>
    <col min="14" max="14" width="8.5703125" style="3" customWidth="1"/>
    <col min="15" max="15" width="10.5703125" style="3" customWidth="1"/>
    <col min="16" max="16" width="5.5703125" style="3" customWidth="1"/>
    <col min="17" max="17" width="1.5703125" style="2" customWidth="1"/>
    <col min="18" max="18" width="10.5703125" style="30" customWidth="1"/>
    <col min="19" max="19" width="1.5703125" style="2" customWidth="1"/>
    <col min="20" max="21" width="10.5703125" style="2" customWidth="1"/>
    <col min="22" max="206" width="8.85546875" style="2" customWidth="1"/>
    <col min="207" max="207" width="8.140625" style="2" customWidth="1"/>
    <col min="208" max="208" width="14.5703125" style="2" customWidth="1"/>
    <col min="209" max="209" width="37.42578125" style="2" customWidth="1"/>
    <col min="210" max="210" width="63.140625" style="2" customWidth="1"/>
    <col min="211" max="211" width="20" style="2" customWidth="1"/>
    <col min="212" max="212" width="11.140625" style="2" customWidth="1"/>
    <col min="213" max="213" width="10.85546875" style="2" customWidth="1"/>
    <col min="214" max="214" width="21" style="2" customWidth="1"/>
    <col min="215" max="215" width="10.85546875" style="2" customWidth="1"/>
    <col min="216" max="216" width="17.42578125" style="2" customWidth="1"/>
    <col min="217" max="217" width="14.85546875" style="2" customWidth="1"/>
    <col min="218" max="218" width="15" style="2" customWidth="1"/>
    <col min="219" max="219" width="14.85546875" style="2" customWidth="1"/>
    <col min="220" max="220" width="7.140625" style="2" customWidth="1"/>
    <col min="221" max="222" width="20.140625" style="2" customWidth="1"/>
    <col min="223" max="223" width="18.42578125" style="2" customWidth="1"/>
    <col min="224" max="224" width="9.140625" style="2" customWidth="1"/>
    <col min="225" max="225" width="12" style="2" customWidth="1"/>
    <col min="226" max="226" width="14.85546875" style="2" customWidth="1"/>
    <col min="227" max="227" width="22.42578125" style="2" customWidth="1"/>
    <col min="228" max="228" width="14.85546875" style="2" customWidth="1"/>
    <col min="229" max="229" width="7.140625" style="2" customWidth="1"/>
    <col min="230" max="230" width="20.140625" style="2" customWidth="1"/>
    <col min="231" max="462" width="8.85546875" style="2" customWidth="1"/>
    <col min="463" max="463" width="8.140625" style="2" customWidth="1"/>
    <col min="464" max="464" width="14.5703125" style="2" customWidth="1"/>
    <col min="465" max="465" width="37.42578125" style="2" customWidth="1"/>
    <col min="466" max="466" width="63.140625" style="2" customWidth="1"/>
    <col min="467" max="467" width="20" style="2" customWidth="1"/>
    <col min="468" max="468" width="11.140625" style="2" customWidth="1"/>
    <col min="469" max="469" width="10.85546875" style="2" customWidth="1"/>
    <col min="470" max="470" width="21" style="2" customWidth="1"/>
    <col min="471" max="471" width="10.85546875" style="2" customWidth="1"/>
    <col min="472" max="472" width="17.42578125" style="2" customWidth="1"/>
    <col min="473" max="473" width="14.85546875" style="2" customWidth="1"/>
    <col min="474" max="474" width="15" style="2" customWidth="1"/>
    <col min="475" max="475" width="14.85546875" style="2" customWidth="1"/>
    <col min="476" max="476" width="7.140625" style="2" customWidth="1"/>
    <col min="477" max="478" width="20.140625" style="2" customWidth="1"/>
    <col min="479" max="479" width="18.42578125" style="2" customWidth="1"/>
    <col min="480" max="480" width="9.140625" style="2" customWidth="1"/>
    <col min="481" max="481" width="12" style="2" customWidth="1"/>
    <col min="482" max="482" width="14.85546875" style="2" customWidth="1"/>
    <col min="483" max="483" width="22.42578125" style="2" customWidth="1"/>
    <col min="484" max="484" width="14.85546875" style="2" customWidth="1"/>
    <col min="485" max="485" width="7.140625" style="2" customWidth="1"/>
    <col min="486" max="486" width="20.140625" style="2" customWidth="1"/>
    <col min="487" max="718" width="8.85546875" style="2" customWidth="1"/>
    <col min="719" max="719" width="8.140625" style="2" customWidth="1"/>
    <col min="720" max="720" width="14.5703125" style="2" customWidth="1"/>
    <col min="721" max="721" width="37.42578125" style="2" customWidth="1"/>
    <col min="722" max="722" width="63.140625" style="2" customWidth="1"/>
    <col min="723" max="723" width="20" style="2" customWidth="1"/>
    <col min="724" max="724" width="11.140625" style="2" customWidth="1"/>
    <col min="725" max="725" width="10.85546875" style="2" customWidth="1"/>
    <col min="726" max="726" width="21" style="2" customWidth="1"/>
    <col min="727" max="727" width="10.85546875" style="2" customWidth="1"/>
    <col min="728" max="728" width="17.42578125" style="2" customWidth="1"/>
    <col min="729" max="729" width="14.85546875" style="2" customWidth="1"/>
    <col min="730" max="730" width="15" style="2" customWidth="1"/>
    <col min="731" max="731" width="14.85546875" style="2" customWidth="1"/>
    <col min="732" max="732" width="7.140625" style="2" customWidth="1"/>
    <col min="733" max="734" width="20.140625" style="2" customWidth="1"/>
    <col min="735" max="735" width="18.42578125" style="2" customWidth="1"/>
    <col min="736" max="736" width="9.140625" style="2" customWidth="1"/>
    <col min="737" max="737" width="12" style="2" customWidth="1"/>
    <col min="738" max="738" width="14.85546875" style="2" customWidth="1"/>
    <col min="739" max="739" width="22.42578125" style="2" customWidth="1"/>
    <col min="740" max="740" width="14.85546875" style="2" customWidth="1"/>
    <col min="741" max="741" width="7.140625" style="2" customWidth="1"/>
    <col min="742" max="742" width="20.140625" style="2" customWidth="1"/>
    <col min="743" max="974" width="8.85546875" style="2" customWidth="1"/>
    <col min="975" max="975" width="8.140625" style="2" customWidth="1"/>
    <col min="976" max="976" width="14.5703125" style="2" customWidth="1"/>
    <col min="977" max="977" width="37.42578125" style="2" customWidth="1"/>
    <col min="978" max="978" width="63.140625" style="2" customWidth="1"/>
    <col min="979" max="979" width="20" style="2" customWidth="1"/>
    <col min="980" max="980" width="11.140625" style="2" customWidth="1"/>
    <col min="981" max="981" width="10.85546875" style="2" customWidth="1"/>
    <col min="982" max="982" width="21" style="2" customWidth="1"/>
    <col min="983" max="983" width="10.85546875" style="2" customWidth="1"/>
    <col min="984" max="984" width="17.42578125" style="2" customWidth="1"/>
    <col min="985" max="985" width="14.85546875" style="2" customWidth="1"/>
    <col min="986" max="986" width="15" style="2" customWidth="1"/>
    <col min="987" max="987" width="14.85546875" style="2" customWidth="1"/>
    <col min="988" max="988" width="7.140625" style="2" customWidth="1"/>
    <col min="989" max="990" width="20.140625" style="2" customWidth="1"/>
    <col min="991" max="991" width="18.42578125" style="2" customWidth="1"/>
    <col min="992" max="992" width="9.140625" style="2" customWidth="1"/>
    <col min="993" max="993" width="12" style="2" customWidth="1"/>
    <col min="994" max="994" width="14.85546875" style="2" customWidth="1"/>
    <col min="995" max="995" width="22.42578125" style="2" customWidth="1"/>
    <col min="996" max="996" width="14.85546875" style="2" customWidth="1"/>
    <col min="997" max="997" width="7.140625" style="2" customWidth="1"/>
    <col min="998" max="998" width="20.140625" style="2" customWidth="1"/>
    <col min="999" max="1230" width="8.85546875" style="2" customWidth="1"/>
    <col min="1231" max="1231" width="8.140625" style="2" customWidth="1"/>
    <col min="1232" max="1232" width="14.5703125" style="2" customWidth="1"/>
    <col min="1233" max="1233" width="37.42578125" style="2" customWidth="1"/>
    <col min="1234" max="1234" width="63.140625" style="2" customWidth="1"/>
    <col min="1235" max="1235" width="20" style="2" customWidth="1"/>
    <col min="1236" max="1236" width="11.140625" style="2" customWidth="1"/>
    <col min="1237" max="1237" width="10.85546875" style="2" customWidth="1"/>
    <col min="1238" max="1238" width="21" style="2" customWidth="1"/>
    <col min="1239" max="1239" width="10.85546875" style="2" customWidth="1"/>
    <col min="1240" max="1240" width="17.42578125" style="2" customWidth="1"/>
    <col min="1241" max="1241" width="14.85546875" style="2" customWidth="1"/>
    <col min="1242" max="1242" width="15" style="2" customWidth="1"/>
    <col min="1243" max="1243" width="14.85546875" style="2" customWidth="1"/>
    <col min="1244" max="1244" width="7.140625" style="2" customWidth="1"/>
    <col min="1245" max="1246" width="20.140625" style="2" customWidth="1"/>
    <col min="1247" max="1247" width="18.42578125" style="2" customWidth="1"/>
    <col min="1248" max="1248" width="9.140625" style="2" customWidth="1"/>
    <col min="1249" max="1249" width="12" style="2" customWidth="1"/>
    <col min="1250" max="1250" width="14.85546875" style="2" customWidth="1"/>
    <col min="1251" max="1251" width="22.42578125" style="2" customWidth="1"/>
    <col min="1252" max="1252" width="14.85546875" style="2" customWidth="1"/>
    <col min="1253" max="1253" width="7.140625" style="2" customWidth="1"/>
    <col min="1254" max="1254" width="20.140625" style="2" customWidth="1"/>
    <col min="1255" max="1486" width="8.85546875" style="2" customWidth="1"/>
    <col min="1487" max="1487" width="8.140625" style="2" customWidth="1"/>
    <col min="1488" max="1488" width="14.5703125" style="2" customWidth="1"/>
    <col min="1489" max="1489" width="37.42578125" style="2" customWidth="1"/>
    <col min="1490" max="1490" width="63.140625" style="2" customWidth="1"/>
    <col min="1491" max="1491" width="20" style="2" customWidth="1"/>
    <col min="1492" max="1492" width="11.140625" style="2" customWidth="1"/>
    <col min="1493" max="1493" width="10.85546875" style="2" customWidth="1"/>
    <col min="1494" max="1494" width="21" style="2" customWidth="1"/>
    <col min="1495" max="1495" width="10.85546875" style="2" customWidth="1"/>
    <col min="1496" max="1496" width="17.42578125" style="2" customWidth="1"/>
    <col min="1497" max="1497" width="14.85546875" style="2" customWidth="1"/>
    <col min="1498" max="1498" width="15" style="2" customWidth="1"/>
    <col min="1499" max="1499" width="14.85546875" style="2" customWidth="1"/>
    <col min="1500" max="1500" width="7.140625" style="2" customWidth="1"/>
    <col min="1501" max="1502" width="20.140625" style="2" customWidth="1"/>
    <col min="1503" max="1503" width="18.42578125" style="2" customWidth="1"/>
    <col min="1504" max="1504" width="9.140625" style="2" customWidth="1"/>
    <col min="1505" max="1505" width="12" style="2" customWidth="1"/>
    <col min="1506" max="1506" width="14.85546875" style="2" customWidth="1"/>
    <col min="1507" max="1507" width="22.42578125" style="2" customWidth="1"/>
    <col min="1508" max="1508" width="14.85546875" style="2" customWidth="1"/>
    <col min="1509" max="1509" width="7.140625" style="2" customWidth="1"/>
    <col min="1510" max="1510" width="20.140625" style="2" customWidth="1"/>
    <col min="1511" max="1742" width="8.85546875" style="2" customWidth="1"/>
    <col min="1743" max="1743" width="8.140625" style="2" customWidth="1"/>
    <col min="1744" max="1744" width="14.5703125" style="2" customWidth="1"/>
    <col min="1745" max="1745" width="37.42578125" style="2" customWidth="1"/>
    <col min="1746" max="1746" width="63.140625" style="2" customWidth="1"/>
    <col min="1747" max="1747" width="20" style="2" customWidth="1"/>
    <col min="1748" max="1748" width="11.140625" style="2" customWidth="1"/>
    <col min="1749" max="1749" width="10.85546875" style="2" customWidth="1"/>
    <col min="1750" max="1750" width="21" style="2" customWidth="1"/>
    <col min="1751" max="1751" width="10.85546875" style="2" customWidth="1"/>
    <col min="1752" max="1752" width="17.42578125" style="2" customWidth="1"/>
    <col min="1753" max="1753" width="14.85546875" style="2" customWidth="1"/>
    <col min="1754" max="1754" width="15" style="2" customWidth="1"/>
    <col min="1755" max="1755" width="14.85546875" style="2" customWidth="1"/>
    <col min="1756" max="1756" width="7.140625" style="2" customWidth="1"/>
    <col min="1757" max="1758" width="20.140625" style="2" customWidth="1"/>
    <col min="1759" max="1759" width="18.42578125" style="2" customWidth="1"/>
    <col min="1760" max="1760" width="9.140625" style="2" customWidth="1"/>
    <col min="1761" max="1761" width="12" style="2" customWidth="1"/>
    <col min="1762" max="1762" width="14.85546875" style="2" customWidth="1"/>
    <col min="1763" max="1763" width="22.42578125" style="2" customWidth="1"/>
    <col min="1764" max="1764" width="14.85546875" style="2" customWidth="1"/>
    <col min="1765" max="1765" width="7.140625" style="2" customWidth="1"/>
    <col min="1766" max="1766" width="20.140625" style="2" customWidth="1"/>
    <col min="1767" max="1998" width="8.85546875" style="2" customWidth="1"/>
    <col min="1999" max="1999" width="8.140625" style="2" customWidth="1"/>
    <col min="2000" max="2000" width="14.5703125" style="2" customWidth="1"/>
    <col min="2001" max="2001" width="37.42578125" style="2" customWidth="1"/>
    <col min="2002" max="2002" width="63.140625" style="2" customWidth="1"/>
    <col min="2003" max="2003" width="20" style="2" customWidth="1"/>
    <col min="2004" max="2004" width="11.140625" style="2" customWidth="1"/>
    <col min="2005" max="2005" width="10.85546875" style="2" customWidth="1"/>
    <col min="2006" max="2006" width="21" style="2" customWidth="1"/>
    <col min="2007" max="2007" width="10.85546875" style="2" customWidth="1"/>
    <col min="2008" max="2008" width="17.42578125" style="2" customWidth="1"/>
    <col min="2009" max="2009" width="14.85546875" style="2" customWidth="1"/>
    <col min="2010" max="2010" width="15" style="2" customWidth="1"/>
    <col min="2011" max="2011" width="14.85546875" style="2" customWidth="1"/>
    <col min="2012" max="2012" width="7.140625" style="2" customWidth="1"/>
    <col min="2013" max="2014" width="20.140625" style="2" customWidth="1"/>
    <col min="2015" max="2015" width="18.42578125" style="2" customWidth="1"/>
    <col min="2016" max="2016" width="9.140625" style="2" customWidth="1"/>
    <col min="2017" max="2017" width="12" style="2" customWidth="1"/>
    <col min="2018" max="2018" width="14.85546875" style="2" customWidth="1"/>
    <col min="2019" max="2019" width="22.42578125" style="2" customWidth="1"/>
    <col min="2020" max="2020" width="14.85546875" style="2" customWidth="1"/>
    <col min="2021" max="2021" width="7.140625" style="2" customWidth="1"/>
    <col min="2022" max="2022" width="20.140625" style="2" customWidth="1"/>
    <col min="2023" max="2254" width="8.85546875" style="2" customWidth="1"/>
    <col min="2255" max="2255" width="8.140625" style="2" customWidth="1"/>
    <col min="2256" max="2256" width="14.5703125" style="2" customWidth="1"/>
    <col min="2257" max="2257" width="37.42578125" style="2" customWidth="1"/>
    <col min="2258" max="2258" width="63.140625" style="2" customWidth="1"/>
    <col min="2259" max="2259" width="20" style="2" customWidth="1"/>
    <col min="2260" max="2260" width="11.140625" style="2" customWidth="1"/>
    <col min="2261" max="2261" width="10.85546875" style="2" customWidth="1"/>
    <col min="2262" max="2262" width="21" style="2" customWidth="1"/>
    <col min="2263" max="2263" width="10.85546875" style="2" customWidth="1"/>
    <col min="2264" max="2264" width="17.42578125" style="2" customWidth="1"/>
    <col min="2265" max="2265" width="14.85546875" style="2" customWidth="1"/>
    <col min="2266" max="2266" width="15" style="2" customWidth="1"/>
    <col min="2267" max="2267" width="14.85546875" style="2" customWidth="1"/>
    <col min="2268" max="2268" width="7.140625" style="2" customWidth="1"/>
    <col min="2269" max="2270" width="20.140625" style="2" customWidth="1"/>
    <col min="2271" max="2271" width="18.42578125" style="2" customWidth="1"/>
    <col min="2272" max="2272" width="9.140625" style="2" customWidth="1"/>
    <col min="2273" max="2273" width="12" style="2" customWidth="1"/>
    <col min="2274" max="2274" width="14.85546875" style="2" customWidth="1"/>
    <col min="2275" max="2275" width="22.42578125" style="2" customWidth="1"/>
    <col min="2276" max="2276" width="14.85546875" style="2" customWidth="1"/>
    <col min="2277" max="2277" width="7.140625" style="2" customWidth="1"/>
    <col min="2278" max="2278" width="20.140625" style="2" customWidth="1"/>
    <col min="2279" max="2510" width="8.85546875" style="2" customWidth="1"/>
    <col min="2511" max="2511" width="8.140625" style="2" customWidth="1"/>
    <col min="2512" max="2512" width="14.5703125" style="2" customWidth="1"/>
    <col min="2513" max="2513" width="37.42578125" style="2" customWidth="1"/>
    <col min="2514" max="2514" width="63.140625" style="2" customWidth="1"/>
    <col min="2515" max="2515" width="20" style="2" customWidth="1"/>
    <col min="2516" max="2516" width="11.140625" style="2" customWidth="1"/>
    <col min="2517" max="2517" width="10.85546875" style="2" customWidth="1"/>
    <col min="2518" max="2518" width="21" style="2" customWidth="1"/>
    <col min="2519" max="2519" width="10.85546875" style="2" customWidth="1"/>
    <col min="2520" max="2520" width="17.42578125" style="2" customWidth="1"/>
    <col min="2521" max="2521" width="14.85546875" style="2" customWidth="1"/>
    <col min="2522" max="2522" width="15" style="2" customWidth="1"/>
    <col min="2523" max="2523" width="14.85546875" style="2" customWidth="1"/>
    <col min="2524" max="2524" width="7.140625" style="2" customWidth="1"/>
    <col min="2525" max="2526" width="20.140625" style="2" customWidth="1"/>
    <col min="2527" max="2527" width="18.42578125" style="2" customWidth="1"/>
    <col min="2528" max="2528" width="9.140625" style="2" customWidth="1"/>
    <col min="2529" max="2529" width="12" style="2" customWidth="1"/>
    <col min="2530" max="2530" width="14.85546875" style="2" customWidth="1"/>
    <col min="2531" max="2531" width="22.42578125" style="2" customWidth="1"/>
    <col min="2532" max="2532" width="14.85546875" style="2" customWidth="1"/>
    <col min="2533" max="2533" width="7.140625" style="2" customWidth="1"/>
    <col min="2534" max="2534" width="20.140625" style="2" customWidth="1"/>
    <col min="2535" max="2766" width="8.85546875" style="2" customWidth="1"/>
    <col min="2767" max="2767" width="8.140625" style="2" customWidth="1"/>
    <col min="2768" max="2768" width="14.5703125" style="2" customWidth="1"/>
    <col min="2769" max="2769" width="37.42578125" style="2" customWidth="1"/>
    <col min="2770" max="2770" width="63.140625" style="2" customWidth="1"/>
    <col min="2771" max="2771" width="20" style="2" customWidth="1"/>
    <col min="2772" max="2772" width="11.140625" style="2" customWidth="1"/>
    <col min="2773" max="2773" width="10.85546875" style="2" customWidth="1"/>
    <col min="2774" max="2774" width="21" style="2" customWidth="1"/>
    <col min="2775" max="2775" width="10.85546875" style="2" customWidth="1"/>
    <col min="2776" max="2776" width="17.42578125" style="2" customWidth="1"/>
    <col min="2777" max="2777" width="14.85546875" style="2" customWidth="1"/>
    <col min="2778" max="2778" width="15" style="2" customWidth="1"/>
    <col min="2779" max="2779" width="14.85546875" style="2" customWidth="1"/>
    <col min="2780" max="2780" width="7.140625" style="2" customWidth="1"/>
    <col min="2781" max="2782" width="20.140625" style="2" customWidth="1"/>
    <col min="2783" max="2783" width="18.42578125" style="2" customWidth="1"/>
    <col min="2784" max="2784" width="9.140625" style="2" customWidth="1"/>
    <col min="2785" max="2785" width="12" style="2" customWidth="1"/>
    <col min="2786" max="2786" width="14.85546875" style="2" customWidth="1"/>
    <col min="2787" max="2787" width="22.42578125" style="2" customWidth="1"/>
    <col min="2788" max="2788" width="14.85546875" style="2" customWidth="1"/>
    <col min="2789" max="2789" width="7.140625" style="2" customWidth="1"/>
    <col min="2790" max="2790" width="20.140625" style="2" customWidth="1"/>
    <col min="2791" max="3022" width="8.85546875" style="2" customWidth="1"/>
    <col min="3023" max="3023" width="8.140625" style="2" customWidth="1"/>
    <col min="3024" max="3024" width="14.5703125" style="2" customWidth="1"/>
    <col min="3025" max="3025" width="37.42578125" style="2" customWidth="1"/>
    <col min="3026" max="3026" width="63.140625" style="2" customWidth="1"/>
    <col min="3027" max="3027" width="20" style="2" customWidth="1"/>
    <col min="3028" max="3028" width="11.140625" style="2" customWidth="1"/>
    <col min="3029" max="3029" width="10.85546875" style="2" customWidth="1"/>
    <col min="3030" max="3030" width="21" style="2" customWidth="1"/>
    <col min="3031" max="3031" width="10.85546875" style="2" customWidth="1"/>
    <col min="3032" max="3032" width="17.42578125" style="2" customWidth="1"/>
    <col min="3033" max="3033" width="14.85546875" style="2" customWidth="1"/>
    <col min="3034" max="3034" width="15" style="2" customWidth="1"/>
    <col min="3035" max="3035" width="14.85546875" style="2" customWidth="1"/>
    <col min="3036" max="3036" width="7.140625" style="2" customWidth="1"/>
    <col min="3037" max="3038" width="20.140625" style="2" customWidth="1"/>
    <col min="3039" max="3039" width="18.42578125" style="2" customWidth="1"/>
    <col min="3040" max="3040" width="9.140625" style="2" customWidth="1"/>
    <col min="3041" max="3041" width="12" style="2" customWidth="1"/>
    <col min="3042" max="3042" width="14.85546875" style="2" customWidth="1"/>
    <col min="3043" max="3043" width="22.42578125" style="2" customWidth="1"/>
    <col min="3044" max="3044" width="14.85546875" style="2" customWidth="1"/>
    <col min="3045" max="3045" width="7.140625" style="2" customWidth="1"/>
    <col min="3046" max="3046" width="20.140625" style="2" customWidth="1"/>
    <col min="3047" max="3278" width="8.85546875" style="2" customWidth="1"/>
    <col min="3279" max="3279" width="8.140625" style="2" customWidth="1"/>
    <col min="3280" max="3280" width="14.5703125" style="2" customWidth="1"/>
    <col min="3281" max="3281" width="37.42578125" style="2" customWidth="1"/>
    <col min="3282" max="3282" width="63.140625" style="2" customWidth="1"/>
    <col min="3283" max="3283" width="20" style="2" customWidth="1"/>
    <col min="3284" max="3284" width="11.140625" style="2" customWidth="1"/>
    <col min="3285" max="3285" width="10.85546875" style="2" customWidth="1"/>
    <col min="3286" max="3286" width="21" style="2" customWidth="1"/>
    <col min="3287" max="3287" width="10.85546875" style="2" customWidth="1"/>
    <col min="3288" max="3288" width="17.42578125" style="2" customWidth="1"/>
    <col min="3289" max="3289" width="14.85546875" style="2" customWidth="1"/>
    <col min="3290" max="3290" width="15" style="2" customWidth="1"/>
    <col min="3291" max="3291" width="14.85546875" style="2" customWidth="1"/>
    <col min="3292" max="3292" width="7.140625" style="2" customWidth="1"/>
    <col min="3293" max="3294" width="20.140625" style="2" customWidth="1"/>
    <col min="3295" max="3295" width="18.42578125" style="2" customWidth="1"/>
    <col min="3296" max="3296" width="9.140625" style="2" customWidth="1"/>
    <col min="3297" max="3297" width="12" style="2" customWidth="1"/>
    <col min="3298" max="3298" width="14.85546875" style="2" customWidth="1"/>
    <col min="3299" max="3299" width="22.42578125" style="2" customWidth="1"/>
    <col min="3300" max="3300" width="14.85546875" style="2" customWidth="1"/>
    <col min="3301" max="3301" width="7.140625" style="2" customWidth="1"/>
    <col min="3302" max="3302" width="20.140625" style="2" customWidth="1"/>
    <col min="3303" max="3534" width="8.85546875" style="2" customWidth="1"/>
    <col min="3535" max="3535" width="8.140625" style="2" customWidth="1"/>
    <col min="3536" max="3536" width="14.5703125" style="2" customWidth="1"/>
    <col min="3537" max="3537" width="37.42578125" style="2" customWidth="1"/>
    <col min="3538" max="3538" width="63.140625" style="2" customWidth="1"/>
    <col min="3539" max="3539" width="20" style="2" customWidth="1"/>
    <col min="3540" max="3540" width="11.140625" style="2" customWidth="1"/>
    <col min="3541" max="3541" width="10.85546875" style="2" customWidth="1"/>
    <col min="3542" max="3542" width="21" style="2" customWidth="1"/>
    <col min="3543" max="3543" width="10.85546875" style="2" customWidth="1"/>
    <col min="3544" max="3544" width="17.42578125" style="2" customWidth="1"/>
    <col min="3545" max="3545" width="14.85546875" style="2" customWidth="1"/>
    <col min="3546" max="3546" width="15" style="2" customWidth="1"/>
    <col min="3547" max="3547" width="14.85546875" style="2" customWidth="1"/>
    <col min="3548" max="3548" width="7.140625" style="2" customWidth="1"/>
    <col min="3549" max="3550" width="20.140625" style="2" customWidth="1"/>
    <col min="3551" max="3551" width="18.42578125" style="2" customWidth="1"/>
    <col min="3552" max="3552" width="9.140625" style="2" customWidth="1"/>
    <col min="3553" max="3553" width="12" style="2" customWidth="1"/>
    <col min="3554" max="3554" width="14.85546875" style="2" customWidth="1"/>
    <col min="3555" max="3555" width="22.42578125" style="2" customWidth="1"/>
    <col min="3556" max="3556" width="14.85546875" style="2" customWidth="1"/>
    <col min="3557" max="3557" width="7.140625" style="2" customWidth="1"/>
    <col min="3558" max="3558" width="20.140625" style="2" customWidth="1"/>
    <col min="3559" max="3790" width="8.85546875" style="2" customWidth="1"/>
    <col min="3791" max="3791" width="8.140625" style="2" customWidth="1"/>
    <col min="3792" max="3792" width="14.5703125" style="2" customWidth="1"/>
    <col min="3793" max="3793" width="37.42578125" style="2" customWidth="1"/>
    <col min="3794" max="3794" width="63.140625" style="2" customWidth="1"/>
    <col min="3795" max="3795" width="20" style="2" customWidth="1"/>
    <col min="3796" max="3796" width="11.140625" style="2" customWidth="1"/>
    <col min="3797" max="3797" width="10.85546875" style="2" customWidth="1"/>
    <col min="3798" max="3798" width="21" style="2" customWidth="1"/>
    <col min="3799" max="3799" width="10.85546875" style="2" customWidth="1"/>
    <col min="3800" max="3800" width="17.42578125" style="2" customWidth="1"/>
    <col min="3801" max="3801" width="14.85546875" style="2" customWidth="1"/>
    <col min="3802" max="3802" width="15" style="2" customWidth="1"/>
    <col min="3803" max="3803" width="14.85546875" style="2" customWidth="1"/>
    <col min="3804" max="3804" width="7.140625" style="2" customWidth="1"/>
    <col min="3805" max="3806" width="20.140625" style="2" customWidth="1"/>
    <col min="3807" max="3807" width="18.42578125" style="2" customWidth="1"/>
    <col min="3808" max="3808" width="9.140625" style="2" customWidth="1"/>
    <col min="3809" max="3809" width="12" style="2" customWidth="1"/>
    <col min="3810" max="3810" width="14.85546875" style="2" customWidth="1"/>
    <col min="3811" max="3811" width="22.42578125" style="2" customWidth="1"/>
    <col min="3812" max="3812" width="14.85546875" style="2" customWidth="1"/>
    <col min="3813" max="3813" width="7.140625" style="2" customWidth="1"/>
    <col min="3814" max="3814" width="20.140625" style="2" customWidth="1"/>
    <col min="3815" max="4046" width="8.85546875" style="2" customWidth="1"/>
    <col min="4047" max="4047" width="8.140625" style="2" customWidth="1"/>
    <col min="4048" max="4048" width="14.5703125" style="2" customWidth="1"/>
    <col min="4049" max="4049" width="37.42578125" style="2" customWidth="1"/>
    <col min="4050" max="4050" width="63.140625" style="2" customWidth="1"/>
    <col min="4051" max="4051" width="20" style="2" customWidth="1"/>
    <col min="4052" max="4052" width="11.140625" style="2" customWidth="1"/>
    <col min="4053" max="4053" width="10.85546875" style="2" customWidth="1"/>
    <col min="4054" max="4054" width="21" style="2" customWidth="1"/>
    <col min="4055" max="4055" width="10.85546875" style="2" customWidth="1"/>
    <col min="4056" max="4056" width="17.42578125" style="2" customWidth="1"/>
    <col min="4057" max="4057" width="14.85546875" style="2" customWidth="1"/>
    <col min="4058" max="4058" width="15" style="2" customWidth="1"/>
    <col min="4059" max="4059" width="14.85546875" style="2" customWidth="1"/>
    <col min="4060" max="4060" width="7.140625" style="2" customWidth="1"/>
    <col min="4061" max="4062" width="20.140625" style="2" customWidth="1"/>
    <col min="4063" max="4063" width="18.42578125" style="2" customWidth="1"/>
    <col min="4064" max="4064" width="9.140625" style="2" customWidth="1"/>
    <col min="4065" max="4065" width="12" style="2" customWidth="1"/>
    <col min="4066" max="4066" width="14.85546875" style="2" customWidth="1"/>
    <col min="4067" max="4067" width="22.42578125" style="2" customWidth="1"/>
    <col min="4068" max="4068" width="14.85546875" style="2" customWidth="1"/>
    <col min="4069" max="4069" width="7.140625" style="2" customWidth="1"/>
    <col min="4070" max="4070" width="20.140625" style="2" customWidth="1"/>
    <col min="4071" max="4302" width="8.85546875" style="2" customWidth="1"/>
    <col min="4303" max="4303" width="8.140625" style="2" customWidth="1"/>
    <col min="4304" max="4304" width="14.5703125" style="2" customWidth="1"/>
    <col min="4305" max="4305" width="37.42578125" style="2" customWidth="1"/>
    <col min="4306" max="4306" width="63.140625" style="2" customWidth="1"/>
    <col min="4307" max="4307" width="20" style="2" customWidth="1"/>
    <col min="4308" max="4308" width="11.140625" style="2" customWidth="1"/>
    <col min="4309" max="4309" width="10.85546875" style="2" customWidth="1"/>
    <col min="4310" max="4310" width="21" style="2" customWidth="1"/>
    <col min="4311" max="4311" width="10.85546875" style="2" customWidth="1"/>
    <col min="4312" max="4312" width="17.42578125" style="2" customWidth="1"/>
    <col min="4313" max="4313" width="14.85546875" style="2" customWidth="1"/>
    <col min="4314" max="4314" width="15" style="2" customWidth="1"/>
    <col min="4315" max="4315" width="14.85546875" style="2" customWidth="1"/>
    <col min="4316" max="4316" width="7.140625" style="2" customWidth="1"/>
    <col min="4317" max="4318" width="20.140625" style="2" customWidth="1"/>
    <col min="4319" max="4319" width="18.42578125" style="2" customWidth="1"/>
    <col min="4320" max="4320" width="9.140625" style="2" customWidth="1"/>
    <col min="4321" max="4321" width="12" style="2" customWidth="1"/>
    <col min="4322" max="4322" width="14.85546875" style="2" customWidth="1"/>
    <col min="4323" max="4323" width="22.42578125" style="2" customWidth="1"/>
    <col min="4324" max="4324" width="14.85546875" style="2" customWidth="1"/>
    <col min="4325" max="4325" width="7.140625" style="2" customWidth="1"/>
    <col min="4326" max="4326" width="20.140625" style="2" customWidth="1"/>
    <col min="4327" max="4558" width="8.85546875" style="2" customWidth="1"/>
    <col min="4559" max="4559" width="8.140625" style="2" customWidth="1"/>
    <col min="4560" max="4560" width="14.5703125" style="2" customWidth="1"/>
    <col min="4561" max="4561" width="37.42578125" style="2" customWidth="1"/>
    <col min="4562" max="4562" width="63.140625" style="2" customWidth="1"/>
    <col min="4563" max="4563" width="20" style="2" customWidth="1"/>
    <col min="4564" max="4564" width="11.140625" style="2" customWidth="1"/>
    <col min="4565" max="4565" width="10.85546875" style="2" customWidth="1"/>
    <col min="4566" max="4566" width="21" style="2" customWidth="1"/>
    <col min="4567" max="4567" width="10.85546875" style="2" customWidth="1"/>
    <col min="4568" max="4568" width="17.42578125" style="2" customWidth="1"/>
    <col min="4569" max="4569" width="14.85546875" style="2" customWidth="1"/>
    <col min="4570" max="4570" width="15" style="2" customWidth="1"/>
    <col min="4571" max="4571" width="14.85546875" style="2" customWidth="1"/>
    <col min="4572" max="4572" width="7.140625" style="2" customWidth="1"/>
    <col min="4573" max="4574" width="20.140625" style="2" customWidth="1"/>
    <col min="4575" max="4575" width="18.42578125" style="2" customWidth="1"/>
    <col min="4576" max="4576" width="9.140625" style="2" customWidth="1"/>
    <col min="4577" max="4577" width="12" style="2" customWidth="1"/>
    <col min="4578" max="4578" width="14.85546875" style="2" customWidth="1"/>
    <col min="4579" max="4579" width="22.42578125" style="2" customWidth="1"/>
    <col min="4580" max="4580" width="14.85546875" style="2" customWidth="1"/>
    <col min="4581" max="4581" width="7.140625" style="2" customWidth="1"/>
    <col min="4582" max="4582" width="20.140625" style="2" customWidth="1"/>
    <col min="4583" max="4814" width="8.85546875" style="2" customWidth="1"/>
    <col min="4815" max="4815" width="8.140625" style="2" customWidth="1"/>
    <col min="4816" max="4816" width="14.5703125" style="2" customWidth="1"/>
    <col min="4817" max="4817" width="37.42578125" style="2" customWidth="1"/>
    <col min="4818" max="4818" width="63.140625" style="2" customWidth="1"/>
    <col min="4819" max="4819" width="20" style="2" customWidth="1"/>
    <col min="4820" max="4820" width="11.140625" style="2" customWidth="1"/>
    <col min="4821" max="4821" width="10.85546875" style="2" customWidth="1"/>
    <col min="4822" max="4822" width="21" style="2" customWidth="1"/>
    <col min="4823" max="4823" width="10.85546875" style="2" customWidth="1"/>
    <col min="4824" max="4824" width="17.42578125" style="2" customWidth="1"/>
    <col min="4825" max="4825" width="14.85546875" style="2" customWidth="1"/>
    <col min="4826" max="4826" width="15" style="2" customWidth="1"/>
    <col min="4827" max="4827" width="14.85546875" style="2" customWidth="1"/>
    <col min="4828" max="4828" width="7.140625" style="2" customWidth="1"/>
    <col min="4829" max="4830" width="20.140625" style="2" customWidth="1"/>
    <col min="4831" max="4831" width="18.42578125" style="2" customWidth="1"/>
    <col min="4832" max="4832" width="9.140625" style="2" customWidth="1"/>
    <col min="4833" max="4833" width="12" style="2" customWidth="1"/>
    <col min="4834" max="4834" width="14.85546875" style="2" customWidth="1"/>
    <col min="4835" max="4835" width="22.42578125" style="2" customWidth="1"/>
    <col min="4836" max="4836" width="14.85546875" style="2" customWidth="1"/>
    <col min="4837" max="4837" width="7.140625" style="2" customWidth="1"/>
    <col min="4838" max="4838" width="20.140625" style="2" customWidth="1"/>
    <col min="4839" max="5070" width="8.85546875" style="2" customWidth="1"/>
    <col min="5071" max="5071" width="8.140625" style="2" customWidth="1"/>
    <col min="5072" max="5072" width="14.5703125" style="2" customWidth="1"/>
    <col min="5073" max="5073" width="37.42578125" style="2" customWidth="1"/>
    <col min="5074" max="5074" width="63.140625" style="2" customWidth="1"/>
    <col min="5075" max="5075" width="20" style="2" customWidth="1"/>
    <col min="5076" max="5076" width="11.140625" style="2" customWidth="1"/>
    <col min="5077" max="5077" width="10.85546875" style="2" customWidth="1"/>
    <col min="5078" max="5078" width="21" style="2" customWidth="1"/>
    <col min="5079" max="5079" width="10.85546875" style="2" customWidth="1"/>
    <col min="5080" max="5080" width="17.42578125" style="2" customWidth="1"/>
    <col min="5081" max="5081" width="14.85546875" style="2" customWidth="1"/>
    <col min="5082" max="5082" width="15" style="2" customWidth="1"/>
    <col min="5083" max="5083" width="14.85546875" style="2" customWidth="1"/>
    <col min="5084" max="5084" width="7.140625" style="2" customWidth="1"/>
    <col min="5085" max="5086" width="20.140625" style="2" customWidth="1"/>
    <col min="5087" max="5087" width="18.42578125" style="2" customWidth="1"/>
    <col min="5088" max="5088" width="9.140625" style="2" customWidth="1"/>
    <col min="5089" max="5089" width="12" style="2" customWidth="1"/>
    <col min="5090" max="5090" width="14.85546875" style="2" customWidth="1"/>
    <col min="5091" max="5091" width="22.42578125" style="2" customWidth="1"/>
    <col min="5092" max="5092" width="14.85546875" style="2" customWidth="1"/>
    <col min="5093" max="5093" width="7.140625" style="2" customWidth="1"/>
    <col min="5094" max="5094" width="20.140625" style="2" customWidth="1"/>
    <col min="5095" max="5326" width="8.85546875" style="2" customWidth="1"/>
    <col min="5327" max="5327" width="8.140625" style="2" customWidth="1"/>
    <col min="5328" max="5328" width="14.5703125" style="2" customWidth="1"/>
    <col min="5329" max="5329" width="37.42578125" style="2" customWidth="1"/>
    <col min="5330" max="5330" width="63.140625" style="2" customWidth="1"/>
    <col min="5331" max="5331" width="20" style="2" customWidth="1"/>
    <col min="5332" max="5332" width="11.140625" style="2" customWidth="1"/>
    <col min="5333" max="5333" width="10.85546875" style="2" customWidth="1"/>
    <col min="5334" max="5334" width="21" style="2" customWidth="1"/>
    <col min="5335" max="5335" width="10.85546875" style="2" customWidth="1"/>
    <col min="5336" max="5336" width="17.42578125" style="2" customWidth="1"/>
    <col min="5337" max="5337" width="14.85546875" style="2" customWidth="1"/>
    <col min="5338" max="5338" width="15" style="2" customWidth="1"/>
    <col min="5339" max="5339" width="14.85546875" style="2" customWidth="1"/>
    <col min="5340" max="5340" width="7.140625" style="2" customWidth="1"/>
    <col min="5341" max="5342" width="20.140625" style="2" customWidth="1"/>
    <col min="5343" max="5343" width="18.42578125" style="2" customWidth="1"/>
    <col min="5344" max="5344" width="9.140625" style="2" customWidth="1"/>
    <col min="5345" max="5345" width="12" style="2" customWidth="1"/>
    <col min="5346" max="5346" width="14.85546875" style="2" customWidth="1"/>
    <col min="5347" max="5347" width="22.42578125" style="2" customWidth="1"/>
    <col min="5348" max="5348" width="14.85546875" style="2" customWidth="1"/>
    <col min="5349" max="5349" width="7.140625" style="2" customWidth="1"/>
    <col min="5350" max="5350" width="20.140625" style="2" customWidth="1"/>
    <col min="5351" max="5582" width="8.85546875" style="2" customWidth="1"/>
    <col min="5583" max="5583" width="8.140625" style="2" customWidth="1"/>
    <col min="5584" max="5584" width="14.5703125" style="2" customWidth="1"/>
    <col min="5585" max="5585" width="37.42578125" style="2" customWidth="1"/>
    <col min="5586" max="5586" width="63.140625" style="2" customWidth="1"/>
    <col min="5587" max="5587" width="20" style="2" customWidth="1"/>
    <col min="5588" max="5588" width="11.140625" style="2" customWidth="1"/>
    <col min="5589" max="5589" width="10.85546875" style="2" customWidth="1"/>
    <col min="5590" max="5590" width="21" style="2" customWidth="1"/>
    <col min="5591" max="5591" width="10.85546875" style="2" customWidth="1"/>
    <col min="5592" max="5592" width="17.42578125" style="2" customWidth="1"/>
    <col min="5593" max="5593" width="14.85546875" style="2" customWidth="1"/>
    <col min="5594" max="5594" width="15" style="2" customWidth="1"/>
    <col min="5595" max="5595" width="14.85546875" style="2" customWidth="1"/>
    <col min="5596" max="5596" width="7.140625" style="2" customWidth="1"/>
    <col min="5597" max="5598" width="20.140625" style="2" customWidth="1"/>
    <col min="5599" max="5599" width="18.42578125" style="2" customWidth="1"/>
    <col min="5600" max="5600" width="9.140625" style="2" customWidth="1"/>
    <col min="5601" max="5601" width="12" style="2" customWidth="1"/>
    <col min="5602" max="5602" width="14.85546875" style="2" customWidth="1"/>
    <col min="5603" max="5603" width="22.42578125" style="2" customWidth="1"/>
    <col min="5604" max="5604" width="14.85546875" style="2" customWidth="1"/>
    <col min="5605" max="5605" width="7.140625" style="2" customWidth="1"/>
    <col min="5606" max="5606" width="20.140625" style="2" customWidth="1"/>
    <col min="5607" max="5838" width="8.85546875" style="2" customWidth="1"/>
    <col min="5839" max="5839" width="8.140625" style="2" customWidth="1"/>
    <col min="5840" max="5840" width="14.5703125" style="2" customWidth="1"/>
    <col min="5841" max="5841" width="37.42578125" style="2" customWidth="1"/>
    <col min="5842" max="5842" width="63.140625" style="2" customWidth="1"/>
    <col min="5843" max="5843" width="20" style="2" customWidth="1"/>
    <col min="5844" max="5844" width="11.140625" style="2" customWidth="1"/>
    <col min="5845" max="5845" width="10.85546875" style="2" customWidth="1"/>
    <col min="5846" max="5846" width="21" style="2" customWidth="1"/>
    <col min="5847" max="5847" width="10.85546875" style="2" customWidth="1"/>
    <col min="5848" max="5848" width="17.42578125" style="2" customWidth="1"/>
    <col min="5849" max="5849" width="14.85546875" style="2" customWidth="1"/>
    <col min="5850" max="5850" width="15" style="2" customWidth="1"/>
    <col min="5851" max="5851" width="14.85546875" style="2" customWidth="1"/>
    <col min="5852" max="5852" width="7.140625" style="2" customWidth="1"/>
    <col min="5853" max="5854" width="20.140625" style="2" customWidth="1"/>
    <col min="5855" max="5855" width="18.42578125" style="2" customWidth="1"/>
    <col min="5856" max="5856" width="9.140625" style="2" customWidth="1"/>
    <col min="5857" max="5857" width="12" style="2" customWidth="1"/>
    <col min="5858" max="5858" width="14.85546875" style="2" customWidth="1"/>
    <col min="5859" max="5859" width="22.42578125" style="2" customWidth="1"/>
    <col min="5860" max="5860" width="14.85546875" style="2" customWidth="1"/>
    <col min="5861" max="5861" width="7.140625" style="2" customWidth="1"/>
    <col min="5862" max="5862" width="20.140625" style="2" customWidth="1"/>
    <col min="5863" max="6094" width="8.85546875" style="2" customWidth="1"/>
    <col min="6095" max="6095" width="8.140625" style="2" customWidth="1"/>
    <col min="6096" max="6096" width="14.5703125" style="2" customWidth="1"/>
    <col min="6097" max="6097" width="37.42578125" style="2" customWidth="1"/>
    <col min="6098" max="6098" width="63.140625" style="2" customWidth="1"/>
    <col min="6099" max="6099" width="20" style="2" customWidth="1"/>
    <col min="6100" max="6100" width="11.140625" style="2" customWidth="1"/>
    <col min="6101" max="6101" width="10.85546875" style="2" customWidth="1"/>
    <col min="6102" max="6102" width="21" style="2" customWidth="1"/>
    <col min="6103" max="6103" width="10.85546875" style="2" customWidth="1"/>
    <col min="6104" max="6104" width="17.42578125" style="2" customWidth="1"/>
    <col min="6105" max="6105" width="14.85546875" style="2" customWidth="1"/>
    <col min="6106" max="6106" width="15" style="2" customWidth="1"/>
    <col min="6107" max="6107" width="14.85546875" style="2" customWidth="1"/>
    <col min="6108" max="6108" width="7.140625" style="2" customWidth="1"/>
    <col min="6109" max="6110" width="20.140625" style="2" customWidth="1"/>
    <col min="6111" max="6111" width="18.42578125" style="2" customWidth="1"/>
    <col min="6112" max="6112" width="9.140625" style="2" customWidth="1"/>
    <col min="6113" max="6113" width="12" style="2" customWidth="1"/>
    <col min="6114" max="6114" width="14.85546875" style="2" customWidth="1"/>
    <col min="6115" max="6115" width="22.42578125" style="2" customWidth="1"/>
    <col min="6116" max="6116" width="14.85546875" style="2" customWidth="1"/>
    <col min="6117" max="6117" width="7.140625" style="2" customWidth="1"/>
    <col min="6118" max="6118" width="20.140625" style="2" customWidth="1"/>
    <col min="6119" max="6350" width="8.85546875" style="2" customWidth="1"/>
    <col min="6351" max="6351" width="8.140625" style="2" customWidth="1"/>
    <col min="6352" max="6352" width="14.5703125" style="2" customWidth="1"/>
    <col min="6353" max="6353" width="37.42578125" style="2" customWidth="1"/>
    <col min="6354" max="6354" width="63.140625" style="2" customWidth="1"/>
    <col min="6355" max="6355" width="20" style="2" customWidth="1"/>
    <col min="6356" max="6356" width="11.140625" style="2" customWidth="1"/>
    <col min="6357" max="6357" width="10.85546875" style="2" customWidth="1"/>
    <col min="6358" max="6358" width="21" style="2" customWidth="1"/>
    <col min="6359" max="6359" width="10.85546875" style="2" customWidth="1"/>
    <col min="6360" max="6360" width="17.42578125" style="2" customWidth="1"/>
    <col min="6361" max="6361" width="14.85546875" style="2" customWidth="1"/>
    <col min="6362" max="6362" width="15" style="2" customWidth="1"/>
    <col min="6363" max="6363" width="14.85546875" style="2" customWidth="1"/>
    <col min="6364" max="6364" width="7.140625" style="2" customWidth="1"/>
    <col min="6365" max="6366" width="20.140625" style="2" customWidth="1"/>
    <col min="6367" max="6367" width="18.42578125" style="2" customWidth="1"/>
    <col min="6368" max="6368" width="9.140625" style="2" customWidth="1"/>
    <col min="6369" max="6369" width="12" style="2" customWidth="1"/>
    <col min="6370" max="6370" width="14.85546875" style="2" customWidth="1"/>
    <col min="6371" max="6371" width="22.42578125" style="2" customWidth="1"/>
    <col min="6372" max="6372" width="14.85546875" style="2" customWidth="1"/>
    <col min="6373" max="6373" width="7.140625" style="2" customWidth="1"/>
    <col min="6374" max="6374" width="20.140625" style="2" customWidth="1"/>
    <col min="6375" max="6606" width="8.85546875" style="2" customWidth="1"/>
    <col min="6607" max="6607" width="8.140625" style="2" customWidth="1"/>
    <col min="6608" max="6608" width="14.5703125" style="2" customWidth="1"/>
    <col min="6609" max="6609" width="37.42578125" style="2" customWidth="1"/>
    <col min="6610" max="6610" width="63.140625" style="2" customWidth="1"/>
    <col min="6611" max="6611" width="20" style="2" customWidth="1"/>
    <col min="6612" max="6612" width="11.140625" style="2" customWidth="1"/>
    <col min="6613" max="6613" width="10.85546875" style="2" customWidth="1"/>
    <col min="6614" max="6614" width="21" style="2" customWidth="1"/>
    <col min="6615" max="6615" width="10.85546875" style="2" customWidth="1"/>
    <col min="6616" max="6616" width="17.42578125" style="2" customWidth="1"/>
    <col min="6617" max="6617" width="14.85546875" style="2" customWidth="1"/>
    <col min="6618" max="6618" width="15" style="2" customWidth="1"/>
    <col min="6619" max="6619" width="14.85546875" style="2" customWidth="1"/>
    <col min="6620" max="6620" width="7.140625" style="2" customWidth="1"/>
    <col min="6621" max="6622" width="20.140625" style="2" customWidth="1"/>
    <col min="6623" max="6623" width="18.42578125" style="2" customWidth="1"/>
    <col min="6624" max="6624" width="9.140625" style="2" customWidth="1"/>
    <col min="6625" max="6625" width="12" style="2" customWidth="1"/>
    <col min="6626" max="6626" width="14.85546875" style="2" customWidth="1"/>
    <col min="6627" max="6627" width="22.42578125" style="2" customWidth="1"/>
    <col min="6628" max="6628" width="14.85546875" style="2" customWidth="1"/>
    <col min="6629" max="6629" width="7.140625" style="2" customWidth="1"/>
    <col min="6630" max="6630" width="20.140625" style="2" customWidth="1"/>
    <col min="6631" max="6862" width="8.85546875" style="2" customWidth="1"/>
    <col min="6863" max="6863" width="8.140625" style="2" customWidth="1"/>
    <col min="6864" max="6864" width="14.5703125" style="2" customWidth="1"/>
    <col min="6865" max="6865" width="37.42578125" style="2" customWidth="1"/>
    <col min="6866" max="6866" width="63.140625" style="2" customWidth="1"/>
    <col min="6867" max="6867" width="20" style="2" customWidth="1"/>
    <col min="6868" max="6868" width="11.140625" style="2" customWidth="1"/>
    <col min="6869" max="6869" width="10.85546875" style="2" customWidth="1"/>
    <col min="6870" max="6870" width="21" style="2" customWidth="1"/>
    <col min="6871" max="6871" width="10.85546875" style="2" customWidth="1"/>
    <col min="6872" max="6872" width="17.42578125" style="2" customWidth="1"/>
    <col min="6873" max="6873" width="14.85546875" style="2" customWidth="1"/>
    <col min="6874" max="6874" width="15" style="2" customWidth="1"/>
    <col min="6875" max="6875" width="14.85546875" style="2" customWidth="1"/>
    <col min="6876" max="6876" width="7.140625" style="2" customWidth="1"/>
    <col min="6877" max="6878" width="20.140625" style="2" customWidth="1"/>
    <col min="6879" max="6879" width="18.42578125" style="2" customWidth="1"/>
    <col min="6880" max="6880" width="9.140625" style="2" customWidth="1"/>
    <col min="6881" max="6881" width="12" style="2" customWidth="1"/>
    <col min="6882" max="6882" width="14.85546875" style="2" customWidth="1"/>
    <col min="6883" max="6883" width="22.42578125" style="2" customWidth="1"/>
    <col min="6884" max="6884" width="14.85546875" style="2" customWidth="1"/>
    <col min="6885" max="6885" width="7.140625" style="2" customWidth="1"/>
    <col min="6886" max="6886" width="20.140625" style="2" customWidth="1"/>
    <col min="6887" max="7118" width="8.85546875" style="2" customWidth="1"/>
    <col min="7119" max="7119" width="8.140625" style="2" customWidth="1"/>
    <col min="7120" max="7120" width="14.5703125" style="2" customWidth="1"/>
    <col min="7121" max="7121" width="37.42578125" style="2" customWidth="1"/>
    <col min="7122" max="7122" width="63.140625" style="2" customWidth="1"/>
    <col min="7123" max="7123" width="20" style="2" customWidth="1"/>
    <col min="7124" max="7124" width="11.140625" style="2" customWidth="1"/>
    <col min="7125" max="7125" width="10.85546875" style="2" customWidth="1"/>
    <col min="7126" max="7126" width="21" style="2" customWidth="1"/>
    <col min="7127" max="7127" width="10.85546875" style="2" customWidth="1"/>
    <col min="7128" max="7128" width="17.42578125" style="2" customWidth="1"/>
    <col min="7129" max="7129" width="14.85546875" style="2" customWidth="1"/>
    <col min="7130" max="7130" width="15" style="2" customWidth="1"/>
    <col min="7131" max="7131" width="14.85546875" style="2" customWidth="1"/>
    <col min="7132" max="7132" width="7.140625" style="2" customWidth="1"/>
    <col min="7133" max="7134" width="20.140625" style="2" customWidth="1"/>
    <col min="7135" max="7135" width="18.42578125" style="2" customWidth="1"/>
    <col min="7136" max="7136" width="9.140625" style="2" customWidth="1"/>
    <col min="7137" max="7137" width="12" style="2" customWidth="1"/>
    <col min="7138" max="7138" width="14.85546875" style="2" customWidth="1"/>
    <col min="7139" max="7139" width="22.42578125" style="2" customWidth="1"/>
    <col min="7140" max="7140" width="14.85546875" style="2" customWidth="1"/>
    <col min="7141" max="7141" width="7.140625" style="2" customWidth="1"/>
    <col min="7142" max="7142" width="20.140625" style="2" customWidth="1"/>
    <col min="7143" max="7374" width="8.85546875" style="2" customWidth="1"/>
    <col min="7375" max="7375" width="8.140625" style="2" customWidth="1"/>
    <col min="7376" max="7376" width="14.5703125" style="2" customWidth="1"/>
    <col min="7377" max="7377" width="37.42578125" style="2" customWidth="1"/>
    <col min="7378" max="7378" width="63.140625" style="2" customWidth="1"/>
    <col min="7379" max="7379" width="20" style="2" customWidth="1"/>
    <col min="7380" max="7380" width="11.140625" style="2" customWidth="1"/>
    <col min="7381" max="7381" width="10.85546875" style="2" customWidth="1"/>
    <col min="7382" max="7382" width="21" style="2" customWidth="1"/>
    <col min="7383" max="7383" width="10.85546875" style="2" customWidth="1"/>
    <col min="7384" max="7384" width="17.42578125" style="2" customWidth="1"/>
    <col min="7385" max="7385" width="14.85546875" style="2" customWidth="1"/>
    <col min="7386" max="7386" width="15" style="2" customWidth="1"/>
    <col min="7387" max="7387" width="14.85546875" style="2" customWidth="1"/>
    <col min="7388" max="7388" width="7.140625" style="2" customWidth="1"/>
    <col min="7389" max="7390" width="20.140625" style="2" customWidth="1"/>
    <col min="7391" max="7391" width="18.42578125" style="2" customWidth="1"/>
    <col min="7392" max="7392" width="9.140625" style="2" customWidth="1"/>
    <col min="7393" max="7393" width="12" style="2" customWidth="1"/>
    <col min="7394" max="7394" width="14.85546875" style="2" customWidth="1"/>
    <col min="7395" max="7395" width="22.42578125" style="2" customWidth="1"/>
    <col min="7396" max="7396" width="14.85546875" style="2" customWidth="1"/>
    <col min="7397" max="7397" width="7.140625" style="2" customWidth="1"/>
    <col min="7398" max="7398" width="20.140625" style="2" customWidth="1"/>
    <col min="7399" max="7630" width="8.85546875" style="2" customWidth="1"/>
    <col min="7631" max="7631" width="8.140625" style="2" customWidth="1"/>
    <col min="7632" max="7632" width="14.5703125" style="2" customWidth="1"/>
    <col min="7633" max="7633" width="37.42578125" style="2" customWidth="1"/>
    <col min="7634" max="7634" width="63.140625" style="2" customWidth="1"/>
    <col min="7635" max="7635" width="20" style="2" customWidth="1"/>
    <col min="7636" max="7636" width="11.140625" style="2" customWidth="1"/>
    <col min="7637" max="7637" width="10.85546875" style="2" customWidth="1"/>
    <col min="7638" max="7638" width="21" style="2" customWidth="1"/>
    <col min="7639" max="7639" width="10.85546875" style="2" customWidth="1"/>
    <col min="7640" max="7640" width="17.42578125" style="2" customWidth="1"/>
    <col min="7641" max="7641" width="14.85546875" style="2" customWidth="1"/>
    <col min="7642" max="7642" width="15" style="2" customWidth="1"/>
    <col min="7643" max="7643" width="14.85546875" style="2" customWidth="1"/>
    <col min="7644" max="7644" width="7.140625" style="2" customWidth="1"/>
    <col min="7645" max="7646" width="20.140625" style="2" customWidth="1"/>
    <col min="7647" max="7647" width="18.42578125" style="2" customWidth="1"/>
    <col min="7648" max="7648" width="9.140625" style="2" customWidth="1"/>
    <col min="7649" max="7649" width="12" style="2" customWidth="1"/>
    <col min="7650" max="7650" width="14.85546875" style="2" customWidth="1"/>
    <col min="7651" max="7651" width="22.42578125" style="2" customWidth="1"/>
    <col min="7652" max="7652" width="14.85546875" style="2" customWidth="1"/>
    <col min="7653" max="7653" width="7.140625" style="2" customWidth="1"/>
    <col min="7654" max="7654" width="20.140625" style="2" customWidth="1"/>
    <col min="7655" max="7886" width="8.85546875" style="2" customWidth="1"/>
    <col min="7887" max="7887" width="8.140625" style="2" customWidth="1"/>
    <col min="7888" max="7888" width="14.5703125" style="2" customWidth="1"/>
    <col min="7889" max="7889" width="37.42578125" style="2" customWidth="1"/>
    <col min="7890" max="7890" width="63.140625" style="2" customWidth="1"/>
    <col min="7891" max="7891" width="20" style="2" customWidth="1"/>
    <col min="7892" max="7892" width="11.140625" style="2" customWidth="1"/>
    <col min="7893" max="7893" width="10.85546875" style="2" customWidth="1"/>
    <col min="7894" max="7894" width="21" style="2" customWidth="1"/>
    <col min="7895" max="7895" width="10.85546875" style="2" customWidth="1"/>
    <col min="7896" max="7896" width="17.42578125" style="2" customWidth="1"/>
    <col min="7897" max="7897" width="14.85546875" style="2" customWidth="1"/>
    <col min="7898" max="7898" width="15" style="2" customWidth="1"/>
    <col min="7899" max="7899" width="14.85546875" style="2" customWidth="1"/>
    <col min="7900" max="7900" width="7.140625" style="2" customWidth="1"/>
    <col min="7901" max="7902" width="20.140625" style="2" customWidth="1"/>
    <col min="7903" max="7903" width="18.42578125" style="2" customWidth="1"/>
    <col min="7904" max="7904" width="9.140625" style="2" customWidth="1"/>
    <col min="7905" max="7905" width="12" style="2" customWidth="1"/>
    <col min="7906" max="7906" width="14.85546875" style="2" customWidth="1"/>
    <col min="7907" max="7907" width="22.42578125" style="2" customWidth="1"/>
    <col min="7908" max="7908" width="14.85546875" style="2" customWidth="1"/>
    <col min="7909" max="7909" width="7.140625" style="2" customWidth="1"/>
    <col min="7910" max="7910" width="20.140625" style="2" customWidth="1"/>
    <col min="7911" max="8142" width="8.85546875" style="2" customWidth="1"/>
    <col min="8143" max="8143" width="8.140625" style="2" customWidth="1"/>
    <col min="8144" max="8144" width="14.5703125" style="2" customWidth="1"/>
    <col min="8145" max="8145" width="37.42578125" style="2" customWidth="1"/>
    <col min="8146" max="8146" width="63.140625" style="2" customWidth="1"/>
    <col min="8147" max="8147" width="20" style="2" customWidth="1"/>
    <col min="8148" max="8148" width="11.140625" style="2" customWidth="1"/>
    <col min="8149" max="8149" width="10.85546875" style="2" customWidth="1"/>
    <col min="8150" max="8150" width="21" style="2" customWidth="1"/>
    <col min="8151" max="8151" width="10.85546875" style="2" customWidth="1"/>
    <col min="8152" max="8152" width="17.42578125" style="2" customWidth="1"/>
    <col min="8153" max="8153" width="14.85546875" style="2" customWidth="1"/>
    <col min="8154" max="8154" width="15" style="2" customWidth="1"/>
    <col min="8155" max="8155" width="14.85546875" style="2" customWidth="1"/>
    <col min="8156" max="8156" width="7.140625" style="2" customWidth="1"/>
    <col min="8157" max="8158" width="20.140625" style="2" customWidth="1"/>
    <col min="8159" max="8159" width="18.42578125" style="2" customWidth="1"/>
    <col min="8160" max="8160" width="9.140625" style="2" customWidth="1"/>
    <col min="8161" max="8161" width="12" style="2" customWidth="1"/>
    <col min="8162" max="8162" width="14.85546875" style="2" customWidth="1"/>
    <col min="8163" max="8163" width="22.42578125" style="2" customWidth="1"/>
    <col min="8164" max="8164" width="14.85546875" style="2" customWidth="1"/>
    <col min="8165" max="8165" width="7.140625" style="2" customWidth="1"/>
    <col min="8166" max="8166" width="20.140625" style="2" customWidth="1"/>
    <col min="8167" max="8398" width="8.85546875" style="2" customWidth="1"/>
    <col min="8399" max="8399" width="8.140625" style="2" customWidth="1"/>
    <col min="8400" max="8400" width="14.5703125" style="2" customWidth="1"/>
    <col min="8401" max="8401" width="37.42578125" style="2" customWidth="1"/>
    <col min="8402" max="8402" width="63.140625" style="2" customWidth="1"/>
    <col min="8403" max="8403" width="20" style="2" customWidth="1"/>
    <col min="8404" max="8404" width="11.140625" style="2" customWidth="1"/>
    <col min="8405" max="8405" width="10.85546875" style="2" customWidth="1"/>
    <col min="8406" max="8406" width="21" style="2" customWidth="1"/>
    <col min="8407" max="8407" width="10.85546875" style="2" customWidth="1"/>
    <col min="8408" max="8408" width="17.42578125" style="2" customWidth="1"/>
    <col min="8409" max="8409" width="14.85546875" style="2" customWidth="1"/>
    <col min="8410" max="8410" width="15" style="2" customWidth="1"/>
    <col min="8411" max="8411" width="14.85546875" style="2" customWidth="1"/>
    <col min="8412" max="8412" width="7.140625" style="2" customWidth="1"/>
    <col min="8413" max="8414" width="20.140625" style="2" customWidth="1"/>
    <col min="8415" max="8415" width="18.42578125" style="2" customWidth="1"/>
    <col min="8416" max="8416" width="9.140625" style="2" customWidth="1"/>
    <col min="8417" max="8417" width="12" style="2" customWidth="1"/>
    <col min="8418" max="8418" width="14.85546875" style="2" customWidth="1"/>
    <col min="8419" max="8419" width="22.42578125" style="2" customWidth="1"/>
    <col min="8420" max="8420" width="14.85546875" style="2" customWidth="1"/>
    <col min="8421" max="8421" width="7.140625" style="2" customWidth="1"/>
    <col min="8422" max="8422" width="20.140625" style="2" customWidth="1"/>
    <col min="8423" max="8654" width="8.85546875" style="2" customWidth="1"/>
    <col min="8655" max="8655" width="8.140625" style="2" customWidth="1"/>
    <col min="8656" max="8656" width="14.5703125" style="2" customWidth="1"/>
    <col min="8657" max="8657" width="37.42578125" style="2" customWidth="1"/>
    <col min="8658" max="8658" width="63.140625" style="2" customWidth="1"/>
    <col min="8659" max="8659" width="20" style="2" customWidth="1"/>
    <col min="8660" max="8660" width="11.140625" style="2" customWidth="1"/>
    <col min="8661" max="8661" width="10.85546875" style="2" customWidth="1"/>
    <col min="8662" max="8662" width="21" style="2" customWidth="1"/>
    <col min="8663" max="8663" width="10.85546875" style="2" customWidth="1"/>
    <col min="8664" max="8664" width="17.42578125" style="2" customWidth="1"/>
    <col min="8665" max="8665" width="14.85546875" style="2" customWidth="1"/>
    <col min="8666" max="8666" width="15" style="2" customWidth="1"/>
    <col min="8667" max="8667" width="14.85546875" style="2" customWidth="1"/>
    <col min="8668" max="8668" width="7.140625" style="2" customWidth="1"/>
    <col min="8669" max="8670" width="20.140625" style="2" customWidth="1"/>
    <col min="8671" max="8671" width="18.42578125" style="2" customWidth="1"/>
    <col min="8672" max="8672" width="9.140625" style="2" customWidth="1"/>
    <col min="8673" max="8673" width="12" style="2" customWidth="1"/>
    <col min="8674" max="8674" width="14.85546875" style="2" customWidth="1"/>
    <col min="8675" max="8675" width="22.42578125" style="2" customWidth="1"/>
    <col min="8676" max="8676" width="14.85546875" style="2" customWidth="1"/>
    <col min="8677" max="8677" width="7.140625" style="2" customWidth="1"/>
    <col min="8678" max="8678" width="20.140625" style="2" customWidth="1"/>
    <col min="8679" max="8910" width="8.85546875" style="2" customWidth="1"/>
    <col min="8911" max="8911" width="8.140625" style="2" customWidth="1"/>
    <col min="8912" max="8912" width="14.5703125" style="2" customWidth="1"/>
    <col min="8913" max="8913" width="37.42578125" style="2" customWidth="1"/>
    <col min="8914" max="8914" width="63.140625" style="2" customWidth="1"/>
    <col min="8915" max="8915" width="20" style="2" customWidth="1"/>
    <col min="8916" max="8916" width="11.140625" style="2" customWidth="1"/>
    <col min="8917" max="8917" width="10.85546875" style="2" customWidth="1"/>
    <col min="8918" max="8918" width="21" style="2" customWidth="1"/>
    <col min="8919" max="8919" width="10.85546875" style="2" customWidth="1"/>
    <col min="8920" max="8920" width="17.42578125" style="2" customWidth="1"/>
    <col min="8921" max="8921" width="14.85546875" style="2" customWidth="1"/>
    <col min="8922" max="8922" width="15" style="2" customWidth="1"/>
    <col min="8923" max="8923" width="14.85546875" style="2" customWidth="1"/>
    <col min="8924" max="8924" width="7.140625" style="2" customWidth="1"/>
    <col min="8925" max="8926" width="20.140625" style="2" customWidth="1"/>
    <col min="8927" max="8927" width="18.42578125" style="2" customWidth="1"/>
    <col min="8928" max="8928" width="9.140625" style="2" customWidth="1"/>
    <col min="8929" max="8929" width="12" style="2" customWidth="1"/>
    <col min="8930" max="8930" width="14.85546875" style="2" customWidth="1"/>
    <col min="8931" max="8931" width="22.42578125" style="2" customWidth="1"/>
    <col min="8932" max="8932" width="14.85546875" style="2" customWidth="1"/>
    <col min="8933" max="8933" width="7.140625" style="2" customWidth="1"/>
    <col min="8934" max="8934" width="20.140625" style="2" customWidth="1"/>
    <col min="8935" max="9166" width="8.85546875" style="2" customWidth="1"/>
    <col min="9167" max="9167" width="8.140625" style="2" customWidth="1"/>
    <col min="9168" max="9168" width="14.5703125" style="2" customWidth="1"/>
    <col min="9169" max="9169" width="37.42578125" style="2" customWidth="1"/>
    <col min="9170" max="9170" width="63.140625" style="2" customWidth="1"/>
    <col min="9171" max="9171" width="20" style="2" customWidth="1"/>
    <col min="9172" max="9172" width="11.140625" style="2" customWidth="1"/>
    <col min="9173" max="9173" width="10.85546875" style="2" customWidth="1"/>
    <col min="9174" max="9174" width="21" style="2" customWidth="1"/>
    <col min="9175" max="9175" width="10.85546875" style="2" customWidth="1"/>
    <col min="9176" max="9176" width="17.42578125" style="2" customWidth="1"/>
    <col min="9177" max="9177" width="14.85546875" style="2" customWidth="1"/>
    <col min="9178" max="9178" width="15" style="2" customWidth="1"/>
    <col min="9179" max="9179" width="14.85546875" style="2" customWidth="1"/>
    <col min="9180" max="9180" width="7.140625" style="2" customWidth="1"/>
    <col min="9181" max="9182" width="20.140625" style="2" customWidth="1"/>
    <col min="9183" max="9183" width="18.42578125" style="2" customWidth="1"/>
    <col min="9184" max="9184" width="9.140625" style="2" customWidth="1"/>
    <col min="9185" max="9185" width="12" style="2" customWidth="1"/>
    <col min="9186" max="9186" width="14.85546875" style="2" customWidth="1"/>
    <col min="9187" max="9187" width="22.42578125" style="2" customWidth="1"/>
    <col min="9188" max="9188" width="14.85546875" style="2" customWidth="1"/>
    <col min="9189" max="9189" width="7.140625" style="2" customWidth="1"/>
    <col min="9190" max="9190" width="20.140625" style="2" customWidth="1"/>
    <col min="9191" max="9422" width="8.85546875" style="2" customWidth="1"/>
    <col min="9423" max="9423" width="8.140625" style="2" customWidth="1"/>
    <col min="9424" max="9424" width="14.5703125" style="2" customWidth="1"/>
    <col min="9425" max="9425" width="37.42578125" style="2" customWidth="1"/>
    <col min="9426" max="9426" width="63.140625" style="2" customWidth="1"/>
    <col min="9427" max="9427" width="20" style="2" customWidth="1"/>
    <col min="9428" max="9428" width="11.140625" style="2" customWidth="1"/>
    <col min="9429" max="9429" width="10.85546875" style="2" customWidth="1"/>
    <col min="9430" max="9430" width="21" style="2" customWidth="1"/>
    <col min="9431" max="9431" width="10.85546875" style="2" customWidth="1"/>
    <col min="9432" max="9432" width="17.42578125" style="2" customWidth="1"/>
    <col min="9433" max="9433" width="14.85546875" style="2" customWidth="1"/>
    <col min="9434" max="9434" width="15" style="2" customWidth="1"/>
    <col min="9435" max="9435" width="14.85546875" style="2" customWidth="1"/>
    <col min="9436" max="9436" width="7.140625" style="2" customWidth="1"/>
    <col min="9437" max="9438" width="20.140625" style="2" customWidth="1"/>
    <col min="9439" max="9439" width="18.42578125" style="2" customWidth="1"/>
    <col min="9440" max="9440" width="9.140625" style="2" customWidth="1"/>
    <col min="9441" max="9441" width="12" style="2" customWidth="1"/>
    <col min="9442" max="9442" width="14.85546875" style="2" customWidth="1"/>
    <col min="9443" max="9443" width="22.42578125" style="2" customWidth="1"/>
    <col min="9444" max="9444" width="14.85546875" style="2" customWidth="1"/>
    <col min="9445" max="9445" width="7.140625" style="2" customWidth="1"/>
    <col min="9446" max="9446" width="20.140625" style="2" customWidth="1"/>
    <col min="9447" max="9678" width="8.85546875" style="2" customWidth="1"/>
    <col min="9679" max="9679" width="8.140625" style="2" customWidth="1"/>
    <col min="9680" max="9680" width="14.5703125" style="2" customWidth="1"/>
    <col min="9681" max="9681" width="37.42578125" style="2" customWidth="1"/>
    <col min="9682" max="9682" width="63.140625" style="2" customWidth="1"/>
    <col min="9683" max="9683" width="20" style="2" customWidth="1"/>
    <col min="9684" max="9684" width="11.140625" style="2" customWidth="1"/>
    <col min="9685" max="9685" width="10.85546875" style="2" customWidth="1"/>
    <col min="9686" max="9686" width="21" style="2" customWidth="1"/>
    <col min="9687" max="9687" width="10.85546875" style="2" customWidth="1"/>
    <col min="9688" max="9688" width="17.42578125" style="2" customWidth="1"/>
    <col min="9689" max="9689" width="14.85546875" style="2" customWidth="1"/>
    <col min="9690" max="9690" width="15" style="2" customWidth="1"/>
    <col min="9691" max="9691" width="14.85546875" style="2" customWidth="1"/>
    <col min="9692" max="9692" width="7.140625" style="2" customWidth="1"/>
    <col min="9693" max="9694" width="20.140625" style="2" customWidth="1"/>
    <col min="9695" max="9695" width="18.42578125" style="2" customWidth="1"/>
    <col min="9696" max="9696" width="9.140625" style="2" customWidth="1"/>
    <col min="9697" max="9697" width="12" style="2" customWidth="1"/>
    <col min="9698" max="9698" width="14.85546875" style="2" customWidth="1"/>
    <col min="9699" max="9699" width="22.42578125" style="2" customWidth="1"/>
    <col min="9700" max="9700" width="14.85546875" style="2" customWidth="1"/>
    <col min="9701" max="9701" width="7.140625" style="2" customWidth="1"/>
    <col min="9702" max="9702" width="20.140625" style="2" customWidth="1"/>
    <col min="9703" max="9934" width="8.85546875" style="2" customWidth="1"/>
    <col min="9935" max="9935" width="8.140625" style="2" customWidth="1"/>
    <col min="9936" max="9936" width="14.5703125" style="2" customWidth="1"/>
    <col min="9937" max="9937" width="37.42578125" style="2" customWidth="1"/>
    <col min="9938" max="9938" width="63.140625" style="2" customWidth="1"/>
    <col min="9939" max="9939" width="20" style="2" customWidth="1"/>
    <col min="9940" max="9940" width="11.140625" style="2" customWidth="1"/>
    <col min="9941" max="9941" width="10.85546875" style="2" customWidth="1"/>
    <col min="9942" max="9942" width="21" style="2" customWidth="1"/>
    <col min="9943" max="9943" width="10.85546875" style="2" customWidth="1"/>
    <col min="9944" max="9944" width="17.42578125" style="2" customWidth="1"/>
    <col min="9945" max="9945" width="14.85546875" style="2" customWidth="1"/>
    <col min="9946" max="9946" width="15" style="2" customWidth="1"/>
    <col min="9947" max="9947" width="14.85546875" style="2" customWidth="1"/>
    <col min="9948" max="9948" width="7.140625" style="2" customWidth="1"/>
    <col min="9949" max="9950" width="20.140625" style="2" customWidth="1"/>
    <col min="9951" max="9951" width="18.42578125" style="2" customWidth="1"/>
    <col min="9952" max="9952" width="9.140625" style="2" customWidth="1"/>
    <col min="9953" max="9953" width="12" style="2" customWidth="1"/>
    <col min="9954" max="9954" width="14.85546875" style="2" customWidth="1"/>
    <col min="9955" max="9955" width="22.42578125" style="2" customWidth="1"/>
    <col min="9956" max="9956" width="14.85546875" style="2" customWidth="1"/>
    <col min="9957" max="9957" width="7.140625" style="2" customWidth="1"/>
    <col min="9958" max="9958" width="20.140625" style="2" customWidth="1"/>
    <col min="9959" max="10190" width="8.85546875" style="2" customWidth="1"/>
    <col min="10191" max="10191" width="8.140625" style="2" customWidth="1"/>
    <col min="10192" max="10192" width="14.5703125" style="2" customWidth="1"/>
    <col min="10193" max="10193" width="37.42578125" style="2" customWidth="1"/>
    <col min="10194" max="10194" width="63.140625" style="2" customWidth="1"/>
    <col min="10195" max="10195" width="20" style="2" customWidth="1"/>
    <col min="10196" max="10196" width="11.140625" style="2" customWidth="1"/>
    <col min="10197" max="10197" width="10.85546875" style="2" customWidth="1"/>
    <col min="10198" max="10198" width="21" style="2" customWidth="1"/>
    <col min="10199" max="10199" width="10.85546875" style="2" customWidth="1"/>
    <col min="10200" max="10200" width="17.42578125" style="2" customWidth="1"/>
    <col min="10201" max="10201" width="14.85546875" style="2" customWidth="1"/>
    <col min="10202" max="10202" width="15" style="2" customWidth="1"/>
    <col min="10203" max="10203" width="14.85546875" style="2" customWidth="1"/>
    <col min="10204" max="10204" width="7.140625" style="2" customWidth="1"/>
    <col min="10205" max="10206" width="20.140625" style="2" customWidth="1"/>
    <col min="10207" max="10207" width="18.42578125" style="2" customWidth="1"/>
    <col min="10208" max="10208" width="9.140625" style="2" customWidth="1"/>
    <col min="10209" max="10209" width="12" style="2" customWidth="1"/>
    <col min="10210" max="10210" width="14.85546875" style="2" customWidth="1"/>
    <col min="10211" max="10211" width="22.42578125" style="2" customWidth="1"/>
    <col min="10212" max="10212" width="14.85546875" style="2" customWidth="1"/>
    <col min="10213" max="10213" width="7.140625" style="2" customWidth="1"/>
    <col min="10214" max="10214" width="20.140625" style="2" customWidth="1"/>
    <col min="10215" max="10446" width="8.85546875" style="2" customWidth="1"/>
    <col min="10447" max="10447" width="8.140625" style="2" customWidth="1"/>
    <col min="10448" max="10448" width="14.5703125" style="2" customWidth="1"/>
    <col min="10449" max="10449" width="37.42578125" style="2" customWidth="1"/>
    <col min="10450" max="10450" width="63.140625" style="2" customWidth="1"/>
    <col min="10451" max="10451" width="20" style="2" customWidth="1"/>
    <col min="10452" max="10452" width="11.140625" style="2" customWidth="1"/>
    <col min="10453" max="10453" width="10.85546875" style="2" customWidth="1"/>
    <col min="10454" max="10454" width="21" style="2" customWidth="1"/>
    <col min="10455" max="10455" width="10.85546875" style="2" customWidth="1"/>
    <col min="10456" max="10456" width="17.42578125" style="2" customWidth="1"/>
    <col min="10457" max="10457" width="14.85546875" style="2" customWidth="1"/>
    <col min="10458" max="10458" width="15" style="2" customWidth="1"/>
    <col min="10459" max="10459" width="14.85546875" style="2" customWidth="1"/>
    <col min="10460" max="10460" width="7.140625" style="2" customWidth="1"/>
    <col min="10461" max="10462" width="20.140625" style="2" customWidth="1"/>
    <col min="10463" max="10463" width="18.42578125" style="2" customWidth="1"/>
    <col min="10464" max="10464" width="9.140625" style="2" customWidth="1"/>
    <col min="10465" max="10465" width="12" style="2" customWidth="1"/>
    <col min="10466" max="10466" width="14.85546875" style="2" customWidth="1"/>
    <col min="10467" max="10467" width="22.42578125" style="2" customWidth="1"/>
    <col min="10468" max="10468" width="14.85546875" style="2" customWidth="1"/>
    <col min="10469" max="10469" width="7.140625" style="2" customWidth="1"/>
    <col min="10470" max="10470" width="20.140625" style="2" customWidth="1"/>
    <col min="10471" max="10702" width="8.85546875" style="2" customWidth="1"/>
    <col min="10703" max="10703" width="8.140625" style="2" customWidth="1"/>
    <col min="10704" max="10704" width="14.5703125" style="2" customWidth="1"/>
    <col min="10705" max="10705" width="37.42578125" style="2" customWidth="1"/>
    <col min="10706" max="10706" width="63.140625" style="2" customWidth="1"/>
    <col min="10707" max="10707" width="20" style="2" customWidth="1"/>
    <col min="10708" max="10708" width="11.140625" style="2" customWidth="1"/>
    <col min="10709" max="10709" width="10.85546875" style="2" customWidth="1"/>
    <col min="10710" max="10710" width="21" style="2" customWidth="1"/>
    <col min="10711" max="10711" width="10.85546875" style="2" customWidth="1"/>
    <col min="10712" max="10712" width="17.42578125" style="2" customWidth="1"/>
    <col min="10713" max="10713" width="14.85546875" style="2" customWidth="1"/>
    <col min="10714" max="10714" width="15" style="2" customWidth="1"/>
    <col min="10715" max="10715" width="14.85546875" style="2" customWidth="1"/>
    <col min="10716" max="10716" width="7.140625" style="2" customWidth="1"/>
    <col min="10717" max="10718" width="20.140625" style="2" customWidth="1"/>
    <col min="10719" max="10719" width="18.42578125" style="2" customWidth="1"/>
    <col min="10720" max="10720" width="9.140625" style="2" customWidth="1"/>
    <col min="10721" max="10721" width="12" style="2" customWidth="1"/>
    <col min="10722" max="10722" width="14.85546875" style="2" customWidth="1"/>
    <col min="10723" max="10723" width="22.42578125" style="2" customWidth="1"/>
    <col min="10724" max="10724" width="14.85546875" style="2" customWidth="1"/>
    <col min="10725" max="10725" width="7.140625" style="2" customWidth="1"/>
    <col min="10726" max="10726" width="20.140625" style="2" customWidth="1"/>
    <col min="10727" max="10958" width="8.85546875" style="2" customWidth="1"/>
    <col min="10959" max="10959" width="8.140625" style="2" customWidth="1"/>
    <col min="10960" max="10960" width="14.5703125" style="2" customWidth="1"/>
    <col min="10961" max="10961" width="37.42578125" style="2" customWidth="1"/>
    <col min="10962" max="10962" width="63.140625" style="2" customWidth="1"/>
    <col min="10963" max="10963" width="20" style="2" customWidth="1"/>
    <col min="10964" max="10964" width="11.140625" style="2" customWidth="1"/>
    <col min="10965" max="10965" width="10.85546875" style="2" customWidth="1"/>
    <col min="10966" max="10966" width="21" style="2" customWidth="1"/>
    <col min="10967" max="10967" width="10.85546875" style="2" customWidth="1"/>
    <col min="10968" max="10968" width="17.42578125" style="2" customWidth="1"/>
    <col min="10969" max="10969" width="14.85546875" style="2" customWidth="1"/>
    <col min="10970" max="10970" width="15" style="2" customWidth="1"/>
    <col min="10971" max="10971" width="14.85546875" style="2" customWidth="1"/>
    <col min="10972" max="10972" width="7.140625" style="2" customWidth="1"/>
    <col min="10973" max="10974" width="20.140625" style="2" customWidth="1"/>
    <col min="10975" max="10975" width="18.42578125" style="2" customWidth="1"/>
    <col min="10976" max="10976" width="9.140625" style="2" customWidth="1"/>
    <col min="10977" max="10977" width="12" style="2" customWidth="1"/>
    <col min="10978" max="10978" width="14.85546875" style="2" customWidth="1"/>
    <col min="10979" max="10979" width="22.42578125" style="2" customWidth="1"/>
    <col min="10980" max="10980" width="14.85546875" style="2" customWidth="1"/>
    <col min="10981" max="10981" width="7.140625" style="2" customWidth="1"/>
    <col min="10982" max="10982" width="20.140625" style="2" customWidth="1"/>
    <col min="10983" max="11214" width="8.85546875" style="2" customWidth="1"/>
    <col min="11215" max="11215" width="8.140625" style="2" customWidth="1"/>
    <col min="11216" max="11216" width="14.5703125" style="2" customWidth="1"/>
    <col min="11217" max="11217" width="37.42578125" style="2" customWidth="1"/>
    <col min="11218" max="11218" width="63.140625" style="2" customWidth="1"/>
    <col min="11219" max="11219" width="20" style="2" customWidth="1"/>
    <col min="11220" max="11220" width="11.140625" style="2" customWidth="1"/>
    <col min="11221" max="11221" width="10.85546875" style="2" customWidth="1"/>
    <col min="11222" max="11222" width="21" style="2" customWidth="1"/>
    <col min="11223" max="11223" width="10.85546875" style="2" customWidth="1"/>
    <col min="11224" max="11224" width="17.42578125" style="2" customWidth="1"/>
    <col min="11225" max="11225" width="14.85546875" style="2" customWidth="1"/>
    <col min="11226" max="11226" width="15" style="2" customWidth="1"/>
    <col min="11227" max="11227" width="14.85546875" style="2" customWidth="1"/>
    <col min="11228" max="11228" width="7.140625" style="2" customWidth="1"/>
    <col min="11229" max="11230" width="20.140625" style="2" customWidth="1"/>
    <col min="11231" max="11231" width="18.42578125" style="2" customWidth="1"/>
    <col min="11232" max="11232" width="9.140625" style="2" customWidth="1"/>
    <col min="11233" max="11233" width="12" style="2" customWidth="1"/>
    <col min="11234" max="11234" width="14.85546875" style="2" customWidth="1"/>
    <col min="11235" max="11235" width="22.42578125" style="2" customWidth="1"/>
    <col min="11236" max="11236" width="14.85546875" style="2" customWidth="1"/>
    <col min="11237" max="11237" width="7.140625" style="2" customWidth="1"/>
    <col min="11238" max="11238" width="20.140625" style="2" customWidth="1"/>
    <col min="11239" max="11470" width="8.85546875" style="2" customWidth="1"/>
    <col min="11471" max="11471" width="8.140625" style="2" customWidth="1"/>
    <col min="11472" max="11472" width="14.5703125" style="2" customWidth="1"/>
    <col min="11473" max="11473" width="37.42578125" style="2" customWidth="1"/>
    <col min="11474" max="11474" width="63.140625" style="2" customWidth="1"/>
    <col min="11475" max="11475" width="20" style="2" customWidth="1"/>
    <col min="11476" max="11476" width="11.140625" style="2" customWidth="1"/>
    <col min="11477" max="11477" width="10.85546875" style="2" customWidth="1"/>
    <col min="11478" max="11478" width="21" style="2" customWidth="1"/>
    <col min="11479" max="11479" width="10.85546875" style="2" customWidth="1"/>
    <col min="11480" max="11480" width="17.42578125" style="2" customWidth="1"/>
    <col min="11481" max="11481" width="14.85546875" style="2" customWidth="1"/>
    <col min="11482" max="11482" width="15" style="2" customWidth="1"/>
    <col min="11483" max="11483" width="14.85546875" style="2" customWidth="1"/>
    <col min="11484" max="11484" width="7.140625" style="2" customWidth="1"/>
    <col min="11485" max="11486" width="20.140625" style="2" customWidth="1"/>
    <col min="11487" max="11487" width="18.42578125" style="2" customWidth="1"/>
    <col min="11488" max="11488" width="9.140625" style="2" customWidth="1"/>
    <col min="11489" max="11489" width="12" style="2" customWidth="1"/>
    <col min="11490" max="11490" width="14.85546875" style="2" customWidth="1"/>
    <col min="11491" max="11491" width="22.42578125" style="2" customWidth="1"/>
    <col min="11492" max="11492" width="14.85546875" style="2" customWidth="1"/>
    <col min="11493" max="11493" width="7.140625" style="2" customWidth="1"/>
    <col min="11494" max="11494" width="20.140625" style="2" customWidth="1"/>
    <col min="11495" max="11726" width="8.85546875" style="2" customWidth="1"/>
    <col min="11727" max="11727" width="8.140625" style="2" customWidth="1"/>
    <col min="11728" max="11728" width="14.5703125" style="2" customWidth="1"/>
    <col min="11729" max="11729" width="37.42578125" style="2" customWidth="1"/>
    <col min="11730" max="11730" width="63.140625" style="2" customWidth="1"/>
    <col min="11731" max="11731" width="20" style="2" customWidth="1"/>
    <col min="11732" max="11732" width="11.140625" style="2" customWidth="1"/>
    <col min="11733" max="11733" width="10.85546875" style="2" customWidth="1"/>
    <col min="11734" max="11734" width="21" style="2" customWidth="1"/>
    <col min="11735" max="11735" width="10.85546875" style="2" customWidth="1"/>
    <col min="11736" max="11736" width="17.42578125" style="2" customWidth="1"/>
    <col min="11737" max="11737" width="14.85546875" style="2" customWidth="1"/>
    <col min="11738" max="11738" width="15" style="2" customWidth="1"/>
    <col min="11739" max="11739" width="14.85546875" style="2" customWidth="1"/>
    <col min="11740" max="11740" width="7.140625" style="2" customWidth="1"/>
    <col min="11741" max="11742" width="20.140625" style="2" customWidth="1"/>
    <col min="11743" max="11743" width="18.42578125" style="2" customWidth="1"/>
    <col min="11744" max="11744" width="9.140625" style="2" customWidth="1"/>
    <col min="11745" max="11745" width="12" style="2" customWidth="1"/>
    <col min="11746" max="11746" width="14.85546875" style="2" customWidth="1"/>
    <col min="11747" max="11747" width="22.42578125" style="2" customWidth="1"/>
    <col min="11748" max="11748" width="14.85546875" style="2" customWidth="1"/>
    <col min="11749" max="11749" width="7.140625" style="2" customWidth="1"/>
    <col min="11750" max="11750" width="20.140625" style="2" customWidth="1"/>
    <col min="11751" max="11982" width="8.85546875" style="2" customWidth="1"/>
    <col min="11983" max="11983" width="8.140625" style="2" customWidth="1"/>
    <col min="11984" max="11984" width="14.5703125" style="2" customWidth="1"/>
    <col min="11985" max="11985" width="37.42578125" style="2" customWidth="1"/>
    <col min="11986" max="11986" width="63.140625" style="2" customWidth="1"/>
    <col min="11987" max="11987" width="20" style="2" customWidth="1"/>
    <col min="11988" max="11988" width="11.140625" style="2" customWidth="1"/>
    <col min="11989" max="11989" width="10.85546875" style="2" customWidth="1"/>
    <col min="11990" max="11990" width="21" style="2" customWidth="1"/>
    <col min="11991" max="11991" width="10.85546875" style="2" customWidth="1"/>
    <col min="11992" max="11992" width="17.42578125" style="2" customWidth="1"/>
    <col min="11993" max="11993" width="14.85546875" style="2" customWidth="1"/>
    <col min="11994" max="11994" width="15" style="2" customWidth="1"/>
    <col min="11995" max="11995" width="14.85546875" style="2" customWidth="1"/>
    <col min="11996" max="11996" width="7.140625" style="2" customWidth="1"/>
    <col min="11997" max="11998" width="20.140625" style="2" customWidth="1"/>
    <col min="11999" max="11999" width="18.42578125" style="2" customWidth="1"/>
    <col min="12000" max="12000" width="9.140625" style="2" customWidth="1"/>
    <col min="12001" max="12001" width="12" style="2" customWidth="1"/>
    <col min="12002" max="12002" width="14.85546875" style="2" customWidth="1"/>
    <col min="12003" max="12003" width="22.42578125" style="2" customWidth="1"/>
    <col min="12004" max="12004" width="14.85546875" style="2" customWidth="1"/>
    <col min="12005" max="12005" width="7.140625" style="2" customWidth="1"/>
    <col min="12006" max="12006" width="20.140625" style="2" customWidth="1"/>
    <col min="12007" max="12238" width="8.85546875" style="2" customWidth="1"/>
    <col min="12239" max="12239" width="8.140625" style="2" customWidth="1"/>
    <col min="12240" max="12240" width="14.5703125" style="2" customWidth="1"/>
    <col min="12241" max="12241" width="37.42578125" style="2" customWidth="1"/>
    <col min="12242" max="12242" width="63.140625" style="2" customWidth="1"/>
    <col min="12243" max="12243" width="20" style="2" customWidth="1"/>
    <col min="12244" max="12244" width="11.140625" style="2" customWidth="1"/>
    <col min="12245" max="12245" width="10.85546875" style="2" customWidth="1"/>
    <col min="12246" max="12246" width="21" style="2" customWidth="1"/>
    <col min="12247" max="12247" width="10.85546875" style="2" customWidth="1"/>
    <col min="12248" max="12248" width="17.42578125" style="2" customWidth="1"/>
    <col min="12249" max="12249" width="14.85546875" style="2" customWidth="1"/>
    <col min="12250" max="12250" width="15" style="2" customWidth="1"/>
    <col min="12251" max="12251" width="14.85546875" style="2" customWidth="1"/>
    <col min="12252" max="12252" width="7.140625" style="2" customWidth="1"/>
    <col min="12253" max="12254" width="20.140625" style="2" customWidth="1"/>
    <col min="12255" max="12255" width="18.42578125" style="2" customWidth="1"/>
    <col min="12256" max="12256" width="9.140625" style="2" customWidth="1"/>
    <col min="12257" max="12257" width="12" style="2" customWidth="1"/>
    <col min="12258" max="12258" width="14.85546875" style="2" customWidth="1"/>
    <col min="12259" max="12259" width="22.42578125" style="2" customWidth="1"/>
    <col min="12260" max="12260" width="14.85546875" style="2" customWidth="1"/>
    <col min="12261" max="12261" width="7.140625" style="2" customWidth="1"/>
    <col min="12262" max="12262" width="20.140625" style="2" customWidth="1"/>
    <col min="12263" max="12494" width="8.85546875" style="2" customWidth="1"/>
    <col min="12495" max="12495" width="8.140625" style="2" customWidth="1"/>
    <col min="12496" max="12496" width="14.5703125" style="2" customWidth="1"/>
    <col min="12497" max="12497" width="37.42578125" style="2" customWidth="1"/>
    <col min="12498" max="12498" width="63.140625" style="2" customWidth="1"/>
    <col min="12499" max="12499" width="20" style="2" customWidth="1"/>
    <col min="12500" max="12500" width="11.140625" style="2" customWidth="1"/>
    <col min="12501" max="12501" width="10.85546875" style="2" customWidth="1"/>
    <col min="12502" max="12502" width="21" style="2" customWidth="1"/>
    <col min="12503" max="12503" width="10.85546875" style="2" customWidth="1"/>
    <col min="12504" max="12504" width="17.42578125" style="2" customWidth="1"/>
    <col min="12505" max="12505" width="14.85546875" style="2" customWidth="1"/>
    <col min="12506" max="12506" width="15" style="2" customWidth="1"/>
    <col min="12507" max="12507" width="14.85546875" style="2" customWidth="1"/>
    <col min="12508" max="12508" width="7.140625" style="2" customWidth="1"/>
    <col min="12509" max="12510" width="20.140625" style="2" customWidth="1"/>
    <col min="12511" max="12511" width="18.42578125" style="2" customWidth="1"/>
    <col min="12512" max="12512" width="9.140625" style="2" customWidth="1"/>
    <col min="12513" max="12513" width="12" style="2" customWidth="1"/>
    <col min="12514" max="12514" width="14.85546875" style="2" customWidth="1"/>
    <col min="12515" max="12515" width="22.42578125" style="2" customWidth="1"/>
    <col min="12516" max="12516" width="14.85546875" style="2" customWidth="1"/>
    <col min="12517" max="12517" width="7.140625" style="2" customWidth="1"/>
    <col min="12518" max="12518" width="20.140625" style="2" customWidth="1"/>
    <col min="12519" max="12750" width="8.85546875" style="2" customWidth="1"/>
    <col min="12751" max="12751" width="8.140625" style="2" customWidth="1"/>
    <col min="12752" max="12752" width="14.5703125" style="2" customWidth="1"/>
    <col min="12753" max="12753" width="37.42578125" style="2" customWidth="1"/>
    <col min="12754" max="12754" width="63.140625" style="2" customWidth="1"/>
    <col min="12755" max="12755" width="20" style="2" customWidth="1"/>
    <col min="12756" max="12756" width="11.140625" style="2" customWidth="1"/>
    <col min="12757" max="12757" width="10.85546875" style="2" customWidth="1"/>
    <col min="12758" max="12758" width="21" style="2" customWidth="1"/>
    <col min="12759" max="12759" width="10.85546875" style="2" customWidth="1"/>
    <col min="12760" max="12760" width="17.42578125" style="2" customWidth="1"/>
    <col min="12761" max="12761" width="14.85546875" style="2" customWidth="1"/>
    <col min="12762" max="12762" width="15" style="2" customWidth="1"/>
    <col min="12763" max="12763" width="14.85546875" style="2" customWidth="1"/>
    <col min="12764" max="12764" width="7.140625" style="2" customWidth="1"/>
    <col min="12765" max="12766" width="20.140625" style="2" customWidth="1"/>
    <col min="12767" max="12767" width="18.42578125" style="2" customWidth="1"/>
    <col min="12768" max="12768" width="9.140625" style="2" customWidth="1"/>
    <col min="12769" max="12769" width="12" style="2" customWidth="1"/>
    <col min="12770" max="12770" width="14.85546875" style="2" customWidth="1"/>
    <col min="12771" max="12771" width="22.42578125" style="2" customWidth="1"/>
    <col min="12772" max="12772" width="14.85546875" style="2" customWidth="1"/>
    <col min="12773" max="12773" width="7.140625" style="2" customWidth="1"/>
    <col min="12774" max="12774" width="20.140625" style="2" customWidth="1"/>
    <col min="12775" max="13006" width="8.85546875" style="2" customWidth="1"/>
    <col min="13007" max="13007" width="8.140625" style="2" customWidth="1"/>
    <col min="13008" max="13008" width="14.5703125" style="2" customWidth="1"/>
    <col min="13009" max="13009" width="37.42578125" style="2" customWidth="1"/>
    <col min="13010" max="13010" width="63.140625" style="2" customWidth="1"/>
    <col min="13011" max="13011" width="20" style="2" customWidth="1"/>
    <col min="13012" max="13012" width="11.140625" style="2" customWidth="1"/>
    <col min="13013" max="13013" width="10.85546875" style="2" customWidth="1"/>
    <col min="13014" max="13014" width="21" style="2" customWidth="1"/>
    <col min="13015" max="13015" width="10.85546875" style="2" customWidth="1"/>
    <col min="13016" max="13016" width="17.42578125" style="2" customWidth="1"/>
    <col min="13017" max="13017" width="14.85546875" style="2" customWidth="1"/>
    <col min="13018" max="13018" width="15" style="2" customWidth="1"/>
    <col min="13019" max="13019" width="14.85546875" style="2" customWidth="1"/>
    <col min="13020" max="13020" width="7.140625" style="2" customWidth="1"/>
    <col min="13021" max="13022" width="20.140625" style="2" customWidth="1"/>
    <col min="13023" max="13023" width="18.42578125" style="2" customWidth="1"/>
    <col min="13024" max="13024" width="9.140625" style="2" customWidth="1"/>
    <col min="13025" max="13025" width="12" style="2" customWidth="1"/>
    <col min="13026" max="13026" width="14.85546875" style="2" customWidth="1"/>
    <col min="13027" max="13027" width="22.42578125" style="2" customWidth="1"/>
    <col min="13028" max="13028" width="14.85546875" style="2" customWidth="1"/>
    <col min="13029" max="13029" width="7.140625" style="2" customWidth="1"/>
    <col min="13030" max="13030" width="20.140625" style="2" customWidth="1"/>
    <col min="13031" max="13262" width="8.85546875" style="2" customWidth="1"/>
    <col min="13263" max="13263" width="8.140625" style="2" customWidth="1"/>
    <col min="13264" max="13264" width="14.5703125" style="2" customWidth="1"/>
    <col min="13265" max="13265" width="37.42578125" style="2" customWidth="1"/>
    <col min="13266" max="13266" width="63.140625" style="2" customWidth="1"/>
    <col min="13267" max="13267" width="20" style="2" customWidth="1"/>
    <col min="13268" max="13268" width="11.140625" style="2" customWidth="1"/>
    <col min="13269" max="13269" width="10.85546875" style="2" customWidth="1"/>
    <col min="13270" max="13270" width="21" style="2" customWidth="1"/>
    <col min="13271" max="13271" width="10.85546875" style="2" customWidth="1"/>
    <col min="13272" max="13272" width="17.42578125" style="2" customWidth="1"/>
    <col min="13273" max="13273" width="14.85546875" style="2" customWidth="1"/>
    <col min="13274" max="13274" width="15" style="2" customWidth="1"/>
    <col min="13275" max="13275" width="14.85546875" style="2" customWidth="1"/>
    <col min="13276" max="13276" width="7.140625" style="2" customWidth="1"/>
    <col min="13277" max="13278" width="20.140625" style="2" customWidth="1"/>
    <col min="13279" max="13279" width="18.42578125" style="2" customWidth="1"/>
    <col min="13280" max="13280" width="9.140625" style="2" customWidth="1"/>
    <col min="13281" max="13281" width="12" style="2" customWidth="1"/>
    <col min="13282" max="13282" width="14.85546875" style="2" customWidth="1"/>
    <col min="13283" max="13283" width="22.42578125" style="2" customWidth="1"/>
    <col min="13284" max="13284" width="14.85546875" style="2" customWidth="1"/>
    <col min="13285" max="13285" width="7.140625" style="2" customWidth="1"/>
    <col min="13286" max="13286" width="20.140625" style="2" customWidth="1"/>
    <col min="13287" max="13518" width="8.85546875" style="2" customWidth="1"/>
    <col min="13519" max="13519" width="8.140625" style="2" customWidth="1"/>
    <col min="13520" max="13520" width="14.5703125" style="2" customWidth="1"/>
    <col min="13521" max="13521" width="37.42578125" style="2" customWidth="1"/>
    <col min="13522" max="13522" width="63.140625" style="2" customWidth="1"/>
    <col min="13523" max="13523" width="20" style="2" customWidth="1"/>
    <col min="13524" max="13524" width="11.140625" style="2" customWidth="1"/>
    <col min="13525" max="13525" width="10.85546875" style="2" customWidth="1"/>
    <col min="13526" max="13526" width="21" style="2" customWidth="1"/>
    <col min="13527" max="13527" width="10.85546875" style="2" customWidth="1"/>
    <col min="13528" max="13528" width="17.42578125" style="2" customWidth="1"/>
    <col min="13529" max="13529" width="14.85546875" style="2" customWidth="1"/>
    <col min="13530" max="13530" width="15" style="2" customWidth="1"/>
    <col min="13531" max="13531" width="14.85546875" style="2" customWidth="1"/>
    <col min="13532" max="13532" width="7.140625" style="2" customWidth="1"/>
    <col min="13533" max="13534" width="20.140625" style="2" customWidth="1"/>
    <col min="13535" max="13535" width="18.42578125" style="2" customWidth="1"/>
    <col min="13536" max="13536" width="9.140625" style="2" customWidth="1"/>
    <col min="13537" max="13537" width="12" style="2" customWidth="1"/>
    <col min="13538" max="13538" width="14.85546875" style="2" customWidth="1"/>
    <col min="13539" max="13539" width="22.42578125" style="2" customWidth="1"/>
    <col min="13540" max="13540" width="14.85546875" style="2" customWidth="1"/>
    <col min="13541" max="13541" width="7.140625" style="2" customWidth="1"/>
    <col min="13542" max="13542" width="20.140625" style="2" customWidth="1"/>
    <col min="13543" max="13774" width="8.85546875" style="2" customWidth="1"/>
    <col min="13775" max="13775" width="8.140625" style="2" customWidth="1"/>
    <col min="13776" max="13776" width="14.5703125" style="2" customWidth="1"/>
    <col min="13777" max="13777" width="37.42578125" style="2" customWidth="1"/>
    <col min="13778" max="13778" width="63.140625" style="2" customWidth="1"/>
    <col min="13779" max="13779" width="20" style="2" customWidth="1"/>
    <col min="13780" max="13780" width="11.140625" style="2" customWidth="1"/>
    <col min="13781" max="13781" width="10.85546875" style="2" customWidth="1"/>
    <col min="13782" max="13782" width="21" style="2" customWidth="1"/>
    <col min="13783" max="13783" width="10.85546875" style="2" customWidth="1"/>
    <col min="13784" max="13784" width="17.42578125" style="2" customWidth="1"/>
    <col min="13785" max="13785" width="14.85546875" style="2" customWidth="1"/>
    <col min="13786" max="13786" width="15" style="2" customWidth="1"/>
    <col min="13787" max="13787" width="14.85546875" style="2" customWidth="1"/>
    <col min="13788" max="13788" width="7.140625" style="2" customWidth="1"/>
    <col min="13789" max="13790" width="20.140625" style="2" customWidth="1"/>
    <col min="13791" max="13791" width="18.42578125" style="2" customWidth="1"/>
    <col min="13792" max="13792" width="9.140625" style="2" customWidth="1"/>
    <col min="13793" max="13793" width="12" style="2" customWidth="1"/>
    <col min="13794" max="13794" width="14.85546875" style="2" customWidth="1"/>
    <col min="13795" max="13795" width="22.42578125" style="2" customWidth="1"/>
    <col min="13796" max="13796" width="14.85546875" style="2" customWidth="1"/>
    <col min="13797" max="13797" width="7.140625" style="2" customWidth="1"/>
    <col min="13798" max="13798" width="20.140625" style="2" customWidth="1"/>
    <col min="13799" max="14030" width="8.85546875" style="2" customWidth="1"/>
    <col min="14031" max="14031" width="8.140625" style="2" customWidth="1"/>
    <col min="14032" max="14032" width="14.5703125" style="2" customWidth="1"/>
    <col min="14033" max="14033" width="37.42578125" style="2" customWidth="1"/>
    <col min="14034" max="14034" width="63.140625" style="2" customWidth="1"/>
    <col min="14035" max="14035" width="20" style="2" customWidth="1"/>
    <col min="14036" max="14036" width="11.140625" style="2" customWidth="1"/>
    <col min="14037" max="14037" width="10.85546875" style="2" customWidth="1"/>
    <col min="14038" max="14038" width="21" style="2" customWidth="1"/>
    <col min="14039" max="14039" width="10.85546875" style="2" customWidth="1"/>
    <col min="14040" max="14040" width="17.42578125" style="2" customWidth="1"/>
    <col min="14041" max="14041" width="14.85546875" style="2" customWidth="1"/>
    <col min="14042" max="14042" width="15" style="2" customWidth="1"/>
    <col min="14043" max="14043" width="14.85546875" style="2" customWidth="1"/>
    <col min="14044" max="14044" width="7.140625" style="2" customWidth="1"/>
    <col min="14045" max="14046" width="20.140625" style="2" customWidth="1"/>
    <col min="14047" max="14047" width="18.42578125" style="2" customWidth="1"/>
    <col min="14048" max="14048" width="9.140625" style="2" customWidth="1"/>
    <col min="14049" max="14049" width="12" style="2" customWidth="1"/>
    <col min="14050" max="14050" width="14.85546875" style="2" customWidth="1"/>
    <col min="14051" max="14051" width="22.42578125" style="2" customWidth="1"/>
    <col min="14052" max="14052" width="14.85546875" style="2" customWidth="1"/>
    <col min="14053" max="14053" width="7.140625" style="2" customWidth="1"/>
    <col min="14054" max="14054" width="20.140625" style="2" customWidth="1"/>
    <col min="14055" max="14286" width="8.85546875" style="2" customWidth="1"/>
    <col min="14287" max="14287" width="8.140625" style="2" customWidth="1"/>
    <col min="14288" max="14288" width="14.5703125" style="2" customWidth="1"/>
    <col min="14289" max="14289" width="37.42578125" style="2" customWidth="1"/>
    <col min="14290" max="14290" width="63.140625" style="2" customWidth="1"/>
    <col min="14291" max="14291" width="20" style="2" customWidth="1"/>
    <col min="14292" max="14292" width="11.140625" style="2" customWidth="1"/>
    <col min="14293" max="14293" width="10.85546875" style="2" customWidth="1"/>
    <col min="14294" max="14294" width="21" style="2" customWidth="1"/>
    <col min="14295" max="14295" width="10.85546875" style="2" customWidth="1"/>
    <col min="14296" max="14296" width="17.42578125" style="2" customWidth="1"/>
    <col min="14297" max="14297" width="14.85546875" style="2" customWidth="1"/>
    <col min="14298" max="14298" width="15" style="2" customWidth="1"/>
    <col min="14299" max="14299" width="14.85546875" style="2" customWidth="1"/>
    <col min="14300" max="14300" width="7.140625" style="2" customWidth="1"/>
    <col min="14301" max="14302" width="20.140625" style="2" customWidth="1"/>
    <col min="14303" max="14303" width="18.42578125" style="2" customWidth="1"/>
    <col min="14304" max="14304" width="9.140625" style="2" customWidth="1"/>
    <col min="14305" max="14305" width="12" style="2" customWidth="1"/>
    <col min="14306" max="14306" width="14.85546875" style="2" customWidth="1"/>
    <col min="14307" max="14307" width="22.42578125" style="2" customWidth="1"/>
    <col min="14308" max="14308" width="14.85546875" style="2" customWidth="1"/>
    <col min="14309" max="14309" width="7.140625" style="2" customWidth="1"/>
    <col min="14310" max="14310" width="20.140625" style="2" customWidth="1"/>
    <col min="14311" max="14542" width="8.85546875" style="2" customWidth="1"/>
    <col min="14543" max="14543" width="8.140625" style="2" customWidth="1"/>
    <col min="14544" max="14544" width="14.5703125" style="2" customWidth="1"/>
    <col min="14545" max="14545" width="37.42578125" style="2" customWidth="1"/>
    <col min="14546" max="14546" width="63.140625" style="2" customWidth="1"/>
    <col min="14547" max="14547" width="20" style="2" customWidth="1"/>
    <col min="14548" max="14548" width="11.140625" style="2" customWidth="1"/>
    <col min="14549" max="14549" width="10.85546875" style="2" customWidth="1"/>
    <col min="14550" max="14550" width="21" style="2" customWidth="1"/>
    <col min="14551" max="14551" width="10.85546875" style="2" customWidth="1"/>
    <col min="14552" max="14552" width="17.42578125" style="2" customWidth="1"/>
    <col min="14553" max="14553" width="14.85546875" style="2" customWidth="1"/>
    <col min="14554" max="14554" width="15" style="2" customWidth="1"/>
    <col min="14555" max="14555" width="14.85546875" style="2" customWidth="1"/>
    <col min="14556" max="14556" width="7.140625" style="2" customWidth="1"/>
    <col min="14557" max="14558" width="20.140625" style="2" customWidth="1"/>
    <col min="14559" max="14559" width="18.42578125" style="2" customWidth="1"/>
    <col min="14560" max="14560" width="9.140625" style="2" customWidth="1"/>
    <col min="14561" max="14561" width="12" style="2" customWidth="1"/>
    <col min="14562" max="14562" width="14.85546875" style="2" customWidth="1"/>
    <col min="14563" max="14563" width="22.42578125" style="2" customWidth="1"/>
    <col min="14564" max="14564" width="14.85546875" style="2" customWidth="1"/>
    <col min="14565" max="14565" width="7.140625" style="2" customWidth="1"/>
    <col min="14566" max="14566" width="20.140625" style="2" customWidth="1"/>
    <col min="14567" max="14798" width="8.85546875" style="2" customWidth="1"/>
    <col min="14799" max="14799" width="8.140625" style="2" customWidth="1"/>
    <col min="14800" max="14800" width="14.5703125" style="2" customWidth="1"/>
    <col min="14801" max="14801" width="37.42578125" style="2" customWidth="1"/>
    <col min="14802" max="14802" width="63.140625" style="2" customWidth="1"/>
    <col min="14803" max="14803" width="20" style="2" customWidth="1"/>
    <col min="14804" max="14804" width="11.140625" style="2" customWidth="1"/>
    <col min="14805" max="14805" width="10.85546875" style="2" customWidth="1"/>
    <col min="14806" max="14806" width="21" style="2" customWidth="1"/>
    <col min="14807" max="14807" width="10.85546875" style="2" customWidth="1"/>
    <col min="14808" max="14808" width="17.42578125" style="2" customWidth="1"/>
    <col min="14809" max="14809" width="14.85546875" style="2" customWidth="1"/>
    <col min="14810" max="14810" width="15" style="2" customWidth="1"/>
    <col min="14811" max="14811" width="14.85546875" style="2" customWidth="1"/>
    <col min="14812" max="14812" width="7.140625" style="2" customWidth="1"/>
    <col min="14813" max="14814" width="20.140625" style="2" customWidth="1"/>
    <col min="14815" max="14815" width="18.42578125" style="2" customWidth="1"/>
    <col min="14816" max="14816" width="9.140625" style="2" customWidth="1"/>
    <col min="14817" max="14817" width="12" style="2" customWidth="1"/>
    <col min="14818" max="14818" width="14.85546875" style="2" customWidth="1"/>
    <col min="14819" max="14819" width="22.42578125" style="2" customWidth="1"/>
    <col min="14820" max="14820" width="14.85546875" style="2" customWidth="1"/>
    <col min="14821" max="14821" width="7.140625" style="2" customWidth="1"/>
    <col min="14822" max="14822" width="20.140625" style="2" customWidth="1"/>
    <col min="14823" max="15054" width="8.85546875" style="2" customWidth="1"/>
    <col min="15055" max="15055" width="8.140625" style="2" customWidth="1"/>
    <col min="15056" max="15056" width="14.5703125" style="2" customWidth="1"/>
    <col min="15057" max="15057" width="37.42578125" style="2" customWidth="1"/>
    <col min="15058" max="15058" width="63.140625" style="2" customWidth="1"/>
    <col min="15059" max="15059" width="20" style="2" customWidth="1"/>
    <col min="15060" max="15060" width="11.140625" style="2" customWidth="1"/>
    <col min="15061" max="15061" width="10.85546875" style="2" customWidth="1"/>
    <col min="15062" max="15062" width="21" style="2" customWidth="1"/>
    <col min="15063" max="15063" width="10.85546875" style="2" customWidth="1"/>
    <col min="15064" max="15064" width="17.42578125" style="2" customWidth="1"/>
    <col min="15065" max="15065" width="14.85546875" style="2" customWidth="1"/>
    <col min="15066" max="15066" width="15" style="2" customWidth="1"/>
    <col min="15067" max="15067" width="14.85546875" style="2" customWidth="1"/>
    <col min="15068" max="15068" width="7.140625" style="2" customWidth="1"/>
    <col min="15069" max="15070" width="20.140625" style="2" customWidth="1"/>
    <col min="15071" max="15071" width="18.42578125" style="2" customWidth="1"/>
    <col min="15072" max="15072" width="9.140625" style="2" customWidth="1"/>
    <col min="15073" max="15073" width="12" style="2" customWidth="1"/>
    <col min="15074" max="15074" width="14.85546875" style="2" customWidth="1"/>
    <col min="15075" max="15075" width="22.42578125" style="2" customWidth="1"/>
    <col min="15076" max="15076" width="14.85546875" style="2" customWidth="1"/>
    <col min="15077" max="15077" width="7.140625" style="2" customWidth="1"/>
    <col min="15078" max="15078" width="20.140625" style="2" customWidth="1"/>
    <col min="15079" max="15310" width="8.85546875" style="2" customWidth="1"/>
    <col min="15311" max="15311" width="8.140625" style="2" customWidth="1"/>
    <col min="15312" max="15312" width="14.5703125" style="2" customWidth="1"/>
    <col min="15313" max="15313" width="37.42578125" style="2" customWidth="1"/>
    <col min="15314" max="15314" width="63.140625" style="2" customWidth="1"/>
    <col min="15315" max="15315" width="20" style="2" customWidth="1"/>
    <col min="15316" max="15316" width="11.140625" style="2" customWidth="1"/>
    <col min="15317" max="15317" width="10.85546875" style="2" customWidth="1"/>
    <col min="15318" max="15318" width="21" style="2" customWidth="1"/>
    <col min="15319" max="15319" width="10.85546875" style="2" customWidth="1"/>
    <col min="15320" max="15320" width="17.42578125" style="2" customWidth="1"/>
    <col min="15321" max="15321" width="14.85546875" style="2" customWidth="1"/>
    <col min="15322" max="15322" width="15" style="2" customWidth="1"/>
    <col min="15323" max="15323" width="14.85546875" style="2" customWidth="1"/>
    <col min="15324" max="15324" width="7.140625" style="2" customWidth="1"/>
    <col min="15325" max="15326" width="20.140625" style="2" customWidth="1"/>
    <col min="15327" max="15327" width="18.42578125" style="2" customWidth="1"/>
    <col min="15328" max="15328" width="9.140625" style="2" customWidth="1"/>
    <col min="15329" max="15329" width="12" style="2" customWidth="1"/>
    <col min="15330" max="15330" width="14.85546875" style="2" customWidth="1"/>
    <col min="15331" max="15331" width="22.42578125" style="2" customWidth="1"/>
    <col min="15332" max="15332" width="14.85546875" style="2" customWidth="1"/>
    <col min="15333" max="15333" width="7.140625" style="2" customWidth="1"/>
    <col min="15334" max="15334" width="20.140625" style="2" customWidth="1"/>
    <col min="15335" max="15566" width="8.85546875" style="2" customWidth="1"/>
    <col min="15567" max="15567" width="8.140625" style="2" customWidth="1"/>
    <col min="15568" max="15568" width="14.5703125" style="2" customWidth="1"/>
    <col min="15569" max="15569" width="37.42578125" style="2" customWidth="1"/>
    <col min="15570" max="15570" width="63.140625" style="2" customWidth="1"/>
    <col min="15571" max="15571" width="20" style="2" customWidth="1"/>
    <col min="15572" max="15572" width="11.140625" style="2" customWidth="1"/>
    <col min="15573" max="15573" width="10.85546875" style="2" customWidth="1"/>
    <col min="15574" max="15574" width="21" style="2" customWidth="1"/>
    <col min="15575" max="15575" width="10.85546875" style="2" customWidth="1"/>
    <col min="15576" max="15576" width="17.42578125" style="2" customWidth="1"/>
    <col min="15577" max="15577" width="14.85546875" style="2" customWidth="1"/>
    <col min="15578" max="15578" width="15" style="2" customWidth="1"/>
    <col min="15579" max="15579" width="14.85546875" style="2" customWidth="1"/>
    <col min="15580" max="15580" width="7.140625" style="2" customWidth="1"/>
    <col min="15581" max="15582" width="20.140625" style="2" customWidth="1"/>
    <col min="15583" max="15583" width="18.42578125" style="2" customWidth="1"/>
    <col min="15584" max="15584" width="9.140625" style="2" customWidth="1"/>
    <col min="15585" max="15585" width="12" style="2" customWidth="1"/>
    <col min="15586" max="15586" width="14.85546875" style="2" customWidth="1"/>
    <col min="15587" max="15587" width="22.42578125" style="2" customWidth="1"/>
    <col min="15588" max="15588" width="14.85546875" style="2" customWidth="1"/>
    <col min="15589" max="15589" width="7.140625" style="2" customWidth="1"/>
    <col min="15590" max="15590" width="20.140625" style="2" customWidth="1"/>
    <col min="15591" max="15822" width="8.85546875" style="2" customWidth="1"/>
    <col min="15823" max="15823" width="8.140625" style="2" customWidth="1"/>
    <col min="15824" max="15824" width="14.5703125" style="2" customWidth="1"/>
    <col min="15825" max="15825" width="37.42578125" style="2" customWidth="1"/>
    <col min="15826" max="15826" width="63.140625" style="2" customWidth="1"/>
    <col min="15827" max="15827" width="20" style="2" customWidth="1"/>
    <col min="15828" max="15828" width="11.140625" style="2" customWidth="1"/>
    <col min="15829" max="15829" width="10.85546875" style="2" customWidth="1"/>
    <col min="15830" max="15830" width="21" style="2" customWidth="1"/>
    <col min="15831" max="15831" width="10.85546875" style="2" customWidth="1"/>
    <col min="15832" max="15832" width="17.42578125" style="2" customWidth="1"/>
    <col min="15833" max="15833" width="14.85546875" style="2" customWidth="1"/>
    <col min="15834" max="15834" width="15" style="2" customWidth="1"/>
    <col min="15835" max="15835" width="14.85546875" style="2" customWidth="1"/>
    <col min="15836" max="15836" width="7.140625" style="2" customWidth="1"/>
    <col min="15837" max="15838" width="20.140625" style="2" customWidth="1"/>
    <col min="15839" max="15839" width="18.42578125" style="2" customWidth="1"/>
    <col min="15840" max="15840" width="9.140625" style="2" customWidth="1"/>
    <col min="15841" max="15841" width="12" style="2" customWidth="1"/>
    <col min="15842" max="15842" width="14.85546875" style="2" customWidth="1"/>
    <col min="15843" max="15843" width="22.42578125" style="2" customWidth="1"/>
    <col min="15844" max="15844" width="14.85546875" style="2" customWidth="1"/>
    <col min="15845" max="15845" width="7.140625" style="2" customWidth="1"/>
    <col min="15846" max="15846" width="20.140625" style="2" customWidth="1"/>
    <col min="15847" max="16078" width="8.85546875" style="2" customWidth="1"/>
    <col min="16079" max="16079" width="8.140625" style="2" customWidth="1"/>
    <col min="16080" max="16080" width="14.5703125" style="2" customWidth="1"/>
    <col min="16081" max="16081" width="37.42578125" style="2" customWidth="1"/>
    <col min="16082" max="16082" width="63.140625" style="2" customWidth="1"/>
    <col min="16083" max="16083" width="20" style="2" customWidth="1"/>
    <col min="16084" max="16084" width="11.140625" style="2" customWidth="1"/>
    <col min="16085" max="16085" width="10.85546875" style="2" customWidth="1"/>
    <col min="16086" max="16086" width="21" style="2" customWidth="1"/>
    <col min="16087" max="16087" width="10.85546875" style="2" customWidth="1"/>
    <col min="16088" max="16088" width="17.42578125" style="2" customWidth="1"/>
    <col min="16089" max="16089" width="14.85546875" style="2" customWidth="1"/>
    <col min="16090" max="16090" width="15" style="2" customWidth="1"/>
    <col min="16091" max="16091" width="14.85546875" style="2" customWidth="1"/>
    <col min="16092" max="16092" width="7.140625" style="2" customWidth="1"/>
    <col min="16093" max="16094" width="20.140625" style="2" customWidth="1"/>
    <col min="16095" max="16095" width="18.42578125" style="2" customWidth="1"/>
    <col min="16096" max="16096" width="9.140625" style="2" customWidth="1"/>
    <col min="16097" max="16097" width="12" style="2" customWidth="1"/>
    <col min="16098" max="16098" width="14.85546875" style="2" customWidth="1"/>
    <col min="16099" max="16099" width="22.42578125" style="2" customWidth="1"/>
    <col min="16100" max="16100" width="14.85546875" style="2" customWidth="1"/>
    <col min="16101" max="16101" width="7.140625" style="2" customWidth="1"/>
    <col min="16102" max="16102" width="20.140625" style="2" customWidth="1"/>
    <col min="16103" max="16384" width="8.85546875" style="2" customWidth="1"/>
  </cols>
  <sheetData>
    <row r="1" spans="1:21" ht="14.1" customHeight="1">
      <c r="A1" s="1" t="s">
        <v>0</v>
      </c>
      <c r="B1" s="2"/>
      <c r="C1" s="2"/>
      <c r="D1" s="2"/>
      <c r="F1" s="2"/>
      <c r="H1" s="2"/>
      <c r="J1" s="2"/>
      <c r="K1" s="2"/>
      <c r="L1" s="2"/>
      <c r="M1" s="2"/>
      <c r="N1" s="2"/>
      <c r="O1" s="2"/>
      <c r="P1" s="2"/>
      <c r="R1" s="10"/>
    </row>
    <row r="2" spans="1:21" s="4" customFormat="1" ht="14.1" customHeight="1">
      <c r="A2" s="4" t="s">
        <v>1</v>
      </c>
      <c r="E2" s="69"/>
      <c r="Q2" s="2"/>
      <c r="R2" s="336"/>
      <c r="S2" s="2"/>
    </row>
    <row r="3" spans="1:21" s="6" customFormat="1" ht="14.1" customHeight="1">
      <c r="A3" s="3"/>
      <c r="B3" s="16"/>
      <c r="C3" s="16"/>
      <c r="D3" s="23"/>
      <c r="E3" s="16"/>
      <c r="F3" s="23"/>
      <c r="G3" s="15"/>
      <c r="H3" s="25"/>
      <c r="I3" s="15"/>
      <c r="J3" s="25"/>
      <c r="K3" s="25"/>
      <c r="L3" s="25"/>
      <c r="M3" s="25"/>
      <c r="N3" s="25"/>
      <c r="O3" s="25"/>
      <c r="P3" s="25"/>
      <c r="Q3" s="2"/>
      <c r="R3" s="355" t="s">
        <v>2</v>
      </c>
      <c r="S3" s="2"/>
      <c r="T3" s="2"/>
      <c r="U3" s="2"/>
    </row>
    <row r="4" spans="1:21" s="5" customFormat="1" ht="33" customHeight="1">
      <c r="A4" s="21" t="s">
        <v>3</v>
      </c>
      <c r="B4" s="52" t="s">
        <v>4</v>
      </c>
      <c r="C4" s="52" t="s">
        <v>5</v>
      </c>
      <c r="D4" s="21" t="s">
        <v>6</v>
      </c>
      <c r="E4" s="21" t="s">
        <v>7</v>
      </c>
      <c r="F4" s="21" t="s">
        <v>8</v>
      </c>
      <c r="G4" s="21" t="s">
        <v>9</v>
      </c>
      <c r="H4" s="21" t="s">
        <v>10</v>
      </c>
      <c r="I4" s="21" t="s">
        <v>11</v>
      </c>
      <c r="J4" s="21" t="s">
        <v>12</v>
      </c>
      <c r="K4" s="21" t="s">
        <v>13</v>
      </c>
      <c r="L4" s="21" t="s">
        <v>14</v>
      </c>
      <c r="M4" s="21" t="s">
        <v>15</v>
      </c>
      <c r="N4" s="21" t="s">
        <v>16</v>
      </c>
      <c r="O4" s="21" t="s">
        <v>17</v>
      </c>
      <c r="P4" s="21" t="s">
        <v>18</v>
      </c>
      <c r="Q4" s="3"/>
      <c r="R4" s="41" t="s">
        <v>19</v>
      </c>
      <c r="S4" s="3"/>
      <c r="T4" s="42" t="s">
        <v>20</v>
      </c>
      <c r="U4" s="42" t="s">
        <v>21</v>
      </c>
    </row>
    <row r="5" spans="1:21" ht="14.1" customHeight="1">
      <c r="A5" s="7">
        <v>1</v>
      </c>
      <c r="B5" s="14" t="s">
        <v>22</v>
      </c>
      <c r="C5" s="14" t="s">
        <v>23</v>
      </c>
      <c r="D5" s="7" t="s">
        <v>24</v>
      </c>
      <c r="E5" s="14" t="s">
        <v>25</v>
      </c>
      <c r="F5" s="7" t="s">
        <v>26</v>
      </c>
      <c r="G5" s="8" t="s">
        <v>27</v>
      </c>
      <c r="H5" s="7" t="s">
        <v>28</v>
      </c>
      <c r="I5" s="8" t="s">
        <v>29</v>
      </c>
      <c r="J5" s="7" t="s">
        <v>30</v>
      </c>
      <c r="K5" s="7" t="s">
        <v>31</v>
      </c>
      <c r="L5" s="7" t="s">
        <v>32</v>
      </c>
      <c r="M5" s="7">
        <v>83014019</v>
      </c>
      <c r="N5" s="7">
        <v>1</v>
      </c>
      <c r="O5" s="7" t="s">
        <v>33</v>
      </c>
      <c r="P5" s="7"/>
      <c r="R5" s="9">
        <v>3425.5718572985761</v>
      </c>
      <c r="T5" s="7" t="s">
        <v>34</v>
      </c>
      <c r="U5" s="7"/>
    </row>
    <row r="6" spans="1:21" ht="14.1" customHeight="1">
      <c r="A6" s="7">
        <v>2</v>
      </c>
      <c r="B6" s="14" t="s">
        <v>22</v>
      </c>
      <c r="C6" s="14" t="s">
        <v>23</v>
      </c>
      <c r="D6" s="7" t="s">
        <v>35</v>
      </c>
      <c r="E6" s="14" t="s">
        <v>36</v>
      </c>
      <c r="F6" s="7" t="s">
        <v>26</v>
      </c>
      <c r="G6" s="8" t="s">
        <v>37</v>
      </c>
      <c r="H6" s="7" t="s">
        <v>28</v>
      </c>
      <c r="I6" s="8" t="s">
        <v>38</v>
      </c>
      <c r="J6" s="7" t="s">
        <v>30</v>
      </c>
      <c r="K6" s="7" t="s">
        <v>31</v>
      </c>
      <c r="L6" s="7" t="s">
        <v>32</v>
      </c>
      <c r="M6" s="7">
        <v>83014019</v>
      </c>
      <c r="N6" s="7">
        <v>1</v>
      </c>
      <c r="O6" s="7" t="s">
        <v>33</v>
      </c>
      <c r="P6" s="7"/>
      <c r="R6" s="9">
        <v>1416.709550648575</v>
      </c>
      <c r="T6" s="7" t="s">
        <v>34</v>
      </c>
      <c r="U6" s="7"/>
    </row>
    <row r="7" spans="1:21" ht="14.1" customHeight="1">
      <c r="A7" s="7">
        <v>3</v>
      </c>
      <c r="B7" s="14" t="s">
        <v>22</v>
      </c>
      <c r="C7" s="14" t="s">
        <v>23</v>
      </c>
      <c r="D7" s="7" t="s">
        <v>39</v>
      </c>
      <c r="E7" s="14" t="s">
        <v>40</v>
      </c>
      <c r="F7" s="7" t="s">
        <v>26</v>
      </c>
      <c r="G7" s="8" t="s">
        <v>41</v>
      </c>
      <c r="H7" s="135" t="s">
        <v>42</v>
      </c>
      <c r="I7" s="8" t="s">
        <v>43</v>
      </c>
      <c r="J7" s="7" t="s">
        <v>30</v>
      </c>
      <c r="K7" s="135" t="s">
        <v>42</v>
      </c>
      <c r="L7" s="7" t="s">
        <v>44</v>
      </c>
      <c r="M7" s="7">
        <v>83016000</v>
      </c>
      <c r="N7" s="7">
        <v>1</v>
      </c>
      <c r="O7" s="7" t="s">
        <v>33</v>
      </c>
      <c r="P7" s="7"/>
      <c r="R7" s="9">
        <v>12623.041277127189</v>
      </c>
      <c r="T7" s="7" t="s">
        <v>34</v>
      </c>
      <c r="U7" s="7"/>
    </row>
    <row r="8" spans="1:21" ht="14.1" customHeight="1">
      <c r="A8" s="7">
        <v>4</v>
      </c>
      <c r="B8" s="14" t="s">
        <v>22</v>
      </c>
      <c r="C8" s="14" t="s">
        <v>23</v>
      </c>
      <c r="D8" s="7" t="s">
        <v>45</v>
      </c>
      <c r="E8" s="14" t="s">
        <v>46</v>
      </c>
      <c r="F8" s="7" t="s">
        <v>26</v>
      </c>
      <c r="G8" s="8" t="s">
        <v>47</v>
      </c>
      <c r="H8" s="7" t="s">
        <v>28</v>
      </c>
      <c r="I8" s="8" t="s">
        <v>48</v>
      </c>
      <c r="J8" s="7" t="s">
        <v>30</v>
      </c>
      <c r="K8" s="7" t="s">
        <v>31</v>
      </c>
      <c r="L8" s="7" t="s">
        <v>32</v>
      </c>
      <c r="M8" s="7">
        <v>83014019</v>
      </c>
      <c r="N8" s="7">
        <v>1</v>
      </c>
      <c r="O8" s="7" t="s">
        <v>49</v>
      </c>
      <c r="P8" s="7"/>
      <c r="R8" s="9">
        <v>28140.91753656447</v>
      </c>
      <c r="T8" s="7" t="s">
        <v>34</v>
      </c>
      <c r="U8" s="7"/>
    </row>
    <row r="9" spans="1:21" ht="14.1" customHeight="1">
      <c r="A9" s="7">
        <v>5</v>
      </c>
      <c r="B9" s="14" t="s">
        <v>22</v>
      </c>
      <c r="C9" s="14" t="s">
        <v>23</v>
      </c>
      <c r="D9" s="7" t="s">
        <v>45</v>
      </c>
      <c r="E9" s="14" t="s">
        <v>46</v>
      </c>
      <c r="F9" s="7" t="s">
        <v>26</v>
      </c>
      <c r="G9" s="8" t="s">
        <v>50</v>
      </c>
      <c r="H9" s="135" t="s">
        <v>42</v>
      </c>
      <c r="I9" s="8" t="s">
        <v>51</v>
      </c>
      <c r="J9" s="7" t="s">
        <v>30</v>
      </c>
      <c r="K9" s="135" t="s">
        <v>42</v>
      </c>
      <c r="L9" s="7" t="s">
        <v>32</v>
      </c>
      <c r="M9" s="7">
        <v>85371095</v>
      </c>
      <c r="N9" s="7">
        <v>1</v>
      </c>
      <c r="O9" s="7" t="s">
        <v>49</v>
      </c>
      <c r="P9" s="7"/>
      <c r="R9" s="9">
        <v>3505.486228482016</v>
      </c>
      <c r="T9" s="7" t="s">
        <v>34</v>
      </c>
      <c r="U9" s="7"/>
    </row>
    <row r="10" spans="1:21" ht="14.1" customHeight="1">
      <c r="A10" s="7">
        <v>6</v>
      </c>
      <c r="B10" s="14" t="s">
        <v>22</v>
      </c>
      <c r="C10" s="14" t="s">
        <v>23</v>
      </c>
      <c r="D10" s="7" t="s">
        <v>45</v>
      </c>
      <c r="E10" s="14" t="s">
        <v>46</v>
      </c>
      <c r="F10" s="7" t="s">
        <v>26</v>
      </c>
      <c r="G10" s="8" t="s">
        <v>52</v>
      </c>
      <c r="H10" s="135" t="s">
        <v>42</v>
      </c>
      <c r="I10" s="8" t="s">
        <v>53</v>
      </c>
      <c r="J10" s="7" t="s">
        <v>30</v>
      </c>
      <c r="K10" s="135" t="s">
        <v>42</v>
      </c>
      <c r="L10" s="7" t="s">
        <v>32</v>
      </c>
      <c r="M10" s="7">
        <v>85444290</v>
      </c>
      <c r="N10" s="7">
        <v>1</v>
      </c>
      <c r="O10" s="7" t="s">
        <v>49</v>
      </c>
      <c r="P10" s="7"/>
      <c r="R10" s="9">
        <v>486.09921392488371</v>
      </c>
      <c r="T10" s="7" t="s">
        <v>34</v>
      </c>
      <c r="U10" s="7"/>
    </row>
    <row r="11" spans="1:21" ht="14.1" customHeight="1">
      <c r="A11" s="7">
        <v>7</v>
      </c>
      <c r="B11" s="14" t="s">
        <v>22</v>
      </c>
      <c r="C11" s="14" t="s">
        <v>23</v>
      </c>
      <c r="D11" s="7" t="s">
        <v>45</v>
      </c>
      <c r="E11" s="14" t="s">
        <v>46</v>
      </c>
      <c r="F11" s="7" t="s">
        <v>26</v>
      </c>
      <c r="G11" s="8" t="s">
        <v>54</v>
      </c>
      <c r="H11" s="7" t="s">
        <v>28</v>
      </c>
      <c r="I11" s="8" t="s">
        <v>55</v>
      </c>
      <c r="J11" s="7" t="s">
        <v>30</v>
      </c>
      <c r="K11" s="7" t="s">
        <v>31</v>
      </c>
      <c r="L11" s="7" t="s">
        <v>32</v>
      </c>
      <c r="M11" s="7">
        <v>8301600</v>
      </c>
      <c r="N11" s="7">
        <v>1</v>
      </c>
      <c r="O11" s="7" t="s">
        <v>49</v>
      </c>
      <c r="P11" s="7"/>
      <c r="R11" s="9">
        <v>760.85094353460056</v>
      </c>
      <c r="T11" s="7" t="s">
        <v>34</v>
      </c>
      <c r="U11" s="7"/>
    </row>
    <row r="12" spans="1:21" ht="14.1" customHeight="1">
      <c r="A12" s="7">
        <v>8</v>
      </c>
      <c r="B12" s="14" t="s">
        <v>22</v>
      </c>
      <c r="C12" s="14" t="s">
        <v>23</v>
      </c>
      <c r="D12" s="7" t="s">
        <v>45</v>
      </c>
      <c r="E12" s="14" t="s">
        <v>46</v>
      </c>
      <c r="F12" s="7" t="s">
        <v>26</v>
      </c>
      <c r="G12" s="8" t="s">
        <v>56</v>
      </c>
      <c r="H12" s="7" t="s">
        <v>28</v>
      </c>
      <c r="I12" s="8" t="s">
        <v>57</v>
      </c>
      <c r="J12" s="7" t="s">
        <v>30</v>
      </c>
      <c r="K12" s="7" t="s">
        <v>31</v>
      </c>
      <c r="L12" s="7" t="s">
        <v>58</v>
      </c>
      <c r="M12" s="7">
        <v>83014011</v>
      </c>
      <c r="N12" s="7">
        <v>1</v>
      </c>
      <c r="O12" s="7" t="s">
        <v>33</v>
      </c>
      <c r="P12" s="7"/>
      <c r="R12" s="9">
        <v>3265.7989678609529</v>
      </c>
      <c r="T12" s="7" t="s">
        <v>34</v>
      </c>
      <c r="U12" s="7"/>
    </row>
    <row r="13" spans="1:21" ht="14.1" customHeight="1">
      <c r="A13" s="7">
        <v>9</v>
      </c>
      <c r="B13" s="14" t="s">
        <v>22</v>
      </c>
      <c r="C13" s="14" t="s">
        <v>23</v>
      </c>
      <c r="D13" s="7" t="s">
        <v>24</v>
      </c>
      <c r="E13" s="14" t="s">
        <v>25</v>
      </c>
      <c r="F13" s="7" t="s">
        <v>26</v>
      </c>
      <c r="G13" s="8" t="s">
        <v>59</v>
      </c>
      <c r="H13" s="7" t="s">
        <v>28</v>
      </c>
      <c r="I13" s="8" t="s">
        <v>60</v>
      </c>
      <c r="J13" s="7" t="s">
        <v>30</v>
      </c>
      <c r="K13" s="7" t="s">
        <v>31</v>
      </c>
      <c r="L13" s="7" t="s">
        <v>32</v>
      </c>
      <c r="M13" s="7">
        <v>83014019</v>
      </c>
      <c r="N13" s="7">
        <v>1</v>
      </c>
      <c r="O13" s="7" t="s">
        <v>33</v>
      </c>
      <c r="P13" s="7"/>
      <c r="R13" s="9">
        <v>5639.4590966716514</v>
      </c>
      <c r="T13" s="7" t="s">
        <v>34</v>
      </c>
      <c r="U13" s="7"/>
    </row>
    <row r="14" spans="1:21" ht="14.1" customHeight="1">
      <c r="A14" s="7">
        <v>10</v>
      </c>
      <c r="B14" s="14" t="s">
        <v>22</v>
      </c>
      <c r="C14" s="14" t="s">
        <v>23</v>
      </c>
      <c r="D14" s="7" t="s">
        <v>24</v>
      </c>
      <c r="E14" s="14" t="s">
        <v>25</v>
      </c>
      <c r="F14" s="7" t="s">
        <v>26</v>
      </c>
      <c r="G14" s="8" t="s">
        <v>61</v>
      </c>
      <c r="H14" s="7" t="s">
        <v>28</v>
      </c>
      <c r="I14" s="8" t="s">
        <v>62</v>
      </c>
      <c r="J14" s="7" t="s">
        <v>30</v>
      </c>
      <c r="K14" s="7" t="s">
        <v>31</v>
      </c>
      <c r="L14" s="7" t="s">
        <v>32</v>
      </c>
      <c r="M14" s="7">
        <v>83014019</v>
      </c>
      <c r="N14" s="7">
        <v>1</v>
      </c>
      <c r="O14" s="7" t="s">
        <v>63</v>
      </c>
      <c r="P14" s="7"/>
      <c r="R14" s="9">
        <v>772.98219976960434</v>
      </c>
      <c r="T14" s="7" t="s">
        <v>34</v>
      </c>
      <c r="U14" s="7"/>
    </row>
    <row r="15" spans="1:21" ht="14.1" customHeight="1">
      <c r="A15" s="7">
        <v>11</v>
      </c>
      <c r="B15" s="14" t="s">
        <v>22</v>
      </c>
      <c r="C15" s="14" t="s">
        <v>23</v>
      </c>
      <c r="D15" s="7" t="s">
        <v>24</v>
      </c>
      <c r="E15" s="14" t="s">
        <v>25</v>
      </c>
      <c r="F15" s="7" t="s">
        <v>26</v>
      </c>
      <c r="G15" s="8" t="s">
        <v>64</v>
      </c>
      <c r="H15" s="7" t="s">
        <v>28</v>
      </c>
      <c r="I15" s="8" t="s">
        <v>65</v>
      </c>
      <c r="J15" s="7" t="s">
        <v>30</v>
      </c>
      <c r="K15" s="7" t="s">
        <v>31</v>
      </c>
      <c r="L15" s="7" t="s">
        <v>32</v>
      </c>
      <c r="M15" s="7">
        <v>83014019</v>
      </c>
      <c r="N15" s="7">
        <v>1</v>
      </c>
      <c r="O15" s="7" t="s">
        <v>63</v>
      </c>
      <c r="P15" s="7"/>
      <c r="R15" s="9">
        <v>800.99802908580068</v>
      </c>
      <c r="T15" s="7" t="s">
        <v>34</v>
      </c>
      <c r="U15" s="7"/>
    </row>
    <row r="16" spans="1:21" ht="14.1" customHeight="1">
      <c r="A16" s="7">
        <v>12</v>
      </c>
      <c r="B16" s="14" t="s">
        <v>22</v>
      </c>
      <c r="C16" s="14" t="s">
        <v>23</v>
      </c>
      <c r="D16" s="7" t="s">
        <v>24</v>
      </c>
      <c r="E16" s="14" t="s">
        <v>25</v>
      </c>
      <c r="F16" s="7" t="s">
        <v>26</v>
      </c>
      <c r="G16" s="8" t="s">
        <v>66</v>
      </c>
      <c r="H16" s="7" t="s">
        <v>28</v>
      </c>
      <c r="I16" s="8" t="s">
        <v>67</v>
      </c>
      <c r="J16" s="7" t="s">
        <v>30</v>
      </c>
      <c r="K16" s="7" t="s">
        <v>31</v>
      </c>
      <c r="L16" s="7" t="s">
        <v>32</v>
      </c>
      <c r="M16" s="7">
        <v>83014019</v>
      </c>
      <c r="N16" s="7">
        <v>1</v>
      </c>
      <c r="O16" s="7" t="s">
        <v>63</v>
      </c>
      <c r="P16" s="7"/>
      <c r="R16" s="9">
        <v>2118.378730340587</v>
      </c>
      <c r="T16" s="7" t="s">
        <v>34</v>
      </c>
      <c r="U16" s="7"/>
    </row>
    <row r="17" spans="1:21" ht="14.1" customHeight="1">
      <c r="A17" s="7">
        <v>13</v>
      </c>
      <c r="B17" s="14" t="s">
        <v>22</v>
      </c>
      <c r="C17" s="14" t="s">
        <v>23</v>
      </c>
      <c r="D17" s="7" t="s">
        <v>24</v>
      </c>
      <c r="E17" s="14" t="s">
        <v>25</v>
      </c>
      <c r="F17" s="7" t="s">
        <v>26</v>
      </c>
      <c r="G17" s="8" t="s">
        <v>68</v>
      </c>
      <c r="H17" s="7" t="s">
        <v>28</v>
      </c>
      <c r="I17" s="8" t="s">
        <v>69</v>
      </c>
      <c r="J17" s="7" t="s">
        <v>30</v>
      </c>
      <c r="K17" s="7" t="s">
        <v>31</v>
      </c>
      <c r="L17" s="7" t="s">
        <v>32</v>
      </c>
      <c r="M17" s="7">
        <v>83014019</v>
      </c>
      <c r="N17" s="7">
        <v>1</v>
      </c>
      <c r="O17" s="7" t="s">
        <v>63</v>
      </c>
      <c r="P17" s="7"/>
      <c r="R17" s="9">
        <v>2201.7894948956282</v>
      </c>
      <c r="T17" s="7" t="s">
        <v>34</v>
      </c>
      <c r="U17" s="7"/>
    </row>
    <row r="18" spans="1:21" ht="14.1" customHeight="1">
      <c r="A18" s="7">
        <v>14</v>
      </c>
      <c r="B18" s="14" t="s">
        <v>22</v>
      </c>
      <c r="C18" s="14" t="s">
        <v>23</v>
      </c>
      <c r="D18" s="7" t="s">
        <v>24</v>
      </c>
      <c r="E18" s="14" t="s">
        <v>25</v>
      </c>
      <c r="F18" s="7" t="s">
        <v>26</v>
      </c>
      <c r="G18" s="8" t="s">
        <v>70</v>
      </c>
      <c r="H18" s="7" t="s">
        <v>28</v>
      </c>
      <c r="I18" s="8" t="s">
        <v>71</v>
      </c>
      <c r="J18" s="7" t="s">
        <v>30</v>
      </c>
      <c r="K18" s="7" t="s">
        <v>31</v>
      </c>
      <c r="L18" s="7" t="s">
        <v>32</v>
      </c>
      <c r="M18" s="7">
        <v>83014019</v>
      </c>
      <c r="N18" s="7">
        <v>1</v>
      </c>
      <c r="O18" s="7" t="s">
        <v>63</v>
      </c>
      <c r="P18" s="7"/>
      <c r="R18" s="9">
        <v>3270.848072665945</v>
      </c>
      <c r="T18" s="7" t="s">
        <v>34</v>
      </c>
      <c r="U18" s="7"/>
    </row>
    <row r="19" spans="1:21" ht="14.1" customHeight="1">
      <c r="A19" s="7">
        <v>15</v>
      </c>
      <c r="B19" s="14" t="s">
        <v>22</v>
      </c>
      <c r="C19" s="14" t="s">
        <v>23</v>
      </c>
      <c r="D19" s="7" t="s">
        <v>24</v>
      </c>
      <c r="E19" s="14" t="s">
        <v>25</v>
      </c>
      <c r="F19" s="7" t="s">
        <v>26</v>
      </c>
      <c r="G19" s="8" t="s">
        <v>72</v>
      </c>
      <c r="H19" s="7" t="s">
        <v>28</v>
      </c>
      <c r="I19" s="8" t="s">
        <v>73</v>
      </c>
      <c r="J19" s="7" t="s">
        <v>30</v>
      </c>
      <c r="K19" s="7" t="s">
        <v>31</v>
      </c>
      <c r="L19" s="7" t="s">
        <v>32</v>
      </c>
      <c r="M19" s="7">
        <v>83014019</v>
      </c>
      <c r="N19" s="7">
        <v>1</v>
      </c>
      <c r="O19" s="7" t="s">
        <v>63</v>
      </c>
      <c r="P19" s="7"/>
      <c r="R19" s="9">
        <v>3298.8639019821421</v>
      </c>
      <c r="T19" s="7" t="s">
        <v>34</v>
      </c>
      <c r="U19" s="7"/>
    </row>
    <row r="20" spans="1:21" ht="14.1" customHeight="1">
      <c r="A20" s="7">
        <v>16</v>
      </c>
      <c r="B20" s="14" t="s">
        <v>22</v>
      </c>
      <c r="C20" s="14" t="s">
        <v>23</v>
      </c>
      <c r="D20" s="7" t="s">
        <v>24</v>
      </c>
      <c r="E20" s="14" t="s">
        <v>25</v>
      </c>
      <c r="F20" s="7" t="s">
        <v>26</v>
      </c>
      <c r="G20" s="8" t="s">
        <v>74</v>
      </c>
      <c r="H20" s="7" t="s">
        <v>28</v>
      </c>
      <c r="I20" s="8" t="s">
        <v>75</v>
      </c>
      <c r="J20" s="7" t="s">
        <v>30</v>
      </c>
      <c r="K20" s="7" t="s">
        <v>31</v>
      </c>
      <c r="L20" s="7" t="s">
        <v>32</v>
      </c>
      <c r="M20" s="7">
        <v>83014019</v>
      </c>
      <c r="N20" s="7">
        <v>1</v>
      </c>
      <c r="O20" s="7" t="s">
        <v>63</v>
      </c>
      <c r="P20" s="7"/>
      <c r="R20" s="9">
        <v>3887.8330410158192</v>
      </c>
      <c r="T20" s="7" t="s">
        <v>34</v>
      </c>
      <c r="U20" s="7"/>
    </row>
    <row r="21" spans="1:21" ht="14.1" customHeight="1">
      <c r="A21" s="7">
        <v>17</v>
      </c>
      <c r="B21" s="14" t="s">
        <v>22</v>
      </c>
      <c r="C21" s="14" t="s">
        <v>23</v>
      </c>
      <c r="D21" s="7" t="s">
        <v>24</v>
      </c>
      <c r="E21" s="14" t="s">
        <v>25</v>
      </c>
      <c r="F21" s="7" t="s">
        <v>26</v>
      </c>
      <c r="G21" s="8" t="s">
        <v>76</v>
      </c>
      <c r="H21" s="7" t="s">
        <v>28</v>
      </c>
      <c r="I21" s="8" t="s">
        <v>77</v>
      </c>
      <c r="J21" s="7" t="s">
        <v>30</v>
      </c>
      <c r="K21" s="7" t="s">
        <v>31</v>
      </c>
      <c r="L21" s="7" t="s">
        <v>32</v>
      </c>
      <c r="M21" s="7">
        <v>83014019</v>
      </c>
      <c r="N21" s="7">
        <v>1</v>
      </c>
      <c r="O21" s="7" t="s">
        <v>63</v>
      </c>
      <c r="P21" s="7"/>
      <c r="R21" s="9">
        <v>4017.0878899064519</v>
      </c>
      <c r="T21" s="7" t="s">
        <v>34</v>
      </c>
      <c r="U21" s="7"/>
    </row>
    <row r="22" spans="1:21" ht="14.1" customHeight="1">
      <c r="A22" s="7">
        <v>18</v>
      </c>
      <c r="B22" s="14" t="s">
        <v>22</v>
      </c>
      <c r="C22" s="14" t="s">
        <v>23</v>
      </c>
      <c r="D22" s="7" t="s">
        <v>24</v>
      </c>
      <c r="E22" s="14" t="s">
        <v>25</v>
      </c>
      <c r="F22" s="7" t="s">
        <v>26</v>
      </c>
      <c r="G22" s="8" t="s">
        <v>78</v>
      </c>
      <c r="H22" s="7" t="s">
        <v>28</v>
      </c>
      <c r="I22" s="8" t="s">
        <v>79</v>
      </c>
      <c r="J22" s="7" t="s">
        <v>30</v>
      </c>
      <c r="K22" s="7" t="s">
        <v>31</v>
      </c>
      <c r="L22" s="7" t="s">
        <v>32</v>
      </c>
      <c r="M22" s="7">
        <v>83014019</v>
      </c>
      <c r="N22" s="7">
        <v>1</v>
      </c>
      <c r="O22" s="7" t="s">
        <v>63</v>
      </c>
      <c r="P22" s="7"/>
      <c r="R22" s="9">
        <v>944.89751602808315</v>
      </c>
      <c r="T22" s="7" t="s">
        <v>34</v>
      </c>
      <c r="U22" s="7"/>
    </row>
    <row r="23" spans="1:21" ht="14.1" customHeight="1">
      <c r="A23" s="7">
        <v>19</v>
      </c>
      <c r="B23" s="14" t="s">
        <v>22</v>
      </c>
      <c r="C23" s="14" t="s">
        <v>23</v>
      </c>
      <c r="D23" s="7" t="s">
        <v>24</v>
      </c>
      <c r="E23" s="14" t="s">
        <v>25</v>
      </c>
      <c r="F23" s="7" t="s">
        <v>26</v>
      </c>
      <c r="G23" s="8" t="s">
        <v>80</v>
      </c>
      <c r="H23" s="7" t="s">
        <v>28</v>
      </c>
      <c r="I23" s="8" t="s">
        <v>81</v>
      </c>
      <c r="J23" s="7" t="s">
        <v>30</v>
      </c>
      <c r="K23" s="7" t="s">
        <v>31</v>
      </c>
      <c r="L23" s="7" t="s">
        <v>32</v>
      </c>
      <c r="M23" s="7">
        <v>83014019</v>
      </c>
      <c r="N23" s="7">
        <v>1</v>
      </c>
      <c r="O23" s="7" t="s">
        <v>63</v>
      </c>
      <c r="P23" s="7"/>
      <c r="R23" s="9">
        <v>989.46815357657772</v>
      </c>
      <c r="T23" s="7" t="s">
        <v>34</v>
      </c>
      <c r="U23" s="7"/>
    </row>
    <row r="24" spans="1:21" ht="14.1" customHeight="1">
      <c r="A24" s="7">
        <v>20</v>
      </c>
      <c r="B24" s="14" t="s">
        <v>22</v>
      </c>
      <c r="C24" s="14" t="s">
        <v>23</v>
      </c>
      <c r="D24" s="7" t="s">
        <v>24</v>
      </c>
      <c r="E24" s="14" t="s">
        <v>25</v>
      </c>
      <c r="F24" s="7" t="s">
        <v>26</v>
      </c>
      <c r="G24" s="8" t="s">
        <v>82</v>
      </c>
      <c r="H24" s="7" t="s">
        <v>28</v>
      </c>
      <c r="I24" s="8" t="s">
        <v>83</v>
      </c>
      <c r="J24" s="7" t="s">
        <v>30</v>
      </c>
      <c r="K24" s="7" t="s">
        <v>31</v>
      </c>
      <c r="L24" s="7" t="s">
        <v>32</v>
      </c>
      <c r="M24" s="7">
        <v>83014019</v>
      </c>
      <c r="N24" s="7">
        <v>1</v>
      </c>
      <c r="O24" s="7" t="s">
        <v>63</v>
      </c>
      <c r="P24" s="7"/>
      <c r="R24" s="9">
        <v>2341.23191808306</v>
      </c>
      <c r="T24" s="7" t="s">
        <v>34</v>
      </c>
      <c r="U24" s="7"/>
    </row>
    <row r="25" spans="1:21" ht="14.1" customHeight="1">
      <c r="A25" s="7">
        <v>21</v>
      </c>
      <c r="B25" s="14" t="s">
        <v>22</v>
      </c>
      <c r="C25" s="14" t="s">
        <v>23</v>
      </c>
      <c r="D25" s="7" t="s">
        <v>24</v>
      </c>
      <c r="E25" s="14" t="s">
        <v>25</v>
      </c>
      <c r="F25" s="7" t="s">
        <v>26</v>
      </c>
      <c r="G25" s="8" t="s">
        <v>84</v>
      </c>
      <c r="H25" s="7" t="s">
        <v>28</v>
      </c>
      <c r="I25" s="8" t="s">
        <v>85</v>
      </c>
      <c r="J25" s="7" t="s">
        <v>30</v>
      </c>
      <c r="K25" s="7" t="s">
        <v>31</v>
      </c>
      <c r="L25" s="7" t="s">
        <v>32</v>
      </c>
      <c r="M25" s="7">
        <v>83014019</v>
      </c>
      <c r="N25" s="7">
        <v>1</v>
      </c>
      <c r="O25" s="7" t="s">
        <v>63</v>
      </c>
      <c r="P25" s="7"/>
      <c r="R25" s="9">
        <v>2385.8025556315552</v>
      </c>
      <c r="T25" s="7" t="s">
        <v>34</v>
      </c>
      <c r="U25" s="7"/>
    </row>
    <row r="26" spans="1:21" ht="14.1" customHeight="1">
      <c r="A26" s="7">
        <v>22</v>
      </c>
      <c r="B26" s="14" t="s">
        <v>22</v>
      </c>
      <c r="C26" s="14" t="s">
        <v>23</v>
      </c>
      <c r="D26" s="7" t="s">
        <v>24</v>
      </c>
      <c r="E26" s="14" t="s">
        <v>25</v>
      </c>
      <c r="F26" s="7" t="s">
        <v>26</v>
      </c>
      <c r="G26" s="8" t="s">
        <v>86</v>
      </c>
      <c r="H26" s="7" t="s">
        <v>28</v>
      </c>
      <c r="I26" s="8" t="s">
        <v>87</v>
      </c>
      <c r="J26" s="7" t="s">
        <v>30</v>
      </c>
      <c r="K26" s="7" t="s">
        <v>31</v>
      </c>
      <c r="L26" s="7" t="s">
        <v>32</v>
      </c>
      <c r="M26" s="7">
        <v>83014019</v>
      </c>
      <c r="N26" s="7">
        <v>1</v>
      </c>
      <c r="O26" s="7" t="s">
        <v>63</v>
      </c>
      <c r="P26" s="7"/>
      <c r="R26" s="9">
        <v>4054.0178467323481</v>
      </c>
      <c r="T26" s="7" t="s">
        <v>34</v>
      </c>
      <c r="U26" s="7"/>
    </row>
    <row r="27" spans="1:21" ht="14.1" customHeight="1">
      <c r="A27" s="7">
        <v>23</v>
      </c>
      <c r="B27" s="14" t="s">
        <v>22</v>
      </c>
      <c r="C27" s="14" t="s">
        <v>23</v>
      </c>
      <c r="D27" s="7" t="s">
        <v>24</v>
      </c>
      <c r="E27" s="14" t="s">
        <v>25</v>
      </c>
      <c r="F27" s="7" t="s">
        <v>26</v>
      </c>
      <c r="G27" s="8" t="s">
        <v>88</v>
      </c>
      <c r="H27" s="7" t="s">
        <v>28</v>
      </c>
      <c r="I27" s="8" t="s">
        <v>89</v>
      </c>
      <c r="J27" s="7" t="s">
        <v>30</v>
      </c>
      <c r="K27" s="7" t="s">
        <v>31</v>
      </c>
      <c r="L27" s="7" t="s">
        <v>32</v>
      </c>
      <c r="M27" s="7">
        <v>83014019</v>
      </c>
      <c r="N27" s="7">
        <v>1</v>
      </c>
      <c r="O27" s="7" t="s">
        <v>63</v>
      </c>
      <c r="P27" s="7"/>
      <c r="R27" s="9">
        <v>4203.647844216579</v>
      </c>
      <c r="T27" s="7" t="s">
        <v>34</v>
      </c>
      <c r="U27" s="7"/>
    </row>
    <row r="28" spans="1:21" ht="14.1" customHeight="1">
      <c r="A28" s="7">
        <v>24</v>
      </c>
      <c r="B28" s="14" t="s">
        <v>22</v>
      </c>
      <c r="C28" s="14" t="s">
        <v>23</v>
      </c>
      <c r="D28" s="7" t="s">
        <v>45</v>
      </c>
      <c r="E28" s="136" t="s">
        <v>46</v>
      </c>
      <c r="F28" s="7" t="s">
        <v>26</v>
      </c>
      <c r="G28" s="8" t="s">
        <v>90</v>
      </c>
      <c r="H28" s="135" t="s">
        <v>42</v>
      </c>
      <c r="I28" s="8" t="s">
        <v>91</v>
      </c>
      <c r="J28" s="7" t="s">
        <v>30</v>
      </c>
      <c r="K28" s="135" t="s">
        <v>42</v>
      </c>
      <c r="L28" s="7" t="s">
        <v>32</v>
      </c>
      <c r="M28" s="7">
        <v>83014019</v>
      </c>
      <c r="N28" s="7">
        <v>1</v>
      </c>
      <c r="O28" s="7" t="s">
        <v>33</v>
      </c>
      <c r="P28" s="7"/>
      <c r="R28" s="9">
        <v>1245.4309577836459</v>
      </c>
      <c r="T28" s="7" t="s">
        <v>34</v>
      </c>
      <c r="U28" s="7"/>
    </row>
    <row r="29" spans="1:21" ht="14.1" customHeight="1">
      <c r="A29" s="7">
        <v>25</v>
      </c>
      <c r="B29" s="14" t="s">
        <v>22</v>
      </c>
      <c r="C29" s="14" t="s">
        <v>23</v>
      </c>
      <c r="D29" s="7" t="s">
        <v>92</v>
      </c>
      <c r="E29" s="14" t="s">
        <v>93</v>
      </c>
      <c r="F29" s="7" t="s">
        <v>26</v>
      </c>
      <c r="G29" s="8" t="s">
        <v>94</v>
      </c>
      <c r="H29" s="135" t="s">
        <v>42</v>
      </c>
      <c r="I29" s="8" t="s">
        <v>95</v>
      </c>
      <c r="J29" s="7" t="s">
        <v>30</v>
      </c>
      <c r="K29" s="135" t="s">
        <v>42</v>
      </c>
      <c r="L29" s="7" t="s">
        <v>32</v>
      </c>
      <c r="M29" s="7">
        <v>85059029</v>
      </c>
      <c r="N29" s="7">
        <v>1</v>
      </c>
      <c r="O29" s="7" t="s">
        <v>33</v>
      </c>
      <c r="P29" s="7"/>
      <c r="R29" s="9">
        <v>2833.4191012971492</v>
      </c>
      <c r="T29" s="7" t="s">
        <v>34</v>
      </c>
      <c r="U29" s="7"/>
    </row>
    <row r="30" spans="1:21" ht="14.1" customHeight="1">
      <c r="A30" s="7">
        <v>26</v>
      </c>
      <c r="B30" s="14" t="s">
        <v>22</v>
      </c>
      <c r="C30" s="14" t="s">
        <v>23</v>
      </c>
      <c r="D30" s="7" t="s">
        <v>92</v>
      </c>
      <c r="E30" s="14" t="s">
        <v>93</v>
      </c>
      <c r="F30" s="7" t="s">
        <v>26</v>
      </c>
      <c r="G30" s="8" t="s">
        <v>96</v>
      </c>
      <c r="H30" s="135" t="s">
        <v>42</v>
      </c>
      <c r="I30" s="8" t="s">
        <v>97</v>
      </c>
      <c r="J30" s="7" t="s">
        <v>30</v>
      </c>
      <c r="K30" s="135" t="s">
        <v>42</v>
      </c>
      <c r="L30" s="7" t="s">
        <v>32</v>
      </c>
      <c r="M30" s="7">
        <v>85059090</v>
      </c>
      <c r="N30" s="7">
        <v>1</v>
      </c>
      <c r="O30" s="7" t="s">
        <v>33</v>
      </c>
      <c r="P30" s="7"/>
      <c r="R30" s="9">
        <v>601.06688351112552</v>
      </c>
      <c r="T30" s="7" t="s">
        <v>34</v>
      </c>
      <c r="U30" s="7"/>
    </row>
    <row r="31" spans="1:21" ht="14.1" customHeight="1">
      <c r="A31" s="7">
        <v>27</v>
      </c>
      <c r="B31" s="14" t="s">
        <v>22</v>
      </c>
      <c r="C31" s="14" t="s">
        <v>23</v>
      </c>
      <c r="D31" s="7" t="s">
        <v>24</v>
      </c>
      <c r="E31" s="14" t="s">
        <v>25</v>
      </c>
      <c r="F31" s="7" t="s">
        <v>26</v>
      </c>
      <c r="G31" s="8" t="s">
        <v>98</v>
      </c>
      <c r="H31" s="7" t="s">
        <v>28</v>
      </c>
      <c r="I31" s="8" t="s">
        <v>99</v>
      </c>
      <c r="J31" s="7" t="s">
        <v>30</v>
      </c>
      <c r="K31" s="7" t="s">
        <v>31</v>
      </c>
      <c r="L31" s="7" t="s">
        <v>32</v>
      </c>
      <c r="M31" s="7">
        <v>83014019</v>
      </c>
      <c r="N31" s="7">
        <v>1</v>
      </c>
      <c r="O31" s="7" t="s">
        <v>49</v>
      </c>
      <c r="P31" s="7"/>
      <c r="R31" s="9">
        <v>8223.2826276972301</v>
      </c>
      <c r="T31" s="7" t="s">
        <v>34</v>
      </c>
      <c r="U31" s="7"/>
    </row>
    <row r="32" spans="1:21" ht="14.1" customHeight="1">
      <c r="A32" s="7">
        <v>28</v>
      </c>
      <c r="B32" s="14" t="s">
        <v>22</v>
      </c>
      <c r="C32" s="14" t="s">
        <v>23</v>
      </c>
      <c r="D32" s="7" t="s">
        <v>24</v>
      </c>
      <c r="E32" s="14" t="s">
        <v>25</v>
      </c>
      <c r="F32" s="7" t="s">
        <v>26</v>
      </c>
      <c r="G32" s="8" t="s">
        <v>100</v>
      </c>
      <c r="H32" s="7" t="s">
        <v>28</v>
      </c>
      <c r="I32" s="8" t="s">
        <v>101</v>
      </c>
      <c r="J32" s="7" t="s">
        <v>30</v>
      </c>
      <c r="K32" s="7" t="s">
        <v>31</v>
      </c>
      <c r="L32" s="7" t="s">
        <v>32</v>
      </c>
      <c r="M32" s="7">
        <v>83014019</v>
      </c>
      <c r="N32" s="7">
        <v>1</v>
      </c>
      <c r="O32" s="7" t="s">
        <v>33</v>
      </c>
      <c r="P32" s="7"/>
      <c r="R32" s="9">
        <v>6385.0621905186081</v>
      </c>
      <c r="T32" s="7" t="s">
        <v>34</v>
      </c>
      <c r="U32" s="7"/>
    </row>
    <row r="33" spans="1:21" ht="14.1" customHeight="1">
      <c r="A33" s="7">
        <v>29</v>
      </c>
      <c r="B33" s="14" t="s">
        <v>22</v>
      </c>
      <c r="C33" s="14" t="s">
        <v>23</v>
      </c>
      <c r="D33" s="7" t="s">
        <v>45</v>
      </c>
      <c r="E33" s="136" t="s">
        <v>46</v>
      </c>
      <c r="F33" s="7" t="s">
        <v>26</v>
      </c>
      <c r="G33" s="8" t="s">
        <v>102</v>
      </c>
      <c r="H33" s="135" t="s">
        <v>42</v>
      </c>
      <c r="I33" s="8" t="s">
        <v>103</v>
      </c>
      <c r="J33" s="7" t="s">
        <v>30</v>
      </c>
      <c r="K33" s="135" t="s">
        <v>42</v>
      </c>
      <c r="L33" s="7" t="s">
        <v>32</v>
      </c>
      <c r="M33" s="7">
        <v>83014019</v>
      </c>
      <c r="N33" s="7">
        <v>1</v>
      </c>
      <c r="O33" s="7" t="s">
        <v>33</v>
      </c>
      <c r="P33" s="7"/>
      <c r="R33" s="9">
        <v>1407.795423138876</v>
      </c>
      <c r="T33" s="7" t="s">
        <v>34</v>
      </c>
      <c r="U33" s="7"/>
    </row>
    <row r="34" spans="1:21" ht="14.1" customHeight="1">
      <c r="A34" s="7">
        <v>30</v>
      </c>
      <c r="B34" s="14" t="s">
        <v>22</v>
      </c>
      <c r="C34" s="14" t="s">
        <v>23</v>
      </c>
      <c r="D34" s="7" t="s">
        <v>45</v>
      </c>
      <c r="E34" s="136" t="s">
        <v>46</v>
      </c>
      <c r="F34" s="7" t="s">
        <v>26</v>
      </c>
      <c r="G34" s="8" t="s">
        <v>104</v>
      </c>
      <c r="H34" s="7" t="s">
        <v>28</v>
      </c>
      <c r="I34" s="8" t="s">
        <v>105</v>
      </c>
      <c r="J34" s="7" t="s">
        <v>30</v>
      </c>
      <c r="K34" s="7" t="s">
        <v>31</v>
      </c>
      <c r="L34" s="7" t="s">
        <v>32</v>
      </c>
      <c r="M34" s="7">
        <v>83014019</v>
      </c>
      <c r="N34" s="7">
        <v>1</v>
      </c>
      <c r="O34" s="7" t="s">
        <v>33</v>
      </c>
      <c r="P34" s="7"/>
      <c r="R34" s="9">
        <v>1471.052216700182</v>
      </c>
      <c r="T34" s="7" t="s">
        <v>34</v>
      </c>
      <c r="U34" s="7"/>
    </row>
    <row r="35" spans="1:21" ht="14.1" customHeight="1">
      <c r="A35" s="7">
        <v>31</v>
      </c>
      <c r="B35" s="14" t="s">
        <v>22</v>
      </c>
      <c r="C35" s="14" t="s">
        <v>23</v>
      </c>
      <c r="D35" s="7" t="s">
        <v>45</v>
      </c>
      <c r="E35" s="136" t="s">
        <v>46</v>
      </c>
      <c r="F35" s="7" t="s">
        <v>26</v>
      </c>
      <c r="G35" s="8" t="s">
        <v>106</v>
      </c>
      <c r="H35" s="7" t="s">
        <v>28</v>
      </c>
      <c r="I35" s="8" t="s">
        <v>107</v>
      </c>
      <c r="J35" s="7" t="s">
        <v>30</v>
      </c>
      <c r="K35" s="7" t="s">
        <v>31</v>
      </c>
      <c r="L35" s="7" t="s">
        <v>32</v>
      </c>
      <c r="M35" s="7">
        <v>83014019</v>
      </c>
      <c r="N35" s="7">
        <v>1</v>
      </c>
      <c r="O35" s="7" t="s">
        <v>33</v>
      </c>
      <c r="P35" s="7"/>
      <c r="R35" s="9">
        <v>1471.052216700182</v>
      </c>
      <c r="T35" s="7" t="s">
        <v>34</v>
      </c>
      <c r="U35" s="7"/>
    </row>
    <row r="36" spans="1:21" ht="14.1" customHeight="1">
      <c r="A36" s="7">
        <v>32</v>
      </c>
      <c r="B36" s="14" t="s">
        <v>22</v>
      </c>
      <c r="C36" s="14" t="s">
        <v>23</v>
      </c>
      <c r="D36" s="7" t="s">
        <v>45</v>
      </c>
      <c r="E36" s="136" t="s">
        <v>46</v>
      </c>
      <c r="F36" s="7" t="s">
        <v>26</v>
      </c>
      <c r="G36" s="8" t="s">
        <v>108</v>
      </c>
      <c r="H36" s="135" t="s">
        <v>42</v>
      </c>
      <c r="I36" s="8" t="s">
        <v>109</v>
      </c>
      <c r="J36" s="7" t="s">
        <v>30</v>
      </c>
      <c r="K36" s="135" t="s">
        <v>42</v>
      </c>
      <c r="L36" s="7" t="s">
        <v>32</v>
      </c>
      <c r="M36" s="7">
        <v>83014019</v>
      </c>
      <c r="N36" s="7">
        <v>1</v>
      </c>
      <c r="O36" s="7" t="s">
        <v>33</v>
      </c>
      <c r="P36" s="7"/>
      <c r="R36" s="9">
        <v>1407.795423138876</v>
      </c>
      <c r="T36" s="7" t="s">
        <v>34</v>
      </c>
      <c r="U36" s="7"/>
    </row>
    <row r="37" spans="1:21" ht="14.1" customHeight="1">
      <c r="A37" s="7">
        <v>33</v>
      </c>
      <c r="B37" s="14" t="s">
        <v>22</v>
      </c>
      <c r="C37" s="14" t="s">
        <v>23</v>
      </c>
      <c r="D37" s="7" t="s">
        <v>45</v>
      </c>
      <c r="E37" s="136" t="s">
        <v>46</v>
      </c>
      <c r="F37" s="7" t="s">
        <v>26</v>
      </c>
      <c r="G37" s="8" t="s">
        <v>110</v>
      </c>
      <c r="H37" s="135" t="s">
        <v>42</v>
      </c>
      <c r="I37" s="8" t="s">
        <v>111</v>
      </c>
      <c r="J37" s="7" t="s">
        <v>30</v>
      </c>
      <c r="K37" s="135" t="s">
        <v>42</v>
      </c>
      <c r="L37" s="7" t="s">
        <v>32</v>
      </c>
      <c r="M37" s="7">
        <v>83014019</v>
      </c>
      <c r="N37" s="7">
        <v>1</v>
      </c>
      <c r="O37" s="7" t="s">
        <v>33</v>
      </c>
      <c r="P37" s="7"/>
      <c r="R37" s="9">
        <v>447.21440457493151</v>
      </c>
      <c r="T37" s="7" t="s">
        <v>34</v>
      </c>
      <c r="U37" s="7"/>
    </row>
    <row r="38" spans="1:21" ht="14.1" customHeight="1">
      <c r="A38" s="7">
        <v>34</v>
      </c>
      <c r="B38" s="14" t="s">
        <v>22</v>
      </c>
      <c r="C38" s="14" t="s">
        <v>23</v>
      </c>
      <c r="D38" s="7" t="s">
        <v>45</v>
      </c>
      <c r="E38" s="136" t="s">
        <v>46</v>
      </c>
      <c r="F38" s="7" t="s">
        <v>26</v>
      </c>
      <c r="G38" s="8" t="s">
        <v>112</v>
      </c>
      <c r="H38" s="135" t="s">
        <v>42</v>
      </c>
      <c r="I38" s="8" t="s">
        <v>113</v>
      </c>
      <c r="J38" s="7" t="s">
        <v>30</v>
      </c>
      <c r="K38" s="135" t="s">
        <v>42</v>
      </c>
      <c r="L38" s="7" t="s">
        <v>32</v>
      </c>
      <c r="M38" s="7">
        <v>83014019</v>
      </c>
      <c r="N38" s="7">
        <v>1</v>
      </c>
      <c r="O38" s="7" t="s">
        <v>33</v>
      </c>
      <c r="P38" s="7"/>
      <c r="R38" s="9">
        <v>239.27394894454929</v>
      </c>
      <c r="T38" s="7" t="s">
        <v>34</v>
      </c>
      <c r="U38" s="7"/>
    </row>
    <row r="39" spans="1:21" ht="14.1" customHeight="1">
      <c r="A39" s="7">
        <v>35</v>
      </c>
      <c r="B39" s="14" t="s">
        <v>22</v>
      </c>
      <c r="C39" s="14" t="s">
        <v>23</v>
      </c>
      <c r="D39" s="7" t="s">
        <v>45</v>
      </c>
      <c r="E39" s="136" t="s">
        <v>46</v>
      </c>
      <c r="F39" s="7" t="s">
        <v>26</v>
      </c>
      <c r="G39" s="8" t="s">
        <v>114</v>
      </c>
      <c r="H39" s="135" t="s">
        <v>42</v>
      </c>
      <c r="I39" s="8" t="s">
        <v>115</v>
      </c>
      <c r="J39" s="7" t="s">
        <v>30</v>
      </c>
      <c r="K39" s="135" t="s">
        <v>42</v>
      </c>
      <c r="L39" s="7" t="s">
        <v>32</v>
      </c>
      <c r="M39" s="7">
        <v>83014019</v>
      </c>
      <c r="N39" s="7">
        <v>1</v>
      </c>
      <c r="O39" s="7" t="s">
        <v>33</v>
      </c>
      <c r="P39" s="7"/>
      <c r="R39" s="9">
        <v>180.0251615868514</v>
      </c>
      <c r="T39" s="7" t="s">
        <v>34</v>
      </c>
      <c r="U39" s="7"/>
    </row>
    <row r="40" spans="1:21" ht="14.1" customHeight="1">
      <c r="A40" s="7">
        <v>36</v>
      </c>
      <c r="B40" s="14" t="s">
        <v>22</v>
      </c>
      <c r="C40" s="14" t="s">
        <v>23</v>
      </c>
      <c r="D40" s="7" t="s">
        <v>45</v>
      </c>
      <c r="E40" s="136" t="s">
        <v>46</v>
      </c>
      <c r="F40" s="7" t="s">
        <v>26</v>
      </c>
      <c r="G40" s="8" t="s">
        <v>116</v>
      </c>
      <c r="H40" s="135" t="s">
        <v>42</v>
      </c>
      <c r="I40" s="8" t="s">
        <v>117</v>
      </c>
      <c r="J40" s="7" t="s">
        <v>30</v>
      </c>
      <c r="K40" s="135" t="s">
        <v>42</v>
      </c>
      <c r="L40" s="7" t="s">
        <v>32</v>
      </c>
      <c r="M40" s="7">
        <v>83014019</v>
      </c>
      <c r="N40" s="7">
        <v>1</v>
      </c>
      <c r="O40" s="7" t="s">
        <v>33</v>
      </c>
      <c r="P40" s="7"/>
      <c r="R40" s="9">
        <v>222.75265246980669</v>
      </c>
      <c r="T40" s="7" t="s">
        <v>34</v>
      </c>
      <c r="U40" s="7"/>
    </row>
    <row r="41" spans="1:21" s="22" customFormat="1" ht="14.1" customHeight="1">
      <c r="A41" s="7">
        <v>37</v>
      </c>
      <c r="B41" s="14" t="s">
        <v>22</v>
      </c>
      <c r="C41" s="14" t="s">
        <v>23</v>
      </c>
      <c r="D41" s="29" t="s">
        <v>118</v>
      </c>
      <c r="E41" s="19" t="s">
        <v>119</v>
      </c>
      <c r="F41" s="7" t="s">
        <v>26</v>
      </c>
      <c r="G41" s="19" t="s">
        <v>120</v>
      </c>
      <c r="H41" s="29" t="s">
        <v>121</v>
      </c>
      <c r="I41" s="19" t="s">
        <v>122</v>
      </c>
      <c r="J41" s="29" t="s">
        <v>123</v>
      </c>
      <c r="K41" s="29" t="s">
        <v>31</v>
      </c>
      <c r="L41" s="29" t="s">
        <v>44</v>
      </c>
      <c r="M41" s="29">
        <v>83014019</v>
      </c>
      <c r="N41" s="29">
        <v>1</v>
      </c>
      <c r="O41" s="29" t="s">
        <v>33</v>
      </c>
      <c r="P41" s="29"/>
      <c r="R41" s="9">
        <v>7615.2117868570567</v>
      </c>
      <c r="T41" s="29" t="s">
        <v>34</v>
      </c>
      <c r="U41" s="29"/>
    </row>
    <row r="42" spans="1:21" ht="14.1" customHeight="1">
      <c r="A42" s="7">
        <v>38</v>
      </c>
      <c r="B42" s="14" t="s">
        <v>124</v>
      </c>
      <c r="C42" s="14" t="s">
        <v>23</v>
      </c>
      <c r="D42" s="7" t="s">
        <v>35</v>
      </c>
      <c r="E42" s="14" t="s">
        <v>36</v>
      </c>
      <c r="F42" s="7" t="s">
        <v>26</v>
      </c>
      <c r="G42" s="8" t="s">
        <v>125</v>
      </c>
      <c r="H42" s="7" t="s">
        <v>28</v>
      </c>
      <c r="I42" s="8" t="s">
        <v>126</v>
      </c>
      <c r="J42" s="7" t="s">
        <v>30</v>
      </c>
      <c r="K42" s="7" t="s">
        <v>31</v>
      </c>
      <c r="L42" s="7" t="s">
        <v>127</v>
      </c>
      <c r="M42" s="7">
        <v>83014011</v>
      </c>
      <c r="N42" s="7">
        <v>1</v>
      </c>
      <c r="O42" s="7" t="s">
        <v>33</v>
      </c>
      <c r="P42" s="7"/>
      <c r="R42" s="9">
        <v>174.26113928734679</v>
      </c>
      <c r="T42" s="7" t="s">
        <v>34</v>
      </c>
      <c r="U42" s="7"/>
    </row>
    <row r="43" spans="1:21" ht="14.1" customHeight="1">
      <c r="A43" s="7">
        <v>39</v>
      </c>
      <c r="B43" s="14" t="s">
        <v>124</v>
      </c>
      <c r="C43" s="14" t="s">
        <v>23</v>
      </c>
      <c r="D43" s="7" t="s">
        <v>35</v>
      </c>
      <c r="E43" s="14" t="s">
        <v>36</v>
      </c>
      <c r="F43" s="7" t="s">
        <v>26</v>
      </c>
      <c r="G43" s="8" t="s">
        <v>128</v>
      </c>
      <c r="H43" s="7" t="s">
        <v>28</v>
      </c>
      <c r="I43" s="8" t="s">
        <v>129</v>
      </c>
      <c r="J43" s="7" t="s">
        <v>30</v>
      </c>
      <c r="K43" s="7" t="s">
        <v>31</v>
      </c>
      <c r="L43" s="7" t="s">
        <v>127</v>
      </c>
      <c r="M43" s="7">
        <v>83014011</v>
      </c>
      <c r="N43" s="7">
        <v>1</v>
      </c>
      <c r="O43" s="7" t="s">
        <v>33</v>
      </c>
      <c r="P43" s="7"/>
      <c r="R43" s="9">
        <v>320.03728465272349</v>
      </c>
      <c r="T43" s="7" t="s">
        <v>34</v>
      </c>
      <c r="U43" s="7"/>
    </row>
    <row r="44" spans="1:21" ht="14.1" customHeight="1">
      <c r="A44" s="7">
        <v>40</v>
      </c>
      <c r="B44" s="14" t="s">
        <v>124</v>
      </c>
      <c r="C44" s="14" t="s">
        <v>23</v>
      </c>
      <c r="D44" s="7" t="s">
        <v>35</v>
      </c>
      <c r="E44" s="14" t="s">
        <v>36</v>
      </c>
      <c r="F44" s="7" t="s">
        <v>26</v>
      </c>
      <c r="G44" s="8" t="s">
        <v>130</v>
      </c>
      <c r="H44" s="7" t="s">
        <v>28</v>
      </c>
      <c r="I44" s="8" t="s">
        <v>131</v>
      </c>
      <c r="J44" s="7" t="s">
        <v>30</v>
      </c>
      <c r="K44" s="7" t="s">
        <v>31</v>
      </c>
      <c r="L44" s="7" t="s">
        <v>127</v>
      </c>
      <c r="M44" s="7">
        <v>83014011</v>
      </c>
      <c r="N44" s="7">
        <v>1</v>
      </c>
      <c r="O44" s="7" t="s">
        <v>33</v>
      </c>
      <c r="P44" s="7"/>
      <c r="R44" s="9">
        <v>199.9534867463787</v>
      </c>
      <c r="T44" s="7" t="s">
        <v>34</v>
      </c>
      <c r="U44" s="7"/>
    </row>
    <row r="45" spans="1:21" ht="14.1" customHeight="1">
      <c r="A45" s="7">
        <v>41</v>
      </c>
      <c r="B45" s="14" t="s">
        <v>124</v>
      </c>
      <c r="C45" s="14" t="s">
        <v>23</v>
      </c>
      <c r="D45" s="7" t="s">
        <v>35</v>
      </c>
      <c r="E45" s="14" t="s">
        <v>36</v>
      </c>
      <c r="F45" s="7" t="s">
        <v>26</v>
      </c>
      <c r="G45" s="8" t="s">
        <v>132</v>
      </c>
      <c r="H45" s="7" t="s">
        <v>28</v>
      </c>
      <c r="I45" s="8" t="s">
        <v>133</v>
      </c>
      <c r="J45" s="7" t="s">
        <v>30</v>
      </c>
      <c r="K45" s="7" t="s">
        <v>31</v>
      </c>
      <c r="L45" s="7" t="s">
        <v>32</v>
      </c>
      <c r="M45" s="7">
        <v>83016000</v>
      </c>
      <c r="N45" s="7">
        <v>1</v>
      </c>
      <c r="O45" s="7" t="s">
        <v>33</v>
      </c>
      <c r="P45" s="7"/>
      <c r="R45" s="9">
        <v>181.5220200909863</v>
      </c>
      <c r="T45" s="7" t="s">
        <v>34</v>
      </c>
      <c r="U45" s="7"/>
    </row>
    <row r="46" spans="1:21" ht="14.1" customHeight="1">
      <c r="A46" s="7">
        <v>42</v>
      </c>
      <c r="B46" s="14" t="s">
        <v>124</v>
      </c>
      <c r="C46" s="14" t="s">
        <v>23</v>
      </c>
      <c r="D46" s="7" t="s">
        <v>35</v>
      </c>
      <c r="E46" s="14" t="s">
        <v>36</v>
      </c>
      <c r="F46" s="7" t="s">
        <v>26</v>
      </c>
      <c r="G46" s="8" t="s">
        <v>134</v>
      </c>
      <c r="H46" s="7" t="s">
        <v>28</v>
      </c>
      <c r="I46" s="8" t="s">
        <v>135</v>
      </c>
      <c r="J46" s="7" t="s">
        <v>30</v>
      </c>
      <c r="K46" s="7" t="s">
        <v>31</v>
      </c>
      <c r="L46" s="7" t="s">
        <v>127</v>
      </c>
      <c r="M46" s="7">
        <v>83014011</v>
      </c>
      <c r="N46" s="7">
        <v>1</v>
      </c>
      <c r="O46" s="7" t="s">
        <v>33</v>
      </c>
      <c r="P46" s="7"/>
      <c r="R46" s="9">
        <v>378.12433108183922</v>
      </c>
      <c r="T46" s="7" t="s">
        <v>34</v>
      </c>
      <c r="U46" s="7"/>
    </row>
    <row r="47" spans="1:21" ht="14.1" customHeight="1">
      <c r="A47" s="7">
        <v>43</v>
      </c>
      <c r="B47" s="14" t="s">
        <v>124</v>
      </c>
      <c r="C47" s="14" t="s">
        <v>23</v>
      </c>
      <c r="D47" s="7" t="s">
        <v>35</v>
      </c>
      <c r="E47" s="14" t="s">
        <v>36</v>
      </c>
      <c r="F47" s="7" t="s">
        <v>26</v>
      </c>
      <c r="G47" s="8" t="s">
        <v>136</v>
      </c>
      <c r="H47" s="7" t="s">
        <v>28</v>
      </c>
      <c r="I47" s="8" t="s">
        <v>137</v>
      </c>
      <c r="J47" s="7" t="s">
        <v>30</v>
      </c>
      <c r="K47" s="7" t="s">
        <v>31</v>
      </c>
      <c r="L47" s="7" t="s">
        <v>138</v>
      </c>
      <c r="M47" s="7">
        <v>83016000</v>
      </c>
      <c r="N47" s="7">
        <v>1</v>
      </c>
      <c r="O47" s="7" t="s">
        <v>33</v>
      </c>
      <c r="P47" s="7"/>
      <c r="R47" s="9">
        <v>242.40171298304011</v>
      </c>
      <c r="T47" s="7" t="s">
        <v>34</v>
      </c>
      <c r="U47" s="7"/>
    </row>
    <row r="48" spans="1:21" ht="14.1" customHeight="1">
      <c r="A48" s="7">
        <v>44</v>
      </c>
      <c r="B48" s="14" t="s">
        <v>124</v>
      </c>
      <c r="C48" s="14" t="s">
        <v>23</v>
      </c>
      <c r="D48" s="7" t="s">
        <v>35</v>
      </c>
      <c r="E48" s="14" t="s">
        <v>36</v>
      </c>
      <c r="F48" s="7" t="s">
        <v>26</v>
      </c>
      <c r="G48" s="8" t="s">
        <v>139</v>
      </c>
      <c r="H48" s="135" t="s">
        <v>42</v>
      </c>
      <c r="I48" s="8" t="s">
        <v>140</v>
      </c>
      <c r="J48" s="7" t="s">
        <v>30</v>
      </c>
      <c r="K48" s="135" t="s">
        <v>42</v>
      </c>
      <c r="L48" s="7" t="s">
        <v>127</v>
      </c>
      <c r="M48" s="7">
        <v>83016000</v>
      </c>
      <c r="N48" s="7">
        <v>1</v>
      </c>
      <c r="O48" s="7" t="s">
        <v>33</v>
      </c>
      <c r="P48" s="7"/>
      <c r="R48" s="9">
        <v>566.9072319764648</v>
      </c>
      <c r="T48" s="7" t="s">
        <v>34</v>
      </c>
      <c r="U48" s="7"/>
    </row>
    <row r="49" spans="1:21" ht="14.1" customHeight="1">
      <c r="A49" s="7">
        <v>45</v>
      </c>
      <c r="B49" s="14" t="s">
        <v>124</v>
      </c>
      <c r="C49" s="14" t="s">
        <v>23</v>
      </c>
      <c r="D49" s="7" t="s">
        <v>35</v>
      </c>
      <c r="E49" s="14" t="s">
        <v>36</v>
      </c>
      <c r="F49" s="7" t="s">
        <v>26</v>
      </c>
      <c r="G49" s="8" t="s">
        <v>141</v>
      </c>
      <c r="H49" s="135" t="s">
        <v>42</v>
      </c>
      <c r="I49" s="8" t="s">
        <v>142</v>
      </c>
      <c r="J49" s="7" t="s">
        <v>30</v>
      </c>
      <c r="K49" s="135" t="s">
        <v>42</v>
      </c>
      <c r="L49" s="7" t="s">
        <v>143</v>
      </c>
      <c r="M49" s="7">
        <v>83016000</v>
      </c>
      <c r="N49" s="7">
        <v>1</v>
      </c>
      <c r="O49" s="7" t="s">
        <v>33</v>
      </c>
      <c r="P49" s="7"/>
      <c r="R49" s="9">
        <v>311.65934526390879</v>
      </c>
      <c r="T49" s="7" t="s">
        <v>34</v>
      </c>
      <c r="U49" s="7"/>
    </row>
    <row r="50" spans="1:21" ht="14.1" customHeight="1">
      <c r="A50" s="7">
        <v>46</v>
      </c>
      <c r="B50" s="14" t="s">
        <v>124</v>
      </c>
      <c r="C50" s="14" t="s">
        <v>23</v>
      </c>
      <c r="D50" s="7" t="s">
        <v>35</v>
      </c>
      <c r="E50" s="14" t="s">
        <v>36</v>
      </c>
      <c r="F50" s="7" t="s">
        <v>26</v>
      </c>
      <c r="G50" s="8" t="s">
        <v>144</v>
      </c>
      <c r="H50" s="135" t="s">
        <v>42</v>
      </c>
      <c r="I50" s="8" t="s">
        <v>145</v>
      </c>
      <c r="J50" s="7" t="s">
        <v>30</v>
      </c>
      <c r="K50" s="135" t="s">
        <v>42</v>
      </c>
      <c r="L50" s="7" t="s">
        <v>127</v>
      </c>
      <c r="M50" s="7">
        <v>83016000</v>
      </c>
      <c r="N50" s="7">
        <v>1</v>
      </c>
      <c r="O50" s="7" t="s">
        <v>33</v>
      </c>
      <c r="P50" s="7"/>
      <c r="R50" s="9">
        <v>136.28114739138661</v>
      </c>
      <c r="T50" s="7" t="s">
        <v>34</v>
      </c>
      <c r="U50" s="7"/>
    </row>
    <row r="51" spans="1:21" ht="14.1" customHeight="1">
      <c r="A51" s="7">
        <v>47</v>
      </c>
      <c r="B51" s="14" t="s">
        <v>124</v>
      </c>
      <c r="C51" s="14" t="s">
        <v>23</v>
      </c>
      <c r="D51" s="7" t="s">
        <v>35</v>
      </c>
      <c r="E51" s="14" t="s">
        <v>36</v>
      </c>
      <c r="F51" s="7" t="s">
        <v>26</v>
      </c>
      <c r="G51" s="8" t="s">
        <v>146</v>
      </c>
      <c r="H51" s="135" t="s">
        <v>42</v>
      </c>
      <c r="I51" s="8" t="s">
        <v>147</v>
      </c>
      <c r="J51" s="7" t="s">
        <v>30</v>
      </c>
      <c r="K51" s="135" t="s">
        <v>42</v>
      </c>
      <c r="L51" s="7" t="s">
        <v>148</v>
      </c>
      <c r="M51" s="7">
        <v>83016000</v>
      </c>
      <c r="N51" s="7">
        <v>1</v>
      </c>
      <c r="O51" s="7" t="s">
        <v>33</v>
      </c>
      <c r="P51" s="7"/>
      <c r="R51" s="9">
        <v>378.12433108183922</v>
      </c>
      <c r="T51" s="7" t="s">
        <v>34</v>
      </c>
      <c r="U51" s="7"/>
    </row>
    <row r="52" spans="1:21" ht="14.1" customHeight="1">
      <c r="A52" s="7">
        <v>48</v>
      </c>
      <c r="B52" s="14" t="s">
        <v>124</v>
      </c>
      <c r="C52" s="14" t="s">
        <v>23</v>
      </c>
      <c r="D52" s="7" t="s">
        <v>45</v>
      </c>
      <c r="E52" s="14" t="s">
        <v>46</v>
      </c>
      <c r="F52" s="7" t="s">
        <v>26</v>
      </c>
      <c r="G52" s="8" t="s">
        <v>149</v>
      </c>
      <c r="H52" s="135" t="s">
        <v>150</v>
      </c>
      <c r="I52" s="8" t="s">
        <v>151</v>
      </c>
      <c r="J52" s="7" t="s">
        <v>30</v>
      </c>
      <c r="K52" s="135" t="s">
        <v>152</v>
      </c>
      <c r="L52" s="7" t="s">
        <v>148</v>
      </c>
      <c r="M52" s="7">
        <v>85059029</v>
      </c>
      <c r="N52" s="7">
        <v>1</v>
      </c>
      <c r="O52" s="7" t="s">
        <v>33</v>
      </c>
      <c r="P52" s="7"/>
      <c r="R52" s="9">
        <v>1273.781904675395</v>
      </c>
      <c r="T52" s="7" t="s">
        <v>34</v>
      </c>
      <c r="U52" s="7"/>
    </row>
    <row r="53" spans="1:21" ht="14.1" customHeight="1">
      <c r="A53" s="7">
        <v>49</v>
      </c>
      <c r="B53" s="14" t="s">
        <v>124</v>
      </c>
      <c r="C53" s="14" t="s">
        <v>23</v>
      </c>
      <c r="D53" s="7" t="s">
        <v>45</v>
      </c>
      <c r="E53" s="14" t="s">
        <v>46</v>
      </c>
      <c r="F53" s="7" t="s">
        <v>26</v>
      </c>
      <c r="G53" s="8" t="s">
        <v>153</v>
      </c>
      <c r="H53" s="135" t="s">
        <v>150</v>
      </c>
      <c r="I53" s="8" t="s">
        <v>154</v>
      </c>
      <c r="J53" s="7" t="s">
        <v>30</v>
      </c>
      <c r="K53" s="135" t="s">
        <v>152</v>
      </c>
      <c r="L53" s="7" t="s">
        <v>148</v>
      </c>
      <c r="M53" s="7">
        <v>85059029</v>
      </c>
      <c r="N53" s="7">
        <v>1</v>
      </c>
      <c r="O53" s="7" t="s">
        <v>33</v>
      </c>
      <c r="P53" s="7"/>
      <c r="R53" s="9">
        <v>1427.0981954907049</v>
      </c>
      <c r="T53" s="7" t="s">
        <v>34</v>
      </c>
      <c r="U53" s="7"/>
    </row>
    <row r="54" spans="1:21" ht="14.1" customHeight="1">
      <c r="A54" s="7">
        <v>50</v>
      </c>
      <c r="B54" s="14" t="s">
        <v>124</v>
      </c>
      <c r="C54" s="14" t="s">
        <v>23</v>
      </c>
      <c r="D54" s="7" t="s">
        <v>45</v>
      </c>
      <c r="E54" s="14" t="s">
        <v>46</v>
      </c>
      <c r="F54" s="7" t="s">
        <v>26</v>
      </c>
      <c r="G54" s="8" t="s">
        <v>155</v>
      </c>
      <c r="H54" s="135" t="s">
        <v>150</v>
      </c>
      <c r="I54" s="8" t="s">
        <v>156</v>
      </c>
      <c r="J54" s="7" t="s">
        <v>30</v>
      </c>
      <c r="K54" s="135" t="s">
        <v>152</v>
      </c>
      <c r="L54" s="7" t="s">
        <v>148</v>
      </c>
      <c r="M54" s="7">
        <v>85059029</v>
      </c>
      <c r="N54" s="7">
        <v>1</v>
      </c>
      <c r="O54" s="7" t="s">
        <v>33</v>
      </c>
      <c r="P54" s="7"/>
      <c r="R54" s="9">
        <v>1273.781904675395</v>
      </c>
      <c r="T54" s="7" t="s">
        <v>34</v>
      </c>
      <c r="U54" s="7"/>
    </row>
    <row r="55" spans="1:21" ht="14.1" customHeight="1">
      <c r="A55" s="7">
        <v>51</v>
      </c>
      <c r="B55" s="14" t="s">
        <v>124</v>
      </c>
      <c r="C55" s="14" t="s">
        <v>23</v>
      </c>
      <c r="D55" s="7" t="s">
        <v>45</v>
      </c>
      <c r="E55" s="14" t="s">
        <v>46</v>
      </c>
      <c r="F55" s="7" t="s">
        <v>26</v>
      </c>
      <c r="G55" s="8" t="s">
        <v>157</v>
      </c>
      <c r="H55" s="135" t="s">
        <v>150</v>
      </c>
      <c r="I55" s="8" t="s">
        <v>158</v>
      </c>
      <c r="J55" s="7" t="s">
        <v>30</v>
      </c>
      <c r="K55" s="135" t="s">
        <v>152</v>
      </c>
      <c r="L55" s="7" t="s">
        <v>148</v>
      </c>
      <c r="M55" s="7">
        <v>85059029</v>
      </c>
      <c r="N55" s="7">
        <v>1</v>
      </c>
      <c r="O55" s="7" t="s">
        <v>33</v>
      </c>
      <c r="P55" s="7"/>
      <c r="R55" s="9">
        <v>1484.9059772735261</v>
      </c>
      <c r="T55" s="7" t="s">
        <v>34</v>
      </c>
      <c r="U55" s="7"/>
    </row>
    <row r="56" spans="1:21" ht="14.1" customHeight="1">
      <c r="A56" s="7">
        <v>52</v>
      </c>
      <c r="B56" s="14" t="s">
        <v>124</v>
      </c>
      <c r="C56" s="14" t="s">
        <v>23</v>
      </c>
      <c r="D56" s="7" t="s">
        <v>45</v>
      </c>
      <c r="E56" s="14" t="s">
        <v>46</v>
      </c>
      <c r="F56" s="7" t="s">
        <v>26</v>
      </c>
      <c r="G56" s="8" t="s">
        <v>159</v>
      </c>
      <c r="H56" s="135" t="s">
        <v>150</v>
      </c>
      <c r="I56" s="8" t="s">
        <v>160</v>
      </c>
      <c r="J56" s="7" t="s">
        <v>30</v>
      </c>
      <c r="K56" s="135" t="s">
        <v>152</v>
      </c>
      <c r="L56" s="7" t="s">
        <v>148</v>
      </c>
      <c r="M56" s="7">
        <v>85059029</v>
      </c>
      <c r="N56" s="7">
        <v>1</v>
      </c>
      <c r="O56" s="7" t="s">
        <v>33</v>
      </c>
      <c r="P56" s="7"/>
      <c r="R56" s="9">
        <v>1720.661191674774</v>
      </c>
      <c r="T56" s="7" t="s">
        <v>34</v>
      </c>
      <c r="U56" s="7"/>
    </row>
    <row r="57" spans="1:21" ht="14.1" customHeight="1">
      <c r="A57" s="7">
        <v>53</v>
      </c>
      <c r="B57" s="14" t="s">
        <v>124</v>
      </c>
      <c r="C57" s="14" t="s">
        <v>23</v>
      </c>
      <c r="D57" s="7" t="s">
        <v>45</v>
      </c>
      <c r="E57" s="14" t="s">
        <v>46</v>
      </c>
      <c r="F57" s="7" t="s">
        <v>26</v>
      </c>
      <c r="G57" s="8" t="s">
        <v>161</v>
      </c>
      <c r="H57" s="135" t="s">
        <v>150</v>
      </c>
      <c r="I57" s="8" t="s">
        <v>162</v>
      </c>
      <c r="J57" s="7" t="s">
        <v>30</v>
      </c>
      <c r="K57" s="135" t="s">
        <v>152</v>
      </c>
      <c r="L57" s="7" t="s">
        <v>148</v>
      </c>
      <c r="M57" s="7">
        <v>85059029</v>
      </c>
      <c r="N57" s="7">
        <v>1</v>
      </c>
      <c r="O57" s="7" t="s">
        <v>33</v>
      </c>
      <c r="P57" s="7"/>
      <c r="R57" s="9">
        <v>2500.8149075612032</v>
      </c>
      <c r="T57" s="7" t="s">
        <v>34</v>
      </c>
      <c r="U57" s="7"/>
    </row>
    <row r="58" spans="1:21" ht="14.1" customHeight="1">
      <c r="A58" s="7">
        <v>54</v>
      </c>
      <c r="B58" s="14" t="s">
        <v>124</v>
      </c>
      <c r="C58" s="14" t="s">
        <v>23</v>
      </c>
      <c r="D58" s="7" t="s">
        <v>45</v>
      </c>
      <c r="E58" s="14" t="s">
        <v>46</v>
      </c>
      <c r="F58" s="7" t="s">
        <v>26</v>
      </c>
      <c r="G58" s="8" t="s">
        <v>163</v>
      </c>
      <c r="H58" s="135" t="s">
        <v>150</v>
      </c>
      <c r="I58" s="8" t="s">
        <v>164</v>
      </c>
      <c r="J58" s="7" t="s">
        <v>30</v>
      </c>
      <c r="K58" s="135" t="s">
        <v>152</v>
      </c>
      <c r="L58" s="7" t="s">
        <v>148</v>
      </c>
      <c r="M58" s="7">
        <v>85059029</v>
      </c>
      <c r="N58" s="7">
        <v>1</v>
      </c>
      <c r="O58" s="7" t="s">
        <v>33</v>
      </c>
      <c r="P58" s="7"/>
      <c r="R58" s="9">
        <v>2705.9068637993878</v>
      </c>
      <c r="T58" s="7" t="s">
        <v>34</v>
      </c>
      <c r="U58" s="7"/>
    </row>
    <row r="59" spans="1:21" ht="14.1" customHeight="1">
      <c r="A59" s="7">
        <v>55</v>
      </c>
      <c r="B59" s="14" t="s">
        <v>124</v>
      </c>
      <c r="C59" s="14" t="s">
        <v>23</v>
      </c>
      <c r="D59" s="7" t="s">
        <v>45</v>
      </c>
      <c r="E59" s="14" t="s">
        <v>46</v>
      </c>
      <c r="F59" s="7" t="s">
        <v>26</v>
      </c>
      <c r="G59" s="8" t="s">
        <v>165</v>
      </c>
      <c r="H59" s="135" t="s">
        <v>150</v>
      </c>
      <c r="I59" s="8" t="s">
        <v>166</v>
      </c>
      <c r="J59" s="7" t="s">
        <v>30</v>
      </c>
      <c r="K59" s="135" t="s">
        <v>152</v>
      </c>
      <c r="L59" s="7" t="s">
        <v>148</v>
      </c>
      <c r="M59" s="7">
        <v>85059029</v>
      </c>
      <c r="N59" s="7">
        <v>1</v>
      </c>
      <c r="O59" s="7" t="s">
        <v>33</v>
      </c>
      <c r="P59" s="7"/>
      <c r="R59" s="9">
        <v>2920.046994577493</v>
      </c>
      <c r="T59" s="7" t="s">
        <v>34</v>
      </c>
      <c r="U59" s="7"/>
    </row>
    <row r="60" spans="1:21" ht="14.1" customHeight="1">
      <c r="A60" s="7">
        <v>56</v>
      </c>
      <c r="B60" s="14" t="s">
        <v>124</v>
      </c>
      <c r="C60" s="14" t="s">
        <v>23</v>
      </c>
      <c r="D60" s="7" t="s">
        <v>45</v>
      </c>
      <c r="E60" s="14" t="s">
        <v>46</v>
      </c>
      <c r="F60" s="7" t="s">
        <v>26</v>
      </c>
      <c r="G60" s="8" t="s">
        <v>167</v>
      </c>
      <c r="H60" s="135" t="s">
        <v>150</v>
      </c>
      <c r="I60" s="8" t="s">
        <v>168</v>
      </c>
      <c r="J60" s="7" t="s">
        <v>30</v>
      </c>
      <c r="K60" s="135" t="s">
        <v>152</v>
      </c>
      <c r="L60" s="7" t="s">
        <v>148</v>
      </c>
      <c r="M60" s="7">
        <v>85059029</v>
      </c>
      <c r="N60" s="7">
        <v>1</v>
      </c>
      <c r="O60" s="7" t="s">
        <v>33</v>
      </c>
      <c r="P60" s="7"/>
      <c r="R60" s="9">
        <v>1698.040755324974</v>
      </c>
      <c r="T60" s="7" t="s">
        <v>34</v>
      </c>
      <c r="U60" s="7"/>
    </row>
    <row r="61" spans="1:21" ht="14.1" customHeight="1">
      <c r="A61" s="7">
        <v>57</v>
      </c>
      <c r="B61" s="14" t="s">
        <v>124</v>
      </c>
      <c r="C61" s="14" t="s">
        <v>23</v>
      </c>
      <c r="D61" s="7" t="s">
        <v>45</v>
      </c>
      <c r="E61" s="14" t="s">
        <v>46</v>
      </c>
      <c r="F61" s="7" t="s">
        <v>26</v>
      </c>
      <c r="G61" s="8" t="s">
        <v>169</v>
      </c>
      <c r="H61" s="135" t="s">
        <v>150</v>
      </c>
      <c r="I61" s="8" t="s">
        <v>170</v>
      </c>
      <c r="J61" s="7" t="s">
        <v>30</v>
      </c>
      <c r="K61" s="135" t="s">
        <v>152</v>
      </c>
      <c r="L61" s="7" t="s">
        <v>148</v>
      </c>
      <c r="M61" s="7">
        <v>85059029</v>
      </c>
      <c r="N61" s="7">
        <v>1</v>
      </c>
      <c r="O61" s="7" t="s">
        <v>33</v>
      </c>
      <c r="P61" s="7"/>
      <c r="R61" s="9">
        <v>1850.8543697769551</v>
      </c>
      <c r="T61" s="7" t="s">
        <v>34</v>
      </c>
      <c r="U61" s="7"/>
    </row>
    <row r="62" spans="1:21" ht="14.1" customHeight="1">
      <c r="A62" s="7">
        <v>58</v>
      </c>
      <c r="B62" s="14" t="s">
        <v>124</v>
      </c>
      <c r="C62" s="14" t="s">
        <v>23</v>
      </c>
      <c r="D62" s="7" t="s">
        <v>45</v>
      </c>
      <c r="E62" s="14" t="s">
        <v>46</v>
      </c>
      <c r="F62" s="7" t="s">
        <v>26</v>
      </c>
      <c r="G62" s="8" t="s">
        <v>171</v>
      </c>
      <c r="H62" s="135" t="s">
        <v>150</v>
      </c>
      <c r="I62" s="8" t="s">
        <v>172</v>
      </c>
      <c r="J62" s="7" t="s">
        <v>30</v>
      </c>
      <c r="K62" s="135" t="s">
        <v>152</v>
      </c>
      <c r="L62" s="7" t="s">
        <v>148</v>
      </c>
      <c r="M62" s="7">
        <v>85059029</v>
      </c>
      <c r="N62" s="7">
        <v>1</v>
      </c>
      <c r="O62" s="7" t="s">
        <v>33</v>
      </c>
      <c r="P62" s="7"/>
      <c r="R62" s="9">
        <v>2045.892798748562</v>
      </c>
      <c r="T62" s="7" t="s">
        <v>34</v>
      </c>
      <c r="U62" s="7"/>
    </row>
    <row r="63" spans="1:21" ht="14.1" customHeight="1">
      <c r="A63" s="7">
        <v>59</v>
      </c>
      <c r="B63" s="14" t="s">
        <v>124</v>
      </c>
      <c r="C63" s="14" t="s">
        <v>23</v>
      </c>
      <c r="D63" s="7" t="s">
        <v>45</v>
      </c>
      <c r="E63" s="14" t="s">
        <v>46</v>
      </c>
      <c r="F63" s="7" t="s">
        <v>26</v>
      </c>
      <c r="G63" s="8" t="s">
        <v>173</v>
      </c>
      <c r="H63" s="135" t="s">
        <v>150</v>
      </c>
      <c r="I63" s="8" t="s">
        <v>174</v>
      </c>
      <c r="J63" s="7" t="s">
        <v>30</v>
      </c>
      <c r="K63" s="135" t="s">
        <v>152</v>
      </c>
      <c r="L63" s="7" t="s">
        <v>148</v>
      </c>
      <c r="M63" s="7">
        <v>85059029</v>
      </c>
      <c r="N63" s="7">
        <v>1</v>
      </c>
      <c r="O63" s="7" t="s">
        <v>33</v>
      </c>
      <c r="P63" s="7"/>
      <c r="R63" s="9">
        <v>2057.454355105127</v>
      </c>
      <c r="T63" s="7" t="s">
        <v>34</v>
      </c>
      <c r="U63" s="7"/>
    </row>
    <row r="64" spans="1:21" ht="14.1" customHeight="1">
      <c r="A64" s="7">
        <v>60</v>
      </c>
      <c r="B64" s="14" t="s">
        <v>124</v>
      </c>
      <c r="C64" s="14" t="s">
        <v>23</v>
      </c>
      <c r="D64" s="7" t="s">
        <v>45</v>
      </c>
      <c r="E64" s="14" t="s">
        <v>46</v>
      </c>
      <c r="F64" s="7" t="s">
        <v>26</v>
      </c>
      <c r="G64" s="8" t="s">
        <v>175</v>
      </c>
      <c r="H64" s="135" t="s">
        <v>150</v>
      </c>
      <c r="I64" s="8" t="s">
        <v>176</v>
      </c>
      <c r="J64" s="7" t="s">
        <v>30</v>
      </c>
      <c r="K64" s="135" t="s">
        <v>152</v>
      </c>
      <c r="L64" s="7" t="s">
        <v>148</v>
      </c>
      <c r="M64" s="7">
        <v>85059029</v>
      </c>
      <c r="N64" s="7">
        <v>1</v>
      </c>
      <c r="O64" s="7" t="s">
        <v>33</v>
      </c>
      <c r="P64" s="7"/>
      <c r="R64" s="9">
        <v>3248.294659831256</v>
      </c>
      <c r="T64" s="7" t="s">
        <v>34</v>
      </c>
      <c r="U64" s="7"/>
    </row>
    <row r="65" spans="1:21" ht="14.1" customHeight="1">
      <c r="A65" s="7">
        <v>61</v>
      </c>
      <c r="B65" s="14" t="s">
        <v>124</v>
      </c>
      <c r="C65" s="14" t="s">
        <v>23</v>
      </c>
      <c r="D65" s="7" t="s">
        <v>45</v>
      </c>
      <c r="E65" s="14" t="s">
        <v>46</v>
      </c>
      <c r="F65" s="7" t="s">
        <v>26</v>
      </c>
      <c r="G65" s="8" t="s">
        <v>177</v>
      </c>
      <c r="H65" s="135" t="s">
        <v>150</v>
      </c>
      <c r="I65" s="8" t="s">
        <v>178</v>
      </c>
      <c r="J65" s="7" t="s">
        <v>30</v>
      </c>
      <c r="K65" s="135" t="s">
        <v>152</v>
      </c>
      <c r="L65" s="7" t="s">
        <v>148</v>
      </c>
      <c r="M65" s="7">
        <v>85059029</v>
      </c>
      <c r="N65" s="7">
        <v>1</v>
      </c>
      <c r="O65" s="7" t="s">
        <v>33</v>
      </c>
      <c r="P65" s="7"/>
      <c r="R65" s="9">
        <v>3720.8104413604069</v>
      </c>
      <c r="T65" s="7" t="s">
        <v>34</v>
      </c>
      <c r="U65" s="7"/>
    </row>
    <row r="66" spans="1:21" ht="14.1" customHeight="1">
      <c r="A66" s="7">
        <v>62</v>
      </c>
      <c r="B66" s="14" t="s">
        <v>124</v>
      </c>
      <c r="C66" s="14" t="s">
        <v>23</v>
      </c>
      <c r="D66" s="7" t="s">
        <v>45</v>
      </c>
      <c r="E66" s="14" t="s">
        <v>46</v>
      </c>
      <c r="F66" s="7" t="s">
        <v>26</v>
      </c>
      <c r="G66" s="8" t="s">
        <v>179</v>
      </c>
      <c r="H66" s="135" t="s">
        <v>150</v>
      </c>
      <c r="I66" s="8" t="s">
        <v>180</v>
      </c>
      <c r="J66" s="7" t="s">
        <v>30</v>
      </c>
      <c r="K66" s="135" t="s">
        <v>152</v>
      </c>
      <c r="L66" s="7" t="s">
        <v>148</v>
      </c>
      <c r="M66" s="7">
        <v>85059029</v>
      </c>
      <c r="N66" s="7">
        <v>1</v>
      </c>
      <c r="O66" s="7" t="s">
        <v>33</v>
      </c>
      <c r="P66" s="7"/>
      <c r="R66" s="9">
        <v>3862.565175819153</v>
      </c>
      <c r="T66" s="7" t="s">
        <v>34</v>
      </c>
      <c r="U66" s="7"/>
    </row>
    <row r="67" spans="1:21" ht="14.1" customHeight="1">
      <c r="A67" s="7">
        <v>63</v>
      </c>
      <c r="B67" s="14" t="s">
        <v>124</v>
      </c>
      <c r="C67" s="14" t="s">
        <v>23</v>
      </c>
      <c r="D67" s="7" t="s">
        <v>45</v>
      </c>
      <c r="E67" s="14" t="s">
        <v>46</v>
      </c>
      <c r="F67" s="7" t="s">
        <v>26</v>
      </c>
      <c r="G67" s="8" t="s">
        <v>181</v>
      </c>
      <c r="H67" s="135" t="s">
        <v>150</v>
      </c>
      <c r="I67" s="8" t="s">
        <v>182</v>
      </c>
      <c r="J67" s="7" t="s">
        <v>30</v>
      </c>
      <c r="K67" s="135" t="s">
        <v>152</v>
      </c>
      <c r="L67" s="7" t="s">
        <v>148</v>
      </c>
      <c r="M67" s="7">
        <v>85059029</v>
      </c>
      <c r="N67" s="7">
        <v>1</v>
      </c>
      <c r="O67" s="7" t="s">
        <v>33</v>
      </c>
      <c r="P67" s="7"/>
      <c r="R67" s="9">
        <v>2662.174020189776</v>
      </c>
      <c r="T67" s="7" t="s">
        <v>34</v>
      </c>
      <c r="U67" s="7"/>
    </row>
    <row r="68" spans="1:21" ht="14.1" customHeight="1">
      <c r="A68" s="7">
        <v>64</v>
      </c>
      <c r="B68" s="14" t="s">
        <v>124</v>
      </c>
      <c r="C68" s="14" t="s">
        <v>23</v>
      </c>
      <c r="D68" s="7" t="s">
        <v>45</v>
      </c>
      <c r="E68" s="14" t="s">
        <v>46</v>
      </c>
      <c r="F68" s="7" t="s">
        <v>26</v>
      </c>
      <c r="G68" s="8" t="s">
        <v>183</v>
      </c>
      <c r="H68" s="135" t="s">
        <v>150</v>
      </c>
      <c r="I68" s="8" t="s">
        <v>184</v>
      </c>
      <c r="J68" s="7" t="s">
        <v>30</v>
      </c>
      <c r="K68" s="135" t="s">
        <v>152</v>
      </c>
      <c r="L68" s="7" t="s">
        <v>148</v>
      </c>
      <c r="M68" s="7">
        <v>85059029</v>
      </c>
      <c r="N68" s="7">
        <v>1</v>
      </c>
      <c r="O68" s="7" t="s">
        <v>33</v>
      </c>
      <c r="P68" s="7"/>
      <c r="R68" s="9">
        <v>3010.528739976693</v>
      </c>
      <c r="T68" s="7" t="s">
        <v>34</v>
      </c>
      <c r="U68" s="7"/>
    </row>
    <row r="69" spans="1:21" ht="14.1" customHeight="1">
      <c r="A69" s="7">
        <v>65</v>
      </c>
      <c r="B69" s="14" t="s">
        <v>124</v>
      </c>
      <c r="C69" s="14" t="s">
        <v>23</v>
      </c>
      <c r="D69" s="7" t="s">
        <v>45</v>
      </c>
      <c r="E69" s="14" t="s">
        <v>46</v>
      </c>
      <c r="F69" s="7" t="s">
        <v>26</v>
      </c>
      <c r="G69" s="8" t="s">
        <v>185</v>
      </c>
      <c r="H69" s="135" t="s">
        <v>150</v>
      </c>
      <c r="I69" s="8" t="s">
        <v>186</v>
      </c>
      <c r="J69" s="7" t="s">
        <v>30</v>
      </c>
      <c r="K69" s="135" t="s">
        <v>152</v>
      </c>
      <c r="L69" s="7" t="s">
        <v>148</v>
      </c>
      <c r="M69" s="7">
        <v>85059029</v>
      </c>
      <c r="N69" s="7">
        <v>1</v>
      </c>
      <c r="O69" s="7" t="s">
        <v>33</v>
      </c>
      <c r="P69" s="7"/>
      <c r="R69" s="9">
        <v>3086.432870839355</v>
      </c>
      <c r="T69" s="7" t="s">
        <v>34</v>
      </c>
      <c r="U69" s="7"/>
    </row>
    <row r="70" spans="1:21" ht="14.1" customHeight="1">
      <c r="A70" s="7">
        <v>66</v>
      </c>
      <c r="B70" s="14" t="s">
        <v>124</v>
      </c>
      <c r="C70" s="14" t="s">
        <v>23</v>
      </c>
      <c r="D70" s="7" t="s">
        <v>45</v>
      </c>
      <c r="E70" s="14" t="s">
        <v>46</v>
      </c>
      <c r="F70" s="7" t="s">
        <v>26</v>
      </c>
      <c r="G70" s="8" t="s">
        <v>187</v>
      </c>
      <c r="H70" s="135" t="s">
        <v>150</v>
      </c>
      <c r="I70" s="8" t="s">
        <v>188</v>
      </c>
      <c r="J70" s="7" t="s">
        <v>30</v>
      </c>
      <c r="K70" s="135" t="s">
        <v>152</v>
      </c>
      <c r="L70" s="7" t="s">
        <v>148</v>
      </c>
      <c r="M70" s="7">
        <v>85059029</v>
      </c>
      <c r="N70" s="7">
        <v>1</v>
      </c>
      <c r="O70" s="7" t="s">
        <v>33</v>
      </c>
      <c r="P70" s="7"/>
      <c r="R70" s="9">
        <v>3694.1685941039759</v>
      </c>
      <c r="T70" s="7" t="s">
        <v>34</v>
      </c>
      <c r="U70" s="7"/>
    </row>
    <row r="71" spans="1:21" ht="14.1" customHeight="1">
      <c r="A71" s="7">
        <v>67</v>
      </c>
      <c r="B71" s="14" t="s">
        <v>124</v>
      </c>
      <c r="C71" s="14" t="s">
        <v>23</v>
      </c>
      <c r="D71" s="7" t="s">
        <v>45</v>
      </c>
      <c r="E71" s="14" t="s">
        <v>46</v>
      </c>
      <c r="F71" s="7" t="s">
        <v>26</v>
      </c>
      <c r="G71" s="8" t="s">
        <v>189</v>
      </c>
      <c r="H71" s="135" t="s">
        <v>150</v>
      </c>
      <c r="I71" s="8" t="s">
        <v>190</v>
      </c>
      <c r="J71" s="7" t="s">
        <v>30</v>
      </c>
      <c r="K71" s="135" t="s">
        <v>152</v>
      </c>
      <c r="L71" s="7" t="s">
        <v>148</v>
      </c>
      <c r="M71" s="7">
        <v>85059029</v>
      </c>
      <c r="N71" s="7">
        <v>1</v>
      </c>
      <c r="O71" s="7" t="s">
        <v>33</v>
      </c>
      <c r="P71" s="7"/>
      <c r="R71" s="9">
        <v>4630.6546589856898</v>
      </c>
      <c r="T71" s="7" t="s">
        <v>34</v>
      </c>
      <c r="U71" s="7"/>
    </row>
    <row r="72" spans="1:21" ht="14.1" customHeight="1">
      <c r="A72" s="7">
        <v>68</v>
      </c>
      <c r="B72" s="14" t="s">
        <v>124</v>
      </c>
      <c r="C72" s="14" t="s">
        <v>23</v>
      </c>
      <c r="D72" s="7" t="s">
        <v>45</v>
      </c>
      <c r="E72" s="14" t="s">
        <v>46</v>
      </c>
      <c r="F72" s="7" t="s">
        <v>26</v>
      </c>
      <c r="G72" s="8" t="s">
        <v>191</v>
      </c>
      <c r="H72" s="135" t="s">
        <v>150</v>
      </c>
      <c r="I72" s="8" t="s">
        <v>192</v>
      </c>
      <c r="J72" s="7" t="s">
        <v>30</v>
      </c>
      <c r="K72" s="135" t="s">
        <v>152</v>
      </c>
      <c r="L72" s="7" t="s">
        <v>148</v>
      </c>
      <c r="M72" s="7">
        <v>85059029</v>
      </c>
      <c r="N72" s="7">
        <v>1</v>
      </c>
      <c r="O72" s="7" t="s">
        <v>33</v>
      </c>
      <c r="P72" s="7"/>
      <c r="R72" s="9">
        <v>4938.7952697062956</v>
      </c>
      <c r="T72" s="7" t="s">
        <v>34</v>
      </c>
      <c r="U72" s="7"/>
    </row>
    <row r="73" spans="1:21" ht="14.1" customHeight="1">
      <c r="A73" s="7">
        <v>69</v>
      </c>
      <c r="B73" s="14" t="s">
        <v>124</v>
      </c>
      <c r="C73" s="14" t="s">
        <v>23</v>
      </c>
      <c r="D73" s="7" t="s">
        <v>45</v>
      </c>
      <c r="E73" s="14" t="s">
        <v>46</v>
      </c>
      <c r="F73" s="7" t="s">
        <v>26</v>
      </c>
      <c r="G73" s="8" t="s">
        <v>193</v>
      </c>
      <c r="H73" s="135" t="s">
        <v>150</v>
      </c>
      <c r="I73" s="8" t="s">
        <v>194</v>
      </c>
      <c r="J73" s="7" t="s">
        <v>30</v>
      </c>
      <c r="K73" s="135" t="s">
        <v>152</v>
      </c>
      <c r="L73" s="7" t="s">
        <v>148</v>
      </c>
      <c r="M73" s="7">
        <v>85059090</v>
      </c>
      <c r="N73" s="7">
        <v>1</v>
      </c>
      <c r="O73" s="7" t="s">
        <v>33</v>
      </c>
      <c r="P73" s="7"/>
      <c r="R73" s="9">
        <v>461.95957789924529</v>
      </c>
      <c r="T73" s="7" t="s">
        <v>34</v>
      </c>
      <c r="U73" s="7"/>
    </row>
    <row r="74" spans="1:21" ht="14.1" customHeight="1">
      <c r="A74" s="7">
        <v>70</v>
      </c>
      <c r="B74" s="14" t="s">
        <v>124</v>
      </c>
      <c r="C74" s="14" t="s">
        <v>23</v>
      </c>
      <c r="D74" s="7" t="s">
        <v>45</v>
      </c>
      <c r="E74" s="14" t="s">
        <v>46</v>
      </c>
      <c r="F74" s="7" t="s">
        <v>26</v>
      </c>
      <c r="G74" s="8" t="s">
        <v>195</v>
      </c>
      <c r="H74" s="135" t="s">
        <v>150</v>
      </c>
      <c r="I74" s="8" t="s">
        <v>196</v>
      </c>
      <c r="J74" s="7" t="s">
        <v>30</v>
      </c>
      <c r="K74" s="135" t="s">
        <v>152</v>
      </c>
      <c r="L74" s="7" t="s">
        <v>148</v>
      </c>
      <c r="M74" s="7">
        <v>85059090</v>
      </c>
      <c r="N74" s="7">
        <v>1</v>
      </c>
      <c r="O74" s="7" t="s">
        <v>33</v>
      </c>
      <c r="P74" s="7"/>
      <c r="R74" s="9">
        <v>269.9372071076113</v>
      </c>
      <c r="T74" s="7" t="s">
        <v>34</v>
      </c>
      <c r="U74" s="7"/>
    </row>
    <row r="75" spans="1:21" ht="14.1" customHeight="1">
      <c r="A75" s="7">
        <v>71</v>
      </c>
      <c r="B75" s="14" t="s">
        <v>124</v>
      </c>
      <c r="C75" s="14" t="s">
        <v>23</v>
      </c>
      <c r="D75" s="7" t="s">
        <v>45</v>
      </c>
      <c r="E75" s="14" t="s">
        <v>46</v>
      </c>
      <c r="F75" s="7" t="s">
        <v>26</v>
      </c>
      <c r="G75" s="8" t="s">
        <v>197</v>
      </c>
      <c r="H75" s="135" t="s">
        <v>150</v>
      </c>
      <c r="I75" s="8" t="s">
        <v>198</v>
      </c>
      <c r="J75" s="7" t="s">
        <v>30</v>
      </c>
      <c r="K75" s="135" t="s">
        <v>152</v>
      </c>
      <c r="L75" s="7" t="s">
        <v>148</v>
      </c>
      <c r="M75" s="7">
        <v>85059090</v>
      </c>
      <c r="N75" s="7">
        <v>1</v>
      </c>
      <c r="O75" s="7" t="s">
        <v>33</v>
      </c>
      <c r="P75" s="7"/>
      <c r="R75" s="9">
        <v>536.85835603524936</v>
      </c>
      <c r="T75" s="7" t="s">
        <v>34</v>
      </c>
      <c r="U75" s="7"/>
    </row>
    <row r="76" spans="1:21" ht="14.1" customHeight="1">
      <c r="A76" s="7">
        <v>72</v>
      </c>
      <c r="B76" s="14" t="s">
        <v>124</v>
      </c>
      <c r="C76" s="14" t="s">
        <v>23</v>
      </c>
      <c r="D76" s="7" t="s">
        <v>45</v>
      </c>
      <c r="E76" s="14" t="s">
        <v>46</v>
      </c>
      <c r="F76" s="7" t="s">
        <v>26</v>
      </c>
      <c r="G76" s="8" t="s">
        <v>199</v>
      </c>
      <c r="H76" s="135" t="s">
        <v>150</v>
      </c>
      <c r="I76" s="8" t="s">
        <v>200</v>
      </c>
      <c r="J76" s="7" t="s">
        <v>30</v>
      </c>
      <c r="K76" s="135" t="s">
        <v>152</v>
      </c>
      <c r="L76" s="7" t="s">
        <v>148</v>
      </c>
      <c r="M76" s="7">
        <v>85059090</v>
      </c>
      <c r="N76" s="7">
        <v>1</v>
      </c>
      <c r="O76" s="7" t="s">
        <v>33</v>
      </c>
      <c r="P76" s="7"/>
      <c r="R76" s="9">
        <v>347.8520434235885</v>
      </c>
      <c r="T76" s="7" t="s">
        <v>34</v>
      </c>
      <c r="U76" s="7"/>
    </row>
    <row r="77" spans="1:21" ht="14.1" customHeight="1">
      <c r="A77" s="7">
        <v>73</v>
      </c>
      <c r="B77" s="14" t="s">
        <v>124</v>
      </c>
      <c r="C77" s="14" t="s">
        <v>23</v>
      </c>
      <c r="D77" s="7" t="s">
        <v>45</v>
      </c>
      <c r="E77" s="14" t="s">
        <v>46</v>
      </c>
      <c r="F77" s="7" t="s">
        <v>26</v>
      </c>
      <c r="G77" s="8" t="s">
        <v>201</v>
      </c>
      <c r="H77" s="135" t="s">
        <v>150</v>
      </c>
      <c r="I77" s="8" t="s">
        <v>202</v>
      </c>
      <c r="J77" s="7" t="s">
        <v>30</v>
      </c>
      <c r="K77" s="135" t="s">
        <v>152</v>
      </c>
      <c r="L77" s="7" t="s">
        <v>148</v>
      </c>
      <c r="M77" s="7">
        <v>85059090</v>
      </c>
      <c r="N77" s="7">
        <v>1</v>
      </c>
      <c r="O77" s="7" t="s">
        <v>33</v>
      </c>
      <c r="P77" s="7"/>
      <c r="R77" s="9">
        <v>695.20141048384824</v>
      </c>
      <c r="T77" s="7" t="s">
        <v>34</v>
      </c>
      <c r="U77" s="7"/>
    </row>
    <row r="78" spans="1:21" ht="14.1" customHeight="1">
      <c r="A78" s="7">
        <v>74</v>
      </c>
      <c r="B78" s="14" t="s">
        <v>124</v>
      </c>
      <c r="C78" s="14" t="s">
        <v>23</v>
      </c>
      <c r="D78" s="7" t="s">
        <v>45</v>
      </c>
      <c r="E78" s="14" t="s">
        <v>46</v>
      </c>
      <c r="F78" s="7" t="s">
        <v>26</v>
      </c>
      <c r="G78" s="8" t="s">
        <v>203</v>
      </c>
      <c r="H78" s="135" t="s">
        <v>150</v>
      </c>
      <c r="I78" s="8" t="s">
        <v>204</v>
      </c>
      <c r="J78" s="7" t="s">
        <v>30</v>
      </c>
      <c r="K78" s="135" t="s">
        <v>152</v>
      </c>
      <c r="L78" s="7" t="s">
        <v>148</v>
      </c>
      <c r="M78" s="7">
        <v>85059090</v>
      </c>
      <c r="N78" s="7">
        <v>1</v>
      </c>
      <c r="O78" s="7" t="s">
        <v>33</v>
      </c>
      <c r="P78" s="7"/>
      <c r="R78" s="9">
        <v>518.76200695540933</v>
      </c>
      <c r="T78" s="7" t="s">
        <v>34</v>
      </c>
      <c r="U78" s="7"/>
    </row>
    <row r="79" spans="1:21" ht="14.1" customHeight="1">
      <c r="A79" s="7">
        <v>75</v>
      </c>
      <c r="B79" s="14" t="s">
        <v>124</v>
      </c>
      <c r="C79" s="14" t="s">
        <v>23</v>
      </c>
      <c r="D79" s="7" t="s">
        <v>45</v>
      </c>
      <c r="E79" s="14" t="s">
        <v>46</v>
      </c>
      <c r="F79" s="7" t="s">
        <v>26</v>
      </c>
      <c r="G79" s="8" t="s">
        <v>205</v>
      </c>
      <c r="H79" s="135" t="s">
        <v>150</v>
      </c>
      <c r="I79" s="8" t="s">
        <v>206</v>
      </c>
      <c r="J79" s="7" t="s">
        <v>30</v>
      </c>
      <c r="K79" s="135" t="s">
        <v>152</v>
      </c>
      <c r="L79" s="7" t="s">
        <v>148</v>
      </c>
      <c r="M79" s="7">
        <v>85059090</v>
      </c>
      <c r="N79" s="7">
        <v>1</v>
      </c>
      <c r="O79" s="7" t="s">
        <v>33</v>
      </c>
      <c r="P79" s="7"/>
      <c r="R79" s="9">
        <v>729.38340319021233</v>
      </c>
      <c r="T79" s="7" t="s">
        <v>34</v>
      </c>
      <c r="U79" s="7"/>
    </row>
    <row r="80" spans="1:21" ht="14.1" customHeight="1">
      <c r="A80" s="7">
        <v>76</v>
      </c>
      <c r="B80" s="14" t="s">
        <v>124</v>
      </c>
      <c r="C80" s="14" t="s">
        <v>23</v>
      </c>
      <c r="D80" s="7" t="s">
        <v>45</v>
      </c>
      <c r="E80" s="14" t="s">
        <v>46</v>
      </c>
      <c r="F80" s="7" t="s">
        <v>26</v>
      </c>
      <c r="G80" s="8" t="s">
        <v>207</v>
      </c>
      <c r="H80" s="135" t="s">
        <v>150</v>
      </c>
      <c r="I80" s="8" t="s">
        <v>208</v>
      </c>
      <c r="J80" s="7" t="s">
        <v>30</v>
      </c>
      <c r="K80" s="135" t="s">
        <v>152</v>
      </c>
      <c r="L80" s="7" t="s">
        <v>148</v>
      </c>
      <c r="M80" s="7">
        <v>85059090</v>
      </c>
      <c r="N80" s="7">
        <v>1</v>
      </c>
      <c r="O80" s="7" t="s">
        <v>33</v>
      </c>
      <c r="P80" s="7"/>
      <c r="R80" s="9">
        <v>1458.7668063804249</v>
      </c>
      <c r="T80" s="7" t="s">
        <v>34</v>
      </c>
      <c r="U80" s="7"/>
    </row>
    <row r="81" spans="1:21" ht="14.1" customHeight="1">
      <c r="A81" s="7">
        <v>77</v>
      </c>
      <c r="B81" s="14" t="s">
        <v>124</v>
      </c>
      <c r="C81" s="14" t="s">
        <v>23</v>
      </c>
      <c r="D81" s="7" t="s">
        <v>45</v>
      </c>
      <c r="E81" s="14" t="s">
        <v>46</v>
      </c>
      <c r="F81" s="7" t="s">
        <v>26</v>
      </c>
      <c r="G81" s="8" t="s">
        <v>209</v>
      </c>
      <c r="H81" s="135" t="s">
        <v>150</v>
      </c>
      <c r="I81" s="8" t="s">
        <v>210</v>
      </c>
      <c r="J81" s="7" t="s">
        <v>30</v>
      </c>
      <c r="K81" s="135" t="s">
        <v>152</v>
      </c>
      <c r="L81" s="7" t="s">
        <v>148</v>
      </c>
      <c r="M81" s="7">
        <v>85059090</v>
      </c>
      <c r="N81" s="7">
        <v>1</v>
      </c>
      <c r="O81" s="7" t="s">
        <v>33</v>
      </c>
      <c r="P81" s="7"/>
      <c r="R81" s="9">
        <v>832.93473403596261</v>
      </c>
      <c r="T81" s="7" t="s">
        <v>34</v>
      </c>
      <c r="U81" s="7"/>
    </row>
    <row r="82" spans="1:21" ht="14.1" customHeight="1">
      <c r="A82" s="7">
        <v>78</v>
      </c>
      <c r="B82" s="14" t="s">
        <v>124</v>
      </c>
      <c r="C82" s="14" t="s">
        <v>23</v>
      </c>
      <c r="D82" s="7" t="s">
        <v>45</v>
      </c>
      <c r="E82" s="14" t="s">
        <v>46</v>
      </c>
      <c r="F82" s="7" t="s">
        <v>26</v>
      </c>
      <c r="G82" s="8" t="s">
        <v>211</v>
      </c>
      <c r="H82" s="135" t="s">
        <v>150</v>
      </c>
      <c r="I82" s="8" t="s">
        <v>212</v>
      </c>
      <c r="J82" s="7" t="s">
        <v>30</v>
      </c>
      <c r="K82" s="135" t="s">
        <v>152</v>
      </c>
      <c r="L82" s="7" t="s">
        <v>148</v>
      </c>
      <c r="M82" s="7">
        <v>85059090</v>
      </c>
      <c r="N82" s="7">
        <v>1</v>
      </c>
      <c r="O82" s="7" t="s">
        <v>33</v>
      </c>
      <c r="P82" s="7"/>
      <c r="R82" s="9">
        <v>1664.864115345267</v>
      </c>
      <c r="T82" s="7" t="s">
        <v>34</v>
      </c>
      <c r="U82" s="7"/>
    </row>
    <row r="83" spans="1:21" ht="14.1" customHeight="1">
      <c r="A83" s="7">
        <v>79</v>
      </c>
      <c r="B83" s="14" t="s">
        <v>124</v>
      </c>
      <c r="C83" s="14" t="s">
        <v>23</v>
      </c>
      <c r="D83" s="7" t="s">
        <v>45</v>
      </c>
      <c r="E83" s="14" t="s">
        <v>46</v>
      </c>
      <c r="F83" s="7" t="s">
        <v>26</v>
      </c>
      <c r="G83" s="8" t="s">
        <v>213</v>
      </c>
      <c r="H83" s="135" t="s">
        <v>150</v>
      </c>
      <c r="I83" s="8" t="s">
        <v>214</v>
      </c>
      <c r="J83" s="7" t="s">
        <v>30</v>
      </c>
      <c r="K83" s="135" t="s">
        <v>152</v>
      </c>
      <c r="L83" s="7" t="s">
        <v>148</v>
      </c>
      <c r="M83" s="7">
        <v>85059090</v>
      </c>
      <c r="N83" s="7">
        <v>1</v>
      </c>
      <c r="O83" s="7" t="s">
        <v>33</v>
      </c>
      <c r="P83" s="7"/>
      <c r="R83" s="9">
        <v>1298.4130464785101</v>
      </c>
      <c r="T83" s="7" t="s">
        <v>34</v>
      </c>
      <c r="U83" s="7"/>
    </row>
    <row r="84" spans="1:21" ht="14.1" customHeight="1">
      <c r="A84" s="7">
        <v>80</v>
      </c>
      <c r="B84" s="14" t="s">
        <v>124</v>
      </c>
      <c r="C84" s="14" t="s">
        <v>23</v>
      </c>
      <c r="D84" s="7" t="s">
        <v>45</v>
      </c>
      <c r="E84" s="14" t="s">
        <v>46</v>
      </c>
      <c r="F84" s="7" t="s">
        <v>26</v>
      </c>
      <c r="G84" s="8" t="s">
        <v>215</v>
      </c>
      <c r="H84" s="135" t="s">
        <v>150</v>
      </c>
      <c r="I84" s="8" t="s">
        <v>216</v>
      </c>
      <c r="J84" s="7" t="s">
        <v>30</v>
      </c>
      <c r="K84" s="135" t="s">
        <v>152</v>
      </c>
      <c r="L84" s="7" t="s">
        <v>148</v>
      </c>
      <c r="M84" s="7">
        <v>85059090</v>
      </c>
      <c r="N84" s="7">
        <v>1</v>
      </c>
      <c r="O84" s="7" t="s">
        <v>33</v>
      </c>
      <c r="P84" s="7"/>
      <c r="R84" s="9">
        <v>461.95957789924529</v>
      </c>
      <c r="T84" s="7" t="s">
        <v>34</v>
      </c>
      <c r="U84" s="7"/>
    </row>
    <row r="85" spans="1:21" ht="14.1" customHeight="1">
      <c r="A85" s="7">
        <v>81</v>
      </c>
      <c r="B85" s="14" t="s">
        <v>124</v>
      </c>
      <c r="C85" s="14" t="s">
        <v>23</v>
      </c>
      <c r="D85" s="7" t="s">
        <v>45</v>
      </c>
      <c r="E85" s="14" t="s">
        <v>46</v>
      </c>
      <c r="F85" s="7" t="s">
        <v>26</v>
      </c>
      <c r="G85" s="8" t="s">
        <v>217</v>
      </c>
      <c r="H85" s="7" t="s">
        <v>150</v>
      </c>
      <c r="I85" s="8" t="s">
        <v>218</v>
      </c>
      <c r="J85" s="7" t="s">
        <v>30</v>
      </c>
      <c r="K85" s="135" t="s">
        <v>152</v>
      </c>
      <c r="L85" s="7" t="s">
        <v>148</v>
      </c>
      <c r="M85" s="7">
        <v>85059090</v>
      </c>
      <c r="N85" s="7">
        <v>1</v>
      </c>
      <c r="O85" s="7" t="s">
        <v>33</v>
      </c>
      <c r="P85" s="7"/>
      <c r="R85" s="9">
        <v>461.95957789924529</v>
      </c>
      <c r="T85" s="7" t="s">
        <v>34</v>
      </c>
      <c r="U85" s="7"/>
    </row>
    <row r="86" spans="1:21" ht="14.1" customHeight="1">
      <c r="A86" s="7">
        <v>82</v>
      </c>
      <c r="B86" s="14" t="s">
        <v>124</v>
      </c>
      <c r="C86" s="14" t="s">
        <v>23</v>
      </c>
      <c r="D86" s="7" t="s">
        <v>45</v>
      </c>
      <c r="E86" s="14" t="s">
        <v>46</v>
      </c>
      <c r="F86" s="7" t="s">
        <v>26</v>
      </c>
      <c r="G86" s="8" t="s">
        <v>219</v>
      </c>
      <c r="H86" s="7" t="s">
        <v>150</v>
      </c>
      <c r="I86" s="8" t="s">
        <v>220</v>
      </c>
      <c r="J86" s="7" t="s">
        <v>30</v>
      </c>
      <c r="K86" s="135" t="s">
        <v>152</v>
      </c>
      <c r="L86" s="7" t="s">
        <v>148</v>
      </c>
      <c r="M86" s="7">
        <v>85059090</v>
      </c>
      <c r="N86" s="7">
        <v>1</v>
      </c>
      <c r="O86" s="7" t="s">
        <v>33</v>
      </c>
      <c r="P86" s="7"/>
      <c r="R86" s="9">
        <v>579.58584691820454</v>
      </c>
      <c r="T86" s="7" t="s">
        <v>34</v>
      </c>
      <c r="U86" s="7"/>
    </row>
    <row r="87" spans="1:21" ht="14.1" customHeight="1">
      <c r="A87" s="7">
        <v>83</v>
      </c>
      <c r="B87" s="14" t="s">
        <v>124</v>
      </c>
      <c r="C87" s="14" t="s">
        <v>23</v>
      </c>
      <c r="D87" s="7" t="s">
        <v>35</v>
      </c>
      <c r="E87" s="14" t="s">
        <v>221</v>
      </c>
      <c r="F87" s="7" t="s">
        <v>26</v>
      </c>
      <c r="G87" s="8" t="s">
        <v>222</v>
      </c>
      <c r="H87" s="7" t="s">
        <v>28</v>
      </c>
      <c r="I87" s="8" t="s">
        <v>223</v>
      </c>
      <c r="J87" s="7" t="s">
        <v>30</v>
      </c>
      <c r="K87" s="135" t="s">
        <v>31</v>
      </c>
      <c r="L87" s="7" t="s">
        <v>32</v>
      </c>
      <c r="M87" s="7">
        <v>83014011</v>
      </c>
      <c r="N87" s="7">
        <v>1</v>
      </c>
      <c r="O87" s="7" t="s">
        <v>33</v>
      </c>
      <c r="P87" s="7"/>
      <c r="R87" s="9">
        <v>2723.9473599499702</v>
      </c>
      <c r="T87" s="7" t="s">
        <v>34</v>
      </c>
      <c r="U87" s="7"/>
    </row>
    <row r="88" spans="1:21" ht="14.1" customHeight="1">
      <c r="A88" s="7">
        <v>84</v>
      </c>
      <c r="B88" s="14" t="s">
        <v>124</v>
      </c>
      <c r="C88" s="14" t="s">
        <v>23</v>
      </c>
      <c r="D88" s="7" t="s">
        <v>35</v>
      </c>
      <c r="E88" s="14" t="s">
        <v>221</v>
      </c>
      <c r="F88" s="7" t="s">
        <v>26</v>
      </c>
      <c r="G88" s="8" t="s">
        <v>224</v>
      </c>
      <c r="H88" s="7" t="s">
        <v>28</v>
      </c>
      <c r="I88" s="8" t="s">
        <v>225</v>
      </c>
      <c r="J88" s="7" t="s">
        <v>30</v>
      </c>
      <c r="K88" s="135" t="s">
        <v>31</v>
      </c>
      <c r="L88" s="7" t="s">
        <v>32</v>
      </c>
      <c r="M88" s="7">
        <v>83014011</v>
      </c>
      <c r="N88" s="7">
        <v>1</v>
      </c>
      <c r="O88" s="7" t="s">
        <v>33</v>
      </c>
      <c r="P88" s="7"/>
      <c r="R88" s="9">
        <v>3374.633985814582</v>
      </c>
      <c r="T88" s="7" t="s">
        <v>34</v>
      </c>
      <c r="U88" s="7"/>
    </row>
    <row r="89" spans="1:21" ht="14.1" customHeight="1">
      <c r="A89" s="7">
        <v>85</v>
      </c>
      <c r="B89" s="14" t="s">
        <v>124</v>
      </c>
      <c r="C89" s="14" t="s">
        <v>23</v>
      </c>
      <c r="D89" s="7" t="s">
        <v>35</v>
      </c>
      <c r="E89" s="14" t="s">
        <v>221</v>
      </c>
      <c r="F89" s="7" t="s">
        <v>26</v>
      </c>
      <c r="G89" s="8" t="s">
        <v>226</v>
      </c>
      <c r="H89" s="7" t="s">
        <v>28</v>
      </c>
      <c r="I89" s="8" t="s">
        <v>227</v>
      </c>
      <c r="J89" s="7" t="s">
        <v>30</v>
      </c>
      <c r="K89" s="135" t="s">
        <v>31</v>
      </c>
      <c r="L89" s="7" t="s">
        <v>32</v>
      </c>
      <c r="M89" s="7">
        <v>83014011</v>
      </c>
      <c r="N89" s="7">
        <v>1</v>
      </c>
      <c r="O89" s="7" t="s">
        <v>33</v>
      </c>
      <c r="P89" s="7"/>
      <c r="R89" s="9">
        <v>8097.5576839357509</v>
      </c>
      <c r="T89" s="7" t="s">
        <v>34</v>
      </c>
      <c r="U89" s="7"/>
    </row>
    <row r="90" spans="1:21" ht="14.1" customHeight="1">
      <c r="A90" s="7">
        <v>86</v>
      </c>
      <c r="B90" s="14" t="s">
        <v>124</v>
      </c>
      <c r="C90" s="14" t="s">
        <v>23</v>
      </c>
      <c r="D90" s="7" t="s">
        <v>35</v>
      </c>
      <c r="E90" s="14" t="s">
        <v>221</v>
      </c>
      <c r="F90" s="7" t="s">
        <v>26</v>
      </c>
      <c r="G90" s="8" t="s">
        <v>228</v>
      </c>
      <c r="H90" s="7" t="s">
        <v>28</v>
      </c>
      <c r="I90" s="8" t="s">
        <v>229</v>
      </c>
      <c r="J90" s="7" t="s">
        <v>30</v>
      </c>
      <c r="K90" s="135" t="s">
        <v>31</v>
      </c>
      <c r="L90" s="7" t="s">
        <v>32</v>
      </c>
      <c r="M90" s="7">
        <v>83014011</v>
      </c>
      <c r="N90" s="7">
        <v>1</v>
      </c>
      <c r="O90" s="7" t="s">
        <v>33</v>
      </c>
      <c r="P90" s="7"/>
      <c r="R90" s="9">
        <v>8748.2443098003641</v>
      </c>
      <c r="T90" s="7" t="s">
        <v>34</v>
      </c>
      <c r="U90" s="7"/>
    </row>
    <row r="91" spans="1:21" ht="14.1" customHeight="1">
      <c r="A91" s="7">
        <v>87</v>
      </c>
      <c r="B91" s="14" t="s">
        <v>230</v>
      </c>
      <c r="C91" s="14" t="s">
        <v>23</v>
      </c>
      <c r="D91" s="7" t="s">
        <v>45</v>
      </c>
      <c r="E91" s="14" t="s">
        <v>46</v>
      </c>
      <c r="F91" s="7" t="s">
        <v>231</v>
      </c>
      <c r="G91" s="8" t="s">
        <v>232</v>
      </c>
      <c r="H91" s="7" t="s">
        <v>28</v>
      </c>
      <c r="I91" s="8" t="s">
        <v>233</v>
      </c>
      <c r="J91" s="7" t="s">
        <v>30</v>
      </c>
      <c r="K91" s="135" t="s">
        <v>31</v>
      </c>
      <c r="L91" s="7" t="s">
        <v>32</v>
      </c>
      <c r="M91" s="7">
        <v>83014019</v>
      </c>
      <c r="N91" s="7">
        <v>1</v>
      </c>
      <c r="O91" s="7" t="s">
        <v>33</v>
      </c>
      <c r="P91" s="7"/>
      <c r="R91" s="9">
        <v>9131.3954045154933</v>
      </c>
      <c r="T91" s="7" t="s">
        <v>34</v>
      </c>
      <c r="U91" s="7"/>
    </row>
    <row r="92" spans="1:21" ht="14.1" customHeight="1">
      <c r="A92" s="7">
        <v>88</v>
      </c>
      <c r="B92" s="14" t="s">
        <v>230</v>
      </c>
      <c r="C92" s="14" t="s">
        <v>23</v>
      </c>
      <c r="D92" s="7" t="s">
        <v>45</v>
      </c>
      <c r="E92" s="14" t="s">
        <v>46</v>
      </c>
      <c r="F92" s="7" t="s">
        <v>231</v>
      </c>
      <c r="G92" s="8" t="s">
        <v>234</v>
      </c>
      <c r="H92" s="7" t="s">
        <v>28</v>
      </c>
      <c r="I92" s="8" t="s">
        <v>235</v>
      </c>
      <c r="J92" s="7" t="s">
        <v>30</v>
      </c>
      <c r="K92" s="135" t="s">
        <v>31</v>
      </c>
      <c r="L92" s="7" t="s">
        <v>32</v>
      </c>
      <c r="M92" s="7">
        <v>83014019</v>
      </c>
      <c r="N92" s="7">
        <v>1</v>
      </c>
      <c r="O92" s="7" t="s">
        <v>33</v>
      </c>
      <c r="P92" s="7"/>
      <c r="R92" s="9">
        <v>9782.0820303801047</v>
      </c>
      <c r="T92" s="7" t="s">
        <v>34</v>
      </c>
      <c r="U92" s="7"/>
    </row>
    <row r="93" spans="1:21" ht="14.1" customHeight="1">
      <c r="A93" s="7">
        <v>89</v>
      </c>
      <c r="B93" s="14" t="s">
        <v>230</v>
      </c>
      <c r="C93" s="14" t="s">
        <v>23</v>
      </c>
      <c r="D93" s="7" t="s">
        <v>45</v>
      </c>
      <c r="E93" s="14" t="s">
        <v>46</v>
      </c>
      <c r="F93" s="7" t="s">
        <v>231</v>
      </c>
      <c r="G93" s="8" t="s">
        <v>236</v>
      </c>
      <c r="H93" s="7" t="s">
        <v>28</v>
      </c>
      <c r="I93" s="8" t="s">
        <v>237</v>
      </c>
      <c r="J93" s="7" t="s">
        <v>30</v>
      </c>
      <c r="K93" s="135" t="s">
        <v>31</v>
      </c>
      <c r="L93" s="7" t="s">
        <v>32</v>
      </c>
      <c r="M93" s="7">
        <v>83014019</v>
      </c>
      <c r="N93" s="7">
        <v>1</v>
      </c>
      <c r="O93" s="7" t="s">
        <v>33</v>
      </c>
      <c r="P93" s="7"/>
      <c r="R93" s="9">
        <v>14201.16579333359</v>
      </c>
      <c r="T93" s="7" t="s">
        <v>34</v>
      </c>
      <c r="U93" s="7"/>
    </row>
    <row r="94" spans="1:21" ht="14.1" customHeight="1">
      <c r="A94" s="7">
        <v>90</v>
      </c>
      <c r="B94" s="14" t="s">
        <v>230</v>
      </c>
      <c r="C94" s="14" t="s">
        <v>23</v>
      </c>
      <c r="D94" s="7" t="s">
        <v>45</v>
      </c>
      <c r="E94" s="14" t="s">
        <v>46</v>
      </c>
      <c r="F94" s="7" t="s">
        <v>231</v>
      </c>
      <c r="G94" s="8" t="s">
        <v>238</v>
      </c>
      <c r="H94" s="7" t="s">
        <v>28</v>
      </c>
      <c r="I94" s="8" t="s">
        <v>239</v>
      </c>
      <c r="J94" s="7" t="s">
        <v>30</v>
      </c>
      <c r="K94" s="135" t="s">
        <v>31</v>
      </c>
      <c r="L94" s="7" t="s">
        <v>32</v>
      </c>
      <c r="M94" s="7">
        <v>83014019</v>
      </c>
      <c r="N94" s="7">
        <v>1</v>
      </c>
      <c r="O94" s="7" t="s">
        <v>33</v>
      </c>
      <c r="P94" s="7"/>
      <c r="R94" s="9">
        <v>14851.8524191982</v>
      </c>
      <c r="T94" s="7" t="s">
        <v>34</v>
      </c>
      <c r="U94" s="7"/>
    </row>
    <row r="95" spans="1:21" ht="14.1" customHeight="1">
      <c r="A95" s="7">
        <v>91</v>
      </c>
      <c r="B95" s="14" t="s">
        <v>230</v>
      </c>
      <c r="C95" s="14" t="s">
        <v>23</v>
      </c>
      <c r="D95" s="7" t="s">
        <v>45</v>
      </c>
      <c r="E95" s="14" t="s">
        <v>46</v>
      </c>
      <c r="F95" s="7" t="s">
        <v>231</v>
      </c>
      <c r="G95" s="8" t="s">
        <v>240</v>
      </c>
      <c r="H95" s="7" t="s">
        <v>28</v>
      </c>
      <c r="I95" s="8" t="s">
        <v>241</v>
      </c>
      <c r="J95" s="7" t="s">
        <v>30</v>
      </c>
      <c r="K95" s="135" t="s">
        <v>31</v>
      </c>
      <c r="L95" s="7" t="s">
        <v>32</v>
      </c>
      <c r="M95" s="7">
        <v>83014019</v>
      </c>
      <c r="N95" s="7">
        <v>1</v>
      </c>
      <c r="O95" s="7" t="s">
        <v>33</v>
      </c>
      <c r="P95" s="7"/>
      <c r="R95" s="9">
        <v>17265.257492469442</v>
      </c>
      <c r="T95" s="7" t="s">
        <v>34</v>
      </c>
      <c r="U95" s="7"/>
    </row>
    <row r="96" spans="1:21" ht="14.1" customHeight="1">
      <c r="A96" s="7">
        <v>92</v>
      </c>
      <c r="B96" s="14" t="s">
        <v>230</v>
      </c>
      <c r="C96" s="14" t="s">
        <v>23</v>
      </c>
      <c r="D96" s="7" t="s">
        <v>45</v>
      </c>
      <c r="E96" s="14" t="s">
        <v>46</v>
      </c>
      <c r="F96" s="7" t="s">
        <v>231</v>
      </c>
      <c r="G96" s="8" t="s">
        <v>242</v>
      </c>
      <c r="H96" s="7" t="s">
        <v>28</v>
      </c>
      <c r="I96" s="8" t="s">
        <v>243</v>
      </c>
      <c r="J96" s="7" t="s">
        <v>30</v>
      </c>
      <c r="K96" s="135" t="s">
        <v>31</v>
      </c>
      <c r="L96" s="7" t="s">
        <v>32</v>
      </c>
      <c r="M96" s="7">
        <v>83014019</v>
      </c>
      <c r="N96" s="7">
        <v>1</v>
      </c>
      <c r="O96" s="7" t="s">
        <v>33</v>
      </c>
      <c r="P96" s="7"/>
      <c r="R96" s="9">
        <v>17915.94411833405</v>
      </c>
      <c r="T96" s="7" t="s">
        <v>34</v>
      </c>
      <c r="U96" s="7"/>
    </row>
    <row r="97" spans="1:21" ht="14.1" customHeight="1">
      <c r="A97" s="7">
        <v>93</v>
      </c>
      <c r="B97" s="14" t="s">
        <v>230</v>
      </c>
      <c r="C97" s="14" t="s">
        <v>23</v>
      </c>
      <c r="D97" s="7" t="s">
        <v>45</v>
      </c>
      <c r="E97" s="14" t="s">
        <v>46</v>
      </c>
      <c r="F97" s="7" t="s">
        <v>231</v>
      </c>
      <c r="G97" s="8" t="s">
        <v>244</v>
      </c>
      <c r="H97" s="7" t="s">
        <v>28</v>
      </c>
      <c r="I97" s="8" t="s">
        <v>245</v>
      </c>
      <c r="J97" s="7" t="s">
        <v>30</v>
      </c>
      <c r="K97" s="135" t="s">
        <v>31</v>
      </c>
      <c r="L97" s="7" t="s">
        <v>32</v>
      </c>
      <c r="M97" s="7">
        <v>83014019</v>
      </c>
      <c r="N97" s="7">
        <v>1</v>
      </c>
      <c r="O97" s="7" t="s">
        <v>33</v>
      </c>
      <c r="P97" s="7"/>
      <c r="R97" s="9">
        <v>24827.744114106219</v>
      </c>
      <c r="T97" s="7" t="s">
        <v>34</v>
      </c>
      <c r="U97" s="7"/>
    </row>
    <row r="98" spans="1:21" ht="14.1" customHeight="1">
      <c r="A98" s="7">
        <v>94</v>
      </c>
      <c r="B98" s="14" t="s">
        <v>230</v>
      </c>
      <c r="C98" s="14" t="s">
        <v>23</v>
      </c>
      <c r="D98" s="7" t="s">
        <v>45</v>
      </c>
      <c r="E98" s="14" t="s">
        <v>46</v>
      </c>
      <c r="F98" s="7" t="s">
        <v>231</v>
      </c>
      <c r="G98" s="8" t="s">
        <v>246</v>
      </c>
      <c r="H98" s="7" t="s">
        <v>28</v>
      </c>
      <c r="I98" s="8" t="s">
        <v>247</v>
      </c>
      <c r="J98" s="7" t="s">
        <v>30</v>
      </c>
      <c r="K98" s="135" t="s">
        <v>31</v>
      </c>
      <c r="L98" s="7" t="s">
        <v>32</v>
      </c>
      <c r="M98" s="7">
        <v>83014019</v>
      </c>
      <c r="N98" s="7">
        <v>1</v>
      </c>
      <c r="O98" s="7" t="s">
        <v>33</v>
      </c>
      <c r="P98" s="7"/>
      <c r="R98" s="9">
        <v>25478.430739970841</v>
      </c>
      <c r="T98" s="7" t="s">
        <v>34</v>
      </c>
      <c r="U98" s="7"/>
    </row>
    <row r="99" spans="1:21" ht="14.1" customHeight="1">
      <c r="A99" s="7">
        <v>95</v>
      </c>
      <c r="B99" s="14" t="s">
        <v>124</v>
      </c>
      <c r="C99" s="14" t="s">
        <v>23</v>
      </c>
      <c r="D99" s="7" t="s">
        <v>35</v>
      </c>
      <c r="E99" s="14" t="s">
        <v>221</v>
      </c>
      <c r="F99" s="7" t="s">
        <v>26</v>
      </c>
      <c r="G99" s="8" t="s">
        <v>248</v>
      </c>
      <c r="H99" s="7" t="s">
        <v>28</v>
      </c>
      <c r="I99" s="8" t="s">
        <v>249</v>
      </c>
      <c r="J99" s="7" t="s">
        <v>30</v>
      </c>
      <c r="K99" s="135" t="s">
        <v>31</v>
      </c>
      <c r="L99" s="7" t="s">
        <v>32</v>
      </c>
      <c r="M99" s="7">
        <v>83014011</v>
      </c>
      <c r="N99" s="7">
        <v>1</v>
      </c>
      <c r="O99" s="7" t="s">
        <v>33</v>
      </c>
      <c r="P99" s="7"/>
      <c r="R99" s="9">
        <v>3539.958656420526</v>
      </c>
      <c r="T99" s="7" t="s">
        <v>34</v>
      </c>
      <c r="U99" s="7"/>
    </row>
    <row r="100" spans="1:21" ht="14.1" customHeight="1">
      <c r="A100" s="7">
        <v>96</v>
      </c>
      <c r="B100" s="14" t="s">
        <v>230</v>
      </c>
      <c r="C100" s="14" t="s">
        <v>23</v>
      </c>
      <c r="D100" s="7" t="s">
        <v>45</v>
      </c>
      <c r="E100" s="14" t="s">
        <v>46</v>
      </c>
      <c r="F100" s="7" t="s">
        <v>231</v>
      </c>
      <c r="G100" s="8" t="s">
        <v>250</v>
      </c>
      <c r="H100" s="7" t="s">
        <v>28</v>
      </c>
      <c r="I100" s="8" t="s">
        <v>251</v>
      </c>
      <c r="J100" s="7" t="s">
        <v>30</v>
      </c>
      <c r="K100" s="135" t="s">
        <v>31</v>
      </c>
      <c r="L100" s="7" t="s">
        <v>32</v>
      </c>
      <c r="M100" s="7">
        <v>83014019</v>
      </c>
      <c r="N100" s="7">
        <v>1</v>
      </c>
      <c r="O100" s="7" t="s">
        <v>33</v>
      </c>
      <c r="P100" s="7"/>
      <c r="R100" s="9">
        <v>17674.65946393619</v>
      </c>
      <c r="T100" s="7" t="s">
        <v>34</v>
      </c>
      <c r="U100" s="7"/>
    </row>
    <row r="101" spans="1:21" ht="14.1" customHeight="1">
      <c r="A101" s="7">
        <v>97</v>
      </c>
      <c r="B101" s="14" t="s">
        <v>124</v>
      </c>
      <c r="C101" s="14" t="s">
        <v>23</v>
      </c>
      <c r="D101" s="7" t="s">
        <v>252</v>
      </c>
      <c r="E101" s="14" t="s">
        <v>253</v>
      </c>
      <c r="F101" s="7" t="s">
        <v>26</v>
      </c>
      <c r="G101" s="8" t="s">
        <v>254</v>
      </c>
      <c r="H101" s="7" t="s">
        <v>150</v>
      </c>
      <c r="I101" s="8" t="s">
        <v>255</v>
      </c>
      <c r="J101" s="7" t="s">
        <v>30</v>
      </c>
      <c r="K101" s="135" t="s">
        <v>152</v>
      </c>
      <c r="L101" s="7" t="s">
        <v>32</v>
      </c>
      <c r="M101" s="7">
        <v>83014019</v>
      </c>
      <c r="N101" s="7">
        <v>1</v>
      </c>
      <c r="O101" s="7" t="s">
        <v>33</v>
      </c>
      <c r="P101" s="7"/>
      <c r="R101" s="9">
        <v>5443.9850148518262</v>
      </c>
      <c r="T101" s="7" t="s">
        <v>34</v>
      </c>
      <c r="U101" s="7"/>
    </row>
    <row r="102" spans="1:21" ht="14.1" customHeight="1">
      <c r="A102" s="7">
        <v>98</v>
      </c>
      <c r="B102" s="14" t="s">
        <v>124</v>
      </c>
      <c r="C102" s="14" t="s">
        <v>23</v>
      </c>
      <c r="D102" s="7" t="s">
        <v>252</v>
      </c>
      <c r="E102" s="14" t="s">
        <v>253</v>
      </c>
      <c r="F102" s="7" t="s">
        <v>26</v>
      </c>
      <c r="G102" s="8" t="s">
        <v>256</v>
      </c>
      <c r="H102" s="7" t="s">
        <v>150</v>
      </c>
      <c r="I102" s="8" t="s">
        <v>257</v>
      </c>
      <c r="J102" s="7" t="s">
        <v>30</v>
      </c>
      <c r="K102" s="135" t="s">
        <v>152</v>
      </c>
      <c r="L102" s="7" t="s">
        <v>32</v>
      </c>
      <c r="M102" s="7">
        <v>83024900</v>
      </c>
      <c r="N102" s="7">
        <v>1</v>
      </c>
      <c r="O102" s="7" t="s">
        <v>33</v>
      </c>
      <c r="P102" s="7"/>
      <c r="R102" s="9">
        <v>1274.5638456850179</v>
      </c>
      <c r="T102" s="7" t="s">
        <v>34</v>
      </c>
      <c r="U102" s="7"/>
    </row>
    <row r="103" spans="1:21" ht="14.1" customHeight="1">
      <c r="A103" s="7">
        <v>99</v>
      </c>
      <c r="B103" s="14" t="s">
        <v>124</v>
      </c>
      <c r="C103" s="14" t="s">
        <v>23</v>
      </c>
      <c r="D103" s="7" t="s">
        <v>252</v>
      </c>
      <c r="E103" s="14" t="s">
        <v>253</v>
      </c>
      <c r="F103" s="7" t="s">
        <v>26</v>
      </c>
      <c r="G103" s="8" t="s">
        <v>258</v>
      </c>
      <c r="H103" s="7" t="s">
        <v>150</v>
      </c>
      <c r="I103" s="8" t="s">
        <v>259</v>
      </c>
      <c r="J103" s="7" t="s">
        <v>30</v>
      </c>
      <c r="K103" s="135" t="s">
        <v>152</v>
      </c>
      <c r="L103" s="7" t="s">
        <v>32</v>
      </c>
      <c r="M103" s="7">
        <v>83016000</v>
      </c>
      <c r="N103" s="7">
        <v>1</v>
      </c>
      <c r="O103" s="7" t="s">
        <v>33</v>
      </c>
      <c r="P103" s="7"/>
      <c r="R103" s="9">
        <v>2550.8032792477979</v>
      </c>
      <c r="T103" s="7" t="s">
        <v>34</v>
      </c>
      <c r="U103" s="7"/>
    </row>
    <row r="104" spans="1:21" ht="14.1" customHeight="1">
      <c r="A104" s="7">
        <v>100</v>
      </c>
      <c r="B104" s="14" t="s">
        <v>124</v>
      </c>
      <c r="C104" s="14" t="s">
        <v>23</v>
      </c>
      <c r="D104" s="7" t="s">
        <v>260</v>
      </c>
      <c r="E104" s="14" t="s">
        <v>261</v>
      </c>
      <c r="F104" s="7" t="s">
        <v>26</v>
      </c>
      <c r="G104" s="8" t="s">
        <v>262</v>
      </c>
      <c r="H104" s="7" t="s">
        <v>28</v>
      </c>
      <c r="I104" s="8" t="s">
        <v>263</v>
      </c>
      <c r="J104" s="7" t="s">
        <v>30</v>
      </c>
      <c r="K104" s="135" t="s">
        <v>31</v>
      </c>
      <c r="L104" s="7" t="s">
        <v>32</v>
      </c>
      <c r="M104" s="7">
        <v>83016000</v>
      </c>
      <c r="N104" s="7">
        <v>1</v>
      </c>
      <c r="O104" s="7" t="s">
        <v>33</v>
      </c>
      <c r="P104" s="7"/>
      <c r="R104" s="9">
        <v>99.976743373189365</v>
      </c>
      <c r="T104" s="7" t="s">
        <v>34</v>
      </c>
      <c r="U104" s="7"/>
    </row>
    <row r="105" spans="1:21" ht="14.1" customHeight="1">
      <c r="A105" s="7">
        <v>101</v>
      </c>
      <c r="B105" s="14" t="s">
        <v>124</v>
      </c>
      <c r="C105" s="14" t="s">
        <v>23</v>
      </c>
      <c r="D105" s="7" t="s">
        <v>260</v>
      </c>
      <c r="E105" s="14" t="s">
        <v>261</v>
      </c>
      <c r="F105" s="7" t="s">
        <v>26</v>
      </c>
      <c r="G105" s="8" t="s">
        <v>264</v>
      </c>
      <c r="H105" s="7" t="s">
        <v>28</v>
      </c>
      <c r="I105" s="8" t="s">
        <v>265</v>
      </c>
      <c r="J105" s="7" t="s">
        <v>30</v>
      </c>
      <c r="K105" s="135" t="s">
        <v>31</v>
      </c>
      <c r="L105" s="7" t="s">
        <v>32</v>
      </c>
      <c r="M105" s="7">
        <v>83016000</v>
      </c>
      <c r="N105" s="7">
        <v>1</v>
      </c>
      <c r="O105" s="7" t="s">
        <v>33</v>
      </c>
      <c r="P105" s="7"/>
      <c r="R105" s="9">
        <v>73.725866621569807</v>
      </c>
      <c r="T105" s="7" t="s">
        <v>34</v>
      </c>
      <c r="U105" s="7"/>
    </row>
    <row r="106" spans="1:21" ht="14.1" customHeight="1">
      <c r="A106" s="7">
        <v>102</v>
      </c>
      <c r="B106" s="14" t="s">
        <v>230</v>
      </c>
      <c r="C106" s="14" t="s">
        <v>23</v>
      </c>
      <c r="D106" s="7" t="s">
        <v>45</v>
      </c>
      <c r="E106" s="14" t="s">
        <v>46</v>
      </c>
      <c r="F106" s="7" t="s">
        <v>231</v>
      </c>
      <c r="G106" s="8" t="s">
        <v>266</v>
      </c>
      <c r="H106" s="7" t="s">
        <v>42</v>
      </c>
      <c r="I106" s="8" t="s">
        <v>267</v>
      </c>
      <c r="J106" s="7" t="s">
        <v>30</v>
      </c>
      <c r="K106" s="135"/>
      <c r="L106" s="7" t="s">
        <v>32</v>
      </c>
      <c r="M106" s="7">
        <v>85444290</v>
      </c>
      <c r="N106" s="7">
        <v>1</v>
      </c>
      <c r="O106" s="7" t="s">
        <v>33</v>
      </c>
      <c r="P106" s="7"/>
      <c r="R106" s="9">
        <v>752.89748640815253</v>
      </c>
      <c r="T106" s="7" t="s">
        <v>34</v>
      </c>
      <c r="U106" s="7"/>
    </row>
    <row r="107" spans="1:21" ht="14.1" customHeight="1">
      <c r="A107" s="7">
        <v>103</v>
      </c>
      <c r="B107" s="14" t="s">
        <v>22</v>
      </c>
      <c r="C107" s="14" t="s">
        <v>23</v>
      </c>
      <c r="D107" s="7" t="s">
        <v>260</v>
      </c>
      <c r="E107" s="14" t="s">
        <v>268</v>
      </c>
      <c r="F107" s="7" t="s">
        <v>269</v>
      </c>
      <c r="G107" s="8" t="s">
        <v>270</v>
      </c>
      <c r="H107" s="7" t="s">
        <v>42</v>
      </c>
      <c r="I107" s="8" t="s">
        <v>268</v>
      </c>
      <c r="J107" s="7" t="s">
        <v>30</v>
      </c>
      <c r="K107" s="135"/>
      <c r="L107" s="7" t="s">
        <v>32</v>
      </c>
      <c r="M107" s="7">
        <v>83071000</v>
      </c>
      <c r="N107" s="7">
        <v>1</v>
      </c>
      <c r="O107" s="7" t="s">
        <v>33</v>
      </c>
      <c r="P107" s="7"/>
      <c r="R107" s="9">
        <v>454.08431487375958</v>
      </c>
      <c r="T107" s="7" t="s">
        <v>34</v>
      </c>
      <c r="U107" s="7"/>
    </row>
    <row r="108" spans="1:21" ht="14.1" customHeight="1">
      <c r="H108" t="s">
        <v>42</v>
      </c>
    </row>
    <row r="109" spans="1:21" ht="14.1" customHeight="1">
      <c r="A109" s="2" t="s">
        <v>271</v>
      </c>
      <c r="H109" t="s">
        <v>42</v>
      </c>
    </row>
    <row r="110" spans="1:21" ht="14.1" customHeight="1">
      <c r="A110" s="2" t="s">
        <v>272</v>
      </c>
      <c r="H110" t="s">
        <v>42</v>
      </c>
    </row>
    <row r="111" spans="1:21" ht="14.1" customHeight="1"/>
    <row r="112" spans="1:21" ht="14.1" customHeight="1"/>
    <row r="113" ht="14.1" customHeight="1"/>
    <row r="114" ht="14.1" customHeight="1"/>
    <row r="115" ht="14.1" customHeight="1"/>
    <row r="116" ht="14.1" customHeight="1"/>
    <row r="117" ht="14.1" customHeight="1"/>
    <row r="118" ht="14.1" customHeight="1"/>
    <row r="119" ht="14.1" customHeight="1"/>
    <row r="120" ht="14.1" customHeight="1"/>
    <row r="121" ht="14.1" customHeight="1"/>
    <row r="122" ht="14.1" customHeight="1"/>
    <row r="123" ht="14.1" customHeight="1"/>
    <row r="124" ht="14.1" customHeight="1"/>
    <row r="125" ht="14.1" customHeight="1"/>
    <row r="126" ht="14.1" customHeight="1"/>
    <row r="127" ht="14.1" customHeight="1"/>
    <row r="128" ht="14.1" customHeight="1"/>
    <row r="129" ht="14.1" customHeight="1"/>
    <row r="130" ht="14.1" customHeight="1"/>
    <row r="131" ht="14.1" customHeight="1"/>
    <row r="132" ht="14.1" customHeight="1"/>
    <row r="133" ht="14.1" customHeight="1"/>
    <row r="134" ht="14.1" customHeight="1"/>
    <row r="135" ht="14.1" customHeight="1"/>
    <row r="136" ht="14.1" customHeight="1"/>
    <row r="137" ht="14.1" customHeight="1"/>
    <row r="138" ht="14.1" customHeight="1"/>
    <row r="139" ht="14.1" customHeight="1"/>
    <row r="140" ht="14.1" customHeight="1"/>
    <row r="141" ht="14.1" customHeight="1"/>
    <row r="142" ht="14.1" customHeight="1"/>
    <row r="143" ht="14.1" customHeight="1"/>
    <row r="144" ht="14.1" customHeight="1"/>
    <row r="145" ht="14.1" customHeight="1"/>
    <row r="146" ht="14.1" customHeight="1"/>
    <row r="147" ht="14.1" customHeight="1"/>
    <row r="148" ht="14.1" customHeight="1"/>
    <row r="149" ht="14.1" customHeight="1"/>
    <row r="150" ht="14.1" customHeight="1"/>
    <row r="151" ht="14.1" customHeight="1"/>
    <row r="152" ht="14.1" customHeight="1"/>
    <row r="153" ht="14.1" customHeight="1"/>
    <row r="154" ht="14.1" customHeight="1"/>
    <row r="155" ht="14.1" customHeight="1"/>
    <row r="156" ht="14.1" customHeight="1"/>
    <row r="157" ht="14.1" customHeight="1"/>
    <row r="158" ht="14.1" customHeight="1"/>
    <row r="159" ht="14.1" customHeight="1"/>
    <row r="160" ht="14.1" customHeight="1"/>
    <row r="161" ht="14.1" customHeight="1"/>
    <row r="162" ht="14.1" customHeight="1"/>
    <row r="163" ht="14.1" customHeight="1"/>
    <row r="164" ht="14.1" customHeight="1"/>
    <row r="165" ht="14.1" customHeight="1"/>
    <row r="166" ht="14.1" customHeight="1"/>
    <row r="167" ht="14.1" customHeight="1"/>
    <row r="168" ht="14.1" customHeight="1"/>
    <row r="169" ht="14.1" customHeight="1"/>
    <row r="170" ht="14.1" customHeight="1"/>
    <row r="171" ht="14.1" customHeight="1"/>
    <row r="172" ht="14.1" customHeight="1"/>
    <row r="173" ht="14.1" customHeight="1"/>
    <row r="174" ht="14.1" customHeight="1"/>
    <row r="175" ht="14.1" customHeight="1"/>
    <row r="176" ht="14.1" customHeight="1"/>
    <row r="177" ht="14.1" customHeight="1"/>
    <row r="178" ht="14.1" customHeight="1"/>
    <row r="179" ht="14.1" customHeight="1"/>
    <row r="180" ht="14.1" customHeight="1"/>
    <row r="181" ht="14.1" customHeight="1"/>
    <row r="182" ht="14.1" customHeight="1"/>
    <row r="183" ht="14.1" customHeight="1"/>
    <row r="184" ht="14.1" customHeight="1"/>
    <row r="185" ht="14.1" customHeight="1"/>
    <row r="186" ht="14.1" customHeight="1"/>
    <row r="187" ht="14.1" customHeight="1"/>
    <row r="188" ht="14.1" customHeight="1"/>
    <row r="189" ht="14.1" customHeight="1"/>
    <row r="190" ht="14.1" customHeight="1"/>
    <row r="191" ht="14.1" customHeight="1"/>
    <row r="192" ht="14.1" customHeight="1"/>
    <row r="193" ht="14.1" customHeight="1"/>
    <row r="194" ht="14.1" customHeight="1"/>
    <row r="195" ht="14.1" customHeight="1"/>
    <row r="196" ht="14.1" customHeight="1"/>
    <row r="197" ht="14.1" customHeight="1"/>
    <row r="198" ht="14.1" customHeight="1"/>
    <row r="199" ht="14.1" customHeight="1"/>
    <row r="200" ht="14.1" customHeight="1"/>
    <row r="201" ht="14.1" customHeight="1"/>
    <row r="202" ht="14.1" customHeight="1"/>
    <row r="203" ht="14.1" customHeight="1"/>
    <row r="204" ht="14.1" customHeight="1"/>
    <row r="205" ht="14.1" customHeight="1"/>
    <row r="206" ht="14.1" customHeight="1"/>
    <row r="207" ht="14.1" customHeight="1"/>
    <row r="208" ht="14.1" customHeight="1"/>
    <row r="209" ht="14.1" customHeight="1"/>
    <row r="210" ht="14.1" customHeight="1"/>
    <row r="211" ht="14.1" customHeight="1"/>
    <row r="212" ht="14.1" customHeight="1"/>
    <row r="213" ht="14.1" customHeight="1"/>
    <row r="214" ht="14.1" customHeight="1"/>
    <row r="215" ht="14.1" customHeight="1"/>
    <row r="216" ht="14.1" customHeight="1"/>
    <row r="217" ht="14.1" customHeight="1"/>
    <row r="218" ht="14.1" customHeight="1"/>
    <row r="219" ht="14.1" customHeight="1"/>
    <row r="220" ht="14.1" customHeight="1"/>
    <row r="221" ht="14.1" customHeight="1"/>
    <row r="222" ht="14.1" customHeight="1"/>
    <row r="223" ht="14.1" customHeight="1"/>
    <row r="224" ht="14.1" customHeight="1"/>
    <row r="225" ht="14.1" customHeight="1"/>
    <row r="226" ht="14.1" customHeight="1"/>
    <row r="227" ht="14.1" customHeight="1"/>
    <row r="228" ht="14.1" customHeight="1"/>
    <row r="229" ht="14.1" customHeight="1"/>
    <row r="230" ht="14.1" customHeight="1"/>
    <row r="231" ht="14.1" customHeight="1"/>
    <row r="232" ht="14.1" customHeight="1"/>
    <row r="233" ht="14.1" customHeight="1"/>
    <row r="234" ht="14.1" customHeight="1"/>
    <row r="235" ht="14.1" customHeight="1"/>
    <row r="236" ht="14.1" customHeight="1"/>
    <row r="237" ht="14.1" customHeight="1"/>
    <row r="238" ht="14.1" customHeight="1"/>
    <row r="239" ht="14.1" customHeight="1"/>
    <row r="240" ht="14.1" customHeight="1"/>
    <row r="241" ht="14.1" customHeight="1"/>
    <row r="242" ht="14.1" customHeight="1"/>
    <row r="243" ht="14.1" customHeight="1"/>
    <row r="244" ht="14.1" customHeight="1"/>
    <row r="245" ht="14.1" customHeight="1"/>
    <row r="246" ht="14.1" customHeight="1"/>
    <row r="247" ht="14.1" customHeight="1"/>
    <row r="248" ht="14.1" customHeight="1"/>
    <row r="249" ht="14.1" customHeight="1"/>
    <row r="250" ht="14.1" customHeight="1"/>
    <row r="251" ht="14.1" customHeight="1"/>
    <row r="252" ht="14.1" customHeight="1"/>
    <row r="253" ht="14.1" customHeight="1"/>
    <row r="254" ht="14.1" customHeight="1"/>
    <row r="255" ht="14.1" customHeight="1"/>
    <row r="256" ht="14.1" customHeight="1"/>
    <row r="257" ht="14.1" customHeight="1"/>
    <row r="258" ht="14.1" customHeight="1"/>
    <row r="259" ht="14.1" customHeight="1"/>
    <row r="260" ht="14.1" customHeight="1"/>
    <row r="261" ht="14.1" customHeight="1"/>
    <row r="262" ht="14.1" customHeight="1"/>
    <row r="263" ht="14.1" customHeight="1"/>
    <row r="264" ht="14.1" customHeight="1"/>
    <row r="265" ht="14.1" customHeight="1"/>
    <row r="266" ht="14.1" customHeight="1"/>
    <row r="267" ht="14.1" customHeight="1"/>
    <row r="268" ht="14.1" customHeight="1"/>
    <row r="269" ht="14.1" customHeight="1"/>
    <row r="270" ht="14.1" customHeight="1"/>
    <row r="271" ht="14.1" customHeight="1"/>
    <row r="272" ht="14.1" customHeight="1"/>
    <row r="273" ht="14.1" customHeight="1"/>
    <row r="274" ht="14.1" customHeight="1"/>
    <row r="275" ht="14.1" customHeight="1"/>
    <row r="276" ht="14.1" customHeight="1"/>
    <row r="277" ht="14.1" customHeight="1"/>
    <row r="278" ht="14.1" customHeight="1"/>
    <row r="279" ht="14.1" customHeight="1"/>
    <row r="280" ht="14.1" customHeight="1"/>
    <row r="281" ht="14.1" customHeight="1"/>
    <row r="282" ht="14.1" customHeight="1"/>
    <row r="283" ht="14.1" customHeight="1"/>
    <row r="284" ht="14.1" customHeight="1"/>
    <row r="285" ht="14.1" customHeight="1"/>
    <row r="286" ht="14.1" customHeight="1"/>
    <row r="287" ht="14.1" customHeight="1"/>
    <row r="288" ht="14.1" customHeight="1"/>
    <row r="289" ht="14.1" customHeight="1"/>
    <row r="290" ht="14.1" customHeight="1"/>
    <row r="291" ht="14.1" customHeight="1"/>
    <row r="292" ht="14.1" customHeight="1"/>
    <row r="293" ht="14.1" customHeight="1"/>
    <row r="294" ht="14.1" customHeight="1"/>
    <row r="295" ht="14.1" customHeight="1"/>
    <row r="296" ht="14.1" customHeight="1"/>
    <row r="297" ht="14.1" customHeight="1"/>
    <row r="298" ht="14.1" customHeight="1"/>
    <row r="299" ht="14.1" customHeight="1"/>
    <row r="300" ht="14.1" customHeight="1"/>
    <row r="301" ht="14.1" customHeight="1"/>
    <row r="302" ht="14.1" customHeight="1"/>
    <row r="303" ht="14.1" customHeight="1"/>
    <row r="304" ht="14.1" customHeight="1"/>
    <row r="305" ht="14.1" customHeight="1"/>
    <row r="306" ht="14.1" customHeight="1"/>
    <row r="307" ht="14.1" customHeight="1"/>
    <row r="308" ht="14.1" customHeight="1"/>
    <row r="309" ht="14.1" customHeight="1"/>
    <row r="310" ht="14.1" customHeight="1"/>
    <row r="311" ht="14.1" customHeight="1"/>
    <row r="312" ht="14.1" customHeight="1"/>
    <row r="313" ht="14.1" customHeight="1"/>
    <row r="314" ht="14.1" customHeight="1"/>
    <row r="315" ht="14.1" customHeight="1"/>
    <row r="316" ht="14.1" customHeight="1"/>
    <row r="317" ht="14.1" customHeight="1"/>
    <row r="318" ht="14.1" customHeight="1"/>
    <row r="319" ht="14.1" customHeight="1"/>
    <row r="320" ht="14.1" customHeight="1"/>
    <row r="321" ht="14.1" customHeight="1"/>
    <row r="322" ht="14.1" customHeight="1"/>
    <row r="323" ht="14.1" customHeight="1"/>
    <row r="324" ht="14.1" customHeight="1"/>
    <row r="325" ht="14.1" customHeight="1"/>
    <row r="326" ht="14.1" customHeight="1"/>
    <row r="327" ht="14.1" customHeight="1"/>
    <row r="328" ht="14.1" customHeight="1"/>
    <row r="329" ht="14.1" customHeight="1"/>
    <row r="330" ht="14.1" customHeight="1"/>
    <row r="331" ht="14.1" customHeight="1"/>
    <row r="332" ht="14.1" customHeight="1"/>
    <row r="333" ht="14.1" customHeight="1"/>
    <row r="334" ht="14.1" customHeight="1"/>
    <row r="335" ht="14.1" customHeight="1"/>
    <row r="336" ht="14.1" customHeight="1"/>
    <row r="337" ht="14.1" customHeight="1"/>
    <row r="338" ht="14.1" customHeight="1"/>
    <row r="339" ht="14.1" customHeight="1"/>
    <row r="340" ht="14.1" customHeight="1"/>
    <row r="341" ht="14.1" customHeight="1"/>
    <row r="342" ht="14.1" customHeight="1"/>
    <row r="343" ht="14.1" customHeight="1"/>
    <row r="344" ht="14.1" customHeight="1"/>
    <row r="345" ht="14.1" customHeight="1"/>
    <row r="346" ht="14.1" customHeight="1"/>
    <row r="347" ht="14.1" customHeight="1"/>
    <row r="348" ht="14.1" customHeight="1"/>
    <row r="349" ht="14.1" customHeight="1"/>
    <row r="350" ht="14.1" customHeight="1"/>
    <row r="351" ht="14.1" customHeight="1"/>
    <row r="352" ht="14.1" customHeight="1"/>
    <row r="353" ht="14.1" customHeight="1"/>
    <row r="354" ht="14.1" customHeight="1"/>
    <row r="355" ht="14.1" customHeight="1"/>
    <row r="356" ht="14.1" customHeight="1"/>
    <row r="357" ht="14.1" customHeight="1"/>
    <row r="358" ht="14.1" customHeight="1"/>
    <row r="359" ht="14.1" customHeight="1"/>
    <row r="360" ht="14.1" customHeight="1"/>
    <row r="361" ht="14.1" customHeight="1"/>
    <row r="362" ht="14.1" customHeight="1"/>
    <row r="363" ht="14.1" customHeight="1"/>
    <row r="364" ht="14.1" customHeight="1"/>
    <row r="365" ht="14.1" customHeight="1"/>
    <row r="366" ht="14.1" customHeight="1"/>
    <row r="367" ht="14.1" customHeight="1"/>
    <row r="368" ht="14.1" customHeight="1"/>
    <row r="369" ht="14.1" customHeight="1"/>
    <row r="370" ht="14.1" customHeight="1"/>
    <row r="371" ht="14.1" customHeight="1"/>
    <row r="372" ht="14.1" customHeight="1"/>
    <row r="373" ht="14.1" customHeight="1"/>
    <row r="374" ht="14.1" customHeight="1"/>
    <row r="375" ht="14.1" customHeight="1"/>
    <row r="376" ht="14.1" customHeight="1"/>
    <row r="377" ht="14.1" customHeight="1"/>
    <row r="378" ht="14.1" customHeight="1"/>
    <row r="379" ht="14.1" customHeight="1"/>
    <row r="380" ht="14.1" customHeight="1"/>
    <row r="381" ht="14.1" customHeight="1"/>
    <row r="382" ht="14.1" customHeight="1"/>
    <row r="383" ht="14.1" customHeight="1"/>
    <row r="384" ht="14.1" customHeight="1"/>
    <row r="385" ht="14.1" customHeight="1"/>
    <row r="386" ht="14.1" customHeight="1"/>
    <row r="387" ht="14.1" customHeight="1"/>
    <row r="388" ht="14.1" customHeight="1"/>
    <row r="389" ht="14.1" customHeight="1"/>
    <row r="390" ht="14.1" customHeight="1"/>
    <row r="391" ht="14.1" customHeight="1"/>
    <row r="392" ht="14.1" customHeight="1"/>
    <row r="393" ht="14.1" customHeight="1"/>
    <row r="394" ht="14.1" customHeight="1"/>
    <row r="395" ht="14.1" customHeight="1"/>
    <row r="396" ht="14.1" customHeight="1"/>
    <row r="397" ht="14.1" customHeight="1"/>
    <row r="398" ht="14.1" customHeight="1"/>
    <row r="399" ht="14.1" customHeight="1"/>
    <row r="400" ht="14.1" customHeight="1"/>
    <row r="401" ht="14.1" customHeight="1"/>
    <row r="402" ht="14.1" customHeight="1"/>
    <row r="403" ht="14.1" customHeight="1"/>
    <row r="404" ht="14.1" customHeight="1"/>
    <row r="405" ht="14.1" customHeight="1"/>
    <row r="406" ht="14.1" customHeight="1"/>
    <row r="407" ht="14.1" customHeight="1"/>
    <row r="408" ht="14.1" customHeight="1"/>
    <row r="409" ht="14.1" customHeight="1"/>
    <row r="410" ht="14.1" customHeight="1"/>
    <row r="411" ht="14.1" customHeight="1"/>
    <row r="412" ht="14.1" customHeight="1"/>
    <row r="413" ht="14.1" customHeight="1"/>
    <row r="414" ht="14.1" customHeight="1"/>
    <row r="415" ht="14.1" customHeight="1"/>
    <row r="416" ht="14.1" customHeight="1"/>
    <row r="417" ht="14.1" customHeight="1"/>
    <row r="418" ht="14.1" customHeight="1"/>
    <row r="419" ht="14.1" customHeight="1"/>
    <row r="420" ht="14.1" customHeight="1"/>
    <row r="421" ht="14.1" customHeight="1"/>
    <row r="422" ht="14.1" customHeight="1"/>
    <row r="423" ht="14.1" customHeight="1"/>
    <row r="424" ht="14.1" customHeight="1"/>
    <row r="425" ht="14.1" customHeight="1"/>
    <row r="426" ht="14.1" customHeight="1"/>
    <row r="427" ht="14.1" customHeight="1"/>
    <row r="428" ht="14.1" customHeight="1"/>
    <row r="429" ht="14.1" customHeight="1"/>
    <row r="430" ht="14.1" customHeight="1"/>
    <row r="431" ht="14.1" customHeight="1"/>
    <row r="432" ht="14.1" customHeight="1"/>
    <row r="433" ht="14.1" customHeight="1"/>
    <row r="434" ht="14.1" customHeight="1"/>
    <row r="435" ht="14.1" customHeight="1"/>
    <row r="436" ht="14.1" customHeight="1"/>
    <row r="437" ht="14.1" customHeight="1"/>
    <row r="438" ht="14.1" customHeight="1"/>
    <row r="439" ht="14.1" customHeight="1"/>
    <row r="440" ht="14.1" customHeight="1"/>
    <row r="441" ht="14.1" customHeight="1"/>
    <row r="442" ht="14.1" customHeight="1"/>
    <row r="443" ht="14.1" customHeight="1"/>
    <row r="444" ht="14.1" customHeight="1"/>
    <row r="445" ht="14.1" customHeight="1"/>
    <row r="446" ht="14.1" customHeight="1"/>
    <row r="447" ht="14.1" customHeight="1"/>
    <row r="448" ht="14.1" customHeight="1"/>
    <row r="449" ht="14.1" customHeight="1"/>
    <row r="450" ht="14.1" customHeight="1"/>
    <row r="451" ht="14.1" customHeight="1"/>
    <row r="452" ht="14.1" customHeight="1"/>
    <row r="453" ht="14.1" customHeight="1"/>
    <row r="454" ht="14.1" customHeight="1"/>
    <row r="455" ht="14.1" customHeight="1"/>
    <row r="456" ht="14.1" customHeight="1"/>
    <row r="457" ht="14.1" customHeight="1"/>
    <row r="458" ht="14.1" customHeight="1"/>
    <row r="459" ht="14.1" customHeight="1"/>
    <row r="460" ht="14.1" customHeight="1"/>
    <row r="461" ht="14.1" customHeight="1"/>
    <row r="462" ht="14.1" customHeight="1"/>
    <row r="463" ht="14.1" customHeight="1"/>
    <row r="464" ht="14.1" customHeight="1"/>
    <row r="465" ht="14.1" customHeight="1"/>
    <row r="466" ht="14.1" customHeight="1"/>
    <row r="467" ht="14.1" customHeight="1"/>
    <row r="468" ht="14.1" customHeight="1"/>
    <row r="469" ht="14.1" customHeight="1"/>
    <row r="470" ht="14.1" customHeight="1"/>
    <row r="471" ht="14.1" customHeight="1"/>
    <row r="472" ht="14.1" customHeight="1"/>
    <row r="473" ht="14.1" customHeight="1"/>
    <row r="474" ht="14.1" customHeight="1"/>
    <row r="475" ht="14.1" customHeight="1"/>
    <row r="476" ht="14.1" customHeight="1"/>
    <row r="477" ht="14.1" customHeight="1"/>
    <row r="478" ht="14.1" customHeight="1"/>
    <row r="479" ht="14.1" customHeight="1"/>
    <row r="480" ht="14.1" customHeight="1"/>
    <row r="481" ht="14.1" customHeight="1"/>
    <row r="482" ht="14.1" customHeight="1"/>
    <row r="483" ht="14.1" customHeight="1"/>
    <row r="484" ht="14.1" customHeight="1"/>
    <row r="485" ht="14.1" customHeight="1"/>
    <row r="486" ht="14.1" customHeight="1"/>
    <row r="487" ht="14.1" customHeight="1"/>
    <row r="488" ht="14.1" customHeight="1"/>
    <row r="489" ht="14.1" customHeight="1"/>
    <row r="490" ht="14.1" customHeight="1"/>
    <row r="491" ht="14.1" customHeight="1"/>
    <row r="492" ht="14.1" customHeight="1"/>
    <row r="493" ht="14.1" customHeight="1"/>
    <row r="494" ht="14.1" customHeight="1"/>
    <row r="495" ht="14.1" customHeight="1"/>
    <row r="496" ht="14.1" customHeight="1"/>
    <row r="497" ht="14.1" customHeight="1"/>
    <row r="498" ht="14.1" customHeight="1"/>
    <row r="499" ht="14.1" customHeight="1"/>
    <row r="500" ht="14.1" customHeight="1"/>
    <row r="501" ht="14.1" customHeight="1"/>
    <row r="502" ht="14.1" customHeight="1"/>
    <row r="503" ht="14.1" customHeight="1"/>
    <row r="504" ht="14.1" customHeight="1"/>
    <row r="505" ht="14.1" customHeight="1"/>
    <row r="506" ht="14.1" customHeight="1"/>
    <row r="507" ht="14.1" customHeight="1"/>
    <row r="508" ht="14.1" customHeight="1"/>
    <row r="509" ht="14.1" customHeight="1"/>
    <row r="510" ht="14.1" customHeight="1"/>
    <row r="511" ht="14.1" customHeight="1"/>
    <row r="512" ht="14.1" customHeight="1"/>
    <row r="513" ht="14.1" customHeight="1"/>
    <row r="514" ht="14.1" customHeight="1"/>
    <row r="515" ht="14.1" customHeight="1"/>
    <row r="516" ht="14.1" customHeight="1"/>
    <row r="517" ht="14.1" customHeight="1"/>
    <row r="518" ht="14.1" customHeight="1"/>
    <row r="519" ht="14.1" customHeight="1"/>
    <row r="520" ht="14.1" customHeight="1"/>
    <row r="521" ht="14.1" customHeight="1"/>
    <row r="522" ht="14.1" customHeight="1"/>
    <row r="523" ht="14.1" customHeight="1"/>
    <row r="524" ht="14.1" customHeight="1"/>
    <row r="525" ht="14.1" customHeight="1"/>
    <row r="526" ht="14.1" customHeight="1"/>
    <row r="527" ht="14.1" customHeight="1"/>
    <row r="528" ht="14.1" customHeight="1"/>
    <row r="529" ht="14.1" customHeight="1"/>
    <row r="530" ht="14.1" customHeight="1"/>
    <row r="531" ht="14.1" customHeight="1"/>
    <row r="532" ht="14.1" customHeight="1"/>
    <row r="533" ht="14.1" customHeight="1"/>
    <row r="534" ht="14.1" customHeight="1"/>
    <row r="535" ht="14.1" customHeight="1"/>
    <row r="536" ht="14.1" customHeight="1"/>
    <row r="537" ht="14.1" customHeight="1"/>
    <row r="538" ht="14.1" customHeight="1"/>
    <row r="539" ht="14.1" customHeight="1"/>
    <row r="540" ht="14.1" customHeight="1"/>
    <row r="541" ht="14.1" customHeight="1"/>
    <row r="542" ht="14.1" customHeight="1"/>
    <row r="543" ht="14.1" customHeight="1"/>
    <row r="544" ht="14.1" customHeight="1"/>
    <row r="545" ht="14.1" customHeight="1"/>
    <row r="546" ht="14.1" customHeight="1"/>
    <row r="547" ht="14.1" customHeight="1"/>
    <row r="548" ht="14.1" customHeight="1"/>
    <row r="549" ht="14.1" customHeight="1"/>
    <row r="550" ht="14.1" customHeight="1"/>
    <row r="551" ht="14.1" customHeight="1"/>
    <row r="552" ht="14.1" customHeight="1"/>
    <row r="553" ht="14.1" customHeight="1"/>
    <row r="554" ht="14.1" customHeight="1"/>
    <row r="555" ht="14.1" customHeight="1"/>
    <row r="556" ht="14.1" customHeight="1"/>
    <row r="557" ht="14.1" customHeight="1"/>
    <row r="558" ht="14.1" customHeight="1"/>
    <row r="559" ht="14.1" customHeight="1"/>
    <row r="560" ht="14.1" customHeight="1"/>
    <row r="561" ht="14.1" customHeight="1"/>
    <row r="562" ht="14.1" customHeight="1"/>
    <row r="563" ht="14.1" customHeight="1"/>
    <row r="564" ht="14.1" customHeight="1"/>
    <row r="565" ht="14.1" customHeight="1"/>
    <row r="566" ht="14.1" customHeight="1"/>
    <row r="567" ht="14.1" customHeight="1"/>
    <row r="568" ht="14.1" customHeight="1"/>
    <row r="569" ht="14.1" customHeight="1"/>
    <row r="570" ht="14.1" customHeight="1"/>
    <row r="571" ht="14.1" customHeight="1"/>
    <row r="572" ht="14.1" customHeight="1"/>
    <row r="573" ht="14.1" customHeight="1"/>
    <row r="574" ht="14.1" customHeight="1"/>
    <row r="575" ht="14.1" customHeight="1"/>
    <row r="576" ht="14.1" customHeight="1"/>
    <row r="577" ht="14.1" customHeight="1"/>
    <row r="578" ht="14.1" customHeight="1"/>
    <row r="579" ht="14.1" customHeight="1"/>
    <row r="580" ht="14.1" customHeight="1"/>
    <row r="581" ht="14.1" customHeight="1"/>
    <row r="582" ht="14.1" customHeight="1"/>
    <row r="583" ht="14.1" customHeight="1"/>
    <row r="584" ht="14.1" customHeight="1"/>
    <row r="585" ht="14.1" customHeight="1"/>
    <row r="586" ht="14.1" customHeight="1"/>
    <row r="587" ht="14.1" customHeight="1"/>
    <row r="588" ht="14.1" customHeight="1"/>
    <row r="589" ht="14.1" customHeight="1"/>
    <row r="590" ht="14.1" customHeight="1"/>
    <row r="591" ht="14.1" customHeight="1"/>
    <row r="592" ht="14.1" customHeight="1"/>
    <row r="593" ht="14.1" customHeight="1"/>
    <row r="594" ht="14.1" customHeight="1"/>
    <row r="595" ht="14.1" customHeight="1"/>
    <row r="596" ht="14.1" customHeight="1"/>
    <row r="597" ht="14.1" customHeight="1"/>
    <row r="598" ht="14.1" customHeight="1"/>
    <row r="599" ht="14.1" customHeight="1"/>
    <row r="600" ht="14.1" customHeight="1"/>
    <row r="601" ht="14.1" customHeight="1"/>
    <row r="602" ht="14.1" customHeight="1"/>
    <row r="603" ht="14.1" customHeight="1"/>
    <row r="604" ht="14.1" customHeight="1"/>
    <row r="605" ht="14.1" customHeight="1"/>
    <row r="606" ht="14.1" customHeight="1"/>
    <row r="607" ht="14.1" customHeight="1"/>
    <row r="608" ht="14.1" customHeight="1"/>
    <row r="609" ht="14.1" customHeight="1"/>
    <row r="610" ht="14.1" customHeight="1"/>
    <row r="611" ht="14.1" customHeight="1"/>
    <row r="612" ht="14.1" customHeight="1"/>
    <row r="613" ht="14.1" customHeight="1"/>
    <row r="614" ht="14.1" customHeight="1"/>
    <row r="615" ht="14.1" customHeight="1"/>
    <row r="616" ht="14.1" customHeight="1"/>
    <row r="617" ht="14.1" customHeight="1"/>
    <row r="618" ht="14.1" customHeight="1"/>
    <row r="619" ht="14.1" customHeight="1"/>
    <row r="620" ht="14.1" customHeight="1"/>
    <row r="621" ht="14.1" customHeight="1"/>
    <row r="622" ht="14.1" customHeight="1"/>
    <row r="623" ht="14.1" customHeight="1"/>
    <row r="624" ht="14.1" customHeight="1"/>
    <row r="625" ht="14.1" customHeight="1"/>
    <row r="626" ht="14.1" customHeight="1"/>
    <row r="627" ht="14.1" customHeight="1"/>
    <row r="628" ht="14.1" customHeight="1"/>
    <row r="629" ht="14.1" customHeight="1"/>
    <row r="630" ht="14.1" customHeight="1"/>
    <row r="631" ht="14.1" customHeight="1"/>
    <row r="632" ht="14.1" customHeight="1"/>
    <row r="633" ht="14.1" customHeight="1"/>
    <row r="634" ht="14.1" customHeight="1"/>
    <row r="635" ht="14.1" customHeight="1"/>
    <row r="636" ht="14.1" customHeight="1"/>
    <row r="637" ht="14.1" customHeight="1"/>
    <row r="638" ht="14.1" customHeight="1"/>
    <row r="639" ht="14.1" customHeight="1"/>
    <row r="640" ht="14.1" customHeight="1"/>
    <row r="641" ht="14.1" customHeight="1"/>
    <row r="642" ht="14.1" customHeight="1"/>
    <row r="643" ht="14.1" customHeight="1"/>
    <row r="644" ht="14.1" customHeight="1"/>
    <row r="645" ht="14.1" customHeight="1"/>
    <row r="646" ht="14.1" customHeight="1"/>
    <row r="647" ht="14.1" customHeight="1"/>
    <row r="648" ht="14.1" customHeight="1"/>
    <row r="649" ht="14.1" customHeight="1"/>
    <row r="650" ht="14.1" customHeight="1"/>
    <row r="651" ht="14.1" customHeight="1"/>
    <row r="652" ht="14.1" customHeight="1"/>
    <row r="653" ht="14.1" customHeight="1"/>
    <row r="654" ht="14.1" customHeight="1"/>
    <row r="655" ht="14.1" customHeight="1"/>
    <row r="656" ht="14.1" customHeight="1"/>
    <row r="657" ht="14.1" customHeight="1"/>
    <row r="658" ht="14.1" customHeight="1"/>
    <row r="659" ht="14.1" customHeight="1"/>
    <row r="660" ht="14.1" customHeight="1"/>
    <row r="661" ht="14.1" customHeight="1"/>
    <row r="662" ht="14.1" customHeight="1"/>
    <row r="663" ht="14.1" customHeight="1"/>
    <row r="664" ht="14.1" customHeight="1"/>
    <row r="665" ht="14.1" customHeight="1"/>
    <row r="666" ht="14.1" customHeight="1"/>
    <row r="667" ht="14.1" customHeight="1"/>
    <row r="668" ht="14.1" customHeight="1"/>
    <row r="669" ht="14.1" customHeight="1"/>
    <row r="670" ht="14.1" customHeight="1"/>
    <row r="671" ht="14.1" customHeight="1"/>
    <row r="672" ht="14.1" customHeight="1"/>
    <row r="673" ht="14.1" customHeight="1"/>
    <row r="674" ht="14.1" customHeight="1"/>
    <row r="675" ht="14.1" customHeight="1"/>
    <row r="676" ht="14.1" customHeight="1"/>
    <row r="677" ht="14.1" customHeight="1"/>
    <row r="678" ht="14.1" customHeight="1"/>
    <row r="679" ht="14.1" customHeight="1"/>
    <row r="680" ht="14.1" customHeight="1"/>
    <row r="681" ht="14.1" customHeight="1"/>
    <row r="682" ht="14.1" customHeight="1"/>
    <row r="683" ht="14.1" customHeight="1"/>
    <row r="684" ht="14.1" customHeight="1"/>
    <row r="685" ht="14.1" customHeight="1"/>
    <row r="686" ht="14.1" customHeight="1"/>
    <row r="687" ht="14.1" customHeight="1"/>
    <row r="688" ht="14.1" customHeight="1"/>
    <row r="689" ht="14.1" customHeight="1"/>
    <row r="690" ht="14.1" customHeight="1"/>
    <row r="691" ht="14.1" customHeight="1"/>
    <row r="692" ht="14.1" customHeight="1"/>
    <row r="693" ht="14.1" customHeight="1"/>
    <row r="694" ht="14.1" customHeight="1"/>
    <row r="695" ht="14.1" customHeight="1"/>
    <row r="696" ht="14.1" customHeight="1"/>
    <row r="697" ht="14.1" customHeight="1"/>
    <row r="698" ht="14.1" customHeight="1"/>
    <row r="699" ht="14.1" customHeight="1"/>
    <row r="700" ht="14.1" customHeight="1"/>
    <row r="701" ht="14.1" customHeight="1"/>
    <row r="702" ht="14.1" customHeight="1"/>
    <row r="703" ht="14.1" customHeight="1"/>
    <row r="704" ht="14.1" customHeight="1"/>
    <row r="705" ht="14.1" customHeight="1"/>
    <row r="706" ht="14.1" customHeight="1"/>
    <row r="707" ht="14.1" customHeight="1"/>
    <row r="708" ht="14.1" customHeight="1"/>
    <row r="709" ht="14.1" customHeight="1"/>
    <row r="710" ht="14.1" customHeight="1"/>
    <row r="711" ht="14.1" customHeight="1"/>
    <row r="712" ht="14.1" customHeight="1"/>
    <row r="713" ht="14.1" customHeight="1"/>
    <row r="714" ht="14.1" customHeight="1"/>
    <row r="715" ht="14.1" customHeight="1"/>
    <row r="716" ht="14.1" customHeight="1"/>
    <row r="717" ht="14.1" customHeight="1"/>
    <row r="718" ht="14.1" customHeight="1"/>
    <row r="719" ht="14.1" customHeight="1"/>
    <row r="720" ht="14.1" customHeight="1"/>
    <row r="721" ht="14.1" customHeight="1"/>
    <row r="722" ht="14.1" customHeight="1"/>
    <row r="723" ht="14.1" customHeight="1"/>
    <row r="724" ht="14.1" customHeight="1"/>
    <row r="725" ht="14.1" customHeight="1"/>
    <row r="726" ht="14.1" customHeight="1"/>
    <row r="727" ht="14.1" customHeight="1"/>
    <row r="728" ht="14.1" customHeight="1"/>
    <row r="729" ht="14.1" customHeight="1"/>
    <row r="730" ht="14.1" customHeight="1"/>
    <row r="731" ht="14.1" customHeight="1"/>
    <row r="732" ht="14.1" customHeight="1"/>
    <row r="733" ht="14.1" customHeight="1"/>
    <row r="734" ht="14.1" customHeight="1"/>
    <row r="735" ht="14.1" customHeight="1"/>
    <row r="736" ht="14.1" customHeight="1"/>
    <row r="737" ht="14.1" customHeight="1"/>
    <row r="738" ht="14.1" customHeight="1"/>
    <row r="739" ht="14.1" customHeight="1"/>
    <row r="740" ht="14.1" customHeight="1"/>
    <row r="741" ht="14.1" customHeight="1"/>
    <row r="742" ht="14.1" customHeight="1"/>
    <row r="743" ht="14.1" customHeight="1"/>
    <row r="744" ht="14.1" customHeight="1"/>
    <row r="745" ht="14.1" customHeight="1"/>
    <row r="746" ht="14.1" customHeight="1"/>
    <row r="747" ht="14.1" customHeight="1"/>
    <row r="748" ht="14.1" customHeight="1"/>
    <row r="749" ht="14.1" customHeight="1"/>
    <row r="750" ht="14.1" customHeight="1"/>
    <row r="751" ht="14.1" customHeight="1"/>
    <row r="752" ht="14.1" customHeight="1"/>
    <row r="753" ht="14.1" customHeight="1"/>
    <row r="754" ht="14.1" customHeight="1"/>
    <row r="755" ht="14.1" customHeight="1"/>
    <row r="756" ht="14.1" customHeight="1"/>
    <row r="757" ht="14.1" customHeight="1"/>
    <row r="758" ht="14.1" customHeight="1"/>
    <row r="759" ht="14.1" customHeight="1"/>
    <row r="760" ht="14.1" customHeight="1"/>
    <row r="761" ht="14.1" customHeight="1"/>
    <row r="762" ht="14.1" customHeight="1"/>
    <row r="763" ht="14.1" customHeight="1"/>
    <row r="764" ht="14.1" customHeight="1"/>
    <row r="765" ht="14.1" customHeight="1"/>
    <row r="766" ht="14.1" customHeight="1"/>
    <row r="767" ht="14.1" customHeight="1"/>
    <row r="768" ht="14.1" customHeight="1"/>
    <row r="769" ht="14.1" customHeight="1"/>
    <row r="770" ht="14.1" customHeight="1"/>
    <row r="771" ht="14.1" customHeight="1"/>
    <row r="772" ht="14.1" customHeight="1"/>
    <row r="773" ht="14.1" customHeight="1"/>
    <row r="774" ht="14.1" customHeight="1"/>
    <row r="775" ht="14.1" customHeight="1"/>
    <row r="776" ht="14.1" customHeight="1"/>
    <row r="777" ht="14.1" customHeight="1"/>
    <row r="778" ht="14.1" customHeight="1"/>
    <row r="779" ht="14.1" customHeight="1"/>
    <row r="780" ht="14.1" customHeight="1"/>
    <row r="781" ht="14.1" customHeight="1"/>
    <row r="782" ht="14.1" customHeight="1"/>
    <row r="783" ht="14.1" customHeight="1"/>
    <row r="784" ht="14.1" customHeight="1"/>
    <row r="785" ht="14.1" customHeight="1"/>
    <row r="786" ht="14.1" customHeight="1"/>
    <row r="787" ht="14.1" customHeight="1"/>
    <row r="788" ht="14.1" customHeight="1"/>
    <row r="789" ht="14.1" customHeight="1"/>
    <row r="790" ht="14.1" customHeight="1"/>
    <row r="791" ht="14.1" customHeight="1"/>
    <row r="792" ht="14.1" customHeight="1"/>
    <row r="793" ht="14.1" customHeight="1"/>
  </sheetData>
  <autoFilter ref="A4:U107" xr:uid="{00000000-0009-0000-0000-000009000000}"/>
  <pageMargins left="0.61" right="0.16" top="0.87" bottom="0.21" header="0.16" footer="0.16"/>
  <pageSetup paperSize="8" scale="47" orientation="portrait"/>
  <headerFooter alignWithMargins="0">
    <oddFooter>&amp;L&amp;"Arial"&amp;7 &amp;KDAD4CE_x000D_# Internal_x000D_&amp;1#&amp;"Arial"&amp;7&amp;KDAD4CE Public</oddFooter>
  </headerFooter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>
    <tabColor rgb="FF92D050"/>
  </sheetPr>
  <dimension ref="A1:U793"/>
  <sheetViews>
    <sheetView zoomScale="80" zoomScaleNormal="80" workbookViewId="0">
      <pane ySplit="4" topLeftCell="A5" activePane="bottomLeft" state="frozen"/>
      <selection activeCell="A16" sqref="A16"/>
      <selection pane="bottomLeft" activeCell="A16" sqref="A16"/>
    </sheetView>
  </sheetViews>
  <sheetFormatPr defaultColWidth="8.85546875" defaultRowHeight="12.75"/>
  <cols>
    <col min="1" max="1" width="4.28515625" style="3" customWidth="1"/>
    <col min="2" max="3" width="8.7109375" style="20" customWidth="1"/>
    <col min="4" max="4" width="14.7109375" style="3" customWidth="1"/>
    <col min="5" max="5" width="20.7109375" style="20" customWidth="1"/>
    <col min="6" max="6" width="8.7109375" style="3" customWidth="1"/>
    <col min="7" max="7" width="32.7109375" style="2" customWidth="1"/>
    <col min="8" max="8" width="18.7109375" style="3" customWidth="1"/>
    <col min="9" max="9" width="62.7109375" style="2" customWidth="1"/>
    <col min="10" max="12" width="9.7109375" style="3" customWidth="1"/>
    <col min="13" max="13" width="10.7109375" style="3" customWidth="1"/>
    <col min="14" max="14" width="8.7109375" style="3" customWidth="1"/>
    <col min="15" max="15" width="10.7109375" style="3" customWidth="1"/>
    <col min="16" max="16" width="5.7109375" style="3" customWidth="1"/>
    <col min="17" max="17" width="1.7109375" style="2" customWidth="1"/>
    <col min="18" max="18" width="10.7109375" style="30" customWidth="1"/>
    <col min="19" max="19" width="1.7109375" style="2" customWidth="1"/>
    <col min="20" max="21" width="10.7109375" style="2" customWidth="1"/>
    <col min="22" max="216" width="8.85546875" style="2" customWidth="1"/>
    <col min="217" max="217" width="8.140625" style="2" customWidth="1"/>
    <col min="218" max="218" width="14.5703125" style="2" customWidth="1"/>
    <col min="219" max="219" width="37.42578125" style="2" customWidth="1"/>
    <col min="220" max="220" width="63.140625" style="2" customWidth="1"/>
    <col min="221" max="221" width="20" style="2" customWidth="1"/>
    <col min="222" max="222" width="11.140625" style="2" customWidth="1"/>
    <col min="223" max="223" width="10.85546875" style="2" customWidth="1"/>
    <col min="224" max="224" width="21" style="2" customWidth="1"/>
    <col min="225" max="225" width="10.85546875" style="2" customWidth="1"/>
    <col min="226" max="226" width="17.42578125" style="2" customWidth="1"/>
    <col min="227" max="227" width="14.85546875" style="2" customWidth="1"/>
    <col min="228" max="228" width="15" style="2" customWidth="1"/>
    <col min="229" max="229" width="14.85546875" style="2" customWidth="1"/>
    <col min="230" max="230" width="7.140625" style="2" customWidth="1"/>
    <col min="231" max="232" width="20.140625" style="2" customWidth="1"/>
    <col min="233" max="233" width="18.42578125" style="2" customWidth="1"/>
    <col min="234" max="234" width="9.140625" style="2" customWidth="1"/>
    <col min="235" max="235" width="12" style="2" customWidth="1"/>
    <col min="236" max="236" width="14.85546875" style="2" customWidth="1"/>
    <col min="237" max="237" width="22.42578125" style="2" customWidth="1"/>
    <col min="238" max="238" width="14.85546875" style="2" customWidth="1"/>
    <col min="239" max="239" width="7.140625" style="2" customWidth="1"/>
    <col min="240" max="240" width="20.140625" style="2" customWidth="1"/>
    <col min="241" max="472" width="8.85546875" style="2" customWidth="1"/>
    <col min="473" max="473" width="8.140625" style="2" customWidth="1"/>
    <col min="474" max="474" width="14.5703125" style="2" customWidth="1"/>
    <col min="475" max="475" width="37.42578125" style="2" customWidth="1"/>
    <col min="476" max="476" width="63.140625" style="2" customWidth="1"/>
    <col min="477" max="477" width="20" style="2" customWidth="1"/>
    <col min="478" max="478" width="11.140625" style="2" customWidth="1"/>
    <col min="479" max="479" width="10.85546875" style="2" customWidth="1"/>
    <col min="480" max="480" width="21" style="2" customWidth="1"/>
    <col min="481" max="481" width="10.85546875" style="2" customWidth="1"/>
    <col min="482" max="482" width="17.42578125" style="2" customWidth="1"/>
    <col min="483" max="483" width="14.85546875" style="2" customWidth="1"/>
    <col min="484" max="484" width="15" style="2" customWidth="1"/>
    <col min="485" max="485" width="14.85546875" style="2" customWidth="1"/>
    <col min="486" max="486" width="7.140625" style="2" customWidth="1"/>
    <col min="487" max="488" width="20.140625" style="2" customWidth="1"/>
    <col min="489" max="489" width="18.42578125" style="2" customWidth="1"/>
    <col min="490" max="490" width="9.140625" style="2" customWidth="1"/>
    <col min="491" max="491" width="12" style="2" customWidth="1"/>
    <col min="492" max="492" width="14.85546875" style="2" customWidth="1"/>
    <col min="493" max="493" width="22.42578125" style="2" customWidth="1"/>
    <col min="494" max="494" width="14.85546875" style="2" customWidth="1"/>
    <col min="495" max="495" width="7.140625" style="2" customWidth="1"/>
    <col min="496" max="496" width="20.140625" style="2" customWidth="1"/>
    <col min="497" max="728" width="8.85546875" style="2" customWidth="1"/>
    <col min="729" max="729" width="8.140625" style="2" customWidth="1"/>
    <col min="730" max="730" width="14.5703125" style="2" customWidth="1"/>
    <col min="731" max="731" width="37.42578125" style="2" customWidth="1"/>
    <col min="732" max="732" width="63.140625" style="2" customWidth="1"/>
    <col min="733" max="733" width="20" style="2" customWidth="1"/>
    <col min="734" max="734" width="11.140625" style="2" customWidth="1"/>
    <col min="735" max="735" width="10.85546875" style="2" customWidth="1"/>
    <col min="736" max="736" width="21" style="2" customWidth="1"/>
    <col min="737" max="737" width="10.85546875" style="2" customWidth="1"/>
    <col min="738" max="738" width="17.42578125" style="2" customWidth="1"/>
    <col min="739" max="739" width="14.85546875" style="2" customWidth="1"/>
    <col min="740" max="740" width="15" style="2" customWidth="1"/>
    <col min="741" max="741" width="14.85546875" style="2" customWidth="1"/>
    <col min="742" max="742" width="7.140625" style="2" customWidth="1"/>
    <col min="743" max="744" width="20.140625" style="2" customWidth="1"/>
    <col min="745" max="745" width="18.42578125" style="2" customWidth="1"/>
    <col min="746" max="746" width="9.140625" style="2" customWidth="1"/>
    <col min="747" max="747" width="12" style="2" customWidth="1"/>
    <col min="748" max="748" width="14.85546875" style="2" customWidth="1"/>
    <col min="749" max="749" width="22.42578125" style="2" customWidth="1"/>
    <col min="750" max="750" width="14.85546875" style="2" customWidth="1"/>
    <col min="751" max="751" width="7.140625" style="2" customWidth="1"/>
    <col min="752" max="752" width="20.140625" style="2" customWidth="1"/>
    <col min="753" max="984" width="8.85546875" style="2" customWidth="1"/>
    <col min="985" max="985" width="8.140625" style="2" customWidth="1"/>
    <col min="986" max="986" width="14.5703125" style="2" customWidth="1"/>
    <col min="987" max="987" width="37.42578125" style="2" customWidth="1"/>
    <col min="988" max="988" width="63.140625" style="2" customWidth="1"/>
    <col min="989" max="989" width="20" style="2" customWidth="1"/>
    <col min="990" max="990" width="11.140625" style="2" customWidth="1"/>
    <col min="991" max="991" width="10.85546875" style="2" customWidth="1"/>
    <col min="992" max="992" width="21" style="2" customWidth="1"/>
    <col min="993" max="993" width="10.85546875" style="2" customWidth="1"/>
    <col min="994" max="994" width="17.42578125" style="2" customWidth="1"/>
    <col min="995" max="995" width="14.85546875" style="2" customWidth="1"/>
    <col min="996" max="996" width="15" style="2" customWidth="1"/>
    <col min="997" max="997" width="14.85546875" style="2" customWidth="1"/>
    <col min="998" max="998" width="7.140625" style="2" customWidth="1"/>
    <col min="999" max="1000" width="20.140625" style="2" customWidth="1"/>
    <col min="1001" max="1001" width="18.42578125" style="2" customWidth="1"/>
    <col min="1002" max="1002" width="9.140625" style="2" customWidth="1"/>
    <col min="1003" max="1003" width="12" style="2" customWidth="1"/>
    <col min="1004" max="1004" width="14.85546875" style="2" customWidth="1"/>
    <col min="1005" max="1005" width="22.42578125" style="2" customWidth="1"/>
    <col min="1006" max="1006" width="14.85546875" style="2" customWidth="1"/>
    <col min="1007" max="1007" width="7.140625" style="2" customWidth="1"/>
    <col min="1008" max="1008" width="20.140625" style="2" customWidth="1"/>
    <col min="1009" max="1240" width="8.85546875" style="2" customWidth="1"/>
    <col min="1241" max="1241" width="8.140625" style="2" customWidth="1"/>
    <col min="1242" max="1242" width="14.5703125" style="2" customWidth="1"/>
    <col min="1243" max="1243" width="37.42578125" style="2" customWidth="1"/>
    <col min="1244" max="1244" width="63.140625" style="2" customWidth="1"/>
    <col min="1245" max="1245" width="20" style="2" customWidth="1"/>
    <col min="1246" max="1246" width="11.140625" style="2" customWidth="1"/>
    <col min="1247" max="1247" width="10.85546875" style="2" customWidth="1"/>
    <col min="1248" max="1248" width="21" style="2" customWidth="1"/>
    <col min="1249" max="1249" width="10.85546875" style="2" customWidth="1"/>
    <col min="1250" max="1250" width="17.42578125" style="2" customWidth="1"/>
    <col min="1251" max="1251" width="14.85546875" style="2" customWidth="1"/>
    <col min="1252" max="1252" width="15" style="2" customWidth="1"/>
    <col min="1253" max="1253" width="14.85546875" style="2" customWidth="1"/>
    <col min="1254" max="1254" width="7.140625" style="2" customWidth="1"/>
    <col min="1255" max="1256" width="20.140625" style="2" customWidth="1"/>
    <col min="1257" max="1257" width="18.42578125" style="2" customWidth="1"/>
    <col min="1258" max="1258" width="9.140625" style="2" customWidth="1"/>
    <col min="1259" max="1259" width="12" style="2" customWidth="1"/>
    <col min="1260" max="1260" width="14.85546875" style="2" customWidth="1"/>
    <col min="1261" max="1261" width="22.42578125" style="2" customWidth="1"/>
    <col min="1262" max="1262" width="14.85546875" style="2" customWidth="1"/>
    <col min="1263" max="1263" width="7.140625" style="2" customWidth="1"/>
    <col min="1264" max="1264" width="20.140625" style="2" customWidth="1"/>
    <col min="1265" max="1496" width="8.85546875" style="2" customWidth="1"/>
    <col min="1497" max="1497" width="8.140625" style="2" customWidth="1"/>
    <col min="1498" max="1498" width="14.5703125" style="2" customWidth="1"/>
    <col min="1499" max="1499" width="37.42578125" style="2" customWidth="1"/>
    <col min="1500" max="1500" width="63.140625" style="2" customWidth="1"/>
    <col min="1501" max="1501" width="20" style="2" customWidth="1"/>
    <col min="1502" max="1502" width="11.140625" style="2" customWidth="1"/>
    <col min="1503" max="1503" width="10.85546875" style="2" customWidth="1"/>
    <col min="1504" max="1504" width="21" style="2" customWidth="1"/>
    <col min="1505" max="1505" width="10.85546875" style="2" customWidth="1"/>
    <col min="1506" max="1506" width="17.42578125" style="2" customWidth="1"/>
    <col min="1507" max="1507" width="14.85546875" style="2" customWidth="1"/>
    <col min="1508" max="1508" width="15" style="2" customWidth="1"/>
    <col min="1509" max="1509" width="14.85546875" style="2" customWidth="1"/>
    <col min="1510" max="1510" width="7.140625" style="2" customWidth="1"/>
    <col min="1511" max="1512" width="20.140625" style="2" customWidth="1"/>
    <col min="1513" max="1513" width="18.42578125" style="2" customWidth="1"/>
    <col min="1514" max="1514" width="9.140625" style="2" customWidth="1"/>
    <col min="1515" max="1515" width="12" style="2" customWidth="1"/>
    <col min="1516" max="1516" width="14.85546875" style="2" customWidth="1"/>
    <col min="1517" max="1517" width="22.42578125" style="2" customWidth="1"/>
    <col min="1518" max="1518" width="14.85546875" style="2" customWidth="1"/>
    <col min="1519" max="1519" width="7.140625" style="2" customWidth="1"/>
    <col min="1520" max="1520" width="20.140625" style="2" customWidth="1"/>
    <col min="1521" max="1752" width="8.85546875" style="2" customWidth="1"/>
    <col min="1753" max="1753" width="8.140625" style="2" customWidth="1"/>
    <col min="1754" max="1754" width="14.5703125" style="2" customWidth="1"/>
    <col min="1755" max="1755" width="37.42578125" style="2" customWidth="1"/>
    <col min="1756" max="1756" width="63.140625" style="2" customWidth="1"/>
    <col min="1757" max="1757" width="20" style="2" customWidth="1"/>
    <col min="1758" max="1758" width="11.140625" style="2" customWidth="1"/>
    <col min="1759" max="1759" width="10.85546875" style="2" customWidth="1"/>
    <col min="1760" max="1760" width="21" style="2" customWidth="1"/>
    <col min="1761" max="1761" width="10.85546875" style="2" customWidth="1"/>
    <col min="1762" max="1762" width="17.42578125" style="2" customWidth="1"/>
    <col min="1763" max="1763" width="14.85546875" style="2" customWidth="1"/>
    <col min="1764" max="1764" width="15" style="2" customWidth="1"/>
    <col min="1765" max="1765" width="14.85546875" style="2" customWidth="1"/>
    <col min="1766" max="1766" width="7.140625" style="2" customWidth="1"/>
    <col min="1767" max="1768" width="20.140625" style="2" customWidth="1"/>
    <col min="1769" max="1769" width="18.42578125" style="2" customWidth="1"/>
    <col min="1770" max="1770" width="9.140625" style="2" customWidth="1"/>
    <col min="1771" max="1771" width="12" style="2" customWidth="1"/>
    <col min="1772" max="1772" width="14.85546875" style="2" customWidth="1"/>
    <col min="1773" max="1773" width="22.42578125" style="2" customWidth="1"/>
    <col min="1774" max="1774" width="14.85546875" style="2" customWidth="1"/>
    <col min="1775" max="1775" width="7.140625" style="2" customWidth="1"/>
    <col min="1776" max="1776" width="20.140625" style="2" customWidth="1"/>
    <col min="1777" max="2008" width="8.85546875" style="2" customWidth="1"/>
    <col min="2009" max="2009" width="8.140625" style="2" customWidth="1"/>
    <col min="2010" max="2010" width="14.5703125" style="2" customWidth="1"/>
    <col min="2011" max="2011" width="37.42578125" style="2" customWidth="1"/>
    <col min="2012" max="2012" width="63.140625" style="2" customWidth="1"/>
    <col min="2013" max="2013" width="20" style="2" customWidth="1"/>
    <col min="2014" max="2014" width="11.140625" style="2" customWidth="1"/>
    <col min="2015" max="2015" width="10.85546875" style="2" customWidth="1"/>
    <col min="2016" max="2016" width="21" style="2" customWidth="1"/>
    <col min="2017" max="2017" width="10.85546875" style="2" customWidth="1"/>
    <col min="2018" max="2018" width="17.42578125" style="2" customWidth="1"/>
    <col min="2019" max="2019" width="14.85546875" style="2" customWidth="1"/>
    <col min="2020" max="2020" width="15" style="2" customWidth="1"/>
    <col min="2021" max="2021" width="14.85546875" style="2" customWidth="1"/>
    <col min="2022" max="2022" width="7.140625" style="2" customWidth="1"/>
    <col min="2023" max="2024" width="20.140625" style="2" customWidth="1"/>
    <col min="2025" max="2025" width="18.42578125" style="2" customWidth="1"/>
    <col min="2026" max="2026" width="9.140625" style="2" customWidth="1"/>
    <col min="2027" max="2027" width="12" style="2" customWidth="1"/>
    <col min="2028" max="2028" width="14.85546875" style="2" customWidth="1"/>
    <col min="2029" max="2029" width="22.42578125" style="2" customWidth="1"/>
    <col min="2030" max="2030" width="14.85546875" style="2" customWidth="1"/>
    <col min="2031" max="2031" width="7.140625" style="2" customWidth="1"/>
    <col min="2032" max="2032" width="20.140625" style="2" customWidth="1"/>
    <col min="2033" max="2264" width="8.85546875" style="2" customWidth="1"/>
    <col min="2265" max="2265" width="8.140625" style="2" customWidth="1"/>
    <col min="2266" max="2266" width="14.5703125" style="2" customWidth="1"/>
    <col min="2267" max="2267" width="37.42578125" style="2" customWidth="1"/>
    <col min="2268" max="2268" width="63.140625" style="2" customWidth="1"/>
    <col min="2269" max="2269" width="20" style="2" customWidth="1"/>
    <col min="2270" max="2270" width="11.140625" style="2" customWidth="1"/>
    <col min="2271" max="2271" width="10.85546875" style="2" customWidth="1"/>
    <col min="2272" max="2272" width="21" style="2" customWidth="1"/>
    <col min="2273" max="2273" width="10.85546875" style="2" customWidth="1"/>
    <col min="2274" max="2274" width="17.42578125" style="2" customWidth="1"/>
    <col min="2275" max="2275" width="14.85546875" style="2" customWidth="1"/>
    <col min="2276" max="2276" width="15" style="2" customWidth="1"/>
    <col min="2277" max="2277" width="14.85546875" style="2" customWidth="1"/>
    <col min="2278" max="2278" width="7.140625" style="2" customWidth="1"/>
    <col min="2279" max="2280" width="20.140625" style="2" customWidth="1"/>
    <col min="2281" max="2281" width="18.42578125" style="2" customWidth="1"/>
    <col min="2282" max="2282" width="9.140625" style="2" customWidth="1"/>
    <col min="2283" max="2283" width="12" style="2" customWidth="1"/>
    <col min="2284" max="2284" width="14.85546875" style="2" customWidth="1"/>
    <col min="2285" max="2285" width="22.42578125" style="2" customWidth="1"/>
    <col min="2286" max="2286" width="14.85546875" style="2" customWidth="1"/>
    <col min="2287" max="2287" width="7.140625" style="2" customWidth="1"/>
    <col min="2288" max="2288" width="20.140625" style="2" customWidth="1"/>
    <col min="2289" max="2520" width="8.85546875" style="2" customWidth="1"/>
    <col min="2521" max="2521" width="8.140625" style="2" customWidth="1"/>
    <col min="2522" max="2522" width="14.5703125" style="2" customWidth="1"/>
    <col min="2523" max="2523" width="37.42578125" style="2" customWidth="1"/>
    <col min="2524" max="2524" width="63.140625" style="2" customWidth="1"/>
    <col min="2525" max="2525" width="20" style="2" customWidth="1"/>
    <col min="2526" max="2526" width="11.140625" style="2" customWidth="1"/>
    <col min="2527" max="2527" width="10.85546875" style="2" customWidth="1"/>
    <col min="2528" max="2528" width="21" style="2" customWidth="1"/>
    <col min="2529" max="2529" width="10.85546875" style="2" customWidth="1"/>
    <col min="2530" max="2530" width="17.42578125" style="2" customWidth="1"/>
    <col min="2531" max="2531" width="14.85546875" style="2" customWidth="1"/>
    <col min="2532" max="2532" width="15" style="2" customWidth="1"/>
    <col min="2533" max="2533" width="14.85546875" style="2" customWidth="1"/>
    <col min="2534" max="2534" width="7.140625" style="2" customWidth="1"/>
    <col min="2535" max="2536" width="20.140625" style="2" customWidth="1"/>
    <col min="2537" max="2537" width="18.42578125" style="2" customWidth="1"/>
    <col min="2538" max="2538" width="9.140625" style="2" customWidth="1"/>
    <col min="2539" max="2539" width="12" style="2" customWidth="1"/>
    <col min="2540" max="2540" width="14.85546875" style="2" customWidth="1"/>
    <col min="2541" max="2541" width="22.42578125" style="2" customWidth="1"/>
    <col min="2542" max="2542" width="14.85546875" style="2" customWidth="1"/>
    <col min="2543" max="2543" width="7.140625" style="2" customWidth="1"/>
    <col min="2544" max="2544" width="20.140625" style="2" customWidth="1"/>
    <col min="2545" max="2776" width="8.85546875" style="2" customWidth="1"/>
    <col min="2777" max="2777" width="8.140625" style="2" customWidth="1"/>
    <col min="2778" max="2778" width="14.5703125" style="2" customWidth="1"/>
    <col min="2779" max="2779" width="37.42578125" style="2" customWidth="1"/>
    <col min="2780" max="2780" width="63.140625" style="2" customWidth="1"/>
    <col min="2781" max="2781" width="20" style="2" customWidth="1"/>
    <col min="2782" max="2782" width="11.140625" style="2" customWidth="1"/>
    <col min="2783" max="2783" width="10.85546875" style="2" customWidth="1"/>
    <col min="2784" max="2784" width="21" style="2" customWidth="1"/>
    <col min="2785" max="2785" width="10.85546875" style="2" customWidth="1"/>
    <col min="2786" max="2786" width="17.42578125" style="2" customWidth="1"/>
    <col min="2787" max="2787" width="14.85546875" style="2" customWidth="1"/>
    <col min="2788" max="2788" width="15" style="2" customWidth="1"/>
    <col min="2789" max="2789" width="14.85546875" style="2" customWidth="1"/>
    <col min="2790" max="2790" width="7.140625" style="2" customWidth="1"/>
    <col min="2791" max="2792" width="20.140625" style="2" customWidth="1"/>
    <col min="2793" max="2793" width="18.42578125" style="2" customWidth="1"/>
    <col min="2794" max="2794" width="9.140625" style="2" customWidth="1"/>
    <col min="2795" max="2795" width="12" style="2" customWidth="1"/>
    <col min="2796" max="2796" width="14.85546875" style="2" customWidth="1"/>
    <col min="2797" max="2797" width="22.42578125" style="2" customWidth="1"/>
    <col min="2798" max="2798" width="14.85546875" style="2" customWidth="1"/>
    <col min="2799" max="2799" width="7.140625" style="2" customWidth="1"/>
    <col min="2800" max="2800" width="20.140625" style="2" customWidth="1"/>
    <col min="2801" max="3032" width="8.85546875" style="2" customWidth="1"/>
    <col min="3033" max="3033" width="8.140625" style="2" customWidth="1"/>
    <col min="3034" max="3034" width="14.5703125" style="2" customWidth="1"/>
    <col min="3035" max="3035" width="37.42578125" style="2" customWidth="1"/>
    <col min="3036" max="3036" width="63.140625" style="2" customWidth="1"/>
    <col min="3037" max="3037" width="20" style="2" customWidth="1"/>
    <col min="3038" max="3038" width="11.140625" style="2" customWidth="1"/>
    <col min="3039" max="3039" width="10.85546875" style="2" customWidth="1"/>
    <col min="3040" max="3040" width="21" style="2" customWidth="1"/>
    <col min="3041" max="3041" width="10.85546875" style="2" customWidth="1"/>
    <col min="3042" max="3042" width="17.42578125" style="2" customWidth="1"/>
    <col min="3043" max="3043" width="14.85546875" style="2" customWidth="1"/>
    <col min="3044" max="3044" width="15" style="2" customWidth="1"/>
    <col min="3045" max="3045" width="14.85546875" style="2" customWidth="1"/>
    <col min="3046" max="3046" width="7.140625" style="2" customWidth="1"/>
    <col min="3047" max="3048" width="20.140625" style="2" customWidth="1"/>
    <col min="3049" max="3049" width="18.42578125" style="2" customWidth="1"/>
    <col min="3050" max="3050" width="9.140625" style="2" customWidth="1"/>
    <col min="3051" max="3051" width="12" style="2" customWidth="1"/>
    <col min="3052" max="3052" width="14.85546875" style="2" customWidth="1"/>
    <col min="3053" max="3053" width="22.42578125" style="2" customWidth="1"/>
    <col min="3054" max="3054" width="14.85546875" style="2" customWidth="1"/>
    <col min="3055" max="3055" width="7.140625" style="2" customWidth="1"/>
    <col min="3056" max="3056" width="20.140625" style="2" customWidth="1"/>
    <col min="3057" max="3288" width="8.85546875" style="2" customWidth="1"/>
    <col min="3289" max="3289" width="8.140625" style="2" customWidth="1"/>
    <col min="3290" max="3290" width="14.5703125" style="2" customWidth="1"/>
    <col min="3291" max="3291" width="37.42578125" style="2" customWidth="1"/>
    <col min="3292" max="3292" width="63.140625" style="2" customWidth="1"/>
    <col min="3293" max="3293" width="20" style="2" customWidth="1"/>
    <col min="3294" max="3294" width="11.140625" style="2" customWidth="1"/>
    <col min="3295" max="3295" width="10.85546875" style="2" customWidth="1"/>
    <col min="3296" max="3296" width="21" style="2" customWidth="1"/>
    <col min="3297" max="3297" width="10.85546875" style="2" customWidth="1"/>
    <col min="3298" max="3298" width="17.42578125" style="2" customWidth="1"/>
    <col min="3299" max="3299" width="14.85546875" style="2" customWidth="1"/>
    <col min="3300" max="3300" width="15" style="2" customWidth="1"/>
    <col min="3301" max="3301" width="14.85546875" style="2" customWidth="1"/>
    <col min="3302" max="3302" width="7.140625" style="2" customWidth="1"/>
    <col min="3303" max="3304" width="20.140625" style="2" customWidth="1"/>
    <col min="3305" max="3305" width="18.42578125" style="2" customWidth="1"/>
    <col min="3306" max="3306" width="9.140625" style="2" customWidth="1"/>
    <col min="3307" max="3307" width="12" style="2" customWidth="1"/>
    <col min="3308" max="3308" width="14.85546875" style="2" customWidth="1"/>
    <col min="3309" max="3309" width="22.42578125" style="2" customWidth="1"/>
    <col min="3310" max="3310" width="14.85546875" style="2" customWidth="1"/>
    <col min="3311" max="3311" width="7.140625" style="2" customWidth="1"/>
    <col min="3312" max="3312" width="20.140625" style="2" customWidth="1"/>
    <col min="3313" max="3544" width="8.85546875" style="2" customWidth="1"/>
    <col min="3545" max="3545" width="8.140625" style="2" customWidth="1"/>
    <col min="3546" max="3546" width="14.5703125" style="2" customWidth="1"/>
    <col min="3547" max="3547" width="37.42578125" style="2" customWidth="1"/>
    <col min="3548" max="3548" width="63.140625" style="2" customWidth="1"/>
    <col min="3549" max="3549" width="20" style="2" customWidth="1"/>
    <col min="3550" max="3550" width="11.140625" style="2" customWidth="1"/>
    <col min="3551" max="3551" width="10.85546875" style="2" customWidth="1"/>
    <col min="3552" max="3552" width="21" style="2" customWidth="1"/>
    <col min="3553" max="3553" width="10.85546875" style="2" customWidth="1"/>
    <col min="3554" max="3554" width="17.42578125" style="2" customWidth="1"/>
    <col min="3555" max="3555" width="14.85546875" style="2" customWidth="1"/>
    <col min="3556" max="3556" width="15" style="2" customWidth="1"/>
    <col min="3557" max="3557" width="14.85546875" style="2" customWidth="1"/>
    <col min="3558" max="3558" width="7.140625" style="2" customWidth="1"/>
    <col min="3559" max="3560" width="20.140625" style="2" customWidth="1"/>
    <col min="3561" max="3561" width="18.42578125" style="2" customWidth="1"/>
    <col min="3562" max="3562" width="9.140625" style="2" customWidth="1"/>
    <col min="3563" max="3563" width="12" style="2" customWidth="1"/>
    <col min="3564" max="3564" width="14.85546875" style="2" customWidth="1"/>
    <col min="3565" max="3565" width="22.42578125" style="2" customWidth="1"/>
    <col min="3566" max="3566" width="14.85546875" style="2" customWidth="1"/>
    <col min="3567" max="3567" width="7.140625" style="2" customWidth="1"/>
    <col min="3568" max="3568" width="20.140625" style="2" customWidth="1"/>
    <col min="3569" max="3800" width="8.85546875" style="2" customWidth="1"/>
    <col min="3801" max="3801" width="8.140625" style="2" customWidth="1"/>
    <col min="3802" max="3802" width="14.5703125" style="2" customWidth="1"/>
    <col min="3803" max="3803" width="37.42578125" style="2" customWidth="1"/>
    <col min="3804" max="3804" width="63.140625" style="2" customWidth="1"/>
    <col min="3805" max="3805" width="20" style="2" customWidth="1"/>
    <col min="3806" max="3806" width="11.140625" style="2" customWidth="1"/>
    <col min="3807" max="3807" width="10.85546875" style="2" customWidth="1"/>
    <col min="3808" max="3808" width="21" style="2" customWidth="1"/>
    <col min="3809" max="3809" width="10.85546875" style="2" customWidth="1"/>
    <col min="3810" max="3810" width="17.42578125" style="2" customWidth="1"/>
    <col min="3811" max="3811" width="14.85546875" style="2" customWidth="1"/>
    <col min="3812" max="3812" width="15" style="2" customWidth="1"/>
    <col min="3813" max="3813" width="14.85546875" style="2" customWidth="1"/>
    <col min="3814" max="3814" width="7.140625" style="2" customWidth="1"/>
    <col min="3815" max="3816" width="20.140625" style="2" customWidth="1"/>
    <col min="3817" max="3817" width="18.42578125" style="2" customWidth="1"/>
    <col min="3818" max="3818" width="9.140625" style="2" customWidth="1"/>
    <col min="3819" max="3819" width="12" style="2" customWidth="1"/>
    <col min="3820" max="3820" width="14.85546875" style="2" customWidth="1"/>
    <col min="3821" max="3821" width="22.42578125" style="2" customWidth="1"/>
    <col min="3822" max="3822" width="14.85546875" style="2" customWidth="1"/>
    <col min="3823" max="3823" width="7.140625" style="2" customWidth="1"/>
    <col min="3824" max="3824" width="20.140625" style="2" customWidth="1"/>
    <col min="3825" max="4056" width="8.85546875" style="2" customWidth="1"/>
    <col min="4057" max="4057" width="8.140625" style="2" customWidth="1"/>
    <col min="4058" max="4058" width="14.5703125" style="2" customWidth="1"/>
    <col min="4059" max="4059" width="37.42578125" style="2" customWidth="1"/>
    <col min="4060" max="4060" width="63.140625" style="2" customWidth="1"/>
    <col min="4061" max="4061" width="20" style="2" customWidth="1"/>
    <col min="4062" max="4062" width="11.140625" style="2" customWidth="1"/>
    <col min="4063" max="4063" width="10.85546875" style="2" customWidth="1"/>
    <col min="4064" max="4064" width="21" style="2" customWidth="1"/>
    <col min="4065" max="4065" width="10.85546875" style="2" customWidth="1"/>
    <col min="4066" max="4066" width="17.42578125" style="2" customWidth="1"/>
    <col min="4067" max="4067" width="14.85546875" style="2" customWidth="1"/>
    <col min="4068" max="4068" width="15" style="2" customWidth="1"/>
    <col min="4069" max="4069" width="14.85546875" style="2" customWidth="1"/>
    <col min="4070" max="4070" width="7.140625" style="2" customWidth="1"/>
    <col min="4071" max="4072" width="20.140625" style="2" customWidth="1"/>
    <col min="4073" max="4073" width="18.42578125" style="2" customWidth="1"/>
    <col min="4074" max="4074" width="9.140625" style="2" customWidth="1"/>
    <col min="4075" max="4075" width="12" style="2" customWidth="1"/>
    <col min="4076" max="4076" width="14.85546875" style="2" customWidth="1"/>
    <col min="4077" max="4077" width="22.42578125" style="2" customWidth="1"/>
    <col min="4078" max="4078" width="14.85546875" style="2" customWidth="1"/>
    <col min="4079" max="4079" width="7.140625" style="2" customWidth="1"/>
    <col min="4080" max="4080" width="20.140625" style="2" customWidth="1"/>
    <col min="4081" max="4312" width="8.85546875" style="2" customWidth="1"/>
    <col min="4313" max="4313" width="8.140625" style="2" customWidth="1"/>
    <col min="4314" max="4314" width="14.5703125" style="2" customWidth="1"/>
    <col min="4315" max="4315" width="37.42578125" style="2" customWidth="1"/>
    <col min="4316" max="4316" width="63.140625" style="2" customWidth="1"/>
    <col min="4317" max="4317" width="20" style="2" customWidth="1"/>
    <col min="4318" max="4318" width="11.140625" style="2" customWidth="1"/>
    <col min="4319" max="4319" width="10.85546875" style="2" customWidth="1"/>
    <col min="4320" max="4320" width="21" style="2" customWidth="1"/>
    <col min="4321" max="4321" width="10.85546875" style="2" customWidth="1"/>
    <col min="4322" max="4322" width="17.42578125" style="2" customWidth="1"/>
    <col min="4323" max="4323" width="14.85546875" style="2" customWidth="1"/>
    <col min="4324" max="4324" width="15" style="2" customWidth="1"/>
    <col min="4325" max="4325" width="14.85546875" style="2" customWidth="1"/>
    <col min="4326" max="4326" width="7.140625" style="2" customWidth="1"/>
    <col min="4327" max="4328" width="20.140625" style="2" customWidth="1"/>
    <col min="4329" max="4329" width="18.42578125" style="2" customWidth="1"/>
    <col min="4330" max="4330" width="9.140625" style="2" customWidth="1"/>
    <col min="4331" max="4331" width="12" style="2" customWidth="1"/>
    <col min="4332" max="4332" width="14.85546875" style="2" customWidth="1"/>
    <col min="4333" max="4333" width="22.42578125" style="2" customWidth="1"/>
    <col min="4334" max="4334" width="14.85546875" style="2" customWidth="1"/>
    <col min="4335" max="4335" width="7.140625" style="2" customWidth="1"/>
    <col min="4336" max="4336" width="20.140625" style="2" customWidth="1"/>
    <col min="4337" max="4568" width="8.85546875" style="2" customWidth="1"/>
    <col min="4569" max="4569" width="8.140625" style="2" customWidth="1"/>
    <col min="4570" max="4570" width="14.5703125" style="2" customWidth="1"/>
    <col min="4571" max="4571" width="37.42578125" style="2" customWidth="1"/>
    <col min="4572" max="4572" width="63.140625" style="2" customWidth="1"/>
    <col min="4573" max="4573" width="20" style="2" customWidth="1"/>
    <col min="4574" max="4574" width="11.140625" style="2" customWidth="1"/>
    <col min="4575" max="4575" width="10.85546875" style="2" customWidth="1"/>
    <col min="4576" max="4576" width="21" style="2" customWidth="1"/>
    <col min="4577" max="4577" width="10.85546875" style="2" customWidth="1"/>
    <col min="4578" max="4578" width="17.42578125" style="2" customWidth="1"/>
    <col min="4579" max="4579" width="14.85546875" style="2" customWidth="1"/>
    <col min="4580" max="4580" width="15" style="2" customWidth="1"/>
    <col min="4581" max="4581" width="14.85546875" style="2" customWidth="1"/>
    <col min="4582" max="4582" width="7.140625" style="2" customWidth="1"/>
    <col min="4583" max="4584" width="20.140625" style="2" customWidth="1"/>
    <col min="4585" max="4585" width="18.42578125" style="2" customWidth="1"/>
    <col min="4586" max="4586" width="9.140625" style="2" customWidth="1"/>
    <col min="4587" max="4587" width="12" style="2" customWidth="1"/>
    <col min="4588" max="4588" width="14.85546875" style="2" customWidth="1"/>
    <col min="4589" max="4589" width="22.42578125" style="2" customWidth="1"/>
    <col min="4590" max="4590" width="14.85546875" style="2" customWidth="1"/>
    <col min="4591" max="4591" width="7.140625" style="2" customWidth="1"/>
    <col min="4592" max="4592" width="20.140625" style="2" customWidth="1"/>
    <col min="4593" max="4824" width="8.85546875" style="2" customWidth="1"/>
    <col min="4825" max="4825" width="8.140625" style="2" customWidth="1"/>
    <col min="4826" max="4826" width="14.5703125" style="2" customWidth="1"/>
    <col min="4827" max="4827" width="37.42578125" style="2" customWidth="1"/>
    <col min="4828" max="4828" width="63.140625" style="2" customWidth="1"/>
    <col min="4829" max="4829" width="20" style="2" customWidth="1"/>
    <col min="4830" max="4830" width="11.140625" style="2" customWidth="1"/>
    <col min="4831" max="4831" width="10.85546875" style="2" customWidth="1"/>
    <col min="4832" max="4832" width="21" style="2" customWidth="1"/>
    <col min="4833" max="4833" width="10.85546875" style="2" customWidth="1"/>
    <col min="4834" max="4834" width="17.42578125" style="2" customWidth="1"/>
    <col min="4835" max="4835" width="14.85546875" style="2" customWidth="1"/>
    <col min="4836" max="4836" width="15" style="2" customWidth="1"/>
    <col min="4837" max="4837" width="14.85546875" style="2" customWidth="1"/>
    <col min="4838" max="4838" width="7.140625" style="2" customWidth="1"/>
    <col min="4839" max="4840" width="20.140625" style="2" customWidth="1"/>
    <col min="4841" max="4841" width="18.42578125" style="2" customWidth="1"/>
    <col min="4842" max="4842" width="9.140625" style="2" customWidth="1"/>
    <col min="4843" max="4843" width="12" style="2" customWidth="1"/>
    <col min="4844" max="4844" width="14.85546875" style="2" customWidth="1"/>
    <col min="4845" max="4845" width="22.42578125" style="2" customWidth="1"/>
    <col min="4846" max="4846" width="14.85546875" style="2" customWidth="1"/>
    <col min="4847" max="4847" width="7.140625" style="2" customWidth="1"/>
    <col min="4848" max="4848" width="20.140625" style="2" customWidth="1"/>
    <col min="4849" max="5080" width="8.85546875" style="2" customWidth="1"/>
    <col min="5081" max="5081" width="8.140625" style="2" customWidth="1"/>
    <col min="5082" max="5082" width="14.5703125" style="2" customWidth="1"/>
    <col min="5083" max="5083" width="37.42578125" style="2" customWidth="1"/>
    <col min="5084" max="5084" width="63.140625" style="2" customWidth="1"/>
    <col min="5085" max="5085" width="20" style="2" customWidth="1"/>
    <col min="5086" max="5086" width="11.140625" style="2" customWidth="1"/>
    <col min="5087" max="5087" width="10.85546875" style="2" customWidth="1"/>
    <col min="5088" max="5088" width="21" style="2" customWidth="1"/>
    <col min="5089" max="5089" width="10.85546875" style="2" customWidth="1"/>
    <col min="5090" max="5090" width="17.42578125" style="2" customWidth="1"/>
    <col min="5091" max="5091" width="14.85546875" style="2" customWidth="1"/>
    <col min="5092" max="5092" width="15" style="2" customWidth="1"/>
    <col min="5093" max="5093" width="14.85546875" style="2" customWidth="1"/>
    <col min="5094" max="5094" width="7.140625" style="2" customWidth="1"/>
    <col min="5095" max="5096" width="20.140625" style="2" customWidth="1"/>
    <col min="5097" max="5097" width="18.42578125" style="2" customWidth="1"/>
    <col min="5098" max="5098" width="9.140625" style="2" customWidth="1"/>
    <col min="5099" max="5099" width="12" style="2" customWidth="1"/>
    <col min="5100" max="5100" width="14.85546875" style="2" customWidth="1"/>
    <col min="5101" max="5101" width="22.42578125" style="2" customWidth="1"/>
    <col min="5102" max="5102" width="14.85546875" style="2" customWidth="1"/>
    <col min="5103" max="5103" width="7.140625" style="2" customWidth="1"/>
    <col min="5104" max="5104" width="20.140625" style="2" customWidth="1"/>
    <col min="5105" max="5336" width="8.85546875" style="2" customWidth="1"/>
    <col min="5337" max="5337" width="8.140625" style="2" customWidth="1"/>
    <col min="5338" max="5338" width="14.5703125" style="2" customWidth="1"/>
    <col min="5339" max="5339" width="37.42578125" style="2" customWidth="1"/>
    <col min="5340" max="5340" width="63.140625" style="2" customWidth="1"/>
    <col min="5341" max="5341" width="20" style="2" customWidth="1"/>
    <col min="5342" max="5342" width="11.140625" style="2" customWidth="1"/>
    <col min="5343" max="5343" width="10.85546875" style="2" customWidth="1"/>
    <col min="5344" max="5344" width="21" style="2" customWidth="1"/>
    <col min="5345" max="5345" width="10.85546875" style="2" customWidth="1"/>
    <col min="5346" max="5346" width="17.42578125" style="2" customWidth="1"/>
    <col min="5347" max="5347" width="14.85546875" style="2" customWidth="1"/>
    <col min="5348" max="5348" width="15" style="2" customWidth="1"/>
    <col min="5349" max="5349" width="14.85546875" style="2" customWidth="1"/>
    <col min="5350" max="5350" width="7.140625" style="2" customWidth="1"/>
    <col min="5351" max="5352" width="20.140625" style="2" customWidth="1"/>
    <col min="5353" max="5353" width="18.42578125" style="2" customWidth="1"/>
    <col min="5354" max="5354" width="9.140625" style="2" customWidth="1"/>
    <col min="5355" max="5355" width="12" style="2" customWidth="1"/>
    <col min="5356" max="5356" width="14.85546875" style="2" customWidth="1"/>
    <col min="5357" max="5357" width="22.42578125" style="2" customWidth="1"/>
    <col min="5358" max="5358" width="14.85546875" style="2" customWidth="1"/>
    <col min="5359" max="5359" width="7.140625" style="2" customWidth="1"/>
    <col min="5360" max="5360" width="20.140625" style="2" customWidth="1"/>
    <col min="5361" max="5592" width="8.85546875" style="2" customWidth="1"/>
    <col min="5593" max="5593" width="8.140625" style="2" customWidth="1"/>
    <col min="5594" max="5594" width="14.5703125" style="2" customWidth="1"/>
    <col min="5595" max="5595" width="37.42578125" style="2" customWidth="1"/>
    <col min="5596" max="5596" width="63.140625" style="2" customWidth="1"/>
    <col min="5597" max="5597" width="20" style="2" customWidth="1"/>
    <col min="5598" max="5598" width="11.140625" style="2" customWidth="1"/>
    <col min="5599" max="5599" width="10.85546875" style="2" customWidth="1"/>
    <col min="5600" max="5600" width="21" style="2" customWidth="1"/>
    <col min="5601" max="5601" width="10.85546875" style="2" customWidth="1"/>
    <col min="5602" max="5602" width="17.42578125" style="2" customWidth="1"/>
    <col min="5603" max="5603" width="14.85546875" style="2" customWidth="1"/>
    <col min="5604" max="5604" width="15" style="2" customWidth="1"/>
    <col min="5605" max="5605" width="14.85546875" style="2" customWidth="1"/>
    <col min="5606" max="5606" width="7.140625" style="2" customWidth="1"/>
    <col min="5607" max="5608" width="20.140625" style="2" customWidth="1"/>
    <col min="5609" max="5609" width="18.42578125" style="2" customWidth="1"/>
    <col min="5610" max="5610" width="9.140625" style="2" customWidth="1"/>
    <col min="5611" max="5611" width="12" style="2" customWidth="1"/>
    <col min="5612" max="5612" width="14.85546875" style="2" customWidth="1"/>
    <col min="5613" max="5613" width="22.42578125" style="2" customWidth="1"/>
    <col min="5614" max="5614" width="14.85546875" style="2" customWidth="1"/>
    <col min="5615" max="5615" width="7.140625" style="2" customWidth="1"/>
    <col min="5616" max="5616" width="20.140625" style="2" customWidth="1"/>
    <col min="5617" max="5848" width="8.85546875" style="2" customWidth="1"/>
    <col min="5849" max="5849" width="8.140625" style="2" customWidth="1"/>
    <col min="5850" max="5850" width="14.5703125" style="2" customWidth="1"/>
    <col min="5851" max="5851" width="37.42578125" style="2" customWidth="1"/>
    <col min="5852" max="5852" width="63.140625" style="2" customWidth="1"/>
    <col min="5853" max="5853" width="20" style="2" customWidth="1"/>
    <col min="5854" max="5854" width="11.140625" style="2" customWidth="1"/>
    <col min="5855" max="5855" width="10.85546875" style="2" customWidth="1"/>
    <col min="5856" max="5856" width="21" style="2" customWidth="1"/>
    <col min="5857" max="5857" width="10.85546875" style="2" customWidth="1"/>
    <col min="5858" max="5858" width="17.42578125" style="2" customWidth="1"/>
    <col min="5859" max="5859" width="14.85546875" style="2" customWidth="1"/>
    <col min="5860" max="5860" width="15" style="2" customWidth="1"/>
    <col min="5861" max="5861" width="14.85546875" style="2" customWidth="1"/>
    <col min="5862" max="5862" width="7.140625" style="2" customWidth="1"/>
    <col min="5863" max="5864" width="20.140625" style="2" customWidth="1"/>
    <col min="5865" max="5865" width="18.42578125" style="2" customWidth="1"/>
    <col min="5866" max="5866" width="9.140625" style="2" customWidth="1"/>
    <col min="5867" max="5867" width="12" style="2" customWidth="1"/>
    <col min="5868" max="5868" width="14.85546875" style="2" customWidth="1"/>
    <col min="5869" max="5869" width="22.42578125" style="2" customWidth="1"/>
    <col min="5870" max="5870" width="14.85546875" style="2" customWidth="1"/>
    <col min="5871" max="5871" width="7.140625" style="2" customWidth="1"/>
    <col min="5872" max="5872" width="20.140625" style="2" customWidth="1"/>
    <col min="5873" max="6104" width="8.85546875" style="2" customWidth="1"/>
    <col min="6105" max="6105" width="8.140625" style="2" customWidth="1"/>
    <col min="6106" max="6106" width="14.5703125" style="2" customWidth="1"/>
    <col min="6107" max="6107" width="37.42578125" style="2" customWidth="1"/>
    <col min="6108" max="6108" width="63.140625" style="2" customWidth="1"/>
    <col min="6109" max="6109" width="20" style="2" customWidth="1"/>
    <col min="6110" max="6110" width="11.140625" style="2" customWidth="1"/>
    <col min="6111" max="6111" width="10.85546875" style="2" customWidth="1"/>
    <col min="6112" max="6112" width="21" style="2" customWidth="1"/>
    <col min="6113" max="6113" width="10.85546875" style="2" customWidth="1"/>
    <col min="6114" max="6114" width="17.42578125" style="2" customWidth="1"/>
    <col min="6115" max="6115" width="14.85546875" style="2" customWidth="1"/>
    <col min="6116" max="6116" width="15" style="2" customWidth="1"/>
    <col min="6117" max="6117" width="14.85546875" style="2" customWidth="1"/>
    <col min="6118" max="6118" width="7.140625" style="2" customWidth="1"/>
    <col min="6119" max="6120" width="20.140625" style="2" customWidth="1"/>
    <col min="6121" max="6121" width="18.42578125" style="2" customWidth="1"/>
    <col min="6122" max="6122" width="9.140625" style="2" customWidth="1"/>
    <col min="6123" max="6123" width="12" style="2" customWidth="1"/>
    <col min="6124" max="6124" width="14.85546875" style="2" customWidth="1"/>
    <col min="6125" max="6125" width="22.42578125" style="2" customWidth="1"/>
    <col min="6126" max="6126" width="14.85546875" style="2" customWidth="1"/>
    <col min="6127" max="6127" width="7.140625" style="2" customWidth="1"/>
    <col min="6128" max="6128" width="20.140625" style="2" customWidth="1"/>
    <col min="6129" max="6360" width="8.85546875" style="2" customWidth="1"/>
    <col min="6361" max="6361" width="8.140625" style="2" customWidth="1"/>
    <col min="6362" max="6362" width="14.5703125" style="2" customWidth="1"/>
    <col min="6363" max="6363" width="37.42578125" style="2" customWidth="1"/>
    <col min="6364" max="6364" width="63.140625" style="2" customWidth="1"/>
    <col min="6365" max="6365" width="20" style="2" customWidth="1"/>
    <col min="6366" max="6366" width="11.140625" style="2" customWidth="1"/>
    <col min="6367" max="6367" width="10.85546875" style="2" customWidth="1"/>
    <col min="6368" max="6368" width="21" style="2" customWidth="1"/>
    <col min="6369" max="6369" width="10.85546875" style="2" customWidth="1"/>
    <col min="6370" max="6370" width="17.42578125" style="2" customWidth="1"/>
    <col min="6371" max="6371" width="14.85546875" style="2" customWidth="1"/>
    <col min="6372" max="6372" width="15" style="2" customWidth="1"/>
    <col min="6373" max="6373" width="14.85546875" style="2" customWidth="1"/>
    <col min="6374" max="6374" width="7.140625" style="2" customWidth="1"/>
    <col min="6375" max="6376" width="20.140625" style="2" customWidth="1"/>
    <col min="6377" max="6377" width="18.42578125" style="2" customWidth="1"/>
    <col min="6378" max="6378" width="9.140625" style="2" customWidth="1"/>
    <col min="6379" max="6379" width="12" style="2" customWidth="1"/>
    <col min="6380" max="6380" width="14.85546875" style="2" customWidth="1"/>
    <col min="6381" max="6381" width="22.42578125" style="2" customWidth="1"/>
    <col min="6382" max="6382" width="14.85546875" style="2" customWidth="1"/>
    <col min="6383" max="6383" width="7.140625" style="2" customWidth="1"/>
    <col min="6384" max="6384" width="20.140625" style="2" customWidth="1"/>
    <col min="6385" max="6616" width="8.85546875" style="2" customWidth="1"/>
    <col min="6617" max="6617" width="8.140625" style="2" customWidth="1"/>
    <col min="6618" max="6618" width="14.5703125" style="2" customWidth="1"/>
    <col min="6619" max="6619" width="37.42578125" style="2" customWidth="1"/>
    <col min="6620" max="6620" width="63.140625" style="2" customWidth="1"/>
    <col min="6621" max="6621" width="20" style="2" customWidth="1"/>
    <col min="6622" max="6622" width="11.140625" style="2" customWidth="1"/>
    <col min="6623" max="6623" width="10.85546875" style="2" customWidth="1"/>
    <col min="6624" max="6624" width="21" style="2" customWidth="1"/>
    <col min="6625" max="6625" width="10.85546875" style="2" customWidth="1"/>
    <col min="6626" max="6626" width="17.42578125" style="2" customWidth="1"/>
    <col min="6627" max="6627" width="14.85546875" style="2" customWidth="1"/>
    <col min="6628" max="6628" width="15" style="2" customWidth="1"/>
    <col min="6629" max="6629" width="14.85546875" style="2" customWidth="1"/>
    <col min="6630" max="6630" width="7.140625" style="2" customWidth="1"/>
    <col min="6631" max="6632" width="20.140625" style="2" customWidth="1"/>
    <col min="6633" max="6633" width="18.42578125" style="2" customWidth="1"/>
    <col min="6634" max="6634" width="9.140625" style="2" customWidth="1"/>
    <col min="6635" max="6635" width="12" style="2" customWidth="1"/>
    <col min="6636" max="6636" width="14.85546875" style="2" customWidth="1"/>
    <col min="6637" max="6637" width="22.42578125" style="2" customWidth="1"/>
    <col min="6638" max="6638" width="14.85546875" style="2" customWidth="1"/>
    <col min="6639" max="6639" width="7.140625" style="2" customWidth="1"/>
    <col min="6640" max="6640" width="20.140625" style="2" customWidth="1"/>
    <col min="6641" max="6872" width="8.85546875" style="2" customWidth="1"/>
    <col min="6873" max="6873" width="8.140625" style="2" customWidth="1"/>
    <col min="6874" max="6874" width="14.5703125" style="2" customWidth="1"/>
    <col min="6875" max="6875" width="37.42578125" style="2" customWidth="1"/>
    <col min="6876" max="6876" width="63.140625" style="2" customWidth="1"/>
    <col min="6877" max="6877" width="20" style="2" customWidth="1"/>
    <col min="6878" max="6878" width="11.140625" style="2" customWidth="1"/>
    <col min="6879" max="6879" width="10.85546875" style="2" customWidth="1"/>
    <col min="6880" max="6880" width="21" style="2" customWidth="1"/>
    <col min="6881" max="6881" width="10.85546875" style="2" customWidth="1"/>
    <col min="6882" max="6882" width="17.42578125" style="2" customWidth="1"/>
    <col min="6883" max="6883" width="14.85546875" style="2" customWidth="1"/>
    <col min="6884" max="6884" width="15" style="2" customWidth="1"/>
    <col min="6885" max="6885" width="14.85546875" style="2" customWidth="1"/>
    <col min="6886" max="6886" width="7.140625" style="2" customWidth="1"/>
    <col min="6887" max="6888" width="20.140625" style="2" customWidth="1"/>
    <col min="6889" max="6889" width="18.42578125" style="2" customWidth="1"/>
    <col min="6890" max="6890" width="9.140625" style="2" customWidth="1"/>
    <col min="6891" max="6891" width="12" style="2" customWidth="1"/>
    <col min="6892" max="6892" width="14.85546875" style="2" customWidth="1"/>
    <col min="6893" max="6893" width="22.42578125" style="2" customWidth="1"/>
    <col min="6894" max="6894" width="14.85546875" style="2" customWidth="1"/>
    <col min="6895" max="6895" width="7.140625" style="2" customWidth="1"/>
    <col min="6896" max="6896" width="20.140625" style="2" customWidth="1"/>
    <col min="6897" max="7128" width="8.85546875" style="2" customWidth="1"/>
    <col min="7129" max="7129" width="8.140625" style="2" customWidth="1"/>
    <col min="7130" max="7130" width="14.5703125" style="2" customWidth="1"/>
    <col min="7131" max="7131" width="37.42578125" style="2" customWidth="1"/>
    <col min="7132" max="7132" width="63.140625" style="2" customWidth="1"/>
    <col min="7133" max="7133" width="20" style="2" customWidth="1"/>
    <col min="7134" max="7134" width="11.140625" style="2" customWidth="1"/>
    <col min="7135" max="7135" width="10.85546875" style="2" customWidth="1"/>
    <col min="7136" max="7136" width="21" style="2" customWidth="1"/>
    <col min="7137" max="7137" width="10.85546875" style="2" customWidth="1"/>
    <col min="7138" max="7138" width="17.42578125" style="2" customWidth="1"/>
    <col min="7139" max="7139" width="14.85546875" style="2" customWidth="1"/>
    <col min="7140" max="7140" width="15" style="2" customWidth="1"/>
    <col min="7141" max="7141" width="14.85546875" style="2" customWidth="1"/>
    <col min="7142" max="7142" width="7.140625" style="2" customWidth="1"/>
    <col min="7143" max="7144" width="20.140625" style="2" customWidth="1"/>
    <col min="7145" max="7145" width="18.42578125" style="2" customWidth="1"/>
    <col min="7146" max="7146" width="9.140625" style="2" customWidth="1"/>
    <col min="7147" max="7147" width="12" style="2" customWidth="1"/>
    <col min="7148" max="7148" width="14.85546875" style="2" customWidth="1"/>
    <col min="7149" max="7149" width="22.42578125" style="2" customWidth="1"/>
    <col min="7150" max="7150" width="14.85546875" style="2" customWidth="1"/>
    <col min="7151" max="7151" width="7.140625" style="2" customWidth="1"/>
    <col min="7152" max="7152" width="20.140625" style="2" customWidth="1"/>
    <col min="7153" max="7384" width="8.85546875" style="2" customWidth="1"/>
    <col min="7385" max="7385" width="8.140625" style="2" customWidth="1"/>
    <col min="7386" max="7386" width="14.5703125" style="2" customWidth="1"/>
    <col min="7387" max="7387" width="37.42578125" style="2" customWidth="1"/>
    <col min="7388" max="7388" width="63.140625" style="2" customWidth="1"/>
    <col min="7389" max="7389" width="20" style="2" customWidth="1"/>
    <col min="7390" max="7390" width="11.140625" style="2" customWidth="1"/>
    <col min="7391" max="7391" width="10.85546875" style="2" customWidth="1"/>
    <col min="7392" max="7392" width="21" style="2" customWidth="1"/>
    <col min="7393" max="7393" width="10.85546875" style="2" customWidth="1"/>
    <col min="7394" max="7394" width="17.42578125" style="2" customWidth="1"/>
    <col min="7395" max="7395" width="14.85546875" style="2" customWidth="1"/>
    <col min="7396" max="7396" width="15" style="2" customWidth="1"/>
    <col min="7397" max="7397" width="14.85546875" style="2" customWidth="1"/>
    <col min="7398" max="7398" width="7.140625" style="2" customWidth="1"/>
    <col min="7399" max="7400" width="20.140625" style="2" customWidth="1"/>
    <col min="7401" max="7401" width="18.42578125" style="2" customWidth="1"/>
    <col min="7402" max="7402" width="9.140625" style="2" customWidth="1"/>
    <col min="7403" max="7403" width="12" style="2" customWidth="1"/>
    <col min="7404" max="7404" width="14.85546875" style="2" customWidth="1"/>
    <col min="7405" max="7405" width="22.42578125" style="2" customWidth="1"/>
    <col min="7406" max="7406" width="14.85546875" style="2" customWidth="1"/>
    <col min="7407" max="7407" width="7.140625" style="2" customWidth="1"/>
    <col min="7408" max="7408" width="20.140625" style="2" customWidth="1"/>
    <col min="7409" max="7640" width="8.85546875" style="2" customWidth="1"/>
    <col min="7641" max="7641" width="8.140625" style="2" customWidth="1"/>
    <col min="7642" max="7642" width="14.5703125" style="2" customWidth="1"/>
    <col min="7643" max="7643" width="37.42578125" style="2" customWidth="1"/>
    <col min="7644" max="7644" width="63.140625" style="2" customWidth="1"/>
    <col min="7645" max="7645" width="20" style="2" customWidth="1"/>
    <col min="7646" max="7646" width="11.140625" style="2" customWidth="1"/>
    <col min="7647" max="7647" width="10.85546875" style="2" customWidth="1"/>
    <col min="7648" max="7648" width="21" style="2" customWidth="1"/>
    <col min="7649" max="7649" width="10.85546875" style="2" customWidth="1"/>
    <col min="7650" max="7650" width="17.42578125" style="2" customWidth="1"/>
    <col min="7651" max="7651" width="14.85546875" style="2" customWidth="1"/>
    <col min="7652" max="7652" width="15" style="2" customWidth="1"/>
    <col min="7653" max="7653" width="14.85546875" style="2" customWidth="1"/>
    <col min="7654" max="7654" width="7.140625" style="2" customWidth="1"/>
    <col min="7655" max="7656" width="20.140625" style="2" customWidth="1"/>
    <col min="7657" max="7657" width="18.42578125" style="2" customWidth="1"/>
    <col min="7658" max="7658" width="9.140625" style="2" customWidth="1"/>
    <col min="7659" max="7659" width="12" style="2" customWidth="1"/>
    <col min="7660" max="7660" width="14.85546875" style="2" customWidth="1"/>
    <col min="7661" max="7661" width="22.42578125" style="2" customWidth="1"/>
    <col min="7662" max="7662" width="14.85546875" style="2" customWidth="1"/>
    <col min="7663" max="7663" width="7.140625" style="2" customWidth="1"/>
    <col min="7664" max="7664" width="20.140625" style="2" customWidth="1"/>
    <col min="7665" max="7896" width="8.85546875" style="2" customWidth="1"/>
    <col min="7897" max="7897" width="8.140625" style="2" customWidth="1"/>
    <col min="7898" max="7898" width="14.5703125" style="2" customWidth="1"/>
    <col min="7899" max="7899" width="37.42578125" style="2" customWidth="1"/>
    <col min="7900" max="7900" width="63.140625" style="2" customWidth="1"/>
    <col min="7901" max="7901" width="20" style="2" customWidth="1"/>
    <col min="7902" max="7902" width="11.140625" style="2" customWidth="1"/>
    <col min="7903" max="7903" width="10.85546875" style="2" customWidth="1"/>
    <col min="7904" max="7904" width="21" style="2" customWidth="1"/>
    <col min="7905" max="7905" width="10.85546875" style="2" customWidth="1"/>
    <col min="7906" max="7906" width="17.42578125" style="2" customWidth="1"/>
    <col min="7907" max="7907" width="14.85546875" style="2" customWidth="1"/>
    <col min="7908" max="7908" width="15" style="2" customWidth="1"/>
    <col min="7909" max="7909" width="14.85546875" style="2" customWidth="1"/>
    <col min="7910" max="7910" width="7.140625" style="2" customWidth="1"/>
    <col min="7911" max="7912" width="20.140625" style="2" customWidth="1"/>
    <col min="7913" max="7913" width="18.42578125" style="2" customWidth="1"/>
    <col min="7914" max="7914" width="9.140625" style="2" customWidth="1"/>
    <col min="7915" max="7915" width="12" style="2" customWidth="1"/>
    <col min="7916" max="7916" width="14.85546875" style="2" customWidth="1"/>
    <col min="7917" max="7917" width="22.42578125" style="2" customWidth="1"/>
    <col min="7918" max="7918" width="14.85546875" style="2" customWidth="1"/>
    <col min="7919" max="7919" width="7.140625" style="2" customWidth="1"/>
    <col min="7920" max="7920" width="20.140625" style="2" customWidth="1"/>
    <col min="7921" max="8152" width="8.85546875" style="2" customWidth="1"/>
    <col min="8153" max="8153" width="8.140625" style="2" customWidth="1"/>
    <col min="8154" max="8154" width="14.5703125" style="2" customWidth="1"/>
    <col min="8155" max="8155" width="37.42578125" style="2" customWidth="1"/>
    <col min="8156" max="8156" width="63.140625" style="2" customWidth="1"/>
    <col min="8157" max="8157" width="20" style="2" customWidth="1"/>
    <col min="8158" max="8158" width="11.140625" style="2" customWidth="1"/>
    <col min="8159" max="8159" width="10.85546875" style="2" customWidth="1"/>
    <col min="8160" max="8160" width="21" style="2" customWidth="1"/>
    <col min="8161" max="8161" width="10.85546875" style="2" customWidth="1"/>
    <col min="8162" max="8162" width="17.42578125" style="2" customWidth="1"/>
    <col min="8163" max="8163" width="14.85546875" style="2" customWidth="1"/>
    <col min="8164" max="8164" width="15" style="2" customWidth="1"/>
    <col min="8165" max="8165" width="14.85546875" style="2" customWidth="1"/>
    <col min="8166" max="8166" width="7.140625" style="2" customWidth="1"/>
    <col min="8167" max="8168" width="20.140625" style="2" customWidth="1"/>
    <col min="8169" max="8169" width="18.42578125" style="2" customWidth="1"/>
    <col min="8170" max="8170" width="9.140625" style="2" customWidth="1"/>
    <col min="8171" max="8171" width="12" style="2" customWidth="1"/>
    <col min="8172" max="8172" width="14.85546875" style="2" customWidth="1"/>
    <col min="8173" max="8173" width="22.42578125" style="2" customWidth="1"/>
    <col min="8174" max="8174" width="14.85546875" style="2" customWidth="1"/>
    <col min="8175" max="8175" width="7.140625" style="2" customWidth="1"/>
    <col min="8176" max="8176" width="20.140625" style="2" customWidth="1"/>
    <col min="8177" max="8408" width="8.85546875" style="2" customWidth="1"/>
    <col min="8409" max="8409" width="8.140625" style="2" customWidth="1"/>
    <col min="8410" max="8410" width="14.5703125" style="2" customWidth="1"/>
    <col min="8411" max="8411" width="37.42578125" style="2" customWidth="1"/>
    <col min="8412" max="8412" width="63.140625" style="2" customWidth="1"/>
    <col min="8413" max="8413" width="20" style="2" customWidth="1"/>
    <col min="8414" max="8414" width="11.140625" style="2" customWidth="1"/>
    <col min="8415" max="8415" width="10.85546875" style="2" customWidth="1"/>
    <col min="8416" max="8416" width="21" style="2" customWidth="1"/>
    <col min="8417" max="8417" width="10.85546875" style="2" customWidth="1"/>
    <col min="8418" max="8418" width="17.42578125" style="2" customWidth="1"/>
    <col min="8419" max="8419" width="14.85546875" style="2" customWidth="1"/>
    <col min="8420" max="8420" width="15" style="2" customWidth="1"/>
    <col min="8421" max="8421" width="14.85546875" style="2" customWidth="1"/>
    <col min="8422" max="8422" width="7.140625" style="2" customWidth="1"/>
    <col min="8423" max="8424" width="20.140625" style="2" customWidth="1"/>
    <col min="8425" max="8425" width="18.42578125" style="2" customWidth="1"/>
    <col min="8426" max="8426" width="9.140625" style="2" customWidth="1"/>
    <col min="8427" max="8427" width="12" style="2" customWidth="1"/>
    <col min="8428" max="8428" width="14.85546875" style="2" customWidth="1"/>
    <col min="8429" max="8429" width="22.42578125" style="2" customWidth="1"/>
    <col min="8430" max="8430" width="14.85546875" style="2" customWidth="1"/>
    <col min="8431" max="8431" width="7.140625" style="2" customWidth="1"/>
    <col min="8432" max="8432" width="20.140625" style="2" customWidth="1"/>
    <col min="8433" max="8664" width="8.85546875" style="2" customWidth="1"/>
    <col min="8665" max="8665" width="8.140625" style="2" customWidth="1"/>
    <col min="8666" max="8666" width="14.5703125" style="2" customWidth="1"/>
    <col min="8667" max="8667" width="37.42578125" style="2" customWidth="1"/>
    <col min="8668" max="8668" width="63.140625" style="2" customWidth="1"/>
    <col min="8669" max="8669" width="20" style="2" customWidth="1"/>
    <col min="8670" max="8670" width="11.140625" style="2" customWidth="1"/>
    <col min="8671" max="8671" width="10.85546875" style="2" customWidth="1"/>
    <col min="8672" max="8672" width="21" style="2" customWidth="1"/>
    <col min="8673" max="8673" width="10.85546875" style="2" customWidth="1"/>
    <col min="8674" max="8674" width="17.42578125" style="2" customWidth="1"/>
    <col min="8675" max="8675" width="14.85546875" style="2" customWidth="1"/>
    <col min="8676" max="8676" width="15" style="2" customWidth="1"/>
    <col min="8677" max="8677" width="14.85546875" style="2" customWidth="1"/>
    <col min="8678" max="8678" width="7.140625" style="2" customWidth="1"/>
    <col min="8679" max="8680" width="20.140625" style="2" customWidth="1"/>
    <col min="8681" max="8681" width="18.42578125" style="2" customWidth="1"/>
    <col min="8682" max="8682" width="9.140625" style="2" customWidth="1"/>
    <col min="8683" max="8683" width="12" style="2" customWidth="1"/>
    <col min="8684" max="8684" width="14.85546875" style="2" customWidth="1"/>
    <col min="8685" max="8685" width="22.42578125" style="2" customWidth="1"/>
    <col min="8686" max="8686" width="14.85546875" style="2" customWidth="1"/>
    <col min="8687" max="8687" width="7.140625" style="2" customWidth="1"/>
    <col min="8688" max="8688" width="20.140625" style="2" customWidth="1"/>
    <col min="8689" max="8920" width="8.85546875" style="2" customWidth="1"/>
    <col min="8921" max="8921" width="8.140625" style="2" customWidth="1"/>
    <col min="8922" max="8922" width="14.5703125" style="2" customWidth="1"/>
    <col min="8923" max="8923" width="37.42578125" style="2" customWidth="1"/>
    <col min="8924" max="8924" width="63.140625" style="2" customWidth="1"/>
    <col min="8925" max="8925" width="20" style="2" customWidth="1"/>
    <col min="8926" max="8926" width="11.140625" style="2" customWidth="1"/>
    <col min="8927" max="8927" width="10.85546875" style="2" customWidth="1"/>
    <col min="8928" max="8928" width="21" style="2" customWidth="1"/>
    <col min="8929" max="8929" width="10.85546875" style="2" customWidth="1"/>
    <col min="8930" max="8930" width="17.42578125" style="2" customWidth="1"/>
    <col min="8931" max="8931" width="14.85546875" style="2" customWidth="1"/>
    <col min="8932" max="8932" width="15" style="2" customWidth="1"/>
    <col min="8933" max="8933" width="14.85546875" style="2" customWidth="1"/>
    <col min="8934" max="8934" width="7.140625" style="2" customWidth="1"/>
    <col min="8935" max="8936" width="20.140625" style="2" customWidth="1"/>
    <col min="8937" max="8937" width="18.42578125" style="2" customWidth="1"/>
    <col min="8938" max="8938" width="9.140625" style="2" customWidth="1"/>
    <col min="8939" max="8939" width="12" style="2" customWidth="1"/>
    <col min="8940" max="8940" width="14.85546875" style="2" customWidth="1"/>
    <col min="8941" max="8941" width="22.42578125" style="2" customWidth="1"/>
    <col min="8942" max="8942" width="14.85546875" style="2" customWidth="1"/>
    <col min="8943" max="8943" width="7.140625" style="2" customWidth="1"/>
    <col min="8944" max="8944" width="20.140625" style="2" customWidth="1"/>
    <col min="8945" max="9176" width="8.85546875" style="2" customWidth="1"/>
    <col min="9177" max="9177" width="8.140625" style="2" customWidth="1"/>
    <col min="9178" max="9178" width="14.5703125" style="2" customWidth="1"/>
    <col min="9179" max="9179" width="37.42578125" style="2" customWidth="1"/>
    <col min="9180" max="9180" width="63.140625" style="2" customWidth="1"/>
    <col min="9181" max="9181" width="20" style="2" customWidth="1"/>
    <col min="9182" max="9182" width="11.140625" style="2" customWidth="1"/>
    <col min="9183" max="9183" width="10.85546875" style="2" customWidth="1"/>
    <col min="9184" max="9184" width="21" style="2" customWidth="1"/>
    <col min="9185" max="9185" width="10.85546875" style="2" customWidth="1"/>
    <col min="9186" max="9186" width="17.42578125" style="2" customWidth="1"/>
    <col min="9187" max="9187" width="14.85546875" style="2" customWidth="1"/>
    <col min="9188" max="9188" width="15" style="2" customWidth="1"/>
    <col min="9189" max="9189" width="14.85546875" style="2" customWidth="1"/>
    <col min="9190" max="9190" width="7.140625" style="2" customWidth="1"/>
    <col min="9191" max="9192" width="20.140625" style="2" customWidth="1"/>
    <col min="9193" max="9193" width="18.42578125" style="2" customWidth="1"/>
    <col min="9194" max="9194" width="9.140625" style="2" customWidth="1"/>
    <col min="9195" max="9195" width="12" style="2" customWidth="1"/>
    <col min="9196" max="9196" width="14.85546875" style="2" customWidth="1"/>
    <col min="9197" max="9197" width="22.42578125" style="2" customWidth="1"/>
    <col min="9198" max="9198" width="14.85546875" style="2" customWidth="1"/>
    <col min="9199" max="9199" width="7.140625" style="2" customWidth="1"/>
    <col min="9200" max="9200" width="20.140625" style="2" customWidth="1"/>
    <col min="9201" max="9432" width="8.85546875" style="2" customWidth="1"/>
    <col min="9433" max="9433" width="8.140625" style="2" customWidth="1"/>
    <col min="9434" max="9434" width="14.5703125" style="2" customWidth="1"/>
    <col min="9435" max="9435" width="37.42578125" style="2" customWidth="1"/>
    <col min="9436" max="9436" width="63.140625" style="2" customWidth="1"/>
    <col min="9437" max="9437" width="20" style="2" customWidth="1"/>
    <col min="9438" max="9438" width="11.140625" style="2" customWidth="1"/>
    <col min="9439" max="9439" width="10.85546875" style="2" customWidth="1"/>
    <col min="9440" max="9440" width="21" style="2" customWidth="1"/>
    <col min="9441" max="9441" width="10.85546875" style="2" customWidth="1"/>
    <col min="9442" max="9442" width="17.42578125" style="2" customWidth="1"/>
    <col min="9443" max="9443" width="14.85546875" style="2" customWidth="1"/>
    <col min="9444" max="9444" width="15" style="2" customWidth="1"/>
    <col min="9445" max="9445" width="14.85546875" style="2" customWidth="1"/>
    <col min="9446" max="9446" width="7.140625" style="2" customWidth="1"/>
    <col min="9447" max="9448" width="20.140625" style="2" customWidth="1"/>
    <col min="9449" max="9449" width="18.42578125" style="2" customWidth="1"/>
    <col min="9450" max="9450" width="9.140625" style="2" customWidth="1"/>
    <col min="9451" max="9451" width="12" style="2" customWidth="1"/>
    <col min="9452" max="9452" width="14.85546875" style="2" customWidth="1"/>
    <col min="9453" max="9453" width="22.42578125" style="2" customWidth="1"/>
    <col min="9454" max="9454" width="14.85546875" style="2" customWidth="1"/>
    <col min="9455" max="9455" width="7.140625" style="2" customWidth="1"/>
    <col min="9456" max="9456" width="20.140625" style="2" customWidth="1"/>
    <col min="9457" max="9688" width="8.85546875" style="2" customWidth="1"/>
    <col min="9689" max="9689" width="8.140625" style="2" customWidth="1"/>
    <col min="9690" max="9690" width="14.5703125" style="2" customWidth="1"/>
    <col min="9691" max="9691" width="37.42578125" style="2" customWidth="1"/>
    <col min="9692" max="9692" width="63.140625" style="2" customWidth="1"/>
    <col min="9693" max="9693" width="20" style="2" customWidth="1"/>
    <col min="9694" max="9694" width="11.140625" style="2" customWidth="1"/>
    <col min="9695" max="9695" width="10.85546875" style="2" customWidth="1"/>
    <col min="9696" max="9696" width="21" style="2" customWidth="1"/>
    <col min="9697" max="9697" width="10.85546875" style="2" customWidth="1"/>
    <col min="9698" max="9698" width="17.42578125" style="2" customWidth="1"/>
    <col min="9699" max="9699" width="14.85546875" style="2" customWidth="1"/>
    <col min="9700" max="9700" width="15" style="2" customWidth="1"/>
    <col min="9701" max="9701" width="14.85546875" style="2" customWidth="1"/>
    <col min="9702" max="9702" width="7.140625" style="2" customWidth="1"/>
    <col min="9703" max="9704" width="20.140625" style="2" customWidth="1"/>
    <col min="9705" max="9705" width="18.42578125" style="2" customWidth="1"/>
    <col min="9706" max="9706" width="9.140625" style="2" customWidth="1"/>
    <col min="9707" max="9707" width="12" style="2" customWidth="1"/>
    <col min="9708" max="9708" width="14.85546875" style="2" customWidth="1"/>
    <col min="9709" max="9709" width="22.42578125" style="2" customWidth="1"/>
    <col min="9710" max="9710" width="14.85546875" style="2" customWidth="1"/>
    <col min="9711" max="9711" width="7.140625" style="2" customWidth="1"/>
    <col min="9712" max="9712" width="20.140625" style="2" customWidth="1"/>
    <col min="9713" max="9944" width="8.85546875" style="2" customWidth="1"/>
    <col min="9945" max="9945" width="8.140625" style="2" customWidth="1"/>
    <col min="9946" max="9946" width="14.5703125" style="2" customWidth="1"/>
    <col min="9947" max="9947" width="37.42578125" style="2" customWidth="1"/>
    <col min="9948" max="9948" width="63.140625" style="2" customWidth="1"/>
    <col min="9949" max="9949" width="20" style="2" customWidth="1"/>
    <col min="9950" max="9950" width="11.140625" style="2" customWidth="1"/>
    <col min="9951" max="9951" width="10.85546875" style="2" customWidth="1"/>
    <col min="9952" max="9952" width="21" style="2" customWidth="1"/>
    <col min="9953" max="9953" width="10.85546875" style="2" customWidth="1"/>
    <col min="9954" max="9954" width="17.42578125" style="2" customWidth="1"/>
    <col min="9955" max="9955" width="14.85546875" style="2" customWidth="1"/>
    <col min="9956" max="9956" width="15" style="2" customWidth="1"/>
    <col min="9957" max="9957" width="14.85546875" style="2" customWidth="1"/>
    <col min="9958" max="9958" width="7.140625" style="2" customWidth="1"/>
    <col min="9959" max="9960" width="20.140625" style="2" customWidth="1"/>
    <col min="9961" max="9961" width="18.42578125" style="2" customWidth="1"/>
    <col min="9962" max="9962" width="9.140625" style="2" customWidth="1"/>
    <col min="9963" max="9963" width="12" style="2" customWidth="1"/>
    <col min="9964" max="9964" width="14.85546875" style="2" customWidth="1"/>
    <col min="9965" max="9965" width="22.42578125" style="2" customWidth="1"/>
    <col min="9966" max="9966" width="14.85546875" style="2" customWidth="1"/>
    <col min="9967" max="9967" width="7.140625" style="2" customWidth="1"/>
    <col min="9968" max="9968" width="20.140625" style="2" customWidth="1"/>
    <col min="9969" max="10200" width="8.85546875" style="2" customWidth="1"/>
    <col min="10201" max="10201" width="8.140625" style="2" customWidth="1"/>
    <col min="10202" max="10202" width="14.5703125" style="2" customWidth="1"/>
    <col min="10203" max="10203" width="37.42578125" style="2" customWidth="1"/>
    <col min="10204" max="10204" width="63.140625" style="2" customWidth="1"/>
    <col min="10205" max="10205" width="20" style="2" customWidth="1"/>
    <col min="10206" max="10206" width="11.140625" style="2" customWidth="1"/>
    <col min="10207" max="10207" width="10.85546875" style="2" customWidth="1"/>
    <col min="10208" max="10208" width="21" style="2" customWidth="1"/>
    <col min="10209" max="10209" width="10.85546875" style="2" customWidth="1"/>
    <col min="10210" max="10210" width="17.42578125" style="2" customWidth="1"/>
    <col min="10211" max="10211" width="14.85546875" style="2" customWidth="1"/>
    <col min="10212" max="10212" width="15" style="2" customWidth="1"/>
    <col min="10213" max="10213" width="14.85546875" style="2" customWidth="1"/>
    <col min="10214" max="10214" width="7.140625" style="2" customWidth="1"/>
    <col min="10215" max="10216" width="20.140625" style="2" customWidth="1"/>
    <col min="10217" max="10217" width="18.42578125" style="2" customWidth="1"/>
    <col min="10218" max="10218" width="9.140625" style="2" customWidth="1"/>
    <col min="10219" max="10219" width="12" style="2" customWidth="1"/>
    <col min="10220" max="10220" width="14.85546875" style="2" customWidth="1"/>
    <col min="10221" max="10221" width="22.42578125" style="2" customWidth="1"/>
    <col min="10222" max="10222" width="14.85546875" style="2" customWidth="1"/>
    <col min="10223" max="10223" width="7.140625" style="2" customWidth="1"/>
    <col min="10224" max="10224" width="20.140625" style="2" customWidth="1"/>
    <col min="10225" max="10456" width="8.85546875" style="2" customWidth="1"/>
    <col min="10457" max="10457" width="8.140625" style="2" customWidth="1"/>
    <col min="10458" max="10458" width="14.5703125" style="2" customWidth="1"/>
    <col min="10459" max="10459" width="37.42578125" style="2" customWidth="1"/>
    <col min="10460" max="10460" width="63.140625" style="2" customWidth="1"/>
    <col min="10461" max="10461" width="20" style="2" customWidth="1"/>
    <col min="10462" max="10462" width="11.140625" style="2" customWidth="1"/>
    <col min="10463" max="10463" width="10.85546875" style="2" customWidth="1"/>
    <col min="10464" max="10464" width="21" style="2" customWidth="1"/>
    <col min="10465" max="10465" width="10.85546875" style="2" customWidth="1"/>
    <col min="10466" max="10466" width="17.42578125" style="2" customWidth="1"/>
    <col min="10467" max="10467" width="14.85546875" style="2" customWidth="1"/>
    <col min="10468" max="10468" width="15" style="2" customWidth="1"/>
    <col min="10469" max="10469" width="14.85546875" style="2" customWidth="1"/>
    <col min="10470" max="10470" width="7.140625" style="2" customWidth="1"/>
    <col min="10471" max="10472" width="20.140625" style="2" customWidth="1"/>
    <col min="10473" max="10473" width="18.42578125" style="2" customWidth="1"/>
    <col min="10474" max="10474" width="9.140625" style="2" customWidth="1"/>
    <col min="10475" max="10475" width="12" style="2" customWidth="1"/>
    <col min="10476" max="10476" width="14.85546875" style="2" customWidth="1"/>
    <col min="10477" max="10477" width="22.42578125" style="2" customWidth="1"/>
    <col min="10478" max="10478" width="14.85546875" style="2" customWidth="1"/>
    <col min="10479" max="10479" width="7.140625" style="2" customWidth="1"/>
    <col min="10480" max="10480" width="20.140625" style="2" customWidth="1"/>
    <col min="10481" max="10712" width="8.85546875" style="2" customWidth="1"/>
    <col min="10713" max="10713" width="8.140625" style="2" customWidth="1"/>
    <col min="10714" max="10714" width="14.5703125" style="2" customWidth="1"/>
    <col min="10715" max="10715" width="37.42578125" style="2" customWidth="1"/>
    <col min="10716" max="10716" width="63.140625" style="2" customWidth="1"/>
    <col min="10717" max="10717" width="20" style="2" customWidth="1"/>
    <col min="10718" max="10718" width="11.140625" style="2" customWidth="1"/>
    <col min="10719" max="10719" width="10.85546875" style="2" customWidth="1"/>
    <col min="10720" max="10720" width="21" style="2" customWidth="1"/>
    <col min="10721" max="10721" width="10.85546875" style="2" customWidth="1"/>
    <col min="10722" max="10722" width="17.42578125" style="2" customWidth="1"/>
    <col min="10723" max="10723" width="14.85546875" style="2" customWidth="1"/>
    <col min="10724" max="10724" width="15" style="2" customWidth="1"/>
    <col min="10725" max="10725" width="14.85546875" style="2" customWidth="1"/>
    <col min="10726" max="10726" width="7.140625" style="2" customWidth="1"/>
    <col min="10727" max="10728" width="20.140625" style="2" customWidth="1"/>
    <col min="10729" max="10729" width="18.42578125" style="2" customWidth="1"/>
    <col min="10730" max="10730" width="9.140625" style="2" customWidth="1"/>
    <col min="10731" max="10731" width="12" style="2" customWidth="1"/>
    <col min="10732" max="10732" width="14.85546875" style="2" customWidth="1"/>
    <col min="10733" max="10733" width="22.42578125" style="2" customWidth="1"/>
    <col min="10734" max="10734" width="14.85546875" style="2" customWidth="1"/>
    <col min="10735" max="10735" width="7.140625" style="2" customWidth="1"/>
    <col min="10736" max="10736" width="20.140625" style="2" customWidth="1"/>
    <col min="10737" max="10968" width="8.85546875" style="2" customWidth="1"/>
    <col min="10969" max="10969" width="8.140625" style="2" customWidth="1"/>
    <col min="10970" max="10970" width="14.5703125" style="2" customWidth="1"/>
    <col min="10971" max="10971" width="37.42578125" style="2" customWidth="1"/>
    <col min="10972" max="10972" width="63.140625" style="2" customWidth="1"/>
    <col min="10973" max="10973" width="20" style="2" customWidth="1"/>
    <col min="10974" max="10974" width="11.140625" style="2" customWidth="1"/>
    <col min="10975" max="10975" width="10.85546875" style="2" customWidth="1"/>
    <col min="10976" max="10976" width="21" style="2" customWidth="1"/>
    <col min="10977" max="10977" width="10.85546875" style="2" customWidth="1"/>
    <col min="10978" max="10978" width="17.42578125" style="2" customWidth="1"/>
    <col min="10979" max="10979" width="14.85546875" style="2" customWidth="1"/>
    <col min="10980" max="10980" width="15" style="2" customWidth="1"/>
    <col min="10981" max="10981" width="14.85546875" style="2" customWidth="1"/>
    <col min="10982" max="10982" width="7.140625" style="2" customWidth="1"/>
    <col min="10983" max="10984" width="20.140625" style="2" customWidth="1"/>
    <col min="10985" max="10985" width="18.42578125" style="2" customWidth="1"/>
    <col min="10986" max="10986" width="9.140625" style="2" customWidth="1"/>
    <col min="10987" max="10987" width="12" style="2" customWidth="1"/>
    <col min="10988" max="10988" width="14.85546875" style="2" customWidth="1"/>
    <col min="10989" max="10989" width="22.42578125" style="2" customWidth="1"/>
    <col min="10990" max="10990" width="14.85546875" style="2" customWidth="1"/>
    <col min="10991" max="10991" width="7.140625" style="2" customWidth="1"/>
    <col min="10992" max="10992" width="20.140625" style="2" customWidth="1"/>
    <col min="10993" max="11224" width="8.85546875" style="2" customWidth="1"/>
    <col min="11225" max="11225" width="8.140625" style="2" customWidth="1"/>
    <col min="11226" max="11226" width="14.5703125" style="2" customWidth="1"/>
    <col min="11227" max="11227" width="37.42578125" style="2" customWidth="1"/>
    <col min="11228" max="11228" width="63.140625" style="2" customWidth="1"/>
    <col min="11229" max="11229" width="20" style="2" customWidth="1"/>
    <col min="11230" max="11230" width="11.140625" style="2" customWidth="1"/>
    <col min="11231" max="11231" width="10.85546875" style="2" customWidth="1"/>
    <col min="11232" max="11232" width="21" style="2" customWidth="1"/>
    <col min="11233" max="11233" width="10.85546875" style="2" customWidth="1"/>
    <col min="11234" max="11234" width="17.42578125" style="2" customWidth="1"/>
    <col min="11235" max="11235" width="14.85546875" style="2" customWidth="1"/>
    <col min="11236" max="11236" width="15" style="2" customWidth="1"/>
    <col min="11237" max="11237" width="14.85546875" style="2" customWidth="1"/>
    <col min="11238" max="11238" width="7.140625" style="2" customWidth="1"/>
    <col min="11239" max="11240" width="20.140625" style="2" customWidth="1"/>
    <col min="11241" max="11241" width="18.42578125" style="2" customWidth="1"/>
    <col min="11242" max="11242" width="9.140625" style="2" customWidth="1"/>
    <col min="11243" max="11243" width="12" style="2" customWidth="1"/>
    <col min="11244" max="11244" width="14.85546875" style="2" customWidth="1"/>
    <col min="11245" max="11245" width="22.42578125" style="2" customWidth="1"/>
    <col min="11246" max="11246" width="14.85546875" style="2" customWidth="1"/>
    <col min="11247" max="11247" width="7.140625" style="2" customWidth="1"/>
    <col min="11248" max="11248" width="20.140625" style="2" customWidth="1"/>
    <col min="11249" max="11480" width="8.85546875" style="2" customWidth="1"/>
    <col min="11481" max="11481" width="8.140625" style="2" customWidth="1"/>
    <col min="11482" max="11482" width="14.5703125" style="2" customWidth="1"/>
    <col min="11483" max="11483" width="37.42578125" style="2" customWidth="1"/>
    <col min="11484" max="11484" width="63.140625" style="2" customWidth="1"/>
    <col min="11485" max="11485" width="20" style="2" customWidth="1"/>
    <col min="11486" max="11486" width="11.140625" style="2" customWidth="1"/>
    <col min="11487" max="11487" width="10.85546875" style="2" customWidth="1"/>
    <col min="11488" max="11488" width="21" style="2" customWidth="1"/>
    <col min="11489" max="11489" width="10.85546875" style="2" customWidth="1"/>
    <col min="11490" max="11490" width="17.42578125" style="2" customWidth="1"/>
    <col min="11491" max="11491" width="14.85546875" style="2" customWidth="1"/>
    <col min="11492" max="11492" width="15" style="2" customWidth="1"/>
    <col min="11493" max="11493" width="14.85546875" style="2" customWidth="1"/>
    <col min="11494" max="11494" width="7.140625" style="2" customWidth="1"/>
    <col min="11495" max="11496" width="20.140625" style="2" customWidth="1"/>
    <col min="11497" max="11497" width="18.42578125" style="2" customWidth="1"/>
    <col min="11498" max="11498" width="9.140625" style="2" customWidth="1"/>
    <col min="11499" max="11499" width="12" style="2" customWidth="1"/>
    <col min="11500" max="11500" width="14.85546875" style="2" customWidth="1"/>
    <col min="11501" max="11501" width="22.42578125" style="2" customWidth="1"/>
    <col min="11502" max="11502" width="14.85546875" style="2" customWidth="1"/>
    <col min="11503" max="11503" width="7.140625" style="2" customWidth="1"/>
    <col min="11504" max="11504" width="20.140625" style="2" customWidth="1"/>
    <col min="11505" max="11736" width="8.85546875" style="2" customWidth="1"/>
    <col min="11737" max="11737" width="8.140625" style="2" customWidth="1"/>
    <col min="11738" max="11738" width="14.5703125" style="2" customWidth="1"/>
    <col min="11739" max="11739" width="37.42578125" style="2" customWidth="1"/>
    <col min="11740" max="11740" width="63.140625" style="2" customWidth="1"/>
    <col min="11741" max="11741" width="20" style="2" customWidth="1"/>
    <col min="11742" max="11742" width="11.140625" style="2" customWidth="1"/>
    <col min="11743" max="11743" width="10.85546875" style="2" customWidth="1"/>
    <col min="11744" max="11744" width="21" style="2" customWidth="1"/>
    <col min="11745" max="11745" width="10.85546875" style="2" customWidth="1"/>
    <col min="11746" max="11746" width="17.42578125" style="2" customWidth="1"/>
    <col min="11747" max="11747" width="14.85546875" style="2" customWidth="1"/>
    <col min="11748" max="11748" width="15" style="2" customWidth="1"/>
    <col min="11749" max="11749" width="14.85546875" style="2" customWidth="1"/>
    <col min="11750" max="11750" width="7.140625" style="2" customWidth="1"/>
    <col min="11751" max="11752" width="20.140625" style="2" customWidth="1"/>
    <col min="11753" max="11753" width="18.42578125" style="2" customWidth="1"/>
    <col min="11754" max="11754" width="9.140625" style="2" customWidth="1"/>
    <col min="11755" max="11755" width="12" style="2" customWidth="1"/>
    <col min="11756" max="11756" width="14.85546875" style="2" customWidth="1"/>
    <col min="11757" max="11757" width="22.42578125" style="2" customWidth="1"/>
    <col min="11758" max="11758" width="14.85546875" style="2" customWidth="1"/>
    <col min="11759" max="11759" width="7.140625" style="2" customWidth="1"/>
    <col min="11760" max="11760" width="20.140625" style="2" customWidth="1"/>
    <col min="11761" max="11992" width="8.85546875" style="2" customWidth="1"/>
    <col min="11993" max="11993" width="8.140625" style="2" customWidth="1"/>
    <col min="11994" max="11994" width="14.5703125" style="2" customWidth="1"/>
    <col min="11995" max="11995" width="37.42578125" style="2" customWidth="1"/>
    <col min="11996" max="11996" width="63.140625" style="2" customWidth="1"/>
    <col min="11997" max="11997" width="20" style="2" customWidth="1"/>
    <col min="11998" max="11998" width="11.140625" style="2" customWidth="1"/>
    <col min="11999" max="11999" width="10.85546875" style="2" customWidth="1"/>
    <col min="12000" max="12000" width="21" style="2" customWidth="1"/>
    <col min="12001" max="12001" width="10.85546875" style="2" customWidth="1"/>
    <col min="12002" max="12002" width="17.42578125" style="2" customWidth="1"/>
    <col min="12003" max="12003" width="14.85546875" style="2" customWidth="1"/>
    <col min="12004" max="12004" width="15" style="2" customWidth="1"/>
    <col min="12005" max="12005" width="14.85546875" style="2" customWidth="1"/>
    <col min="12006" max="12006" width="7.140625" style="2" customWidth="1"/>
    <col min="12007" max="12008" width="20.140625" style="2" customWidth="1"/>
    <col min="12009" max="12009" width="18.42578125" style="2" customWidth="1"/>
    <col min="12010" max="12010" width="9.140625" style="2" customWidth="1"/>
    <col min="12011" max="12011" width="12" style="2" customWidth="1"/>
    <col min="12012" max="12012" width="14.85546875" style="2" customWidth="1"/>
    <col min="12013" max="12013" width="22.42578125" style="2" customWidth="1"/>
    <col min="12014" max="12014" width="14.85546875" style="2" customWidth="1"/>
    <col min="12015" max="12015" width="7.140625" style="2" customWidth="1"/>
    <col min="12016" max="12016" width="20.140625" style="2" customWidth="1"/>
    <col min="12017" max="12248" width="8.85546875" style="2" customWidth="1"/>
    <col min="12249" max="12249" width="8.140625" style="2" customWidth="1"/>
    <col min="12250" max="12250" width="14.5703125" style="2" customWidth="1"/>
    <col min="12251" max="12251" width="37.42578125" style="2" customWidth="1"/>
    <col min="12252" max="12252" width="63.140625" style="2" customWidth="1"/>
    <col min="12253" max="12253" width="20" style="2" customWidth="1"/>
    <col min="12254" max="12254" width="11.140625" style="2" customWidth="1"/>
    <col min="12255" max="12255" width="10.85546875" style="2" customWidth="1"/>
    <col min="12256" max="12256" width="21" style="2" customWidth="1"/>
    <col min="12257" max="12257" width="10.85546875" style="2" customWidth="1"/>
    <col min="12258" max="12258" width="17.42578125" style="2" customWidth="1"/>
    <col min="12259" max="12259" width="14.85546875" style="2" customWidth="1"/>
    <col min="12260" max="12260" width="15" style="2" customWidth="1"/>
    <col min="12261" max="12261" width="14.85546875" style="2" customWidth="1"/>
    <col min="12262" max="12262" width="7.140625" style="2" customWidth="1"/>
    <col min="12263" max="12264" width="20.140625" style="2" customWidth="1"/>
    <col min="12265" max="12265" width="18.42578125" style="2" customWidth="1"/>
    <col min="12266" max="12266" width="9.140625" style="2" customWidth="1"/>
    <col min="12267" max="12267" width="12" style="2" customWidth="1"/>
    <col min="12268" max="12268" width="14.85546875" style="2" customWidth="1"/>
    <col min="12269" max="12269" width="22.42578125" style="2" customWidth="1"/>
    <col min="12270" max="12270" width="14.85546875" style="2" customWidth="1"/>
    <col min="12271" max="12271" width="7.140625" style="2" customWidth="1"/>
    <col min="12272" max="12272" width="20.140625" style="2" customWidth="1"/>
    <col min="12273" max="12504" width="8.85546875" style="2" customWidth="1"/>
    <col min="12505" max="12505" width="8.140625" style="2" customWidth="1"/>
    <col min="12506" max="12506" width="14.5703125" style="2" customWidth="1"/>
    <col min="12507" max="12507" width="37.42578125" style="2" customWidth="1"/>
    <col min="12508" max="12508" width="63.140625" style="2" customWidth="1"/>
    <col min="12509" max="12509" width="20" style="2" customWidth="1"/>
    <col min="12510" max="12510" width="11.140625" style="2" customWidth="1"/>
    <col min="12511" max="12511" width="10.85546875" style="2" customWidth="1"/>
    <col min="12512" max="12512" width="21" style="2" customWidth="1"/>
    <col min="12513" max="12513" width="10.85546875" style="2" customWidth="1"/>
    <col min="12514" max="12514" width="17.42578125" style="2" customWidth="1"/>
    <col min="12515" max="12515" width="14.85546875" style="2" customWidth="1"/>
    <col min="12516" max="12516" width="15" style="2" customWidth="1"/>
    <col min="12517" max="12517" width="14.85546875" style="2" customWidth="1"/>
    <col min="12518" max="12518" width="7.140625" style="2" customWidth="1"/>
    <col min="12519" max="12520" width="20.140625" style="2" customWidth="1"/>
    <col min="12521" max="12521" width="18.42578125" style="2" customWidth="1"/>
    <col min="12522" max="12522" width="9.140625" style="2" customWidth="1"/>
    <col min="12523" max="12523" width="12" style="2" customWidth="1"/>
    <col min="12524" max="12524" width="14.85546875" style="2" customWidth="1"/>
    <col min="12525" max="12525" width="22.42578125" style="2" customWidth="1"/>
    <col min="12526" max="12526" width="14.85546875" style="2" customWidth="1"/>
    <col min="12527" max="12527" width="7.140625" style="2" customWidth="1"/>
    <col min="12528" max="12528" width="20.140625" style="2" customWidth="1"/>
    <col min="12529" max="12760" width="8.85546875" style="2" customWidth="1"/>
    <col min="12761" max="12761" width="8.140625" style="2" customWidth="1"/>
    <col min="12762" max="12762" width="14.5703125" style="2" customWidth="1"/>
    <col min="12763" max="12763" width="37.42578125" style="2" customWidth="1"/>
    <col min="12764" max="12764" width="63.140625" style="2" customWidth="1"/>
    <col min="12765" max="12765" width="20" style="2" customWidth="1"/>
    <col min="12766" max="12766" width="11.140625" style="2" customWidth="1"/>
    <col min="12767" max="12767" width="10.85546875" style="2" customWidth="1"/>
    <col min="12768" max="12768" width="21" style="2" customWidth="1"/>
    <col min="12769" max="12769" width="10.85546875" style="2" customWidth="1"/>
    <col min="12770" max="12770" width="17.42578125" style="2" customWidth="1"/>
    <col min="12771" max="12771" width="14.85546875" style="2" customWidth="1"/>
    <col min="12772" max="12772" width="15" style="2" customWidth="1"/>
    <col min="12773" max="12773" width="14.85546875" style="2" customWidth="1"/>
    <col min="12774" max="12774" width="7.140625" style="2" customWidth="1"/>
    <col min="12775" max="12776" width="20.140625" style="2" customWidth="1"/>
    <col min="12777" max="12777" width="18.42578125" style="2" customWidth="1"/>
    <col min="12778" max="12778" width="9.140625" style="2" customWidth="1"/>
    <col min="12779" max="12779" width="12" style="2" customWidth="1"/>
    <col min="12780" max="12780" width="14.85546875" style="2" customWidth="1"/>
    <col min="12781" max="12781" width="22.42578125" style="2" customWidth="1"/>
    <col min="12782" max="12782" width="14.85546875" style="2" customWidth="1"/>
    <col min="12783" max="12783" width="7.140625" style="2" customWidth="1"/>
    <col min="12784" max="12784" width="20.140625" style="2" customWidth="1"/>
    <col min="12785" max="13016" width="8.85546875" style="2" customWidth="1"/>
    <col min="13017" max="13017" width="8.140625" style="2" customWidth="1"/>
    <col min="13018" max="13018" width="14.5703125" style="2" customWidth="1"/>
    <col min="13019" max="13019" width="37.42578125" style="2" customWidth="1"/>
    <col min="13020" max="13020" width="63.140625" style="2" customWidth="1"/>
    <col min="13021" max="13021" width="20" style="2" customWidth="1"/>
    <col min="13022" max="13022" width="11.140625" style="2" customWidth="1"/>
    <col min="13023" max="13023" width="10.85546875" style="2" customWidth="1"/>
    <col min="13024" max="13024" width="21" style="2" customWidth="1"/>
    <col min="13025" max="13025" width="10.85546875" style="2" customWidth="1"/>
    <col min="13026" max="13026" width="17.42578125" style="2" customWidth="1"/>
    <col min="13027" max="13027" width="14.85546875" style="2" customWidth="1"/>
    <col min="13028" max="13028" width="15" style="2" customWidth="1"/>
    <col min="13029" max="13029" width="14.85546875" style="2" customWidth="1"/>
    <col min="13030" max="13030" width="7.140625" style="2" customWidth="1"/>
    <col min="13031" max="13032" width="20.140625" style="2" customWidth="1"/>
    <col min="13033" max="13033" width="18.42578125" style="2" customWidth="1"/>
    <col min="13034" max="13034" width="9.140625" style="2" customWidth="1"/>
    <col min="13035" max="13035" width="12" style="2" customWidth="1"/>
    <col min="13036" max="13036" width="14.85546875" style="2" customWidth="1"/>
    <col min="13037" max="13037" width="22.42578125" style="2" customWidth="1"/>
    <col min="13038" max="13038" width="14.85546875" style="2" customWidth="1"/>
    <col min="13039" max="13039" width="7.140625" style="2" customWidth="1"/>
    <col min="13040" max="13040" width="20.140625" style="2" customWidth="1"/>
    <col min="13041" max="13272" width="8.85546875" style="2" customWidth="1"/>
    <col min="13273" max="13273" width="8.140625" style="2" customWidth="1"/>
    <col min="13274" max="13274" width="14.5703125" style="2" customWidth="1"/>
    <col min="13275" max="13275" width="37.42578125" style="2" customWidth="1"/>
    <col min="13276" max="13276" width="63.140625" style="2" customWidth="1"/>
    <col min="13277" max="13277" width="20" style="2" customWidth="1"/>
    <col min="13278" max="13278" width="11.140625" style="2" customWidth="1"/>
    <col min="13279" max="13279" width="10.85546875" style="2" customWidth="1"/>
    <col min="13280" max="13280" width="21" style="2" customWidth="1"/>
    <col min="13281" max="13281" width="10.85546875" style="2" customWidth="1"/>
    <col min="13282" max="13282" width="17.42578125" style="2" customWidth="1"/>
    <col min="13283" max="13283" width="14.85546875" style="2" customWidth="1"/>
    <col min="13284" max="13284" width="15" style="2" customWidth="1"/>
    <col min="13285" max="13285" width="14.85546875" style="2" customWidth="1"/>
    <col min="13286" max="13286" width="7.140625" style="2" customWidth="1"/>
    <col min="13287" max="13288" width="20.140625" style="2" customWidth="1"/>
    <col min="13289" max="13289" width="18.42578125" style="2" customWidth="1"/>
    <col min="13290" max="13290" width="9.140625" style="2" customWidth="1"/>
    <col min="13291" max="13291" width="12" style="2" customWidth="1"/>
    <col min="13292" max="13292" width="14.85546875" style="2" customWidth="1"/>
    <col min="13293" max="13293" width="22.42578125" style="2" customWidth="1"/>
    <col min="13294" max="13294" width="14.85546875" style="2" customWidth="1"/>
    <col min="13295" max="13295" width="7.140625" style="2" customWidth="1"/>
    <col min="13296" max="13296" width="20.140625" style="2" customWidth="1"/>
    <col min="13297" max="13528" width="8.85546875" style="2" customWidth="1"/>
    <col min="13529" max="13529" width="8.140625" style="2" customWidth="1"/>
    <col min="13530" max="13530" width="14.5703125" style="2" customWidth="1"/>
    <col min="13531" max="13531" width="37.42578125" style="2" customWidth="1"/>
    <col min="13532" max="13532" width="63.140625" style="2" customWidth="1"/>
    <col min="13533" max="13533" width="20" style="2" customWidth="1"/>
    <col min="13534" max="13534" width="11.140625" style="2" customWidth="1"/>
    <col min="13535" max="13535" width="10.85546875" style="2" customWidth="1"/>
    <col min="13536" max="13536" width="21" style="2" customWidth="1"/>
    <col min="13537" max="13537" width="10.85546875" style="2" customWidth="1"/>
    <col min="13538" max="13538" width="17.42578125" style="2" customWidth="1"/>
    <col min="13539" max="13539" width="14.85546875" style="2" customWidth="1"/>
    <col min="13540" max="13540" width="15" style="2" customWidth="1"/>
    <col min="13541" max="13541" width="14.85546875" style="2" customWidth="1"/>
    <col min="13542" max="13542" width="7.140625" style="2" customWidth="1"/>
    <col min="13543" max="13544" width="20.140625" style="2" customWidth="1"/>
    <col min="13545" max="13545" width="18.42578125" style="2" customWidth="1"/>
    <col min="13546" max="13546" width="9.140625" style="2" customWidth="1"/>
    <col min="13547" max="13547" width="12" style="2" customWidth="1"/>
    <col min="13548" max="13548" width="14.85546875" style="2" customWidth="1"/>
    <col min="13549" max="13549" width="22.42578125" style="2" customWidth="1"/>
    <col min="13550" max="13550" width="14.85546875" style="2" customWidth="1"/>
    <col min="13551" max="13551" width="7.140625" style="2" customWidth="1"/>
    <col min="13552" max="13552" width="20.140625" style="2" customWidth="1"/>
    <col min="13553" max="13784" width="8.85546875" style="2" customWidth="1"/>
    <col min="13785" max="13785" width="8.140625" style="2" customWidth="1"/>
    <col min="13786" max="13786" width="14.5703125" style="2" customWidth="1"/>
    <col min="13787" max="13787" width="37.42578125" style="2" customWidth="1"/>
    <col min="13788" max="13788" width="63.140625" style="2" customWidth="1"/>
    <col min="13789" max="13789" width="20" style="2" customWidth="1"/>
    <col min="13790" max="13790" width="11.140625" style="2" customWidth="1"/>
    <col min="13791" max="13791" width="10.85546875" style="2" customWidth="1"/>
    <col min="13792" max="13792" width="21" style="2" customWidth="1"/>
    <col min="13793" max="13793" width="10.85546875" style="2" customWidth="1"/>
    <col min="13794" max="13794" width="17.42578125" style="2" customWidth="1"/>
    <col min="13795" max="13795" width="14.85546875" style="2" customWidth="1"/>
    <col min="13796" max="13796" width="15" style="2" customWidth="1"/>
    <col min="13797" max="13797" width="14.85546875" style="2" customWidth="1"/>
    <col min="13798" max="13798" width="7.140625" style="2" customWidth="1"/>
    <col min="13799" max="13800" width="20.140625" style="2" customWidth="1"/>
    <col min="13801" max="13801" width="18.42578125" style="2" customWidth="1"/>
    <col min="13802" max="13802" width="9.140625" style="2" customWidth="1"/>
    <col min="13803" max="13803" width="12" style="2" customWidth="1"/>
    <col min="13804" max="13804" width="14.85546875" style="2" customWidth="1"/>
    <col min="13805" max="13805" width="22.42578125" style="2" customWidth="1"/>
    <col min="13806" max="13806" width="14.85546875" style="2" customWidth="1"/>
    <col min="13807" max="13807" width="7.140625" style="2" customWidth="1"/>
    <col min="13808" max="13808" width="20.140625" style="2" customWidth="1"/>
    <col min="13809" max="14040" width="8.85546875" style="2" customWidth="1"/>
    <col min="14041" max="14041" width="8.140625" style="2" customWidth="1"/>
    <col min="14042" max="14042" width="14.5703125" style="2" customWidth="1"/>
    <col min="14043" max="14043" width="37.42578125" style="2" customWidth="1"/>
    <col min="14044" max="14044" width="63.140625" style="2" customWidth="1"/>
    <col min="14045" max="14045" width="20" style="2" customWidth="1"/>
    <col min="14046" max="14046" width="11.140625" style="2" customWidth="1"/>
    <col min="14047" max="14047" width="10.85546875" style="2" customWidth="1"/>
    <col min="14048" max="14048" width="21" style="2" customWidth="1"/>
    <col min="14049" max="14049" width="10.85546875" style="2" customWidth="1"/>
    <col min="14050" max="14050" width="17.42578125" style="2" customWidth="1"/>
    <col min="14051" max="14051" width="14.85546875" style="2" customWidth="1"/>
    <col min="14052" max="14052" width="15" style="2" customWidth="1"/>
    <col min="14053" max="14053" width="14.85546875" style="2" customWidth="1"/>
    <col min="14054" max="14054" width="7.140625" style="2" customWidth="1"/>
    <col min="14055" max="14056" width="20.140625" style="2" customWidth="1"/>
    <col min="14057" max="14057" width="18.42578125" style="2" customWidth="1"/>
    <col min="14058" max="14058" width="9.140625" style="2" customWidth="1"/>
    <col min="14059" max="14059" width="12" style="2" customWidth="1"/>
    <col min="14060" max="14060" width="14.85546875" style="2" customWidth="1"/>
    <col min="14061" max="14061" width="22.42578125" style="2" customWidth="1"/>
    <col min="14062" max="14062" width="14.85546875" style="2" customWidth="1"/>
    <col min="14063" max="14063" width="7.140625" style="2" customWidth="1"/>
    <col min="14064" max="14064" width="20.140625" style="2" customWidth="1"/>
    <col min="14065" max="14296" width="8.85546875" style="2" customWidth="1"/>
    <col min="14297" max="14297" width="8.140625" style="2" customWidth="1"/>
    <col min="14298" max="14298" width="14.5703125" style="2" customWidth="1"/>
    <col min="14299" max="14299" width="37.42578125" style="2" customWidth="1"/>
    <col min="14300" max="14300" width="63.140625" style="2" customWidth="1"/>
    <col min="14301" max="14301" width="20" style="2" customWidth="1"/>
    <col min="14302" max="14302" width="11.140625" style="2" customWidth="1"/>
    <col min="14303" max="14303" width="10.85546875" style="2" customWidth="1"/>
    <col min="14304" max="14304" width="21" style="2" customWidth="1"/>
    <col min="14305" max="14305" width="10.85546875" style="2" customWidth="1"/>
    <col min="14306" max="14306" width="17.42578125" style="2" customWidth="1"/>
    <col min="14307" max="14307" width="14.85546875" style="2" customWidth="1"/>
    <col min="14308" max="14308" width="15" style="2" customWidth="1"/>
    <col min="14309" max="14309" width="14.85546875" style="2" customWidth="1"/>
    <col min="14310" max="14310" width="7.140625" style="2" customWidth="1"/>
    <col min="14311" max="14312" width="20.140625" style="2" customWidth="1"/>
    <col min="14313" max="14313" width="18.42578125" style="2" customWidth="1"/>
    <col min="14314" max="14314" width="9.140625" style="2" customWidth="1"/>
    <col min="14315" max="14315" width="12" style="2" customWidth="1"/>
    <col min="14316" max="14316" width="14.85546875" style="2" customWidth="1"/>
    <col min="14317" max="14317" width="22.42578125" style="2" customWidth="1"/>
    <col min="14318" max="14318" width="14.85546875" style="2" customWidth="1"/>
    <col min="14319" max="14319" width="7.140625" style="2" customWidth="1"/>
    <col min="14320" max="14320" width="20.140625" style="2" customWidth="1"/>
    <col min="14321" max="14552" width="8.85546875" style="2" customWidth="1"/>
    <col min="14553" max="14553" width="8.140625" style="2" customWidth="1"/>
    <col min="14554" max="14554" width="14.5703125" style="2" customWidth="1"/>
    <col min="14555" max="14555" width="37.42578125" style="2" customWidth="1"/>
    <col min="14556" max="14556" width="63.140625" style="2" customWidth="1"/>
    <col min="14557" max="14557" width="20" style="2" customWidth="1"/>
    <col min="14558" max="14558" width="11.140625" style="2" customWidth="1"/>
    <col min="14559" max="14559" width="10.85546875" style="2" customWidth="1"/>
    <col min="14560" max="14560" width="21" style="2" customWidth="1"/>
    <col min="14561" max="14561" width="10.85546875" style="2" customWidth="1"/>
    <col min="14562" max="14562" width="17.42578125" style="2" customWidth="1"/>
    <col min="14563" max="14563" width="14.85546875" style="2" customWidth="1"/>
    <col min="14564" max="14564" width="15" style="2" customWidth="1"/>
    <col min="14565" max="14565" width="14.85546875" style="2" customWidth="1"/>
    <col min="14566" max="14566" width="7.140625" style="2" customWidth="1"/>
    <col min="14567" max="14568" width="20.140625" style="2" customWidth="1"/>
    <col min="14569" max="14569" width="18.42578125" style="2" customWidth="1"/>
    <col min="14570" max="14570" width="9.140625" style="2" customWidth="1"/>
    <col min="14571" max="14571" width="12" style="2" customWidth="1"/>
    <col min="14572" max="14572" width="14.85546875" style="2" customWidth="1"/>
    <col min="14573" max="14573" width="22.42578125" style="2" customWidth="1"/>
    <col min="14574" max="14574" width="14.85546875" style="2" customWidth="1"/>
    <col min="14575" max="14575" width="7.140625" style="2" customWidth="1"/>
    <col min="14576" max="14576" width="20.140625" style="2" customWidth="1"/>
    <col min="14577" max="14808" width="8.85546875" style="2" customWidth="1"/>
    <col min="14809" max="14809" width="8.140625" style="2" customWidth="1"/>
    <col min="14810" max="14810" width="14.5703125" style="2" customWidth="1"/>
    <col min="14811" max="14811" width="37.42578125" style="2" customWidth="1"/>
    <col min="14812" max="14812" width="63.140625" style="2" customWidth="1"/>
    <col min="14813" max="14813" width="20" style="2" customWidth="1"/>
    <col min="14814" max="14814" width="11.140625" style="2" customWidth="1"/>
    <col min="14815" max="14815" width="10.85546875" style="2" customWidth="1"/>
    <col min="14816" max="14816" width="21" style="2" customWidth="1"/>
    <col min="14817" max="14817" width="10.85546875" style="2" customWidth="1"/>
    <col min="14818" max="14818" width="17.42578125" style="2" customWidth="1"/>
    <col min="14819" max="14819" width="14.85546875" style="2" customWidth="1"/>
    <col min="14820" max="14820" width="15" style="2" customWidth="1"/>
    <col min="14821" max="14821" width="14.85546875" style="2" customWidth="1"/>
    <col min="14822" max="14822" width="7.140625" style="2" customWidth="1"/>
    <col min="14823" max="14824" width="20.140625" style="2" customWidth="1"/>
    <col min="14825" max="14825" width="18.42578125" style="2" customWidth="1"/>
    <col min="14826" max="14826" width="9.140625" style="2" customWidth="1"/>
    <col min="14827" max="14827" width="12" style="2" customWidth="1"/>
    <col min="14828" max="14828" width="14.85546875" style="2" customWidth="1"/>
    <col min="14829" max="14829" width="22.42578125" style="2" customWidth="1"/>
    <col min="14830" max="14830" width="14.85546875" style="2" customWidth="1"/>
    <col min="14831" max="14831" width="7.140625" style="2" customWidth="1"/>
    <col min="14832" max="14832" width="20.140625" style="2" customWidth="1"/>
    <col min="14833" max="15064" width="8.85546875" style="2" customWidth="1"/>
    <col min="15065" max="15065" width="8.140625" style="2" customWidth="1"/>
    <col min="15066" max="15066" width="14.5703125" style="2" customWidth="1"/>
    <col min="15067" max="15067" width="37.42578125" style="2" customWidth="1"/>
    <col min="15068" max="15068" width="63.140625" style="2" customWidth="1"/>
    <col min="15069" max="15069" width="20" style="2" customWidth="1"/>
    <col min="15070" max="15070" width="11.140625" style="2" customWidth="1"/>
    <col min="15071" max="15071" width="10.85546875" style="2" customWidth="1"/>
    <col min="15072" max="15072" width="21" style="2" customWidth="1"/>
    <col min="15073" max="15073" width="10.85546875" style="2" customWidth="1"/>
    <col min="15074" max="15074" width="17.42578125" style="2" customWidth="1"/>
    <col min="15075" max="15075" width="14.85546875" style="2" customWidth="1"/>
    <col min="15076" max="15076" width="15" style="2" customWidth="1"/>
    <col min="15077" max="15077" width="14.85546875" style="2" customWidth="1"/>
    <col min="15078" max="15078" width="7.140625" style="2" customWidth="1"/>
    <col min="15079" max="15080" width="20.140625" style="2" customWidth="1"/>
    <col min="15081" max="15081" width="18.42578125" style="2" customWidth="1"/>
    <col min="15082" max="15082" width="9.140625" style="2" customWidth="1"/>
    <col min="15083" max="15083" width="12" style="2" customWidth="1"/>
    <col min="15084" max="15084" width="14.85546875" style="2" customWidth="1"/>
    <col min="15085" max="15085" width="22.42578125" style="2" customWidth="1"/>
    <col min="15086" max="15086" width="14.85546875" style="2" customWidth="1"/>
    <col min="15087" max="15087" width="7.140625" style="2" customWidth="1"/>
    <col min="15088" max="15088" width="20.140625" style="2" customWidth="1"/>
    <col min="15089" max="15320" width="8.85546875" style="2" customWidth="1"/>
    <col min="15321" max="15321" width="8.140625" style="2" customWidth="1"/>
    <col min="15322" max="15322" width="14.5703125" style="2" customWidth="1"/>
    <col min="15323" max="15323" width="37.42578125" style="2" customWidth="1"/>
    <col min="15324" max="15324" width="63.140625" style="2" customWidth="1"/>
    <col min="15325" max="15325" width="20" style="2" customWidth="1"/>
    <col min="15326" max="15326" width="11.140625" style="2" customWidth="1"/>
    <col min="15327" max="15327" width="10.85546875" style="2" customWidth="1"/>
    <col min="15328" max="15328" width="21" style="2" customWidth="1"/>
    <col min="15329" max="15329" width="10.85546875" style="2" customWidth="1"/>
    <col min="15330" max="15330" width="17.42578125" style="2" customWidth="1"/>
    <col min="15331" max="15331" width="14.85546875" style="2" customWidth="1"/>
    <col min="15332" max="15332" width="15" style="2" customWidth="1"/>
    <col min="15333" max="15333" width="14.85546875" style="2" customWidth="1"/>
    <col min="15334" max="15334" width="7.140625" style="2" customWidth="1"/>
    <col min="15335" max="15336" width="20.140625" style="2" customWidth="1"/>
    <col min="15337" max="15337" width="18.42578125" style="2" customWidth="1"/>
    <col min="15338" max="15338" width="9.140625" style="2" customWidth="1"/>
    <col min="15339" max="15339" width="12" style="2" customWidth="1"/>
    <col min="15340" max="15340" width="14.85546875" style="2" customWidth="1"/>
    <col min="15341" max="15341" width="22.42578125" style="2" customWidth="1"/>
    <col min="15342" max="15342" width="14.85546875" style="2" customWidth="1"/>
    <col min="15343" max="15343" width="7.140625" style="2" customWidth="1"/>
    <col min="15344" max="15344" width="20.140625" style="2" customWidth="1"/>
    <col min="15345" max="15576" width="8.85546875" style="2" customWidth="1"/>
    <col min="15577" max="15577" width="8.140625" style="2" customWidth="1"/>
    <col min="15578" max="15578" width="14.5703125" style="2" customWidth="1"/>
    <col min="15579" max="15579" width="37.42578125" style="2" customWidth="1"/>
    <col min="15580" max="15580" width="63.140625" style="2" customWidth="1"/>
    <col min="15581" max="15581" width="20" style="2" customWidth="1"/>
    <col min="15582" max="15582" width="11.140625" style="2" customWidth="1"/>
    <col min="15583" max="15583" width="10.85546875" style="2" customWidth="1"/>
    <col min="15584" max="15584" width="21" style="2" customWidth="1"/>
    <col min="15585" max="15585" width="10.85546875" style="2" customWidth="1"/>
    <col min="15586" max="15586" width="17.42578125" style="2" customWidth="1"/>
    <col min="15587" max="15587" width="14.85546875" style="2" customWidth="1"/>
    <col min="15588" max="15588" width="15" style="2" customWidth="1"/>
    <col min="15589" max="15589" width="14.85546875" style="2" customWidth="1"/>
    <col min="15590" max="15590" width="7.140625" style="2" customWidth="1"/>
    <col min="15591" max="15592" width="20.140625" style="2" customWidth="1"/>
    <col min="15593" max="15593" width="18.42578125" style="2" customWidth="1"/>
    <col min="15594" max="15594" width="9.140625" style="2" customWidth="1"/>
    <col min="15595" max="15595" width="12" style="2" customWidth="1"/>
    <col min="15596" max="15596" width="14.85546875" style="2" customWidth="1"/>
    <col min="15597" max="15597" width="22.42578125" style="2" customWidth="1"/>
    <col min="15598" max="15598" width="14.85546875" style="2" customWidth="1"/>
    <col min="15599" max="15599" width="7.140625" style="2" customWidth="1"/>
    <col min="15600" max="15600" width="20.140625" style="2" customWidth="1"/>
    <col min="15601" max="15832" width="8.85546875" style="2" customWidth="1"/>
    <col min="15833" max="15833" width="8.140625" style="2" customWidth="1"/>
    <col min="15834" max="15834" width="14.5703125" style="2" customWidth="1"/>
    <col min="15835" max="15835" width="37.42578125" style="2" customWidth="1"/>
    <col min="15836" max="15836" width="63.140625" style="2" customWidth="1"/>
    <col min="15837" max="15837" width="20" style="2" customWidth="1"/>
    <col min="15838" max="15838" width="11.140625" style="2" customWidth="1"/>
    <col min="15839" max="15839" width="10.85546875" style="2" customWidth="1"/>
    <col min="15840" max="15840" width="21" style="2" customWidth="1"/>
    <col min="15841" max="15841" width="10.85546875" style="2" customWidth="1"/>
    <col min="15842" max="15842" width="17.42578125" style="2" customWidth="1"/>
    <col min="15843" max="15843" width="14.85546875" style="2" customWidth="1"/>
    <col min="15844" max="15844" width="15" style="2" customWidth="1"/>
    <col min="15845" max="15845" width="14.85546875" style="2" customWidth="1"/>
    <col min="15846" max="15846" width="7.140625" style="2" customWidth="1"/>
    <col min="15847" max="15848" width="20.140625" style="2" customWidth="1"/>
    <col min="15849" max="15849" width="18.42578125" style="2" customWidth="1"/>
    <col min="15850" max="15850" width="9.140625" style="2" customWidth="1"/>
    <col min="15851" max="15851" width="12" style="2" customWidth="1"/>
    <col min="15852" max="15852" width="14.85546875" style="2" customWidth="1"/>
    <col min="15853" max="15853" width="22.42578125" style="2" customWidth="1"/>
    <col min="15854" max="15854" width="14.85546875" style="2" customWidth="1"/>
    <col min="15855" max="15855" width="7.140625" style="2" customWidth="1"/>
    <col min="15856" max="15856" width="20.140625" style="2" customWidth="1"/>
    <col min="15857" max="16088" width="8.85546875" style="2" customWidth="1"/>
    <col min="16089" max="16089" width="8.140625" style="2" customWidth="1"/>
    <col min="16090" max="16090" width="14.5703125" style="2" customWidth="1"/>
    <col min="16091" max="16091" width="37.42578125" style="2" customWidth="1"/>
    <col min="16092" max="16092" width="63.140625" style="2" customWidth="1"/>
    <col min="16093" max="16093" width="20" style="2" customWidth="1"/>
    <col min="16094" max="16094" width="11.140625" style="2" customWidth="1"/>
    <col min="16095" max="16095" width="10.85546875" style="2" customWidth="1"/>
    <col min="16096" max="16096" width="21" style="2" customWidth="1"/>
    <col min="16097" max="16097" width="10.85546875" style="2" customWidth="1"/>
    <col min="16098" max="16098" width="17.42578125" style="2" customWidth="1"/>
    <col min="16099" max="16099" width="14.85546875" style="2" customWidth="1"/>
    <col min="16100" max="16100" width="15" style="2" customWidth="1"/>
    <col min="16101" max="16101" width="14.85546875" style="2" customWidth="1"/>
    <col min="16102" max="16102" width="7.140625" style="2" customWidth="1"/>
    <col min="16103" max="16104" width="20.140625" style="2" customWidth="1"/>
    <col min="16105" max="16105" width="18.42578125" style="2" customWidth="1"/>
    <col min="16106" max="16106" width="9.140625" style="2" customWidth="1"/>
    <col min="16107" max="16107" width="12" style="2" customWidth="1"/>
    <col min="16108" max="16108" width="14.85546875" style="2" customWidth="1"/>
    <col min="16109" max="16109" width="22.42578125" style="2" customWidth="1"/>
    <col min="16110" max="16110" width="14.85546875" style="2" customWidth="1"/>
    <col min="16111" max="16111" width="7.140625" style="2" customWidth="1"/>
    <col min="16112" max="16112" width="20.140625" style="2" customWidth="1"/>
    <col min="16113" max="16384" width="8.85546875" style="2" customWidth="1"/>
  </cols>
  <sheetData>
    <row r="1" spans="1:21" ht="14.1" customHeight="1">
      <c r="A1" s="1" t="s">
        <v>1420</v>
      </c>
      <c r="B1" s="2"/>
      <c r="C1" s="2"/>
      <c r="D1" s="2"/>
      <c r="F1" s="2"/>
      <c r="H1" s="2"/>
      <c r="J1" s="2"/>
      <c r="K1" s="2"/>
      <c r="L1" s="2"/>
      <c r="M1" s="2"/>
      <c r="N1" s="2"/>
      <c r="O1" s="2"/>
      <c r="P1" s="2"/>
      <c r="R1" s="10"/>
    </row>
    <row r="2" spans="1:21" ht="14.1" customHeight="1">
      <c r="A2" s="4" t="s">
        <v>1421</v>
      </c>
      <c r="B2" s="2"/>
      <c r="C2" s="2"/>
      <c r="D2" s="2"/>
      <c r="F2" s="2"/>
      <c r="H2" s="4"/>
      <c r="J2" s="2"/>
      <c r="K2" s="4"/>
      <c r="L2" s="2"/>
      <c r="M2" s="2"/>
      <c r="N2" s="2"/>
      <c r="O2" s="2"/>
      <c r="P2" s="2"/>
      <c r="R2" s="336"/>
    </row>
    <row r="3" spans="1:21" ht="14.1" customHeight="1">
      <c r="B3" s="16"/>
      <c r="C3" s="16"/>
      <c r="D3" s="23"/>
      <c r="E3" s="16"/>
      <c r="F3" s="23"/>
      <c r="G3" s="1"/>
      <c r="H3" s="25"/>
      <c r="I3" s="15"/>
      <c r="J3" s="25"/>
      <c r="K3" s="25"/>
      <c r="L3" s="25"/>
      <c r="M3" s="25"/>
      <c r="N3" s="25"/>
      <c r="O3" s="25"/>
      <c r="P3" s="25"/>
      <c r="R3" s="355" t="s">
        <v>2</v>
      </c>
    </row>
    <row r="4" spans="1:21" s="3" customFormat="1" ht="33" customHeight="1">
      <c r="A4" s="21" t="s">
        <v>3</v>
      </c>
      <c r="B4" s="52" t="s">
        <v>4</v>
      </c>
      <c r="C4" s="52" t="s">
        <v>5</v>
      </c>
      <c r="D4" s="21" t="s">
        <v>6</v>
      </c>
      <c r="E4" s="21" t="s">
        <v>7</v>
      </c>
      <c r="F4" s="21" t="s">
        <v>8</v>
      </c>
      <c r="G4" s="21" t="s">
        <v>9</v>
      </c>
      <c r="H4" s="21" t="s">
        <v>10</v>
      </c>
      <c r="I4" s="21" t="s">
        <v>11</v>
      </c>
      <c r="J4" s="21" t="s">
        <v>12</v>
      </c>
      <c r="K4" s="21" t="s">
        <v>13</v>
      </c>
      <c r="L4" s="21" t="s">
        <v>14</v>
      </c>
      <c r="M4" s="21" t="s">
        <v>15</v>
      </c>
      <c r="N4" s="21" t="s">
        <v>16</v>
      </c>
      <c r="O4" s="21" t="s">
        <v>17</v>
      </c>
      <c r="P4" s="21" t="s">
        <v>18</v>
      </c>
      <c r="R4" s="41" t="s">
        <v>19</v>
      </c>
      <c r="S4" s="20"/>
      <c r="T4" s="42" t="s">
        <v>20</v>
      </c>
      <c r="U4" s="42" t="s">
        <v>21</v>
      </c>
    </row>
    <row r="5" spans="1:21" ht="14.1" customHeight="1">
      <c r="A5" s="7">
        <v>1</v>
      </c>
      <c r="B5" s="14" t="s">
        <v>124</v>
      </c>
      <c r="C5" s="14" t="s">
        <v>1422</v>
      </c>
      <c r="D5" s="7" t="s">
        <v>252</v>
      </c>
      <c r="E5" s="14" t="s">
        <v>409</v>
      </c>
      <c r="F5" s="7" t="s">
        <v>26</v>
      </c>
      <c r="G5" s="67" t="s">
        <v>1423</v>
      </c>
      <c r="H5" s="29" t="s">
        <v>1424</v>
      </c>
      <c r="I5" s="8" t="s">
        <v>1425</v>
      </c>
      <c r="J5" s="7" t="s">
        <v>123</v>
      </c>
      <c r="K5" s="7" t="s">
        <v>1426</v>
      </c>
      <c r="L5" s="7" t="s">
        <v>322</v>
      </c>
      <c r="M5" s="7">
        <v>830160</v>
      </c>
      <c r="N5" s="7">
        <v>120</v>
      </c>
      <c r="O5" s="7">
        <v>65</v>
      </c>
      <c r="P5" s="7"/>
      <c r="R5" s="9">
        <v>1506.693898026399</v>
      </c>
      <c r="T5" s="7" t="s">
        <v>34</v>
      </c>
      <c r="U5" s="7" t="s">
        <v>34</v>
      </c>
    </row>
    <row r="6" spans="1:21" ht="14.1" customHeight="1">
      <c r="A6" s="7">
        <v>2</v>
      </c>
      <c r="B6" s="14" t="s">
        <v>124</v>
      </c>
      <c r="C6" s="14" t="s">
        <v>1422</v>
      </c>
      <c r="D6" s="7" t="s">
        <v>252</v>
      </c>
      <c r="E6" s="14" t="s">
        <v>409</v>
      </c>
      <c r="F6" s="7" t="s">
        <v>26</v>
      </c>
      <c r="G6" s="67" t="s">
        <v>1427</v>
      </c>
      <c r="H6" s="29" t="s">
        <v>1424</v>
      </c>
      <c r="I6" s="8" t="s">
        <v>1428</v>
      </c>
      <c r="J6" s="7" t="s">
        <v>123</v>
      </c>
      <c r="K6" s="7" t="s">
        <v>1426</v>
      </c>
      <c r="L6" s="7" t="s">
        <v>322</v>
      </c>
      <c r="M6" s="7">
        <v>830160</v>
      </c>
      <c r="N6" s="7">
        <v>120</v>
      </c>
      <c r="O6" s="7">
        <v>65</v>
      </c>
      <c r="P6" s="7"/>
      <c r="R6" s="9">
        <v>1320.5420417157129</v>
      </c>
      <c r="T6" s="7" t="s">
        <v>34</v>
      </c>
      <c r="U6" s="7" t="s">
        <v>34</v>
      </c>
    </row>
    <row r="7" spans="1:21" ht="14.1" customHeight="1">
      <c r="A7" s="7">
        <v>3</v>
      </c>
      <c r="B7" s="14" t="s">
        <v>124</v>
      </c>
      <c r="C7" s="14" t="s">
        <v>1422</v>
      </c>
      <c r="D7" s="7" t="s">
        <v>252</v>
      </c>
      <c r="E7" s="14" t="s">
        <v>409</v>
      </c>
      <c r="F7" s="7" t="s">
        <v>26</v>
      </c>
      <c r="G7" s="67" t="s">
        <v>1429</v>
      </c>
      <c r="H7" s="29" t="s">
        <v>1424</v>
      </c>
      <c r="I7" s="8" t="s">
        <v>1428</v>
      </c>
      <c r="J7" s="7" t="s">
        <v>123</v>
      </c>
      <c r="K7" s="7" t="s">
        <v>1426</v>
      </c>
      <c r="L7" s="7" t="s">
        <v>322</v>
      </c>
      <c r="M7" s="7">
        <v>830160</v>
      </c>
      <c r="N7" s="7">
        <v>120</v>
      </c>
      <c r="O7" s="7">
        <v>65</v>
      </c>
      <c r="P7" s="7"/>
      <c r="R7" s="9">
        <v>1320.5420417157129</v>
      </c>
      <c r="T7" s="7" t="s">
        <v>34</v>
      </c>
      <c r="U7" s="7" t="s">
        <v>34</v>
      </c>
    </row>
    <row r="8" spans="1:21" s="3" customFormat="1" ht="14.1" customHeight="1">
      <c r="A8" s="7">
        <v>4</v>
      </c>
      <c r="B8" s="14" t="s">
        <v>124</v>
      </c>
      <c r="C8" s="14" t="s">
        <v>1422</v>
      </c>
      <c r="D8" s="7" t="s">
        <v>35</v>
      </c>
      <c r="E8" s="14" t="s">
        <v>864</v>
      </c>
      <c r="F8" s="7" t="s">
        <v>26</v>
      </c>
      <c r="G8" s="67" t="s">
        <v>1430</v>
      </c>
      <c r="H8" s="29" t="s">
        <v>1424</v>
      </c>
      <c r="I8" s="67" t="s">
        <v>1431</v>
      </c>
      <c r="J8" s="7" t="s">
        <v>123</v>
      </c>
      <c r="K8" s="7" t="s">
        <v>1426</v>
      </c>
      <c r="L8" s="7" t="s">
        <v>322</v>
      </c>
      <c r="M8" s="7" t="s">
        <v>1432</v>
      </c>
      <c r="N8" s="7">
        <v>120</v>
      </c>
      <c r="O8" s="7">
        <v>65</v>
      </c>
      <c r="P8" s="7"/>
      <c r="Q8" s="2"/>
      <c r="R8" s="9">
        <v>92.22928679008028</v>
      </c>
      <c r="S8" s="167"/>
      <c r="T8" s="7" t="s">
        <v>34</v>
      </c>
      <c r="U8" s="7" t="s">
        <v>34</v>
      </c>
    </row>
    <row r="9" spans="1:21" s="3" customFormat="1" ht="14.1" customHeight="1">
      <c r="A9" s="7">
        <v>5</v>
      </c>
      <c r="B9" s="14" t="s">
        <v>124</v>
      </c>
      <c r="C9" s="14" t="s">
        <v>1422</v>
      </c>
      <c r="D9" s="7" t="s">
        <v>118</v>
      </c>
      <c r="E9" s="136" t="s">
        <v>119</v>
      </c>
      <c r="F9" s="7" t="s">
        <v>26</v>
      </c>
      <c r="G9" s="8" t="s">
        <v>1433</v>
      </c>
      <c r="H9" s="7" t="s">
        <v>42</v>
      </c>
      <c r="I9" s="8" t="s">
        <v>1434</v>
      </c>
      <c r="J9" s="7" t="s">
        <v>123</v>
      </c>
      <c r="K9" s="7"/>
      <c r="L9" s="7" t="s">
        <v>322</v>
      </c>
      <c r="M9" s="7">
        <v>830160</v>
      </c>
      <c r="N9" s="7">
        <v>120</v>
      </c>
      <c r="O9" s="7">
        <v>65</v>
      </c>
      <c r="P9" s="7"/>
      <c r="Q9" s="2"/>
      <c r="R9" s="9">
        <v>91.765177957992833</v>
      </c>
      <c r="T9" s="7" t="s">
        <v>34</v>
      </c>
      <c r="U9" s="7"/>
    </row>
    <row r="10" spans="1:21" s="3" customFormat="1" ht="14.1" customHeight="1">
      <c r="A10" s="7">
        <v>6</v>
      </c>
      <c r="B10" s="14" t="s">
        <v>124</v>
      </c>
      <c r="C10" s="14" t="s">
        <v>1422</v>
      </c>
      <c r="D10" s="7" t="s">
        <v>118</v>
      </c>
      <c r="E10" s="136" t="s">
        <v>119</v>
      </c>
      <c r="F10" s="7" t="s">
        <v>26</v>
      </c>
      <c r="G10" s="8" t="s">
        <v>1435</v>
      </c>
      <c r="H10" s="7" t="s">
        <v>42</v>
      </c>
      <c r="I10" s="8" t="s">
        <v>1436</v>
      </c>
      <c r="J10" s="7" t="s">
        <v>123</v>
      </c>
      <c r="K10" s="7"/>
      <c r="L10" s="7" t="s">
        <v>322</v>
      </c>
      <c r="M10" s="7">
        <v>830160</v>
      </c>
      <c r="N10" s="7">
        <v>120</v>
      </c>
      <c r="O10" s="7">
        <v>65</v>
      </c>
      <c r="P10" s="7"/>
      <c r="Q10" s="2"/>
      <c r="R10" s="9">
        <v>370.2607890742907</v>
      </c>
      <c r="T10" s="7" t="s">
        <v>34</v>
      </c>
      <c r="U10" s="7"/>
    </row>
    <row r="11" spans="1:21" s="3" customFormat="1" ht="14.1" customHeight="1">
      <c r="A11" s="7">
        <v>7</v>
      </c>
      <c r="B11" s="14" t="s">
        <v>124</v>
      </c>
      <c r="C11" s="14" t="s">
        <v>1422</v>
      </c>
      <c r="D11" s="7" t="s">
        <v>118</v>
      </c>
      <c r="E11" s="136" t="s">
        <v>119</v>
      </c>
      <c r="F11" s="7" t="s">
        <v>26</v>
      </c>
      <c r="G11" s="8" t="s">
        <v>1437</v>
      </c>
      <c r="H11" s="7" t="s">
        <v>42</v>
      </c>
      <c r="I11" s="8" t="s">
        <v>1438</v>
      </c>
      <c r="J11" s="7" t="s">
        <v>123</v>
      </c>
      <c r="K11" s="7"/>
      <c r="L11" s="7" t="s">
        <v>322</v>
      </c>
      <c r="M11" s="7">
        <v>830160</v>
      </c>
      <c r="N11" s="7">
        <v>120</v>
      </c>
      <c r="O11" s="7">
        <v>65</v>
      </c>
      <c r="P11" s="7"/>
      <c r="Q11" s="2"/>
      <c r="R11" s="9">
        <v>69.660940710119831</v>
      </c>
      <c r="T11" s="7" t="s">
        <v>34</v>
      </c>
      <c r="U11" s="7"/>
    </row>
    <row r="12" spans="1:21" s="3" customFormat="1" ht="14.1" customHeight="1">
      <c r="A12" s="7">
        <v>8</v>
      </c>
      <c r="B12" s="14" t="s">
        <v>124</v>
      </c>
      <c r="C12" s="14" t="s">
        <v>1422</v>
      </c>
      <c r="D12" s="7" t="s">
        <v>118</v>
      </c>
      <c r="E12" s="136" t="s">
        <v>119</v>
      </c>
      <c r="F12" s="7" t="s">
        <v>26</v>
      </c>
      <c r="G12" s="8" t="s">
        <v>1439</v>
      </c>
      <c r="H12" s="7" t="s">
        <v>42</v>
      </c>
      <c r="I12" s="8" t="s">
        <v>1440</v>
      </c>
      <c r="J12" s="7" t="s">
        <v>123</v>
      </c>
      <c r="K12" s="7"/>
      <c r="L12" s="7" t="s">
        <v>322</v>
      </c>
      <c r="M12" s="7">
        <v>830160</v>
      </c>
      <c r="N12" s="7">
        <v>120</v>
      </c>
      <c r="O12" s="7">
        <v>65</v>
      </c>
      <c r="P12" s="7"/>
      <c r="Q12" s="2"/>
      <c r="R12" s="9">
        <v>199.352960058565</v>
      </c>
      <c r="T12" s="7" t="s">
        <v>34</v>
      </c>
      <c r="U12" s="7"/>
    </row>
    <row r="13" spans="1:21" s="3" customFormat="1" ht="14.1" customHeight="1">
      <c r="A13" s="7">
        <v>9</v>
      </c>
      <c r="B13" s="14" t="s">
        <v>124</v>
      </c>
      <c r="C13" s="14" t="s">
        <v>1422</v>
      </c>
      <c r="D13" s="7" t="s">
        <v>118</v>
      </c>
      <c r="E13" s="136" t="s">
        <v>119</v>
      </c>
      <c r="F13" s="7" t="s">
        <v>26</v>
      </c>
      <c r="G13" s="8" t="s">
        <v>1441</v>
      </c>
      <c r="H13" s="7" t="s">
        <v>42</v>
      </c>
      <c r="I13" s="8" t="s">
        <v>1442</v>
      </c>
      <c r="J13" s="7" t="s">
        <v>123</v>
      </c>
      <c r="K13" s="7"/>
      <c r="L13" s="7" t="s">
        <v>322</v>
      </c>
      <c r="M13" s="7" t="s">
        <v>1432</v>
      </c>
      <c r="N13" s="7">
        <v>120</v>
      </c>
      <c r="O13" s="7">
        <v>65</v>
      </c>
      <c r="P13" s="7"/>
      <c r="Q13" s="2"/>
      <c r="R13" s="9">
        <v>787.57456574861135</v>
      </c>
      <c r="T13" s="7" t="s">
        <v>34</v>
      </c>
      <c r="U13" s="7"/>
    </row>
    <row r="14" spans="1:21" s="3" customFormat="1" ht="14.1" customHeight="1">
      <c r="A14" s="7">
        <v>10</v>
      </c>
      <c r="B14" s="14" t="s">
        <v>124</v>
      </c>
      <c r="C14" s="14" t="s">
        <v>1422</v>
      </c>
      <c r="D14" s="7" t="s">
        <v>118</v>
      </c>
      <c r="E14" s="136" t="s">
        <v>119</v>
      </c>
      <c r="F14" s="7" t="s">
        <v>26</v>
      </c>
      <c r="G14" s="8" t="s">
        <v>1443</v>
      </c>
      <c r="H14" s="7" t="s">
        <v>42</v>
      </c>
      <c r="I14" s="8" t="s">
        <v>1444</v>
      </c>
      <c r="J14" s="7" t="s">
        <v>123</v>
      </c>
      <c r="K14" s="7"/>
      <c r="L14" s="7" t="s">
        <v>322</v>
      </c>
      <c r="M14" s="7" t="s">
        <v>1432</v>
      </c>
      <c r="N14" s="7">
        <v>120</v>
      </c>
      <c r="O14" s="7">
        <v>65</v>
      </c>
      <c r="P14" s="7"/>
      <c r="Q14" s="2"/>
      <c r="R14" s="9">
        <v>307.53334905586291</v>
      </c>
      <c r="T14" s="7" t="s">
        <v>34</v>
      </c>
      <c r="U14" s="7"/>
    </row>
    <row r="15" spans="1:21" s="3" customFormat="1" ht="14.1" customHeight="1">
      <c r="A15" s="7">
        <v>11</v>
      </c>
      <c r="B15" s="14" t="s">
        <v>124</v>
      </c>
      <c r="C15" s="14" t="s">
        <v>1422</v>
      </c>
      <c r="D15" s="7" t="s">
        <v>118</v>
      </c>
      <c r="E15" s="136" t="s">
        <v>119</v>
      </c>
      <c r="F15" s="7" t="s">
        <v>26</v>
      </c>
      <c r="G15" s="8" t="s">
        <v>1445</v>
      </c>
      <c r="H15" s="7" t="s">
        <v>42</v>
      </c>
      <c r="I15" s="8" t="s">
        <v>1446</v>
      </c>
      <c r="J15" s="7" t="s">
        <v>123</v>
      </c>
      <c r="K15" s="7"/>
      <c r="L15" s="7" t="s">
        <v>322</v>
      </c>
      <c r="M15" s="7" t="s">
        <v>1432</v>
      </c>
      <c r="N15" s="7">
        <v>120</v>
      </c>
      <c r="O15" s="7">
        <v>65</v>
      </c>
      <c r="P15" s="7"/>
      <c r="Q15" s="2"/>
      <c r="R15" s="9">
        <v>412.69669904794301</v>
      </c>
      <c r="T15" s="7" t="s">
        <v>34</v>
      </c>
      <c r="U15" s="7"/>
    </row>
    <row r="16" spans="1:21" s="3" customFormat="1" ht="14.1" customHeight="1">
      <c r="A16" s="7">
        <v>12</v>
      </c>
      <c r="B16" s="14" t="s">
        <v>124</v>
      </c>
      <c r="C16" s="14" t="s">
        <v>1422</v>
      </c>
      <c r="D16" s="7" t="s">
        <v>118</v>
      </c>
      <c r="E16" s="136" t="s">
        <v>119</v>
      </c>
      <c r="F16" s="7" t="s">
        <v>26</v>
      </c>
      <c r="G16" s="8" t="s">
        <v>1447</v>
      </c>
      <c r="H16" s="7" t="s">
        <v>42</v>
      </c>
      <c r="I16" s="8" t="s">
        <v>1448</v>
      </c>
      <c r="J16" s="7" t="s">
        <v>123</v>
      </c>
      <c r="K16" s="7"/>
      <c r="L16" s="7" t="s">
        <v>322</v>
      </c>
      <c r="M16" s="7" t="s">
        <v>1432</v>
      </c>
      <c r="N16" s="7">
        <v>120</v>
      </c>
      <c r="O16" s="7">
        <v>65</v>
      </c>
      <c r="P16" s="7"/>
      <c r="Q16" s="2"/>
      <c r="R16" s="9">
        <v>410.64694908615502</v>
      </c>
      <c r="T16" s="7" t="s">
        <v>34</v>
      </c>
      <c r="U16" s="7"/>
    </row>
    <row r="17" spans="1:21" s="3" customFormat="1" ht="14.1" customHeight="1">
      <c r="A17" s="7">
        <v>13</v>
      </c>
      <c r="B17" s="14" t="s">
        <v>124</v>
      </c>
      <c r="C17" s="14" t="s">
        <v>1422</v>
      </c>
      <c r="D17" s="7" t="s">
        <v>118</v>
      </c>
      <c r="E17" s="136" t="s">
        <v>119</v>
      </c>
      <c r="F17" s="7" t="s">
        <v>26</v>
      </c>
      <c r="G17" s="8" t="s">
        <v>1449</v>
      </c>
      <c r="H17" s="7" t="s">
        <v>42</v>
      </c>
      <c r="I17" s="8" t="s">
        <v>1450</v>
      </c>
      <c r="J17" s="7" t="s">
        <v>123</v>
      </c>
      <c r="K17" s="7"/>
      <c r="L17" s="7" t="s">
        <v>322</v>
      </c>
      <c r="M17" s="7" t="s">
        <v>1432</v>
      </c>
      <c r="N17" s="7">
        <v>120</v>
      </c>
      <c r="O17" s="7">
        <v>65</v>
      </c>
      <c r="P17" s="7"/>
      <c r="Q17" s="2"/>
      <c r="R17" s="9">
        <v>473.13596812299392</v>
      </c>
      <c r="T17" s="7" t="s">
        <v>34</v>
      </c>
      <c r="U17" s="7"/>
    </row>
    <row r="18" spans="1:21" s="3" customFormat="1" ht="14.1" customHeight="1">
      <c r="A18" s="7">
        <v>14</v>
      </c>
      <c r="B18" s="14" t="s">
        <v>124</v>
      </c>
      <c r="C18" s="14" t="s">
        <v>1422</v>
      </c>
      <c r="D18" s="7" t="s">
        <v>118</v>
      </c>
      <c r="E18" s="136" t="s">
        <v>119</v>
      </c>
      <c r="F18" s="7" t="s">
        <v>26</v>
      </c>
      <c r="G18" s="8" t="s">
        <v>1451</v>
      </c>
      <c r="H18" s="7" t="s">
        <v>42</v>
      </c>
      <c r="I18" s="8" t="s">
        <v>1452</v>
      </c>
      <c r="J18" s="7" t="s">
        <v>123</v>
      </c>
      <c r="K18" s="7"/>
      <c r="L18" s="7" t="s">
        <v>322</v>
      </c>
      <c r="M18" s="7">
        <v>830160</v>
      </c>
      <c r="N18" s="7">
        <v>120</v>
      </c>
      <c r="O18" s="7">
        <v>65</v>
      </c>
      <c r="P18" s="7"/>
      <c r="Q18" s="2"/>
      <c r="R18" s="9">
        <v>470.76691875898939</v>
      </c>
      <c r="T18" s="7" t="s">
        <v>34</v>
      </c>
      <c r="U18" s="7"/>
    </row>
    <row r="19" spans="1:21" s="3" customFormat="1" ht="14.1" customHeight="1">
      <c r="A19" s="7">
        <v>15</v>
      </c>
      <c r="B19" s="14" t="s">
        <v>124</v>
      </c>
      <c r="C19" s="14" t="s">
        <v>1422</v>
      </c>
      <c r="D19" s="7" t="s">
        <v>118</v>
      </c>
      <c r="E19" s="136" t="s">
        <v>119</v>
      </c>
      <c r="F19" s="7" t="s">
        <v>26</v>
      </c>
      <c r="G19" s="8" t="s">
        <v>1453</v>
      </c>
      <c r="H19" s="7" t="s">
        <v>42</v>
      </c>
      <c r="I19" s="8" t="s">
        <v>1454</v>
      </c>
      <c r="J19" s="7" t="s">
        <v>123</v>
      </c>
      <c r="K19" s="7"/>
      <c r="L19" s="7" t="s">
        <v>322</v>
      </c>
      <c r="M19" s="7">
        <v>830160</v>
      </c>
      <c r="N19" s="7">
        <v>120</v>
      </c>
      <c r="O19" s="7">
        <v>65</v>
      </c>
      <c r="P19" s="7"/>
      <c r="Q19" s="2"/>
      <c r="R19" s="9">
        <v>181.15992832908239</v>
      </c>
      <c r="T19" s="7" t="s">
        <v>34</v>
      </c>
      <c r="U19" s="7"/>
    </row>
    <row r="20" spans="1:21" s="3" customFormat="1" ht="14.1" customHeight="1">
      <c r="A20" s="7">
        <v>16</v>
      </c>
      <c r="B20" s="14" t="s">
        <v>124</v>
      </c>
      <c r="C20" s="14" t="s">
        <v>1422</v>
      </c>
      <c r="D20" s="7" t="s">
        <v>118</v>
      </c>
      <c r="E20" s="136" t="s">
        <v>119</v>
      </c>
      <c r="F20" s="7" t="s">
        <v>26</v>
      </c>
      <c r="G20" s="8" t="s">
        <v>1455</v>
      </c>
      <c r="H20" s="7" t="s">
        <v>42</v>
      </c>
      <c r="I20" s="8" t="s">
        <v>1456</v>
      </c>
      <c r="J20" s="7" t="s">
        <v>123</v>
      </c>
      <c r="K20" s="7"/>
      <c r="L20" s="7" t="s">
        <v>322</v>
      </c>
      <c r="M20" s="7">
        <v>830160</v>
      </c>
      <c r="N20" s="7">
        <v>120</v>
      </c>
      <c r="O20" s="7">
        <v>65</v>
      </c>
      <c r="P20" s="7"/>
      <c r="Q20" s="2"/>
      <c r="R20" s="9">
        <v>151.49995314795521</v>
      </c>
      <c r="T20" s="7" t="s">
        <v>34</v>
      </c>
      <c r="U20" s="7"/>
    </row>
    <row r="21" spans="1:21" s="3" customFormat="1" ht="14.1" customHeight="1">
      <c r="A21" s="7">
        <v>17</v>
      </c>
      <c r="B21" s="14" t="s">
        <v>124</v>
      </c>
      <c r="C21" s="14" t="s">
        <v>1422</v>
      </c>
      <c r="D21" s="7" t="s">
        <v>118</v>
      </c>
      <c r="E21" s="136" t="s">
        <v>119</v>
      </c>
      <c r="F21" s="7" t="s">
        <v>26</v>
      </c>
      <c r="G21" s="8" t="s">
        <v>1457</v>
      </c>
      <c r="H21" s="7" t="s">
        <v>42</v>
      </c>
      <c r="I21" s="8" t="s">
        <v>1458</v>
      </c>
      <c r="J21" s="7" t="s">
        <v>123</v>
      </c>
      <c r="K21" s="7"/>
      <c r="L21" s="7" t="s">
        <v>322</v>
      </c>
      <c r="M21" s="7">
        <v>830160</v>
      </c>
      <c r="N21" s="7">
        <v>120</v>
      </c>
      <c r="O21" s="7">
        <v>65</v>
      </c>
      <c r="P21" s="7"/>
      <c r="Q21" s="2"/>
      <c r="R21" s="9">
        <v>249.69491593542321</v>
      </c>
      <c r="T21" s="7" t="s">
        <v>34</v>
      </c>
      <c r="U21" s="7"/>
    </row>
    <row r="22" spans="1:21" s="3" customFormat="1" ht="14.1" customHeight="1">
      <c r="A22" s="7">
        <v>18</v>
      </c>
      <c r="B22" s="14" t="s">
        <v>124</v>
      </c>
      <c r="C22" s="14" t="s">
        <v>1422</v>
      </c>
      <c r="D22" s="7" t="s">
        <v>118</v>
      </c>
      <c r="E22" s="136" t="s">
        <v>119</v>
      </c>
      <c r="F22" s="7" t="s">
        <v>26</v>
      </c>
      <c r="G22" s="8" t="s">
        <v>1459</v>
      </c>
      <c r="H22" s="7" t="s">
        <v>42</v>
      </c>
      <c r="I22" s="8" t="s">
        <v>1460</v>
      </c>
      <c r="J22" s="7" t="s">
        <v>123</v>
      </c>
      <c r="K22" s="7"/>
      <c r="L22" s="7" t="s">
        <v>322</v>
      </c>
      <c r="M22" s="7">
        <v>830160</v>
      </c>
      <c r="N22" s="7">
        <v>120</v>
      </c>
      <c r="O22" s="7">
        <v>65</v>
      </c>
      <c r="P22" s="7"/>
      <c r="Q22" s="2"/>
      <c r="R22" s="9">
        <v>1234.485043588516</v>
      </c>
      <c r="T22" s="7" t="s">
        <v>34</v>
      </c>
      <c r="U22" s="7"/>
    </row>
    <row r="23" spans="1:21" s="3" customFormat="1" ht="14.1" customHeight="1">
      <c r="A23" s="7">
        <v>19</v>
      </c>
      <c r="B23" s="14" t="s">
        <v>124</v>
      </c>
      <c r="C23" s="14" t="s">
        <v>1422</v>
      </c>
      <c r="D23" s="7" t="s">
        <v>118</v>
      </c>
      <c r="E23" s="136" t="s">
        <v>119</v>
      </c>
      <c r="F23" s="7" t="s">
        <v>26</v>
      </c>
      <c r="G23" s="8" t="s">
        <v>1461</v>
      </c>
      <c r="H23" s="7" t="s">
        <v>42</v>
      </c>
      <c r="I23" s="8" t="s">
        <v>1462</v>
      </c>
      <c r="J23" s="7" t="s">
        <v>123</v>
      </c>
      <c r="K23" s="7"/>
      <c r="L23" s="7" t="s">
        <v>322</v>
      </c>
      <c r="M23" s="7" t="s">
        <v>1432</v>
      </c>
      <c r="N23" s="7">
        <v>120</v>
      </c>
      <c r="O23" s="7">
        <v>65</v>
      </c>
      <c r="P23" s="7"/>
      <c r="Q23" s="2"/>
      <c r="R23" s="9">
        <v>1228.3555755332741</v>
      </c>
      <c r="T23" s="7" t="s">
        <v>34</v>
      </c>
      <c r="U23" s="7"/>
    </row>
    <row r="24" spans="1:21" s="3" customFormat="1" ht="14.1" customHeight="1">
      <c r="A24" s="7">
        <v>20</v>
      </c>
      <c r="B24" s="14" t="s">
        <v>124</v>
      </c>
      <c r="C24" s="14" t="s">
        <v>1422</v>
      </c>
      <c r="D24" s="7" t="s">
        <v>118</v>
      </c>
      <c r="E24" s="136" t="s">
        <v>119</v>
      </c>
      <c r="F24" s="7" t="s">
        <v>26</v>
      </c>
      <c r="G24" s="8" t="s">
        <v>1463</v>
      </c>
      <c r="H24" s="7" t="s">
        <v>42</v>
      </c>
      <c r="I24" s="8" t="s">
        <v>1464</v>
      </c>
      <c r="J24" s="7" t="s">
        <v>123</v>
      </c>
      <c r="K24" s="7"/>
      <c r="L24" s="7" t="s">
        <v>322</v>
      </c>
      <c r="M24" s="7" t="s">
        <v>1432</v>
      </c>
      <c r="N24" s="7">
        <v>120</v>
      </c>
      <c r="O24" s="7">
        <v>65</v>
      </c>
      <c r="P24" s="7"/>
      <c r="Q24" s="2"/>
      <c r="R24" s="9">
        <v>627.68898380112978</v>
      </c>
      <c r="T24" s="7" t="s">
        <v>34</v>
      </c>
      <c r="U24" s="7"/>
    </row>
    <row r="25" spans="1:21" s="3" customFormat="1" ht="14.1" customHeight="1">
      <c r="A25" s="7">
        <v>21</v>
      </c>
      <c r="B25" s="14" t="s">
        <v>124</v>
      </c>
      <c r="C25" s="14" t="s">
        <v>1422</v>
      </c>
      <c r="D25" s="7" t="s">
        <v>118</v>
      </c>
      <c r="E25" s="136" t="s">
        <v>119</v>
      </c>
      <c r="F25" s="7" t="s">
        <v>26</v>
      </c>
      <c r="G25" s="8" t="s">
        <v>1465</v>
      </c>
      <c r="H25" s="7" t="s">
        <v>42</v>
      </c>
      <c r="I25" s="8" t="s">
        <v>1466</v>
      </c>
      <c r="J25" s="7" t="s">
        <v>123</v>
      </c>
      <c r="K25" s="7"/>
      <c r="L25" s="7" t="s">
        <v>322</v>
      </c>
      <c r="M25" s="7" t="s">
        <v>1432</v>
      </c>
      <c r="N25" s="7">
        <v>120</v>
      </c>
      <c r="O25" s="7">
        <v>65</v>
      </c>
      <c r="P25" s="7"/>
      <c r="Q25" s="2"/>
      <c r="R25" s="9">
        <v>624.57803880417521</v>
      </c>
      <c r="T25" s="7" t="s">
        <v>34</v>
      </c>
      <c r="U25" s="7"/>
    </row>
    <row r="26" spans="1:21" s="3" customFormat="1" ht="14.1" customHeight="1">
      <c r="A26" s="7">
        <v>22</v>
      </c>
      <c r="B26" s="14" t="s">
        <v>124</v>
      </c>
      <c r="C26" s="14" t="s">
        <v>1422</v>
      </c>
      <c r="D26" s="7" t="s">
        <v>118</v>
      </c>
      <c r="E26" s="136" t="s">
        <v>119</v>
      </c>
      <c r="F26" s="7" t="s">
        <v>26</v>
      </c>
      <c r="G26" s="8" t="s">
        <v>1467</v>
      </c>
      <c r="H26" s="7" t="s">
        <v>42</v>
      </c>
      <c r="I26" s="8" t="s">
        <v>1468</v>
      </c>
      <c r="J26" s="7" t="s">
        <v>123</v>
      </c>
      <c r="K26" s="7"/>
      <c r="L26" s="7" t="s">
        <v>322</v>
      </c>
      <c r="M26" s="7" t="s">
        <v>1432</v>
      </c>
      <c r="N26" s="7">
        <v>120</v>
      </c>
      <c r="O26" s="7">
        <v>65</v>
      </c>
      <c r="P26" s="7"/>
      <c r="Q26" s="2"/>
      <c r="R26" s="9">
        <v>840.3598325527895</v>
      </c>
      <c r="T26" s="7" t="s">
        <v>34</v>
      </c>
      <c r="U26" s="7"/>
    </row>
    <row r="27" spans="1:21" s="3" customFormat="1" ht="14.1" customHeight="1">
      <c r="A27" s="7">
        <v>23</v>
      </c>
      <c r="B27" s="14" t="s">
        <v>124</v>
      </c>
      <c r="C27" s="14" t="s">
        <v>1422</v>
      </c>
      <c r="D27" s="7" t="s">
        <v>118</v>
      </c>
      <c r="E27" s="136" t="s">
        <v>119</v>
      </c>
      <c r="F27" s="7" t="s">
        <v>26</v>
      </c>
      <c r="G27" s="8" t="s">
        <v>1469</v>
      </c>
      <c r="H27" s="7" t="s">
        <v>42</v>
      </c>
      <c r="I27" s="8" t="s">
        <v>1470</v>
      </c>
      <c r="J27" s="7" t="s">
        <v>123</v>
      </c>
      <c r="K27" s="7"/>
      <c r="L27" s="7" t="s">
        <v>322</v>
      </c>
      <c r="M27" s="7" t="s">
        <v>1432</v>
      </c>
      <c r="N27" s="7">
        <v>120</v>
      </c>
      <c r="O27" s="7">
        <v>65</v>
      </c>
      <c r="P27" s="7"/>
      <c r="Q27" s="2"/>
      <c r="R27" s="9">
        <v>836.1683312801282</v>
      </c>
      <c r="T27" s="7" t="s">
        <v>34</v>
      </c>
      <c r="U27" s="7"/>
    </row>
    <row r="28" spans="1:21" s="3" customFormat="1" ht="14.1" customHeight="1">
      <c r="A28" s="7">
        <v>24</v>
      </c>
      <c r="B28" s="14" t="s">
        <v>124</v>
      </c>
      <c r="C28" s="14" t="s">
        <v>1422</v>
      </c>
      <c r="D28" s="7" t="s">
        <v>944</v>
      </c>
      <c r="E28" s="14" t="s">
        <v>945</v>
      </c>
      <c r="F28" s="7" t="s">
        <v>26</v>
      </c>
      <c r="G28" s="8" t="s">
        <v>1471</v>
      </c>
      <c r="H28" s="7" t="s">
        <v>995</v>
      </c>
      <c r="I28" s="8" t="s">
        <v>1472</v>
      </c>
      <c r="J28" s="7" t="s">
        <v>123</v>
      </c>
      <c r="K28" s="7" t="s">
        <v>997</v>
      </c>
      <c r="L28" s="7" t="s">
        <v>322</v>
      </c>
      <c r="M28" s="7" t="s">
        <v>1432</v>
      </c>
      <c r="N28" s="7">
        <v>120</v>
      </c>
      <c r="O28" s="7">
        <v>65</v>
      </c>
      <c r="P28" s="7"/>
      <c r="Q28" s="2"/>
      <c r="R28" s="9">
        <v>1071.812244481619</v>
      </c>
      <c r="T28" s="7" t="s">
        <v>34</v>
      </c>
      <c r="U28" s="7"/>
    </row>
    <row r="29" spans="1:21" s="3" customFormat="1" ht="14.1" customHeight="1">
      <c r="A29" s="7">
        <v>25</v>
      </c>
      <c r="B29" s="14" t="s">
        <v>124</v>
      </c>
      <c r="C29" s="14" t="s">
        <v>1422</v>
      </c>
      <c r="D29" s="7" t="s">
        <v>944</v>
      </c>
      <c r="E29" s="14" t="s">
        <v>945</v>
      </c>
      <c r="F29" s="7" t="s">
        <v>26</v>
      </c>
      <c r="G29" s="8" t="s">
        <v>1473</v>
      </c>
      <c r="H29" s="7" t="s">
        <v>995</v>
      </c>
      <c r="I29" s="8" t="s">
        <v>1474</v>
      </c>
      <c r="J29" s="7" t="s">
        <v>123</v>
      </c>
      <c r="K29" s="7" t="s">
        <v>997</v>
      </c>
      <c r="L29" s="7" t="s">
        <v>322</v>
      </c>
      <c r="M29" s="7" t="s">
        <v>1432</v>
      </c>
      <c r="N29" s="7">
        <v>120</v>
      </c>
      <c r="O29" s="7">
        <v>65</v>
      </c>
      <c r="P29" s="7"/>
      <c r="Q29" s="2"/>
      <c r="R29" s="9">
        <v>1071.812244481619</v>
      </c>
      <c r="T29" s="7" t="s">
        <v>34</v>
      </c>
      <c r="U29" s="7"/>
    </row>
    <row r="30" spans="1:21" s="3" customFormat="1" ht="14.1" customHeight="1">
      <c r="A30" s="7">
        <v>26</v>
      </c>
      <c r="B30" s="14" t="s">
        <v>124</v>
      </c>
      <c r="C30" s="14" t="s">
        <v>1422</v>
      </c>
      <c r="D30" s="7" t="s">
        <v>45</v>
      </c>
      <c r="E30" s="136" t="s">
        <v>46</v>
      </c>
      <c r="F30" s="7" t="s">
        <v>26</v>
      </c>
      <c r="G30" s="8" t="s">
        <v>1475</v>
      </c>
      <c r="H30" s="7" t="s">
        <v>42</v>
      </c>
      <c r="I30" s="8" t="s">
        <v>1476</v>
      </c>
      <c r="J30" s="7" t="s">
        <v>123</v>
      </c>
      <c r="K30" s="7"/>
      <c r="L30" s="7" t="s">
        <v>322</v>
      </c>
      <c r="M30" s="7" t="s">
        <v>1432</v>
      </c>
      <c r="N30" s="7">
        <v>120</v>
      </c>
      <c r="O30" s="7">
        <v>65</v>
      </c>
      <c r="P30" s="7"/>
      <c r="Q30" s="2"/>
      <c r="R30" s="9">
        <v>381.79910319615271</v>
      </c>
      <c r="T30" s="7" t="s">
        <v>34</v>
      </c>
      <c r="U30" s="7"/>
    </row>
    <row r="31" spans="1:21" s="3" customFormat="1" ht="14.1" customHeight="1">
      <c r="A31" s="7">
        <v>27</v>
      </c>
      <c r="B31" s="14" t="s">
        <v>124</v>
      </c>
      <c r="C31" s="14" t="s">
        <v>1422</v>
      </c>
      <c r="D31" s="7" t="s">
        <v>45</v>
      </c>
      <c r="E31" s="136" t="s">
        <v>46</v>
      </c>
      <c r="F31" s="7" t="s">
        <v>26</v>
      </c>
      <c r="G31" s="8" t="s">
        <v>1477</v>
      </c>
      <c r="H31" s="7" t="s">
        <v>42</v>
      </c>
      <c r="I31" s="8" t="s">
        <v>1478</v>
      </c>
      <c r="J31" s="7" t="s">
        <v>123</v>
      </c>
      <c r="K31" s="7"/>
      <c r="L31" s="7" t="s">
        <v>322</v>
      </c>
      <c r="M31" s="7" t="s">
        <v>1432</v>
      </c>
      <c r="N31" s="7">
        <v>120</v>
      </c>
      <c r="O31" s="7">
        <v>65</v>
      </c>
      <c r="P31" s="7"/>
      <c r="Q31" s="2"/>
      <c r="R31" s="9">
        <v>378.88768194610873</v>
      </c>
      <c r="T31" s="7" t="s">
        <v>34</v>
      </c>
      <c r="U31" s="7"/>
    </row>
    <row r="32" spans="1:21" s="3" customFormat="1" ht="14.1" customHeight="1">
      <c r="A32" s="7">
        <v>28</v>
      </c>
      <c r="B32" s="14" t="s">
        <v>124</v>
      </c>
      <c r="C32" s="14" t="s">
        <v>1422</v>
      </c>
      <c r="D32" s="7" t="s">
        <v>45</v>
      </c>
      <c r="E32" s="136" t="s">
        <v>46</v>
      </c>
      <c r="F32" s="7" t="s">
        <v>26</v>
      </c>
      <c r="G32" s="8" t="s">
        <v>1479</v>
      </c>
      <c r="H32" s="7" t="s">
        <v>42</v>
      </c>
      <c r="I32" s="8" t="s">
        <v>1480</v>
      </c>
      <c r="J32" s="7" t="s">
        <v>123</v>
      </c>
      <c r="K32" s="7"/>
      <c r="L32" s="7" t="s">
        <v>322</v>
      </c>
      <c r="M32" s="7" t="s">
        <v>1432</v>
      </c>
      <c r="N32" s="7">
        <v>120</v>
      </c>
      <c r="O32" s="7">
        <v>65</v>
      </c>
      <c r="P32" s="7"/>
      <c r="Q32" s="2"/>
      <c r="R32" s="9">
        <v>813.64966302933715</v>
      </c>
      <c r="T32" s="7" t="s">
        <v>34</v>
      </c>
      <c r="U32" s="7"/>
    </row>
    <row r="33" spans="1:21" s="3" customFormat="1" ht="14.1" customHeight="1">
      <c r="A33" s="7">
        <v>29</v>
      </c>
      <c r="B33" s="14" t="s">
        <v>1481</v>
      </c>
      <c r="C33" s="14" t="s">
        <v>1422</v>
      </c>
      <c r="D33" s="7" t="s">
        <v>118</v>
      </c>
      <c r="E33" s="136" t="s">
        <v>119</v>
      </c>
      <c r="F33" s="7" t="s">
        <v>1482</v>
      </c>
      <c r="G33" s="316" t="s">
        <v>1483</v>
      </c>
      <c r="H33" s="7" t="s">
        <v>42</v>
      </c>
      <c r="I33" s="8" t="s">
        <v>1484</v>
      </c>
      <c r="J33" s="7" t="s">
        <v>123</v>
      </c>
      <c r="K33" s="7"/>
      <c r="L33" s="7" t="s">
        <v>322</v>
      </c>
      <c r="M33" s="7" t="s">
        <v>1432</v>
      </c>
      <c r="N33" s="7">
        <v>120</v>
      </c>
      <c r="O33" s="7">
        <v>65</v>
      </c>
      <c r="P33" s="7"/>
      <c r="Q33" s="115"/>
      <c r="R33" s="9">
        <v>604.93312017771439</v>
      </c>
      <c r="T33" s="7" t="s">
        <v>34</v>
      </c>
      <c r="U33" s="7"/>
    </row>
    <row r="34" spans="1:21" s="3" customFormat="1" ht="14.1" customHeight="1">
      <c r="A34" s="7">
        <v>30</v>
      </c>
      <c r="B34" s="14" t="s">
        <v>1481</v>
      </c>
      <c r="C34" s="14" t="s">
        <v>1422</v>
      </c>
      <c r="D34" s="7" t="s">
        <v>118</v>
      </c>
      <c r="E34" s="136" t="s">
        <v>119</v>
      </c>
      <c r="F34" s="7" t="s">
        <v>1482</v>
      </c>
      <c r="G34" s="316" t="s">
        <v>1485</v>
      </c>
      <c r="H34" s="7" t="s">
        <v>42</v>
      </c>
      <c r="I34" s="8" t="s">
        <v>1486</v>
      </c>
      <c r="J34" s="7" t="s">
        <v>123</v>
      </c>
      <c r="K34" s="7"/>
      <c r="L34" s="7" t="s">
        <v>322</v>
      </c>
      <c r="M34" s="7" t="s">
        <v>1432</v>
      </c>
      <c r="N34" s="7">
        <v>120</v>
      </c>
      <c r="O34" s="7">
        <v>65</v>
      </c>
      <c r="P34" s="7"/>
      <c r="Q34" s="115"/>
      <c r="R34" s="9">
        <v>245.9318621412142</v>
      </c>
      <c r="T34" s="7" t="s">
        <v>34</v>
      </c>
      <c r="U34" s="7"/>
    </row>
    <row r="35" spans="1:21" s="3" customFormat="1" ht="14.1" customHeight="1">
      <c r="A35" s="7">
        <v>31</v>
      </c>
      <c r="B35" s="14" t="s">
        <v>1481</v>
      </c>
      <c r="C35" s="14" t="s">
        <v>1422</v>
      </c>
      <c r="D35" s="7" t="s">
        <v>118</v>
      </c>
      <c r="E35" s="136" t="s">
        <v>119</v>
      </c>
      <c r="F35" s="7" t="s">
        <v>1482</v>
      </c>
      <c r="G35" s="316" t="s">
        <v>1487</v>
      </c>
      <c r="H35" s="7" t="s">
        <v>42</v>
      </c>
      <c r="I35" s="8" t="s">
        <v>1488</v>
      </c>
      <c r="J35" s="7" t="s">
        <v>123</v>
      </c>
      <c r="K35" s="7"/>
      <c r="L35" s="7" t="s">
        <v>322</v>
      </c>
      <c r="M35" s="7" t="s">
        <v>1432</v>
      </c>
      <c r="N35" s="7">
        <v>120</v>
      </c>
      <c r="O35" s="7">
        <v>65</v>
      </c>
      <c r="P35" s="7"/>
      <c r="Q35" s="115"/>
      <c r="R35" s="9">
        <v>201.13078074874241</v>
      </c>
      <c r="T35" s="7" t="s">
        <v>34</v>
      </c>
      <c r="U35" s="7"/>
    </row>
    <row r="36" spans="1:21" s="3" customFormat="1" ht="14.1" customHeight="1">
      <c r="A36" s="7">
        <v>32</v>
      </c>
      <c r="B36" s="14" t="s">
        <v>1481</v>
      </c>
      <c r="C36" s="14" t="s">
        <v>1422</v>
      </c>
      <c r="D36" s="7" t="s">
        <v>118</v>
      </c>
      <c r="E36" s="136" t="s">
        <v>119</v>
      </c>
      <c r="F36" s="7" t="s">
        <v>1482</v>
      </c>
      <c r="G36" s="316" t="s">
        <v>1489</v>
      </c>
      <c r="H36" s="7" t="s">
        <v>42</v>
      </c>
      <c r="I36" s="8" t="s">
        <v>1484</v>
      </c>
      <c r="J36" s="7" t="s">
        <v>123</v>
      </c>
      <c r="K36" s="7"/>
      <c r="L36" s="7" t="s">
        <v>322</v>
      </c>
      <c r="M36" s="7" t="s">
        <v>1432</v>
      </c>
      <c r="N36" s="7">
        <v>120</v>
      </c>
      <c r="O36" s="7">
        <v>65</v>
      </c>
      <c r="P36" s="7"/>
      <c r="Q36" s="115"/>
      <c r="R36" s="9">
        <v>406.20239736071159</v>
      </c>
      <c r="T36" s="7" t="s">
        <v>34</v>
      </c>
      <c r="U36" s="7"/>
    </row>
    <row r="37" spans="1:21" s="3" customFormat="1" ht="14.1" customHeight="1">
      <c r="A37" s="7">
        <v>33</v>
      </c>
      <c r="B37" s="14" t="s">
        <v>1481</v>
      </c>
      <c r="C37" s="14" t="s">
        <v>1422</v>
      </c>
      <c r="D37" s="7" t="s">
        <v>118</v>
      </c>
      <c r="E37" s="136" t="s">
        <v>119</v>
      </c>
      <c r="F37" s="7" t="s">
        <v>1482</v>
      </c>
      <c r="G37" s="316" t="s">
        <v>1490</v>
      </c>
      <c r="H37" s="7" t="s">
        <v>42</v>
      </c>
      <c r="I37" s="8" t="s">
        <v>1491</v>
      </c>
      <c r="J37" s="7" t="s">
        <v>123</v>
      </c>
      <c r="K37" s="7"/>
      <c r="L37" s="7" t="s">
        <v>322</v>
      </c>
      <c r="M37" s="7" t="s">
        <v>1432</v>
      </c>
      <c r="N37" s="7">
        <v>120</v>
      </c>
      <c r="O37" s="7">
        <v>65</v>
      </c>
      <c r="P37" s="7"/>
      <c r="Q37" s="115"/>
      <c r="R37" s="9">
        <v>131.0928565568212</v>
      </c>
      <c r="T37" s="7" t="s">
        <v>34</v>
      </c>
      <c r="U37" s="7"/>
    </row>
    <row r="38" spans="1:21" s="3" customFormat="1" ht="14.1" customHeight="1">
      <c r="A38" s="7">
        <v>34</v>
      </c>
      <c r="B38" s="14" t="s">
        <v>1481</v>
      </c>
      <c r="C38" s="14" t="s">
        <v>1422</v>
      </c>
      <c r="D38" s="7" t="s">
        <v>118</v>
      </c>
      <c r="E38" s="136" t="s">
        <v>119</v>
      </c>
      <c r="F38" s="7" t="s">
        <v>1482</v>
      </c>
      <c r="G38" s="316" t="s">
        <v>1492</v>
      </c>
      <c r="H38" s="7" t="s">
        <v>42</v>
      </c>
      <c r="I38" s="8" t="s">
        <v>1493</v>
      </c>
      <c r="J38" s="7" t="s">
        <v>123</v>
      </c>
      <c r="K38" s="7"/>
      <c r="L38" s="7" t="s">
        <v>322</v>
      </c>
      <c r="M38" s="7" t="s">
        <v>1432</v>
      </c>
      <c r="N38" s="7">
        <v>120</v>
      </c>
      <c r="O38" s="7">
        <v>65</v>
      </c>
      <c r="P38" s="7"/>
      <c r="Q38" s="115"/>
      <c r="R38" s="9">
        <v>390.46868425264108</v>
      </c>
      <c r="T38" s="7" t="s">
        <v>34</v>
      </c>
      <c r="U38" s="7"/>
    </row>
    <row r="39" spans="1:21" s="3" customFormat="1" ht="14.1" customHeight="1">
      <c r="A39" s="7">
        <v>35</v>
      </c>
      <c r="B39" s="14" t="s">
        <v>1481</v>
      </c>
      <c r="C39" s="14" t="s">
        <v>1422</v>
      </c>
      <c r="D39" s="7" t="s">
        <v>118</v>
      </c>
      <c r="E39" s="136" t="s">
        <v>119</v>
      </c>
      <c r="F39" s="7" t="s">
        <v>1482</v>
      </c>
      <c r="G39" s="316" t="s">
        <v>1494</v>
      </c>
      <c r="H39" s="7" t="s">
        <v>42</v>
      </c>
      <c r="I39" s="8" t="s">
        <v>1495</v>
      </c>
      <c r="J39" s="7" t="s">
        <v>123</v>
      </c>
      <c r="K39" s="7"/>
      <c r="L39" s="7" t="s">
        <v>322</v>
      </c>
      <c r="M39" s="7" t="s">
        <v>1432</v>
      </c>
      <c r="N39" s="7">
        <v>120</v>
      </c>
      <c r="O39" s="7">
        <v>65</v>
      </c>
      <c r="P39" s="7"/>
      <c r="Q39" s="115"/>
      <c r="R39" s="9">
        <v>794.65621816448481</v>
      </c>
      <c r="T39" s="7" t="s">
        <v>34</v>
      </c>
      <c r="U39" s="7"/>
    </row>
    <row r="40" spans="1:21" s="3" customFormat="1" ht="14.1" customHeight="1">
      <c r="A40" s="7">
        <v>36</v>
      </c>
      <c r="B40" s="14" t="s">
        <v>1481</v>
      </c>
      <c r="C40" s="14" t="s">
        <v>1422</v>
      </c>
      <c r="D40" s="7" t="s">
        <v>118</v>
      </c>
      <c r="E40" s="136" t="s">
        <v>119</v>
      </c>
      <c r="F40" s="7" t="s">
        <v>1482</v>
      </c>
      <c r="G40" s="316" t="s">
        <v>1496</v>
      </c>
      <c r="H40" s="7" t="s">
        <v>42</v>
      </c>
      <c r="I40" s="8" t="s">
        <v>1497</v>
      </c>
      <c r="J40" s="7" t="s">
        <v>123</v>
      </c>
      <c r="K40" s="7"/>
      <c r="L40" s="7" t="s">
        <v>322</v>
      </c>
      <c r="M40" s="7" t="s">
        <v>1432</v>
      </c>
      <c r="N40" s="7">
        <v>120</v>
      </c>
      <c r="O40" s="7">
        <v>65</v>
      </c>
      <c r="P40" s="7"/>
      <c r="Q40" s="115"/>
      <c r="R40" s="9">
        <v>307.53334905586291</v>
      </c>
      <c r="T40" s="7" t="s">
        <v>34</v>
      </c>
      <c r="U40" s="7"/>
    </row>
    <row r="41" spans="1:21" s="3" customFormat="1" ht="14.1" customHeight="1">
      <c r="A41" s="7">
        <v>37</v>
      </c>
      <c r="B41" s="14" t="s">
        <v>124</v>
      </c>
      <c r="C41" s="14" t="s">
        <v>1422</v>
      </c>
      <c r="D41" s="7" t="s">
        <v>944</v>
      </c>
      <c r="E41" s="14" t="s">
        <v>945</v>
      </c>
      <c r="F41" s="7" t="s">
        <v>26</v>
      </c>
      <c r="G41" s="8" t="s">
        <v>1498</v>
      </c>
      <c r="H41" s="8" t="s">
        <v>995</v>
      </c>
      <c r="I41" s="8" t="s">
        <v>1499</v>
      </c>
      <c r="J41" s="7" t="s">
        <v>30</v>
      </c>
      <c r="K41" s="7" t="s">
        <v>997</v>
      </c>
      <c r="L41" s="7" t="s">
        <v>322</v>
      </c>
      <c r="M41" s="7"/>
      <c r="N41" s="7"/>
      <c r="O41" s="7"/>
      <c r="P41" s="7"/>
      <c r="Q41" s="2"/>
      <c r="R41" s="9">
        <v>1041.232324214335</v>
      </c>
      <c r="T41" s="7" t="s">
        <v>34</v>
      </c>
      <c r="U41" s="7"/>
    </row>
    <row r="42" spans="1:21" s="3" customFormat="1" ht="14.1" customHeight="1">
      <c r="A42" s="7">
        <v>38</v>
      </c>
      <c r="B42" s="14" t="s">
        <v>124</v>
      </c>
      <c r="C42" s="14" t="s">
        <v>1422</v>
      </c>
      <c r="D42" s="7" t="s">
        <v>944</v>
      </c>
      <c r="E42" s="14" t="s">
        <v>945</v>
      </c>
      <c r="F42" s="7" t="s">
        <v>26</v>
      </c>
      <c r="G42" s="8" t="s">
        <v>1500</v>
      </c>
      <c r="H42" s="8" t="s">
        <v>995</v>
      </c>
      <c r="I42" s="8" t="s">
        <v>1501</v>
      </c>
      <c r="J42" s="7" t="s">
        <v>30</v>
      </c>
      <c r="K42" s="7" t="s">
        <v>997</v>
      </c>
      <c r="L42" s="7" t="s">
        <v>322</v>
      </c>
      <c r="M42" s="7"/>
      <c r="N42" s="7"/>
      <c r="O42" s="7"/>
      <c r="P42" s="7"/>
      <c r="Q42" s="2"/>
      <c r="R42" s="9">
        <v>1041.232324214335</v>
      </c>
      <c r="T42" s="7" t="s">
        <v>34</v>
      </c>
      <c r="U42" s="7"/>
    </row>
    <row r="43" spans="1:21" s="3" customFormat="1" ht="14.1" customHeight="1">
      <c r="A43" s="7">
        <v>39</v>
      </c>
      <c r="B43" s="14" t="s">
        <v>124</v>
      </c>
      <c r="C43" s="14" t="s">
        <v>1422</v>
      </c>
      <c r="D43" s="7" t="s">
        <v>944</v>
      </c>
      <c r="E43" s="14" t="s">
        <v>945</v>
      </c>
      <c r="F43" s="7" t="s">
        <v>26</v>
      </c>
      <c r="G43" s="8" t="s">
        <v>1502</v>
      </c>
      <c r="H43" s="8" t="s">
        <v>1424</v>
      </c>
      <c r="I43" s="8" t="s">
        <v>1503</v>
      </c>
      <c r="J43" s="7" t="s">
        <v>30</v>
      </c>
      <c r="K43" s="7" t="s">
        <v>1426</v>
      </c>
      <c r="L43" s="7" t="s">
        <v>322</v>
      </c>
      <c r="M43" s="7"/>
      <c r="N43" s="7"/>
      <c r="O43" s="7"/>
      <c r="P43" s="7"/>
      <c r="Q43" s="2"/>
      <c r="R43" s="9">
        <v>809.79706725768415</v>
      </c>
      <c r="T43" s="7" t="s">
        <v>34</v>
      </c>
      <c r="U43" s="7"/>
    </row>
    <row r="44" spans="1:21" s="3" customFormat="1" ht="14.1" customHeight="1">
      <c r="A44" s="7">
        <v>40</v>
      </c>
      <c r="B44" s="14" t="s">
        <v>124</v>
      </c>
      <c r="C44" s="14" t="s">
        <v>1422</v>
      </c>
      <c r="D44" s="7" t="s">
        <v>944</v>
      </c>
      <c r="E44" s="14" t="s">
        <v>945</v>
      </c>
      <c r="F44" s="7" t="s">
        <v>26</v>
      </c>
      <c r="G44" s="8" t="s">
        <v>1504</v>
      </c>
      <c r="H44" s="8" t="s">
        <v>1424</v>
      </c>
      <c r="I44" s="8" t="s">
        <v>1505</v>
      </c>
      <c r="J44" s="7" t="s">
        <v>30</v>
      </c>
      <c r="K44" s="7" t="s">
        <v>1426</v>
      </c>
      <c r="L44" s="7" t="s">
        <v>322</v>
      </c>
      <c r="M44" s="7"/>
      <c r="N44" s="7"/>
      <c r="O44" s="7"/>
      <c r="P44" s="7"/>
      <c r="Q44" s="2"/>
      <c r="R44" s="9">
        <v>835.55309447903937</v>
      </c>
      <c r="T44" s="7" t="s">
        <v>34</v>
      </c>
      <c r="U44" s="7"/>
    </row>
    <row r="45" spans="1:21" s="3" customFormat="1" ht="14.1" customHeight="1">
      <c r="A45" s="7">
        <v>41</v>
      </c>
      <c r="B45" s="14" t="s">
        <v>124</v>
      </c>
      <c r="C45" s="14" t="s">
        <v>1422</v>
      </c>
      <c r="D45" s="7" t="s">
        <v>944</v>
      </c>
      <c r="E45" s="14" t="s">
        <v>945</v>
      </c>
      <c r="F45" s="7" t="s">
        <v>26</v>
      </c>
      <c r="G45" s="8" t="s">
        <v>1506</v>
      </c>
      <c r="H45" s="8" t="s">
        <v>1424</v>
      </c>
      <c r="I45" s="8" t="s">
        <v>1507</v>
      </c>
      <c r="J45" s="7" t="s">
        <v>30</v>
      </c>
      <c r="K45" s="7" t="s">
        <v>1426</v>
      </c>
      <c r="L45" s="7" t="s">
        <v>322</v>
      </c>
      <c r="M45" s="7"/>
      <c r="N45" s="7"/>
      <c r="O45" s="7"/>
      <c r="P45" s="7"/>
      <c r="Q45" s="2"/>
      <c r="R45" s="9">
        <v>862.34921543518317</v>
      </c>
      <c r="T45" s="7" t="s">
        <v>34</v>
      </c>
      <c r="U45" s="7"/>
    </row>
    <row r="46" spans="1:21" s="3" customFormat="1" ht="14.1" customHeight="1">
      <c r="A46" s="7">
        <v>42</v>
      </c>
      <c r="B46" s="14" t="s">
        <v>124</v>
      </c>
      <c r="C46" s="14" t="s">
        <v>1422</v>
      </c>
      <c r="D46" s="7" t="s">
        <v>944</v>
      </c>
      <c r="E46" s="14" t="s">
        <v>945</v>
      </c>
      <c r="F46" s="7" t="s">
        <v>26</v>
      </c>
      <c r="G46" s="8" t="s">
        <v>1508</v>
      </c>
      <c r="H46" s="8" t="s">
        <v>1424</v>
      </c>
      <c r="I46" s="8" t="s">
        <v>1509</v>
      </c>
      <c r="J46" s="7" t="s">
        <v>30</v>
      </c>
      <c r="K46" s="7" t="s">
        <v>1426</v>
      </c>
      <c r="L46" s="7" t="s">
        <v>322</v>
      </c>
      <c r="M46" s="7"/>
      <c r="N46" s="7"/>
      <c r="O46" s="7"/>
      <c r="P46" s="7"/>
      <c r="Q46" s="2"/>
      <c r="R46" s="9">
        <v>926.96305091563966</v>
      </c>
      <c r="T46" s="7" t="s">
        <v>34</v>
      </c>
      <c r="U46" s="7"/>
    </row>
    <row r="47" spans="1:21" s="320" customFormat="1" ht="14.1" customHeight="1">
      <c r="A47" s="311">
        <v>43</v>
      </c>
      <c r="B47" s="247" t="s">
        <v>124</v>
      </c>
      <c r="C47" s="247" t="s">
        <v>1422</v>
      </c>
      <c r="D47" s="311" t="s">
        <v>45</v>
      </c>
      <c r="E47" s="247" t="s">
        <v>46</v>
      </c>
      <c r="F47" s="311" t="s">
        <v>26</v>
      </c>
      <c r="G47" s="247" t="s">
        <v>1510</v>
      </c>
      <c r="H47" s="311" t="s">
        <v>42</v>
      </c>
      <c r="I47" s="317" t="s">
        <v>1511</v>
      </c>
      <c r="J47" s="311" t="s">
        <v>30</v>
      </c>
      <c r="K47" s="311"/>
      <c r="L47" s="311" t="s">
        <v>322</v>
      </c>
      <c r="M47" s="311"/>
      <c r="N47" s="311">
        <v>100</v>
      </c>
      <c r="O47" s="311">
        <v>45</v>
      </c>
      <c r="P47" s="311"/>
      <c r="Q47" s="318"/>
      <c r="R47" s="319">
        <v>646.06929473086745</v>
      </c>
      <c r="T47" s="311" t="s">
        <v>34</v>
      </c>
      <c r="U47" s="311"/>
    </row>
    <row r="48" spans="1:21" s="320" customFormat="1" ht="14.1" customHeight="1">
      <c r="A48" s="311">
        <v>44</v>
      </c>
      <c r="B48" s="247" t="s">
        <v>124</v>
      </c>
      <c r="C48" s="247" t="s">
        <v>1422</v>
      </c>
      <c r="D48" s="311" t="s">
        <v>45</v>
      </c>
      <c r="E48" s="247" t="s">
        <v>46</v>
      </c>
      <c r="F48" s="311" t="s">
        <v>26</v>
      </c>
      <c r="G48" s="247" t="s">
        <v>1512</v>
      </c>
      <c r="H48" s="311" t="s">
        <v>42</v>
      </c>
      <c r="I48" s="317" t="s">
        <v>1513</v>
      </c>
      <c r="J48" s="311" t="s">
        <v>30</v>
      </c>
      <c r="K48" s="311"/>
      <c r="L48" s="311" t="s">
        <v>322</v>
      </c>
      <c r="M48" s="311"/>
      <c r="N48" s="311">
        <v>100</v>
      </c>
      <c r="O48" s="311">
        <v>45</v>
      </c>
      <c r="P48" s="311"/>
      <c r="Q48" s="318"/>
      <c r="R48" s="319">
        <v>646.61551496652066</v>
      </c>
      <c r="T48" s="311" t="s">
        <v>34</v>
      </c>
      <c r="U48" s="311"/>
    </row>
    <row r="49" spans="1:21" s="320" customFormat="1" ht="14.1" customHeight="1">
      <c r="A49" s="311">
        <v>45</v>
      </c>
      <c r="B49" s="247" t="s">
        <v>124</v>
      </c>
      <c r="C49" s="247" t="s">
        <v>1422</v>
      </c>
      <c r="D49" s="311" t="s">
        <v>45</v>
      </c>
      <c r="E49" s="247" t="s">
        <v>46</v>
      </c>
      <c r="F49" s="311" t="s">
        <v>26</v>
      </c>
      <c r="G49" s="317" t="s">
        <v>1514</v>
      </c>
      <c r="H49" s="311" t="s">
        <v>42</v>
      </c>
      <c r="I49" s="317" t="s">
        <v>1515</v>
      </c>
      <c r="J49" s="311" t="s">
        <v>30</v>
      </c>
      <c r="K49" s="311"/>
      <c r="L49" s="311" t="s">
        <v>322</v>
      </c>
      <c r="M49" s="311"/>
      <c r="N49" s="311">
        <v>100</v>
      </c>
      <c r="O49" s="311">
        <v>45</v>
      </c>
      <c r="P49" s="311"/>
      <c r="Q49" s="318"/>
      <c r="R49" s="319">
        <v>646.06929473086745</v>
      </c>
      <c r="T49" s="311" t="s">
        <v>34</v>
      </c>
      <c r="U49" s="311"/>
    </row>
    <row r="50" spans="1:21" s="320" customFormat="1" ht="14.1" customHeight="1">
      <c r="A50" s="311">
        <v>46</v>
      </c>
      <c r="B50" s="247" t="s">
        <v>124</v>
      </c>
      <c r="C50" s="247" t="s">
        <v>1422</v>
      </c>
      <c r="D50" s="311" t="s">
        <v>45</v>
      </c>
      <c r="E50" s="247" t="s">
        <v>46</v>
      </c>
      <c r="F50" s="311" t="s">
        <v>26</v>
      </c>
      <c r="G50" s="317" t="s">
        <v>1516</v>
      </c>
      <c r="H50" s="311" t="s">
        <v>42</v>
      </c>
      <c r="I50" s="317" t="s">
        <v>1517</v>
      </c>
      <c r="J50" s="311" t="s">
        <v>30</v>
      </c>
      <c r="K50" s="311"/>
      <c r="L50" s="311" t="s">
        <v>322</v>
      </c>
      <c r="M50" s="311"/>
      <c r="N50" s="311">
        <v>100</v>
      </c>
      <c r="O50" s="311">
        <v>45</v>
      </c>
      <c r="P50" s="311"/>
      <c r="Q50" s="318"/>
      <c r="R50" s="319">
        <v>646.61551496652066</v>
      </c>
      <c r="T50" s="311" t="s">
        <v>34</v>
      </c>
      <c r="U50" s="311"/>
    </row>
    <row r="51" spans="1:21" s="320" customFormat="1" ht="14.1" customHeight="1">
      <c r="A51" s="311">
        <v>47</v>
      </c>
      <c r="B51" s="247" t="s">
        <v>124</v>
      </c>
      <c r="C51" s="247" t="s">
        <v>1422</v>
      </c>
      <c r="D51" s="311" t="s">
        <v>684</v>
      </c>
      <c r="E51" s="247" t="s">
        <v>413</v>
      </c>
      <c r="F51" s="311" t="s">
        <v>26</v>
      </c>
      <c r="G51" s="317" t="s">
        <v>1518</v>
      </c>
      <c r="H51" s="311" t="s">
        <v>42</v>
      </c>
      <c r="I51" s="317" t="s">
        <v>1519</v>
      </c>
      <c r="J51" s="311" t="s">
        <v>30</v>
      </c>
      <c r="K51" s="311"/>
      <c r="L51" s="311" t="s">
        <v>322</v>
      </c>
      <c r="M51" s="311"/>
      <c r="N51" s="311">
        <v>100</v>
      </c>
      <c r="O51" s="311">
        <v>45</v>
      </c>
      <c r="P51" s="311"/>
      <c r="Q51" s="318"/>
      <c r="R51" s="319">
        <v>82.233456477622639</v>
      </c>
      <c r="T51" s="311" t="s">
        <v>34</v>
      </c>
      <c r="U51" s="311"/>
    </row>
    <row r="52" spans="1:21" s="320" customFormat="1" ht="14.1" customHeight="1">
      <c r="A52" s="311">
        <v>48</v>
      </c>
      <c r="B52" s="247" t="s">
        <v>124</v>
      </c>
      <c r="C52" s="247" t="s">
        <v>1422</v>
      </c>
      <c r="D52" s="311" t="s">
        <v>684</v>
      </c>
      <c r="E52" s="247" t="s">
        <v>413</v>
      </c>
      <c r="F52" s="311" t="s">
        <v>26</v>
      </c>
      <c r="G52" s="317" t="s">
        <v>1520</v>
      </c>
      <c r="H52" s="311" t="s">
        <v>42</v>
      </c>
      <c r="I52" s="317" t="s">
        <v>1521</v>
      </c>
      <c r="J52" s="311" t="s">
        <v>30</v>
      </c>
      <c r="K52" s="311"/>
      <c r="L52" s="311" t="s">
        <v>322</v>
      </c>
      <c r="M52" s="311"/>
      <c r="N52" s="311">
        <v>100</v>
      </c>
      <c r="O52" s="311">
        <v>45</v>
      </c>
      <c r="P52" s="311"/>
      <c r="Q52" s="318"/>
      <c r="R52" s="319">
        <v>81.659925230186559</v>
      </c>
      <c r="T52" s="311" t="s">
        <v>34</v>
      </c>
      <c r="U52" s="311"/>
    </row>
    <row r="53" spans="1:21" s="320" customFormat="1" ht="14.1" customHeight="1">
      <c r="A53" s="311">
        <v>49</v>
      </c>
      <c r="B53" s="247" t="s">
        <v>124</v>
      </c>
      <c r="C53" s="247" t="s">
        <v>1422</v>
      </c>
      <c r="D53" s="311" t="s">
        <v>684</v>
      </c>
      <c r="E53" s="247" t="s">
        <v>413</v>
      </c>
      <c r="F53" s="311" t="s">
        <v>26</v>
      </c>
      <c r="G53" s="317" t="s">
        <v>1522</v>
      </c>
      <c r="H53" s="311" t="s">
        <v>42</v>
      </c>
      <c r="I53" s="317" t="s">
        <v>1523</v>
      </c>
      <c r="J53" s="311" t="s">
        <v>30</v>
      </c>
      <c r="K53" s="311"/>
      <c r="L53" s="311" t="s">
        <v>322</v>
      </c>
      <c r="M53" s="311"/>
      <c r="N53" s="311">
        <v>100</v>
      </c>
      <c r="O53" s="311">
        <v>45</v>
      </c>
      <c r="P53" s="311"/>
      <c r="Q53" s="318"/>
      <c r="R53" s="319">
        <v>83.653629090321559</v>
      </c>
      <c r="T53" s="311" t="s">
        <v>34</v>
      </c>
      <c r="U53" s="311"/>
    </row>
    <row r="54" spans="1:21" s="320" customFormat="1" ht="14.1" customHeight="1">
      <c r="A54" s="311">
        <v>50</v>
      </c>
      <c r="B54" s="247" t="s">
        <v>124</v>
      </c>
      <c r="C54" s="247" t="s">
        <v>1422</v>
      </c>
      <c r="D54" s="311" t="s">
        <v>684</v>
      </c>
      <c r="E54" s="247" t="s">
        <v>413</v>
      </c>
      <c r="F54" s="311" t="s">
        <v>26</v>
      </c>
      <c r="G54" s="317" t="s">
        <v>1524</v>
      </c>
      <c r="H54" s="311" t="s">
        <v>42</v>
      </c>
      <c r="I54" s="317" t="s">
        <v>1525</v>
      </c>
      <c r="J54" s="311" t="s">
        <v>30</v>
      </c>
      <c r="K54" s="311"/>
      <c r="L54" s="311" t="s">
        <v>322</v>
      </c>
      <c r="M54" s="311"/>
      <c r="N54" s="311">
        <v>100</v>
      </c>
      <c r="O54" s="311">
        <v>45</v>
      </c>
      <c r="P54" s="311"/>
      <c r="Q54" s="318"/>
      <c r="R54" s="319">
        <v>89.77129572963986</v>
      </c>
      <c r="T54" s="311" t="s">
        <v>34</v>
      </c>
      <c r="U54" s="311"/>
    </row>
    <row r="55" spans="1:21" s="320" customFormat="1" ht="14.1" customHeight="1">
      <c r="A55" s="311">
        <v>51</v>
      </c>
      <c r="B55" s="247" t="s">
        <v>124</v>
      </c>
      <c r="C55" s="247" t="s">
        <v>1422</v>
      </c>
      <c r="D55" s="311" t="s">
        <v>684</v>
      </c>
      <c r="E55" s="247" t="s">
        <v>413</v>
      </c>
      <c r="F55" s="311" t="s">
        <v>26</v>
      </c>
      <c r="G55" s="317" t="s">
        <v>1526</v>
      </c>
      <c r="H55" s="311" t="s">
        <v>42</v>
      </c>
      <c r="I55" s="317" t="s">
        <v>1527</v>
      </c>
      <c r="J55" s="311" t="s">
        <v>30</v>
      </c>
      <c r="K55" s="311"/>
      <c r="L55" s="311" t="s">
        <v>322</v>
      </c>
      <c r="M55" s="311"/>
      <c r="N55" s="311">
        <v>100</v>
      </c>
      <c r="O55" s="311">
        <v>45</v>
      </c>
      <c r="P55" s="311"/>
      <c r="Q55" s="318"/>
      <c r="R55" s="319">
        <v>94.71458886230333</v>
      </c>
      <c r="T55" s="311" t="s">
        <v>34</v>
      </c>
      <c r="U55" s="311"/>
    </row>
    <row r="56" spans="1:21" s="320" customFormat="1" ht="14.1" customHeight="1">
      <c r="A56" s="311">
        <v>52</v>
      </c>
      <c r="B56" s="247" t="s">
        <v>124</v>
      </c>
      <c r="C56" s="247" t="s">
        <v>1422</v>
      </c>
      <c r="D56" s="311" t="s">
        <v>944</v>
      </c>
      <c r="E56" s="247" t="s">
        <v>945</v>
      </c>
      <c r="F56" s="311" t="s">
        <v>26</v>
      </c>
      <c r="G56" s="317" t="s">
        <v>1528</v>
      </c>
      <c r="H56" s="311" t="s">
        <v>42</v>
      </c>
      <c r="I56" s="317" t="s">
        <v>1529</v>
      </c>
      <c r="J56" s="311" t="s">
        <v>30</v>
      </c>
      <c r="K56" s="311"/>
      <c r="L56" s="311" t="s">
        <v>322</v>
      </c>
      <c r="M56" s="311"/>
      <c r="N56" s="311">
        <v>100</v>
      </c>
      <c r="O56" s="311">
        <v>45</v>
      </c>
      <c r="P56" s="311"/>
      <c r="Q56" s="318"/>
      <c r="R56" s="319">
        <v>26.27319333492958</v>
      </c>
      <c r="T56" s="311" t="s">
        <v>34</v>
      </c>
      <c r="U56" s="311"/>
    </row>
    <row r="57" spans="1:21" s="122" customFormat="1" ht="14.1" customHeight="1">
      <c r="A57" s="29">
        <v>53</v>
      </c>
      <c r="B57" s="19" t="s">
        <v>456</v>
      </c>
      <c r="C57" s="14" t="s">
        <v>1422</v>
      </c>
      <c r="D57" s="29" t="s">
        <v>45</v>
      </c>
      <c r="E57" s="19" t="s">
        <v>46</v>
      </c>
      <c r="F57" s="29" t="s">
        <v>457</v>
      </c>
      <c r="G57" s="19" t="s">
        <v>1530</v>
      </c>
      <c r="H57" s="29" t="s">
        <v>459</v>
      </c>
      <c r="I57" s="19" t="s">
        <v>1531</v>
      </c>
      <c r="J57" s="29" t="s">
        <v>123</v>
      </c>
      <c r="K57" s="29" t="s">
        <v>461</v>
      </c>
      <c r="L57" s="29" t="s">
        <v>322</v>
      </c>
      <c r="M57" s="29">
        <v>83014000</v>
      </c>
      <c r="N57" s="29">
        <v>500</v>
      </c>
      <c r="O57" s="29">
        <v>45</v>
      </c>
      <c r="P57" s="29"/>
      <c r="Q57" s="22"/>
      <c r="R57" s="9">
        <v>1538.292360270216</v>
      </c>
      <c r="S57" s="22"/>
      <c r="T57" s="7"/>
      <c r="U57" s="7" t="s">
        <v>34</v>
      </c>
    </row>
    <row r="58" spans="1:21" s="122" customFormat="1" ht="14.1" customHeight="1">
      <c r="A58" s="29">
        <v>54</v>
      </c>
      <c r="B58" s="19" t="s">
        <v>456</v>
      </c>
      <c r="C58" s="14" t="s">
        <v>1422</v>
      </c>
      <c r="D58" s="29" t="s">
        <v>45</v>
      </c>
      <c r="E58" s="19" t="s">
        <v>46</v>
      </c>
      <c r="F58" s="29" t="s">
        <v>457</v>
      </c>
      <c r="G58" s="19" t="s">
        <v>1532</v>
      </c>
      <c r="H58" s="29" t="s">
        <v>465</v>
      </c>
      <c r="I58" s="19" t="s">
        <v>1531</v>
      </c>
      <c r="J58" s="29" t="s">
        <v>123</v>
      </c>
      <c r="K58" s="29" t="s">
        <v>467</v>
      </c>
      <c r="L58" s="29" t="s">
        <v>322</v>
      </c>
      <c r="M58" s="29">
        <v>83014000</v>
      </c>
      <c r="N58" s="29">
        <v>500</v>
      </c>
      <c r="O58" s="29">
        <v>45</v>
      </c>
      <c r="P58" s="29"/>
      <c r="Q58" s="22"/>
      <c r="R58" s="9">
        <v>1538.7798618305369</v>
      </c>
      <c r="S58" s="22"/>
      <c r="T58" s="19"/>
      <c r="U58" s="7" t="s">
        <v>34</v>
      </c>
    </row>
    <row r="59" spans="1:21" s="122" customFormat="1" ht="14.1" customHeight="1">
      <c r="A59" s="29">
        <v>55</v>
      </c>
      <c r="B59" s="19" t="s">
        <v>456</v>
      </c>
      <c r="C59" s="14" t="s">
        <v>1422</v>
      </c>
      <c r="D59" s="29" t="s">
        <v>45</v>
      </c>
      <c r="E59" s="19" t="s">
        <v>46</v>
      </c>
      <c r="F59" s="29" t="s">
        <v>457</v>
      </c>
      <c r="G59" s="19" t="s">
        <v>1533</v>
      </c>
      <c r="H59" s="29" t="s">
        <v>459</v>
      </c>
      <c r="I59" s="19" t="s">
        <v>1534</v>
      </c>
      <c r="J59" s="29" t="s">
        <v>123</v>
      </c>
      <c r="K59" s="29" t="s">
        <v>461</v>
      </c>
      <c r="L59" s="29" t="s">
        <v>322</v>
      </c>
      <c r="M59" s="29">
        <v>83014000</v>
      </c>
      <c r="N59" s="29">
        <v>500</v>
      </c>
      <c r="O59" s="29">
        <v>45</v>
      </c>
      <c r="P59" s="29"/>
      <c r="Q59" s="22"/>
      <c r="R59" s="9">
        <v>1539.1906631453669</v>
      </c>
      <c r="S59" s="22"/>
      <c r="T59" s="7"/>
      <c r="U59" s="7" t="s">
        <v>34</v>
      </c>
    </row>
    <row r="60" spans="1:21" s="122" customFormat="1" ht="14.1" customHeight="1">
      <c r="A60" s="29">
        <v>56</v>
      </c>
      <c r="B60" s="19" t="s">
        <v>456</v>
      </c>
      <c r="C60" s="14" t="s">
        <v>1422</v>
      </c>
      <c r="D60" s="29" t="s">
        <v>45</v>
      </c>
      <c r="E60" s="19" t="s">
        <v>46</v>
      </c>
      <c r="F60" s="29" t="s">
        <v>457</v>
      </c>
      <c r="G60" s="19" t="s">
        <v>1535</v>
      </c>
      <c r="H60" s="29" t="s">
        <v>465</v>
      </c>
      <c r="I60" s="19" t="s">
        <v>1534</v>
      </c>
      <c r="J60" s="29" t="s">
        <v>123</v>
      </c>
      <c r="K60" s="29" t="s">
        <v>467</v>
      </c>
      <c r="L60" s="29" t="s">
        <v>322</v>
      </c>
      <c r="M60" s="29">
        <v>83014000</v>
      </c>
      <c r="N60" s="29">
        <v>500</v>
      </c>
      <c r="O60" s="29">
        <v>45</v>
      </c>
      <c r="P60" s="29"/>
      <c r="Q60" s="22"/>
      <c r="R60" s="9">
        <v>1539.6856002598661</v>
      </c>
      <c r="S60" s="22"/>
      <c r="T60" s="19"/>
      <c r="U60" s="7" t="s">
        <v>34</v>
      </c>
    </row>
    <row r="61" spans="1:21" s="122" customFormat="1" ht="14.1" customHeight="1">
      <c r="A61" s="29">
        <v>57</v>
      </c>
      <c r="B61" s="19" t="s">
        <v>456</v>
      </c>
      <c r="C61" s="14" t="s">
        <v>1422</v>
      </c>
      <c r="D61" s="29" t="s">
        <v>45</v>
      </c>
      <c r="E61" s="19" t="s">
        <v>46</v>
      </c>
      <c r="F61" s="29" t="s">
        <v>457</v>
      </c>
      <c r="G61" s="19" t="s">
        <v>1536</v>
      </c>
      <c r="H61" s="29" t="s">
        <v>465</v>
      </c>
      <c r="I61" s="19" t="s">
        <v>1537</v>
      </c>
      <c r="J61" s="29" t="s">
        <v>123</v>
      </c>
      <c r="K61" s="29" t="s">
        <v>467</v>
      </c>
      <c r="L61" s="29" t="s">
        <v>322</v>
      </c>
      <c r="M61" s="29">
        <v>83014000</v>
      </c>
      <c r="N61" s="29">
        <v>300</v>
      </c>
      <c r="O61" s="29">
        <v>45</v>
      </c>
      <c r="P61" s="29"/>
      <c r="Q61" s="22"/>
      <c r="R61" s="9">
        <v>2101.9373998297151</v>
      </c>
      <c r="S61" s="22"/>
      <c r="T61" s="19"/>
      <c r="U61" s="7" t="s">
        <v>34</v>
      </c>
    </row>
    <row r="62" spans="1:21" s="122" customFormat="1" ht="14.1" customHeight="1">
      <c r="A62" s="29">
        <v>58</v>
      </c>
      <c r="B62" s="19" t="s">
        <v>456</v>
      </c>
      <c r="C62" s="14" t="s">
        <v>1422</v>
      </c>
      <c r="D62" s="29" t="s">
        <v>45</v>
      </c>
      <c r="E62" s="19" t="s">
        <v>46</v>
      </c>
      <c r="F62" s="29" t="s">
        <v>457</v>
      </c>
      <c r="G62" s="19" t="s">
        <v>1538</v>
      </c>
      <c r="H62" s="29" t="s">
        <v>575</v>
      </c>
      <c r="I62" s="19" t="s">
        <v>1537</v>
      </c>
      <c r="J62" s="29" t="s">
        <v>123</v>
      </c>
      <c r="K62" s="29" t="s">
        <v>461</v>
      </c>
      <c r="L62" s="29" t="s">
        <v>322</v>
      </c>
      <c r="M62" s="29">
        <v>83014020</v>
      </c>
      <c r="N62" s="29">
        <v>300</v>
      </c>
      <c r="O62" s="29">
        <v>45</v>
      </c>
      <c r="P62" s="29"/>
      <c r="Q62" s="22"/>
      <c r="R62" s="9">
        <v>2101.6642897118891</v>
      </c>
      <c r="S62" s="22"/>
      <c r="T62" s="19"/>
      <c r="U62" s="7" t="s">
        <v>34</v>
      </c>
    </row>
    <row r="63" spans="1:21" s="122" customFormat="1" ht="14.1" customHeight="1">
      <c r="A63" s="29">
        <v>59</v>
      </c>
      <c r="B63" s="19" t="s">
        <v>456</v>
      </c>
      <c r="C63" s="14" t="s">
        <v>1422</v>
      </c>
      <c r="D63" s="29" t="s">
        <v>45</v>
      </c>
      <c r="E63" s="19" t="s">
        <v>46</v>
      </c>
      <c r="F63" s="29" t="s">
        <v>457</v>
      </c>
      <c r="G63" s="19" t="s">
        <v>1539</v>
      </c>
      <c r="H63" s="29" t="s">
        <v>465</v>
      </c>
      <c r="I63" s="19" t="s">
        <v>1540</v>
      </c>
      <c r="J63" s="29" t="s">
        <v>123</v>
      </c>
      <c r="K63" s="29" t="s">
        <v>467</v>
      </c>
      <c r="L63" s="29" t="s">
        <v>322</v>
      </c>
      <c r="M63" s="29">
        <v>83014000</v>
      </c>
      <c r="N63" s="29">
        <v>300</v>
      </c>
      <c r="O63" s="29">
        <v>45</v>
      </c>
      <c r="P63" s="29"/>
      <c r="Q63" s="22"/>
      <c r="R63" s="9">
        <v>2102.4563090535862</v>
      </c>
      <c r="S63" s="22"/>
      <c r="T63" s="19"/>
      <c r="U63" s="7" t="s">
        <v>34</v>
      </c>
    </row>
    <row r="64" spans="1:21" s="122" customFormat="1" ht="14.1" customHeight="1">
      <c r="A64" s="29">
        <v>60</v>
      </c>
      <c r="B64" s="19" t="s">
        <v>456</v>
      </c>
      <c r="C64" s="14" t="s">
        <v>1422</v>
      </c>
      <c r="D64" s="29" t="s">
        <v>45</v>
      </c>
      <c r="E64" s="19" t="s">
        <v>46</v>
      </c>
      <c r="F64" s="29" t="s">
        <v>457</v>
      </c>
      <c r="G64" s="19" t="s">
        <v>1541</v>
      </c>
      <c r="H64" s="29" t="s">
        <v>575</v>
      </c>
      <c r="I64" s="19" t="s">
        <v>1540</v>
      </c>
      <c r="J64" s="29" t="s">
        <v>123</v>
      </c>
      <c r="K64" s="29" t="s">
        <v>461</v>
      </c>
      <c r="L64" s="29" t="s">
        <v>322</v>
      </c>
      <c r="M64" s="29">
        <v>83014000</v>
      </c>
      <c r="N64" s="29">
        <v>300</v>
      </c>
      <c r="O64" s="29">
        <v>45</v>
      </c>
      <c r="P64" s="29"/>
      <c r="Q64" s="22"/>
      <c r="R64" s="9">
        <v>2102.2105099475421</v>
      </c>
      <c r="S64" s="22"/>
      <c r="T64" s="19"/>
      <c r="U64" s="7" t="s">
        <v>34</v>
      </c>
    </row>
    <row r="65" spans="1:21" s="122" customFormat="1" ht="14.1" customHeight="1">
      <c r="A65" s="29">
        <v>61</v>
      </c>
      <c r="B65" s="19" t="s">
        <v>456</v>
      </c>
      <c r="C65" s="14" t="s">
        <v>1422</v>
      </c>
      <c r="D65" s="29" t="s">
        <v>45</v>
      </c>
      <c r="E65" s="19" t="s">
        <v>46</v>
      </c>
      <c r="F65" s="29" t="s">
        <v>457</v>
      </c>
      <c r="G65" s="19" t="s">
        <v>1542</v>
      </c>
      <c r="H65" s="29" t="s">
        <v>465</v>
      </c>
      <c r="I65" s="19" t="s">
        <v>1543</v>
      </c>
      <c r="J65" s="29" t="s">
        <v>123</v>
      </c>
      <c r="K65" s="29" t="s">
        <v>467</v>
      </c>
      <c r="L65" s="29" t="s">
        <v>322</v>
      </c>
      <c r="M65" s="29">
        <v>83014000</v>
      </c>
      <c r="N65" s="29">
        <v>300</v>
      </c>
      <c r="O65" s="29">
        <v>45</v>
      </c>
      <c r="P65" s="29"/>
      <c r="Q65" s="22"/>
      <c r="R65" s="9">
        <v>2533.0663746886999</v>
      </c>
      <c r="S65" s="22"/>
      <c r="T65" s="19"/>
      <c r="U65" s="7" t="s">
        <v>34</v>
      </c>
    </row>
    <row r="66" spans="1:21" s="122" customFormat="1" ht="14.1" customHeight="1">
      <c r="A66" s="29">
        <v>62</v>
      </c>
      <c r="B66" s="19" t="s">
        <v>456</v>
      </c>
      <c r="C66" s="14" t="s">
        <v>1422</v>
      </c>
      <c r="D66" s="29" t="s">
        <v>45</v>
      </c>
      <c r="E66" s="19" t="s">
        <v>46</v>
      </c>
      <c r="F66" s="29" t="s">
        <v>457</v>
      </c>
      <c r="G66" s="19" t="s">
        <v>1544</v>
      </c>
      <c r="H66" s="29" t="s">
        <v>575</v>
      </c>
      <c r="I66" s="19" t="s">
        <v>1543</v>
      </c>
      <c r="J66" s="29" t="s">
        <v>123</v>
      </c>
      <c r="K66" s="29" t="s">
        <v>461</v>
      </c>
      <c r="L66" s="29" t="s">
        <v>322</v>
      </c>
      <c r="M66" s="29">
        <v>83014000</v>
      </c>
      <c r="N66" s="29">
        <v>300</v>
      </c>
      <c r="O66" s="29">
        <v>45</v>
      </c>
      <c r="P66" s="29"/>
      <c r="Q66" s="22"/>
      <c r="R66" s="9">
        <v>2530.9933949354781</v>
      </c>
      <c r="S66" s="22"/>
      <c r="T66" s="19"/>
      <c r="U66" s="7" t="s">
        <v>34</v>
      </c>
    </row>
    <row r="67" spans="1:21" s="122" customFormat="1" ht="14.1" customHeight="1">
      <c r="A67" s="29">
        <v>63</v>
      </c>
      <c r="B67" s="19" t="s">
        <v>456</v>
      </c>
      <c r="C67" s="14" t="s">
        <v>1422</v>
      </c>
      <c r="D67" s="29" t="s">
        <v>45</v>
      </c>
      <c r="E67" s="19" t="s">
        <v>46</v>
      </c>
      <c r="F67" s="29" t="s">
        <v>457</v>
      </c>
      <c r="G67" s="19" t="s">
        <v>1545</v>
      </c>
      <c r="H67" s="29" t="s">
        <v>465</v>
      </c>
      <c r="I67" s="19" t="s">
        <v>1546</v>
      </c>
      <c r="J67" s="29" t="s">
        <v>123</v>
      </c>
      <c r="K67" s="29" t="s">
        <v>467</v>
      </c>
      <c r="L67" s="29" t="s">
        <v>322</v>
      </c>
      <c r="M67" s="29">
        <v>83014000</v>
      </c>
      <c r="N67" s="29">
        <v>300</v>
      </c>
      <c r="O67" s="29">
        <v>45</v>
      </c>
      <c r="P67" s="29"/>
      <c r="Q67" s="22"/>
      <c r="R67" s="9">
        <v>2533.975972076214</v>
      </c>
      <c r="S67" s="22"/>
      <c r="T67" s="19"/>
      <c r="U67" s="7" t="s">
        <v>34</v>
      </c>
    </row>
    <row r="68" spans="1:21" s="122" customFormat="1" ht="14.1" customHeight="1">
      <c r="A68" s="29">
        <v>64</v>
      </c>
      <c r="B68" s="19" t="s">
        <v>456</v>
      </c>
      <c r="C68" s="14" t="s">
        <v>1422</v>
      </c>
      <c r="D68" s="29" t="s">
        <v>45</v>
      </c>
      <c r="E68" s="19" t="s">
        <v>46</v>
      </c>
      <c r="F68" s="29" t="s">
        <v>457</v>
      </c>
      <c r="G68" s="19" t="s">
        <v>1547</v>
      </c>
      <c r="H68" s="29" t="s">
        <v>575</v>
      </c>
      <c r="I68" s="19" t="s">
        <v>1546</v>
      </c>
      <c r="J68" s="29" t="s">
        <v>123</v>
      </c>
      <c r="K68" s="29" t="s">
        <v>461</v>
      </c>
      <c r="L68" s="29" t="s">
        <v>322</v>
      </c>
      <c r="M68" s="29">
        <v>83014000</v>
      </c>
      <c r="N68" s="29">
        <v>300</v>
      </c>
      <c r="O68" s="29">
        <v>45</v>
      </c>
      <c r="P68" s="29"/>
      <c r="Q68" s="22"/>
      <c r="R68" s="9">
        <v>2531.894658324306</v>
      </c>
      <c r="S68" s="22"/>
      <c r="T68" s="19"/>
      <c r="U68" s="7" t="s">
        <v>34</v>
      </c>
    </row>
    <row r="69" spans="1:21" s="122" customFormat="1" ht="14.1" customHeight="1">
      <c r="A69" s="29">
        <v>65</v>
      </c>
      <c r="B69" s="19" t="s">
        <v>456</v>
      </c>
      <c r="C69" s="14" t="s">
        <v>1422</v>
      </c>
      <c r="D69" s="29" t="s">
        <v>45</v>
      </c>
      <c r="E69" s="19" t="s">
        <v>46</v>
      </c>
      <c r="F69" s="29" t="s">
        <v>457</v>
      </c>
      <c r="G69" s="19" t="s">
        <v>1548</v>
      </c>
      <c r="H69" s="29" t="s">
        <v>575</v>
      </c>
      <c r="I69" s="19" t="s">
        <v>1549</v>
      </c>
      <c r="J69" s="29" t="s">
        <v>123</v>
      </c>
      <c r="K69" s="29" t="s">
        <v>461</v>
      </c>
      <c r="L69" s="29" t="s">
        <v>322</v>
      </c>
      <c r="M69" s="29">
        <v>83014000</v>
      </c>
      <c r="N69" s="29">
        <v>500</v>
      </c>
      <c r="O69" s="29" t="s">
        <v>1550</v>
      </c>
      <c r="P69" s="29"/>
      <c r="Q69" s="22"/>
      <c r="R69" s="9">
        <v>3514.8899636529709</v>
      </c>
      <c r="S69" s="22"/>
      <c r="T69" s="7"/>
      <c r="U69" s="7" t="s">
        <v>34</v>
      </c>
    </row>
    <row r="70" spans="1:21" s="22" customFormat="1" ht="14.1" customHeight="1">
      <c r="A70" s="29">
        <v>66</v>
      </c>
      <c r="B70" s="19" t="s">
        <v>456</v>
      </c>
      <c r="C70" s="14" t="s">
        <v>1422</v>
      </c>
      <c r="D70" s="29" t="s">
        <v>45</v>
      </c>
      <c r="E70" s="19" t="s">
        <v>46</v>
      </c>
      <c r="F70" s="29" t="s">
        <v>457</v>
      </c>
      <c r="G70" s="19" t="s">
        <v>1551</v>
      </c>
      <c r="H70" s="29" t="s">
        <v>575</v>
      </c>
      <c r="I70" s="19" t="s">
        <v>1552</v>
      </c>
      <c r="J70" s="29" t="s">
        <v>123</v>
      </c>
      <c r="K70" s="29" t="s">
        <v>461</v>
      </c>
      <c r="L70" s="29" t="s">
        <v>322</v>
      </c>
      <c r="M70" s="29">
        <v>83014000</v>
      </c>
      <c r="N70" s="29">
        <v>500</v>
      </c>
      <c r="O70" s="29" t="s">
        <v>1550</v>
      </c>
      <c r="P70" s="29"/>
      <c r="R70" s="9">
        <v>3515.7882665281209</v>
      </c>
      <c r="T70" s="7"/>
      <c r="U70" s="7" t="s">
        <v>34</v>
      </c>
    </row>
    <row r="71" spans="1:21" s="22" customFormat="1" ht="14.1" customHeight="1">
      <c r="A71" s="29">
        <v>67</v>
      </c>
      <c r="B71" s="19" t="s">
        <v>456</v>
      </c>
      <c r="C71" s="14" t="s">
        <v>1422</v>
      </c>
      <c r="D71" s="29" t="s">
        <v>45</v>
      </c>
      <c r="E71" s="19" t="s">
        <v>46</v>
      </c>
      <c r="F71" s="29" t="s">
        <v>457</v>
      </c>
      <c r="G71" s="19" t="s">
        <v>1553</v>
      </c>
      <c r="H71" s="29" t="s">
        <v>575</v>
      </c>
      <c r="I71" s="19" t="s">
        <v>1554</v>
      </c>
      <c r="J71" s="29" t="s">
        <v>123</v>
      </c>
      <c r="K71" s="29" t="s">
        <v>461</v>
      </c>
      <c r="L71" s="29" t="s">
        <v>322</v>
      </c>
      <c r="M71" s="29">
        <v>83014000</v>
      </c>
      <c r="N71" s="29">
        <v>500</v>
      </c>
      <c r="O71" s="29" t="s">
        <v>1550</v>
      </c>
      <c r="P71" s="29"/>
      <c r="R71" s="9">
        <v>3514.8999054179872</v>
      </c>
      <c r="T71" s="7"/>
      <c r="U71" s="7" t="s">
        <v>34</v>
      </c>
    </row>
    <row r="72" spans="1:21" s="22" customFormat="1" ht="14.1" customHeight="1">
      <c r="A72" s="29">
        <v>68</v>
      </c>
      <c r="B72" s="19" t="s">
        <v>456</v>
      </c>
      <c r="C72" s="14" t="s">
        <v>1422</v>
      </c>
      <c r="D72" s="29" t="s">
        <v>45</v>
      </c>
      <c r="E72" s="19" t="s">
        <v>46</v>
      </c>
      <c r="F72" s="29" t="s">
        <v>457</v>
      </c>
      <c r="G72" s="19" t="s">
        <v>1555</v>
      </c>
      <c r="H72" s="29" t="s">
        <v>575</v>
      </c>
      <c r="I72" s="19" t="s">
        <v>1556</v>
      </c>
      <c r="J72" s="29" t="s">
        <v>123</v>
      </c>
      <c r="K72" s="29" t="s">
        <v>461</v>
      </c>
      <c r="L72" s="29" t="s">
        <v>322</v>
      </c>
      <c r="M72" s="29">
        <v>83014000</v>
      </c>
      <c r="N72" s="29">
        <v>500</v>
      </c>
      <c r="O72" s="29" t="s">
        <v>1550</v>
      </c>
      <c r="P72" s="29"/>
      <c r="R72" s="9">
        <v>3515.7882665281209</v>
      </c>
      <c r="T72" s="7"/>
      <c r="U72" s="7" t="s">
        <v>34</v>
      </c>
    </row>
    <row r="73" spans="1:21" s="122" customFormat="1" ht="14.1" customHeight="1">
      <c r="A73" s="29">
        <v>69</v>
      </c>
      <c r="B73" s="19" t="s">
        <v>456</v>
      </c>
      <c r="C73" s="14" t="s">
        <v>1422</v>
      </c>
      <c r="D73" s="29" t="s">
        <v>45</v>
      </c>
      <c r="E73" s="19" t="s">
        <v>46</v>
      </c>
      <c r="F73" s="29" t="s">
        <v>457</v>
      </c>
      <c r="G73" s="19" t="s">
        <v>1557</v>
      </c>
      <c r="H73" s="29" t="s">
        <v>575</v>
      </c>
      <c r="I73" s="19" t="s">
        <v>1558</v>
      </c>
      <c r="J73" s="29" t="s">
        <v>123</v>
      </c>
      <c r="K73" s="29" t="s">
        <v>461</v>
      </c>
      <c r="L73" s="29" t="s">
        <v>322</v>
      </c>
      <c r="M73" s="29">
        <v>83014000</v>
      </c>
      <c r="N73" s="29">
        <v>500</v>
      </c>
      <c r="O73" s="29" t="s">
        <v>1550</v>
      </c>
      <c r="P73" s="29"/>
      <c r="Q73" s="22"/>
      <c r="R73" s="9">
        <v>3514.8999054179872</v>
      </c>
      <c r="S73" s="22"/>
      <c r="T73" s="7"/>
      <c r="U73" s="7" t="s">
        <v>34</v>
      </c>
    </row>
    <row r="74" spans="1:21" s="22" customFormat="1" ht="14.1" customHeight="1">
      <c r="A74" s="29">
        <v>70</v>
      </c>
      <c r="B74" s="19" t="s">
        <v>456</v>
      </c>
      <c r="C74" s="14" t="s">
        <v>1422</v>
      </c>
      <c r="D74" s="29" t="s">
        <v>45</v>
      </c>
      <c r="E74" s="19" t="s">
        <v>46</v>
      </c>
      <c r="F74" s="29" t="s">
        <v>457</v>
      </c>
      <c r="G74" s="19" t="s">
        <v>1559</v>
      </c>
      <c r="H74" s="29" t="s">
        <v>575</v>
      </c>
      <c r="I74" s="19" t="s">
        <v>1560</v>
      </c>
      <c r="J74" s="29" t="s">
        <v>123</v>
      </c>
      <c r="K74" s="29" t="s">
        <v>461</v>
      </c>
      <c r="L74" s="29" t="s">
        <v>322</v>
      </c>
      <c r="M74" s="29">
        <v>83014000</v>
      </c>
      <c r="N74" s="29">
        <v>500</v>
      </c>
      <c r="O74" s="29" t="s">
        <v>1550</v>
      </c>
      <c r="P74" s="29"/>
      <c r="R74" s="9">
        <v>3515.7882665281209</v>
      </c>
      <c r="T74" s="7"/>
      <c r="U74" s="7" t="s">
        <v>34</v>
      </c>
    </row>
    <row r="75" spans="1:21" s="22" customFormat="1" ht="14.1" customHeight="1">
      <c r="A75" s="29">
        <v>71</v>
      </c>
      <c r="B75" s="19" t="s">
        <v>456</v>
      </c>
      <c r="C75" s="14" t="s">
        <v>1422</v>
      </c>
      <c r="D75" s="29" t="s">
        <v>45</v>
      </c>
      <c r="E75" s="19" t="s">
        <v>46</v>
      </c>
      <c r="F75" s="29" t="s">
        <v>457</v>
      </c>
      <c r="G75" s="19" t="s">
        <v>1561</v>
      </c>
      <c r="H75" s="29" t="s">
        <v>575</v>
      </c>
      <c r="I75" s="19" t="s">
        <v>1562</v>
      </c>
      <c r="J75" s="29" t="s">
        <v>123</v>
      </c>
      <c r="K75" s="29" t="s">
        <v>461</v>
      </c>
      <c r="L75" s="29" t="s">
        <v>322</v>
      </c>
      <c r="M75" s="29">
        <v>83014000</v>
      </c>
      <c r="N75" s="29">
        <v>500</v>
      </c>
      <c r="O75" s="29" t="s">
        <v>1550</v>
      </c>
      <c r="P75" s="29"/>
      <c r="R75" s="9">
        <v>2101.6642897118891</v>
      </c>
      <c r="T75" s="7"/>
      <c r="U75" s="7" t="s">
        <v>34</v>
      </c>
    </row>
    <row r="76" spans="1:21" s="122" customFormat="1" ht="14.1" customHeight="1">
      <c r="A76" s="29">
        <v>72</v>
      </c>
      <c r="B76" s="19" t="s">
        <v>456</v>
      </c>
      <c r="C76" s="14" t="s">
        <v>1422</v>
      </c>
      <c r="D76" s="29" t="s">
        <v>45</v>
      </c>
      <c r="E76" s="19" t="s">
        <v>46</v>
      </c>
      <c r="F76" s="29" t="s">
        <v>457</v>
      </c>
      <c r="G76" s="19" t="s">
        <v>1563</v>
      </c>
      <c r="H76" s="29" t="s">
        <v>575</v>
      </c>
      <c r="I76" s="19" t="s">
        <v>1564</v>
      </c>
      <c r="J76" s="29" t="s">
        <v>123</v>
      </c>
      <c r="K76" s="29" t="s">
        <v>461</v>
      </c>
      <c r="L76" s="29" t="s">
        <v>322</v>
      </c>
      <c r="M76" s="29">
        <v>83014000</v>
      </c>
      <c r="N76" s="29">
        <v>500</v>
      </c>
      <c r="O76" s="29" t="s">
        <v>1550</v>
      </c>
      <c r="P76" s="29"/>
      <c r="Q76" s="22"/>
      <c r="R76" s="9">
        <v>2102.2105099475421</v>
      </c>
      <c r="S76" s="22"/>
      <c r="T76" s="7"/>
      <c r="U76" s="7" t="s">
        <v>34</v>
      </c>
    </row>
    <row r="77" spans="1:21" s="122" customFormat="1" ht="14.1" customHeight="1">
      <c r="A77" s="29">
        <v>73</v>
      </c>
      <c r="B77" s="19" t="s">
        <v>456</v>
      </c>
      <c r="C77" s="14" t="s">
        <v>1422</v>
      </c>
      <c r="D77" s="29" t="s">
        <v>45</v>
      </c>
      <c r="E77" s="19" t="s">
        <v>46</v>
      </c>
      <c r="F77" s="29" t="s">
        <v>457</v>
      </c>
      <c r="G77" s="19" t="s">
        <v>1565</v>
      </c>
      <c r="H77" s="29" t="s">
        <v>575</v>
      </c>
      <c r="I77" s="19" t="s">
        <v>1566</v>
      </c>
      <c r="J77" s="29" t="s">
        <v>123</v>
      </c>
      <c r="K77" s="29" t="s">
        <v>461</v>
      </c>
      <c r="L77" s="29" t="s">
        <v>322</v>
      </c>
      <c r="M77" s="29">
        <v>83014000</v>
      </c>
      <c r="N77" s="29">
        <v>500</v>
      </c>
      <c r="O77" s="29" t="s">
        <v>1550</v>
      </c>
      <c r="P77" s="29"/>
      <c r="Q77" s="22"/>
      <c r="R77" s="9">
        <v>2676.448360979276</v>
      </c>
      <c r="S77" s="22"/>
      <c r="T77" s="7"/>
      <c r="U77" s="7" t="s">
        <v>34</v>
      </c>
    </row>
    <row r="78" spans="1:21" s="22" customFormat="1" ht="14.1" customHeight="1">
      <c r="A78" s="29">
        <v>74</v>
      </c>
      <c r="B78" s="19" t="s">
        <v>456</v>
      </c>
      <c r="C78" s="14" t="s">
        <v>1422</v>
      </c>
      <c r="D78" s="29" t="s">
        <v>45</v>
      </c>
      <c r="E78" s="19" t="s">
        <v>46</v>
      </c>
      <c r="F78" s="29" t="s">
        <v>457</v>
      </c>
      <c r="G78" s="19" t="s">
        <v>1567</v>
      </c>
      <c r="H78" s="29" t="s">
        <v>575</v>
      </c>
      <c r="I78" s="19" t="s">
        <v>1568</v>
      </c>
      <c r="J78" s="29" t="s">
        <v>123</v>
      </c>
      <c r="K78" s="29" t="s">
        <v>461</v>
      </c>
      <c r="L78" s="29" t="s">
        <v>322</v>
      </c>
      <c r="M78" s="29">
        <v>83014000</v>
      </c>
      <c r="N78" s="29">
        <v>500</v>
      </c>
      <c r="O78" s="29" t="s">
        <v>1550</v>
      </c>
      <c r="P78" s="29"/>
      <c r="R78" s="9">
        <v>2677.3466638544269</v>
      </c>
      <c r="T78" s="7"/>
      <c r="U78" s="7" t="s">
        <v>34</v>
      </c>
    </row>
    <row r="79" spans="1:21" s="22" customFormat="1" ht="14.1" customHeight="1">
      <c r="A79" s="29">
        <v>75</v>
      </c>
      <c r="B79" s="19" t="s">
        <v>456</v>
      </c>
      <c r="C79" s="14" t="s">
        <v>1422</v>
      </c>
      <c r="D79" s="29" t="s">
        <v>45</v>
      </c>
      <c r="E79" s="19" t="s">
        <v>46</v>
      </c>
      <c r="F79" s="29" t="s">
        <v>457</v>
      </c>
      <c r="G79" s="19" t="s">
        <v>1569</v>
      </c>
      <c r="H79" s="29" t="s">
        <v>518</v>
      </c>
      <c r="I79" s="19" t="s">
        <v>1570</v>
      </c>
      <c r="J79" s="29" t="s">
        <v>123</v>
      </c>
      <c r="K79" s="29" t="s">
        <v>520</v>
      </c>
      <c r="L79" s="29" t="s">
        <v>322</v>
      </c>
      <c r="M79" s="29">
        <v>83014000</v>
      </c>
      <c r="N79" s="29">
        <v>300</v>
      </c>
      <c r="O79" s="29">
        <v>45</v>
      </c>
      <c r="P79" s="29"/>
      <c r="R79" s="9">
        <v>1341.4895877530209</v>
      </c>
      <c r="T79" s="19"/>
      <c r="U79" s="7" t="s">
        <v>34</v>
      </c>
    </row>
    <row r="80" spans="1:21" s="22" customFormat="1" ht="14.1" customHeight="1">
      <c r="A80" s="29">
        <v>76</v>
      </c>
      <c r="B80" s="19" t="s">
        <v>456</v>
      </c>
      <c r="C80" s="14" t="s">
        <v>1422</v>
      </c>
      <c r="D80" s="29" t="s">
        <v>45</v>
      </c>
      <c r="E80" s="19" t="s">
        <v>46</v>
      </c>
      <c r="F80" s="29" t="s">
        <v>457</v>
      </c>
      <c r="G80" s="19" t="s">
        <v>1571</v>
      </c>
      <c r="H80" s="29" t="s">
        <v>518</v>
      </c>
      <c r="I80" s="19" t="s">
        <v>1572</v>
      </c>
      <c r="J80" s="29" t="s">
        <v>123</v>
      </c>
      <c r="K80" s="29" t="s">
        <v>520</v>
      </c>
      <c r="L80" s="29" t="s">
        <v>322</v>
      </c>
      <c r="M80" s="29">
        <v>83014000</v>
      </c>
      <c r="N80" s="29">
        <v>300</v>
      </c>
      <c r="O80" s="29">
        <v>45</v>
      </c>
      <c r="P80" s="29"/>
      <c r="R80" s="9">
        <v>1343.8383347663309</v>
      </c>
      <c r="T80" s="19"/>
      <c r="U80" s="7" t="s">
        <v>34</v>
      </c>
    </row>
    <row r="81" spans="1:21" s="122" customFormat="1" ht="14.1" customHeight="1">
      <c r="A81" s="29">
        <v>77</v>
      </c>
      <c r="B81" s="19" t="s">
        <v>456</v>
      </c>
      <c r="C81" s="14" t="s">
        <v>1422</v>
      </c>
      <c r="D81" s="29" t="s">
        <v>45</v>
      </c>
      <c r="E81" s="19" t="s">
        <v>46</v>
      </c>
      <c r="F81" s="29" t="s">
        <v>457</v>
      </c>
      <c r="G81" s="19" t="s">
        <v>1573</v>
      </c>
      <c r="H81" s="29" t="s">
        <v>465</v>
      </c>
      <c r="I81" s="19" t="s">
        <v>1574</v>
      </c>
      <c r="J81" s="29" t="s">
        <v>123</v>
      </c>
      <c r="K81" s="29" t="s">
        <v>467</v>
      </c>
      <c r="L81" s="29" t="s">
        <v>322</v>
      </c>
      <c r="M81" s="29">
        <v>83014000</v>
      </c>
      <c r="N81" s="29">
        <v>300</v>
      </c>
      <c r="O81" s="29">
        <v>45</v>
      </c>
      <c r="P81" s="29"/>
      <c r="Q81" s="22"/>
      <c r="R81" s="9">
        <v>1341.134544599847</v>
      </c>
      <c r="S81" s="22"/>
      <c r="T81" s="19"/>
      <c r="U81" s="7" t="s">
        <v>34</v>
      </c>
    </row>
    <row r="82" spans="1:21" s="22" customFormat="1" ht="14.1" customHeight="1">
      <c r="A82" s="29">
        <v>78</v>
      </c>
      <c r="B82" s="19" t="s">
        <v>456</v>
      </c>
      <c r="C82" s="14" t="s">
        <v>1422</v>
      </c>
      <c r="D82" s="29" t="s">
        <v>45</v>
      </c>
      <c r="E82" s="19" t="s">
        <v>46</v>
      </c>
      <c r="F82" s="29" t="s">
        <v>457</v>
      </c>
      <c r="G82" s="19" t="s">
        <v>1575</v>
      </c>
      <c r="H82" s="29" t="s">
        <v>518</v>
      </c>
      <c r="I82" s="19" t="s">
        <v>1576</v>
      </c>
      <c r="J82" s="29" t="s">
        <v>123</v>
      </c>
      <c r="K82" s="29" t="s">
        <v>520</v>
      </c>
      <c r="L82" s="29" t="s">
        <v>322</v>
      </c>
      <c r="M82" s="29">
        <v>83014000</v>
      </c>
      <c r="N82" s="29">
        <v>300</v>
      </c>
      <c r="O82" s="29">
        <v>45</v>
      </c>
      <c r="P82" s="29"/>
      <c r="R82" s="9">
        <v>1331.030938271974</v>
      </c>
      <c r="T82" s="19"/>
      <c r="U82" s="7" t="s">
        <v>34</v>
      </c>
    </row>
    <row r="83" spans="1:21" s="22" customFormat="1" ht="14.1" customHeight="1">
      <c r="A83" s="29">
        <v>79</v>
      </c>
      <c r="B83" s="19" t="s">
        <v>456</v>
      </c>
      <c r="C83" s="14" t="s">
        <v>1422</v>
      </c>
      <c r="D83" s="29" t="s">
        <v>45</v>
      </c>
      <c r="E83" s="19" t="s">
        <v>46</v>
      </c>
      <c r="F83" s="29" t="s">
        <v>457</v>
      </c>
      <c r="G83" s="19" t="s">
        <v>1577</v>
      </c>
      <c r="H83" s="29" t="s">
        <v>518</v>
      </c>
      <c r="I83" s="19" t="s">
        <v>1578</v>
      </c>
      <c r="J83" s="29" t="s">
        <v>123</v>
      </c>
      <c r="K83" s="29" t="s">
        <v>520</v>
      </c>
      <c r="L83" s="29" t="s">
        <v>322</v>
      </c>
      <c r="M83" s="29">
        <v>83014000</v>
      </c>
      <c r="N83" s="29">
        <v>300</v>
      </c>
      <c r="O83" s="29">
        <v>45</v>
      </c>
      <c r="P83" s="29"/>
      <c r="R83" s="9">
        <v>1342.7458942950241</v>
      </c>
      <c r="T83" s="19"/>
      <c r="U83" s="7" t="s">
        <v>34</v>
      </c>
    </row>
    <row r="84" spans="1:21" s="22" customFormat="1" ht="14.1" customHeight="1">
      <c r="A84" s="29">
        <v>80</v>
      </c>
      <c r="B84" s="19" t="s">
        <v>456</v>
      </c>
      <c r="C84" s="14" t="s">
        <v>1422</v>
      </c>
      <c r="D84" s="29" t="s">
        <v>45</v>
      </c>
      <c r="E84" s="19" t="s">
        <v>46</v>
      </c>
      <c r="F84" s="29" t="s">
        <v>457</v>
      </c>
      <c r="G84" s="19" t="s">
        <v>1579</v>
      </c>
      <c r="H84" s="29" t="s">
        <v>518</v>
      </c>
      <c r="I84" s="19" t="s">
        <v>1580</v>
      </c>
      <c r="J84" s="29" t="s">
        <v>123</v>
      </c>
      <c r="K84" s="29" t="s">
        <v>520</v>
      </c>
      <c r="L84" s="29" t="s">
        <v>322</v>
      </c>
      <c r="M84" s="29">
        <v>83014000</v>
      </c>
      <c r="N84" s="29">
        <v>300</v>
      </c>
      <c r="O84" s="29">
        <v>45</v>
      </c>
      <c r="P84" s="29"/>
      <c r="R84" s="9">
        <v>1343.7017797074179</v>
      </c>
      <c r="T84" s="19"/>
      <c r="U84" s="7" t="s">
        <v>34</v>
      </c>
    </row>
    <row r="85" spans="1:21" s="22" customFormat="1" ht="14.1" customHeight="1">
      <c r="A85" s="29">
        <v>81</v>
      </c>
      <c r="B85" s="19" t="s">
        <v>456</v>
      </c>
      <c r="C85" s="14" t="s">
        <v>1422</v>
      </c>
      <c r="D85" s="29" t="s">
        <v>45</v>
      </c>
      <c r="E85" s="19" t="s">
        <v>46</v>
      </c>
      <c r="F85" s="29" t="s">
        <v>457</v>
      </c>
      <c r="G85" s="19" t="s">
        <v>1581</v>
      </c>
      <c r="H85" s="29" t="s">
        <v>1582</v>
      </c>
      <c r="I85" s="19" t="s">
        <v>1583</v>
      </c>
      <c r="J85" s="29" t="s">
        <v>123</v>
      </c>
      <c r="K85" s="29" t="s">
        <v>1584</v>
      </c>
      <c r="L85" s="29" t="s">
        <v>322</v>
      </c>
      <c r="M85" s="29">
        <v>83014000</v>
      </c>
      <c r="N85" s="29">
        <v>300</v>
      </c>
      <c r="O85" s="29">
        <v>45</v>
      </c>
      <c r="P85" s="29"/>
      <c r="R85" s="9">
        <v>1367.5169819819071</v>
      </c>
      <c r="T85" s="19"/>
      <c r="U85" s="7" t="s">
        <v>34</v>
      </c>
    </row>
    <row r="86" spans="1:21" s="22" customFormat="1" ht="14.1" customHeight="1">
      <c r="A86" s="29">
        <v>82</v>
      </c>
      <c r="B86" s="19" t="s">
        <v>456</v>
      </c>
      <c r="C86" s="14" t="s">
        <v>1422</v>
      </c>
      <c r="D86" s="29" t="s">
        <v>45</v>
      </c>
      <c r="E86" s="19" t="s">
        <v>46</v>
      </c>
      <c r="F86" s="29" t="s">
        <v>457</v>
      </c>
      <c r="G86" s="19" t="s">
        <v>1585</v>
      </c>
      <c r="H86" s="29" t="s">
        <v>518</v>
      </c>
      <c r="I86" s="19" t="s">
        <v>1586</v>
      </c>
      <c r="J86" s="29" t="s">
        <v>123</v>
      </c>
      <c r="K86" s="29" t="s">
        <v>520</v>
      </c>
      <c r="L86" s="29" t="s">
        <v>322</v>
      </c>
      <c r="M86" s="29">
        <v>83014000</v>
      </c>
      <c r="N86" s="29">
        <v>300</v>
      </c>
      <c r="O86" s="29">
        <v>45</v>
      </c>
      <c r="P86" s="29"/>
      <c r="R86" s="9">
        <v>1332.273505593769</v>
      </c>
      <c r="T86" s="19"/>
      <c r="U86" s="7" t="s">
        <v>34</v>
      </c>
    </row>
    <row r="87" spans="1:21" s="22" customFormat="1" ht="14.1" customHeight="1">
      <c r="A87" s="29">
        <v>83</v>
      </c>
      <c r="B87" s="19" t="s">
        <v>456</v>
      </c>
      <c r="C87" s="14" t="s">
        <v>1422</v>
      </c>
      <c r="D87" s="29" t="s">
        <v>45</v>
      </c>
      <c r="E87" s="19" t="s">
        <v>46</v>
      </c>
      <c r="F87" s="29" t="s">
        <v>457</v>
      </c>
      <c r="G87" s="19" t="s">
        <v>1587</v>
      </c>
      <c r="H87" s="29" t="s">
        <v>459</v>
      </c>
      <c r="I87" s="19" t="s">
        <v>1588</v>
      </c>
      <c r="J87" s="29" t="s">
        <v>123</v>
      </c>
      <c r="K87" s="29" t="s">
        <v>461</v>
      </c>
      <c r="L87" s="29" t="s">
        <v>322</v>
      </c>
      <c r="M87" s="29">
        <v>83014000</v>
      </c>
      <c r="N87" s="29">
        <v>300</v>
      </c>
      <c r="O87" s="29">
        <v>45</v>
      </c>
      <c r="P87" s="29"/>
      <c r="R87" s="9">
        <v>1454.802975639323</v>
      </c>
      <c r="T87" s="19"/>
      <c r="U87" s="7" t="s">
        <v>34</v>
      </c>
    </row>
    <row r="88" spans="1:21" s="22" customFormat="1" ht="14.1" customHeight="1">
      <c r="A88" s="29">
        <v>84</v>
      </c>
      <c r="B88" s="19" t="s">
        <v>456</v>
      </c>
      <c r="C88" s="14" t="s">
        <v>1422</v>
      </c>
      <c r="D88" s="29" t="s">
        <v>45</v>
      </c>
      <c r="E88" s="19" t="s">
        <v>46</v>
      </c>
      <c r="F88" s="29" t="s">
        <v>457</v>
      </c>
      <c r="G88" s="19" t="s">
        <v>1589</v>
      </c>
      <c r="H88" s="29" t="s">
        <v>465</v>
      </c>
      <c r="I88" s="19" t="s">
        <v>1590</v>
      </c>
      <c r="J88" s="29" t="s">
        <v>123</v>
      </c>
      <c r="K88" s="29" t="s">
        <v>467</v>
      </c>
      <c r="L88" s="29" t="s">
        <v>322</v>
      </c>
      <c r="M88" s="29">
        <v>83014000</v>
      </c>
      <c r="N88" s="29">
        <v>300</v>
      </c>
      <c r="O88" s="29">
        <v>45</v>
      </c>
      <c r="P88" s="29"/>
      <c r="R88" s="9">
        <v>1458.2714741357231</v>
      </c>
      <c r="T88" s="19"/>
      <c r="U88" s="7" t="s">
        <v>34</v>
      </c>
    </row>
    <row r="89" spans="1:21" s="22" customFormat="1" ht="14.1" customHeight="1">
      <c r="A89" s="29">
        <v>85</v>
      </c>
      <c r="B89" s="19" t="s">
        <v>456</v>
      </c>
      <c r="C89" s="14" t="s">
        <v>1422</v>
      </c>
      <c r="D89" s="29" t="s">
        <v>45</v>
      </c>
      <c r="E89" s="19" t="s">
        <v>46</v>
      </c>
      <c r="F89" s="29" t="s">
        <v>457</v>
      </c>
      <c r="G89" s="19" t="s">
        <v>1591</v>
      </c>
      <c r="H89" s="29" t="s">
        <v>459</v>
      </c>
      <c r="I89" s="19" t="s">
        <v>1592</v>
      </c>
      <c r="J89" s="29" t="s">
        <v>123</v>
      </c>
      <c r="K89" s="29" t="s">
        <v>461</v>
      </c>
      <c r="L89" s="29" t="s">
        <v>322</v>
      </c>
      <c r="M89" s="29">
        <v>83014000</v>
      </c>
      <c r="N89" s="29">
        <v>300</v>
      </c>
      <c r="O89" s="29">
        <v>45</v>
      </c>
      <c r="P89" s="29"/>
      <c r="R89" s="9">
        <v>1427.5465858802179</v>
      </c>
      <c r="T89" s="19"/>
      <c r="U89" s="7" t="s">
        <v>34</v>
      </c>
    </row>
    <row r="90" spans="1:21" s="22" customFormat="1" ht="14.1" customHeight="1">
      <c r="A90" s="29">
        <v>86</v>
      </c>
      <c r="B90" s="19" t="s">
        <v>456</v>
      </c>
      <c r="C90" s="14" t="s">
        <v>1422</v>
      </c>
      <c r="D90" s="29" t="s">
        <v>45</v>
      </c>
      <c r="E90" s="19" t="s">
        <v>46</v>
      </c>
      <c r="F90" s="29" t="s">
        <v>457</v>
      </c>
      <c r="G90" s="19" t="s">
        <v>1593</v>
      </c>
      <c r="H90" s="29" t="s">
        <v>459</v>
      </c>
      <c r="I90" s="19" t="s">
        <v>1594</v>
      </c>
      <c r="J90" s="29" t="s">
        <v>123</v>
      </c>
      <c r="K90" s="29" t="s">
        <v>461</v>
      </c>
      <c r="L90" s="29" t="s">
        <v>322</v>
      </c>
      <c r="M90" s="29">
        <v>83014000</v>
      </c>
      <c r="N90" s="29">
        <v>300</v>
      </c>
      <c r="O90" s="29">
        <v>45</v>
      </c>
      <c r="P90" s="29"/>
      <c r="R90" s="9">
        <v>1456.059282181327</v>
      </c>
      <c r="T90" s="19"/>
      <c r="U90" s="7" t="s">
        <v>34</v>
      </c>
    </row>
    <row r="91" spans="1:21" s="22" customFormat="1" ht="14.1" customHeight="1">
      <c r="A91" s="29">
        <v>87</v>
      </c>
      <c r="B91" s="19" t="s">
        <v>456</v>
      </c>
      <c r="C91" s="14" t="s">
        <v>1422</v>
      </c>
      <c r="D91" s="29" t="s">
        <v>45</v>
      </c>
      <c r="E91" s="19" t="s">
        <v>46</v>
      </c>
      <c r="F91" s="29" t="s">
        <v>457</v>
      </c>
      <c r="G91" s="19" t="s">
        <v>1595</v>
      </c>
      <c r="H91" s="29" t="s">
        <v>459</v>
      </c>
      <c r="I91" s="19" t="s">
        <v>1596</v>
      </c>
      <c r="J91" s="29" t="s">
        <v>123</v>
      </c>
      <c r="K91" s="29" t="s">
        <v>461</v>
      </c>
      <c r="L91" s="29" t="s">
        <v>322</v>
      </c>
      <c r="M91" s="29">
        <v>83014000</v>
      </c>
      <c r="N91" s="29">
        <v>300</v>
      </c>
      <c r="O91" s="29">
        <v>45</v>
      </c>
      <c r="P91" s="29"/>
      <c r="R91" s="9">
        <v>1428.80846467423</v>
      </c>
      <c r="T91" s="19"/>
      <c r="U91" s="7" t="s">
        <v>34</v>
      </c>
    </row>
    <row r="92" spans="1:21" s="22" customFormat="1" ht="14.1" customHeight="1">
      <c r="A92" s="29">
        <v>88</v>
      </c>
      <c r="B92" s="19" t="s">
        <v>456</v>
      </c>
      <c r="C92" s="14" t="s">
        <v>1422</v>
      </c>
      <c r="D92" s="29" t="s">
        <v>45</v>
      </c>
      <c r="E92" s="19" t="s">
        <v>46</v>
      </c>
      <c r="F92" s="29" t="s">
        <v>457</v>
      </c>
      <c r="G92" s="19" t="s">
        <v>1597</v>
      </c>
      <c r="H92" s="29" t="s">
        <v>459</v>
      </c>
      <c r="I92" s="19" t="s">
        <v>1598</v>
      </c>
      <c r="J92" s="29" t="s">
        <v>123</v>
      </c>
      <c r="K92" s="29" t="s">
        <v>461</v>
      </c>
      <c r="L92" s="29" t="s">
        <v>322</v>
      </c>
      <c r="M92" s="29">
        <v>83014000</v>
      </c>
      <c r="N92" s="29">
        <v>300</v>
      </c>
      <c r="O92" s="29">
        <v>45</v>
      </c>
      <c r="P92" s="29"/>
      <c r="R92" s="9">
        <v>1624.0089958947749</v>
      </c>
      <c r="T92" s="19"/>
      <c r="U92" s="7" t="s">
        <v>34</v>
      </c>
    </row>
    <row r="93" spans="1:21" s="3" customFormat="1" ht="14.1" customHeight="1">
      <c r="B93" s="20"/>
      <c r="C93" s="20"/>
      <c r="E93" s="20"/>
      <c r="G93" s="2"/>
      <c r="H93" t="s">
        <v>42</v>
      </c>
      <c r="I93" s="2"/>
      <c r="Q93" s="2"/>
      <c r="R93" s="30"/>
    </row>
    <row r="94" spans="1:21" s="3" customFormat="1" ht="14.1" customHeight="1">
      <c r="B94" s="20"/>
      <c r="C94" s="20"/>
      <c r="E94" s="20"/>
      <c r="G94" s="2"/>
      <c r="H94" t="s">
        <v>42</v>
      </c>
      <c r="I94" s="2"/>
      <c r="Q94" s="2"/>
      <c r="R94" s="30"/>
    </row>
    <row r="95" spans="1:21" s="3" customFormat="1" ht="14.1" customHeight="1">
      <c r="B95" s="20"/>
      <c r="C95" s="20"/>
      <c r="E95" s="20"/>
      <c r="G95" s="2"/>
      <c r="H95" t="s">
        <v>42</v>
      </c>
      <c r="I95" s="2"/>
      <c r="Q95" s="2"/>
      <c r="R95" s="30"/>
    </row>
    <row r="96" spans="1:21" s="3" customFormat="1" ht="14.1" customHeight="1">
      <c r="B96" s="20"/>
      <c r="C96" s="20"/>
      <c r="E96" s="20"/>
      <c r="G96" s="2"/>
      <c r="H96" t="s">
        <v>42</v>
      </c>
      <c r="I96" s="2"/>
      <c r="Q96" s="2"/>
      <c r="R96" s="30"/>
    </row>
    <row r="97" spans="2:18" s="3" customFormat="1" ht="14.1" customHeight="1">
      <c r="B97" s="20"/>
      <c r="C97" s="20"/>
      <c r="E97" s="20"/>
      <c r="G97" s="2"/>
      <c r="H97" t="s">
        <v>42</v>
      </c>
      <c r="I97" s="2"/>
      <c r="Q97" s="2"/>
      <c r="R97" s="30"/>
    </row>
    <row r="98" spans="2:18" s="3" customFormat="1" ht="14.1" customHeight="1">
      <c r="B98" s="20"/>
      <c r="C98" s="20"/>
      <c r="E98" s="20"/>
      <c r="G98" s="2"/>
      <c r="H98" t="s">
        <v>42</v>
      </c>
      <c r="I98" s="2"/>
      <c r="Q98" s="2"/>
      <c r="R98" s="30"/>
    </row>
    <row r="99" spans="2:18" s="3" customFormat="1" ht="14.1" customHeight="1">
      <c r="B99" s="20"/>
      <c r="C99" s="20"/>
      <c r="E99" s="20"/>
      <c r="G99" s="2"/>
      <c r="H99" t="s">
        <v>42</v>
      </c>
      <c r="I99" s="2"/>
      <c r="Q99" s="2"/>
      <c r="R99" s="30"/>
    </row>
    <row r="100" spans="2:18" s="3" customFormat="1" ht="14.1" customHeight="1">
      <c r="B100" s="20"/>
      <c r="C100" s="20"/>
      <c r="E100" s="20"/>
      <c r="G100" s="2"/>
      <c r="H100" t="s">
        <v>42</v>
      </c>
      <c r="I100" s="2"/>
      <c r="Q100" s="2"/>
      <c r="R100" s="30"/>
    </row>
    <row r="101" spans="2:18" s="3" customFormat="1" ht="14.1" customHeight="1">
      <c r="B101" s="20"/>
      <c r="C101" s="20"/>
      <c r="E101" s="20"/>
      <c r="G101" s="2"/>
      <c r="H101" t="s">
        <v>42</v>
      </c>
      <c r="I101" s="2"/>
      <c r="Q101" s="2"/>
      <c r="R101" s="30"/>
    </row>
    <row r="102" spans="2:18" s="3" customFormat="1" ht="14.1" customHeight="1">
      <c r="B102" s="20"/>
      <c r="C102" s="20"/>
      <c r="E102" s="20"/>
      <c r="G102" s="2"/>
      <c r="H102" t="s">
        <v>42</v>
      </c>
      <c r="I102" s="2"/>
      <c r="Q102" s="2"/>
      <c r="R102" s="30"/>
    </row>
    <row r="103" spans="2:18" s="3" customFormat="1" ht="14.1" customHeight="1">
      <c r="B103" s="20"/>
      <c r="C103" s="20"/>
      <c r="E103" s="20"/>
      <c r="G103" s="2"/>
      <c r="H103" t="s">
        <v>42</v>
      </c>
      <c r="I103" s="2"/>
      <c r="Q103" s="2"/>
      <c r="R103" s="30"/>
    </row>
    <row r="104" spans="2:18" s="3" customFormat="1" ht="14.1" customHeight="1">
      <c r="B104" s="20"/>
      <c r="C104" s="20"/>
      <c r="E104" s="20"/>
      <c r="G104" s="2"/>
      <c r="H104" t="s">
        <v>42</v>
      </c>
      <c r="I104" s="2"/>
      <c r="Q104" s="2"/>
      <c r="R104" s="30"/>
    </row>
    <row r="105" spans="2:18" s="3" customFormat="1" ht="14.1" customHeight="1">
      <c r="B105" s="20"/>
      <c r="C105" s="20"/>
      <c r="E105" s="20"/>
      <c r="G105" s="2"/>
      <c r="H105" t="s">
        <v>42</v>
      </c>
      <c r="I105" s="2"/>
      <c r="Q105" s="2"/>
      <c r="R105" s="30"/>
    </row>
    <row r="106" spans="2:18" s="3" customFormat="1" ht="14.1" customHeight="1">
      <c r="B106" s="20"/>
      <c r="C106" s="20"/>
      <c r="E106" s="20"/>
      <c r="G106" s="2"/>
      <c r="H106" t="s">
        <v>42</v>
      </c>
      <c r="I106" s="2"/>
      <c r="Q106" s="2"/>
      <c r="R106" s="30"/>
    </row>
    <row r="107" spans="2:18" s="3" customFormat="1" ht="14.1" customHeight="1">
      <c r="B107" s="20"/>
      <c r="C107" s="20"/>
      <c r="E107" s="20"/>
      <c r="G107" s="2"/>
      <c r="H107" t="s">
        <v>42</v>
      </c>
      <c r="I107" s="2"/>
      <c r="Q107" s="2"/>
      <c r="R107" s="30"/>
    </row>
    <row r="108" spans="2:18" s="3" customFormat="1" ht="14.1" customHeight="1">
      <c r="B108" s="20"/>
      <c r="C108" s="20"/>
      <c r="E108" s="20"/>
      <c r="G108" s="2"/>
      <c r="H108" t="s">
        <v>42</v>
      </c>
      <c r="I108" s="2"/>
      <c r="Q108" s="2"/>
      <c r="R108" s="30"/>
    </row>
    <row r="109" spans="2:18" s="3" customFormat="1" ht="14.1" customHeight="1">
      <c r="B109" s="20"/>
      <c r="C109" s="20"/>
      <c r="E109" s="20"/>
      <c r="G109" s="2"/>
      <c r="H109" t="s">
        <v>42</v>
      </c>
      <c r="I109" s="2"/>
      <c r="Q109" s="2"/>
      <c r="R109" s="30"/>
    </row>
    <row r="110" spans="2:18" s="3" customFormat="1" ht="14.1" customHeight="1">
      <c r="B110" s="20"/>
      <c r="C110" s="20"/>
      <c r="E110" s="20"/>
      <c r="G110" s="2"/>
      <c r="H110" t="s">
        <v>42</v>
      </c>
      <c r="I110" s="2"/>
      <c r="Q110" s="2"/>
      <c r="R110" s="30"/>
    </row>
    <row r="111" spans="2:18" s="3" customFormat="1" ht="14.1" customHeight="1">
      <c r="B111" s="20"/>
      <c r="C111" s="20"/>
      <c r="E111" s="20"/>
      <c r="G111" s="2"/>
      <c r="H111" t="s">
        <v>42</v>
      </c>
      <c r="I111" s="2"/>
      <c r="Q111" s="2"/>
      <c r="R111" s="30"/>
    </row>
    <row r="112" spans="2:18" s="3" customFormat="1" ht="14.1" customHeight="1">
      <c r="B112" s="20"/>
      <c r="C112" s="20"/>
      <c r="E112" s="20"/>
      <c r="G112" s="2"/>
      <c r="H112" t="s">
        <v>42</v>
      </c>
      <c r="I112" s="2"/>
      <c r="Q112" s="2"/>
      <c r="R112" s="30"/>
    </row>
    <row r="113" spans="2:18" s="3" customFormat="1" ht="14.1" customHeight="1">
      <c r="B113" s="20"/>
      <c r="C113" s="20"/>
      <c r="E113" s="20"/>
      <c r="G113" s="2"/>
      <c r="H113" t="s">
        <v>42</v>
      </c>
      <c r="I113" s="2"/>
      <c r="Q113" s="2"/>
      <c r="R113" s="30"/>
    </row>
    <row r="114" spans="2:18" s="3" customFormat="1" ht="14.1" customHeight="1">
      <c r="B114" s="20"/>
      <c r="C114" s="20"/>
      <c r="E114" s="20"/>
      <c r="G114" s="2"/>
      <c r="H114" t="s">
        <v>42</v>
      </c>
      <c r="I114" s="2"/>
      <c r="Q114" s="2"/>
      <c r="R114" s="30"/>
    </row>
    <row r="115" spans="2:18" s="3" customFormat="1" ht="14.1" customHeight="1">
      <c r="B115" s="20"/>
      <c r="C115" s="20"/>
      <c r="E115" s="20"/>
      <c r="G115" s="2"/>
      <c r="H115" t="s">
        <v>42</v>
      </c>
      <c r="I115" s="2"/>
      <c r="Q115" s="2"/>
      <c r="R115" s="30"/>
    </row>
    <row r="116" spans="2:18" s="3" customFormat="1" ht="14.1" customHeight="1">
      <c r="B116" s="20"/>
      <c r="C116" s="20"/>
      <c r="E116" s="20"/>
      <c r="G116" s="2"/>
      <c r="H116" t="s">
        <v>42</v>
      </c>
      <c r="I116" s="2"/>
      <c r="Q116" s="2"/>
      <c r="R116" s="30"/>
    </row>
    <row r="117" spans="2:18" s="3" customFormat="1" ht="14.1" customHeight="1">
      <c r="B117" s="20"/>
      <c r="C117" s="20"/>
      <c r="E117" s="20"/>
      <c r="G117" s="2"/>
      <c r="H117" t="s">
        <v>42</v>
      </c>
      <c r="I117" s="2"/>
      <c r="Q117" s="2"/>
      <c r="R117" s="30"/>
    </row>
    <row r="118" spans="2:18" s="3" customFormat="1" ht="14.1" customHeight="1">
      <c r="B118" s="20"/>
      <c r="C118" s="20"/>
      <c r="E118" s="20"/>
      <c r="G118" s="2"/>
      <c r="H118" t="s">
        <v>42</v>
      </c>
      <c r="I118" s="2"/>
      <c r="Q118" s="2"/>
      <c r="R118" s="30"/>
    </row>
    <row r="119" spans="2:18" s="3" customFormat="1" ht="14.1" customHeight="1">
      <c r="B119" s="20"/>
      <c r="C119" s="20"/>
      <c r="E119" s="20"/>
      <c r="G119" s="2"/>
      <c r="H119" t="s">
        <v>42</v>
      </c>
      <c r="I119" s="2"/>
      <c r="Q119" s="2"/>
      <c r="R119" s="30"/>
    </row>
    <row r="120" spans="2:18" s="3" customFormat="1" ht="14.1" customHeight="1">
      <c r="B120" s="20"/>
      <c r="C120" s="20"/>
      <c r="E120" s="20"/>
      <c r="G120" s="2"/>
      <c r="H120" t="s">
        <v>42</v>
      </c>
      <c r="I120" s="2"/>
      <c r="Q120" s="2"/>
      <c r="R120" s="30"/>
    </row>
    <row r="121" spans="2:18" s="3" customFormat="1" ht="14.1" customHeight="1">
      <c r="B121" s="20"/>
      <c r="C121" s="20"/>
      <c r="E121" s="20"/>
      <c r="G121" s="2"/>
      <c r="H121" t="s">
        <v>42</v>
      </c>
      <c r="I121" s="2"/>
      <c r="Q121" s="2"/>
      <c r="R121" s="30"/>
    </row>
    <row r="122" spans="2:18" s="3" customFormat="1" ht="14.1" customHeight="1">
      <c r="B122" s="20"/>
      <c r="C122" s="20"/>
      <c r="E122" s="20"/>
      <c r="G122" s="2"/>
      <c r="H122" t="s">
        <v>42</v>
      </c>
      <c r="I122" s="2"/>
      <c r="Q122" s="2"/>
      <c r="R122" s="30"/>
    </row>
    <row r="123" spans="2:18" s="3" customFormat="1" ht="14.1" customHeight="1">
      <c r="B123" s="20"/>
      <c r="C123" s="20"/>
      <c r="E123" s="20"/>
      <c r="G123" s="2"/>
      <c r="H123" t="s">
        <v>42</v>
      </c>
      <c r="I123" s="2"/>
      <c r="Q123" s="2"/>
      <c r="R123" s="30"/>
    </row>
    <row r="124" spans="2:18" s="3" customFormat="1" ht="14.1" customHeight="1">
      <c r="B124" s="20"/>
      <c r="C124" s="20"/>
      <c r="E124" s="20"/>
      <c r="G124" s="2"/>
      <c r="H124" t="s">
        <v>42</v>
      </c>
      <c r="I124" s="2"/>
      <c r="Q124" s="2"/>
      <c r="R124" s="30"/>
    </row>
    <row r="125" spans="2:18" s="3" customFormat="1" ht="14.1" customHeight="1">
      <c r="B125" s="20"/>
      <c r="C125" s="20"/>
      <c r="E125" s="20"/>
      <c r="G125" s="2"/>
      <c r="H125" t="s">
        <v>42</v>
      </c>
      <c r="I125" s="2"/>
      <c r="Q125" s="2"/>
      <c r="R125" s="30"/>
    </row>
    <row r="126" spans="2:18" s="3" customFormat="1" ht="14.1" customHeight="1">
      <c r="B126" s="20"/>
      <c r="C126" s="20"/>
      <c r="E126" s="20"/>
      <c r="G126" s="2"/>
      <c r="H126" t="s">
        <v>42</v>
      </c>
      <c r="I126" s="2"/>
      <c r="Q126" s="2"/>
      <c r="R126" s="30"/>
    </row>
    <row r="127" spans="2:18" s="3" customFormat="1" ht="14.1" customHeight="1">
      <c r="B127" s="20"/>
      <c r="C127" s="20"/>
      <c r="E127" s="20"/>
      <c r="G127" s="2"/>
      <c r="H127" t="s">
        <v>42</v>
      </c>
      <c r="I127" s="2"/>
      <c r="Q127" s="2"/>
      <c r="R127" s="30"/>
    </row>
    <row r="128" spans="2:18" s="3" customFormat="1" ht="14.1" customHeight="1">
      <c r="B128" s="20"/>
      <c r="C128" s="20"/>
      <c r="E128" s="20"/>
      <c r="G128" s="2"/>
      <c r="H128" t="s">
        <v>42</v>
      </c>
      <c r="I128" s="2"/>
      <c r="Q128" s="2"/>
      <c r="R128" s="30"/>
    </row>
    <row r="129" spans="2:18" s="3" customFormat="1" ht="14.1" customHeight="1">
      <c r="B129" s="20"/>
      <c r="C129" s="20"/>
      <c r="E129" s="20"/>
      <c r="G129" s="2"/>
      <c r="H129" t="s">
        <v>42</v>
      </c>
      <c r="I129" s="2"/>
      <c r="Q129" s="2"/>
      <c r="R129" s="30"/>
    </row>
    <row r="130" spans="2:18" s="3" customFormat="1" ht="14.1" customHeight="1">
      <c r="B130" s="20"/>
      <c r="C130" s="20"/>
      <c r="E130" s="20"/>
      <c r="G130" s="2"/>
      <c r="H130" t="s">
        <v>42</v>
      </c>
      <c r="I130" s="2"/>
      <c r="Q130" s="2"/>
      <c r="R130" s="30"/>
    </row>
    <row r="131" spans="2:18" s="3" customFormat="1" ht="14.1" customHeight="1">
      <c r="B131" s="20"/>
      <c r="C131" s="20"/>
      <c r="E131" s="20"/>
      <c r="G131" s="2"/>
      <c r="H131" t="s">
        <v>42</v>
      </c>
      <c r="I131" s="2"/>
      <c r="Q131" s="2"/>
      <c r="R131" s="30"/>
    </row>
    <row r="132" spans="2:18" s="3" customFormat="1" ht="14.1" customHeight="1">
      <c r="B132" s="20"/>
      <c r="C132" s="20"/>
      <c r="E132" s="20"/>
      <c r="G132" s="2"/>
      <c r="H132" t="s">
        <v>42</v>
      </c>
      <c r="I132" s="2"/>
      <c r="Q132" s="2"/>
      <c r="R132" s="30"/>
    </row>
    <row r="133" spans="2:18" s="3" customFormat="1" ht="14.1" customHeight="1">
      <c r="B133" s="20"/>
      <c r="C133" s="20"/>
      <c r="E133" s="20"/>
      <c r="G133" s="2"/>
      <c r="H133" t="s">
        <v>42</v>
      </c>
      <c r="I133" s="2"/>
      <c r="Q133" s="2"/>
      <c r="R133" s="30"/>
    </row>
    <row r="134" spans="2:18" s="3" customFormat="1" ht="14.1" customHeight="1">
      <c r="B134" s="20"/>
      <c r="C134" s="20"/>
      <c r="E134" s="20"/>
      <c r="G134" s="2"/>
      <c r="H134" t="s">
        <v>42</v>
      </c>
      <c r="I134" s="2"/>
      <c r="Q134" s="2"/>
      <c r="R134" s="30"/>
    </row>
    <row r="135" spans="2:18" s="3" customFormat="1" ht="14.1" customHeight="1">
      <c r="B135" s="20"/>
      <c r="C135" s="20"/>
      <c r="E135" s="20"/>
      <c r="G135" s="2"/>
      <c r="H135" t="s">
        <v>42</v>
      </c>
      <c r="I135" s="2"/>
      <c r="Q135" s="2"/>
      <c r="R135" s="30"/>
    </row>
    <row r="136" spans="2:18" s="3" customFormat="1" ht="14.1" customHeight="1">
      <c r="B136" s="20"/>
      <c r="C136" s="20"/>
      <c r="E136" s="20"/>
      <c r="G136" s="2"/>
      <c r="H136" t="s">
        <v>42</v>
      </c>
      <c r="I136" s="2"/>
      <c r="Q136" s="2"/>
      <c r="R136" s="30"/>
    </row>
    <row r="137" spans="2:18" s="3" customFormat="1" ht="14.1" customHeight="1">
      <c r="B137" s="20"/>
      <c r="C137" s="20"/>
      <c r="E137" s="20"/>
      <c r="G137" s="2"/>
      <c r="H137" t="s">
        <v>42</v>
      </c>
      <c r="I137" s="2"/>
      <c r="Q137" s="2"/>
      <c r="R137" s="30"/>
    </row>
    <row r="138" spans="2:18" s="3" customFormat="1" ht="14.1" customHeight="1">
      <c r="B138" s="20"/>
      <c r="C138" s="20"/>
      <c r="E138" s="20"/>
      <c r="G138" s="2"/>
      <c r="H138" t="s">
        <v>42</v>
      </c>
      <c r="I138" s="2"/>
      <c r="Q138" s="2"/>
      <c r="R138" s="30"/>
    </row>
    <row r="139" spans="2:18" s="3" customFormat="1" ht="14.1" customHeight="1">
      <c r="B139" s="20"/>
      <c r="C139" s="20"/>
      <c r="E139" s="20"/>
      <c r="G139" s="2"/>
      <c r="H139" t="s">
        <v>42</v>
      </c>
      <c r="I139" s="2"/>
      <c r="Q139" s="2"/>
      <c r="R139" s="30"/>
    </row>
    <row r="140" spans="2:18" s="3" customFormat="1" ht="14.1" customHeight="1">
      <c r="B140" s="20"/>
      <c r="C140" s="20"/>
      <c r="E140" s="20"/>
      <c r="G140" s="2"/>
      <c r="H140" t="s">
        <v>42</v>
      </c>
      <c r="I140" s="2"/>
      <c r="Q140" s="2"/>
      <c r="R140" s="30"/>
    </row>
    <row r="141" spans="2:18" s="3" customFormat="1" ht="14.1" customHeight="1">
      <c r="B141" s="20"/>
      <c r="C141" s="20"/>
      <c r="E141" s="20"/>
      <c r="G141" s="2"/>
      <c r="H141" t="s">
        <v>42</v>
      </c>
      <c r="I141" s="2"/>
      <c r="Q141" s="2"/>
      <c r="R141" s="30"/>
    </row>
    <row r="142" spans="2:18" s="3" customFormat="1" ht="14.1" customHeight="1">
      <c r="B142" s="20"/>
      <c r="C142" s="20"/>
      <c r="E142" s="20"/>
      <c r="G142" s="2"/>
      <c r="H142" t="s">
        <v>42</v>
      </c>
      <c r="I142" s="2"/>
      <c r="Q142" s="2"/>
      <c r="R142" s="30"/>
    </row>
    <row r="143" spans="2:18" s="3" customFormat="1" ht="14.1" customHeight="1">
      <c r="B143" s="20"/>
      <c r="C143" s="20"/>
      <c r="E143" s="20"/>
      <c r="G143" s="2"/>
      <c r="H143" t="s">
        <v>42</v>
      </c>
      <c r="I143" s="2"/>
      <c r="Q143" s="2"/>
      <c r="R143" s="30"/>
    </row>
    <row r="144" spans="2:18" s="3" customFormat="1" ht="14.1" customHeight="1">
      <c r="B144" s="20"/>
      <c r="C144" s="20"/>
      <c r="E144" s="20"/>
      <c r="G144" s="2"/>
      <c r="H144" t="s">
        <v>42</v>
      </c>
      <c r="I144" s="2"/>
      <c r="Q144" s="2"/>
      <c r="R144" s="30"/>
    </row>
    <row r="145" spans="2:18" s="3" customFormat="1" ht="14.1" customHeight="1">
      <c r="B145" s="20"/>
      <c r="C145" s="20"/>
      <c r="E145" s="20"/>
      <c r="G145" s="2"/>
      <c r="H145" t="s">
        <v>42</v>
      </c>
      <c r="I145" s="2"/>
      <c r="Q145" s="2"/>
      <c r="R145" s="30"/>
    </row>
    <row r="146" spans="2:18" s="3" customFormat="1" ht="14.1" customHeight="1">
      <c r="B146" s="20"/>
      <c r="C146" s="20"/>
      <c r="E146" s="20"/>
      <c r="G146" s="2"/>
      <c r="H146" t="s">
        <v>42</v>
      </c>
      <c r="I146" s="2"/>
      <c r="Q146" s="2"/>
      <c r="R146" s="30"/>
    </row>
    <row r="147" spans="2:18" s="3" customFormat="1" ht="14.1" customHeight="1">
      <c r="B147" s="20"/>
      <c r="C147" s="20"/>
      <c r="E147" s="20"/>
      <c r="G147" s="2"/>
      <c r="H147" t="s">
        <v>42</v>
      </c>
      <c r="I147" s="2"/>
      <c r="Q147" s="2"/>
      <c r="R147" s="30"/>
    </row>
    <row r="148" spans="2:18" s="3" customFormat="1" ht="14.1" customHeight="1">
      <c r="B148" s="20"/>
      <c r="C148" s="20"/>
      <c r="E148" s="20"/>
      <c r="G148" s="2"/>
      <c r="H148" t="s">
        <v>42</v>
      </c>
      <c r="I148" s="2"/>
      <c r="Q148" s="2"/>
      <c r="R148" s="30"/>
    </row>
    <row r="149" spans="2:18" s="3" customFormat="1" ht="14.1" customHeight="1">
      <c r="B149" s="20"/>
      <c r="C149" s="20"/>
      <c r="E149" s="20"/>
      <c r="G149" s="2"/>
      <c r="H149" t="s">
        <v>42</v>
      </c>
      <c r="I149" s="2"/>
      <c r="Q149" s="2"/>
      <c r="R149" s="30"/>
    </row>
    <row r="150" spans="2:18" s="3" customFormat="1" ht="14.1" customHeight="1">
      <c r="B150" s="20"/>
      <c r="C150" s="20"/>
      <c r="E150" s="20"/>
      <c r="G150" s="2"/>
      <c r="H150" t="s">
        <v>42</v>
      </c>
      <c r="I150" s="2"/>
      <c r="Q150" s="2"/>
      <c r="R150" s="30"/>
    </row>
    <row r="151" spans="2:18" s="3" customFormat="1" ht="14.1" customHeight="1">
      <c r="B151" s="20"/>
      <c r="C151" s="20"/>
      <c r="E151" s="20"/>
      <c r="G151" s="2"/>
      <c r="H151" t="s">
        <v>42</v>
      </c>
      <c r="I151" s="2"/>
      <c r="Q151" s="2"/>
      <c r="R151" s="30"/>
    </row>
    <row r="152" spans="2:18" s="3" customFormat="1" ht="14.1" customHeight="1">
      <c r="B152" s="20"/>
      <c r="C152" s="20"/>
      <c r="E152" s="20"/>
      <c r="G152" s="2"/>
      <c r="H152" t="s">
        <v>42</v>
      </c>
      <c r="I152" s="2"/>
      <c r="Q152" s="2"/>
      <c r="R152" s="30"/>
    </row>
    <row r="153" spans="2:18" s="3" customFormat="1" ht="14.1" customHeight="1">
      <c r="B153" s="20"/>
      <c r="C153" s="20"/>
      <c r="E153" s="20"/>
      <c r="G153" s="2"/>
      <c r="H153" t="s">
        <v>42</v>
      </c>
      <c r="I153" s="2"/>
      <c r="Q153" s="2"/>
      <c r="R153" s="30"/>
    </row>
    <row r="154" spans="2:18" s="3" customFormat="1" ht="14.1" customHeight="1">
      <c r="B154" s="20"/>
      <c r="C154" s="20"/>
      <c r="E154" s="20"/>
      <c r="G154" s="2"/>
      <c r="H154" t="s">
        <v>42</v>
      </c>
      <c r="I154" s="2"/>
      <c r="Q154" s="2"/>
      <c r="R154" s="30"/>
    </row>
    <row r="155" spans="2:18" s="3" customFormat="1" ht="14.1" customHeight="1">
      <c r="B155" s="20"/>
      <c r="C155" s="20"/>
      <c r="E155" s="20"/>
      <c r="G155" s="2"/>
      <c r="H155" t="s">
        <v>42</v>
      </c>
      <c r="I155" s="2"/>
      <c r="Q155" s="2"/>
      <c r="R155" s="30"/>
    </row>
    <row r="156" spans="2:18" s="3" customFormat="1" ht="14.1" customHeight="1">
      <c r="B156" s="20"/>
      <c r="C156" s="20"/>
      <c r="E156" s="20"/>
      <c r="G156" s="2"/>
      <c r="H156" t="s">
        <v>42</v>
      </c>
      <c r="I156" s="2"/>
      <c r="Q156" s="2"/>
      <c r="R156" s="30"/>
    </row>
    <row r="157" spans="2:18" s="3" customFormat="1" ht="14.1" customHeight="1">
      <c r="B157" s="20"/>
      <c r="C157" s="20"/>
      <c r="E157" s="20"/>
      <c r="G157" s="2"/>
      <c r="H157" t="s">
        <v>42</v>
      </c>
      <c r="I157" s="2"/>
      <c r="Q157" s="2"/>
      <c r="R157" s="30"/>
    </row>
    <row r="158" spans="2:18" s="3" customFormat="1" ht="14.1" customHeight="1">
      <c r="B158" s="20"/>
      <c r="C158" s="20"/>
      <c r="E158" s="20"/>
      <c r="G158" s="2"/>
      <c r="H158" t="s">
        <v>42</v>
      </c>
      <c r="I158" s="2"/>
      <c r="Q158" s="2"/>
      <c r="R158" s="30"/>
    </row>
    <row r="159" spans="2:18" s="3" customFormat="1" ht="14.1" customHeight="1">
      <c r="B159" s="20"/>
      <c r="C159" s="20"/>
      <c r="E159" s="20"/>
      <c r="G159" s="2"/>
      <c r="H159" t="s">
        <v>42</v>
      </c>
      <c r="I159" s="2"/>
      <c r="Q159" s="2"/>
      <c r="R159" s="30"/>
    </row>
    <row r="160" spans="2:18" s="3" customFormat="1" ht="14.1" customHeight="1">
      <c r="B160" s="20"/>
      <c r="C160" s="20"/>
      <c r="E160" s="20"/>
      <c r="G160" s="2"/>
      <c r="H160" t="s">
        <v>42</v>
      </c>
      <c r="I160" s="2"/>
      <c r="Q160" s="2"/>
      <c r="R160" s="30"/>
    </row>
    <row r="161" spans="2:18" s="3" customFormat="1" ht="14.1" customHeight="1">
      <c r="B161" s="20"/>
      <c r="C161" s="20"/>
      <c r="E161" s="20"/>
      <c r="G161" s="2"/>
      <c r="H161" t="s">
        <v>42</v>
      </c>
      <c r="I161" s="2"/>
      <c r="Q161" s="2"/>
      <c r="R161" s="30"/>
    </row>
    <row r="162" spans="2:18" s="3" customFormat="1" ht="14.1" customHeight="1">
      <c r="B162" s="20"/>
      <c r="C162" s="20"/>
      <c r="E162" s="20"/>
      <c r="G162" s="2"/>
      <c r="H162" t="s">
        <v>42</v>
      </c>
      <c r="I162" s="2"/>
      <c r="Q162" s="2"/>
      <c r="R162" s="30"/>
    </row>
    <row r="163" spans="2:18" s="3" customFormat="1" ht="14.1" customHeight="1">
      <c r="B163" s="20"/>
      <c r="C163" s="20"/>
      <c r="E163" s="20"/>
      <c r="G163" s="2"/>
      <c r="H163" t="s">
        <v>42</v>
      </c>
      <c r="I163" s="2"/>
      <c r="Q163" s="2"/>
      <c r="R163" s="30"/>
    </row>
    <row r="164" spans="2:18" s="3" customFormat="1" ht="14.1" customHeight="1">
      <c r="B164" s="20"/>
      <c r="C164" s="20"/>
      <c r="E164" s="20"/>
      <c r="G164" s="2"/>
      <c r="H164" t="s">
        <v>42</v>
      </c>
      <c r="I164" s="2"/>
      <c r="Q164" s="2"/>
      <c r="R164" s="30"/>
    </row>
    <row r="165" spans="2:18" s="3" customFormat="1" ht="14.1" customHeight="1">
      <c r="B165" s="20"/>
      <c r="C165" s="20"/>
      <c r="E165" s="20"/>
      <c r="G165" s="2"/>
      <c r="H165" t="s">
        <v>42</v>
      </c>
      <c r="I165" s="2"/>
      <c r="Q165" s="2"/>
      <c r="R165" s="30"/>
    </row>
    <row r="166" spans="2:18" s="3" customFormat="1" ht="14.1" customHeight="1">
      <c r="B166" s="20"/>
      <c r="C166" s="20"/>
      <c r="E166" s="20"/>
      <c r="G166" s="2"/>
      <c r="H166" t="s">
        <v>42</v>
      </c>
      <c r="I166" s="2"/>
      <c r="Q166" s="2"/>
      <c r="R166" s="30"/>
    </row>
    <row r="167" spans="2:18" s="3" customFormat="1" ht="14.1" customHeight="1">
      <c r="B167" s="20"/>
      <c r="C167" s="20"/>
      <c r="E167" s="20"/>
      <c r="G167" s="2"/>
      <c r="H167" t="s">
        <v>42</v>
      </c>
      <c r="I167" s="2"/>
      <c r="Q167" s="2"/>
      <c r="R167" s="30"/>
    </row>
    <row r="168" spans="2:18" s="3" customFormat="1" ht="14.1" customHeight="1">
      <c r="B168" s="20"/>
      <c r="C168" s="20"/>
      <c r="E168" s="20"/>
      <c r="G168" s="2"/>
      <c r="H168" t="s">
        <v>42</v>
      </c>
      <c r="I168" s="2"/>
      <c r="Q168" s="2"/>
      <c r="R168" s="30"/>
    </row>
    <row r="169" spans="2:18" s="3" customFormat="1" ht="14.1" customHeight="1">
      <c r="B169" s="20"/>
      <c r="C169" s="20"/>
      <c r="E169" s="20"/>
      <c r="G169" s="2"/>
      <c r="H169" t="s">
        <v>42</v>
      </c>
      <c r="I169" s="2"/>
      <c r="Q169" s="2"/>
      <c r="R169" s="30"/>
    </row>
    <row r="170" spans="2:18" s="3" customFormat="1" ht="14.1" customHeight="1">
      <c r="B170" s="20"/>
      <c r="C170" s="20"/>
      <c r="E170" s="20"/>
      <c r="G170" s="2"/>
      <c r="H170" t="s">
        <v>42</v>
      </c>
      <c r="I170" s="2"/>
      <c r="Q170" s="2"/>
      <c r="R170" s="30"/>
    </row>
    <row r="171" spans="2:18" s="3" customFormat="1" ht="14.1" customHeight="1">
      <c r="B171" s="20"/>
      <c r="C171" s="20"/>
      <c r="E171" s="20"/>
      <c r="G171" s="2"/>
      <c r="H171" t="s">
        <v>42</v>
      </c>
      <c r="I171" s="2"/>
      <c r="Q171" s="2"/>
      <c r="R171" s="30"/>
    </row>
    <row r="172" spans="2:18" s="3" customFormat="1" ht="14.1" customHeight="1">
      <c r="B172" s="20"/>
      <c r="C172" s="20"/>
      <c r="E172" s="20"/>
      <c r="G172" s="2"/>
      <c r="H172" t="s">
        <v>42</v>
      </c>
      <c r="I172" s="2"/>
      <c r="Q172" s="2"/>
      <c r="R172" s="30"/>
    </row>
    <row r="173" spans="2:18" s="3" customFormat="1" ht="14.1" customHeight="1">
      <c r="B173" s="20"/>
      <c r="C173" s="20"/>
      <c r="E173" s="20"/>
      <c r="G173" s="2"/>
      <c r="H173" t="s">
        <v>42</v>
      </c>
      <c r="I173" s="2"/>
      <c r="Q173" s="2"/>
      <c r="R173" s="30"/>
    </row>
    <row r="174" spans="2:18" s="3" customFormat="1" ht="14.1" customHeight="1">
      <c r="B174" s="20"/>
      <c r="C174" s="20"/>
      <c r="E174" s="20"/>
      <c r="G174" s="2"/>
      <c r="H174" t="s">
        <v>42</v>
      </c>
      <c r="I174" s="2"/>
      <c r="Q174" s="2"/>
      <c r="R174" s="30"/>
    </row>
    <row r="175" spans="2:18" s="3" customFormat="1" ht="14.1" customHeight="1">
      <c r="B175" s="20"/>
      <c r="C175" s="20"/>
      <c r="E175" s="20"/>
      <c r="G175" s="2"/>
      <c r="H175" t="s">
        <v>42</v>
      </c>
      <c r="I175" s="2"/>
      <c r="Q175" s="2"/>
      <c r="R175" s="30"/>
    </row>
    <row r="176" spans="2:18" s="3" customFormat="1" ht="14.1" customHeight="1">
      <c r="B176" s="20"/>
      <c r="C176" s="20"/>
      <c r="E176" s="20"/>
      <c r="G176" s="2"/>
      <c r="H176" t="s">
        <v>42</v>
      </c>
      <c r="I176" s="2"/>
      <c r="Q176" s="2"/>
      <c r="R176" s="30"/>
    </row>
    <row r="177" spans="2:18" s="3" customFormat="1" ht="14.1" customHeight="1">
      <c r="B177" s="20"/>
      <c r="C177" s="20"/>
      <c r="E177" s="20"/>
      <c r="G177" s="2"/>
      <c r="H177" t="s">
        <v>42</v>
      </c>
      <c r="I177" s="2"/>
      <c r="Q177" s="2"/>
      <c r="R177" s="30"/>
    </row>
    <row r="178" spans="2:18" s="3" customFormat="1" ht="14.1" customHeight="1">
      <c r="B178" s="20"/>
      <c r="C178" s="20"/>
      <c r="E178" s="20"/>
      <c r="G178" s="2"/>
      <c r="H178" t="s">
        <v>42</v>
      </c>
      <c r="I178" s="2"/>
      <c r="Q178" s="2"/>
      <c r="R178" s="30"/>
    </row>
    <row r="179" spans="2:18" s="3" customFormat="1" ht="14.1" customHeight="1">
      <c r="B179" s="20"/>
      <c r="C179" s="20"/>
      <c r="E179" s="20"/>
      <c r="G179" s="2"/>
      <c r="H179" t="s">
        <v>42</v>
      </c>
      <c r="I179" s="2"/>
      <c r="Q179" s="2"/>
      <c r="R179" s="30"/>
    </row>
    <row r="180" spans="2:18" s="3" customFormat="1" ht="14.1" customHeight="1">
      <c r="B180" s="20"/>
      <c r="C180" s="20"/>
      <c r="E180" s="20"/>
      <c r="G180" s="2"/>
      <c r="H180" t="s">
        <v>42</v>
      </c>
      <c r="I180" s="2"/>
      <c r="Q180" s="2"/>
      <c r="R180" s="30"/>
    </row>
    <row r="181" spans="2:18" s="3" customFormat="1" ht="14.1" customHeight="1">
      <c r="B181" s="20"/>
      <c r="C181" s="20"/>
      <c r="E181" s="20"/>
      <c r="G181" s="2"/>
      <c r="H181" t="s">
        <v>42</v>
      </c>
      <c r="I181" s="2"/>
      <c r="Q181" s="2"/>
      <c r="R181" s="30"/>
    </row>
    <row r="182" spans="2:18" s="3" customFormat="1" ht="14.1" customHeight="1">
      <c r="B182" s="20"/>
      <c r="C182" s="20"/>
      <c r="E182" s="20"/>
      <c r="G182" s="2"/>
      <c r="H182" t="s">
        <v>42</v>
      </c>
      <c r="I182" s="2"/>
      <c r="Q182" s="2"/>
      <c r="R182" s="30"/>
    </row>
    <row r="183" spans="2:18" s="3" customFormat="1" ht="14.1" customHeight="1">
      <c r="B183" s="20"/>
      <c r="C183" s="20"/>
      <c r="E183" s="20"/>
      <c r="G183" s="2"/>
      <c r="H183" t="s">
        <v>42</v>
      </c>
      <c r="I183" s="2"/>
      <c r="Q183" s="2"/>
      <c r="R183" s="30"/>
    </row>
    <row r="184" spans="2:18" s="3" customFormat="1" ht="14.1" customHeight="1">
      <c r="B184" s="20"/>
      <c r="C184" s="20"/>
      <c r="E184" s="20"/>
      <c r="G184" s="2"/>
      <c r="H184" t="s">
        <v>42</v>
      </c>
      <c r="I184" s="2"/>
      <c r="Q184" s="2"/>
      <c r="R184" s="30"/>
    </row>
    <row r="185" spans="2:18" s="3" customFormat="1" ht="14.1" customHeight="1">
      <c r="B185" s="20"/>
      <c r="C185" s="20"/>
      <c r="E185" s="20"/>
      <c r="G185" s="2"/>
      <c r="H185" t="s">
        <v>42</v>
      </c>
      <c r="I185" s="2"/>
      <c r="Q185" s="2"/>
      <c r="R185" s="30"/>
    </row>
    <row r="186" spans="2:18" s="3" customFormat="1" ht="14.1" customHeight="1">
      <c r="B186" s="20"/>
      <c r="C186" s="20"/>
      <c r="E186" s="20"/>
      <c r="G186" s="2"/>
      <c r="H186" t="s">
        <v>42</v>
      </c>
      <c r="I186" s="2"/>
      <c r="Q186" s="2"/>
      <c r="R186" s="30"/>
    </row>
    <row r="187" spans="2:18" s="3" customFormat="1" ht="14.1" customHeight="1">
      <c r="B187" s="20"/>
      <c r="C187" s="20"/>
      <c r="E187" s="20"/>
      <c r="G187" s="2"/>
      <c r="H187" t="s">
        <v>42</v>
      </c>
      <c r="I187" s="2"/>
      <c r="Q187" s="2"/>
      <c r="R187" s="30"/>
    </row>
    <row r="188" spans="2:18" s="3" customFormat="1" ht="14.1" customHeight="1">
      <c r="B188" s="20"/>
      <c r="C188" s="20"/>
      <c r="E188" s="20"/>
      <c r="G188" s="2"/>
      <c r="H188" t="s">
        <v>42</v>
      </c>
      <c r="I188" s="2"/>
      <c r="Q188" s="2"/>
      <c r="R188" s="30"/>
    </row>
    <row r="189" spans="2:18" s="3" customFormat="1" ht="14.1" customHeight="1">
      <c r="B189" s="20"/>
      <c r="C189" s="20"/>
      <c r="E189" s="20"/>
      <c r="G189" s="2"/>
      <c r="H189" t="s">
        <v>42</v>
      </c>
      <c r="I189" s="2"/>
      <c r="Q189" s="2"/>
      <c r="R189" s="30"/>
    </row>
    <row r="190" spans="2:18" s="3" customFormat="1" ht="14.1" customHeight="1">
      <c r="B190" s="20"/>
      <c r="C190" s="20"/>
      <c r="E190" s="20"/>
      <c r="G190" s="2"/>
      <c r="H190" t="s">
        <v>42</v>
      </c>
      <c r="I190" s="2"/>
      <c r="Q190" s="2"/>
      <c r="R190" s="30"/>
    </row>
    <row r="191" spans="2:18" s="3" customFormat="1" ht="14.1" customHeight="1">
      <c r="B191" s="20"/>
      <c r="C191" s="20"/>
      <c r="E191" s="20"/>
      <c r="G191" s="2"/>
      <c r="H191" t="s">
        <v>42</v>
      </c>
      <c r="I191" s="2"/>
      <c r="Q191" s="2"/>
      <c r="R191" s="30"/>
    </row>
    <row r="192" spans="2:18" s="3" customFormat="1" ht="14.1" customHeight="1">
      <c r="B192" s="20"/>
      <c r="C192" s="20"/>
      <c r="E192" s="20"/>
      <c r="G192" s="2"/>
      <c r="H192" t="s">
        <v>42</v>
      </c>
      <c r="I192" s="2"/>
      <c r="Q192" s="2"/>
      <c r="R192" s="30"/>
    </row>
    <row r="193" spans="2:18" s="3" customFormat="1" ht="14.1" customHeight="1">
      <c r="B193" s="20"/>
      <c r="C193" s="20"/>
      <c r="E193" s="20"/>
      <c r="G193" s="2"/>
      <c r="H193" t="s">
        <v>42</v>
      </c>
      <c r="I193" s="2"/>
      <c r="Q193" s="2"/>
      <c r="R193" s="30"/>
    </row>
    <row r="194" spans="2:18" s="3" customFormat="1" ht="14.1" customHeight="1">
      <c r="B194" s="20"/>
      <c r="C194" s="20"/>
      <c r="E194" s="20"/>
      <c r="G194" s="2"/>
      <c r="H194" t="s">
        <v>42</v>
      </c>
      <c r="I194" s="2"/>
      <c r="Q194" s="2"/>
      <c r="R194" s="30"/>
    </row>
    <row r="195" spans="2:18" s="3" customFormat="1" ht="14.1" customHeight="1">
      <c r="B195" s="20"/>
      <c r="C195" s="20"/>
      <c r="E195" s="20"/>
      <c r="G195" s="2"/>
      <c r="H195" t="s">
        <v>42</v>
      </c>
      <c r="I195" s="2"/>
      <c r="Q195" s="2"/>
      <c r="R195" s="30"/>
    </row>
    <row r="196" spans="2:18" s="3" customFormat="1" ht="14.1" customHeight="1">
      <c r="B196" s="20"/>
      <c r="C196" s="20"/>
      <c r="E196" s="20"/>
      <c r="G196" s="2"/>
      <c r="H196" t="s">
        <v>42</v>
      </c>
      <c r="I196" s="2"/>
      <c r="Q196" s="2"/>
      <c r="R196" s="30"/>
    </row>
    <row r="197" spans="2:18" s="3" customFormat="1" ht="14.1" customHeight="1">
      <c r="B197" s="20"/>
      <c r="C197" s="20"/>
      <c r="E197" s="20"/>
      <c r="G197" s="2"/>
      <c r="H197" t="s">
        <v>42</v>
      </c>
      <c r="I197" s="2"/>
      <c r="Q197" s="2"/>
      <c r="R197" s="30"/>
    </row>
    <row r="198" spans="2:18" s="3" customFormat="1" ht="14.1" customHeight="1">
      <c r="B198" s="20"/>
      <c r="C198" s="20"/>
      <c r="E198" s="20"/>
      <c r="G198" s="2"/>
      <c r="H198" t="s">
        <v>42</v>
      </c>
      <c r="I198" s="2"/>
      <c r="Q198" s="2"/>
      <c r="R198" s="30"/>
    </row>
    <row r="199" spans="2:18" s="3" customFormat="1" ht="14.1" customHeight="1">
      <c r="B199" s="20"/>
      <c r="C199" s="20"/>
      <c r="E199" s="20"/>
      <c r="G199" s="2"/>
      <c r="H199" t="s">
        <v>42</v>
      </c>
      <c r="I199" s="2"/>
      <c r="Q199" s="2"/>
      <c r="R199" s="30"/>
    </row>
    <row r="200" spans="2:18" s="3" customFormat="1" ht="14.1" customHeight="1">
      <c r="B200" s="20"/>
      <c r="C200" s="20"/>
      <c r="E200" s="20"/>
      <c r="G200" s="2"/>
      <c r="H200" t="s">
        <v>42</v>
      </c>
      <c r="I200" s="2"/>
      <c r="Q200" s="2"/>
      <c r="R200" s="30"/>
    </row>
    <row r="201" spans="2:18" s="3" customFormat="1" ht="14.1" customHeight="1">
      <c r="B201" s="20"/>
      <c r="C201" s="20"/>
      <c r="E201" s="20"/>
      <c r="G201" s="2"/>
      <c r="H201" t="s">
        <v>42</v>
      </c>
      <c r="I201" s="2"/>
      <c r="Q201" s="2"/>
      <c r="R201" s="30"/>
    </row>
    <row r="202" spans="2:18" s="3" customFormat="1" ht="14.1" customHeight="1">
      <c r="B202" s="20"/>
      <c r="C202" s="20"/>
      <c r="E202" s="20"/>
      <c r="G202" s="2"/>
      <c r="H202" t="s">
        <v>42</v>
      </c>
      <c r="I202" s="2"/>
      <c r="Q202" s="2"/>
      <c r="R202" s="30"/>
    </row>
    <row r="203" spans="2:18" s="3" customFormat="1" ht="14.1" customHeight="1">
      <c r="B203" s="20"/>
      <c r="C203" s="20"/>
      <c r="E203" s="20"/>
      <c r="G203" s="2"/>
      <c r="H203" t="s">
        <v>42</v>
      </c>
      <c r="I203" s="2"/>
      <c r="Q203" s="2"/>
      <c r="R203" s="30"/>
    </row>
    <row r="204" spans="2:18" s="3" customFormat="1" ht="14.1" customHeight="1">
      <c r="B204" s="20"/>
      <c r="C204" s="20"/>
      <c r="E204" s="20"/>
      <c r="G204" s="2"/>
      <c r="H204" t="s">
        <v>42</v>
      </c>
      <c r="I204" s="2"/>
      <c r="Q204" s="2"/>
      <c r="R204" s="30"/>
    </row>
    <row r="205" spans="2:18" s="3" customFormat="1" ht="14.1" customHeight="1">
      <c r="B205" s="20"/>
      <c r="C205" s="20"/>
      <c r="E205" s="20"/>
      <c r="G205" s="2"/>
      <c r="H205" t="s">
        <v>42</v>
      </c>
      <c r="I205" s="2"/>
      <c r="Q205" s="2"/>
      <c r="R205" s="30"/>
    </row>
    <row r="206" spans="2:18" s="3" customFormat="1" ht="14.1" customHeight="1">
      <c r="B206" s="20"/>
      <c r="C206" s="20"/>
      <c r="E206" s="20"/>
      <c r="G206" s="2"/>
      <c r="H206" t="s">
        <v>42</v>
      </c>
      <c r="I206" s="2"/>
      <c r="Q206" s="2"/>
      <c r="R206" s="30"/>
    </row>
    <row r="207" spans="2:18" s="3" customFormat="1" ht="14.1" customHeight="1">
      <c r="B207" s="20"/>
      <c r="C207" s="20"/>
      <c r="E207" s="20"/>
      <c r="G207" s="2"/>
      <c r="H207" t="s">
        <v>42</v>
      </c>
      <c r="I207" s="2"/>
      <c r="Q207" s="2"/>
      <c r="R207" s="30"/>
    </row>
    <row r="208" spans="2:18" s="3" customFormat="1" ht="14.1" customHeight="1">
      <c r="B208" s="20"/>
      <c r="C208" s="20"/>
      <c r="E208" s="20"/>
      <c r="G208" s="2"/>
      <c r="H208" t="s">
        <v>42</v>
      </c>
      <c r="I208" s="2"/>
      <c r="Q208" s="2"/>
      <c r="R208" s="30"/>
    </row>
    <row r="209" spans="2:18" s="3" customFormat="1" ht="14.1" customHeight="1">
      <c r="B209" s="20"/>
      <c r="C209" s="20"/>
      <c r="E209" s="20"/>
      <c r="G209" s="2"/>
      <c r="H209" t="s">
        <v>42</v>
      </c>
      <c r="I209" s="2"/>
      <c r="Q209" s="2"/>
      <c r="R209" s="30"/>
    </row>
    <row r="210" spans="2:18" s="3" customFormat="1" ht="14.1" customHeight="1">
      <c r="B210" s="20"/>
      <c r="C210" s="20"/>
      <c r="E210" s="20"/>
      <c r="G210" s="2"/>
      <c r="H210" t="s">
        <v>42</v>
      </c>
      <c r="I210" s="2"/>
      <c r="Q210" s="2"/>
      <c r="R210" s="30"/>
    </row>
    <row r="211" spans="2:18" s="3" customFormat="1" ht="14.1" customHeight="1">
      <c r="B211" s="20"/>
      <c r="C211" s="20"/>
      <c r="E211" s="20"/>
      <c r="G211" s="2"/>
      <c r="H211" t="s">
        <v>42</v>
      </c>
      <c r="I211" s="2"/>
      <c r="Q211" s="2"/>
      <c r="R211" s="30"/>
    </row>
    <row r="212" spans="2:18" s="3" customFormat="1" ht="14.1" customHeight="1">
      <c r="B212" s="20"/>
      <c r="C212" s="20"/>
      <c r="E212" s="20"/>
      <c r="G212" s="2"/>
      <c r="H212" t="s">
        <v>42</v>
      </c>
      <c r="I212" s="2"/>
      <c r="Q212" s="2"/>
      <c r="R212" s="30"/>
    </row>
    <row r="213" spans="2:18" s="3" customFormat="1" ht="14.1" customHeight="1">
      <c r="B213" s="20"/>
      <c r="C213" s="20"/>
      <c r="E213" s="20"/>
      <c r="G213" s="2"/>
      <c r="H213" t="s">
        <v>42</v>
      </c>
      <c r="I213" s="2"/>
      <c r="Q213" s="2"/>
      <c r="R213" s="30"/>
    </row>
    <row r="214" spans="2:18" s="3" customFormat="1" ht="14.1" customHeight="1">
      <c r="B214" s="20"/>
      <c r="C214" s="20"/>
      <c r="E214" s="20"/>
      <c r="G214" s="2"/>
      <c r="H214" t="s">
        <v>42</v>
      </c>
      <c r="I214" s="2"/>
      <c r="Q214" s="2"/>
      <c r="R214" s="30"/>
    </row>
    <row r="215" spans="2:18" s="3" customFormat="1" ht="14.1" customHeight="1">
      <c r="B215" s="20"/>
      <c r="C215" s="20"/>
      <c r="E215" s="20"/>
      <c r="G215" s="2"/>
      <c r="H215" t="s">
        <v>42</v>
      </c>
      <c r="I215" s="2"/>
      <c r="Q215" s="2"/>
      <c r="R215" s="30"/>
    </row>
    <row r="216" spans="2:18" s="3" customFormat="1" ht="14.1" customHeight="1">
      <c r="B216" s="20"/>
      <c r="C216" s="20"/>
      <c r="E216" s="20"/>
      <c r="G216" s="2"/>
      <c r="H216" t="s">
        <v>42</v>
      </c>
      <c r="I216" s="2"/>
      <c r="Q216" s="2"/>
      <c r="R216" s="30"/>
    </row>
    <row r="217" spans="2:18" s="3" customFormat="1" ht="14.1" customHeight="1">
      <c r="B217" s="20"/>
      <c r="C217" s="20"/>
      <c r="E217" s="20"/>
      <c r="G217" s="2"/>
      <c r="H217" t="s">
        <v>42</v>
      </c>
      <c r="I217" s="2"/>
      <c r="Q217" s="2"/>
      <c r="R217" s="30"/>
    </row>
    <row r="218" spans="2:18" s="3" customFormat="1" ht="14.1" customHeight="1">
      <c r="B218" s="20"/>
      <c r="C218" s="20"/>
      <c r="E218" s="20"/>
      <c r="G218" s="2"/>
      <c r="H218" t="s">
        <v>42</v>
      </c>
      <c r="I218" s="2"/>
      <c r="Q218" s="2"/>
      <c r="R218" s="30"/>
    </row>
    <row r="219" spans="2:18" s="3" customFormat="1" ht="14.1" customHeight="1">
      <c r="B219" s="20"/>
      <c r="C219" s="20"/>
      <c r="E219" s="20"/>
      <c r="G219" s="2"/>
      <c r="H219" t="s">
        <v>42</v>
      </c>
      <c r="I219" s="2"/>
      <c r="Q219" s="2"/>
      <c r="R219" s="30"/>
    </row>
    <row r="220" spans="2:18" s="3" customFormat="1" ht="14.1" customHeight="1">
      <c r="B220" s="20"/>
      <c r="C220" s="20"/>
      <c r="E220" s="20"/>
      <c r="G220" s="2"/>
      <c r="H220" t="s">
        <v>42</v>
      </c>
      <c r="I220" s="2"/>
      <c r="Q220" s="2"/>
      <c r="R220" s="30"/>
    </row>
    <row r="221" spans="2:18" s="3" customFormat="1" ht="14.1" customHeight="1">
      <c r="B221" s="20"/>
      <c r="C221" s="20"/>
      <c r="E221" s="20"/>
      <c r="G221" s="2"/>
      <c r="H221" t="s">
        <v>42</v>
      </c>
      <c r="I221" s="2"/>
      <c r="Q221" s="2"/>
      <c r="R221" s="30"/>
    </row>
    <row r="222" spans="2:18" s="3" customFormat="1" ht="14.1" customHeight="1">
      <c r="B222" s="20"/>
      <c r="C222" s="20"/>
      <c r="E222" s="20"/>
      <c r="G222" s="2"/>
      <c r="H222" t="s">
        <v>42</v>
      </c>
      <c r="I222" s="2"/>
      <c r="Q222" s="2"/>
      <c r="R222" s="30"/>
    </row>
    <row r="223" spans="2:18" s="3" customFormat="1" ht="14.1" customHeight="1">
      <c r="B223" s="20"/>
      <c r="C223" s="20"/>
      <c r="E223" s="20"/>
      <c r="G223" s="2"/>
      <c r="H223" t="s">
        <v>42</v>
      </c>
      <c r="I223" s="2"/>
      <c r="Q223" s="2"/>
      <c r="R223" s="30"/>
    </row>
    <row r="224" spans="2:18" s="3" customFormat="1" ht="14.1" customHeight="1">
      <c r="B224" s="20"/>
      <c r="C224" s="20"/>
      <c r="E224" s="20"/>
      <c r="G224" s="2"/>
      <c r="H224" t="s">
        <v>42</v>
      </c>
      <c r="I224" s="2"/>
      <c r="Q224" s="2"/>
      <c r="R224" s="30"/>
    </row>
    <row r="225" spans="2:18" s="3" customFormat="1" ht="14.1" customHeight="1">
      <c r="B225" s="20"/>
      <c r="C225" s="20"/>
      <c r="E225" s="20"/>
      <c r="G225" s="2"/>
      <c r="H225" t="s">
        <v>42</v>
      </c>
      <c r="I225" s="2"/>
      <c r="Q225" s="2"/>
      <c r="R225" s="30"/>
    </row>
    <row r="226" spans="2:18" s="3" customFormat="1" ht="14.1" customHeight="1">
      <c r="B226" s="20"/>
      <c r="C226" s="20"/>
      <c r="E226" s="20"/>
      <c r="G226" s="2"/>
      <c r="H226" t="s">
        <v>42</v>
      </c>
      <c r="I226" s="2"/>
      <c r="Q226" s="2"/>
      <c r="R226" s="30"/>
    </row>
    <row r="227" spans="2:18" s="3" customFormat="1" ht="14.1" customHeight="1">
      <c r="B227" s="20"/>
      <c r="C227" s="20"/>
      <c r="E227" s="20"/>
      <c r="G227" s="2"/>
      <c r="H227" t="s">
        <v>42</v>
      </c>
      <c r="I227" s="2"/>
      <c r="Q227" s="2"/>
      <c r="R227" s="30"/>
    </row>
    <row r="228" spans="2:18" s="3" customFormat="1" ht="14.1" customHeight="1">
      <c r="B228" s="20"/>
      <c r="C228" s="20"/>
      <c r="E228" s="20"/>
      <c r="G228" s="2"/>
      <c r="H228" t="s">
        <v>42</v>
      </c>
      <c r="I228" s="2"/>
      <c r="Q228" s="2"/>
      <c r="R228" s="30"/>
    </row>
    <row r="229" spans="2:18" s="3" customFormat="1" ht="14.1" customHeight="1">
      <c r="B229" s="20"/>
      <c r="C229" s="20"/>
      <c r="E229" s="20"/>
      <c r="G229" s="2"/>
      <c r="H229" t="s">
        <v>42</v>
      </c>
      <c r="I229" s="2"/>
      <c r="Q229" s="2"/>
      <c r="R229" s="30"/>
    </row>
    <row r="230" spans="2:18" s="3" customFormat="1" ht="14.1" customHeight="1">
      <c r="B230" s="20"/>
      <c r="C230" s="20"/>
      <c r="E230" s="20"/>
      <c r="G230" s="2"/>
      <c r="H230" t="s">
        <v>42</v>
      </c>
      <c r="I230" s="2"/>
      <c r="Q230" s="2"/>
      <c r="R230" s="30"/>
    </row>
    <row r="231" spans="2:18" s="3" customFormat="1" ht="14.1" customHeight="1">
      <c r="B231" s="20"/>
      <c r="C231" s="20"/>
      <c r="E231" s="20"/>
      <c r="G231" s="2"/>
      <c r="H231" t="s">
        <v>42</v>
      </c>
      <c r="I231" s="2"/>
      <c r="Q231" s="2"/>
      <c r="R231" s="30"/>
    </row>
    <row r="232" spans="2:18" s="3" customFormat="1" ht="14.1" customHeight="1">
      <c r="B232" s="20"/>
      <c r="C232" s="20"/>
      <c r="E232" s="20"/>
      <c r="G232" s="2"/>
      <c r="H232" t="s">
        <v>42</v>
      </c>
      <c r="I232" s="2"/>
      <c r="Q232" s="2"/>
      <c r="R232" s="30"/>
    </row>
    <row r="233" spans="2:18" s="3" customFormat="1" ht="14.1" customHeight="1">
      <c r="B233" s="20"/>
      <c r="C233" s="20"/>
      <c r="E233" s="20"/>
      <c r="G233" s="2"/>
      <c r="H233" t="s">
        <v>42</v>
      </c>
      <c r="I233" s="2"/>
      <c r="Q233" s="2"/>
      <c r="R233" s="30"/>
    </row>
    <row r="234" spans="2:18" s="3" customFormat="1" ht="14.1" customHeight="1">
      <c r="B234" s="20"/>
      <c r="C234" s="20"/>
      <c r="E234" s="20"/>
      <c r="G234" s="2"/>
      <c r="H234" t="s">
        <v>42</v>
      </c>
      <c r="I234" s="2"/>
      <c r="Q234" s="2"/>
      <c r="R234" s="30"/>
    </row>
    <row r="235" spans="2:18" s="3" customFormat="1" ht="14.1" customHeight="1">
      <c r="B235" s="20"/>
      <c r="C235" s="20"/>
      <c r="E235" s="20"/>
      <c r="G235" s="2"/>
      <c r="H235" t="s">
        <v>42</v>
      </c>
      <c r="I235" s="2"/>
      <c r="Q235" s="2"/>
      <c r="R235" s="30"/>
    </row>
    <row r="236" spans="2:18" s="3" customFormat="1" ht="14.1" customHeight="1">
      <c r="B236" s="20"/>
      <c r="C236" s="20"/>
      <c r="E236" s="20"/>
      <c r="G236" s="2"/>
      <c r="H236" t="s">
        <v>42</v>
      </c>
      <c r="I236" s="2"/>
      <c r="Q236" s="2"/>
      <c r="R236" s="30"/>
    </row>
    <row r="237" spans="2:18" s="3" customFormat="1" ht="14.1" customHeight="1">
      <c r="B237" s="20"/>
      <c r="C237" s="20"/>
      <c r="E237" s="20"/>
      <c r="G237" s="2"/>
      <c r="H237" t="s">
        <v>42</v>
      </c>
      <c r="I237" s="2"/>
      <c r="Q237" s="2"/>
      <c r="R237" s="30"/>
    </row>
    <row r="238" spans="2:18" s="3" customFormat="1" ht="14.1" customHeight="1">
      <c r="B238" s="20"/>
      <c r="C238" s="20"/>
      <c r="E238" s="20"/>
      <c r="G238" s="2"/>
      <c r="H238" t="s">
        <v>42</v>
      </c>
      <c r="I238" s="2"/>
      <c r="Q238" s="2"/>
      <c r="R238" s="30"/>
    </row>
    <row r="239" spans="2:18" s="3" customFormat="1" ht="14.1" customHeight="1">
      <c r="B239" s="20"/>
      <c r="C239" s="20"/>
      <c r="E239" s="20"/>
      <c r="G239" s="2"/>
      <c r="H239" t="s">
        <v>42</v>
      </c>
      <c r="I239" s="2"/>
      <c r="Q239" s="2"/>
      <c r="R239" s="30"/>
    </row>
    <row r="240" spans="2:18" s="3" customFormat="1" ht="14.1" customHeight="1">
      <c r="B240" s="20"/>
      <c r="C240" s="20"/>
      <c r="E240" s="20"/>
      <c r="G240" s="2"/>
      <c r="H240" t="s">
        <v>42</v>
      </c>
      <c r="I240" s="2"/>
      <c r="Q240" s="2"/>
      <c r="R240" s="30"/>
    </row>
    <row r="241" spans="2:18" s="3" customFormat="1" ht="14.1" customHeight="1">
      <c r="B241" s="20"/>
      <c r="C241" s="20"/>
      <c r="E241" s="20"/>
      <c r="G241" s="2"/>
      <c r="H241" t="s">
        <v>42</v>
      </c>
      <c r="I241" s="2"/>
      <c r="Q241" s="2"/>
      <c r="R241" s="30"/>
    </row>
    <row r="242" spans="2:18" s="3" customFormat="1" ht="14.1" customHeight="1">
      <c r="B242" s="20"/>
      <c r="C242" s="20"/>
      <c r="E242" s="20"/>
      <c r="G242" s="2"/>
      <c r="H242" t="s">
        <v>42</v>
      </c>
      <c r="I242" s="2"/>
      <c r="Q242" s="2"/>
      <c r="R242" s="30"/>
    </row>
    <row r="243" spans="2:18" s="3" customFormat="1" ht="14.1" customHeight="1">
      <c r="B243" s="20"/>
      <c r="C243" s="20"/>
      <c r="E243" s="20"/>
      <c r="G243" s="2"/>
      <c r="H243" t="s">
        <v>42</v>
      </c>
      <c r="I243" s="2"/>
      <c r="Q243" s="2"/>
      <c r="R243" s="30"/>
    </row>
    <row r="244" spans="2:18" s="3" customFormat="1" ht="14.1" customHeight="1">
      <c r="B244" s="20"/>
      <c r="C244" s="20"/>
      <c r="E244" s="20"/>
      <c r="G244" s="2"/>
      <c r="H244" t="s">
        <v>42</v>
      </c>
      <c r="I244" s="2"/>
      <c r="Q244" s="2"/>
      <c r="R244" s="30"/>
    </row>
    <row r="245" spans="2:18" s="3" customFormat="1" ht="14.1" customHeight="1">
      <c r="B245" s="20"/>
      <c r="C245" s="20"/>
      <c r="E245" s="20"/>
      <c r="G245" s="2"/>
      <c r="H245" t="s">
        <v>42</v>
      </c>
      <c r="I245" s="2"/>
      <c r="Q245" s="2"/>
      <c r="R245" s="30"/>
    </row>
    <row r="246" spans="2:18" s="3" customFormat="1" ht="14.1" customHeight="1">
      <c r="B246" s="20"/>
      <c r="C246" s="20"/>
      <c r="E246" s="20"/>
      <c r="G246" s="2"/>
      <c r="H246" t="s">
        <v>42</v>
      </c>
      <c r="I246" s="2"/>
      <c r="Q246" s="2"/>
      <c r="R246" s="30"/>
    </row>
    <row r="247" spans="2:18" s="3" customFormat="1" ht="14.1" customHeight="1">
      <c r="B247" s="20"/>
      <c r="C247" s="20"/>
      <c r="E247" s="20"/>
      <c r="G247" s="2"/>
      <c r="H247" t="s">
        <v>42</v>
      </c>
      <c r="I247" s="2"/>
      <c r="Q247" s="2"/>
      <c r="R247" s="30"/>
    </row>
    <row r="248" spans="2:18" s="3" customFormat="1" ht="14.1" customHeight="1">
      <c r="B248" s="20"/>
      <c r="C248" s="20"/>
      <c r="E248" s="20"/>
      <c r="G248" s="2"/>
      <c r="H248" t="s">
        <v>42</v>
      </c>
      <c r="I248" s="2"/>
      <c r="Q248" s="2"/>
      <c r="R248" s="30"/>
    </row>
    <row r="249" spans="2:18" s="3" customFormat="1" ht="14.1" customHeight="1">
      <c r="B249" s="20"/>
      <c r="C249" s="20"/>
      <c r="E249" s="20"/>
      <c r="G249" s="2"/>
      <c r="H249" t="s">
        <v>42</v>
      </c>
      <c r="I249" s="2"/>
      <c r="Q249" s="2"/>
      <c r="R249" s="30"/>
    </row>
    <row r="250" spans="2:18" s="3" customFormat="1" ht="14.1" customHeight="1">
      <c r="B250" s="20"/>
      <c r="C250" s="20"/>
      <c r="E250" s="20"/>
      <c r="G250" s="2"/>
      <c r="H250" t="s">
        <v>42</v>
      </c>
      <c r="I250" s="2"/>
      <c r="Q250" s="2"/>
      <c r="R250" s="30"/>
    </row>
    <row r="251" spans="2:18" ht="14.1" customHeight="1"/>
    <row r="252" spans="2:18" ht="14.1" customHeight="1"/>
    <row r="253" spans="2:18" ht="14.1" customHeight="1"/>
    <row r="254" spans="2:18" ht="14.1" customHeight="1"/>
    <row r="255" spans="2:18" ht="14.1" customHeight="1"/>
    <row r="256" spans="2:18" ht="14.1" customHeight="1"/>
    <row r="257" ht="14.1" customHeight="1"/>
    <row r="258" ht="14.1" customHeight="1"/>
    <row r="259" ht="14.1" customHeight="1"/>
    <row r="260" ht="14.1" customHeight="1"/>
    <row r="261" ht="14.1" customHeight="1"/>
    <row r="262" ht="14.1" customHeight="1"/>
    <row r="263" ht="14.1" customHeight="1"/>
    <row r="264" ht="14.1" customHeight="1"/>
    <row r="265" ht="14.1" customHeight="1"/>
    <row r="266" ht="14.1" customHeight="1"/>
    <row r="267" ht="14.1" customHeight="1"/>
    <row r="268" ht="14.1" customHeight="1"/>
    <row r="269" ht="14.1" customHeight="1"/>
    <row r="270" ht="14.1" customHeight="1"/>
    <row r="271" ht="14.1" customHeight="1"/>
    <row r="272" ht="14.1" customHeight="1"/>
    <row r="273" ht="14.1" customHeight="1"/>
    <row r="274" ht="14.1" customHeight="1"/>
    <row r="275" ht="14.1" customHeight="1"/>
    <row r="276" ht="14.1" customHeight="1"/>
    <row r="277" ht="14.1" customHeight="1"/>
    <row r="278" ht="14.1" customHeight="1"/>
    <row r="279" ht="14.1" customHeight="1"/>
    <row r="280" ht="14.1" customHeight="1"/>
    <row r="281" ht="14.1" customHeight="1"/>
    <row r="282" ht="14.1" customHeight="1"/>
    <row r="283" ht="14.1" customHeight="1"/>
    <row r="284" ht="14.1" customHeight="1"/>
    <row r="285" ht="14.1" customHeight="1"/>
    <row r="286" ht="14.1" customHeight="1"/>
    <row r="287" ht="14.1" customHeight="1"/>
    <row r="288" ht="14.1" customHeight="1"/>
    <row r="289" ht="14.1" customHeight="1"/>
    <row r="290" ht="14.1" customHeight="1"/>
    <row r="291" ht="14.1" customHeight="1"/>
    <row r="292" ht="14.1" customHeight="1"/>
    <row r="293" ht="14.1" customHeight="1"/>
    <row r="294" ht="14.1" customHeight="1"/>
    <row r="295" ht="14.1" customHeight="1"/>
    <row r="296" ht="14.1" customHeight="1"/>
    <row r="297" ht="14.1" customHeight="1"/>
    <row r="298" ht="14.1" customHeight="1"/>
    <row r="299" ht="14.1" customHeight="1"/>
    <row r="300" ht="14.1" customHeight="1"/>
    <row r="301" ht="14.1" customHeight="1"/>
    <row r="302" ht="14.1" customHeight="1"/>
    <row r="303" ht="14.1" customHeight="1"/>
    <row r="304" ht="14.1" customHeight="1"/>
    <row r="305" ht="14.1" customHeight="1"/>
    <row r="306" ht="14.1" customHeight="1"/>
    <row r="307" ht="14.1" customHeight="1"/>
    <row r="308" ht="14.1" customHeight="1"/>
    <row r="309" ht="14.1" customHeight="1"/>
    <row r="310" ht="14.1" customHeight="1"/>
    <row r="311" ht="14.1" customHeight="1"/>
    <row r="312" ht="14.1" customHeight="1"/>
    <row r="313" ht="14.1" customHeight="1"/>
    <row r="314" ht="14.1" customHeight="1"/>
    <row r="315" ht="14.1" customHeight="1"/>
    <row r="316" ht="14.1" customHeight="1"/>
    <row r="317" ht="14.1" customHeight="1"/>
    <row r="318" ht="14.1" customHeight="1"/>
    <row r="319" ht="14.1" customHeight="1"/>
    <row r="320" ht="14.1" customHeight="1"/>
    <row r="321" ht="14.1" customHeight="1"/>
    <row r="322" ht="14.1" customHeight="1"/>
    <row r="323" ht="14.1" customHeight="1"/>
    <row r="324" ht="14.1" customHeight="1"/>
    <row r="325" ht="14.1" customHeight="1"/>
    <row r="326" ht="14.1" customHeight="1"/>
    <row r="327" ht="14.1" customHeight="1"/>
    <row r="328" ht="14.1" customHeight="1"/>
    <row r="329" ht="14.1" customHeight="1"/>
    <row r="330" ht="14.1" customHeight="1"/>
    <row r="331" ht="14.1" customHeight="1"/>
    <row r="332" ht="14.1" customHeight="1"/>
    <row r="333" ht="14.1" customHeight="1"/>
    <row r="334" ht="14.1" customHeight="1"/>
    <row r="335" ht="14.1" customHeight="1"/>
    <row r="336" ht="14.1" customHeight="1"/>
    <row r="337" ht="14.1" customHeight="1"/>
    <row r="338" ht="14.1" customHeight="1"/>
    <row r="339" ht="14.1" customHeight="1"/>
    <row r="340" ht="14.1" customHeight="1"/>
    <row r="341" ht="14.1" customHeight="1"/>
    <row r="342" ht="14.1" customHeight="1"/>
    <row r="343" ht="14.1" customHeight="1"/>
    <row r="344" ht="14.1" customHeight="1"/>
    <row r="345" ht="14.1" customHeight="1"/>
    <row r="346" ht="14.1" customHeight="1"/>
    <row r="347" ht="14.1" customHeight="1"/>
    <row r="348" ht="14.1" customHeight="1"/>
    <row r="349" ht="14.1" customHeight="1"/>
    <row r="350" ht="14.1" customHeight="1"/>
    <row r="351" ht="14.1" customHeight="1"/>
    <row r="352" ht="14.1" customHeight="1"/>
    <row r="353" ht="14.1" customHeight="1"/>
    <row r="354" ht="14.1" customHeight="1"/>
    <row r="355" ht="14.1" customHeight="1"/>
    <row r="356" ht="14.1" customHeight="1"/>
    <row r="357" ht="14.1" customHeight="1"/>
    <row r="358" ht="14.1" customHeight="1"/>
    <row r="359" ht="14.1" customHeight="1"/>
    <row r="360" ht="14.1" customHeight="1"/>
    <row r="361" ht="14.1" customHeight="1"/>
    <row r="362" ht="14.1" customHeight="1"/>
    <row r="363" ht="14.1" customHeight="1"/>
    <row r="364" ht="14.1" customHeight="1"/>
    <row r="365" ht="14.1" customHeight="1"/>
    <row r="366" ht="14.1" customHeight="1"/>
    <row r="367" ht="14.1" customHeight="1"/>
    <row r="368" ht="14.1" customHeight="1"/>
    <row r="369" ht="14.1" customHeight="1"/>
    <row r="370" ht="14.1" customHeight="1"/>
    <row r="371" ht="14.1" customHeight="1"/>
    <row r="372" ht="14.1" customHeight="1"/>
    <row r="373" ht="14.1" customHeight="1"/>
    <row r="374" ht="14.1" customHeight="1"/>
    <row r="375" ht="14.1" customHeight="1"/>
    <row r="376" ht="14.1" customHeight="1"/>
    <row r="377" ht="14.1" customHeight="1"/>
    <row r="378" ht="14.1" customHeight="1"/>
    <row r="379" ht="14.1" customHeight="1"/>
    <row r="380" ht="14.1" customHeight="1"/>
    <row r="381" ht="14.1" customHeight="1"/>
    <row r="382" ht="14.1" customHeight="1"/>
    <row r="383" ht="14.1" customHeight="1"/>
    <row r="384" ht="14.1" customHeight="1"/>
    <row r="385" ht="14.1" customHeight="1"/>
    <row r="386" ht="14.1" customHeight="1"/>
    <row r="387" ht="14.1" customHeight="1"/>
    <row r="388" ht="14.1" customHeight="1"/>
    <row r="389" ht="14.1" customHeight="1"/>
    <row r="390" ht="14.1" customHeight="1"/>
    <row r="391" ht="14.1" customHeight="1"/>
    <row r="392" ht="14.1" customHeight="1"/>
    <row r="393" ht="14.1" customHeight="1"/>
    <row r="394" ht="14.1" customHeight="1"/>
    <row r="395" ht="14.1" customHeight="1"/>
    <row r="396" ht="14.1" customHeight="1"/>
    <row r="397" ht="14.1" customHeight="1"/>
    <row r="398" ht="14.1" customHeight="1"/>
    <row r="399" ht="14.1" customHeight="1"/>
    <row r="400" ht="14.1" customHeight="1"/>
    <row r="401" ht="14.1" customHeight="1"/>
    <row r="402" ht="14.1" customHeight="1"/>
    <row r="403" ht="14.1" customHeight="1"/>
    <row r="404" ht="14.1" customHeight="1"/>
    <row r="405" ht="14.1" customHeight="1"/>
    <row r="406" ht="14.1" customHeight="1"/>
    <row r="407" ht="14.1" customHeight="1"/>
    <row r="408" ht="14.1" customHeight="1"/>
    <row r="409" ht="14.1" customHeight="1"/>
    <row r="410" ht="14.1" customHeight="1"/>
    <row r="411" ht="14.1" customHeight="1"/>
    <row r="412" ht="14.1" customHeight="1"/>
    <row r="413" ht="14.1" customHeight="1"/>
    <row r="414" ht="14.1" customHeight="1"/>
    <row r="415" ht="14.1" customHeight="1"/>
    <row r="416" ht="14.1" customHeight="1"/>
    <row r="417" ht="14.1" customHeight="1"/>
    <row r="418" ht="14.1" customHeight="1"/>
    <row r="419" ht="14.1" customHeight="1"/>
    <row r="420" ht="14.1" customHeight="1"/>
    <row r="421" ht="14.1" customHeight="1"/>
    <row r="422" ht="14.1" customHeight="1"/>
    <row r="423" ht="14.1" customHeight="1"/>
    <row r="424" ht="14.1" customHeight="1"/>
    <row r="425" ht="14.1" customHeight="1"/>
    <row r="426" ht="14.1" customHeight="1"/>
    <row r="427" ht="14.1" customHeight="1"/>
    <row r="428" ht="14.1" customHeight="1"/>
    <row r="429" ht="14.1" customHeight="1"/>
    <row r="430" ht="14.1" customHeight="1"/>
    <row r="431" ht="14.1" customHeight="1"/>
    <row r="432" ht="14.1" customHeight="1"/>
    <row r="433" ht="14.1" customHeight="1"/>
    <row r="434" ht="14.1" customHeight="1"/>
    <row r="435" ht="14.1" customHeight="1"/>
    <row r="436" ht="14.1" customHeight="1"/>
    <row r="437" ht="14.1" customHeight="1"/>
    <row r="438" ht="14.1" customHeight="1"/>
    <row r="439" ht="14.1" customHeight="1"/>
    <row r="440" ht="14.1" customHeight="1"/>
    <row r="441" ht="14.1" customHeight="1"/>
    <row r="442" ht="14.1" customHeight="1"/>
    <row r="443" ht="14.1" customHeight="1"/>
    <row r="444" ht="14.1" customHeight="1"/>
    <row r="445" ht="14.1" customHeight="1"/>
    <row r="446" ht="14.1" customHeight="1"/>
    <row r="447" ht="14.1" customHeight="1"/>
    <row r="448" ht="14.1" customHeight="1"/>
    <row r="449" ht="14.1" customHeight="1"/>
    <row r="450" ht="14.1" customHeight="1"/>
    <row r="451" ht="14.1" customHeight="1"/>
    <row r="452" ht="14.1" customHeight="1"/>
    <row r="453" ht="14.1" customHeight="1"/>
    <row r="454" ht="14.1" customHeight="1"/>
    <row r="455" ht="14.1" customHeight="1"/>
    <row r="456" ht="14.1" customHeight="1"/>
    <row r="457" ht="14.1" customHeight="1"/>
    <row r="458" ht="14.1" customHeight="1"/>
    <row r="459" ht="14.1" customHeight="1"/>
    <row r="460" ht="14.1" customHeight="1"/>
    <row r="461" ht="14.1" customHeight="1"/>
    <row r="462" ht="14.1" customHeight="1"/>
    <row r="463" ht="14.1" customHeight="1"/>
    <row r="464" ht="14.1" customHeight="1"/>
    <row r="465" ht="14.1" customHeight="1"/>
    <row r="466" ht="14.1" customHeight="1"/>
    <row r="467" ht="14.1" customHeight="1"/>
    <row r="468" ht="14.1" customHeight="1"/>
    <row r="469" ht="14.1" customHeight="1"/>
    <row r="470" ht="14.1" customHeight="1"/>
    <row r="471" ht="14.1" customHeight="1"/>
    <row r="472" ht="14.1" customHeight="1"/>
    <row r="473" ht="14.1" customHeight="1"/>
    <row r="474" ht="14.1" customHeight="1"/>
    <row r="475" ht="14.1" customHeight="1"/>
    <row r="476" ht="14.1" customHeight="1"/>
    <row r="477" ht="14.1" customHeight="1"/>
    <row r="478" ht="14.1" customHeight="1"/>
    <row r="479" ht="14.1" customHeight="1"/>
    <row r="480" ht="14.1" customHeight="1"/>
    <row r="481" ht="14.1" customHeight="1"/>
    <row r="482" ht="14.1" customHeight="1"/>
    <row r="483" ht="14.1" customHeight="1"/>
    <row r="484" ht="14.1" customHeight="1"/>
    <row r="485" ht="14.1" customHeight="1"/>
    <row r="486" ht="14.1" customHeight="1"/>
    <row r="487" ht="14.1" customHeight="1"/>
    <row r="488" ht="14.1" customHeight="1"/>
    <row r="489" ht="14.1" customHeight="1"/>
    <row r="490" ht="14.1" customHeight="1"/>
    <row r="491" ht="14.1" customHeight="1"/>
    <row r="492" ht="14.1" customHeight="1"/>
    <row r="493" ht="14.1" customHeight="1"/>
    <row r="494" ht="14.1" customHeight="1"/>
    <row r="495" ht="14.1" customHeight="1"/>
    <row r="496" ht="14.1" customHeight="1"/>
    <row r="497" ht="14.1" customHeight="1"/>
    <row r="498" ht="14.1" customHeight="1"/>
    <row r="499" ht="14.1" customHeight="1"/>
    <row r="500" ht="14.1" customHeight="1"/>
    <row r="501" ht="14.1" customHeight="1"/>
    <row r="502" ht="14.1" customHeight="1"/>
    <row r="503" ht="14.1" customHeight="1"/>
    <row r="504" ht="14.1" customHeight="1"/>
    <row r="505" ht="14.1" customHeight="1"/>
    <row r="506" ht="14.1" customHeight="1"/>
    <row r="507" ht="14.1" customHeight="1"/>
    <row r="508" ht="14.1" customHeight="1"/>
    <row r="509" ht="14.1" customHeight="1"/>
    <row r="510" ht="14.1" customHeight="1"/>
    <row r="511" ht="14.1" customHeight="1"/>
    <row r="512" ht="14.1" customHeight="1"/>
    <row r="513" ht="14.1" customHeight="1"/>
    <row r="514" ht="14.1" customHeight="1"/>
    <row r="515" ht="14.1" customHeight="1"/>
    <row r="516" ht="14.1" customHeight="1"/>
    <row r="517" ht="14.1" customHeight="1"/>
    <row r="518" ht="14.1" customHeight="1"/>
    <row r="519" ht="14.1" customHeight="1"/>
    <row r="520" ht="14.1" customHeight="1"/>
    <row r="521" ht="14.1" customHeight="1"/>
    <row r="522" ht="14.1" customHeight="1"/>
    <row r="523" ht="14.1" customHeight="1"/>
    <row r="524" ht="14.1" customHeight="1"/>
    <row r="525" ht="14.1" customHeight="1"/>
    <row r="526" ht="14.1" customHeight="1"/>
    <row r="527" ht="14.1" customHeight="1"/>
    <row r="528" ht="14.1" customHeight="1"/>
    <row r="529" ht="14.1" customHeight="1"/>
    <row r="530" ht="14.1" customHeight="1"/>
    <row r="531" ht="14.1" customHeight="1"/>
    <row r="532" ht="14.1" customHeight="1"/>
    <row r="533" ht="14.1" customHeight="1"/>
    <row r="534" ht="14.1" customHeight="1"/>
    <row r="535" ht="14.1" customHeight="1"/>
    <row r="536" ht="14.1" customHeight="1"/>
    <row r="537" ht="14.1" customHeight="1"/>
    <row r="538" ht="14.1" customHeight="1"/>
    <row r="539" ht="14.1" customHeight="1"/>
    <row r="540" ht="14.1" customHeight="1"/>
    <row r="541" ht="14.1" customHeight="1"/>
    <row r="542" ht="14.1" customHeight="1"/>
    <row r="543" ht="14.1" customHeight="1"/>
    <row r="544" ht="14.1" customHeight="1"/>
    <row r="545" ht="14.1" customHeight="1"/>
    <row r="546" ht="14.1" customHeight="1"/>
    <row r="547" ht="14.1" customHeight="1"/>
    <row r="548" ht="14.1" customHeight="1"/>
    <row r="549" ht="14.1" customHeight="1"/>
    <row r="550" ht="14.1" customHeight="1"/>
    <row r="551" ht="14.1" customHeight="1"/>
    <row r="552" ht="14.1" customHeight="1"/>
    <row r="553" ht="14.1" customHeight="1"/>
    <row r="554" ht="14.1" customHeight="1"/>
    <row r="555" ht="14.1" customHeight="1"/>
    <row r="556" ht="14.1" customHeight="1"/>
    <row r="557" ht="14.1" customHeight="1"/>
    <row r="558" ht="14.1" customHeight="1"/>
    <row r="559" ht="14.1" customHeight="1"/>
    <row r="560" ht="14.1" customHeight="1"/>
    <row r="561" ht="14.1" customHeight="1"/>
    <row r="562" ht="14.1" customHeight="1"/>
    <row r="563" ht="14.1" customHeight="1"/>
    <row r="564" ht="14.1" customHeight="1"/>
    <row r="565" ht="14.1" customHeight="1"/>
    <row r="566" ht="14.1" customHeight="1"/>
    <row r="567" ht="14.1" customHeight="1"/>
    <row r="568" ht="14.1" customHeight="1"/>
    <row r="569" ht="14.1" customHeight="1"/>
    <row r="570" ht="14.1" customHeight="1"/>
    <row r="571" ht="14.1" customHeight="1"/>
    <row r="572" ht="14.1" customHeight="1"/>
    <row r="573" ht="14.1" customHeight="1"/>
    <row r="574" ht="14.1" customHeight="1"/>
    <row r="575" ht="14.1" customHeight="1"/>
    <row r="576" ht="14.1" customHeight="1"/>
    <row r="577" ht="14.1" customHeight="1"/>
    <row r="578" ht="14.1" customHeight="1"/>
    <row r="579" ht="14.1" customHeight="1"/>
    <row r="580" ht="14.1" customHeight="1"/>
    <row r="581" ht="14.1" customHeight="1"/>
    <row r="582" ht="14.1" customHeight="1"/>
    <row r="583" ht="14.1" customHeight="1"/>
    <row r="584" ht="14.1" customHeight="1"/>
    <row r="585" ht="14.1" customHeight="1"/>
    <row r="586" ht="14.1" customHeight="1"/>
    <row r="587" ht="14.1" customHeight="1"/>
    <row r="588" ht="14.1" customHeight="1"/>
    <row r="589" ht="14.1" customHeight="1"/>
    <row r="590" ht="14.1" customHeight="1"/>
    <row r="591" ht="14.1" customHeight="1"/>
    <row r="592" ht="14.1" customHeight="1"/>
    <row r="593" ht="14.1" customHeight="1"/>
    <row r="594" ht="14.1" customHeight="1"/>
    <row r="595" ht="14.1" customHeight="1"/>
    <row r="596" ht="14.1" customHeight="1"/>
    <row r="597" ht="14.1" customHeight="1"/>
    <row r="598" ht="14.1" customHeight="1"/>
    <row r="599" ht="14.1" customHeight="1"/>
    <row r="600" ht="14.1" customHeight="1"/>
    <row r="601" ht="14.1" customHeight="1"/>
    <row r="602" ht="14.1" customHeight="1"/>
    <row r="603" ht="14.1" customHeight="1"/>
    <row r="604" ht="14.1" customHeight="1"/>
    <row r="605" ht="14.1" customHeight="1"/>
    <row r="606" ht="14.1" customHeight="1"/>
    <row r="607" ht="14.1" customHeight="1"/>
    <row r="608" ht="14.1" customHeight="1"/>
    <row r="609" ht="14.1" customHeight="1"/>
    <row r="610" ht="14.1" customHeight="1"/>
    <row r="611" ht="14.1" customHeight="1"/>
    <row r="612" ht="14.1" customHeight="1"/>
    <row r="613" ht="14.1" customHeight="1"/>
    <row r="614" ht="14.1" customHeight="1"/>
    <row r="615" ht="14.1" customHeight="1"/>
    <row r="616" ht="14.1" customHeight="1"/>
    <row r="617" ht="14.1" customHeight="1"/>
    <row r="618" ht="14.1" customHeight="1"/>
    <row r="619" ht="14.1" customHeight="1"/>
    <row r="620" ht="14.1" customHeight="1"/>
    <row r="621" ht="14.1" customHeight="1"/>
    <row r="622" ht="14.1" customHeight="1"/>
    <row r="623" ht="14.1" customHeight="1"/>
    <row r="624" ht="14.1" customHeight="1"/>
    <row r="625" ht="14.1" customHeight="1"/>
    <row r="626" ht="14.1" customHeight="1"/>
    <row r="627" ht="14.1" customHeight="1"/>
    <row r="628" ht="14.1" customHeight="1"/>
    <row r="629" ht="14.1" customHeight="1"/>
    <row r="630" ht="14.1" customHeight="1"/>
    <row r="631" ht="14.1" customHeight="1"/>
    <row r="632" ht="14.1" customHeight="1"/>
    <row r="633" ht="14.1" customHeight="1"/>
    <row r="634" ht="14.1" customHeight="1"/>
    <row r="635" ht="14.1" customHeight="1"/>
    <row r="636" ht="14.1" customHeight="1"/>
    <row r="637" ht="14.1" customHeight="1"/>
    <row r="638" ht="14.1" customHeight="1"/>
    <row r="639" ht="14.1" customHeight="1"/>
    <row r="640" ht="14.1" customHeight="1"/>
    <row r="641" ht="14.1" customHeight="1"/>
    <row r="642" ht="14.1" customHeight="1"/>
    <row r="643" ht="14.1" customHeight="1"/>
    <row r="644" ht="14.1" customHeight="1"/>
    <row r="645" ht="14.1" customHeight="1"/>
    <row r="646" ht="14.1" customHeight="1"/>
    <row r="647" ht="14.1" customHeight="1"/>
    <row r="648" ht="14.1" customHeight="1"/>
    <row r="649" ht="14.1" customHeight="1"/>
    <row r="650" ht="14.1" customHeight="1"/>
    <row r="651" ht="14.1" customHeight="1"/>
    <row r="652" ht="14.1" customHeight="1"/>
    <row r="653" ht="14.1" customHeight="1"/>
    <row r="654" ht="14.1" customHeight="1"/>
    <row r="655" ht="14.1" customHeight="1"/>
    <row r="656" ht="14.1" customHeight="1"/>
    <row r="657" ht="14.1" customHeight="1"/>
    <row r="658" ht="14.1" customHeight="1"/>
    <row r="659" ht="14.1" customHeight="1"/>
    <row r="660" ht="14.1" customHeight="1"/>
    <row r="661" ht="14.1" customHeight="1"/>
    <row r="662" ht="14.1" customHeight="1"/>
    <row r="663" ht="14.1" customHeight="1"/>
    <row r="664" ht="14.1" customHeight="1"/>
    <row r="665" ht="14.1" customHeight="1"/>
    <row r="666" ht="14.1" customHeight="1"/>
    <row r="667" ht="14.1" customHeight="1"/>
    <row r="668" ht="14.1" customHeight="1"/>
    <row r="669" ht="14.1" customHeight="1"/>
    <row r="670" ht="14.1" customHeight="1"/>
    <row r="671" ht="14.1" customHeight="1"/>
    <row r="672" ht="14.1" customHeight="1"/>
    <row r="673" ht="14.1" customHeight="1"/>
    <row r="674" ht="14.1" customHeight="1"/>
    <row r="675" ht="14.1" customHeight="1"/>
    <row r="676" ht="14.1" customHeight="1"/>
    <row r="677" ht="14.1" customHeight="1"/>
    <row r="678" ht="14.1" customHeight="1"/>
    <row r="679" ht="14.1" customHeight="1"/>
    <row r="680" ht="14.1" customHeight="1"/>
    <row r="681" ht="14.1" customHeight="1"/>
    <row r="682" ht="14.1" customHeight="1"/>
    <row r="683" ht="14.1" customHeight="1"/>
    <row r="684" ht="14.1" customHeight="1"/>
    <row r="685" ht="14.1" customHeight="1"/>
    <row r="686" ht="14.1" customHeight="1"/>
    <row r="687" ht="14.1" customHeight="1"/>
    <row r="688" ht="14.1" customHeight="1"/>
    <row r="689" ht="14.1" customHeight="1"/>
    <row r="690" ht="14.1" customHeight="1"/>
    <row r="691" ht="14.1" customHeight="1"/>
    <row r="692" ht="14.1" customHeight="1"/>
    <row r="693" ht="14.1" customHeight="1"/>
    <row r="694" ht="14.1" customHeight="1"/>
    <row r="695" ht="14.1" customHeight="1"/>
    <row r="696" ht="14.1" customHeight="1"/>
    <row r="697" ht="14.1" customHeight="1"/>
    <row r="698" ht="14.1" customHeight="1"/>
    <row r="699" ht="14.1" customHeight="1"/>
    <row r="700" ht="14.1" customHeight="1"/>
    <row r="701" ht="14.1" customHeight="1"/>
    <row r="702" ht="14.1" customHeight="1"/>
    <row r="703" ht="14.1" customHeight="1"/>
    <row r="704" ht="14.1" customHeight="1"/>
    <row r="705" ht="14.1" customHeight="1"/>
    <row r="706" ht="14.1" customHeight="1"/>
    <row r="707" ht="14.1" customHeight="1"/>
    <row r="708" ht="14.1" customHeight="1"/>
    <row r="709" ht="14.1" customHeight="1"/>
    <row r="710" ht="14.1" customHeight="1"/>
    <row r="711" ht="14.1" customHeight="1"/>
    <row r="712" ht="14.1" customHeight="1"/>
    <row r="713" ht="14.1" customHeight="1"/>
    <row r="714" ht="14.1" customHeight="1"/>
    <row r="715" ht="14.1" customHeight="1"/>
    <row r="716" ht="14.1" customHeight="1"/>
    <row r="717" ht="14.1" customHeight="1"/>
    <row r="718" ht="14.1" customHeight="1"/>
    <row r="719" ht="14.1" customHeight="1"/>
    <row r="720" ht="14.1" customHeight="1"/>
    <row r="721" ht="14.1" customHeight="1"/>
    <row r="722" ht="14.1" customHeight="1"/>
    <row r="723" ht="14.1" customHeight="1"/>
    <row r="724" ht="14.1" customHeight="1"/>
    <row r="725" ht="14.1" customHeight="1"/>
    <row r="726" ht="14.1" customHeight="1"/>
    <row r="727" ht="14.1" customHeight="1"/>
    <row r="728" ht="14.1" customHeight="1"/>
    <row r="729" ht="14.1" customHeight="1"/>
    <row r="730" ht="14.1" customHeight="1"/>
    <row r="731" ht="14.1" customHeight="1"/>
    <row r="732" ht="14.1" customHeight="1"/>
    <row r="733" ht="14.1" customHeight="1"/>
    <row r="734" ht="14.1" customHeight="1"/>
    <row r="735" ht="14.1" customHeight="1"/>
    <row r="736" ht="14.1" customHeight="1"/>
    <row r="737" ht="14.1" customHeight="1"/>
    <row r="738" ht="14.1" customHeight="1"/>
    <row r="739" ht="14.1" customHeight="1"/>
    <row r="740" ht="14.1" customHeight="1"/>
    <row r="741" ht="14.1" customHeight="1"/>
    <row r="742" ht="14.1" customHeight="1"/>
    <row r="743" ht="14.1" customHeight="1"/>
    <row r="744" ht="14.1" customHeight="1"/>
    <row r="745" ht="14.1" customHeight="1"/>
    <row r="746" ht="14.1" customHeight="1"/>
    <row r="747" ht="14.1" customHeight="1"/>
    <row r="748" ht="14.1" customHeight="1"/>
    <row r="749" ht="14.1" customHeight="1"/>
    <row r="750" ht="14.1" customHeight="1"/>
    <row r="751" ht="14.1" customHeight="1"/>
    <row r="752" ht="14.1" customHeight="1"/>
    <row r="753" ht="14.1" customHeight="1"/>
    <row r="754" ht="14.1" customHeight="1"/>
    <row r="755" ht="14.1" customHeight="1"/>
    <row r="756" ht="14.1" customHeight="1"/>
    <row r="757" ht="14.1" customHeight="1"/>
    <row r="758" ht="14.1" customHeight="1"/>
    <row r="759" ht="14.1" customHeight="1"/>
    <row r="760" ht="14.1" customHeight="1"/>
    <row r="761" ht="14.1" customHeight="1"/>
    <row r="762" ht="14.1" customHeight="1"/>
    <row r="763" ht="14.1" customHeight="1"/>
    <row r="764" ht="14.1" customHeight="1"/>
    <row r="765" ht="14.1" customHeight="1"/>
    <row r="766" ht="14.1" customHeight="1"/>
    <row r="767" ht="14.1" customHeight="1"/>
    <row r="768" ht="14.1" customHeight="1"/>
    <row r="769" ht="14.1" customHeight="1"/>
    <row r="770" ht="14.1" customHeight="1"/>
    <row r="771" ht="14.1" customHeight="1"/>
    <row r="772" ht="14.1" customHeight="1"/>
    <row r="773" ht="14.1" customHeight="1"/>
    <row r="774" ht="14.1" customHeight="1"/>
    <row r="775" ht="14.1" customHeight="1"/>
    <row r="776" ht="14.1" customHeight="1"/>
    <row r="777" ht="14.1" customHeight="1"/>
    <row r="778" ht="14.1" customHeight="1"/>
    <row r="779" ht="14.1" customHeight="1"/>
    <row r="780" ht="14.1" customHeight="1"/>
    <row r="781" ht="14.1" customHeight="1"/>
    <row r="782" ht="14.1" customHeight="1"/>
    <row r="783" ht="14.1" customHeight="1"/>
    <row r="784" ht="14.1" customHeight="1"/>
    <row r="785" ht="14.1" customHeight="1"/>
    <row r="786" ht="14.1" customHeight="1"/>
    <row r="787" ht="14.1" customHeight="1"/>
    <row r="788" ht="14.1" customHeight="1"/>
    <row r="789" ht="14.1" customHeight="1"/>
    <row r="790" ht="14.1" customHeight="1"/>
    <row r="791" ht="14.1" customHeight="1"/>
    <row r="792" ht="14.1" customHeight="1"/>
    <row r="793" ht="14.1" customHeight="1"/>
  </sheetData>
  <conditionalFormatting sqref="G63:G64">
    <cfRule type="duplicateValues" dxfId="3" priority="3"/>
  </conditionalFormatting>
  <conditionalFormatting sqref="G67:G68">
    <cfRule type="duplicateValues" dxfId="2" priority="4"/>
  </conditionalFormatting>
  <pageMargins left="0.7" right="0.7" top="0.75" bottom="0.75" header="0.3" footer="0.3"/>
  <pageSetup paperSize="9" orientation="portrait"/>
  <headerFooter>
    <oddFooter>&amp;L&amp;"Arial"&amp;7 &amp;KDAD4CE_x000D_# Internal_x000D_&amp;1#&amp;"Arial"&amp;7&amp;KDAD4CE Public</oddFooter>
  </headerFooter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12">
    <tabColor rgb="FF92D050"/>
    <pageSetUpPr fitToPage="1"/>
  </sheetPr>
  <dimension ref="A1:U793"/>
  <sheetViews>
    <sheetView zoomScale="80" zoomScaleNormal="80" workbookViewId="0">
      <pane ySplit="4" topLeftCell="A5" activePane="bottomLeft" state="frozen"/>
      <selection activeCell="A16" sqref="A16"/>
      <selection pane="bottomLeft" activeCell="A16" sqref="A16"/>
    </sheetView>
  </sheetViews>
  <sheetFormatPr defaultColWidth="8.85546875" defaultRowHeight="15" customHeight="1"/>
  <cols>
    <col min="1" max="1" width="4.140625" style="3" customWidth="1"/>
    <col min="2" max="3" width="8.5703125" style="20" customWidth="1"/>
    <col min="4" max="4" width="14.5703125" style="3" customWidth="1"/>
    <col min="5" max="5" width="20.5703125" style="20" customWidth="1"/>
    <col min="6" max="6" width="8.5703125" style="3" customWidth="1"/>
    <col min="7" max="7" width="32.5703125" style="2" customWidth="1"/>
    <col min="8" max="8" width="18.5703125" style="3" customWidth="1"/>
    <col min="9" max="9" width="62.5703125" style="2" customWidth="1"/>
    <col min="10" max="12" width="9.5703125" style="3" customWidth="1"/>
    <col min="13" max="13" width="10.5703125" style="3" customWidth="1"/>
    <col min="14" max="14" width="8.5703125" style="3" customWidth="1"/>
    <col min="15" max="15" width="10.5703125" style="3" customWidth="1"/>
    <col min="16" max="16" width="5.5703125" style="3" customWidth="1"/>
    <col min="17" max="17" width="1.5703125" style="2" customWidth="1"/>
    <col min="18" max="18" width="10.5703125" style="30" customWidth="1"/>
    <col min="19" max="19" width="1.5703125" style="2" customWidth="1"/>
    <col min="20" max="21" width="10.5703125" style="2" customWidth="1"/>
    <col min="22" max="199" width="8.85546875" style="2" customWidth="1"/>
    <col min="200" max="200" width="8.140625" style="2" customWidth="1"/>
    <col min="201" max="201" width="14.42578125" style="2" customWidth="1"/>
    <col min="202" max="202" width="37.42578125" style="2" customWidth="1"/>
    <col min="203" max="203" width="63.140625" style="2" customWidth="1"/>
    <col min="204" max="204" width="20" style="2" customWidth="1"/>
    <col min="205" max="205" width="11.140625" style="2" customWidth="1"/>
    <col min="206" max="206" width="10.85546875" style="2" customWidth="1"/>
    <col min="207" max="207" width="21" style="2" customWidth="1"/>
    <col min="208" max="208" width="10.85546875" style="2" customWidth="1"/>
    <col min="209" max="209" width="17.42578125" style="2" customWidth="1"/>
    <col min="210" max="210" width="14.85546875" style="2" customWidth="1"/>
    <col min="211" max="211" width="15" style="2" customWidth="1"/>
    <col min="212" max="212" width="14.85546875" style="2" customWidth="1"/>
    <col min="213" max="213" width="7.140625" style="2" customWidth="1"/>
    <col min="214" max="215" width="20.140625" style="2" customWidth="1"/>
    <col min="216" max="216" width="18.42578125" style="2" customWidth="1"/>
    <col min="217" max="217" width="9.140625" style="2" customWidth="1"/>
    <col min="218" max="218" width="12" style="2" customWidth="1"/>
    <col min="219" max="219" width="14.85546875" style="2" customWidth="1"/>
    <col min="220" max="220" width="22.42578125" style="2" customWidth="1"/>
    <col min="221" max="221" width="14.85546875" style="2" customWidth="1"/>
    <col min="222" max="222" width="7.140625" style="2" customWidth="1"/>
    <col min="223" max="223" width="20.140625" style="2" customWidth="1"/>
    <col min="224" max="455" width="8.85546875" style="2" customWidth="1"/>
    <col min="456" max="456" width="8.140625" style="2" customWidth="1"/>
    <col min="457" max="457" width="14.42578125" style="2" customWidth="1"/>
    <col min="458" max="458" width="37.42578125" style="2" customWidth="1"/>
    <col min="459" max="459" width="63.140625" style="2" customWidth="1"/>
    <col min="460" max="460" width="20" style="2" customWidth="1"/>
    <col min="461" max="461" width="11.140625" style="2" customWidth="1"/>
    <col min="462" max="462" width="10.85546875" style="2" customWidth="1"/>
    <col min="463" max="463" width="21" style="2" customWidth="1"/>
    <col min="464" max="464" width="10.85546875" style="2" customWidth="1"/>
    <col min="465" max="465" width="17.42578125" style="2" customWidth="1"/>
    <col min="466" max="466" width="14.85546875" style="2" customWidth="1"/>
    <col min="467" max="467" width="15" style="2" customWidth="1"/>
    <col min="468" max="468" width="14.85546875" style="2" customWidth="1"/>
    <col min="469" max="469" width="7.140625" style="2" customWidth="1"/>
    <col min="470" max="471" width="20.140625" style="2" customWidth="1"/>
    <col min="472" max="472" width="18.42578125" style="2" customWidth="1"/>
    <col min="473" max="473" width="9.140625" style="2" customWidth="1"/>
    <col min="474" max="474" width="12" style="2" customWidth="1"/>
    <col min="475" max="475" width="14.85546875" style="2" customWidth="1"/>
    <col min="476" max="476" width="22.42578125" style="2" customWidth="1"/>
    <col min="477" max="477" width="14.85546875" style="2" customWidth="1"/>
    <col min="478" max="478" width="7.140625" style="2" customWidth="1"/>
    <col min="479" max="479" width="20.140625" style="2" customWidth="1"/>
    <col min="480" max="711" width="8.85546875" style="2" customWidth="1"/>
    <col min="712" max="712" width="8.140625" style="2" customWidth="1"/>
    <col min="713" max="713" width="14.42578125" style="2" customWidth="1"/>
    <col min="714" max="714" width="37.42578125" style="2" customWidth="1"/>
    <col min="715" max="715" width="63.140625" style="2" customWidth="1"/>
    <col min="716" max="716" width="20" style="2" customWidth="1"/>
    <col min="717" max="717" width="11.140625" style="2" customWidth="1"/>
    <col min="718" max="718" width="10.85546875" style="2" customWidth="1"/>
    <col min="719" max="719" width="21" style="2" customWidth="1"/>
    <col min="720" max="720" width="10.85546875" style="2" customWidth="1"/>
    <col min="721" max="721" width="17.42578125" style="2" customWidth="1"/>
    <col min="722" max="722" width="14.85546875" style="2" customWidth="1"/>
    <col min="723" max="723" width="15" style="2" customWidth="1"/>
    <col min="724" max="724" width="14.85546875" style="2" customWidth="1"/>
    <col min="725" max="725" width="7.140625" style="2" customWidth="1"/>
    <col min="726" max="727" width="20.140625" style="2" customWidth="1"/>
    <col min="728" max="728" width="18.42578125" style="2" customWidth="1"/>
    <col min="729" max="729" width="9.140625" style="2" customWidth="1"/>
    <col min="730" max="730" width="12" style="2" customWidth="1"/>
    <col min="731" max="731" width="14.85546875" style="2" customWidth="1"/>
    <col min="732" max="732" width="22.42578125" style="2" customWidth="1"/>
    <col min="733" max="733" width="14.85546875" style="2" customWidth="1"/>
    <col min="734" max="734" width="7.140625" style="2" customWidth="1"/>
    <col min="735" max="735" width="20.140625" style="2" customWidth="1"/>
    <col min="736" max="967" width="8.85546875" style="2" customWidth="1"/>
    <col min="968" max="968" width="8.140625" style="2" customWidth="1"/>
    <col min="969" max="969" width="14.42578125" style="2" customWidth="1"/>
    <col min="970" max="970" width="37.42578125" style="2" customWidth="1"/>
    <col min="971" max="971" width="63.140625" style="2" customWidth="1"/>
    <col min="972" max="972" width="20" style="2" customWidth="1"/>
    <col min="973" max="973" width="11.140625" style="2" customWidth="1"/>
    <col min="974" max="974" width="10.85546875" style="2" customWidth="1"/>
    <col min="975" max="975" width="21" style="2" customWidth="1"/>
    <col min="976" max="976" width="10.85546875" style="2" customWidth="1"/>
    <col min="977" max="977" width="17.42578125" style="2" customWidth="1"/>
    <col min="978" max="978" width="14.85546875" style="2" customWidth="1"/>
    <col min="979" max="979" width="15" style="2" customWidth="1"/>
    <col min="980" max="980" width="14.85546875" style="2" customWidth="1"/>
    <col min="981" max="981" width="7.140625" style="2" customWidth="1"/>
    <col min="982" max="983" width="20.140625" style="2" customWidth="1"/>
    <col min="984" max="984" width="18.42578125" style="2" customWidth="1"/>
    <col min="985" max="985" width="9.140625" style="2" customWidth="1"/>
    <col min="986" max="986" width="12" style="2" customWidth="1"/>
    <col min="987" max="987" width="14.85546875" style="2" customWidth="1"/>
    <col min="988" max="988" width="22.42578125" style="2" customWidth="1"/>
    <col min="989" max="989" width="14.85546875" style="2" customWidth="1"/>
    <col min="990" max="990" width="7.140625" style="2" customWidth="1"/>
    <col min="991" max="991" width="20.140625" style="2" customWidth="1"/>
    <col min="992" max="1223" width="8.85546875" style="2" customWidth="1"/>
    <col min="1224" max="1224" width="8.140625" style="2" customWidth="1"/>
    <col min="1225" max="1225" width="14.42578125" style="2" customWidth="1"/>
    <col min="1226" max="1226" width="37.42578125" style="2" customWidth="1"/>
    <col min="1227" max="1227" width="63.140625" style="2" customWidth="1"/>
    <col min="1228" max="1228" width="20" style="2" customWidth="1"/>
    <col min="1229" max="1229" width="11.140625" style="2" customWidth="1"/>
    <col min="1230" max="1230" width="10.85546875" style="2" customWidth="1"/>
    <col min="1231" max="1231" width="21" style="2" customWidth="1"/>
    <col min="1232" max="1232" width="10.85546875" style="2" customWidth="1"/>
    <col min="1233" max="1233" width="17.42578125" style="2" customWidth="1"/>
    <col min="1234" max="1234" width="14.85546875" style="2" customWidth="1"/>
    <col min="1235" max="1235" width="15" style="2" customWidth="1"/>
    <col min="1236" max="1236" width="14.85546875" style="2" customWidth="1"/>
    <col min="1237" max="1237" width="7.140625" style="2" customWidth="1"/>
    <col min="1238" max="1239" width="20.140625" style="2" customWidth="1"/>
    <col min="1240" max="1240" width="18.42578125" style="2" customWidth="1"/>
    <col min="1241" max="1241" width="9.140625" style="2" customWidth="1"/>
    <col min="1242" max="1242" width="12" style="2" customWidth="1"/>
    <col min="1243" max="1243" width="14.85546875" style="2" customWidth="1"/>
    <col min="1244" max="1244" width="22.42578125" style="2" customWidth="1"/>
    <col min="1245" max="1245" width="14.85546875" style="2" customWidth="1"/>
    <col min="1246" max="1246" width="7.140625" style="2" customWidth="1"/>
    <col min="1247" max="1247" width="20.140625" style="2" customWidth="1"/>
    <col min="1248" max="1479" width="8.85546875" style="2" customWidth="1"/>
    <col min="1480" max="1480" width="8.140625" style="2" customWidth="1"/>
    <col min="1481" max="1481" width="14.42578125" style="2" customWidth="1"/>
    <col min="1482" max="1482" width="37.42578125" style="2" customWidth="1"/>
    <col min="1483" max="1483" width="63.140625" style="2" customWidth="1"/>
    <col min="1484" max="1484" width="20" style="2" customWidth="1"/>
    <col min="1485" max="1485" width="11.140625" style="2" customWidth="1"/>
    <col min="1486" max="1486" width="10.85546875" style="2" customWidth="1"/>
    <col min="1487" max="1487" width="21" style="2" customWidth="1"/>
    <col min="1488" max="1488" width="10.85546875" style="2" customWidth="1"/>
    <col min="1489" max="1489" width="17.42578125" style="2" customWidth="1"/>
    <col min="1490" max="1490" width="14.85546875" style="2" customWidth="1"/>
    <col min="1491" max="1491" width="15" style="2" customWidth="1"/>
    <col min="1492" max="1492" width="14.85546875" style="2" customWidth="1"/>
    <col min="1493" max="1493" width="7.140625" style="2" customWidth="1"/>
    <col min="1494" max="1495" width="20.140625" style="2" customWidth="1"/>
    <col min="1496" max="1496" width="18.42578125" style="2" customWidth="1"/>
    <col min="1497" max="1497" width="9.140625" style="2" customWidth="1"/>
    <col min="1498" max="1498" width="12" style="2" customWidth="1"/>
    <col min="1499" max="1499" width="14.85546875" style="2" customWidth="1"/>
    <col min="1500" max="1500" width="22.42578125" style="2" customWidth="1"/>
    <col min="1501" max="1501" width="14.85546875" style="2" customWidth="1"/>
    <col min="1502" max="1502" width="7.140625" style="2" customWidth="1"/>
    <col min="1503" max="1503" width="20.140625" style="2" customWidth="1"/>
    <col min="1504" max="1735" width="8.85546875" style="2" customWidth="1"/>
    <col min="1736" max="1736" width="8.140625" style="2" customWidth="1"/>
    <col min="1737" max="1737" width="14.42578125" style="2" customWidth="1"/>
    <col min="1738" max="1738" width="37.42578125" style="2" customWidth="1"/>
    <col min="1739" max="1739" width="63.140625" style="2" customWidth="1"/>
    <col min="1740" max="1740" width="20" style="2" customWidth="1"/>
    <col min="1741" max="1741" width="11.140625" style="2" customWidth="1"/>
    <col min="1742" max="1742" width="10.85546875" style="2" customWidth="1"/>
    <col min="1743" max="1743" width="21" style="2" customWidth="1"/>
    <col min="1744" max="1744" width="10.85546875" style="2" customWidth="1"/>
    <col min="1745" max="1745" width="17.42578125" style="2" customWidth="1"/>
    <col min="1746" max="1746" width="14.85546875" style="2" customWidth="1"/>
    <col min="1747" max="1747" width="15" style="2" customWidth="1"/>
    <col min="1748" max="1748" width="14.85546875" style="2" customWidth="1"/>
    <col min="1749" max="1749" width="7.140625" style="2" customWidth="1"/>
    <col min="1750" max="1751" width="20.140625" style="2" customWidth="1"/>
    <col min="1752" max="1752" width="18.42578125" style="2" customWidth="1"/>
    <col min="1753" max="1753" width="9.140625" style="2" customWidth="1"/>
    <col min="1754" max="1754" width="12" style="2" customWidth="1"/>
    <col min="1755" max="1755" width="14.85546875" style="2" customWidth="1"/>
    <col min="1756" max="1756" width="22.42578125" style="2" customWidth="1"/>
    <col min="1757" max="1757" width="14.85546875" style="2" customWidth="1"/>
    <col min="1758" max="1758" width="7.140625" style="2" customWidth="1"/>
    <col min="1759" max="1759" width="20.140625" style="2" customWidth="1"/>
    <col min="1760" max="1991" width="8.85546875" style="2" customWidth="1"/>
    <col min="1992" max="1992" width="8.140625" style="2" customWidth="1"/>
    <col min="1993" max="1993" width="14.42578125" style="2" customWidth="1"/>
    <col min="1994" max="1994" width="37.42578125" style="2" customWidth="1"/>
    <col min="1995" max="1995" width="63.140625" style="2" customWidth="1"/>
    <col min="1996" max="1996" width="20" style="2" customWidth="1"/>
    <col min="1997" max="1997" width="11.140625" style="2" customWidth="1"/>
    <col min="1998" max="1998" width="10.85546875" style="2" customWidth="1"/>
    <col min="1999" max="1999" width="21" style="2" customWidth="1"/>
    <col min="2000" max="2000" width="10.85546875" style="2" customWidth="1"/>
    <col min="2001" max="2001" width="17.42578125" style="2" customWidth="1"/>
    <col min="2002" max="2002" width="14.85546875" style="2" customWidth="1"/>
    <col min="2003" max="2003" width="15" style="2" customWidth="1"/>
    <col min="2004" max="2004" width="14.85546875" style="2" customWidth="1"/>
    <col min="2005" max="2005" width="7.140625" style="2" customWidth="1"/>
    <col min="2006" max="2007" width="20.140625" style="2" customWidth="1"/>
    <col min="2008" max="2008" width="18.42578125" style="2" customWidth="1"/>
    <col min="2009" max="2009" width="9.140625" style="2" customWidth="1"/>
    <col min="2010" max="2010" width="12" style="2" customWidth="1"/>
    <col min="2011" max="2011" width="14.85546875" style="2" customWidth="1"/>
    <col min="2012" max="2012" width="22.42578125" style="2" customWidth="1"/>
    <col min="2013" max="2013" width="14.85546875" style="2" customWidth="1"/>
    <col min="2014" max="2014" width="7.140625" style="2" customWidth="1"/>
    <col min="2015" max="2015" width="20.140625" style="2" customWidth="1"/>
    <col min="2016" max="2247" width="8.85546875" style="2" customWidth="1"/>
    <col min="2248" max="2248" width="8.140625" style="2" customWidth="1"/>
    <col min="2249" max="2249" width="14.42578125" style="2" customWidth="1"/>
    <col min="2250" max="2250" width="37.42578125" style="2" customWidth="1"/>
    <col min="2251" max="2251" width="63.140625" style="2" customWidth="1"/>
    <col min="2252" max="2252" width="20" style="2" customWidth="1"/>
    <col min="2253" max="2253" width="11.140625" style="2" customWidth="1"/>
    <col min="2254" max="2254" width="10.85546875" style="2" customWidth="1"/>
    <col min="2255" max="2255" width="21" style="2" customWidth="1"/>
    <col min="2256" max="2256" width="10.85546875" style="2" customWidth="1"/>
    <col min="2257" max="2257" width="17.42578125" style="2" customWidth="1"/>
    <col min="2258" max="2258" width="14.85546875" style="2" customWidth="1"/>
    <col min="2259" max="2259" width="15" style="2" customWidth="1"/>
    <col min="2260" max="2260" width="14.85546875" style="2" customWidth="1"/>
    <col min="2261" max="2261" width="7.140625" style="2" customWidth="1"/>
    <col min="2262" max="2263" width="20.140625" style="2" customWidth="1"/>
    <col min="2264" max="2264" width="18.42578125" style="2" customWidth="1"/>
    <col min="2265" max="2265" width="9.140625" style="2" customWidth="1"/>
    <col min="2266" max="2266" width="12" style="2" customWidth="1"/>
    <col min="2267" max="2267" width="14.85546875" style="2" customWidth="1"/>
    <col min="2268" max="2268" width="22.42578125" style="2" customWidth="1"/>
    <col min="2269" max="2269" width="14.85546875" style="2" customWidth="1"/>
    <col min="2270" max="2270" width="7.140625" style="2" customWidth="1"/>
    <col min="2271" max="2271" width="20.140625" style="2" customWidth="1"/>
    <col min="2272" max="2503" width="8.85546875" style="2" customWidth="1"/>
    <col min="2504" max="2504" width="8.140625" style="2" customWidth="1"/>
    <col min="2505" max="2505" width="14.42578125" style="2" customWidth="1"/>
    <col min="2506" max="2506" width="37.42578125" style="2" customWidth="1"/>
    <col min="2507" max="2507" width="63.140625" style="2" customWidth="1"/>
    <col min="2508" max="2508" width="20" style="2" customWidth="1"/>
    <col min="2509" max="2509" width="11.140625" style="2" customWidth="1"/>
    <col min="2510" max="2510" width="10.85546875" style="2" customWidth="1"/>
    <col min="2511" max="2511" width="21" style="2" customWidth="1"/>
    <col min="2512" max="2512" width="10.85546875" style="2" customWidth="1"/>
    <col min="2513" max="2513" width="17.42578125" style="2" customWidth="1"/>
    <col min="2514" max="2514" width="14.85546875" style="2" customWidth="1"/>
    <col min="2515" max="2515" width="15" style="2" customWidth="1"/>
    <col min="2516" max="2516" width="14.85546875" style="2" customWidth="1"/>
    <col min="2517" max="2517" width="7.140625" style="2" customWidth="1"/>
    <col min="2518" max="2519" width="20.140625" style="2" customWidth="1"/>
    <col min="2520" max="2520" width="18.42578125" style="2" customWidth="1"/>
    <col min="2521" max="2521" width="9.140625" style="2" customWidth="1"/>
    <col min="2522" max="2522" width="12" style="2" customWidth="1"/>
    <col min="2523" max="2523" width="14.85546875" style="2" customWidth="1"/>
    <col min="2524" max="2524" width="22.42578125" style="2" customWidth="1"/>
    <col min="2525" max="2525" width="14.85546875" style="2" customWidth="1"/>
    <col min="2526" max="2526" width="7.140625" style="2" customWidth="1"/>
    <col min="2527" max="2527" width="20.140625" style="2" customWidth="1"/>
    <col min="2528" max="2759" width="8.85546875" style="2" customWidth="1"/>
    <col min="2760" max="2760" width="8.140625" style="2" customWidth="1"/>
    <col min="2761" max="2761" width="14.42578125" style="2" customWidth="1"/>
    <col min="2762" max="2762" width="37.42578125" style="2" customWidth="1"/>
    <col min="2763" max="2763" width="63.140625" style="2" customWidth="1"/>
    <col min="2764" max="2764" width="20" style="2" customWidth="1"/>
    <col min="2765" max="2765" width="11.140625" style="2" customWidth="1"/>
    <col min="2766" max="2766" width="10.85546875" style="2" customWidth="1"/>
    <col min="2767" max="2767" width="21" style="2" customWidth="1"/>
    <col min="2768" max="2768" width="10.85546875" style="2" customWidth="1"/>
    <col min="2769" max="2769" width="17.42578125" style="2" customWidth="1"/>
    <col min="2770" max="2770" width="14.85546875" style="2" customWidth="1"/>
    <col min="2771" max="2771" width="15" style="2" customWidth="1"/>
    <col min="2772" max="2772" width="14.85546875" style="2" customWidth="1"/>
    <col min="2773" max="2773" width="7.140625" style="2" customWidth="1"/>
    <col min="2774" max="2775" width="20.140625" style="2" customWidth="1"/>
    <col min="2776" max="2776" width="18.42578125" style="2" customWidth="1"/>
    <col min="2777" max="2777" width="9.140625" style="2" customWidth="1"/>
    <col min="2778" max="2778" width="12" style="2" customWidth="1"/>
    <col min="2779" max="2779" width="14.85546875" style="2" customWidth="1"/>
    <col min="2780" max="2780" width="22.42578125" style="2" customWidth="1"/>
    <col min="2781" max="2781" width="14.85546875" style="2" customWidth="1"/>
    <col min="2782" max="2782" width="7.140625" style="2" customWidth="1"/>
    <col min="2783" max="2783" width="20.140625" style="2" customWidth="1"/>
    <col min="2784" max="3015" width="8.85546875" style="2" customWidth="1"/>
    <col min="3016" max="3016" width="8.140625" style="2" customWidth="1"/>
    <col min="3017" max="3017" width="14.42578125" style="2" customWidth="1"/>
    <col min="3018" max="3018" width="37.42578125" style="2" customWidth="1"/>
    <col min="3019" max="3019" width="63.140625" style="2" customWidth="1"/>
    <col min="3020" max="3020" width="20" style="2" customWidth="1"/>
    <col min="3021" max="3021" width="11.140625" style="2" customWidth="1"/>
    <col min="3022" max="3022" width="10.85546875" style="2" customWidth="1"/>
    <col min="3023" max="3023" width="21" style="2" customWidth="1"/>
    <col min="3024" max="3024" width="10.85546875" style="2" customWidth="1"/>
    <col min="3025" max="3025" width="17.42578125" style="2" customWidth="1"/>
    <col min="3026" max="3026" width="14.85546875" style="2" customWidth="1"/>
    <col min="3027" max="3027" width="15" style="2" customWidth="1"/>
    <col min="3028" max="3028" width="14.85546875" style="2" customWidth="1"/>
    <col min="3029" max="3029" width="7.140625" style="2" customWidth="1"/>
    <col min="3030" max="3031" width="20.140625" style="2" customWidth="1"/>
    <col min="3032" max="3032" width="18.42578125" style="2" customWidth="1"/>
    <col min="3033" max="3033" width="9.140625" style="2" customWidth="1"/>
    <col min="3034" max="3034" width="12" style="2" customWidth="1"/>
    <col min="3035" max="3035" width="14.85546875" style="2" customWidth="1"/>
    <col min="3036" max="3036" width="22.42578125" style="2" customWidth="1"/>
    <col min="3037" max="3037" width="14.85546875" style="2" customWidth="1"/>
    <col min="3038" max="3038" width="7.140625" style="2" customWidth="1"/>
    <col min="3039" max="3039" width="20.140625" style="2" customWidth="1"/>
    <col min="3040" max="3271" width="8.85546875" style="2" customWidth="1"/>
    <col min="3272" max="3272" width="8.140625" style="2" customWidth="1"/>
    <col min="3273" max="3273" width="14.42578125" style="2" customWidth="1"/>
    <col min="3274" max="3274" width="37.42578125" style="2" customWidth="1"/>
    <col min="3275" max="3275" width="63.140625" style="2" customWidth="1"/>
    <col min="3276" max="3276" width="20" style="2" customWidth="1"/>
    <col min="3277" max="3277" width="11.140625" style="2" customWidth="1"/>
    <col min="3278" max="3278" width="10.85546875" style="2" customWidth="1"/>
    <col min="3279" max="3279" width="21" style="2" customWidth="1"/>
    <col min="3280" max="3280" width="10.85546875" style="2" customWidth="1"/>
    <col min="3281" max="3281" width="17.42578125" style="2" customWidth="1"/>
    <col min="3282" max="3282" width="14.85546875" style="2" customWidth="1"/>
    <col min="3283" max="3283" width="15" style="2" customWidth="1"/>
    <col min="3284" max="3284" width="14.85546875" style="2" customWidth="1"/>
    <col min="3285" max="3285" width="7.140625" style="2" customWidth="1"/>
    <col min="3286" max="3287" width="20.140625" style="2" customWidth="1"/>
    <col min="3288" max="3288" width="18.42578125" style="2" customWidth="1"/>
    <col min="3289" max="3289" width="9.140625" style="2" customWidth="1"/>
    <col min="3290" max="3290" width="12" style="2" customWidth="1"/>
    <col min="3291" max="3291" width="14.85546875" style="2" customWidth="1"/>
    <col min="3292" max="3292" width="22.42578125" style="2" customWidth="1"/>
    <col min="3293" max="3293" width="14.85546875" style="2" customWidth="1"/>
    <col min="3294" max="3294" width="7.140625" style="2" customWidth="1"/>
    <col min="3295" max="3295" width="20.140625" style="2" customWidth="1"/>
    <col min="3296" max="3527" width="8.85546875" style="2" customWidth="1"/>
    <col min="3528" max="3528" width="8.140625" style="2" customWidth="1"/>
    <col min="3529" max="3529" width="14.42578125" style="2" customWidth="1"/>
    <col min="3530" max="3530" width="37.42578125" style="2" customWidth="1"/>
    <col min="3531" max="3531" width="63.140625" style="2" customWidth="1"/>
    <col min="3532" max="3532" width="20" style="2" customWidth="1"/>
    <col min="3533" max="3533" width="11.140625" style="2" customWidth="1"/>
    <col min="3534" max="3534" width="10.85546875" style="2" customWidth="1"/>
    <col min="3535" max="3535" width="21" style="2" customWidth="1"/>
    <col min="3536" max="3536" width="10.85546875" style="2" customWidth="1"/>
    <col min="3537" max="3537" width="17.42578125" style="2" customWidth="1"/>
    <col min="3538" max="3538" width="14.85546875" style="2" customWidth="1"/>
    <col min="3539" max="3539" width="15" style="2" customWidth="1"/>
    <col min="3540" max="3540" width="14.85546875" style="2" customWidth="1"/>
    <col min="3541" max="3541" width="7.140625" style="2" customWidth="1"/>
    <col min="3542" max="3543" width="20.140625" style="2" customWidth="1"/>
    <col min="3544" max="3544" width="18.42578125" style="2" customWidth="1"/>
    <col min="3545" max="3545" width="9.140625" style="2" customWidth="1"/>
    <col min="3546" max="3546" width="12" style="2" customWidth="1"/>
    <col min="3547" max="3547" width="14.85546875" style="2" customWidth="1"/>
    <col min="3548" max="3548" width="22.42578125" style="2" customWidth="1"/>
    <col min="3549" max="3549" width="14.85546875" style="2" customWidth="1"/>
    <col min="3550" max="3550" width="7.140625" style="2" customWidth="1"/>
    <col min="3551" max="3551" width="20.140625" style="2" customWidth="1"/>
    <col min="3552" max="3783" width="8.85546875" style="2" customWidth="1"/>
    <col min="3784" max="3784" width="8.140625" style="2" customWidth="1"/>
    <col min="3785" max="3785" width="14.42578125" style="2" customWidth="1"/>
    <col min="3786" max="3786" width="37.42578125" style="2" customWidth="1"/>
    <col min="3787" max="3787" width="63.140625" style="2" customWidth="1"/>
    <col min="3788" max="3788" width="20" style="2" customWidth="1"/>
    <col min="3789" max="3789" width="11.140625" style="2" customWidth="1"/>
    <col min="3790" max="3790" width="10.85546875" style="2" customWidth="1"/>
    <col min="3791" max="3791" width="21" style="2" customWidth="1"/>
    <col min="3792" max="3792" width="10.85546875" style="2" customWidth="1"/>
    <col min="3793" max="3793" width="17.42578125" style="2" customWidth="1"/>
    <col min="3794" max="3794" width="14.85546875" style="2" customWidth="1"/>
    <col min="3795" max="3795" width="15" style="2" customWidth="1"/>
    <col min="3796" max="3796" width="14.85546875" style="2" customWidth="1"/>
    <col min="3797" max="3797" width="7.140625" style="2" customWidth="1"/>
    <col min="3798" max="3799" width="20.140625" style="2" customWidth="1"/>
    <col min="3800" max="3800" width="18.42578125" style="2" customWidth="1"/>
    <col min="3801" max="3801" width="9.140625" style="2" customWidth="1"/>
    <col min="3802" max="3802" width="12" style="2" customWidth="1"/>
    <col min="3803" max="3803" width="14.85546875" style="2" customWidth="1"/>
    <col min="3804" max="3804" width="22.42578125" style="2" customWidth="1"/>
    <col min="3805" max="3805" width="14.85546875" style="2" customWidth="1"/>
    <col min="3806" max="3806" width="7.140625" style="2" customWidth="1"/>
    <col min="3807" max="3807" width="20.140625" style="2" customWidth="1"/>
    <col min="3808" max="4039" width="8.85546875" style="2" customWidth="1"/>
    <col min="4040" max="4040" width="8.140625" style="2" customWidth="1"/>
    <col min="4041" max="4041" width="14.42578125" style="2" customWidth="1"/>
    <col min="4042" max="4042" width="37.42578125" style="2" customWidth="1"/>
    <col min="4043" max="4043" width="63.140625" style="2" customWidth="1"/>
    <col min="4044" max="4044" width="20" style="2" customWidth="1"/>
    <col min="4045" max="4045" width="11.140625" style="2" customWidth="1"/>
    <col min="4046" max="4046" width="10.85546875" style="2" customWidth="1"/>
    <col min="4047" max="4047" width="21" style="2" customWidth="1"/>
    <col min="4048" max="4048" width="10.85546875" style="2" customWidth="1"/>
    <col min="4049" max="4049" width="17.42578125" style="2" customWidth="1"/>
    <col min="4050" max="4050" width="14.85546875" style="2" customWidth="1"/>
    <col min="4051" max="4051" width="15" style="2" customWidth="1"/>
    <col min="4052" max="4052" width="14.85546875" style="2" customWidth="1"/>
    <col min="4053" max="4053" width="7.140625" style="2" customWidth="1"/>
    <col min="4054" max="4055" width="20.140625" style="2" customWidth="1"/>
    <col min="4056" max="4056" width="18.42578125" style="2" customWidth="1"/>
    <col min="4057" max="4057" width="9.140625" style="2" customWidth="1"/>
    <col min="4058" max="4058" width="12" style="2" customWidth="1"/>
    <col min="4059" max="4059" width="14.85546875" style="2" customWidth="1"/>
    <col min="4060" max="4060" width="22.42578125" style="2" customWidth="1"/>
    <col min="4061" max="4061" width="14.85546875" style="2" customWidth="1"/>
    <col min="4062" max="4062" width="7.140625" style="2" customWidth="1"/>
    <col min="4063" max="4063" width="20.140625" style="2" customWidth="1"/>
    <col min="4064" max="4295" width="8.85546875" style="2" customWidth="1"/>
    <col min="4296" max="4296" width="8.140625" style="2" customWidth="1"/>
    <col min="4297" max="4297" width="14.42578125" style="2" customWidth="1"/>
    <col min="4298" max="4298" width="37.42578125" style="2" customWidth="1"/>
    <col min="4299" max="4299" width="63.140625" style="2" customWidth="1"/>
    <col min="4300" max="4300" width="20" style="2" customWidth="1"/>
    <col min="4301" max="4301" width="11.140625" style="2" customWidth="1"/>
    <col min="4302" max="4302" width="10.85546875" style="2" customWidth="1"/>
    <col min="4303" max="4303" width="21" style="2" customWidth="1"/>
    <col min="4304" max="4304" width="10.85546875" style="2" customWidth="1"/>
    <col min="4305" max="4305" width="17.42578125" style="2" customWidth="1"/>
    <col min="4306" max="4306" width="14.85546875" style="2" customWidth="1"/>
    <col min="4307" max="4307" width="15" style="2" customWidth="1"/>
    <col min="4308" max="4308" width="14.85546875" style="2" customWidth="1"/>
    <col min="4309" max="4309" width="7.140625" style="2" customWidth="1"/>
    <col min="4310" max="4311" width="20.140625" style="2" customWidth="1"/>
    <col min="4312" max="4312" width="18.42578125" style="2" customWidth="1"/>
    <col min="4313" max="4313" width="9.140625" style="2" customWidth="1"/>
    <col min="4314" max="4314" width="12" style="2" customWidth="1"/>
    <col min="4315" max="4315" width="14.85546875" style="2" customWidth="1"/>
    <col min="4316" max="4316" width="22.42578125" style="2" customWidth="1"/>
    <col min="4317" max="4317" width="14.85546875" style="2" customWidth="1"/>
    <col min="4318" max="4318" width="7.140625" style="2" customWidth="1"/>
    <col min="4319" max="4319" width="20.140625" style="2" customWidth="1"/>
    <col min="4320" max="4551" width="8.85546875" style="2" customWidth="1"/>
    <col min="4552" max="4552" width="8.140625" style="2" customWidth="1"/>
    <col min="4553" max="4553" width="14.42578125" style="2" customWidth="1"/>
    <col min="4554" max="4554" width="37.42578125" style="2" customWidth="1"/>
    <col min="4555" max="4555" width="63.140625" style="2" customWidth="1"/>
    <col min="4556" max="4556" width="20" style="2" customWidth="1"/>
    <col min="4557" max="4557" width="11.140625" style="2" customWidth="1"/>
    <col min="4558" max="4558" width="10.85546875" style="2" customWidth="1"/>
    <col min="4559" max="4559" width="21" style="2" customWidth="1"/>
    <col min="4560" max="4560" width="10.85546875" style="2" customWidth="1"/>
    <col min="4561" max="4561" width="17.42578125" style="2" customWidth="1"/>
    <col min="4562" max="4562" width="14.85546875" style="2" customWidth="1"/>
    <col min="4563" max="4563" width="15" style="2" customWidth="1"/>
    <col min="4564" max="4564" width="14.85546875" style="2" customWidth="1"/>
    <col min="4565" max="4565" width="7.140625" style="2" customWidth="1"/>
    <col min="4566" max="4567" width="20.140625" style="2" customWidth="1"/>
    <col min="4568" max="4568" width="18.42578125" style="2" customWidth="1"/>
    <col min="4569" max="4569" width="9.140625" style="2" customWidth="1"/>
    <col min="4570" max="4570" width="12" style="2" customWidth="1"/>
    <col min="4571" max="4571" width="14.85546875" style="2" customWidth="1"/>
    <col min="4572" max="4572" width="22.42578125" style="2" customWidth="1"/>
    <col min="4573" max="4573" width="14.85546875" style="2" customWidth="1"/>
    <col min="4574" max="4574" width="7.140625" style="2" customWidth="1"/>
    <col min="4575" max="4575" width="20.140625" style="2" customWidth="1"/>
    <col min="4576" max="4807" width="8.85546875" style="2" customWidth="1"/>
    <col min="4808" max="4808" width="8.140625" style="2" customWidth="1"/>
    <col min="4809" max="4809" width="14.42578125" style="2" customWidth="1"/>
    <col min="4810" max="4810" width="37.42578125" style="2" customWidth="1"/>
    <col min="4811" max="4811" width="63.140625" style="2" customWidth="1"/>
    <col min="4812" max="4812" width="20" style="2" customWidth="1"/>
    <col min="4813" max="4813" width="11.140625" style="2" customWidth="1"/>
    <col min="4814" max="4814" width="10.85546875" style="2" customWidth="1"/>
    <col min="4815" max="4815" width="21" style="2" customWidth="1"/>
    <col min="4816" max="4816" width="10.85546875" style="2" customWidth="1"/>
    <col min="4817" max="4817" width="17.42578125" style="2" customWidth="1"/>
    <col min="4818" max="4818" width="14.85546875" style="2" customWidth="1"/>
    <col min="4819" max="4819" width="15" style="2" customWidth="1"/>
    <col min="4820" max="4820" width="14.85546875" style="2" customWidth="1"/>
    <col min="4821" max="4821" width="7.140625" style="2" customWidth="1"/>
    <col min="4822" max="4823" width="20.140625" style="2" customWidth="1"/>
    <col min="4824" max="4824" width="18.42578125" style="2" customWidth="1"/>
    <col min="4825" max="4825" width="9.140625" style="2" customWidth="1"/>
    <col min="4826" max="4826" width="12" style="2" customWidth="1"/>
    <col min="4827" max="4827" width="14.85546875" style="2" customWidth="1"/>
    <col min="4828" max="4828" width="22.42578125" style="2" customWidth="1"/>
    <col min="4829" max="4829" width="14.85546875" style="2" customWidth="1"/>
    <col min="4830" max="4830" width="7.140625" style="2" customWidth="1"/>
    <col min="4831" max="4831" width="20.140625" style="2" customWidth="1"/>
    <col min="4832" max="5063" width="8.85546875" style="2" customWidth="1"/>
    <col min="5064" max="5064" width="8.140625" style="2" customWidth="1"/>
    <col min="5065" max="5065" width="14.42578125" style="2" customWidth="1"/>
    <col min="5066" max="5066" width="37.42578125" style="2" customWidth="1"/>
    <col min="5067" max="5067" width="63.140625" style="2" customWidth="1"/>
    <col min="5068" max="5068" width="20" style="2" customWidth="1"/>
    <col min="5069" max="5069" width="11.140625" style="2" customWidth="1"/>
    <col min="5070" max="5070" width="10.85546875" style="2" customWidth="1"/>
    <col min="5071" max="5071" width="21" style="2" customWidth="1"/>
    <col min="5072" max="5072" width="10.85546875" style="2" customWidth="1"/>
    <col min="5073" max="5073" width="17.42578125" style="2" customWidth="1"/>
    <col min="5074" max="5074" width="14.85546875" style="2" customWidth="1"/>
    <col min="5075" max="5075" width="15" style="2" customWidth="1"/>
    <col min="5076" max="5076" width="14.85546875" style="2" customWidth="1"/>
    <col min="5077" max="5077" width="7.140625" style="2" customWidth="1"/>
    <col min="5078" max="5079" width="20.140625" style="2" customWidth="1"/>
    <col min="5080" max="5080" width="18.42578125" style="2" customWidth="1"/>
    <col min="5081" max="5081" width="9.140625" style="2" customWidth="1"/>
    <col min="5082" max="5082" width="12" style="2" customWidth="1"/>
    <col min="5083" max="5083" width="14.85546875" style="2" customWidth="1"/>
    <col min="5084" max="5084" width="22.42578125" style="2" customWidth="1"/>
    <col min="5085" max="5085" width="14.85546875" style="2" customWidth="1"/>
    <col min="5086" max="5086" width="7.140625" style="2" customWidth="1"/>
    <col min="5087" max="5087" width="20.140625" style="2" customWidth="1"/>
    <col min="5088" max="5319" width="8.85546875" style="2" customWidth="1"/>
    <col min="5320" max="5320" width="8.140625" style="2" customWidth="1"/>
    <col min="5321" max="5321" width="14.42578125" style="2" customWidth="1"/>
    <col min="5322" max="5322" width="37.42578125" style="2" customWidth="1"/>
    <col min="5323" max="5323" width="63.140625" style="2" customWidth="1"/>
    <col min="5324" max="5324" width="20" style="2" customWidth="1"/>
    <col min="5325" max="5325" width="11.140625" style="2" customWidth="1"/>
    <col min="5326" max="5326" width="10.85546875" style="2" customWidth="1"/>
    <col min="5327" max="5327" width="21" style="2" customWidth="1"/>
    <col min="5328" max="5328" width="10.85546875" style="2" customWidth="1"/>
    <col min="5329" max="5329" width="17.42578125" style="2" customWidth="1"/>
    <col min="5330" max="5330" width="14.85546875" style="2" customWidth="1"/>
    <col min="5331" max="5331" width="15" style="2" customWidth="1"/>
    <col min="5332" max="5332" width="14.85546875" style="2" customWidth="1"/>
    <col min="5333" max="5333" width="7.140625" style="2" customWidth="1"/>
    <col min="5334" max="5335" width="20.140625" style="2" customWidth="1"/>
    <col min="5336" max="5336" width="18.42578125" style="2" customWidth="1"/>
    <col min="5337" max="5337" width="9.140625" style="2" customWidth="1"/>
    <col min="5338" max="5338" width="12" style="2" customWidth="1"/>
    <col min="5339" max="5339" width="14.85546875" style="2" customWidth="1"/>
    <col min="5340" max="5340" width="22.42578125" style="2" customWidth="1"/>
    <col min="5341" max="5341" width="14.85546875" style="2" customWidth="1"/>
    <col min="5342" max="5342" width="7.140625" style="2" customWidth="1"/>
    <col min="5343" max="5343" width="20.140625" style="2" customWidth="1"/>
    <col min="5344" max="5575" width="8.85546875" style="2" customWidth="1"/>
    <col min="5576" max="5576" width="8.140625" style="2" customWidth="1"/>
    <col min="5577" max="5577" width="14.42578125" style="2" customWidth="1"/>
    <col min="5578" max="5578" width="37.42578125" style="2" customWidth="1"/>
    <col min="5579" max="5579" width="63.140625" style="2" customWidth="1"/>
    <col min="5580" max="5580" width="20" style="2" customWidth="1"/>
    <col min="5581" max="5581" width="11.140625" style="2" customWidth="1"/>
    <col min="5582" max="5582" width="10.85546875" style="2" customWidth="1"/>
    <col min="5583" max="5583" width="21" style="2" customWidth="1"/>
    <col min="5584" max="5584" width="10.85546875" style="2" customWidth="1"/>
    <col min="5585" max="5585" width="17.42578125" style="2" customWidth="1"/>
    <col min="5586" max="5586" width="14.85546875" style="2" customWidth="1"/>
    <col min="5587" max="5587" width="15" style="2" customWidth="1"/>
    <col min="5588" max="5588" width="14.85546875" style="2" customWidth="1"/>
    <col min="5589" max="5589" width="7.140625" style="2" customWidth="1"/>
    <col min="5590" max="5591" width="20.140625" style="2" customWidth="1"/>
    <col min="5592" max="5592" width="18.42578125" style="2" customWidth="1"/>
    <col min="5593" max="5593" width="9.140625" style="2" customWidth="1"/>
    <col min="5594" max="5594" width="12" style="2" customWidth="1"/>
    <col min="5595" max="5595" width="14.85546875" style="2" customWidth="1"/>
    <col min="5596" max="5596" width="22.42578125" style="2" customWidth="1"/>
    <col min="5597" max="5597" width="14.85546875" style="2" customWidth="1"/>
    <col min="5598" max="5598" width="7.140625" style="2" customWidth="1"/>
    <col min="5599" max="5599" width="20.140625" style="2" customWidth="1"/>
    <col min="5600" max="5831" width="8.85546875" style="2" customWidth="1"/>
    <col min="5832" max="5832" width="8.140625" style="2" customWidth="1"/>
    <col min="5833" max="5833" width="14.42578125" style="2" customWidth="1"/>
    <col min="5834" max="5834" width="37.42578125" style="2" customWidth="1"/>
    <col min="5835" max="5835" width="63.140625" style="2" customWidth="1"/>
    <col min="5836" max="5836" width="20" style="2" customWidth="1"/>
    <col min="5837" max="5837" width="11.140625" style="2" customWidth="1"/>
    <col min="5838" max="5838" width="10.85546875" style="2" customWidth="1"/>
    <col min="5839" max="5839" width="21" style="2" customWidth="1"/>
    <col min="5840" max="5840" width="10.85546875" style="2" customWidth="1"/>
    <col min="5841" max="5841" width="17.42578125" style="2" customWidth="1"/>
    <col min="5842" max="5842" width="14.85546875" style="2" customWidth="1"/>
    <col min="5843" max="5843" width="15" style="2" customWidth="1"/>
    <col min="5844" max="5844" width="14.85546875" style="2" customWidth="1"/>
    <col min="5845" max="5845" width="7.140625" style="2" customWidth="1"/>
    <col min="5846" max="5847" width="20.140625" style="2" customWidth="1"/>
    <col min="5848" max="5848" width="18.42578125" style="2" customWidth="1"/>
    <col min="5849" max="5849" width="9.140625" style="2" customWidth="1"/>
    <col min="5850" max="5850" width="12" style="2" customWidth="1"/>
    <col min="5851" max="5851" width="14.85546875" style="2" customWidth="1"/>
    <col min="5852" max="5852" width="22.42578125" style="2" customWidth="1"/>
    <col min="5853" max="5853" width="14.85546875" style="2" customWidth="1"/>
    <col min="5854" max="5854" width="7.140625" style="2" customWidth="1"/>
    <col min="5855" max="5855" width="20.140625" style="2" customWidth="1"/>
    <col min="5856" max="6087" width="8.85546875" style="2" customWidth="1"/>
    <col min="6088" max="6088" width="8.140625" style="2" customWidth="1"/>
    <col min="6089" max="6089" width="14.42578125" style="2" customWidth="1"/>
    <col min="6090" max="6090" width="37.42578125" style="2" customWidth="1"/>
    <col min="6091" max="6091" width="63.140625" style="2" customWidth="1"/>
    <col min="6092" max="6092" width="20" style="2" customWidth="1"/>
    <col min="6093" max="6093" width="11.140625" style="2" customWidth="1"/>
    <col min="6094" max="6094" width="10.85546875" style="2" customWidth="1"/>
    <col min="6095" max="6095" width="21" style="2" customWidth="1"/>
    <col min="6096" max="6096" width="10.85546875" style="2" customWidth="1"/>
    <col min="6097" max="6097" width="17.42578125" style="2" customWidth="1"/>
    <col min="6098" max="6098" width="14.85546875" style="2" customWidth="1"/>
    <col min="6099" max="6099" width="15" style="2" customWidth="1"/>
    <col min="6100" max="6100" width="14.85546875" style="2" customWidth="1"/>
    <col min="6101" max="6101" width="7.140625" style="2" customWidth="1"/>
    <col min="6102" max="6103" width="20.140625" style="2" customWidth="1"/>
    <col min="6104" max="6104" width="18.42578125" style="2" customWidth="1"/>
    <col min="6105" max="6105" width="9.140625" style="2" customWidth="1"/>
    <col min="6106" max="6106" width="12" style="2" customWidth="1"/>
    <col min="6107" max="6107" width="14.85546875" style="2" customWidth="1"/>
    <col min="6108" max="6108" width="22.42578125" style="2" customWidth="1"/>
    <col min="6109" max="6109" width="14.85546875" style="2" customWidth="1"/>
    <col min="6110" max="6110" width="7.140625" style="2" customWidth="1"/>
    <col min="6111" max="6111" width="20.140625" style="2" customWidth="1"/>
    <col min="6112" max="6343" width="8.85546875" style="2" customWidth="1"/>
    <col min="6344" max="6344" width="8.140625" style="2" customWidth="1"/>
    <col min="6345" max="6345" width="14.42578125" style="2" customWidth="1"/>
    <col min="6346" max="6346" width="37.42578125" style="2" customWidth="1"/>
    <col min="6347" max="6347" width="63.140625" style="2" customWidth="1"/>
    <col min="6348" max="6348" width="20" style="2" customWidth="1"/>
    <col min="6349" max="6349" width="11.140625" style="2" customWidth="1"/>
    <col min="6350" max="6350" width="10.85546875" style="2" customWidth="1"/>
    <col min="6351" max="6351" width="21" style="2" customWidth="1"/>
    <col min="6352" max="6352" width="10.85546875" style="2" customWidth="1"/>
    <col min="6353" max="6353" width="17.42578125" style="2" customWidth="1"/>
    <col min="6354" max="6354" width="14.85546875" style="2" customWidth="1"/>
    <col min="6355" max="6355" width="15" style="2" customWidth="1"/>
    <col min="6356" max="6356" width="14.85546875" style="2" customWidth="1"/>
    <col min="6357" max="6357" width="7.140625" style="2" customWidth="1"/>
    <col min="6358" max="6359" width="20.140625" style="2" customWidth="1"/>
    <col min="6360" max="6360" width="18.42578125" style="2" customWidth="1"/>
    <col min="6361" max="6361" width="9.140625" style="2" customWidth="1"/>
    <col min="6362" max="6362" width="12" style="2" customWidth="1"/>
    <col min="6363" max="6363" width="14.85546875" style="2" customWidth="1"/>
    <col min="6364" max="6364" width="22.42578125" style="2" customWidth="1"/>
    <col min="6365" max="6365" width="14.85546875" style="2" customWidth="1"/>
    <col min="6366" max="6366" width="7.140625" style="2" customWidth="1"/>
    <col min="6367" max="6367" width="20.140625" style="2" customWidth="1"/>
    <col min="6368" max="6599" width="8.85546875" style="2" customWidth="1"/>
    <col min="6600" max="6600" width="8.140625" style="2" customWidth="1"/>
    <col min="6601" max="6601" width="14.42578125" style="2" customWidth="1"/>
    <col min="6602" max="6602" width="37.42578125" style="2" customWidth="1"/>
    <col min="6603" max="6603" width="63.140625" style="2" customWidth="1"/>
    <col min="6604" max="6604" width="20" style="2" customWidth="1"/>
    <col min="6605" max="6605" width="11.140625" style="2" customWidth="1"/>
    <col min="6606" max="6606" width="10.85546875" style="2" customWidth="1"/>
    <col min="6607" max="6607" width="21" style="2" customWidth="1"/>
    <col min="6608" max="6608" width="10.85546875" style="2" customWidth="1"/>
    <col min="6609" max="6609" width="17.42578125" style="2" customWidth="1"/>
    <col min="6610" max="6610" width="14.85546875" style="2" customWidth="1"/>
    <col min="6611" max="6611" width="15" style="2" customWidth="1"/>
    <col min="6612" max="6612" width="14.85546875" style="2" customWidth="1"/>
    <col min="6613" max="6613" width="7.140625" style="2" customWidth="1"/>
    <col min="6614" max="6615" width="20.140625" style="2" customWidth="1"/>
    <col min="6616" max="6616" width="18.42578125" style="2" customWidth="1"/>
    <col min="6617" max="6617" width="9.140625" style="2" customWidth="1"/>
    <col min="6618" max="6618" width="12" style="2" customWidth="1"/>
    <col min="6619" max="6619" width="14.85546875" style="2" customWidth="1"/>
    <col min="6620" max="6620" width="22.42578125" style="2" customWidth="1"/>
    <col min="6621" max="6621" width="14.85546875" style="2" customWidth="1"/>
    <col min="6622" max="6622" width="7.140625" style="2" customWidth="1"/>
    <col min="6623" max="6623" width="20.140625" style="2" customWidth="1"/>
    <col min="6624" max="6855" width="8.85546875" style="2" customWidth="1"/>
    <col min="6856" max="6856" width="8.140625" style="2" customWidth="1"/>
    <col min="6857" max="6857" width="14.42578125" style="2" customWidth="1"/>
    <col min="6858" max="6858" width="37.42578125" style="2" customWidth="1"/>
    <col min="6859" max="6859" width="63.140625" style="2" customWidth="1"/>
    <col min="6860" max="6860" width="20" style="2" customWidth="1"/>
    <col min="6861" max="6861" width="11.140625" style="2" customWidth="1"/>
    <col min="6862" max="6862" width="10.85546875" style="2" customWidth="1"/>
    <col min="6863" max="6863" width="21" style="2" customWidth="1"/>
    <col min="6864" max="6864" width="10.85546875" style="2" customWidth="1"/>
    <col min="6865" max="6865" width="17.42578125" style="2" customWidth="1"/>
    <col min="6866" max="6866" width="14.85546875" style="2" customWidth="1"/>
    <col min="6867" max="6867" width="15" style="2" customWidth="1"/>
    <col min="6868" max="6868" width="14.85546875" style="2" customWidth="1"/>
    <col min="6869" max="6869" width="7.140625" style="2" customWidth="1"/>
    <col min="6870" max="6871" width="20.140625" style="2" customWidth="1"/>
    <col min="6872" max="6872" width="18.42578125" style="2" customWidth="1"/>
    <col min="6873" max="6873" width="9.140625" style="2" customWidth="1"/>
    <col min="6874" max="6874" width="12" style="2" customWidth="1"/>
    <col min="6875" max="6875" width="14.85546875" style="2" customWidth="1"/>
    <col min="6876" max="6876" width="22.42578125" style="2" customWidth="1"/>
    <col min="6877" max="6877" width="14.85546875" style="2" customWidth="1"/>
    <col min="6878" max="6878" width="7.140625" style="2" customWidth="1"/>
    <col min="6879" max="6879" width="20.140625" style="2" customWidth="1"/>
    <col min="6880" max="7111" width="8.85546875" style="2" customWidth="1"/>
    <col min="7112" max="7112" width="8.140625" style="2" customWidth="1"/>
    <col min="7113" max="7113" width="14.42578125" style="2" customWidth="1"/>
    <col min="7114" max="7114" width="37.42578125" style="2" customWidth="1"/>
    <col min="7115" max="7115" width="63.140625" style="2" customWidth="1"/>
    <col min="7116" max="7116" width="20" style="2" customWidth="1"/>
    <col min="7117" max="7117" width="11.140625" style="2" customWidth="1"/>
    <col min="7118" max="7118" width="10.85546875" style="2" customWidth="1"/>
    <col min="7119" max="7119" width="21" style="2" customWidth="1"/>
    <col min="7120" max="7120" width="10.85546875" style="2" customWidth="1"/>
    <col min="7121" max="7121" width="17.42578125" style="2" customWidth="1"/>
    <col min="7122" max="7122" width="14.85546875" style="2" customWidth="1"/>
    <col min="7123" max="7123" width="15" style="2" customWidth="1"/>
    <col min="7124" max="7124" width="14.85546875" style="2" customWidth="1"/>
    <col min="7125" max="7125" width="7.140625" style="2" customWidth="1"/>
    <col min="7126" max="7127" width="20.140625" style="2" customWidth="1"/>
    <col min="7128" max="7128" width="18.42578125" style="2" customWidth="1"/>
    <col min="7129" max="7129" width="9.140625" style="2" customWidth="1"/>
    <col min="7130" max="7130" width="12" style="2" customWidth="1"/>
    <col min="7131" max="7131" width="14.85546875" style="2" customWidth="1"/>
    <col min="7132" max="7132" width="22.42578125" style="2" customWidth="1"/>
    <col min="7133" max="7133" width="14.85546875" style="2" customWidth="1"/>
    <col min="7134" max="7134" width="7.140625" style="2" customWidth="1"/>
    <col min="7135" max="7135" width="20.140625" style="2" customWidth="1"/>
    <col min="7136" max="7367" width="8.85546875" style="2" customWidth="1"/>
    <col min="7368" max="7368" width="8.140625" style="2" customWidth="1"/>
    <col min="7369" max="7369" width="14.42578125" style="2" customWidth="1"/>
    <col min="7370" max="7370" width="37.42578125" style="2" customWidth="1"/>
    <col min="7371" max="7371" width="63.140625" style="2" customWidth="1"/>
    <col min="7372" max="7372" width="20" style="2" customWidth="1"/>
    <col min="7373" max="7373" width="11.140625" style="2" customWidth="1"/>
    <col min="7374" max="7374" width="10.85546875" style="2" customWidth="1"/>
    <col min="7375" max="7375" width="21" style="2" customWidth="1"/>
    <col min="7376" max="7376" width="10.85546875" style="2" customWidth="1"/>
    <col min="7377" max="7377" width="17.42578125" style="2" customWidth="1"/>
    <col min="7378" max="7378" width="14.85546875" style="2" customWidth="1"/>
    <col min="7379" max="7379" width="15" style="2" customWidth="1"/>
    <col min="7380" max="7380" width="14.85546875" style="2" customWidth="1"/>
    <col min="7381" max="7381" width="7.140625" style="2" customWidth="1"/>
    <col min="7382" max="7383" width="20.140625" style="2" customWidth="1"/>
    <col min="7384" max="7384" width="18.42578125" style="2" customWidth="1"/>
    <col min="7385" max="7385" width="9.140625" style="2" customWidth="1"/>
    <col min="7386" max="7386" width="12" style="2" customWidth="1"/>
    <col min="7387" max="7387" width="14.85546875" style="2" customWidth="1"/>
    <col min="7388" max="7388" width="22.42578125" style="2" customWidth="1"/>
    <col min="7389" max="7389" width="14.85546875" style="2" customWidth="1"/>
    <col min="7390" max="7390" width="7.140625" style="2" customWidth="1"/>
    <col min="7391" max="7391" width="20.140625" style="2" customWidth="1"/>
    <col min="7392" max="7623" width="8.85546875" style="2" customWidth="1"/>
    <col min="7624" max="7624" width="8.140625" style="2" customWidth="1"/>
    <col min="7625" max="7625" width="14.42578125" style="2" customWidth="1"/>
    <col min="7626" max="7626" width="37.42578125" style="2" customWidth="1"/>
    <col min="7627" max="7627" width="63.140625" style="2" customWidth="1"/>
    <col min="7628" max="7628" width="20" style="2" customWidth="1"/>
    <col min="7629" max="7629" width="11.140625" style="2" customWidth="1"/>
    <col min="7630" max="7630" width="10.85546875" style="2" customWidth="1"/>
    <col min="7631" max="7631" width="21" style="2" customWidth="1"/>
    <col min="7632" max="7632" width="10.85546875" style="2" customWidth="1"/>
    <col min="7633" max="7633" width="17.42578125" style="2" customWidth="1"/>
    <col min="7634" max="7634" width="14.85546875" style="2" customWidth="1"/>
    <col min="7635" max="7635" width="15" style="2" customWidth="1"/>
    <col min="7636" max="7636" width="14.85546875" style="2" customWidth="1"/>
    <col min="7637" max="7637" width="7.140625" style="2" customWidth="1"/>
    <col min="7638" max="7639" width="20.140625" style="2" customWidth="1"/>
    <col min="7640" max="7640" width="18.42578125" style="2" customWidth="1"/>
    <col min="7641" max="7641" width="9.140625" style="2" customWidth="1"/>
    <col min="7642" max="7642" width="12" style="2" customWidth="1"/>
    <col min="7643" max="7643" width="14.85546875" style="2" customWidth="1"/>
    <col min="7644" max="7644" width="22.42578125" style="2" customWidth="1"/>
    <col min="7645" max="7645" width="14.85546875" style="2" customWidth="1"/>
    <col min="7646" max="7646" width="7.140625" style="2" customWidth="1"/>
    <col min="7647" max="7647" width="20.140625" style="2" customWidth="1"/>
    <col min="7648" max="7879" width="8.85546875" style="2" customWidth="1"/>
    <col min="7880" max="7880" width="8.140625" style="2" customWidth="1"/>
    <col min="7881" max="7881" width="14.42578125" style="2" customWidth="1"/>
    <col min="7882" max="7882" width="37.42578125" style="2" customWidth="1"/>
    <col min="7883" max="7883" width="63.140625" style="2" customWidth="1"/>
    <col min="7884" max="7884" width="20" style="2" customWidth="1"/>
    <col min="7885" max="7885" width="11.140625" style="2" customWidth="1"/>
    <col min="7886" max="7886" width="10.85546875" style="2" customWidth="1"/>
    <col min="7887" max="7887" width="21" style="2" customWidth="1"/>
    <col min="7888" max="7888" width="10.85546875" style="2" customWidth="1"/>
    <col min="7889" max="7889" width="17.42578125" style="2" customWidth="1"/>
    <col min="7890" max="7890" width="14.85546875" style="2" customWidth="1"/>
    <col min="7891" max="7891" width="15" style="2" customWidth="1"/>
    <col min="7892" max="7892" width="14.85546875" style="2" customWidth="1"/>
    <col min="7893" max="7893" width="7.140625" style="2" customWidth="1"/>
    <col min="7894" max="7895" width="20.140625" style="2" customWidth="1"/>
    <col min="7896" max="7896" width="18.42578125" style="2" customWidth="1"/>
    <col min="7897" max="7897" width="9.140625" style="2" customWidth="1"/>
    <col min="7898" max="7898" width="12" style="2" customWidth="1"/>
    <col min="7899" max="7899" width="14.85546875" style="2" customWidth="1"/>
    <col min="7900" max="7900" width="22.42578125" style="2" customWidth="1"/>
    <col min="7901" max="7901" width="14.85546875" style="2" customWidth="1"/>
    <col min="7902" max="7902" width="7.140625" style="2" customWidth="1"/>
    <col min="7903" max="7903" width="20.140625" style="2" customWidth="1"/>
    <col min="7904" max="8135" width="8.85546875" style="2" customWidth="1"/>
    <col min="8136" max="8136" width="8.140625" style="2" customWidth="1"/>
    <col min="8137" max="8137" width="14.42578125" style="2" customWidth="1"/>
    <col min="8138" max="8138" width="37.42578125" style="2" customWidth="1"/>
    <col min="8139" max="8139" width="63.140625" style="2" customWidth="1"/>
    <col min="8140" max="8140" width="20" style="2" customWidth="1"/>
    <col min="8141" max="8141" width="11.140625" style="2" customWidth="1"/>
    <col min="8142" max="8142" width="10.85546875" style="2" customWidth="1"/>
    <col min="8143" max="8143" width="21" style="2" customWidth="1"/>
    <col min="8144" max="8144" width="10.85546875" style="2" customWidth="1"/>
    <col min="8145" max="8145" width="17.42578125" style="2" customWidth="1"/>
    <col min="8146" max="8146" width="14.85546875" style="2" customWidth="1"/>
    <col min="8147" max="8147" width="15" style="2" customWidth="1"/>
    <col min="8148" max="8148" width="14.85546875" style="2" customWidth="1"/>
    <col min="8149" max="8149" width="7.140625" style="2" customWidth="1"/>
    <col min="8150" max="8151" width="20.140625" style="2" customWidth="1"/>
    <col min="8152" max="8152" width="18.42578125" style="2" customWidth="1"/>
    <col min="8153" max="8153" width="9.140625" style="2" customWidth="1"/>
    <col min="8154" max="8154" width="12" style="2" customWidth="1"/>
    <col min="8155" max="8155" width="14.85546875" style="2" customWidth="1"/>
    <col min="8156" max="8156" width="22.42578125" style="2" customWidth="1"/>
    <col min="8157" max="8157" width="14.85546875" style="2" customWidth="1"/>
    <col min="8158" max="8158" width="7.140625" style="2" customWidth="1"/>
    <col min="8159" max="8159" width="20.140625" style="2" customWidth="1"/>
    <col min="8160" max="8391" width="8.85546875" style="2" customWidth="1"/>
    <col min="8392" max="8392" width="8.140625" style="2" customWidth="1"/>
    <col min="8393" max="8393" width="14.42578125" style="2" customWidth="1"/>
    <col min="8394" max="8394" width="37.42578125" style="2" customWidth="1"/>
    <col min="8395" max="8395" width="63.140625" style="2" customWidth="1"/>
    <col min="8396" max="8396" width="20" style="2" customWidth="1"/>
    <col min="8397" max="8397" width="11.140625" style="2" customWidth="1"/>
    <col min="8398" max="8398" width="10.85546875" style="2" customWidth="1"/>
    <col min="8399" max="8399" width="21" style="2" customWidth="1"/>
    <col min="8400" max="8400" width="10.85546875" style="2" customWidth="1"/>
    <col min="8401" max="8401" width="17.42578125" style="2" customWidth="1"/>
    <col min="8402" max="8402" width="14.85546875" style="2" customWidth="1"/>
    <col min="8403" max="8403" width="15" style="2" customWidth="1"/>
    <col min="8404" max="8404" width="14.85546875" style="2" customWidth="1"/>
    <col min="8405" max="8405" width="7.140625" style="2" customWidth="1"/>
    <col min="8406" max="8407" width="20.140625" style="2" customWidth="1"/>
    <col min="8408" max="8408" width="18.42578125" style="2" customWidth="1"/>
    <col min="8409" max="8409" width="9.140625" style="2" customWidth="1"/>
    <col min="8410" max="8410" width="12" style="2" customWidth="1"/>
    <col min="8411" max="8411" width="14.85546875" style="2" customWidth="1"/>
    <col min="8412" max="8412" width="22.42578125" style="2" customWidth="1"/>
    <col min="8413" max="8413" width="14.85546875" style="2" customWidth="1"/>
    <col min="8414" max="8414" width="7.140625" style="2" customWidth="1"/>
    <col min="8415" max="8415" width="20.140625" style="2" customWidth="1"/>
    <col min="8416" max="8647" width="8.85546875" style="2" customWidth="1"/>
    <col min="8648" max="8648" width="8.140625" style="2" customWidth="1"/>
    <col min="8649" max="8649" width="14.42578125" style="2" customWidth="1"/>
    <col min="8650" max="8650" width="37.42578125" style="2" customWidth="1"/>
    <col min="8651" max="8651" width="63.140625" style="2" customWidth="1"/>
    <col min="8652" max="8652" width="20" style="2" customWidth="1"/>
    <col min="8653" max="8653" width="11.140625" style="2" customWidth="1"/>
    <col min="8654" max="8654" width="10.85546875" style="2" customWidth="1"/>
    <col min="8655" max="8655" width="21" style="2" customWidth="1"/>
    <col min="8656" max="8656" width="10.85546875" style="2" customWidth="1"/>
    <col min="8657" max="8657" width="17.42578125" style="2" customWidth="1"/>
    <col min="8658" max="8658" width="14.85546875" style="2" customWidth="1"/>
    <col min="8659" max="8659" width="15" style="2" customWidth="1"/>
    <col min="8660" max="8660" width="14.85546875" style="2" customWidth="1"/>
    <col min="8661" max="8661" width="7.140625" style="2" customWidth="1"/>
    <col min="8662" max="8663" width="20.140625" style="2" customWidth="1"/>
    <col min="8664" max="8664" width="18.42578125" style="2" customWidth="1"/>
    <col min="8665" max="8665" width="9.140625" style="2" customWidth="1"/>
    <col min="8666" max="8666" width="12" style="2" customWidth="1"/>
    <col min="8667" max="8667" width="14.85546875" style="2" customWidth="1"/>
    <col min="8668" max="8668" width="22.42578125" style="2" customWidth="1"/>
    <col min="8669" max="8669" width="14.85546875" style="2" customWidth="1"/>
    <col min="8670" max="8670" width="7.140625" style="2" customWidth="1"/>
    <col min="8671" max="8671" width="20.140625" style="2" customWidth="1"/>
    <col min="8672" max="8903" width="8.85546875" style="2" customWidth="1"/>
    <col min="8904" max="8904" width="8.140625" style="2" customWidth="1"/>
    <col min="8905" max="8905" width="14.42578125" style="2" customWidth="1"/>
    <col min="8906" max="8906" width="37.42578125" style="2" customWidth="1"/>
    <col min="8907" max="8907" width="63.140625" style="2" customWidth="1"/>
    <col min="8908" max="8908" width="20" style="2" customWidth="1"/>
    <col min="8909" max="8909" width="11.140625" style="2" customWidth="1"/>
    <col min="8910" max="8910" width="10.85546875" style="2" customWidth="1"/>
    <col min="8911" max="8911" width="21" style="2" customWidth="1"/>
    <col min="8912" max="8912" width="10.85546875" style="2" customWidth="1"/>
    <col min="8913" max="8913" width="17.42578125" style="2" customWidth="1"/>
    <col min="8914" max="8914" width="14.85546875" style="2" customWidth="1"/>
    <col min="8915" max="8915" width="15" style="2" customWidth="1"/>
    <col min="8916" max="8916" width="14.85546875" style="2" customWidth="1"/>
    <col min="8917" max="8917" width="7.140625" style="2" customWidth="1"/>
    <col min="8918" max="8919" width="20.140625" style="2" customWidth="1"/>
    <col min="8920" max="8920" width="18.42578125" style="2" customWidth="1"/>
    <col min="8921" max="8921" width="9.140625" style="2" customWidth="1"/>
    <col min="8922" max="8922" width="12" style="2" customWidth="1"/>
    <col min="8923" max="8923" width="14.85546875" style="2" customWidth="1"/>
    <col min="8924" max="8924" width="22.42578125" style="2" customWidth="1"/>
    <col min="8925" max="8925" width="14.85546875" style="2" customWidth="1"/>
    <col min="8926" max="8926" width="7.140625" style="2" customWidth="1"/>
    <col min="8927" max="8927" width="20.140625" style="2" customWidth="1"/>
    <col min="8928" max="9159" width="8.85546875" style="2" customWidth="1"/>
    <col min="9160" max="9160" width="8.140625" style="2" customWidth="1"/>
    <col min="9161" max="9161" width="14.42578125" style="2" customWidth="1"/>
    <col min="9162" max="9162" width="37.42578125" style="2" customWidth="1"/>
    <col min="9163" max="9163" width="63.140625" style="2" customWidth="1"/>
    <col min="9164" max="9164" width="20" style="2" customWidth="1"/>
    <col min="9165" max="9165" width="11.140625" style="2" customWidth="1"/>
    <col min="9166" max="9166" width="10.85546875" style="2" customWidth="1"/>
    <col min="9167" max="9167" width="21" style="2" customWidth="1"/>
    <col min="9168" max="9168" width="10.85546875" style="2" customWidth="1"/>
    <col min="9169" max="9169" width="17.42578125" style="2" customWidth="1"/>
    <col min="9170" max="9170" width="14.85546875" style="2" customWidth="1"/>
    <col min="9171" max="9171" width="15" style="2" customWidth="1"/>
    <col min="9172" max="9172" width="14.85546875" style="2" customWidth="1"/>
    <col min="9173" max="9173" width="7.140625" style="2" customWidth="1"/>
    <col min="9174" max="9175" width="20.140625" style="2" customWidth="1"/>
    <col min="9176" max="9176" width="18.42578125" style="2" customWidth="1"/>
    <col min="9177" max="9177" width="9.140625" style="2" customWidth="1"/>
    <col min="9178" max="9178" width="12" style="2" customWidth="1"/>
    <col min="9179" max="9179" width="14.85546875" style="2" customWidth="1"/>
    <col min="9180" max="9180" width="22.42578125" style="2" customWidth="1"/>
    <col min="9181" max="9181" width="14.85546875" style="2" customWidth="1"/>
    <col min="9182" max="9182" width="7.140625" style="2" customWidth="1"/>
    <col min="9183" max="9183" width="20.140625" style="2" customWidth="1"/>
    <col min="9184" max="9415" width="8.85546875" style="2" customWidth="1"/>
    <col min="9416" max="9416" width="8.140625" style="2" customWidth="1"/>
    <col min="9417" max="9417" width="14.42578125" style="2" customWidth="1"/>
    <col min="9418" max="9418" width="37.42578125" style="2" customWidth="1"/>
    <col min="9419" max="9419" width="63.140625" style="2" customWidth="1"/>
    <col min="9420" max="9420" width="20" style="2" customWidth="1"/>
    <col min="9421" max="9421" width="11.140625" style="2" customWidth="1"/>
    <col min="9422" max="9422" width="10.85546875" style="2" customWidth="1"/>
    <col min="9423" max="9423" width="21" style="2" customWidth="1"/>
    <col min="9424" max="9424" width="10.85546875" style="2" customWidth="1"/>
    <col min="9425" max="9425" width="17.42578125" style="2" customWidth="1"/>
    <col min="9426" max="9426" width="14.85546875" style="2" customWidth="1"/>
    <col min="9427" max="9427" width="15" style="2" customWidth="1"/>
    <col min="9428" max="9428" width="14.85546875" style="2" customWidth="1"/>
    <col min="9429" max="9429" width="7.140625" style="2" customWidth="1"/>
    <col min="9430" max="9431" width="20.140625" style="2" customWidth="1"/>
    <col min="9432" max="9432" width="18.42578125" style="2" customWidth="1"/>
    <col min="9433" max="9433" width="9.140625" style="2" customWidth="1"/>
    <col min="9434" max="9434" width="12" style="2" customWidth="1"/>
    <col min="9435" max="9435" width="14.85546875" style="2" customWidth="1"/>
    <col min="9436" max="9436" width="22.42578125" style="2" customWidth="1"/>
    <col min="9437" max="9437" width="14.85546875" style="2" customWidth="1"/>
    <col min="9438" max="9438" width="7.140625" style="2" customWidth="1"/>
    <col min="9439" max="9439" width="20.140625" style="2" customWidth="1"/>
    <col min="9440" max="9671" width="8.85546875" style="2" customWidth="1"/>
    <col min="9672" max="9672" width="8.140625" style="2" customWidth="1"/>
    <col min="9673" max="9673" width="14.42578125" style="2" customWidth="1"/>
    <col min="9674" max="9674" width="37.42578125" style="2" customWidth="1"/>
    <col min="9675" max="9675" width="63.140625" style="2" customWidth="1"/>
    <col min="9676" max="9676" width="20" style="2" customWidth="1"/>
    <col min="9677" max="9677" width="11.140625" style="2" customWidth="1"/>
    <col min="9678" max="9678" width="10.85546875" style="2" customWidth="1"/>
    <col min="9679" max="9679" width="21" style="2" customWidth="1"/>
    <col min="9680" max="9680" width="10.85546875" style="2" customWidth="1"/>
    <col min="9681" max="9681" width="17.42578125" style="2" customWidth="1"/>
    <col min="9682" max="9682" width="14.85546875" style="2" customWidth="1"/>
    <col min="9683" max="9683" width="15" style="2" customWidth="1"/>
    <col min="9684" max="9684" width="14.85546875" style="2" customWidth="1"/>
    <col min="9685" max="9685" width="7.140625" style="2" customWidth="1"/>
    <col min="9686" max="9687" width="20.140625" style="2" customWidth="1"/>
    <col min="9688" max="9688" width="18.42578125" style="2" customWidth="1"/>
    <col min="9689" max="9689" width="9.140625" style="2" customWidth="1"/>
    <col min="9690" max="9690" width="12" style="2" customWidth="1"/>
    <col min="9691" max="9691" width="14.85546875" style="2" customWidth="1"/>
    <col min="9692" max="9692" width="22.42578125" style="2" customWidth="1"/>
    <col min="9693" max="9693" width="14.85546875" style="2" customWidth="1"/>
    <col min="9694" max="9694" width="7.140625" style="2" customWidth="1"/>
    <col min="9695" max="9695" width="20.140625" style="2" customWidth="1"/>
    <col min="9696" max="9927" width="8.85546875" style="2" customWidth="1"/>
    <col min="9928" max="9928" width="8.140625" style="2" customWidth="1"/>
    <col min="9929" max="9929" width="14.42578125" style="2" customWidth="1"/>
    <col min="9930" max="9930" width="37.42578125" style="2" customWidth="1"/>
    <col min="9931" max="9931" width="63.140625" style="2" customWidth="1"/>
    <col min="9932" max="9932" width="20" style="2" customWidth="1"/>
    <col min="9933" max="9933" width="11.140625" style="2" customWidth="1"/>
    <col min="9934" max="9934" width="10.85546875" style="2" customWidth="1"/>
    <col min="9935" max="9935" width="21" style="2" customWidth="1"/>
    <col min="9936" max="9936" width="10.85546875" style="2" customWidth="1"/>
    <col min="9937" max="9937" width="17.42578125" style="2" customWidth="1"/>
    <col min="9938" max="9938" width="14.85546875" style="2" customWidth="1"/>
    <col min="9939" max="9939" width="15" style="2" customWidth="1"/>
    <col min="9940" max="9940" width="14.85546875" style="2" customWidth="1"/>
    <col min="9941" max="9941" width="7.140625" style="2" customWidth="1"/>
    <col min="9942" max="9943" width="20.140625" style="2" customWidth="1"/>
    <col min="9944" max="9944" width="18.42578125" style="2" customWidth="1"/>
    <col min="9945" max="9945" width="9.140625" style="2" customWidth="1"/>
    <col min="9946" max="9946" width="12" style="2" customWidth="1"/>
    <col min="9947" max="9947" width="14.85546875" style="2" customWidth="1"/>
    <col min="9948" max="9948" width="22.42578125" style="2" customWidth="1"/>
    <col min="9949" max="9949" width="14.85546875" style="2" customWidth="1"/>
    <col min="9950" max="9950" width="7.140625" style="2" customWidth="1"/>
    <col min="9951" max="9951" width="20.140625" style="2" customWidth="1"/>
    <col min="9952" max="10183" width="8.85546875" style="2" customWidth="1"/>
    <col min="10184" max="10184" width="8.140625" style="2" customWidth="1"/>
    <col min="10185" max="10185" width="14.42578125" style="2" customWidth="1"/>
    <col min="10186" max="10186" width="37.42578125" style="2" customWidth="1"/>
    <col min="10187" max="10187" width="63.140625" style="2" customWidth="1"/>
    <col min="10188" max="10188" width="20" style="2" customWidth="1"/>
    <col min="10189" max="10189" width="11.140625" style="2" customWidth="1"/>
    <col min="10190" max="10190" width="10.85546875" style="2" customWidth="1"/>
    <col min="10191" max="10191" width="21" style="2" customWidth="1"/>
    <col min="10192" max="10192" width="10.85546875" style="2" customWidth="1"/>
    <col min="10193" max="10193" width="17.42578125" style="2" customWidth="1"/>
    <col min="10194" max="10194" width="14.85546875" style="2" customWidth="1"/>
    <col min="10195" max="10195" width="15" style="2" customWidth="1"/>
    <col min="10196" max="10196" width="14.85546875" style="2" customWidth="1"/>
    <col min="10197" max="10197" width="7.140625" style="2" customWidth="1"/>
    <col min="10198" max="10199" width="20.140625" style="2" customWidth="1"/>
    <col min="10200" max="10200" width="18.42578125" style="2" customWidth="1"/>
    <col min="10201" max="10201" width="9.140625" style="2" customWidth="1"/>
    <col min="10202" max="10202" width="12" style="2" customWidth="1"/>
    <col min="10203" max="10203" width="14.85546875" style="2" customWidth="1"/>
    <col min="10204" max="10204" width="22.42578125" style="2" customWidth="1"/>
    <col min="10205" max="10205" width="14.85546875" style="2" customWidth="1"/>
    <col min="10206" max="10206" width="7.140625" style="2" customWidth="1"/>
    <col min="10207" max="10207" width="20.140625" style="2" customWidth="1"/>
    <col min="10208" max="10439" width="8.85546875" style="2" customWidth="1"/>
    <col min="10440" max="10440" width="8.140625" style="2" customWidth="1"/>
    <col min="10441" max="10441" width="14.42578125" style="2" customWidth="1"/>
    <col min="10442" max="10442" width="37.42578125" style="2" customWidth="1"/>
    <col min="10443" max="10443" width="63.140625" style="2" customWidth="1"/>
    <col min="10444" max="10444" width="20" style="2" customWidth="1"/>
    <col min="10445" max="10445" width="11.140625" style="2" customWidth="1"/>
    <col min="10446" max="10446" width="10.85546875" style="2" customWidth="1"/>
    <col min="10447" max="10447" width="21" style="2" customWidth="1"/>
    <col min="10448" max="10448" width="10.85546875" style="2" customWidth="1"/>
    <col min="10449" max="10449" width="17.42578125" style="2" customWidth="1"/>
    <col min="10450" max="10450" width="14.85546875" style="2" customWidth="1"/>
    <col min="10451" max="10451" width="15" style="2" customWidth="1"/>
    <col min="10452" max="10452" width="14.85546875" style="2" customWidth="1"/>
    <col min="10453" max="10453" width="7.140625" style="2" customWidth="1"/>
    <col min="10454" max="10455" width="20.140625" style="2" customWidth="1"/>
    <col min="10456" max="10456" width="18.42578125" style="2" customWidth="1"/>
    <col min="10457" max="10457" width="9.140625" style="2" customWidth="1"/>
    <col min="10458" max="10458" width="12" style="2" customWidth="1"/>
    <col min="10459" max="10459" width="14.85546875" style="2" customWidth="1"/>
    <col min="10460" max="10460" width="22.42578125" style="2" customWidth="1"/>
    <col min="10461" max="10461" width="14.85546875" style="2" customWidth="1"/>
    <col min="10462" max="10462" width="7.140625" style="2" customWidth="1"/>
    <col min="10463" max="10463" width="20.140625" style="2" customWidth="1"/>
    <col min="10464" max="10695" width="8.85546875" style="2" customWidth="1"/>
    <col min="10696" max="10696" width="8.140625" style="2" customWidth="1"/>
    <col min="10697" max="10697" width="14.42578125" style="2" customWidth="1"/>
    <col min="10698" max="10698" width="37.42578125" style="2" customWidth="1"/>
    <col min="10699" max="10699" width="63.140625" style="2" customWidth="1"/>
    <col min="10700" max="10700" width="20" style="2" customWidth="1"/>
    <col min="10701" max="10701" width="11.140625" style="2" customWidth="1"/>
    <col min="10702" max="10702" width="10.85546875" style="2" customWidth="1"/>
    <col min="10703" max="10703" width="21" style="2" customWidth="1"/>
    <col min="10704" max="10704" width="10.85546875" style="2" customWidth="1"/>
    <col min="10705" max="10705" width="17.42578125" style="2" customWidth="1"/>
    <col min="10706" max="10706" width="14.85546875" style="2" customWidth="1"/>
    <col min="10707" max="10707" width="15" style="2" customWidth="1"/>
    <col min="10708" max="10708" width="14.85546875" style="2" customWidth="1"/>
    <col min="10709" max="10709" width="7.140625" style="2" customWidth="1"/>
    <col min="10710" max="10711" width="20.140625" style="2" customWidth="1"/>
    <col min="10712" max="10712" width="18.42578125" style="2" customWidth="1"/>
    <col min="10713" max="10713" width="9.140625" style="2" customWidth="1"/>
    <col min="10714" max="10714" width="12" style="2" customWidth="1"/>
    <col min="10715" max="10715" width="14.85546875" style="2" customWidth="1"/>
    <col min="10716" max="10716" width="22.42578125" style="2" customWidth="1"/>
    <col min="10717" max="10717" width="14.85546875" style="2" customWidth="1"/>
    <col min="10718" max="10718" width="7.140625" style="2" customWidth="1"/>
    <col min="10719" max="10719" width="20.140625" style="2" customWidth="1"/>
    <col min="10720" max="10951" width="8.85546875" style="2" customWidth="1"/>
    <col min="10952" max="10952" width="8.140625" style="2" customWidth="1"/>
    <col min="10953" max="10953" width="14.42578125" style="2" customWidth="1"/>
    <col min="10954" max="10954" width="37.42578125" style="2" customWidth="1"/>
    <col min="10955" max="10955" width="63.140625" style="2" customWidth="1"/>
    <col min="10956" max="10956" width="20" style="2" customWidth="1"/>
    <col min="10957" max="10957" width="11.140625" style="2" customWidth="1"/>
    <col min="10958" max="10958" width="10.85546875" style="2" customWidth="1"/>
    <col min="10959" max="10959" width="21" style="2" customWidth="1"/>
    <col min="10960" max="10960" width="10.85546875" style="2" customWidth="1"/>
    <col min="10961" max="10961" width="17.42578125" style="2" customWidth="1"/>
    <col min="10962" max="10962" width="14.85546875" style="2" customWidth="1"/>
    <col min="10963" max="10963" width="15" style="2" customWidth="1"/>
    <col min="10964" max="10964" width="14.85546875" style="2" customWidth="1"/>
    <col min="10965" max="10965" width="7.140625" style="2" customWidth="1"/>
    <col min="10966" max="10967" width="20.140625" style="2" customWidth="1"/>
    <col min="10968" max="10968" width="18.42578125" style="2" customWidth="1"/>
    <col min="10969" max="10969" width="9.140625" style="2" customWidth="1"/>
    <col min="10970" max="10970" width="12" style="2" customWidth="1"/>
    <col min="10971" max="10971" width="14.85546875" style="2" customWidth="1"/>
    <col min="10972" max="10972" width="22.42578125" style="2" customWidth="1"/>
    <col min="10973" max="10973" width="14.85546875" style="2" customWidth="1"/>
    <col min="10974" max="10974" width="7.140625" style="2" customWidth="1"/>
    <col min="10975" max="10975" width="20.140625" style="2" customWidth="1"/>
    <col min="10976" max="11207" width="8.85546875" style="2" customWidth="1"/>
    <col min="11208" max="11208" width="8.140625" style="2" customWidth="1"/>
    <col min="11209" max="11209" width="14.42578125" style="2" customWidth="1"/>
    <col min="11210" max="11210" width="37.42578125" style="2" customWidth="1"/>
    <col min="11211" max="11211" width="63.140625" style="2" customWidth="1"/>
    <col min="11212" max="11212" width="20" style="2" customWidth="1"/>
    <col min="11213" max="11213" width="11.140625" style="2" customWidth="1"/>
    <col min="11214" max="11214" width="10.85546875" style="2" customWidth="1"/>
    <col min="11215" max="11215" width="21" style="2" customWidth="1"/>
    <col min="11216" max="11216" width="10.85546875" style="2" customWidth="1"/>
    <col min="11217" max="11217" width="17.42578125" style="2" customWidth="1"/>
    <col min="11218" max="11218" width="14.85546875" style="2" customWidth="1"/>
    <col min="11219" max="11219" width="15" style="2" customWidth="1"/>
    <col min="11220" max="11220" width="14.85546875" style="2" customWidth="1"/>
    <col min="11221" max="11221" width="7.140625" style="2" customWidth="1"/>
    <col min="11222" max="11223" width="20.140625" style="2" customWidth="1"/>
    <col min="11224" max="11224" width="18.42578125" style="2" customWidth="1"/>
    <col min="11225" max="11225" width="9.140625" style="2" customWidth="1"/>
    <col min="11226" max="11226" width="12" style="2" customWidth="1"/>
    <col min="11227" max="11227" width="14.85546875" style="2" customWidth="1"/>
    <col min="11228" max="11228" width="22.42578125" style="2" customWidth="1"/>
    <col min="11229" max="11229" width="14.85546875" style="2" customWidth="1"/>
    <col min="11230" max="11230" width="7.140625" style="2" customWidth="1"/>
    <col min="11231" max="11231" width="20.140625" style="2" customWidth="1"/>
    <col min="11232" max="11463" width="8.85546875" style="2" customWidth="1"/>
    <col min="11464" max="11464" width="8.140625" style="2" customWidth="1"/>
    <col min="11465" max="11465" width="14.42578125" style="2" customWidth="1"/>
    <col min="11466" max="11466" width="37.42578125" style="2" customWidth="1"/>
    <col min="11467" max="11467" width="63.140625" style="2" customWidth="1"/>
    <col min="11468" max="11468" width="20" style="2" customWidth="1"/>
    <col min="11469" max="11469" width="11.140625" style="2" customWidth="1"/>
    <col min="11470" max="11470" width="10.85546875" style="2" customWidth="1"/>
    <col min="11471" max="11471" width="21" style="2" customWidth="1"/>
    <col min="11472" max="11472" width="10.85546875" style="2" customWidth="1"/>
    <col min="11473" max="11473" width="17.42578125" style="2" customWidth="1"/>
    <col min="11474" max="11474" width="14.85546875" style="2" customWidth="1"/>
    <col min="11475" max="11475" width="15" style="2" customWidth="1"/>
    <col min="11476" max="11476" width="14.85546875" style="2" customWidth="1"/>
    <col min="11477" max="11477" width="7.140625" style="2" customWidth="1"/>
    <col min="11478" max="11479" width="20.140625" style="2" customWidth="1"/>
    <col min="11480" max="11480" width="18.42578125" style="2" customWidth="1"/>
    <col min="11481" max="11481" width="9.140625" style="2" customWidth="1"/>
    <col min="11482" max="11482" width="12" style="2" customWidth="1"/>
    <col min="11483" max="11483" width="14.85546875" style="2" customWidth="1"/>
    <col min="11484" max="11484" width="22.42578125" style="2" customWidth="1"/>
    <col min="11485" max="11485" width="14.85546875" style="2" customWidth="1"/>
    <col min="11486" max="11486" width="7.140625" style="2" customWidth="1"/>
    <col min="11487" max="11487" width="20.140625" style="2" customWidth="1"/>
    <col min="11488" max="11719" width="8.85546875" style="2" customWidth="1"/>
    <col min="11720" max="11720" width="8.140625" style="2" customWidth="1"/>
    <col min="11721" max="11721" width="14.42578125" style="2" customWidth="1"/>
    <col min="11722" max="11722" width="37.42578125" style="2" customWidth="1"/>
    <col min="11723" max="11723" width="63.140625" style="2" customWidth="1"/>
    <col min="11724" max="11724" width="20" style="2" customWidth="1"/>
    <col min="11725" max="11725" width="11.140625" style="2" customWidth="1"/>
    <col min="11726" max="11726" width="10.85546875" style="2" customWidth="1"/>
    <col min="11727" max="11727" width="21" style="2" customWidth="1"/>
    <col min="11728" max="11728" width="10.85546875" style="2" customWidth="1"/>
    <col min="11729" max="11729" width="17.42578125" style="2" customWidth="1"/>
    <col min="11730" max="11730" width="14.85546875" style="2" customWidth="1"/>
    <col min="11731" max="11731" width="15" style="2" customWidth="1"/>
    <col min="11732" max="11732" width="14.85546875" style="2" customWidth="1"/>
    <col min="11733" max="11733" width="7.140625" style="2" customWidth="1"/>
    <col min="11734" max="11735" width="20.140625" style="2" customWidth="1"/>
    <col min="11736" max="11736" width="18.42578125" style="2" customWidth="1"/>
    <col min="11737" max="11737" width="9.140625" style="2" customWidth="1"/>
    <col min="11738" max="11738" width="12" style="2" customWidth="1"/>
    <col min="11739" max="11739" width="14.85546875" style="2" customWidth="1"/>
    <col min="11740" max="11740" width="22.42578125" style="2" customWidth="1"/>
    <col min="11741" max="11741" width="14.85546875" style="2" customWidth="1"/>
    <col min="11742" max="11742" width="7.140625" style="2" customWidth="1"/>
    <col min="11743" max="11743" width="20.140625" style="2" customWidth="1"/>
    <col min="11744" max="11975" width="8.85546875" style="2" customWidth="1"/>
    <col min="11976" max="11976" width="8.140625" style="2" customWidth="1"/>
    <col min="11977" max="11977" width="14.42578125" style="2" customWidth="1"/>
    <col min="11978" max="11978" width="37.42578125" style="2" customWidth="1"/>
    <col min="11979" max="11979" width="63.140625" style="2" customWidth="1"/>
    <col min="11980" max="11980" width="20" style="2" customWidth="1"/>
    <col min="11981" max="11981" width="11.140625" style="2" customWidth="1"/>
    <col min="11982" max="11982" width="10.85546875" style="2" customWidth="1"/>
    <col min="11983" max="11983" width="21" style="2" customWidth="1"/>
    <col min="11984" max="11984" width="10.85546875" style="2" customWidth="1"/>
    <col min="11985" max="11985" width="17.42578125" style="2" customWidth="1"/>
    <col min="11986" max="11986" width="14.85546875" style="2" customWidth="1"/>
    <col min="11987" max="11987" width="15" style="2" customWidth="1"/>
    <col min="11988" max="11988" width="14.85546875" style="2" customWidth="1"/>
    <col min="11989" max="11989" width="7.140625" style="2" customWidth="1"/>
    <col min="11990" max="11991" width="20.140625" style="2" customWidth="1"/>
    <col min="11992" max="11992" width="18.42578125" style="2" customWidth="1"/>
    <col min="11993" max="11993" width="9.140625" style="2" customWidth="1"/>
    <col min="11994" max="11994" width="12" style="2" customWidth="1"/>
    <col min="11995" max="11995" width="14.85546875" style="2" customWidth="1"/>
    <col min="11996" max="11996" width="22.42578125" style="2" customWidth="1"/>
    <col min="11997" max="11997" width="14.85546875" style="2" customWidth="1"/>
    <col min="11998" max="11998" width="7.140625" style="2" customWidth="1"/>
    <col min="11999" max="11999" width="20.140625" style="2" customWidth="1"/>
    <col min="12000" max="12231" width="8.85546875" style="2" customWidth="1"/>
    <col min="12232" max="12232" width="8.140625" style="2" customWidth="1"/>
    <col min="12233" max="12233" width="14.42578125" style="2" customWidth="1"/>
    <col min="12234" max="12234" width="37.42578125" style="2" customWidth="1"/>
    <col min="12235" max="12235" width="63.140625" style="2" customWidth="1"/>
    <col min="12236" max="12236" width="20" style="2" customWidth="1"/>
    <col min="12237" max="12237" width="11.140625" style="2" customWidth="1"/>
    <col min="12238" max="12238" width="10.85546875" style="2" customWidth="1"/>
    <col min="12239" max="12239" width="21" style="2" customWidth="1"/>
    <col min="12240" max="12240" width="10.85546875" style="2" customWidth="1"/>
    <col min="12241" max="12241" width="17.42578125" style="2" customWidth="1"/>
    <col min="12242" max="12242" width="14.85546875" style="2" customWidth="1"/>
    <col min="12243" max="12243" width="15" style="2" customWidth="1"/>
    <col min="12244" max="12244" width="14.85546875" style="2" customWidth="1"/>
    <col min="12245" max="12245" width="7.140625" style="2" customWidth="1"/>
    <col min="12246" max="12247" width="20.140625" style="2" customWidth="1"/>
    <col min="12248" max="12248" width="18.42578125" style="2" customWidth="1"/>
    <col min="12249" max="12249" width="9.140625" style="2" customWidth="1"/>
    <col min="12250" max="12250" width="12" style="2" customWidth="1"/>
    <col min="12251" max="12251" width="14.85546875" style="2" customWidth="1"/>
    <col min="12252" max="12252" width="22.42578125" style="2" customWidth="1"/>
    <col min="12253" max="12253" width="14.85546875" style="2" customWidth="1"/>
    <col min="12254" max="12254" width="7.140625" style="2" customWidth="1"/>
    <col min="12255" max="12255" width="20.140625" style="2" customWidth="1"/>
    <col min="12256" max="12487" width="8.85546875" style="2" customWidth="1"/>
    <col min="12488" max="12488" width="8.140625" style="2" customWidth="1"/>
    <col min="12489" max="12489" width="14.42578125" style="2" customWidth="1"/>
    <col min="12490" max="12490" width="37.42578125" style="2" customWidth="1"/>
    <col min="12491" max="12491" width="63.140625" style="2" customWidth="1"/>
    <col min="12492" max="12492" width="20" style="2" customWidth="1"/>
    <col min="12493" max="12493" width="11.140625" style="2" customWidth="1"/>
    <col min="12494" max="12494" width="10.85546875" style="2" customWidth="1"/>
    <col min="12495" max="12495" width="21" style="2" customWidth="1"/>
    <col min="12496" max="12496" width="10.85546875" style="2" customWidth="1"/>
    <col min="12497" max="12497" width="17.42578125" style="2" customWidth="1"/>
    <col min="12498" max="12498" width="14.85546875" style="2" customWidth="1"/>
    <col min="12499" max="12499" width="15" style="2" customWidth="1"/>
    <col min="12500" max="12500" width="14.85546875" style="2" customWidth="1"/>
    <col min="12501" max="12501" width="7.140625" style="2" customWidth="1"/>
    <col min="12502" max="12503" width="20.140625" style="2" customWidth="1"/>
    <col min="12504" max="12504" width="18.42578125" style="2" customWidth="1"/>
    <col min="12505" max="12505" width="9.140625" style="2" customWidth="1"/>
    <col min="12506" max="12506" width="12" style="2" customWidth="1"/>
    <col min="12507" max="12507" width="14.85546875" style="2" customWidth="1"/>
    <col min="12508" max="12508" width="22.42578125" style="2" customWidth="1"/>
    <col min="12509" max="12509" width="14.85546875" style="2" customWidth="1"/>
    <col min="12510" max="12510" width="7.140625" style="2" customWidth="1"/>
    <col min="12511" max="12511" width="20.140625" style="2" customWidth="1"/>
    <col min="12512" max="12743" width="8.85546875" style="2" customWidth="1"/>
    <col min="12744" max="12744" width="8.140625" style="2" customWidth="1"/>
    <col min="12745" max="12745" width="14.42578125" style="2" customWidth="1"/>
    <col min="12746" max="12746" width="37.42578125" style="2" customWidth="1"/>
    <col min="12747" max="12747" width="63.140625" style="2" customWidth="1"/>
    <col min="12748" max="12748" width="20" style="2" customWidth="1"/>
    <col min="12749" max="12749" width="11.140625" style="2" customWidth="1"/>
    <col min="12750" max="12750" width="10.85546875" style="2" customWidth="1"/>
    <col min="12751" max="12751" width="21" style="2" customWidth="1"/>
    <col min="12752" max="12752" width="10.85546875" style="2" customWidth="1"/>
    <col min="12753" max="12753" width="17.42578125" style="2" customWidth="1"/>
    <col min="12754" max="12754" width="14.85546875" style="2" customWidth="1"/>
    <col min="12755" max="12755" width="15" style="2" customWidth="1"/>
    <col min="12756" max="12756" width="14.85546875" style="2" customWidth="1"/>
    <col min="12757" max="12757" width="7.140625" style="2" customWidth="1"/>
    <col min="12758" max="12759" width="20.140625" style="2" customWidth="1"/>
    <col min="12760" max="12760" width="18.42578125" style="2" customWidth="1"/>
    <col min="12761" max="12761" width="9.140625" style="2" customWidth="1"/>
    <col min="12762" max="12762" width="12" style="2" customWidth="1"/>
    <col min="12763" max="12763" width="14.85546875" style="2" customWidth="1"/>
    <col min="12764" max="12764" width="22.42578125" style="2" customWidth="1"/>
    <col min="12765" max="12765" width="14.85546875" style="2" customWidth="1"/>
    <col min="12766" max="12766" width="7.140625" style="2" customWidth="1"/>
    <col min="12767" max="12767" width="20.140625" style="2" customWidth="1"/>
    <col min="12768" max="12999" width="8.85546875" style="2" customWidth="1"/>
    <col min="13000" max="13000" width="8.140625" style="2" customWidth="1"/>
    <col min="13001" max="13001" width="14.42578125" style="2" customWidth="1"/>
    <col min="13002" max="13002" width="37.42578125" style="2" customWidth="1"/>
    <col min="13003" max="13003" width="63.140625" style="2" customWidth="1"/>
    <col min="13004" max="13004" width="20" style="2" customWidth="1"/>
    <col min="13005" max="13005" width="11.140625" style="2" customWidth="1"/>
    <col min="13006" max="13006" width="10.85546875" style="2" customWidth="1"/>
    <col min="13007" max="13007" width="21" style="2" customWidth="1"/>
    <col min="13008" max="13008" width="10.85546875" style="2" customWidth="1"/>
    <col min="13009" max="13009" width="17.42578125" style="2" customWidth="1"/>
    <col min="13010" max="13010" width="14.85546875" style="2" customWidth="1"/>
    <col min="13011" max="13011" width="15" style="2" customWidth="1"/>
    <col min="13012" max="13012" width="14.85546875" style="2" customWidth="1"/>
    <col min="13013" max="13013" width="7.140625" style="2" customWidth="1"/>
    <col min="13014" max="13015" width="20.140625" style="2" customWidth="1"/>
    <col min="13016" max="13016" width="18.42578125" style="2" customWidth="1"/>
    <col min="13017" max="13017" width="9.140625" style="2" customWidth="1"/>
    <col min="13018" max="13018" width="12" style="2" customWidth="1"/>
    <col min="13019" max="13019" width="14.85546875" style="2" customWidth="1"/>
    <col min="13020" max="13020" width="22.42578125" style="2" customWidth="1"/>
    <col min="13021" max="13021" width="14.85546875" style="2" customWidth="1"/>
    <col min="13022" max="13022" width="7.140625" style="2" customWidth="1"/>
    <col min="13023" max="13023" width="20.140625" style="2" customWidth="1"/>
    <col min="13024" max="13255" width="8.85546875" style="2" customWidth="1"/>
    <col min="13256" max="13256" width="8.140625" style="2" customWidth="1"/>
    <col min="13257" max="13257" width="14.42578125" style="2" customWidth="1"/>
    <col min="13258" max="13258" width="37.42578125" style="2" customWidth="1"/>
    <col min="13259" max="13259" width="63.140625" style="2" customWidth="1"/>
    <col min="13260" max="13260" width="20" style="2" customWidth="1"/>
    <col min="13261" max="13261" width="11.140625" style="2" customWidth="1"/>
    <col min="13262" max="13262" width="10.85546875" style="2" customWidth="1"/>
    <col min="13263" max="13263" width="21" style="2" customWidth="1"/>
    <col min="13264" max="13264" width="10.85546875" style="2" customWidth="1"/>
    <col min="13265" max="13265" width="17.42578125" style="2" customWidth="1"/>
    <col min="13266" max="13266" width="14.85546875" style="2" customWidth="1"/>
    <col min="13267" max="13267" width="15" style="2" customWidth="1"/>
    <col min="13268" max="13268" width="14.85546875" style="2" customWidth="1"/>
    <col min="13269" max="13269" width="7.140625" style="2" customWidth="1"/>
    <col min="13270" max="13271" width="20.140625" style="2" customWidth="1"/>
    <col min="13272" max="13272" width="18.42578125" style="2" customWidth="1"/>
    <col min="13273" max="13273" width="9.140625" style="2" customWidth="1"/>
    <col min="13274" max="13274" width="12" style="2" customWidth="1"/>
    <col min="13275" max="13275" width="14.85546875" style="2" customWidth="1"/>
    <col min="13276" max="13276" width="22.42578125" style="2" customWidth="1"/>
    <col min="13277" max="13277" width="14.85546875" style="2" customWidth="1"/>
    <col min="13278" max="13278" width="7.140625" style="2" customWidth="1"/>
    <col min="13279" max="13279" width="20.140625" style="2" customWidth="1"/>
    <col min="13280" max="13511" width="8.85546875" style="2" customWidth="1"/>
    <col min="13512" max="13512" width="8.140625" style="2" customWidth="1"/>
    <col min="13513" max="13513" width="14.42578125" style="2" customWidth="1"/>
    <col min="13514" max="13514" width="37.42578125" style="2" customWidth="1"/>
    <col min="13515" max="13515" width="63.140625" style="2" customWidth="1"/>
    <col min="13516" max="13516" width="20" style="2" customWidth="1"/>
    <col min="13517" max="13517" width="11.140625" style="2" customWidth="1"/>
    <col min="13518" max="13518" width="10.85546875" style="2" customWidth="1"/>
    <col min="13519" max="13519" width="21" style="2" customWidth="1"/>
    <col min="13520" max="13520" width="10.85546875" style="2" customWidth="1"/>
    <col min="13521" max="13521" width="17.42578125" style="2" customWidth="1"/>
    <col min="13522" max="13522" width="14.85546875" style="2" customWidth="1"/>
    <col min="13523" max="13523" width="15" style="2" customWidth="1"/>
    <col min="13524" max="13524" width="14.85546875" style="2" customWidth="1"/>
    <col min="13525" max="13525" width="7.140625" style="2" customWidth="1"/>
    <col min="13526" max="13527" width="20.140625" style="2" customWidth="1"/>
    <col min="13528" max="13528" width="18.42578125" style="2" customWidth="1"/>
    <col min="13529" max="13529" width="9.140625" style="2" customWidth="1"/>
    <col min="13530" max="13530" width="12" style="2" customWidth="1"/>
    <col min="13531" max="13531" width="14.85546875" style="2" customWidth="1"/>
    <col min="13532" max="13532" width="22.42578125" style="2" customWidth="1"/>
    <col min="13533" max="13533" width="14.85546875" style="2" customWidth="1"/>
    <col min="13534" max="13534" width="7.140625" style="2" customWidth="1"/>
    <col min="13535" max="13535" width="20.140625" style="2" customWidth="1"/>
    <col min="13536" max="13767" width="8.85546875" style="2" customWidth="1"/>
    <col min="13768" max="13768" width="8.140625" style="2" customWidth="1"/>
    <col min="13769" max="13769" width="14.42578125" style="2" customWidth="1"/>
    <col min="13770" max="13770" width="37.42578125" style="2" customWidth="1"/>
    <col min="13771" max="13771" width="63.140625" style="2" customWidth="1"/>
    <col min="13772" max="13772" width="20" style="2" customWidth="1"/>
    <col min="13773" max="13773" width="11.140625" style="2" customWidth="1"/>
    <col min="13774" max="13774" width="10.85546875" style="2" customWidth="1"/>
    <col min="13775" max="13775" width="21" style="2" customWidth="1"/>
    <col min="13776" max="13776" width="10.85546875" style="2" customWidth="1"/>
    <col min="13777" max="13777" width="17.42578125" style="2" customWidth="1"/>
    <col min="13778" max="13778" width="14.85546875" style="2" customWidth="1"/>
    <col min="13779" max="13779" width="15" style="2" customWidth="1"/>
    <col min="13780" max="13780" width="14.85546875" style="2" customWidth="1"/>
    <col min="13781" max="13781" width="7.140625" style="2" customWidth="1"/>
    <col min="13782" max="13783" width="20.140625" style="2" customWidth="1"/>
    <col min="13784" max="13784" width="18.42578125" style="2" customWidth="1"/>
    <col min="13785" max="13785" width="9.140625" style="2" customWidth="1"/>
    <col min="13786" max="13786" width="12" style="2" customWidth="1"/>
    <col min="13787" max="13787" width="14.85546875" style="2" customWidth="1"/>
    <col min="13788" max="13788" width="22.42578125" style="2" customWidth="1"/>
    <col min="13789" max="13789" width="14.85546875" style="2" customWidth="1"/>
    <col min="13790" max="13790" width="7.140625" style="2" customWidth="1"/>
    <col min="13791" max="13791" width="20.140625" style="2" customWidth="1"/>
    <col min="13792" max="14023" width="8.85546875" style="2" customWidth="1"/>
    <col min="14024" max="14024" width="8.140625" style="2" customWidth="1"/>
    <col min="14025" max="14025" width="14.42578125" style="2" customWidth="1"/>
    <col min="14026" max="14026" width="37.42578125" style="2" customWidth="1"/>
    <col min="14027" max="14027" width="63.140625" style="2" customWidth="1"/>
    <col min="14028" max="14028" width="20" style="2" customWidth="1"/>
    <col min="14029" max="14029" width="11.140625" style="2" customWidth="1"/>
    <col min="14030" max="14030" width="10.85546875" style="2" customWidth="1"/>
    <col min="14031" max="14031" width="21" style="2" customWidth="1"/>
    <col min="14032" max="14032" width="10.85546875" style="2" customWidth="1"/>
    <col min="14033" max="14033" width="17.42578125" style="2" customWidth="1"/>
    <col min="14034" max="14034" width="14.85546875" style="2" customWidth="1"/>
    <col min="14035" max="14035" width="15" style="2" customWidth="1"/>
    <col min="14036" max="14036" width="14.85546875" style="2" customWidth="1"/>
    <col min="14037" max="14037" width="7.140625" style="2" customWidth="1"/>
    <col min="14038" max="14039" width="20.140625" style="2" customWidth="1"/>
    <col min="14040" max="14040" width="18.42578125" style="2" customWidth="1"/>
    <col min="14041" max="14041" width="9.140625" style="2" customWidth="1"/>
    <col min="14042" max="14042" width="12" style="2" customWidth="1"/>
    <col min="14043" max="14043" width="14.85546875" style="2" customWidth="1"/>
    <col min="14044" max="14044" width="22.42578125" style="2" customWidth="1"/>
    <col min="14045" max="14045" width="14.85546875" style="2" customWidth="1"/>
    <col min="14046" max="14046" width="7.140625" style="2" customWidth="1"/>
    <col min="14047" max="14047" width="20.140625" style="2" customWidth="1"/>
    <col min="14048" max="14279" width="8.85546875" style="2" customWidth="1"/>
    <col min="14280" max="14280" width="8.140625" style="2" customWidth="1"/>
    <col min="14281" max="14281" width="14.42578125" style="2" customWidth="1"/>
    <col min="14282" max="14282" width="37.42578125" style="2" customWidth="1"/>
    <col min="14283" max="14283" width="63.140625" style="2" customWidth="1"/>
    <col min="14284" max="14284" width="20" style="2" customWidth="1"/>
    <col min="14285" max="14285" width="11.140625" style="2" customWidth="1"/>
    <col min="14286" max="14286" width="10.85546875" style="2" customWidth="1"/>
    <col min="14287" max="14287" width="21" style="2" customWidth="1"/>
    <col min="14288" max="14288" width="10.85546875" style="2" customWidth="1"/>
    <col min="14289" max="14289" width="17.42578125" style="2" customWidth="1"/>
    <col min="14290" max="14290" width="14.85546875" style="2" customWidth="1"/>
    <col min="14291" max="14291" width="15" style="2" customWidth="1"/>
    <col min="14292" max="14292" width="14.85546875" style="2" customWidth="1"/>
    <col min="14293" max="14293" width="7.140625" style="2" customWidth="1"/>
    <col min="14294" max="14295" width="20.140625" style="2" customWidth="1"/>
    <col min="14296" max="14296" width="18.42578125" style="2" customWidth="1"/>
    <col min="14297" max="14297" width="9.140625" style="2" customWidth="1"/>
    <col min="14298" max="14298" width="12" style="2" customWidth="1"/>
    <col min="14299" max="14299" width="14.85546875" style="2" customWidth="1"/>
    <col min="14300" max="14300" width="22.42578125" style="2" customWidth="1"/>
    <col min="14301" max="14301" width="14.85546875" style="2" customWidth="1"/>
    <col min="14302" max="14302" width="7.140625" style="2" customWidth="1"/>
    <col min="14303" max="14303" width="20.140625" style="2" customWidth="1"/>
    <col min="14304" max="14535" width="8.85546875" style="2" customWidth="1"/>
    <col min="14536" max="14536" width="8.140625" style="2" customWidth="1"/>
    <col min="14537" max="14537" width="14.42578125" style="2" customWidth="1"/>
    <col min="14538" max="14538" width="37.42578125" style="2" customWidth="1"/>
    <col min="14539" max="14539" width="63.140625" style="2" customWidth="1"/>
    <col min="14540" max="14540" width="20" style="2" customWidth="1"/>
    <col min="14541" max="14541" width="11.140625" style="2" customWidth="1"/>
    <col min="14542" max="14542" width="10.85546875" style="2" customWidth="1"/>
    <col min="14543" max="14543" width="21" style="2" customWidth="1"/>
    <col min="14544" max="14544" width="10.85546875" style="2" customWidth="1"/>
    <col min="14545" max="14545" width="17.42578125" style="2" customWidth="1"/>
    <col min="14546" max="14546" width="14.85546875" style="2" customWidth="1"/>
    <col min="14547" max="14547" width="15" style="2" customWidth="1"/>
    <col min="14548" max="14548" width="14.85546875" style="2" customWidth="1"/>
    <col min="14549" max="14549" width="7.140625" style="2" customWidth="1"/>
    <col min="14550" max="14551" width="20.140625" style="2" customWidth="1"/>
    <col min="14552" max="14552" width="18.42578125" style="2" customWidth="1"/>
    <col min="14553" max="14553" width="9.140625" style="2" customWidth="1"/>
    <col min="14554" max="14554" width="12" style="2" customWidth="1"/>
    <col min="14555" max="14555" width="14.85546875" style="2" customWidth="1"/>
    <col min="14556" max="14556" width="22.42578125" style="2" customWidth="1"/>
    <col min="14557" max="14557" width="14.85546875" style="2" customWidth="1"/>
    <col min="14558" max="14558" width="7.140625" style="2" customWidth="1"/>
    <col min="14559" max="14559" width="20.140625" style="2" customWidth="1"/>
    <col min="14560" max="14791" width="8.85546875" style="2" customWidth="1"/>
    <col min="14792" max="14792" width="8.140625" style="2" customWidth="1"/>
    <col min="14793" max="14793" width="14.42578125" style="2" customWidth="1"/>
    <col min="14794" max="14794" width="37.42578125" style="2" customWidth="1"/>
    <col min="14795" max="14795" width="63.140625" style="2" customWidth="1"/>
    <col min="14796" max="14796" width="20" style="2" customWidth="1"/>
    <col min="14797" max="14797" width="11.140625" style="2" customWidth="1"/>
    <col min="14798" max="14798" width="10.85546875" style="2" customWidth="1"/>
    <col min="14799" max="14799" width="21" style="2" customWidth="1"/>
    <col min="14800" max="14800" width="10.85546875" style="2" customWidth="1"/>
    <col min="14801" max="14801" width="17.42578125" style="2" customWidth="1"/>
    <col min="14802" max="14802" width="14.85546875" style="2" customWidth="1"/>
    <col min="14803" max="14803" width="15" style="2" customWidth="1"/>
    <col min="14804" max="14804" width="14.85546875" style="2" customWidth="1"/>
    <col min="14805" max="14805" width="7.140625" style="2" customWidth="1"/>
    <col min="14806" max="14807" width="20.140625" style="2" customWidth="1"/>
    <col min="14808" max="14808" width="18.42578125" style="2" customWidth="1"/>
    <col min="14809" max="14809" width="9.140625" style="2" customWidth="1"/>
    <col min="14810" max="14810" width="12" style="2" customWidth="1"/>
    <col min="14811" max="14811" width="14.85546875" style="2" customWidth="1"/>
    <col min="14812" max="14812" width="22.42578125" style="2" customWidth="1"/>
    <col min="14813" max="14813" width="14.85546875" style="2" customWidth="1"/>
    <col min="14814" max="14814" width="7.140625" style="2" customWidth="1"/>
    <col min="14815" max="14815" width="20.140625" style="2" customWidth="1"/>
    <col min="14816" max="15047" width="8.85546875" style="2" customWidth="1"/>
    <col min="15048" max="15048" width="8.140625" style="2" customWidth="1"/>
    <col min="15049" max="15049" width="14.42578125" style="2" customWidth="1"/>
    <col min="15050" max="15050" width="37.42578125" style="2" customWidth="1"/>
    <col min="15051" max="15051" width="63.140625" style="2" customWidth="1"/>
    <col min="15052" max="15052" width="20" style="2" customWidth="1"/>
    <col min="15053" max="15053" width="11.140625" style="2" customWidth="1"/>
    <col min="15054" max="15054" width="10.85546875" style="2" customWidth="1"/>
    <col min="15055" max="15055" width="21" style="2" customWidth="1"/>
    <col min="15056" max="15056" width="10.85546875" style="2" customWidth="1"/>
    <col min="15057" max="15057" width="17.42578125" style="2" customWidth="1"/>
    <col min="15058" max="15058" width="14.85546875" style="2" customWidth="1"/>
    <col min="15059" max="15059" width="15" style="2" customWidth="1"/>
    <col min="15060" max="15060" width="14.85546875" style="2" customWidth="1"/>
    <col min="15061" max="15061" width="7.140625" style="2" customWidth="1"/>
    <col min="15062" max="15063" width="20.140625" style="2" customWidth="1"/>
    <col min="15064" max="15064" width="18.42578125" style="2" customWidth="1"/>
    <col min="15065" max="15065" width="9.140625" style="2" customWidth="1"/>
    <col min="15066" max="15066" width="12" style="2" customWidth="1"/>
    <col min="15067" max="15067" width="14.85546875" style="2" customWidth="1"/>
    <col min="15068" max="15068" width="22.42578125" style="2" customWidth="1"/>
    <col min="15069" max="15069" width="14.85546875" style="2" customWidth="1"/>
    <col min="15070" max="15070" width="7.140625" style="2" customWidth="1"/>
    <col min="15071" max="15071" width="20.140625" style="2" customWidth="1"/>
    <col min="15072" max="15303" width="8.85546875" style="2" customWidth="1"/>
    <col min="15304" max="15304" width="8.140625" style="2" customWidth="1"/>
    <col min="15305" max="15305" width="14.42578125" style="2" customWidth="1"/>
    <col min="15306" max="15306" width="37.42578125" style="2" customWidth="1"/>
    <col min="15307" max="15307" width="63.140625" style="2" customWidth="1"/>
    <col min="15308" max="15308" width="20" style="2" customWidth="1"/>
    <col min="15309" max="15309" width="11.140625" style="2" customWidth="1"/>
    <col min="15310" max="15310" width="10.85546875" style="2" customWidth="1"/>
    <col min="15311" max="15311" width="21" style="2" customWidth="1"/>
    <col min="15312" max="15312" width="10.85546875" style="2" customWidth="1"/>
    <col min="15313" max="15313" width="17.42578125" style="2" customWidth="1"/>
    <col min="15314" max="15314" width="14.85546875" style="2" customWidth="1"/>
    <col min="15315" max="15315" width="15" style="2" customWidth="1"/>
    <col min="15316" max="15316" width="14.85546875" style="2" customWidth="1"/>
    <col min="15317" max="15317" width="7.140625" style="2" customWidth="1"/>
    <col min="15318" max="15319" width="20.140625" style="2" customWidth="1"/>
    <col min="15320" max="15320" width="18.42578125" style="2" customWidth="1"/>
    <col min="15321" max="15321" width="9.140625" style="2" customWidth="1"/>
    <col min="15322" max="15322" width="12" style="2" customWidth="1"/>
    <col min="15323" max="15323" width="14.85546875" style="2" customWidth="1"/>
    <col min="15324" max="15324" width="22.42578125" style="2" customWidth="1"/>
    <col min="15325" max="15325" width="14.85546875" style="2" customWidth="1"/>
    <col min="15326" max="15326" width="7.140625" style="2" customWidth="1"/>
    <col min="15327" max="15327" width="20.140625" style="2" customWidth="1"/>
    <col min="15328" max="15559" width="8.85546875" style="2" customWidth="1"/>
    <col min="15560" max="15560" width="8.140625" style="2" customWidth="1"/>
    <col min="15561" max="15561" width="14.42578125" style="2" customWidth="1"/>
    <col min="15562" max="15562" width="37.42578125" style="2" customWidth="1"/>
    <col min="15563" max="15563" width="63.140625" style="2" customWidth="1"/>
    <col min="15564" max="15564" width="20" style="2" customWidth="1"/>
    <col min="15565" max="15565" width="11.140625" style="2" customWidth="1"/>
    <col min="15566" max="15566" width="10.85546875" style="2" customWidth="1"/>
    <col min="15567" max="15567" width="21" style="2" customWidth="1"/>
    <col min="15568" max="15568" width="10.85546875" style="2" customWidth="1"/>
    <col min="15569" max="15569" width="17.42578125" style="2" customWidth="1"/>
    <col min="15570" max="15570" width="14.85546875" style="2" customWidth="1"/>
    <col min="15571" max="15571" width="15" style="2" customWidth="1"/>
    <col min="15572" max="15572" width="14.85546875" style="2" customWidth="1"/>
    <col min="15573" max="15573" width="7.140625" style="2" customWidth="1"/>
    <col min="15574" max="15575" width="20.140625" style="2" customWidth="1"/>
    <col min="15576" max="15576" width="18.42578125" style="2" customWidth="1"/>
    <col min="15577" max="15577" width="9.140625" style="2" customWidth="1"/>
    <col min="15578" max="15578" width="12" style="2" customWidth="1"/>
    <col min="15579" max="15579" width="14.85546875" style="2" customWidth="1"/>
    <col min="15580" max="15580" width="22.42578125" style="2" customWidth="1"/>
    <col min="15581" max="15581" width="14.85546875" style="2" customWidth="1"/>
    <col min="15582" max="15582" width="7.140625" style="2" customWidth="1"/>
    <col min="15583" max="15583" width="20.140625" style="2" customWidth="1"/>
    <col min="15584" max="15815" width="8.85546875" style="2" customWidth="1"/>
    <col min="15816" max="15816" width="8.140625" style="2" customWidth="1"/>
    <col min="15817" max="15817" width="14.42578125" style="2" customWidth="1"/>
    <col min="15818" max="15818" width="37.42578125" style="2" customWidth="1"/>
    <col min="15819" max="15819" width="63.140625" style="2" customWidth="1"/>
    <col min="15820" max="15820" width="20" style="2" customWidth="1"/>
    <col min="15821" max="15821" width="11.140625" style="2" customWidth="1"/>
    <col min="15822" max="15822" width="10.85546875" style="2" customWidth="1"/>
    <col min="15823" max="15823" width="21" style="2" customWidth="1"/>
    <col min="15824" max="15824" width="10.85546875" style="2" customWidth="1"/>
    <col min="15825" max="15825" width="17.42578125" style="2" customWidth="1"/>
    <col min="15826" max="15826" width="14.85546875" style="2" customWidth="1"/>
    <col min="15827" max="15827" width="15" style="2" customWidth="1"/>
    <col min="15828" max="15828" width="14.85546875" style="2" customWidth="1"/>
    <col min="15829" max="15829" width="7.140625" style="2" customWidth="1"/>
    <col min="15830" max="15831" width="20.140625" style="2" customWidth="1"/>
    <col min="15832" max="15832" width="18.42578125" style="2" customWidth="1"/>
    <col min="15833" max="15833" width="9.140625" style="2" customWidth="1"/>
    <col min="15834" max="15834" width="12" style="2" customWidth="1"/>
    <col min="15835" max="15835" width="14.85546875" style="2" customWidth="1"/>
    <col min="15836" max="15836" width="22.42578125" style="2" customWidth="1"/>
    <col min="15837" max="15837" width="14.85546875" style="2" customWidth="1"/>
    <col min="15838" max="15838" width="7.140625" style="2" customWidth="1"/>
    <col min="15839" max="15839" width="20.140625" style="2" customWidth="1"/>
    <col min="15840" max="16071" width="8.85546875" style="2" customWidth="1"/>
    <col min="16072" max="16072" width="8.140625" style="2" customWidth="1"/>
    <col min="16073" max="16073" width="14.42578125" style="2" customWidth="1"/>
    <col min="16074" max="16074" width="37.42578125" style="2" customWidth="1"/>
    <col min="16075" max="16075" width="63.140625" style="2" customWidth="1"/>
    <col min="16076" max="16076" width="20" style="2" customWidth="1"/>
    <col min="16077" max="16077" width="11.140625" style="2" customWidth="1"/>
    <col min="16078" max="16078" width="10.85546875" style="2" customWidth="1"/>
    <col min="16079" max="16079" width="21" style="2" customWidth="1"/>
    <col min="16080" max="16080" width="10.85546875" style="2" customWidth="1"/>
    <col min="16081" max="16081" width="17.42578125" style="2" customWidth="1"/>
    <col min="16082" max="16082" width="14.85546875" style="2" customWidth="1"/>
    <col min="16083" max="16083" width="15" style="2" customWidth="1"/>
    <col min="16084" max="16084" width="14.85546875" style="2" customWidth="1"/>
    <col min="16085" max="16085" width="7.140625" style="2" customWidth="1"/>
    <col min="16086" max="16087" width="20.140625" style="2" customWidth="1"/>
    <col min="16088" max="16088" width="18.42578125" style="2" customWidth="1"/>
    <col min="16089" max="16089" width="9.140625" style="2" customWidth="1"/>
    <col min="16090" max="16090" width="12" style="2" customWidth="1"/>
    <col min="16091" max="16091" width="14.85546875" style="2" customWidth="1"/>
    <col min="16092" max="16092" width="22.42578125" style="2" customWidth="1"/>
    <col min="16093" max="16093" width="14.85546875" style="2" customWidth="1"/>
    <col min="16094" max="16094" width="7.140625" style="2" customWidth="1"/>
    <col min="16095" max="16095" width="20.140625" style="2" customWidth="1"/>
    <col min="16096" max="16384" width="8.85546875" style="2" customWidth="1"/>
  </cols>
  <sheetData>
    <row r="1" spans="1:21" ht="14.1" customHeight="1">
      <c r="A1" s="1" t="s">
        <v>1599</v>
      </c>
      <c r="B1" s="24"/>
      <c r="C1" s="2"/>
      <c r="D1" s="2"/>
      <c r="F1" s="2"/>
      <c r="H1" s="2"/>
      <c r="J1" s="2"/>
      <c r="K1" s="2"/>
      <c r="L1" s="2"/>
      <c r="M1" s="2"/>
      <c r="N1" s="2"/>
      <c r="O1" s="2"/>
      <c r="P1" s="2"/>
      <c r="R1" s="10"/>
    </row>
    <row r="2" spans="1:21" s="4" customFormat="1" ht="14.1" customHeight="1">
      <c r="A2" s="4" t="s">
        <v>1600</v>
      </c>
      <c r="E2" s="69"/>
      <c r="Q2" s="2"/>
      <c r="R2" s="336"/>
    </row>
    <row r="3" spans="1:21" s="6" customFormat="1" ht="14.1" customHeight="1">
      <c r="A3" s="3"/>
      <c r="B3" s="16"/>
      <c r="C3" s="16"/>
      <c r="D3" s="23"/>
      <c r="E3" s="16"/>
      <c r="F3" s="23"/>
      <c r="G3" s="15"/>
      <c r="H3" s="25"/>
      <c r="I3" s="15"/>
      <c r="J3" s="25"/>
      <c r="K3" s="25"/>
      <c r="L3" s="25"/>
      <c r="M3" s="25"/>
      <c r="N3" s="25"/>
      <c r="O3" s="25"/>
      <c r="P3" s="25"/>
      <c r="Q3" s="2"/>
      <c r="R3" s="355" t="s">
        <v>2</v>
      </c>
      <c r="S3" s="2"/>
      <c r="T3" s="2"/>
      <c r="U3" s="2"/>
    </row>
    <row r="4" spans="1:21" s="5" customFormat="1" ht="33" customHeight="1">
      <c r="A4" s="21" t="s">
        <v>3</v>
      </c>
      <c r="B4" s="52" t="s">
        <v>4</v>
      </c>
      <c r="C4" s="52" t="s">
        <v>5</v>
      </c>
      <c r="D4" s="21" t="s">
        <v>6</v>
      </c>
      <c r="E4" s="21" t="s">
        <v>7</v>
      </c>
      <c r="F4" s="21" t="s">
        <v>8</v>
      </c>
      <c r="G4" s="21" t="s">
        <v>9</v>
      </c>
      <c r="H4" s="21" t="s">
        <v>10</v>
      </c>
      <c r="I4" s="21" t="s">
        <v>11</v>
      </c>
      <c r="J4" s="21" t="s">
        <v>12</v>
      </c>
      <c r="K4" s="21" t="s">
        <v>13</v>
      </c>
      <c r="L4" s="21" t="s">
        <v>14</v>
      </c>
      <c r="M4" s="21" t="s">
        <v>15</v>
      </c>
      <c r="N4" s="21" t="s">
        <v>16</v>
      </c>
      <c r="O4" s="21" t="s">
        <v>17</v>
      </c>
      <c r="P4" s="21" t="s">
        <v>18</v>
      </c>
      <c r="Q4" s="3"/>
      <c r="R4" s="41" t="s">
        <v>19</v>
      </c>
      <c r="S4" s="20"/>
      <c r="T4" s="42" t="s">
        <v>20</v>
      </c>
      <c r="U4" s="42" t="s">
        <v>21</v>
      </c>
    </row>
    <row r="5" spans="1:21" ht="14.1" customHeight="1">
      <c r="A5" s="7">
        <v>1</v>
      </c>
      <c r="B5" s="14" t="s">
        <v>124</v>
      </c>
      <c r="C5" s="14" t="s">
        <v>323</v>
      </c>
      <c r="D5" s="7" t="s">
        <v>1601</v>
      </c>
      <c r="E5" s="14" t="s">
        <v>1602</v>
      </c>
      <c r="F5" s="7" t="s">
        <v>26</v>
      </c>
      <c r="G5" s="8" t="s">
        <v>1603</v>
      </c>
      <c r="H5" s="7" t="s">
        <v>1604</v>
      </c>
      <c r="I5" s="8" t="s">
        <v>1605</v>
      </c>
      <c r="J5" s="7" t="s">
        <v>30</v>
      </c>
      <c r="K5" s="7" t="s">
        <v>1606</v>
      </c>
      <c r="L5" s="7" t="s">
        <v>322</v>
      </c>
      <c r="M5" s="7">
        <v>830241</v>
      </c>
      <c r="N5" s="144">
        <v>80</v>
      </c>
      <c r="O5" s="7">
        <v>35</v>
      </c>
      <c r="P5" s="7"/>
      <c r="R5" s="9">
        <v>47.192113463254721</v>
      </c>
      <c r="S5" s="22"/>
      <c r="T5" s="7" t="s">
        <v>34</v>
      </c>
      <c r="U5" s="7" t="s">
        <v>34</v>
      </c>
    </row>
    <row r="6" spans="1:21" ht="14.1" customHeight="1">
      <c r="A6" s="7">
        <v>2</v>
      </c>
      <c r="B6" s="14" t="s">
        <v>124</v>
      </c>
      <c r="C6" s="14" t="s">
        <v>323</v>
      </c>
      <c r="D6" s="7" t="s">
        <v>260</v>
      </c>
      <c r="E6" s="14" t="s">
        <v>827</v>
      </c>
      <c r="F6" s="7" t="s">
        <v>26</v>
      </c>
      <c r="G6" s="8" t="s">
        <v>1607</v>
      </c>
      <c r="H6" s="7" t="s">
        <v>1608</v>
      </c>
      <c r="I6" s="8" t="s">
        <v>1609</v>
      </c>
      <c r="J6" s="7" t="s">
        <v>30</v>
      </c>
      <c r="K6" s="7" t="s">
        <v>1610</v>
      </c>
      <c r="L6" s="7" t="s">
        <v>322</v>
      </c>
      <c r="M6" s="7">
        <v>830210</v>
      </c>
      <c r="N6" s="144">
        <v>20</v>
      </c>
      <c r="O6" s="7">
        <v>35</v>
      </c>
      <c r="P6" s="7"/>
      <c r="R6" s="9">
        <v>101.93496508063021</v>
      </c>
      <c r="T6" s="7" t="s">
        <v>34</v>
      </c>
      <c r="U6" s="7" t="s">
        <v>34</v>
      </c>
    </row>
    <row r="7" spans="1:21" ht="14.1" customHeight="1">
      <c r="A7" s="7">
        <v>3</v>
      </c>
      <c r="B7" s="14" t="s">
        <v>124</v>
      </c>
      <c r="C7" s="14" t="s">
        <v>323</v>
      </c>
      <c r="D7" s="7" t="s">
        <v>260</v>
      </c>
      <c r="E7" s="14" t="s">
        <v>827</v>
      </c>
      <c r="F7" s="7" t="s">
        <v>26</v>
      </c>
      <c r="G7" s="8" t="s">
        <v>1611</v>
      </c>
      <c r="H7" s="7" t="s">
        <v>1608</v>
      </c>
      <c r="I7" s="8" t="s">
        <v>1609</v>
      </c>
      <c r="J7" s="7" t="s">
        <v>30</v>
      </c>
      <c r="K7" s="17" t="s">
        <v>1610</v>
      </c>
      <c r="L7" s="7" t="s">
        <v>322</v>
      </c>
      <c r="M7" s="7">
        <v>830210</v>
      </c>
      <c r="N7" s="144">
        <v>20</v>
      </c>
      <c r="O7" s="7">
        <v>35</v>
      </c>
      <c r="P7" s="7"/>
      <c r="R7" s="9">
        <v>101.93496508063021</v>
      </c>
      <c r="T7" s="7" t="s">
        <v>34</v>
      </c>
      <c r="U7" s="7" t="s">
        <v>34</v>
      </c>
    </row>
    <row r="8" spans="1:21" ht="14.1" customHeight="1">
      <c r="A8" s="7">
        <v>4</v>
      </c>
      <c r="B8" s="14" t="s">
        <v>124</v>
      </c>
      <c r="C8" s="14" t="s">
        <v>323</v>
      </c>
      <c r="D8" s="7" t="s">
        <v>260</v>
      </c>
      <c r="E8" s="14" t="s">
        <v>827</v>
      </c>
      <c r="F8" s="7" t="s">
        <v>26</v>
      </c>
      <c r="G8" s="8" t="s">
        <v>1612</v>
      </c>
      <c r="H8" s="7" t="s">
        <v>1608</v>
      </c>
      <c r="I8" s="8" t="s">
        <v>1613</v>
      </c>
      <c r="J8" s="7" t="s">
        <v>30</v>
      </c>
      <c r="K8" s="17" t="s">
        <v>1610</v>
      </c>
      <c r="L8" s="7" t="s">
        <v>322</v>
      </c>
      <c r="M8" s="7">
        <v>830241</v>
      </c>
      <c r="N8" s="144">
        <v>25</v>
      </c>
      <c r="O8" s="7">
        <v>35</v>
      </c>
      <c r="P8" s="7"/>
      <c r="R8" s="9">
        <v>12.269949500446231</v>
      </c>
      <c r="T8" s="7" t="s">
        <v>34</v>
      </c>
      <c r="U8" s="7" t="s">
        <v>34</v>
      </c>
    </row>
    <row r="9" spans="1:21" ht="14.1" customHeight="1">
      <c r="A9" s="7">
        <v>5</v>
      </c>
      <c r="B9" s="14" t="s">
        <v>124</v>
      </c>
      <c r="C9" s="14" t="s">
        <v>323</v>
      </c>
      <c r="D9" s="7" t="s">
        <v>260</v>
      </c>
      <c r="E9" s="14" t="s">
        <v>827</v>
      </c>
      <c r="F9" s="7" t="s">
        <v>26</v>
      </c>
      <c r="G9" s="8" t="s">
        <v>1614</v>
      </c>
      <c r="H9" s="7" t="s">
        <v>1608</v>
      </c>
      <c r="I9" s="8" t="s">
        <v>1615</v>
      </c>
      <c r="J9" s="7" t="s">
        <v>30</v>
      </c>
      <c r="K9" s="17" t="s">
        <v>1610</v>
      </c>
      <c r="L9" s="7" t="s">
        <v>322</v>
      </c>
      <c r="M9" s="7">
        <v>830241</v>
      </c>
      <c r="N9" s="144">
        <v>200</v>
      </c>
      <c r="O9" s="7">
        <v>35</v>
      </c>
      <c r="P9" s="7"/>
      <c r="R9" s="9">
        <v>15.66778166980057</v>
      </c>
      <c r="T9" s="7" t="s">
        <v>34</v>
      </c>
      <c r="U9" s="7" t="s">
        <v>34</v>
      </c>
    </row>
    <row r="10" spans="1:21" ht="14.1" customHeight="1">
      <c r="A10" s="7">
        <v>6</v>
      </c>
      <c r="B10" s="14" t="s">
        <v>124</v>
      </c>
      <c r="C10" s="14" t="s">
        <v>323</v>
      </c>
      <c r="D10" s="7" t="s">
        <v>260</v>
      </c>
      <c r="E10" s="14" t="s">
        <v>827</v>
      </c>
      <c r="F10" s="7" t="s">
        <v>26</v>
      </c>
      <c r="G10" s="8" t="s">
        <v>1616</v>
      </c>
      <c r="H10" s="7" t="s">
        <v>1608</v>
      </c>
      <c r="I10" s="8" t="s">
        <v>1617</v>
      </c>
      <c r="J10" s="7" t="s">
        <v>30</v>
      </c>
      <c r="K10" s="17" t="s">
        <v>1610</v>
      </c>
      <c r="L10" s="7" t="s">
        <v>322</v>
      </c>
      <c r="M10" s="7">
        <v>830241</v>
      </c>
      <c r="N10" s="144">
        <v>100</v>
      </c>
      <c r="O10" s="7">
        <v>35</v>
      </c>
      <c r="P10" s="7"/>
      <c r="R10" s="9">
        <v>7.1732012464147186</v>
      </c>
      <c r="T10" s="7" t="s">
        <v>34</v>
      </c>
      <c r="U10" s="7" t="s">
        <v>34</v>
      </c>
    </row>
    <row r="11" spans="1:21" ht="14.1" customHeight="1">
      <c r="A11" s="7">
        <v>7</v>
      </c>
      <c r="B11" s="14" t="s">
        <v>124</v>
      </c>
      <c r="C11" s="14" t="s">
        <v>323</v>
      </c>
      <c r="D11" s="7" t="s">
        <v>260</v>
      </c>
      <c r="E11" s="14" t="s">
        <v>827</v>
      </c>
      <c r="F11" s="7" t="s">
        <v>26</v>
      </c>
      <c r="G11" s="8" t="s">
        <v>1618</v>
      </c>
      <c r="H11" s="7" t="s">
        <v>1608</v>
      </c>
      <c r="I11" s="8" t="s">
        <v>1619</v>
      </c>
      <c r="J11" s="7" t="s">
        <v>30</v>
      </c>
      <c r="K11" s="17" t="s">
        <v>1610</v>
      </c>
      <c r="L11" s="7" t="s">
        <v>322</v>
      </c>
      <c r="M11" s="7">
        <v>830241</v>
      </c>
      <c r="N11" s="144">
        <v>100</v>
      </c>
      <c r="O11" s="7">
        <v>35</v>
      </c>
      <c r="P11" s="7"/>
      <c r="R11" s="9">
        <v>1.887684538530189</v>
      </c>
      <c r="T11" s="7" t="s">
        <v>34</v>
      </c>
      <c r="U11" s="7" t="s">
        <v>34</v>
      </c>
    </row>
    <row r="12" spans="1:21" ht="14.1" customHeight="1">
      <c r="A12" s="7">
        <v>8</v>
      </c>
      <c r="B12" s="14" t="s">
        <v>124</v>
      </c>
      <c r="C12" s="14" t="s">
        <v>323</v>
      </c>
      <c r="D12" s="7" t="s">
        <v>260</v>
      </c>
      <c r="E12" s="14" t="s">
        <v>827</v>
      </c>
      <c r="F12" s="7" t="s">
        <v>26</v>
      </c>
      <c r="G12" s="8" t="s">
        <v>1620</v>
      </c>
      <c r="H12" s="7" t="s">
        <v>1608</v>
      </c>
      <c r="I12" s="8" t="s">
        <v>1619</v>
      </c>
      <c r="J12" s="7" t="s">
        <v>30</v>
      </c>
      <c r="K12" s="17" t="s">
        <v>1610</v>
      </c>
      <c r="L12" s="7" t="s">
        <v>322</v>
      </c>
      <c r="M12" s="7">
        <v>830241</v>
      </c>
      <c r="N12" s="144">
        <v>1000</v>
      </c>
      <c r="O12" s="7">
        <v>35</v>
      </c>
      <c r="P12" s="7"/>
      <c r="R12" s="9">
        <v>4.3416744386194344</v>
      </c>
      <c r="T12" s="7" t="s">
        <v>34</v>
      </c>
      <c r="U12" s="7" t="s">
        <v>34</v>
      </c>
    </row>
    <row r="13" spans="1:21" ht="14.1" customHeight="1">
      <c r="A13" s="7">
        <v>9</v>
      </c>
      <c r="B13" s="14" t="s">
        <v>124</v>
      </c>
      <c r="C13" s="14" t="s">
        <v>323</v>
      </c>
      <c r="D13" s="7" t="s">
        <v>260</v>
      </c>
      <c r="E13" s="14" t="s">
        <v>827</v>
      </c>
      <c r="F13" s="7" t="s">
        <v>26</v>
      </c>
      <c r="G13" s="8" t="s">
        <v>1621</v>
      </c>
      <c r="H13" s="7" t="s">
        <v>1608</v>
      </c>
      <c r="I13" s="8" t="s">
        <v>1619</v>
      </c>
      <c r="J13" s="7" t="s">
        <v>30</v>
      </c>
      <c r="K13" s="17" t="s">
        <v>1610</v>
      </c>
      <c r="L13" s="7" t="s">
        <v>322</v>
      </c>
      <c r="M13" s="7">
        <v>830241</v>
      </c>
      <c r="N13" s="144">
        <v>1000</v>
      </c>
      <c r="O13" s="7">
        <v>35</v>
      </c>
      <c r="P13" s="7"/>
      <c r="R13" s="9">
        <v>2.265221446236227</v>
      </c>
      <c r="T13" s="7" t="s">
        <v>34</v>
      </c>
      <c r="U13" s="7" t="s">
        <v>34</v>
      </c>
    </row>
    <row r="14" spans="1:21" ht="14.1" customHeight="1">
      <c r="A14" s="7">
        <v>10</v>
      </c>
      <c r="B14" s="14" t="s">
        <v>124</v>
      </c>
      <c r="C14" s="14" t="s">
        <v>323</v>
      </c>
      <c r="D14" s="7" t="s">
        <v>260</v>
      </c>
      <c r="E14" s="14" t="s">
        <v>827</v>
      </c>
      <c r="F14" s="7" t="s">
        <v>26</v>
      </c>
      <c r="G14" s="8" t="s">
        <v>1622</v>
      </c>
      <c r="H14" s="7" t="s">
        <v>1608</v>
      </c>
      <c r="I14" s="8" t="s">
        <v>1623</v>
      </c>
      <c r="J14" s="7" t="s">
        <v>30</v>
      </c>
      <c r="K14" s="17" t="s">
        <v>1610</v>
      </c>
      <c r="L14" s="7" t="s">
        <v>322</v>
      </c>
      <c r="M14" s="7">
        <v>830241</v>
      </c>
      <c r="N14" s="144">
        <v>200</v>
      </c>
      <c r="O14" s="7">
        <v>35</v>
      </c>
      <c r="P14" s="7"/>
      <c r="R14" s="9">
        <v>16.04531857750661</v>
      </c>
      <c r="T14" s="7" t="s">
        <v>34</v>
      </c>
      <c r="U14" s="7" t="s">
        <v>34</v>
      </c>
    </row>
    <row r="15" spans="1:21" ht="14.1" customHeight="1">
      <c r="A15" s="7">
        <v>11</v>
      </c>
      <c r="B15" s="14" t="s">
        <v>124</v>
      </c>
      <c r="C15" s="14" t="s">
        <v>323</v>
      </c>
      <c r="D15" s="7" t="s">
        <v>260</v>
      </c>
      <c r="E15" s="14" t="s">
        <v>827</v>
      </c>
      <c r="F15" s="7" t="s">
        <v>26</v>
      </c>
      <c r="G15" s="8" t="s">
        <v>1624</v>
      </c>
      <c r="H15" s="7" t="s">
        <v>1608</v>
      </c>
      <c r="I15" s="8" t="s">
        <v>1619</v>
      </c>
      <c r="J15" s="7" t="s">
        <v>30</v>
      </c>
      <c r="K15" s="17" t="s">
        <v>1610</v>
      </c>
      <c r="L15" s="7" t="s">
        <v>322</v>
      </c>
      <c r="M15" s="7">
        <v>830241</v>
      </c>
      <c r="N15" s="144">
        <v>1000</v>
      </c>
      <c r="O15" s="7">
        <v>35</v>
      </c>
      <c r="P15" s="7"/>
      <c r="R15" s="9">
        <v>2.265221446236227</v>
      </c>
      <c r="T15" s="7" t="s">
        <v>34</v>
      </c>
      <c r="U15" s="7" t="s">
        <v>34</v>
      </c>
    </row>
    <row r="16" spans="1:21" ht="14.1" customHeight="1">
      <c r="A16" s="7">
        <v>12</v>
      </c>
      <c r="B16" s="14" t="s">
        <v>124</v>
      </c>
      <c r="C16" s="14" t="s">
        <v>323</v>
      </c>
      <c r="D16" s="7" t="s">
        <v>260</v>
      </c>
      <c r="E16" s="14" t="s">
        <v>827</v>
      </c>
      <c r="F16" s="7" t="s">
        <v>26</v>
      </c>
      <c r="G16" s="8" t="s">
        <v>1625</v>
      </c>
      <c r="H16" s="7" t="s">
        <v>1608</v>
      </c>
      <c r="I16" s="8" t="s">
        <v>1626</v>
      </c>
      <c r="J16" s="7" t="s">
        <v>30</v>
      </c>
      <c r="K16" s="17" t="s">
        <v>1610</v>
      </c>
      <c r="L16" s="7" t="s">
        <v>322</v>
      </c>
      <c r="M16" s="7">
        <v>830241</v>
      </c>
      <c r="N16" s="144">
        <v>100</v>
      </c>
      <c r="O16" s="7">
        <v>35</v>
      </c>
      <c r="P16" s="7"/>
      <c r="R16" s="9">
        <v>50.967482540315103</v>
      </c>
      <c r="T16" s="7" t="s">
        <v>34</v>
      </c>
      <c r="U16" s="7" t="s">
        <v>34</v>
      </c>
    </row>
    <row r="17" spans="1:21" ht="14.1" customHeight="1">
      <c r="A17" s="7">
        <v>13</v>
      </c>
      <c r="B17" s="14" t="s">
        <v>124</v>
      </c>
      <c r="C17" s="14" t="s">
        <v>323</v>
      </c>
      <c r="D17" s="7" t="s">
        <v>1627</v>
      </c>
      <c r="E17" s="14" t="s">
        <v>327</v>
      </c>
      <c r="F17" s="7" t="s">
        <v>26</v>
      </c>
      <c r="G17" s="8" t="s">
        <v>1628</v>
      </c>
      <c r="H17" s="7" t="s">
        <v>1608</v>
      </c>
      <c r="I17" s="8" t="s">
        <v>1629</v>
      </c>
      <c r="J17" s="7" t="s">
        <v>30</v>
      </c>
      <c r="K17" s="17" t="s">
        <v>1610</v>
      </c>
      <c r="L17" s="7" t="s">
        <v>322</v>
      </c>
      <c r="M17" s="7">
        <v>830241</v>
      </c>
      <c r="N17" s="144">
        <v>20</v>
      </c>
      <c r="O17" s="7">
        <v>35</v>
      </c>
      <c r="P17" s="7"/>
      <c r="R17" s="9">
        <v>85.134572687711511</v>
      </c>
      <c r="T17" s="7" t="s">
        <v>34</v>
      </c>
      <c r="U17" s="7" t="s">
        <v>34</v>
      </c>
    </row>
    <row r="18" spans="1:21" ht="14.1" customHeight="1">
      <c r="A18" s="7">
        <v>14</v>
      </c>
      <c r="B18" s="14" t="s">
        <v>124</v>
      </c>
      <c r="C18" s="14" t="s">
        <v>323</v>
      </c>
      <c r="D18" s="7" t="s">
        <v>260</v>
      </c>
      <c r="E18" s="14" t="s">
        <v>827</v>
      </c>
      <c r="F18" s="7" t="s">
        <v>26</v>
      </c>
      <c r="G18" s="8" t="s">
        <v>1630</v>
      </c>
      <c r="H18" s="7" t="s">
        <v>1608</v>
      </c>
      <c r="I18" s="8" t="s">
        <v>1631</v>
      </c>
      <c r="J18" s="7" t="s">
        <v>30</v>
      </c>
      <c r="K18" s="17" t="s">
        <v>1610</v>
      </c>
      <c r="L18" s="7" t="s">
        <v>322</v>
      </c>
      <c r="M18" s="7">
        <v>830241</v>
      </c>
      <c r="N18" s="144">
        <v>30</v>
      </c>
      <c r="O18" s="7">
        <v>35</v>
      </c>
      <c r="P18" s="7"/>
      <c r="R18" s="9">
        <v>35.299700870514528</v>
      </c>
      <c r="T18" s="7" t="s">
        <v>34</v>
      </c>
      <c r="U18" s="7" t="s">
        <v>34</v>
      </c>
    </row>
    <row r="19" spans="1:21" ht="14.1" customHeight="1">
      <c r="A19" s="7">
        <v>15</v>
      </c>
      <c r="B19" s="14" t="s">
        <v>124</v>
      </c>
      <c r="C19" s="14" t="s">
        <v>323</v>
      </c>
      <c r="D19" s="7" t="s">
        <v>260</v>
      </c>
      <c r="E19" s="14" t="s">
        <v>827</v>
      </c>
      <c r="F19" s="7" t="s">
        <v>26</v>
      </c>
      <c r="G19" s="8" t="s">
        <v>1632</v>
      </c>
      <c r="H19" s="7" t="s">
        <v>1608</v>
      </c>
      <c r="I19" s="8" t="s">
        <v>1633</v>
      </c>
      <c r="J19" s="7" t="s">
        <v>30</v>
      </c>
      <c r="K19" s="17" t="s">
        <v>1610</v>
      </c>
      <c r="L19" s="7" t="s">
        <v>322</v>
      </c>
      <c r="M19" s="7">
        <v>830241</v>
      </c>
      <c r="N19" s="144">
        <v>25</v>
      </c>
      <c r="O19" s="7">
        <v>35</v>
      </c>
      <c r="P19" s="7"/>
      <c r="R19" s="9">
        <v>51.156250994168118</v>
      </c>
      <c r="T19" s="7" t="s">
        <v>34</v>
      </c>
      <c r="U19" s="7" t="s">
        <v>34</v>
      </c>
    </row>
    <row r="20" spans="1:21" ht="14.1" customHeight="1">
      <c r="A20" s="7">
        <v>16</v>
      </c>
      <c r="B20" s="14" t="s">
        <v>124</v>
      </c>
      <c r="C20" s="14" t="s">
        <v>323</v>
      </c>
      <c r="D20" s="7" t="s">
        <v>260</v>
      </c>
      <c r="E20" s="14" t="s">
        <v>827</v>
      </c>
      <c r="F20" s="7" t="s">
        <v>26</v>
      </c>
      <c r="G20" s="8" t="s">
        <v>1634</v>
      </c>
      <c r="H20" s="7" t="s">
        <v>1608</v>
      </c>
      <c r="I20" s="8" t="s">
        <v>1635</v>
      </c>
      <c r="J20" s="7" t="s">
        <v>30</v>
      </c>
      <c r="K20" s="17" t="s">
        <v>1610</v>
      </c>
      <c r="L20" s="7" t="s">
        <v>322</v>
      </c>
      <c r="M20" s="7">
        <v>830241</v>
      </c>
      <c r="N20" s="144">
        <v>500</v>
      </c>
      <c r="O20" s="7">
        <v>35</v>
      </c>
      <c r="P20" s="7"/>
      <c r="R20" s="9">
        <v>15.47901321594755</v>
      </c>
      <c r="T20" s="7" t="s">
        <v>34</v>
      </c>
      <c r="U20" s="7" t="s">
        <v>34</v>
      </c>
    </row>
    <row r="21" spans="1:21" ht="14.1" customHeight="1">
      <c r="A21" s="7">
        <v>17</v>
      </c>
      <c r="B21" s="14" t="s">
        <v>124</v>
      </c>
      <c r="C21" s="14" t="s">
        <v>323</v>
      </c>
      <c r="D21" s="7" t="s">
        <v>260</v>
      </c>
      <c r="E21" s="14" t="s">
        <v>827</v>
      </c>
      <c r="F21" s="7" t="s">
        <v>26</v>
      </c>
      <c r="G21" s="8" t="s">
        <v>1636</v>
      </c>
      <c r="H21" s="7" t="s">
        <v>1608</v>
      </c>
      <c r="I21" s="8" t="s">
        <v>1637</v>
      </c>
      <c r="J21" s="7" t="s">
        <v>30</v>
      </c>
      <c r="K21" s="17" t="s">
        <v>1610</v>
      </c>
      <c r="L21" s="7" t="s">
        <v>322</v>
      </c>
      <c r="M21" s="7">
        <v>830241</v>
      </c>
      <c r="N21" s="144">
        <v>500</v>
      </c>
      <c r="O21" s="7">
        <v>35</v>
      </c>
      <c r="P21" s="7"/>
      <c r="R21" s="9">
        <v>10.382264961916039</v>
      </c>
      <c r="T21" s="7" t="s">
        <v>34</v>
      </c>
      <c r="U21" s="7" t="s">
        <v>34</v>
      </c>
    </row>
    <row r="22" spans="1:21" ht="14.1" customHeight="1">
      <c r="A22" s="7">
        <v>18</v>
      </c>
      <c r="B22" s="14" t="s">
        <v>124</v>
      </c>
      <c r="C22" s="14" t="s">
        <v>323</v>
      </c>
      <c r="D22" s="7" t="s">
        <v>260</v>
      </c>
      <c r="E22" s="14" t="s">
        <v>827</v>
      </c>
      <c r="F22" s="7" t="s">
        <v>26</v>
      </c>
      <c r="G22" s="8" t="s">
        <v>1638</v>
      </c>
      <c r="H22" s="7" t="s">
        <v>1608</v>
      </c>
      <c r="I22" s="8" t="s">
        <v>1639</v>
      </c>
      <c r="J22" s="7" t="s">
        <v>30</v>
      </c>
      <c r="K22" s="17" t="s">
        <v>1610</v>
      </c>
      <c r="L22" s="7" t="s">
        <v>322</v>
      </c>
      <c r="M22" s="7">
        <v>830241</v>
      </c>
      <c r="N22" s="144">
        <v>100</v>
      </c>
      <c r="O22" s="7">
        <v>35</v>
      </c>
      <c r="P22" s="7"/>
      <c r="R22" s="9">
        <v>86.833488772388677</v>
      </c>
      <c r="T22" s="7" t="s">
        <v>34</v>
      </c>
      <c r="U22" s="7" t="s">
        <v>34</v>
      </c>
    </row>
    <row r="23" spans="1:21" ht="14.1" customHeight="1">
      <c r="A23" s="7">
        <v>19</v>
      </c>
      <c r="B23" s="14" t="s">
        <v>124</v>
      </c>
      <c r="C23" s="14" t="s">
        <v>323</v>
      </c>
      <c r="D23" s="7" t="s">
        <v>260</v>
      </c>
      <c r="E23" s="14" t="s">
        <v>827</v>
      </c>
      <c r="F23" s="7" t="s">
        <v>26</v>
      </c>
      <c r="G23" s="8" t="s">
        <v>1640</v>
      </c>
      <c r="H23" s="7" t="s">
        <v>1608</v>
      </c>
      <c r="I23" s="8" t="s">
        <v>1639</v>
      </c>
      <c r="J23" s="7" t="s">
        <v>30</v>
      </c>
      <c r="K23" s="17" t="s">
        <v>1610</v>
      </c>
      <c r="L23" s="7" t="s">
        <v>322</v>
      </c>
      <c r="M23" s="7">
        <v>830241</v>
      </c>
      <c r="N23" s="144">
        <v>50</v>
      </c>
      <c r="O23" s="7">
        <v>35</v>
      </c>
      <c r="P23" s="7"/>
      <c r="R23" s="9">
        <v>86.833488772388677</v>
      </c>
      <c r="T23" s="7" t="s">
        <v>34</v>
      </c>
      <c r="U23" s="7" t="s">
        <v>34</v>
      </c>
    </row>
    <row r="24" spans="1:21" ht="14.1" customHeight="1">
      <c r="A24" s="7">
        <v>20</v>
      </c>
      <c r="B24" s="14" t="s">
        <v>124</v>
      </c>
      <c r="C24" s="14" t="s">
        <v>323</v>
      </c>
      <c r="D24" s="7" t="s">
        <v>260</v>
      </c>
      <c r="E24" s="14" t="s">
        <v>827</v>
      </c>
      <c r="F24" s="7" t="s">
        <v>26</v>
      </c>
      <c r="G24" s="8" t="s">
        <v>1641</v>
      </c>
      <c r="H24" s="7" t="s">
        <v>1608</v>
      </c>
      <c r="I24" s="8" t="s">
        <v>1642</v>
      </c>
      <c r="J24" s="7" t="s">
        <v>30</v>
      </c>
      <c r="K24" s="17" t="s">
        <v>1610</v>
      </c>
      <c r="L24" s="7" t="s">
        <v>322</v>
      </c>
      <c r="M24" s="7">
        <v>830241</v>
      </c>
      <c r="N24" s="144">
        <v>500</v>
      </c>
      <c r="O24" s="7">
        <v>35</v>
      </c>
      <c r="P24" s="7"/>
      <c r="R24" s="9">
        <v>6.6068958848556596</v>
      </c>
      <c r="T24" s="7" t="s">
        <v>34</v>
      </c>
      <c r="U24" s="7" t="s">
        <v>34</v>
      </c>
    </row>
    <row r="25" spans="1:21" ht="14.1" customHeight="1">
      <c r="A25" s="7">
        <v>21</v>
      </c>
      <c r="B25" s="14" t="s">
        <v>124</v>
      </c>
      <c r="C25" s="14" t="s">
        <v>323</v>
      </c>
      <c r="D25" s="7" t="s">
        <v>260</v>
      </c>
      <c r="E25" s="14" t="s">
        <v>827</v>
      </c>
      <c r="F25" s="7" t="s">
        <v>26</v>
      </c>
      <c r="G25" s="145" t="s">
        <v>1643</v>
      </c>
      <c r="H25" s="7" t="s">
        <v>1608</v>
      </c>
      <c r="I25" s="8" t="s">
        <v>1644</v>
      </c>
      <c r="J25" s="7" t="s">
        <v>30</v>
      </c>
      <c r="K25" s="17" t="s">
        <v>1610</v>
      </c>
      <c r="L25" s="7" t="s">
        <v>322</v>
      </c>
      <c r="M25" s="7">
        <v>830241</v>
      </c>
      <c r="N25" s="144">
        <v>10</v>
      </c>
      <c r="O25" s="7">
        <v>35</v>
      </c>
      <c r="P25" s="7"/>
      <c r="R25" s="9">
        <v>302.02952616483032</v>
      </c>
      <c r="T25" s="7" t="s">
        <v>34</v>
      </c>
      <c r="U25" s="7" t="s">
        <v>34</v>
      </c>
    </row>
    <row r="26" spans="1:21" ht="14.1" customHeight="1">
      <c r="A26" s="7">
        <v>22</v>
      </c>
      <c r="B26" s="14" t="s">
        <v>124</v>
      </c>
      <c r="C26" s="14" t="s">
        <v>323</v>
      </c>
      <c r="D26" s="7" t="s">
        <v>260</v>
      </c>
      <c r="E26" s="14" t="s">
        <v>827</v>
      </c>
      <c r="F26" s="7" t="s">
        <v>26</v>
      </c>
      <c r="G26" s="145" t="s">
        <v>1645</v>
      </c>
      <c r="H26" s="7" t="s">
        <v>1608</v>
      </c>
      <c r="I26" s="8" t="s">
        <v>1646</v>
      </c>
      <c r="J26" s="7" t="s">
        <v>30</v>
      </c>
      <c r="K26" s="17" t="s">
        <v>1610</v>
      </c>
      <c r="L26" s="7" t="s">
        <v>322</v>
      </c>
      <c r="M26" s="7">
        <v>830241</v>
      </c>
      <c r="N26" s="144">
        <v>420</v>
      </c>
      <c r="O26" s="7">
        <v>35</v>
      </c>
      <c r="P26" s="7"/>
      <c r="R26" s="9">
        <v>16.9891608467717</v>
      </c>
      <c r="T26" s="7" t="s">
        <v>34</v>
      </c>
      <c r="U26" s="7" t="s">
        <v>34</v>
      </c>
    </row>
    <row r="27" spans="1:21" ht="14.1" customHeight="1">
      <c r="A27" s="7">
        <v>23</v>
      </c>
      <c r="B27" s="14" t="s">
        <v>124</v>
      </c>
      <c r="C27" s="14" t="s">
        <v>323</v>
      </c>
      <c r="D27" s="7" t="s">
        <v>1601</v>
      </c>
      <c r="E27" s="14" t="s">
        <v>1602</v>
      </c>
      <c r="F27" s="7" t="s">
        <v>26</v>
      </c>
      <c r="G27" s="146" t="s">
        <v>1647</v>
      </c>
      <c r="H27" s="7" t="s">
        <v>1608</v>
      </c>
      <c r="I27" s="8" t="s">
        <v>1648</v>
      </c>
      <c r="J27" s="7" t="s">
        <v>30</v>
      </c>
      <c r="K27" s="17" t="s">
        <v>1610</v>
      </c>
      <c r="L27" s="7" t="s">
        <v>322</v>
      </c>
      <c r="M27" s="7">
        <v>830241</v>
      </c>
      <c r="N27" s="144">
        <v>300</v>
      </c>
      <c r="O27" s="7">
        <v>35</v>
      </c>
      <c r="P27" s="7"/>
      <c r="R27" s="9">
        <v>4.7192113463254728</v>
      </c>
      <c r="T27" s="7" t="s">
        <v>34</v>
      </c>
      <c r="U27" s="7" t="s">
        <v>34</v>
      </c>
    </row>
    <row r="28" spans="1:21" ht="14.1" customHeight="1">
      <c r="A28" s="7">
        <v>24</v>
      </c>
      <c r="B28" s="14" t="s">
        <v>124</v>
      </c>
      <c r="C28" s="14" t="s">
        <v>323</v>
      </c>
      <c r="D28" s="7" t="s">
        <v>844</v>
      </c>
      <c r="E28" s="14" t="s">
        <v>845</v>
      </c>
      <c r="F28" s="7" t="s">
        <v>26</v>
      </c>
      <c r="G28" s="145" t="s">
        <v>1649</v>
      </c>
      <c r="H28" s="7" t="s">
        <v>121</v>
      </c>
      <c r="I28" s="11" t="s">
        <v>1650</v>
      </c>
      <c r="J28" s="7" t="s">
        <v>30</v>
      </c>
      <c r="K28" s="7" t="s">
        <v>31</v>
      </c>
      <c r="L28" s="7" t="s">
        <v>322</v>
      </c>
      <c r="M28" s="7">
        <v>830210</v>
      </c>
      <c r="N28" s="144">
        <v>40</v>
      </c>
      <c r="O28" s="7">
        <v>35</v>
      </c>
      <c r="P28" s="7"/>
      <c r="R28" s="9">
        <v>42.284133663076233</v>
      </c>
      <c r="T28" s="7" t="s">
        <v>34</v>
      </c>
      <c r="U28" s="7" t="s">
        <v>34</v>
      </c>
    </row>
    <row r="29" spans="1:21" ht="14.1" customHeight="1">
      <c r="A29" s="7">
        <v>25</v>
      </c>
      <c r="B29" s="14" t="s">
        <v>124</v>
      </c>
      <c r="C29" s="14" t="s">
        <v>323</v>
      </c>
      <c r="D29" s="7" t="s">
        <v>844</v>
      </c>
      <c r="E29" s="14" t="s">
        <v>845</v>
      </c>
      <c r="F29" s="7" t="s">
        <v>26</v>
      </c>
      <c r="G29" s="145" t="s">
        <v>1651</v>
      </c>
      <c r="H29" s="7" t="s">
        <v>121</v>
      </c>
      <c r="I29" s="11" t="s">
        <v>1652</v>
      </c>
      <c r="J29" s="7" t="s">
        <v>30</v>
      </c>
      <c r="K29" s="7" t="s">
        <v>31</v>
      </c>
      <c r="L29" s="7" t="s">
        <v>322</v>
      </c>
      <c r="M29" s="7">
        <v>830210</v>
      </c>
      <c r="N29" s="144">
        <v>40</v>
      </c>
      <c r="O29" s="7">
        <v>35</v>
      </c>
      <c r="P29" s="7"/>
      <c r="R29" s="9">
        <v>42.284133663076233</v>
      </c>
      <c r="T29" s="7" t="s">
        <v>34</v>
      </c>
      <c r="U29" s="7" t="s">
        <v>34</v>
      </c>
    </row>
    <row r="30" spans="1:21" ht="14.1" customHeight="1">
      <c r="A30" s="7">
        <v>26</v>
      </c>
      <c r="B30" s="14" t="s">
        <v>124</v>
      </c>
      <c r="C30" s="14" t="s">
        <v>323</v>
      </c>
      <c r="D30" s="7" t="s">
        <v>844</v>
      </c>
      <c r="E30" s="14" t="s">
        <v>845</v>
      </c>
      <c r="F30" s="7" t="s">
        <v>26</v>
      </c>
      <c r="G30" s="8" t="s">
        <v>1653</v>
      </c>
      <c r="H30" s="7" t="s">
        <v>121</v>
      </c>
      <c r="I30" s="11" t="s">
        <v>1654</v>
      </c>
      <c r="J30" s="7" t="s">
        <v>30</v>
      </c>
      <c r="K30" s="7" t="s">
        <v>31</v>
      </c>
      <c r="L30" s="7" t="s">
        <v>322</v>
      </c>
      <c r="M30" s="7">
        <v>830210</v>
      </c>
      <c r="N30" s="144">
        <v>40</v>
      </c>
      <c r="O30" s="7">
        <v>35</v>
      </c>
      <c r="P30" s="7"/>
      <c r="R30" s="9">
        <v>60.405905232966049</v>
      </c>
      <c r="T30" s="7" t="s">
        <v>34</v>
      </c>
      <c r="U30" s="7" t="s">
        <v>34</v>
      </c>
    </row>
    <row r="31" spans="1:21" ht="14.1" customHeight="1">
      <c r="A31" s="7">
        <v>27</v>
      </c>
      <c r="B31" s="14" t="s">
        <v>124</v>
      </c>
      <c r="C31" s="14" t="s">
        <v>323</v>
      </c>
      <c r="D31" s="7" t="s">
        <v>844</v>
      </c>
      <c r="E31" s="14" t="s">
        <v>845</v>
      </c>
      <c r="F31" s="7" t="s">
        <v>26</v>
      </c>
      <c r="G31" s="8" t="s">
        <v>1655</v>
      </c>
      <c r="H31" s="7" t="s">
        <v>121</v>
      </c>
      <c r="I31" s="11" t="s">
        <v>1656</v>
      </c>
      <c r="J31" s="7" t="s">
        <v>30</v>
      </c>
      <c r="K31" s="7" t="s">
        <v>31</v>
      </c>
      <c r="L31" s="7" t="s">
        <v>322</v>
      </c>
      <c r="M31" s="7">
        <v>830210</v>
      </c>
      <c r="N31" s="144">
        <v>40</v>
      </c>
      <c r="O31" s="7">
        <v>35</v>
      </c>
      <c r="P31" s="7"/>
      <c r="R31" s="9">
        <v>60.405905232966049</v>
      </c>
      <c r="T31" s="7" t="s">
        <v>34</v>
      </c>
      <c r="U31" s="7" t="s">
        <v>34</v>
      </c>
    </row>
    <row r="32" spans="1:21" ht="14.1" customHeight="1">
      <c r="A32" s="7">
        <v>28</v>
      </c>
      <c r="B32" s="14" t="s">
        <v>124</v>
      </c>
      <c r="C32" s="14" t="s">
        <v>323</v>
      </c>
      <c r="D32" s="7" t="s">
        <v>260</v>
      </c>
      <c r="E32" s="14" t="s">
        <v>827</v>
      </c>
      <c r="F32" s="7" t="s">
        <v>26</v>
      </c>
      <c r="G32" s="8" t="s">
        <v>1657</v>
      </c>
      <c r="H32" s="7" t="s">
        <v>1608</v>
      </c>
      <c r="I32" s="8" t="s">
        <v>1658</v>
      </c>
      <c r="J32" s="7" t="s">
        <v>30</v>
      </c>
      <c r="K32" s="17" t="s">
        <v>1610</v>
      </c>
      <c r="L32" s="7" t="s">
        <v>322</v>
      </c>
      <c r="M32" s="7">
        <v>830241</v>
      </c>
      <c r="N32" s="144">
        <v>130</v>
      </c>
      <c r="O32" s="7">
        <v>35</v>
      </c>
      <c r="P32" s="7"/>
      <c r="R32" s="9">
        <v>35.110932416661512</v>
      </c>
      <c r="T32" s="7" t="s">
        <v>34</v>
      </c>
      <c r="U32" s="7" t="s">
        <v>34</v>
      </c>
    </row>
    <row r="33" spans="1:21" ht="14.1" customHeight="1">
      <c r="A33" s="7">
        <v>29</v>
      </c>
      <c r="B33" s="14" t="s">
        <v>124</v>
      </c>
      <c r="C33" s="14" t="s">
        <v>323</v>
      </c>
      <c r="D33" s="7" t="s">
        <v>1601</v>
      </c>
      <c r="E33" s="14" t="s">
        <v>1602</v>
      </c>
      <c r="F33" s="7" t="s">
        <v>26</v>
      </c>
      <c r="G33" s="8" t="s">
        <v>1659</v>
      </c>
      <c r="H33" s="7" t="s">
        <v>1660</v>
      </c>
      <c r="I33" s="8" t="s">
        <v>1661</v>
      </c>
      <c r="J33" s="7" t="s">
        <v>30</v>
      </c>
      <c r="K33" s="7" t="s">
        <v>1662</v>
      </c>
      <c r="L33" s="7" t="s">
        <v>322</v>
      </c>
      <c r="M33" s="7">
        <v>830210</v>
      </c>
      <c r="N33" s="144">
        <v>30</v>
      </c>
      <c r="O33" s="7">
        <v>35</v>
      </c>
      <c r="P33" s="7"/>
      <c r="R33" s="9">
        <v>147.23939400535471</v>
      </c>
      <c r="T33" s="7" t="s">
        <v>34</v>
      </c>
      <c r="U33" s="7" t="s">
        <v>34</v>
      </c>
    </row>
    <row r="34" spans="1:21" ht="14.1" customHeight="1">
      <c r="A34" s="7">
        <v>30</v>
      </c>
      <c r="B34" s="14" t="s">
        <v>124</v>
      </c>
      <c r="C34" s="14" t="s">
        <v>323</v>
      </c>
      <c r="D34" s="7" t="s">
        <v>810</v>
      </c>
      <c r="E34" s="14" t="s">
        <v>811</v>
      </c>
      <c r="F34" s="7" t="s">
        <v>26</v>
      </c>
      <c r="G34" s="8">
        <v>2771</v>
      </c>
      <c r="H34" s="7" t="s">
        <v>1608</v>
      </c>
      <c r="I34" s="8" t="s">
        <v>1663</v>
      </c>
      <c r="J34" s="7" t="s">
        <v>30</v>
      </c>
      <c r="K34" s="17" t="s">
        <v>1610</v>
      </c>
      <c r="L34" s="7" t="s">
        <v>322</v>
      </c>
      <c r="M34" s="7">
        <v>830241</v>
      </c>
      <c r="N34" s="144">
        <v>1000</v>
      </c>
      <c r="O34" s="7">
        <v>35</v>
      </c>
      <c r="P34" s="7"/>
      <c r="R34" s="9">
        <v>4.7192113463254728</v>
      </c>
      <c r="T34" s="7" t="s">
        <v>34</v>
      </c>
      <c r="U34" s="7" t="s">
        <v>34</v>
      </c>
    </row>
    <row r="35" spans="1:21" ht="14.1" customHeight="1">
      <c r="A35" s="7">
        <v>31</v>
      </c>
      <c r="B35" s="14" t="s">
        <v>124</v>
      </c>
      <c r="C35" s="14" t="s">
        <v>323</v>
      </c>
      <c r="D35" s="7" t="s">
        <v>260</v>
      </c>
      <c r="E35" s="14" t="s">
        <v>827</v>
      </c>
      <c r="F35" s="7" t="s">
        <v>26</v>
      </c>
      <c r="G35" s="8" t="s">
        <v>1664</v>
      </c>
      <c r="H35" s="7" t="s">
        <v>1608</v>
      </c>
      <c r="I35" s="8" t="s">
        <v>1663</v>
      </c>
      <c r="J35" s="7" t="s">
        <v>30</v>
      </c>
      <c r="K35" s="17" t="s">
        <v>1610</v>
      </c>
      <c r="L35" s="7" t="s">
        <v>322</v>
      </c>
      <c r="M35" s="7">
        <v>830241</v>
      </c>
      <c r="N35" s="144">
        <v>1200</v>
      </c>
      <c r="O35" s="7">
        <v>35</v>
      </c>
      <c r="P35" s="7"/>
      <c r="R35" s="9">
        <v>4.1529059847664156</v>
      </c>
      <c r="T35" s="7" t="s">
        <v>34</v>
      </c>
      <c r="U35" s="7" t="s">
        <v>34</v>
      </c>
    </row>
    <row r="36" spans="1:21" ht="14.1" customHeight="1">
      <c r="A36" s="7">
        <v>32</v>
      </c>
      <c r="B36" s="14" t="s">
        <v>124</v>
      </c>
      <c r="C36" s="14" t="s">
        <v>323</v>
      </c>
      <c r="D36" s="7" t="s">
        <v>260</v>
      </c>
      <c r="E36" s="14" t="s">
        <v>827</v>
      </c>
      <c r="F36" s="7" t="s">
        <v>26</v>
      </c>
      <c r="G36" s="8">
        <v>20508</v>
      </c>
      <c r="H36" s="7" t="s">
        <v>1608</v>
      </c>
      <c r="I36" s="8" t="s">
        <v>1663</v>
      </c>
      <c r="J36" s="7" t="s">
        <v>30</v>
      </c>
      <c r="K36" s="17" t="s">
        <v>1610</v>
      </c>
      <c r="L36" s="7" t="s">
        <v>322</v>
      </c>
      <c r="M36" s="7">
        <v>830241</v>
      </c>
      <c r="N36" s="144">
        <v>1200</v>
      </c>
      <c r="O36" s="7">
        <v>35</v>
      </c>
      <c r="P36" s="7"/>
      <c r="R36" s="9">
        <v>3.7753690770603781</v>
      </c>
      <c r="T36" s="7" t="s">
        <v>34</v>
      </c>
      <c r="U36" s="7" t="s">
        <v>34</v>
      </c>
    </row>
    <row r="37" spans="1:21" ht="14.1" customHeight="1">
      <c r="A37" s="7">
        <v>33</v>
      </c>
      <c r="B37" s="14" t="s">
        <v>124</v>
      </c>
      <c r="C37" s="14" t="s">
        <v>323</v>
      </c>
      <c r="D37" s="7" t="s">
        <v>260</v>
      </c>
      <c r="E37" s="14" t="s">
        <v>827</v>
      </c>
      <c r="F37" s="7" t="s">
        <v>26</v>
      </c>
      <c r="G37" s="8" t="s">
        <v>1665</v>
      </c>
      <c r="H37" s="7" t="s">
        <v>1608</v>
      </c>
      <c r="I37" s="11" t="s">
        <v>1666</v>
      </c>
      <c r="J37" s="7" t="s">
        <v>30</v>
      </c>
      <c r="K37" s="7" t="s">
        <v>1610</v>
      </c>
      <c r="L37" s="7" t="s">
        <v>322</v>
      </c>
      <c r="M37" s="7">
        <v>731814</v>
      </c>
      <c r="N37" s="144">
        <v>180</v>
      </c>
      <c r="O37" s="7">
        <v>35</v>
      </c>
      <c r="P37" s="7"/>
      <c r="R37" s="9">
        <v>4.7192113463254728</v>
      </c>
      <c r="T37" s="7" t="s">
        <v>34</v>
      </c>
      <c r="U37" s="7" t="s">
        <v>34</v>
      </c>
    </row>
    <row r="38" spans="1:21" ht="14.1" customHeight="1">
      <c r="A38" s="7">
        <v>34</v>
      </c>
      <c r="B38" s="14" t="s">
        <v>124</v>
      </c>
      <c r="C38" s="14" t="s">
        <v>1667</v>
      </c>
      <c r="D38" s="7" t="s">
        <v>45</v>
      </c>
      <c r="E38" s="14" t="s">
        <v>46</v>
      </c>
      <c r="F38" s="7" t="s">
        <v>26</v>
      </c>
      <c r="G38" s="8" t="s">
        <v>1668</v>
      </c>
      <c r="H38" s="7" t="s">
        <v>1608</v>
      </c>
      <c r="I38" s="11" t="s">
        <v>1669</v>
      </c>
      <c r="J38" s="7" t="s">
        <v>30</v>
      </c>
      <c r="K38" s="7" t="s">
        <v>1610</v>
      </c>
      <c r="L38" s="7" t="s">
        <v>322</v>
      </c>
      <c r="M38" s="7">
        <v>830241</v>
      </c>
      <c r="N38" s="144">
        <v>3</v>
      </c>
      <c r="O38" s="7">
        <v>35</v>
      </c>
      <c r="P38" s="7"/>
      <c r="R38" s="9">
        <v>1698.9160846771699</v>
      </c>
      <c r="T38" s="7" t="s">
        <v>34</v>
      </c>
      <c r="U38" s="7"/>
    </row>
    <row r="39" spans="1:21" ht="14.1" customHeight="1">
      <c r="A39" s="7">
        <v>35</v>
      </c>
      <c r="B39" s="14" t="s">
        <v>124</v>
      </c>
      <c r="C39" s="14" t="s">
        <v>1670</v>
      </c>
      <c r="D39" s="7" t="s">
        <v>45</v>
      </c>
      <c r="E39" s="14" t="s">
        <v>46</v>
      </c>
      <c r="F39" s="7" t="s">
        <v>26</v>
      </c>
      <c r="G39" s="8" t="s">
        <v>1671</v>
      </c>
      <c r="H39" s="7" t="s">
        <v>1608</v>
      </c>
      <c r="I39" s="11" t="s">
        <v>1672</v>
      </c>
      <c r="J39" s="7" t="s">
        <v>30</v>
      </c>
      <c r="K39" s="7" t="s">
        <v>1610</v>
      </c>
      <c r="L39" s="7" t="s">
        <v>322</v>
      </c>
      <c r="M39" s="7">
        <v>830241</v>
      </c>
      <c r="N39" s="144">
        <v>3</v>
      </c>
      <c r="O39" s="7">
        <v>35</v>
      </c>
      <c r="P39" s="7"/>
      <c r="R39" s="9">
        <v>1698.9160846771699</v>
      </c>
      <c r="T39" s="7" t="s">
        <v>34</v>
      </c>
      <c r="U39" s="7"/>
    </row>
    <row r="40" spans="1:21" ht="14.1" customHeight="1">
      <c r="A40" s="7">
        <v>36</v>
      </c>
      <c r="B40" s="14" t="s">
        <v>124</v>
      </c>
      <c r="C40" s="14" t="s">
        <v>1673</v>
      </c>
      <c r="D40" s="7" t="s">
        <v>260</v>
      </c>
      <c r="E40" s="14" t="s">
        <v>827</v>
      </c>
      <c r="F40" s="7" t="s">
        <v>26</v>
      </c>
      <c r="G40" s="8">
        <v>14086</v>
      </c>
      <c r="H40" s="7" t="s">
        <v>1608</v>
      </c>
      <c r="I40" s="11" t="s">
        <v>1674</v>
      </c>
      <c r="J40" s="7" t="s">
        <v>30</v>
      </c>
      <c r="K40" s="7" t="s">
        <v>1610</v>
      </c>
      <c r="L40" s="7" t="s">
        <v>322</v>
      </c>
      <c r="M40" s="7">
        <v>830241</v>
      </c>
      <c r="N40" s="144">
        <v>1000</v>
      </c>
      <c r="O40" s="7">
        <v>35</v>
      </c>
      <c r="P40" s="7"/>
      <c r="R40" s="9">
        <v>4.7192113463254728</v>
      </c>
      <c r="T40" s="7" t="s">
        <v>34</v>
      </c>
      <c r="U40" s="7"/>
    </row>
    <row r="41" spans="1:21" ht="14.1" customHeight="1">
      <c r="A41" s="7">
        <v>37</v>
      </c>
      <c r="B41" s="14" t="s">
        <v>124</v>
      </c>
      <c r="C41" s="14" t="s">
        <v>1675</v>
      </c>
      <c r="D41" s="7" t="s">
        <v>260</v>
      </c>
      <c r="E41" s="14" t="s">
        <v>827</v>
      </c>
      <c r="F41" s="7" t="s">
        <v>26</v>
      </c>
      <c r="G41" s="8" t="s">
        <v>1676</v>
      </c>
      <c r="H41" s="7" t="s">
        <v>1608</v>
      </c>
      <c r="I41" s="11" t="s">
        <v>1677</v>
      </c>
      <c r="J41" s="7" t="s">
        <v>30</v>
      </c>
      <c r="K41" s="7" t="s">
        <v>1610</v>
      </c>
      <c r="L41" s="7" t="s">
        <v>322</v>
      </c>
      <c r="M41" s="7">
        <v>830241</v>
      </c>
      <c r="N41" s="144">
        <v>200</v>
      </c>
      <c r="O41" s="7">
        <v>35</v>
      </c>
      <c r="P41" s="7"/>
      <c r="R41" s="9">
        <v>23.59605673162736</v>
      </c>
      <c r="T41" s="7" t="s">
        <v>34</v>
      </c>
      <c r="U41" s="7"/>
    </row>
    <row r="42" spans="1:21" ht="14.1" customHeight="1">
      <c r="A42" s="7">
        <v>38</v>
      </c>
      <c r="B42" s="14" t="s">
        <v>124</v>
      </c>
      <c r="C42" s="14" t="s">
        <v>1678</v>
      </c>
      <c r="D42" s="7" t="s">
        <v>1601</v>
      </c>
      <c r="E42" s="14" t="s">
        <v>1602</v>
      </c>
      <c r="F42" s="7" t="s">
        <v>26</v>
      </c>
      <c r="G42" s="8" t="s">
        <v>1679</v>
      </c>
      <c r="H42" s="7" t="s">
        <v>1608</v>
      </c>
      <c r="I42" s="11" t="s">
        <v>1648</v>
      </c>
      <c r="J42" s="7" t="s">
        <v>30</v>
      </c>
      <c r="K42" s="7" t="s">
        <v>1610</v>
      </c>
      <c r="L42" s="7" t="s">
        <v>322</v>
      </c>
      <c r="M42" s="7">
        <v>830210</v>
      </c>
      <c r="N42" s="144">
        <v>300</v>
      </c>
      <c r="O42" s="7">
        <v>35</v>
      </c>
      <c r="P42" s="7"/>
      <c r="R42" s="9">
        <v>9.4384226926509456</v>
      </c>
      <c r="T42" s="7" t="s">
        <v>34</v>
      </c>
      <c r="U42" s="7"/>
    </row>
    <row r="43" spans="1:21" ht="14.1" customHeight="1">
      <c r="A43" s="7">
        <v>39</v>
      </c>
      <c r="B43" s="14" t="s">
        <v>124</v>
      </c>
      <c r="C43" s="14" t="s">
        <v>323</v>
      </c>
      <c r="D43" s="7" t="s">
        <v>260</v>
      </c>
      <c r="E43" s="14" t="s">
        <v>827</v>
      </c>
      <c r="F43" s="7" t="s">
        <v>26</v>
      </c>
      <c r="G43" s="8" t="s">
        <v>1680</v>
      </c>
      <c r="H43" s="7" t="s">
        <v>1660</v>
      </c>
      <c r="I43" s="147" t="s">
        <v>369</v>
      </c>
      <c r="J43" s="7" t="s">
        <v>30</v>
      </c>
      <c r="K43" s="7" t="s">
        <v>1662</v>
      </c>
      <c r="L43" s="7" t="s">
        <v>322</v>
      </c>
      <c r="M43" s="7">
        <v>830241</v>
      </c>
      <c r="N43" s="7">
        <v>500</v>
      </c>
      <c r="O43" s="7">
        <v>35</v>
      </c>
      <c r="P43" s="7"/>
      <c r="R43" s="9">
        <v>103.8226496191604</v>
      </c>
      <c r="T43" s="8"/>
      <c r="U43" s="7" t="s">
        <v>34</v>
      </c>
    </row>
    <row r="44" spans="1:21" ht="14.1" customHeight="1">
      <c r="A44" s="7">
        <v>40</v>
      </c>
      <c r="B44" s="14" t="s">
        <v>124</v>
      </c>
      <c r="C44" s="14" t="s">
        <v>323</v>
      </c>
      <c r="D44" s="7" t="s">
        <v>260</v>
      </c>
      <c r="E44" s="14" t="s">
        <v>827</v>
      </c>
      <c r="F44" s="7" t="s">
        <v>26</v>
      </c>
      <c r="G44" s="8" t="s">
        <v>1681</v>
      </c>
      <c r="H44" s="7" t="s">
        <v>1608</v>
      </c>
      <c r="I44" s="8" t="s">
        <v>1682</v>
      </c>
      <c r="J44" s="7" t="s">
        <v>30</v>
      </c>
      <c r="K44" s="7" t="s">
        <v>1610</v>
      </c>
      <c r="L44" s="7" t="s">
        <v>322</v>
      </c>
      <c r="M44" s="7">
        <v>830241</v>
      </c>
      <c r="N44" s="7">
        <v>500</v>
      </c>
      <c r="O44" s="7">
        <v>35</v>
      </c>
      <c r="P44" s="7"/>
      <c r="R44" s="9">
        <v>6.6068958848556596</v>
      </c>
      <c r="T44" s="8"/>
      <c r="U44" s="7" t="s">
        <v>34</v>
      </c>
    </row>
    <row r="45" spans="1:21" ht="14.1" customHeight="1">
      <c r="A45" s="7">
        <v>41</v>
      </c>
      <c r="B45" s="14" t="s">
        <v>124</v>
      </c>
      <c r="C45" s="14" t="s">
        <v>323</v>
      </c>
      <c r="D45" s="7" t="s">
        <v>260</v>
      </c>
      <c r="E45" s="14" t="s">
        <v>827</v>
      </c>
      <c r="F45" s="7" t="s">
        <v>26</v>
      </c>
      <c r="G45" s="8" t="s">
        <v>1683</v>
      </c>
      <c r="H45" s="7" t="s">
        <v>1608</v>
      </c>
      <c r="I45" s="8" t="s">
        <v>1684</v>
      </c>
      <c r="J45" s="7" t="s">
        <v>30</v>
      </c>
      <c r="K45" s="7" t="s">
        <v>1610</v>
      </c>
      <c r="L45" s="7" t="s">
        <v>322</v>
      </c>
      <c r="M45" s="7">
        <v>830241</v>
      </c>
      <c r="N45" s="7">
        <v>200</v>
      </c>
      <c r="O45" s="7">
        <v>35</v>
      </c>
      <c r="P45" s="7"/>
      <c r="R45" s="9">
        <v>47.192113463254721</v>
      </c>
      <c r="T45" s="8"/>
      <c r="U45" s="7" t="s">
        <v>34</v>
      </c>
    </row>
    <row r="46" spans="1:21" ht="14.1" customHeight="1">
      <c r="A46" s="7">
        <v>42</v>
      </c>
      <c r="B46" s="14" t="s">
        <v>124</v>
      </c>
      <c r="C46" s="14" t="s">
        <v>323</v>
      </c>
      <c r="D46" s="7" t="s">
        <v>260</v>
      </c>
      <c r="E46" s="14" t="s">
        <v>827</v>
      </c>
      <c r="F46" s="7" t="s">
        <v>26</v>
      </c>
      <c r="G46" s="8" t="s">
        <v>1685</v>
      </c>
      <c r="H46" s="7" t="s">
        <v>1608</v>
      </c>
      <c r="I46" s="8" t="s">
        <v>1686</v>
      </c>
      <c r="J46" s="7" t="s">
        <v>30</v>
      </c>
      <c r="K46" s="7" t="s">
        <v>1610</v>
      </c>
      <c r="L46" s="7" t="s">
        <v>322</v>
      </c>
      <c r="M46" s="7">
        <v>830241</v>
      </c>
      <c r="N46" s="7">
        <v>200</v>
      </c>
      <c r="O46" s="7">
        <v>35</v>
      </c>
      <c r="P46" s="7"/>
      <c r="R46" s="9">
        <v>47.192113463254721</v>
      </c>
      <c r="T46" s="8"/>
      <c r="U46" s="7" t="s">
        <v>34</v>
      </c>
    </row>
    <row r="47" spans="1:21" ht="14.1" customHeight="1">
      <c r="A47" s="7">
        <v>43</v>
      </c>
      <c r="B47" s="14" t="s">
        <v>124</v>
      </c>
      <c r="C47" s="14" t="s">
        <v>323</v>
      </c>
      <c r="D47" s="7" t="s">
        <v>260</v>
      </c>
      <c r="E47" s="14" t="s">
        <v>827</v>
      </c>
      <c r="F47" s="7" t="s">
        <v>26</v>
      </c>
      <c r="G47" s="8" t="s">
        <v>1687</v>
      </c>
      <c r="H47" s="7" t="s">
        <v>1608</v>
      </c>
      <c r="I47" s="8" t="s">
        <v>1646</v>
      </c>
      <c r="J47" s="7" t="s">
        <v>30</v>
      </c>
      <c r="K47" s="7" t="s">
        <v>1610</v>
      </c>
      <c r="L47" s="7" t="s">
        <v>322</v>
      </c>
      <c r="M47" s="7">
        <v>830241</v>
      </c>
      <c r="N47" s="7">
        <v>500</v>
      </c>
      <c r="O47" s="7">
        <v>35</v>
      </c>
      <c r="P47" s="7"/>
      <c r="R47" s="9">
        <v>13.213791769711319</v>
      </c>
      <c r="T47" s="8"/>
      <c r="U47" s="7" t="s">
        <v>34</v>
      </c>
    </row>
    <row r="48" spans="1:21" ht="14.1" customHeight="1">
      <c r="A48" s="7">
        <v>44</v>
      </c>
      <c r="B48" s="14" t="s">
        <v>124</v>
      </c>
      <c r="C48" s="14" t="s">
        <v>323</v>
      </c>
      <c r="D48" s="7" t="s">
        <v>260</v>
      </c>
      <c r="E48" s="14" t="s">
        <v>827</v>
      </c>
      <c r="F48" s="7" t="s">
        <v>26</v>
      </c>
      <c r="G48" s="8" t="s">
        <v>1688</v>
      </c>
      <c r="H48" s="7" t="s">
        <v>1608</v>
      </c>
      <c r="I48" s="8" t="s">
        <v>1646</v>
      </c>
      <c r="J48" s="7" t="s">
        <v>30</v>
      </c>
      <c r="K48" s="7" t="s">
        <v>1610</v>
      </c>
      <c r="L48" s="7" t="s">
        <v>322</v>
      </c>
      <c r="M48" s="7">
        <v>830241</v>
      </c>
      <c r="N48" s="7">
        <v>500</v>
      </c>
      <c r="O48" s="7">
        <v>35</v>
      </c>
      <c r="P48" s="7"/>
      <c r="R48" s="9">
        <v>11.32610723118113</v>
      </c>
      <c r="T48" s="8"/>
      <c r="U48" s="7" t="s">
        <v>34</v>
      </c>
    </row>
    <row r="49" spans="1:21" ht="14.1" customHeight="1">
      <c r="A49" s="7">
        <v>45</v>
      </c>
      <c r="B49" s="14" t="s">
        <v>124</v>
      </c>
      <c r="C49" s="14" t="s">
        <v>323</v>
      </c>
      <c r="D49" s="7" t="s">
        <v>260</v>
      </c>
      <c r="E49" s="14" t="s">
        <v>827</v>
      </c>
      <c r="F49" s="7" t="s">
        <v>26</v>
      </c>
      <c r="G49" s="8" t="s">
        <v>1689</v>
      </c>
      <c r="H49" s="7" t="s">
        <v>1608</v>
      </c>
      <c r="I49" s="8" t="s">
        <v>1637</v>
      </c>
      <c r="J49" s="7" t="s">
        <v>30</v>
      </c>
      <c r="K49" s="7" t="s">
        <v>1610</v>
      </c>
      <c r="L49" s="7" t="s">
        <v>322</v>
      </c>
      <c r="M49" s="7">
        <v>830241</v>
      </c>
      <c r="N49" s="7">
        <v>500</v>
      </c>
      <c r="O49" s="7">
        <v>35</v>
      </c>
      <c r="P49" s="7"/>
      <c r="R49" s="9">
        <v>5.6630536155905666</v>
      </c>
      <c r="T49" s="8"/>
      <c r="U49" s="7" t="s">
        <v>34</v>
      </c>
    </row>
    <row r="50" spans="1:21" ht="14.1" customHeight="1">
      <c r="A50" s="7">
        <v>46</v>
      </c>
      <c r="B50" s="14" t="s">
        <v>124</v>
      </c>
      <c r="C50" s="14" t="s">
        <v>323</v>
      </c>
      <c r="D50" s="7" t="s">
        <v>1601</v>
      </c>
      <c r="E50" s="14" t="s">
        <v>1602</v>
      </c>
      <c r="F50" s="7" t="s">
        <v>26</v>
      </c>
      <c r="G50" s="8" t="s">
        <v>1690</v>
      </c>
      <c r="H50" s="7" t="s">
        <v>1660</v>
      </c>
      <c r="I50" s="8" t="s">
        <v>1661</v>
      </c>
      <c r="J50" s="7" t="s">
        <v>30</v>
      </c>
      <c r="K50" s="7" t="s">
        <v>1662</v>
      </c>
      <c r="L50" s="7" t="s">
        <v>322</v>
      </c>
      <c r="M50" s="7">
        <v>830210</v>
      </c>
      <c r="N50" s="7">
        <v>150</v>
      </c>
      <c r="O50" s="7">
        <v>35</v>
      </c>
      <c r="P50" s="7"/>
      <c r="R50" s="9">
        <v>188.76845385301891</v>
      </c>
      <c r="T50" s="8"/>
      <c r="U50" s="7" t="s">
        <v>34</v>
      </c>
    </row>
    <row r="51" spans="1:21" ht="14.1" customHeight="1">
      <c r="A51" s="7">
        <v>47</v>
      </c>
      <c r="B51" s="14" t="s">
        <v>124</v>
      </c>
      <c r="C51" s="14" t="s">
        <v>323</v>
      </c>
      <c r="D51" s="7" t="s">
        <v>260</v>
      </c>
      <c r="E51" s="14" t="s">
        <v>827</v>
      </c>
      <c r="F51" s="7" t="s">
        <v>26</v>
      </c>
      <c r="G51" s="8" t="s">
        <v>1691</v>
      </c>
      <c r="H51" s="7" t="s">
        <v>1660</v>
      </c>
      <c r="I51" s="8" t="s">
        <v>1692</v>
      </c>
      <c r="J51" s="7" t="s">
        <v>30</v>
      </c>
      <c r="K51" s="7" t="s">
        <v>1662</v>
      </c>
      <c r="L51" s="7" t="s">
        <v>322</v>
      </c>
      <c r="M51" s="7">
        <v>830241</v>
      </c>
      <c r="N51" s="7">
        <v>500</v>
      </c>
      <c r="O51" s="7">
        <v>35</v>
      </c>
      <c r="P51" s="7"/>
      <c r="R51" s="9">
        <v>22.65221446236227</v>
      </c>
      <c r="T51" s="8"/>
      <c r="U51" s="7" t="s">
        <v>34</v>
      </c>
    </row>
    <row r="52" spans="1:21" ht="14.1" customHeight="1"/>
    <row r="53" spans="1:21" ht="14.1" customHeight="1"/>
    <row r="54" spans="1:21" ht="14.1" customHeight="1"/>
    <row r="55" spans="1:21" ht="14.1" customHeight="1"/>
    <row r="56" spans="1:21" ht="14.1" customHeight="1"/>
    <row r="57" spans="1:21" ht="14.1" customHeight="1"/>
    <row r="58" spans="1:21" ht="14.1" customHeight="1"/>
    <row r="59" spans="1:21" ht="14.1" customHeight="1"/>
    <row r="60" spans="1:21" ht="14.1" customHeight="1"/>
    <row r="61" spans="1:21" ht="14.1" customHeight="1"/>
    <row r="62" spans="1:21" ht="14.1" customHeight="1"/>
    <row r="63" spans="1:21" ht="14.1" customHeight="1"/>
    <row r="64" spans="1:21" ht="14.1" customHeight="1"/>
    <row r="65" ht="14.1" customHeight="1"/>
    <row r="66" ht="14.1" customHeight="1"/>
    <row r="67" ht="14.1" customHeight="1"/>
    <row r="68" ht="14.1" customHeight="1"/>
    <row r="69" ht="14.1" customHeight="1"/>
    <row r="70" ht="14.1" customHeight="1"/>
    <row r="71" ht="14.1" customHeight="1"/>
    <row r="72" ht="14.1" customHeight="1"/>
    <row r="73" ht="14.1" customHeight="1"/>
    <row r="74" ht="14.1" customHeight="1"/>
    <row r="75" ht="14.1" customHeight="1"/>
    <row r="76" ht="14.1" customHeight="1"/>
    <row r="77" ht="14.1" customHeight="1"/>
    <row r="78" ht="14.1" customHeight="1"/>
    <row r="79" ht="14.1" customHeight="1"/>
    <row r="80" ht="14.1" customHeight="1"/>
    <row r="81" ht="14.1" customHeight="1"/>
    <row r="82" ht="14.1" customHeight="1"/>
    <row r="83" ht="14.1" customHeight="1"/>
    <row r="84" ht="14.1" customHeight="1"/>
    <row r="85" ht="14.1" customHeight="1"/>
    <row r="86" ht="14.1" customHeight="1"/>
    <row r="87" ht="14.1" customHeight="1"/>
    <row r="88" ht="14.1" customHeight="1"/>
    <row r="89" ht="14.1" customHeight="1"/>
    <row r="90" ht="14.1" customHeight="1"/>
    <row r="91" ht="14.1" customHeight="1"/>
    <row r="92" ht="14.1" customHeight="1"/>
    <row r="93" ht="14.1" customHeight="1"/>
    <row r="94" ht="14.1" customHeight="1"/>
    <row r="95" ht="14.1" customHeight="1"/>
    <row r="96" ht="14.1" customHeight="1"/>
    <row r="97" ht="14.1" customHeight="1"/>
    <row r="98" ht="14.1" customHeight="1"/>
    <row r="99" ht="14.1" customHeight="1"/>
    <row r="100" ht="14.1" customHeight="1"/>
    <row r="101" ht="14.1" customHeight="1"/>
    <row r="102" ht="14.1" customHeight="1"/>
    <row r="103" ht="14.1" customHeight="1"/>
    <row r="104" ht="14.1" customHeight="1"/>
    <row r="105" ht="14.1" customHeight="1"/>
    <row r="106" ht="14.1" customHeight="1"/>
    <row r="107" ht="14.1" customHeight="1"/>
    <row r="108" ht="14.1" customHeight="1"/>
    <row r="109" ht="14.1" customHeight="1"/>
    <row r="110" ht="14.1" customHeight="1"/>
    <row r="111" ht="14.1" customHeight="1"/>
    <row r="112" ht="14.1" customHeight="1"/>
    <row r="113" ht="14.1" customHeight="1"/>
    <row r="114" ht="14.1" customHeight="1"/>
    <row r="115" ht="14.1" customHeight="1"/>
    <row r="116" ht="14.1" customHeight="1"/>
    <row r="117" ht="14.1" customHeight="1"/>
    <row r="118" ht="14.1" customHeight="1"/>
    <row r="119" ht="14.1" customHeight="1"/>
    <row r="120" ht="14.1" customHeight="1"/>
    <row r="121" ht="14.1" customHeight="1"/>
    <row r="122" ht="14.1" customHeight="1"/>
    <row r="123" ht="14.1" customHeight="1"/>
    <row r="124" ht="14.1" customHeight="1"/>
    <row r="125" ht="14.1" customHeight="1"/>
    <row r="126" ht="14.1" customHeight="1"/>
    <row r="127" ht="14.1" customHeight="1"/>
    <row r="128" ht="14.1" customHeight="1"/>
    <row r="129" ht="14.1" customHeight="1"/>
    <row r="130" ht="14.1" customHeight="1"/>
    <row r="131" ht="14.1" customHeight="1"/>
    <row r="132" ht="14.1" customHeight="1"/>
    <row r="133" ht="14.1" customHeight="1"/>
    <row r="134" ht="14.1" customHeight="1"/>
    <row r="135" ht="14.1" customHeight="1"/>
    <row r="136" ht="14.1" customHeight="1"/>
    <row r="137" ht="14.1" customHeight="1"/>
    <row r="138" ht="14.1" customHeight="1"/>
    <row r="139" ht="14.1" customHeight="1"/>
    <row r="140" ht="14.1" customHeight="1"/>
    <row r="141" ht="14.1" customHeight="1"/>
    <row r="142" ht="14.1" customHeight="1"/>
    <row r="143" ht="14.1" customHeight="1"/>
    <row r="144" ht="14.1" customHeight="1"/>
    <row r="145" ht="14.1" customHeight="1"/>
    <row r="146" ht="14.1" customHeight="1"/>
    <row r="147" ht="14.1" customHeight="1"/>
    <row r="148" ht="14.1" customHeight="1"/>
    <row r="149" ht="14.1" customHeight="1"/>
    <row r="150" ht="14.1" customHeight="1"/>
    <row r="151" ht="14.1" customHeight="1"/>
    <row r="152" ht="14.1" customHeight="1"/>
    <row r="153" ht="14.1" customHeight="1"/>
    <row r="154" ht="14.1" customHeight="1"/>
    <row r="155" ht="14.1" customHeight="1"/>
    <row r="156" ht="14.1" customHeight="1"/>
    <row r="157" ht="14.1" customHeight="1"/>
    <row r="158" ht="14.1" customHeight="1"/>
    <row r="159" ht="14.1" customHeight="1"/>
    <row r="160" ht="14.1" customHeight="1"/>
    <row r="161" ht="14.1" customHeight="1"/>
    <row r="162" ht="14.1" customHeight="1"/>
    <row r="163" ht="14.1" customHeight="1"/>
    <row r="164" ht="14.1" customHeight="1"/>
    <row r="165" ht="14.1" customHeight="1"/>
    <row r="166" ht="14.1" customHeight="1"/>
    <row r="167" ht="14.1" customHeight="1"/>
    <row r="168" ht="14.1" customHeight="1"/>
    <row r="169" ht="14.1" customHeight="1"/>
    <row r="170" ht="14.1" customHeight="1"/>
    <row r="171" ht="14.1" customHeight="1"/>
    <row r="172" ht="14.1" customHeight="1"/>
    <row r="173" ht="14.1" customHeight="1"/>
    <row r="174" ht="14.1" customHeight="1"/>
    <row r="175" ht="14.1" customHeight="1"/>
    <row r="176" ht="14.1" customHeight="1"/>
    <row r="177" ht="14.1" customHeight="1"/>
    <row r="178" ht="14.1" customHeight="1"/>
    <row r="179" ht="14.1" customHeight="1"/>
    <row r="180" ht="14.1" customHeight="1"/>
    <row r="181" ht="14.1" customHeight="1"/>
    <row r="182" ht="14.1" customHeight="1"/>
    <row r="183" ht="14.1" customHeight="1"/>
    <row r="184" ht="14.1" customHeight="1"/>
    <row r="185" ht="14.1" customHeight="1"/>
    <row r="186" ht="14.1" customHeight="1"/>
    <row r="187" ht="14.1" customHeight="1"/>
    <row r="188" ht="14.1" customHeight="1"/>
    <row r="189" ht="14.1" customHeight="1"/>
    <row r="190" ht="14.1" customHeight="1"/>
    <row r="191" ht="14.1" customHeight="1"/>
    <row r="192" ht="14.1" customHeight="1"/>
    <row r="193" ht="14.1" customHeight="1"/>
    <row r="194" ht="14.1" customHeight="1"/>
    <row r="195" ht="14.1" customHeight="1"/>
    <row r="196" ht="14.1" customHeight="1"/>
    <row r="197" ht="14.1" customHeight="1"/>
    <row r="198" ht="14.1" customHeight="1"/>
    <row r="199" ht="14.1" customHeight="1"/>
    <row r="200" ht="14.1" customHeight="1"/>
    <row r="201" ht="14.1" customHeight="1"/>
    <row r="202" ht="14.1" customHeight="1"/>
    <row r="203" ht="14.1" customHeight="1"/>
    <row r="204" ht="14.1" customHeight="1"/>
    <row r="205" ht="14.1" customHeight="1"/>
    <row r="206" ht="14.1" customHeight="1"/>
    <row r="207" ht="14.1" customHeight="1"/>
    <row r="208" ht="14.1" customHeight="1"/>
    <row r="209" ht="14.1" customHeight="1"/>
    <row r="210" ht="14.1" customHeight="1"/>
    <row r="211" ht="14.1" customHeight="1"/>
    <row r="212" ht="14.1" customHeight="1"/>
    <row r="213" ht="14.1" customHeight="1"/>
    <row r="214" ht="14.1" customHeight="1"/>
    <row r="215" ht="14.1" customHeight="1"/>
    <row r="216" ht="14.1" customHeight="1"/>
    <row r="217" ht="14.1" customHeight="1"/>
    <row r="218" ht="14.1" customHeight="1"/>
    <row r="219" ht="14.1" customHeight="1"/>
    <row r="220" ht="14.1" customHeight="1"/>
    <row r="221" ht="14.1" customHeight="1"/>
    <row r="222" ht="14.1" customHeight="1"/>
    <row r="223" ht="14.1" customHeight="1"/>
    <row r="224" ht="14.1" customHeight="1"/>
    <row r="225" ht="14.1" customHeight="1"/>
    <row r="226" ht="14.1" customHeight="1"/>
    <row r="227" ht="14.1" customHeight="1"/>
    <row r="228" ht="14.1" customHeight="1"/>
    <row r="229" ht="14.1" customHeight="1"/>
    <row r="230" ht="14.1" customHeight="1"/>
    <row r="231" ht="14.1" customHeight="1"/>
    <row r="232" ht="14.1" customHeight="1"/>
    <row r="233" ht="14.1" customHeight="1"/>
    <row r="234" ht="14.1" customHeight="1"/>
    <row r="235" ht="14.1" customHeight="1"/>
    <row r="236" ht="14.1" customHeight="1"/>
    <row r="237" ht="14.1" customHeight="1"/>
    <row r="238" ht="14.1" customHeight="1"/>
    <row r="239" ht="14.1" customHeight="1"/>
    <row r="240" ht="14.1" customHeight="1"/>
    <row r="241" ht="14.1" customHeight="1"/>
    <row r="242" ht="14.1" customHeight="1"/>
    <row r="243" ht="14.1" customHeight="1"/>
    <row r="244" ht="14.1" customHeight="1"/>
    <row r="245" ht="14.1" customHeight="1"/>
    <row r="246" ht="14.1" customHeight="1"/>
    <row r="247" ht="14.1" customHeight="1"/>
    <row r="248" ht="14.1" customHeight="1"/>
    <row r="249" ht="14.1" customHeight="1"/>
    <row r="250" ht="14.1" customHeight="1"/>
    <row r="251" ht="14.1" customHeight="1"/>
    <row r="252" ht="14.1" customHeight="1"/>
    <row r="253" ht="14.1" customHeight="1"/>
    <row r="254" ht="14.1" customHeight="1"/>
    <row r="255" ht="14.1" customHeight="1"/>
    <row r="256" ht="14.1" customHeight="1"/>
    <row r="257" ht="14.1" customHeight="1"/>
    <row r="258" ht="14.1" customHeight="1"/>
    <row r="259" ht="14.1" customHeight="1"/>
    <row r="260" ht="14.1" customHeight="1"/>
    <row r="261" ht="14.1" customHeight="1"/>
    <row r="262" ht="14.1" customHeight="1"/>
    <row r="263" ht="14.1" customHeight="1"/>
    <row r="264" ht="14.1" customHeight="1"/>
    <row r="265" ht="14.1" customHeight="1"/>
    <row r="266" ht="14.1" customHeight="1"/>
    <row r="267" ht="14.1" customHeight="1"/>
    <row r="268" ht="14.1" customHeight="1"/>
    <row r="269" ht="14.1" customHeight="1"/>
    <row r="270" ht="14.1" customHeight="1"/>
    <row r="271" ht="14.1" customHeight="1"/>
    <row r="272" ht="14.1" customHeight="1"/>
    <row r="273" ht="14.1" customHeight="1"/>
    <row r="274" ht="14.1" customHeight="1"/>
    <row r="275" ht="14.1" customHeight="1"/>
    <row r="276" ht="14.1" customHeight="1"/>
    <row r="277" ht="14.1" customHeight="1"/>
    <row r="278" ht="14.1" customHeight="1"/>
    <row r="279" ht="14.1" customHeight="1"/>
    <row r="280" ht="14.1" customHeight="1"/>
    <row r="281" ht="14.1" customHeight="1"/>
    <row r="282" ht="14.1" customHeight="1"/>
    <row r="283" ht="14.1" customHeight="1"/>
    <row r="284" ht="14.1" customHeight="1"/>
    <row r="285" ht="14.1" customHeight="1"/>
    <row r="286" ht="14.1" customHeight="1"/>
    <row r="287" ht="14.1" customHeight="1"/>
    <row r="288" ht="14.1" customHeight="1"/>
    <row r="289" ht="14.1" customHeight="1"/>
    <row r="290" ht="14.1" customHeight="1"/>
    <row r="291" ht="14.1" customHeight="1"/>
    <row r="292" ht="14.1" customHeight="1"/>
    <row r="293" ht="14.1" customHeight="1"/>
    <row r="294" ht="14.1" customHeight="1"/>
    <row r="295" ht="14.1" customHeight="1"/>
    <row r="296" ht="14.1" customHeight="1"/>
    <row r="297" ht="14.1" customHeight="1"/>
    <row r="298" ht="14.1" customHeight="1"/>
    <row r="299" ht="14.1" customHeight="1"/>
    <row r="300" ht="14.1" customHeight="1"/>
    <row r="301" ht="14.1" customHeight="1"/>
    <row r="302" ht="14.1" customHeight="1"/>
    <row r="303" ht="14.1" customHeight="1"/>
    <row r="304" ht="14.1" customHeight="1"/>
    <row r="305" ht="14.1" customHeight="1"/>
    <row r="306" ht="14.1" customHeight="1"/>
    <row r="307" ht="14.1" customHeight="1"/>
    <row r="308" ht="14.1" customHeight="1"/>
    <row r="309" ht="14.1" customHeight="1"/>
    <row r="310" ht="14.1" customHeight="1"/>
    <row r="311" ht="14.1" customHeight="1"/>
    <row r="312" ht="14.1" customHeight="1"/>
    <row r="313" ht="14.1" customHeight="1"/>
    <row r="314" ht="14.1" customHeight="1"/>
    <row r="315" ht="14.1" customHeight="1"/>
    <row r="316" ht="14.1" customHeight="1"/>
    <row r="317" ht="14.1" customHeight="1"/>
    <row r="318" ht="14.1" customHeight="1"/>
    <row r="319" ht="14.1" customHeight="1"/>
    <row r="320" ht="14.1" customHeight="1"/>
    <row r="321" ht="14.1" customHeight="1"/>
    <row r="322" ht="14.1" customHeight="1"/>
    <row r="323" ht="14.1" customHeight="1"/>
    <row r="324" ht="14.1" customHeight="1"/>
    <row r="325" ht="14.1" customHeight="1"/>
    <row r="326" ht="14.1" customHeight="1"/>
    <row r="327" ht="14.1" customHeight="1"/>
    <row r="328" ht="14.1" customHeight="1"/>
    <row r="329" ht="14.1" customHeight="1"/>
    <row r="330" ht="14.1" customHeight="1"/>
    <row r="331" ht="14.1" customHeight="1"/>
    <row r="332" ht="14.1" customHeight="1"/>
    <row r="333" ht="14.1" customHeight="1"/>
    <row r="334" ht="14.1" customHeight="1"/>
    <row r="335" ht="14.1" customHeight="1"/>
    <row r="336" ht="14.1" customHeight="1"/>
    <row r="337" ht="14.1" customHeight="1"/>
    <row r="338" ht="14.1" customHeight="1"/>
    <row r="339" ht="14.1" customHeight="1"/>
    <row r="340" ht="14.1" customHeight="1"/>
    <row r="341" ht="14.1" customHeight="1"/>
    <row r="342" ht="14.1" customHeight="1"/>
    <row r="343" ht="14.1" customHeight="1"/>
    <row r="344" ht="14.1" customHeight="1"/>
    <row r="345" ht="14.1" customHeight="1"/>
    <row r="346" ht="14.1" customHeight="1"/>
    <row r="347" ht="14.1" customHeight="1"/>
    <row r="348" ht="14.1" customHeight="1"/>
    <row r="349" ht="14.1" customHeight="1"/>
    <row r="350" ht="14.1" customHeight="1"/>
    <row r="351" ht="14.1" customHeight="1"/>
    <row r="352" ht="14.1" customHeight="1"/>
    <row r="353" ht="14.1" customHeight="1"/>
    <row r="354" ht="14.1" customHeight="1"/>
    <row r="355" ht="14.1" customHeight="1"/>
    <row r="356" ht="14.1" customHeight="1"/>
    <row r="357" ht="14.1" customHeight="1"/>
    <row r="358" ht="14.1" customHeight="1"/>
    <row r="359" ht="14.1" customHeight="1"/>
    <row r="360" ht="14.1" customHeight="1"/>
    <row r="361" ht="14.1" customHeight="1"/>
    <row r="362" ht="14.1" customHeight="1"/>
    <row r="363" ht="14.1" customHeight="1"/>
    <row r="364" ht="14.1" customHeight="1"/>
    <row r="365" ht="14.1" customHeight="1"/>
    <row r="366" ht="14.1" customHeight="1"/>
    <row r="367" ht="14.1" customHeight="1"/>
    <row r="368" ht="14.1" customHeight="1"/>
    <row r="369" ht="14.1" customHeight="1"/>
    <row r="370" ht="14.1" customHeight="1"/>
    <row r="371" ht="14.1" customHeight="1"/>
    <row r="372" ht="14.1" customHeight="1"/>
    <row r="373" ht="14.1" customHeight="1"/>
    <row r="374" ht="14.1" customHeight="1"/>
    <row r="375" ht="14.1" customHeight="1"/>
    <row r="376" ht="14.1" customHeight="1"/>
    <row r="377" ht="14.1" customHeight="1"/>
    <row r="378" ht="14.1" customHeight="1"/>
    <row r="379" ht="14.1" customHeight="1"/>
    <row r="380" ht="14.1" customHeight="1"/>
    <row r="381" ht="14.1" customHeight="1"/>
    <row r="382" ht="14.1" customHeight="1"/>
    <row r="383" ht="14.1" customHeight="1"/>
    <row r="384" ht="14.1" customHeight="1"/>
    <row r="385" ht="14.1" customHeight="1"/>
    <row r="386" ht="14.1" customHeight="1"/>
    <row r="387" ht="14.1" customHeight="1"/>
    <row r="388" ht="14.1" customHeight="1"/>
    <row r="389" ht="14.1" customHeight="1"/>
    <row r="390" ht="14.1" customHeight="1"/>
    <row r="391" ht="14.1" customHeight="1"/>
    <row r="392" ht="14.1" customHeight="1"/>
    <row r="393" ht="14.1" customHeight="1"/>
    <row r="394" ht="14.1" customHeight="1"/>
    <row r="395" ht="14.1" customHeight="1"/>
    <row r="396" ht="14.1" customHeight="1"/>
    <row r="397" ht="14.1" customHeight="1"/>
    <row r="398" ht="14.1" customHeight="1"/>
    <row r="399" ht="14.1" customHeight="1"/>
    <row r="400" ht="14.1" customHeight="1"/>
    <row r="401" ht="14.1" customHeight="1"/>
    <row r="402" ht="14.1" customHeight="1"/>
    <row r="403" ht="14.1" customHeight="1"/>
    <row r="404" ht="14.1" customHeight="1"/>
    <row r="405" ht="14.1" customHeight="1"/>
    <row r="406" ht="14.1" customHeight="1"/>
    <row r="407" ht="14.1" customHeight="1"/>
    <row r="408" ht="14.1" customHeight="1"/>
    <row r="409" ht="14.1" customHeight="1"/>
    <row r="410" ht="14.1" customHeight="1"/>
    <row r="411" ht="14.1" customHeight="1"/>
    <row r="412" ht="14.1" customHeight="1"/>
    <row r="413" ht="14.1" customHeight="1"/>
    <row r="414" ht="14.1" customHeight="1"/>
    <row r="415" ht="14.1" customHeight="1"/>
    <row r="416" ht="14.1" customHeight="1"/>
    <row r="417" ht="14.1" customHeight="1"/>
    <row r="418" ht="14.1" customHeight="1"/>
    <row r="419" ht="14.1" customHeight="1"/>
    <row r="420" ht="14.1" customHeight="1"/>
    <row r="421" ht="14.1" customHeight="1"/>
    <row r="422" ht="14.1" customHeight="1"/>
    <row r="423" ht="14.1" customHeight="1"/>
    <row r="424" ht="14.1" customHeight="1"/>
    <row r="425" ht="14.1" customHeight="1"/>
    <row r="426" ht="14.1" customHeight="1"/>
    <row r="427" ht="14.1" customHeight="1"/>
    <row r="428" ht="14.1" customHeight="1"/>
    <row r="429" ht="14.1" customHeight="1"/>
    <row r="430" ht="14.1" customHeight="1"/>
    <row r="431" ht="14.1" customHeight="1"/>
    <row r="432" ht="14.1" customHeight="1"/>
    <row r="433" ht="14.1" customHeight="1"/>
    <row r="434" ht="14.1" customHeight="1"/>
    <row r="435" ht="14.1" customHeight="1"/>
    <row r="436" ht="14.1" customHeight="1"/>
    <row r="437" ht="14.1" customHeight="1"/>
    <row r="438" ht="14.1" customHeight="1"/>
    <row r="439" ht="14.1" customHeight="1"/>
    <row r="440" ht="14.1" customHeight="1"/>
    <row r="441" ht="14.1" customHeight="1"/>
    <row r="442" ht="14.1" customHeight="1"/>
    <row r="443" ht="14.1" customHeight="1"/>
    <row r="444" ht="14.1" customHeight="1"/>
    <row r="445" ht="14.1" customHeight="1"/>
    <row r="446" ht="14.1" customHeight="1"/>
    <row r="447" ht="14.1" customHeight="1"/>
    <row r="448" ht="14.1" customHeight="1"/>
    <row r="449" ht="14.1" customHeight="1"/>
    <row r="450" ht="14.1" customHeight="1"/>
    <row r="451" ht="14.1" customHeight="1"/>
    <row r="452" ht="14.1" customHeight="1"/>
    <row r="453" ht="14.1" customHeight="1"/>
    <row r="454" ht="14.1" customHeight="1"/>
    <row r="455" ht="14.1" customHeight="1"/>
    <row r="456" ht="14.1" customHeight="1"/>
    <row r="457" ht="14.1" customHeight="1"/>
    <row r="458" ht="14.1" customHeight="1"/>
    <row r="459" ht="14.1" customHeight="1"/>
    <row r="460" ht="14.1" customHeight="1"/>
    <row r="461" ht="14.1" customHeight="1"/>
    <row r="462" ht="14.1" customHeight="1"/>
    <row r="463" ht="14.1" customHeight="1"/>
    <row r="464" ht="14.1" customHeight="1"/>
    <row r="465" ht="14.1" customHeight="1"/>
    <row r="466" ht="14.1" customHeight="1"/>
    <row r="467" ht="14.1" customHeight="1"/>
    <row r="468" ht="14.1" customHeight="1"/>
    <row r="469" ht="14.1" customHeight="1"/>
    <row r="470" ht="14.1" customHeight="1"/>
    <row r="471" ht="14.1" customHeight="1"/>
    <row r="472" ht="14.1" customHeight="1"/>
    <row r="473" ht="14.1" customHeight="1"/>
    <row r="474" ht="14.1" customHeight="1"/>
    <row r="475" ht="14.1" customHeight="1"/>
    <row r="476" ht="14.1" customHeight="1"/>
    <row r="477" ht="14.1" customHeight="1"/>
    <row r="478" ht="14.1" customHeight="1"/>
    <row r="479" ht="14.1" customHeight="1"/>
    <row r="480" ht="14.1" customHeight="1"/>
    <row r="481" ht="14.1" customHeight="1"/>
    <row r="482" ht="14.1" customHeight="1"/>
    <row r="483" ht="14.1" customHeight="1"/>
    <row r="484" ht="14.1" customHeight="1"/>
    <row r="485" ht="14.1" customHeight="1"/>
    <row r="486" ht="14.1" customHeight="1"/>
    <row r="487" ht="14.1" customHeight="1"/>
    <row r="488" ht="14.1" customHeight="1"/>
    <row r="489" ht="14.1" customHeight="1"/>
    <row r="490" ht="14.1" customHeight="1"/>
    <row r="491" ht="14.1" customHeight="1"/>
    <row r="492" ht="14.1" customHeight="1"/>
    <row r="493" ht="14.1" customHeight="1"/>
    <row r="494" ht="14.1" customHeight="1"/>
    <row r="495" ht="14.1" customHeight="1"/>
    <row r="496" ht="14.1" customHeight="1"/>
    <row r="497" ht="14.1" customHeight="1"/>
    <row r="498" ht="14.1" customHeight="1"/>
    <row r="499" ht="14.1" customHeight="1"/>
    <row r="500" ht="14.1" customHeight="1"/>
    <row r="501" ht="14.1" customHeight="1"/>
    <row r="502" ht="14.1" customHeight="1"/>
    <row r="503" ht="14.1" customHeight="1"/>
    <row r="504" ht="14.1" customHeight="1"/>
    <row r="505" ht="14.1" customHeight="1"/>
    <row r="506" ht="14.1" customHeight="1"/>
    <row r="507" ht="14.1" customHeight="1"/>
    <row r="508" ht="14.1" customHeight="1"/>
    <row r="509" ht="14.1" customHeight="1"/>
    <row r="510" ht="14.1" customHeight="1"/>
    <row r="511" ht="14.1" customHeight="1"/>
    <row r="512" ht="14.1" customHeight="1"/>
    <row r="513" ht="14.1" customHeight="1"/>
    <row r="514" ht="14.1" customHeight="1"/>
    <row r="515" ht="14.1" customHeight="1"/>
    <row r="516" ht="14.1" customHeight="1"/>
    <row r="517" ht="14.1" customHeight="1"/>
    <row r="518" ht="14.1" customHeight="1"/>
    <row r="519" ht="14.1" customHeight="1"/>
    <row r="520" ht="14.1" customHeight="1"/>
    <row r="521" ht="14.1" customHeight="1"/>
    <row r="522" ht="14.1" customHeight="1"/>
    <row r="523" ht="14.1" customHeight="1"/>
    <row r="524" ht="14.1" customHeight="1"/>
    <row r="525" ht="14.1" customHeight="1"/>
    <row r="526" ht="14.1" customHeight="1"/>
    <row r="527" ht="14.1" customHeight="1"/>
    <row r="528" ht="14.1" customHeight="1"/>
    <row r="529" ht="14.1" customHeight="1"/>
    <row r="530" ht="14.1" customHeight="1"/>
    <row r="531" ht="14.1" customHeight="1"/>
    <row r="532" ht="14.1" customHeight="1"/>
    <row r="533" ht="14.1" customHeight="1"/>
    <row r="534" ht="14.1" customHeight="1"/>
    <row r="535" ht="14.1" customHeight="1"/>
    <row r="536" ht="14.1" customHeight="1"/>
    <row r="537" ht="14.1" customHeight="1"/>
    <row r="538" ht="14.1" customHeight="1"/>
    <row r="539" ht="14.1" customHeight="1"/>
    <row r="540" ht="14.1" customHeight="1"/>
    <row r="541" ht="14.1" customHeight="1"/>
    <row r="542" ht="14.1" customHeight="1"/>
    <row r="543" ht="14.1" customHeight="1"/>
    <row r="544" ht="14.1" customHeight="1"/>
    <row r="545" ht="14.1" customHeight="1"/>
    <row r="546" ht="14.1" customHeight="1"/>
    <row r="547" ht="14.1" customHeight="1"/>
    <row r="548" ht="14.1" customHeight="1"/>
    <row r="549" ht="14.1" customHeight="1"/>
    <row r="550" ht="14.1" customHeight="1"/>
    <row r="551" ht="14.1" customHeight="1"/>
    <row r="552" ht="14.1" customHeight="1"/>
    <row r="553" ht="14.1" customHeight="1"/>
    <row r="554" ht="14.1" customHeight="1"/>
    <row r="555" ht="14.1" customHeight="1"/>
    <row r="556" ht="14.1" customHeight="1"/>
    <row r="557" ht="14.1" customHeight="1"/>
    <row r="558" ht="14.1" customHeight="1"/>
    <row r="559" ht="14.1" customHeight="1"/>
    <row r="560" ht="14.1" customHeight="1"/>
    <row r="561" ht="14.1" customHeight="1"/>
    <row r="562" ht="14.1" customHeight="1"/>
    <row r="563" ht="14.1" customHeight="1"/>
    <row r="564" ht="14.1" customHeight="1"/>
    <row r="565" ht="14.1" customHeight="1"/>
    <row r="566" ht="14.1" customHeight="1"/>
    <row r="567" ht="14.1" customHeight="1"/>
    <row r="568" ht="14.1" customHeight="1"/>
    <row r="569" ht="14.1" customHeight="1"/>
    <row r="570" ht="14.1" customHeight="1"/>
    <row r="571" ht="14.1" customHeight="1"/>
    <row r="572" ht="14.1" customHeight="1"/>
    <row r="573" ht="14.1" customHeight="1"/>
    <row r="574" ht="14.1" customHeight="1"/>
    <row r="575" ht="14.1" customHeight="1"/>
    <row r="576" ht="14.1" customHeight="1"/>
    <row r="577" ht="14.1" customHeight="1"/>
    <row r="578" ht="14.1" customHeight="1"/>
    <row r="579" ht="14.1" customHeight="1"/>
    <row r="580" ht="14.1" customHeight="1"/>
    <row r="581" ht="14.1" customHeight="1"/>
    <row r="582" ht="14.1" customHeight="1"/>
    <row r="583" ht="14.1" customHeight="1"/>
    <row r="584" ht="14.1" customHeight="1"/>
    <row r="585" ht="14.1" customHeight="1"/>
    <row r="586" ht="14.1" customHeight="1"/>
    <row r="587" ht="14.1" customHeight="1"/>
    <row r="588" ht="14.1" customHeight="1"/>
    <row r="589" ht="14.1" customHeight="1"/>
    <row r="590" ht="14.1" customHeight="1"/>
    <row r="591" ht="14.1" customHeight="1"/>
    <row r="592" ht="14.1" customHeight="1"/>
    <row r="593" ht="14.1" customHeight="1"/>
    <row r="594" ht="14.1" customHeight="1"/>
    <row r="595" ht="14.1" customHeight="1"/>
    <row r="596" ht="14.1" customHeight="1"/>
    <row r="597" ht="14.1" customHeight="1"/>
    <row r="598" ht="14.1" customHeight="1"/>
    <row r="599" ht="14.1" customHeight="1"/>
    <row r="600" ht="14.1" customHeight="1"/>
    <row r="601" ht="14.1" customHeight="1"/>
    <row r="602" ht="14.1" customHeight="1"/>
    <row r="603" ht="14.1" customHeight="1"/>
    <row r="604" ht="14.1" customHeight="1"/>
    <row r="605" ht="14.1" customHeight="1"/>
    <row r="606" ht="14.1" customHeight="1"/>
    <row r="607" ht="14.1" customHeight="1"/>
    <row r="608" ht="14.1" customHeight="1"/>
    <row r="609" ht="14.1" customHeight="1"/>
    <row r="610" ht="14.1" customHeight="1"/>
    <row r="611" ht="14.1" customHeight="1"/>
    <row r="612" ht="14.1" customHeight="1"/>
    <row r="613" ht="14.1" customHeight="1"/>
    <row r="614" ht="14.1" customHeight="1"/>
    <row r="615" ht="14.1" customHeight="1"/>
    <row r="616" ht="14.1" customHeight="1"/>
    <row r="617" ht="14.1" customHeight="1"/>
    <row r="618" ht="14.1" customHeight="1"/>
    <row r="619" ht="14.1" customHeight="1"/>
    <row r="620" ht="14.1" customHeight="1"/>
    <row r="621" ht="14.1" customHeight="1"/>
    <row r="622" ht="14.1" customHeight="1"/>
    <row r="623" ht="14.1" customHeight="1"/>
    <row r="624" ht="14.1" customHeight="1"/>
    <row r="625" ht="14.1" customHeight="1"/>
    <row r="626" ht="14.1" customHeight="1"/>
    <row r="627" ht="14.1" customHeight="1"/>
    <row r="628" ht="14.1" customHeight="1"/>
    <row r="629" ht="14.1" customHeight="1"/>
    <row r="630" ht="14.1" customHeight="1"/>
    <row r="631" ht="14.1" customHeight="1"/>
    <row r="632" ht="14.1" customHeight="1"/>
    <row r="633" ht="14.1" customHeight="1"/>
    <row r="634" ht="14.1" customHeight="1"/>
    <row r="635" ht="14.1" customHeight="1"/>
    <row r="636" ht="14.1" customHeight="1"/>
    <row r="637" ht="14.1" customHeight="1"/>
    <row r="638" ht="14.1" customHeight="1"/>
    <row r="639" ht="14.1" customHeight="1"/>
    <row r="640" ht="14.1" customHeight="1"/>
    <row r="641" ht="14.1" customHeight="1"/>
    <row r="642" ht="14.1" customHeight="1"/>
    <row r="643" ht="14.1" customHeight="1"/>
    <row r="644" ht="14.1" customHeight="1"/>
    <row r="645" ht="14.1" customHeight="1"/>
    <row r="646" ht="14.1" customHeight="1"/>
    <row r="647" ht="14.1" customHeight="1"/>
    <row r="648" ht="14.1" customHeight="1"/>
    <row r="649" ht="14.1" customHeight="1"/>
    <row r="650" ht="14.1" customHeight="1"/>
    <row r="651" ht="14.1" customHeight="1"/>
    <row r="652" ht="14.1" customHeight="1"/>
    <row r="653" ht="14.1" customHeight="1"/>
    <row r="654" ht="14.1" customHeight="1"/>
    <row r="655" ht="14.1" customHeight="1"/>
    <row r="656" ht="14.1" customHeight="1"/>
    <row r="657" ht="14.1" customHeight="1"/>
    <row r="658" ht="14.1" customHeight="1"/>
    <row r="659" ht="14.1" customHeight="1"/>
    <row r="660" ht="14.1" customHeight="1"/>
    <row r="661" ht="14.1" customHeight="1"/>
    <row r="662" ht="14.1" customHeight="1"/>
    <row r="663" ht="14.1" customHeight="1"/>
    <row r="664" ht="14.1" customHeight="1"/>
    <row r="665" ht="14.1" customHeight="1"/>
    <row r="666" ht="14.1" customHeight="1"/>
    <row r="667" ht="14.1" customHeight="1"/>
    <row r="668" ht="14.1" customHeight="1"/>
    <row r="669" ht="14.1" customHeight="1"/>
    <row r="670" ht="14.1" customHeight="1"/>
    <row r="671" ht="14.1" customHeight="1"/>
    <row r="672" ht="14.1" customHeight="1"/>
    <row r="673" ht="14.1" customHeight="1"/>
    <row r="674" ht="14.1" customHeight="1"/>
    <row r="675" ht="14.1" customHeight="1"/>
    <row r="676" ht="14.1" customHeight="1"/>
    <row r="677" ht="14.1" customHeight="1"/>
    <row r="678" ht="14.1" customHeight="1"/>
    <row r="679" ht="14.1" customHeight="1"/>
    <row r="680" ht="14.1" customHeight="1"/>
    <row r="681" ht="14.1" customHeight="1"/>
    <row r="682" ht="14.1" customHeight="1"/>
    <row r="683" ht="14.1" customHeight="1"/>
    <row r="684" ht="14.1" customHeight="1"/>
    <row r="685" ht="14.1" customHeight="1"/>
    <row r="686" ht="14.1" customHeight="1"/>
    <row r="687" ht="14.1" customHeight="1"/>
    <row r="688" ht="14.1" customHeight="1"/>
    <row r="689" ht="14.1" customHeight="1"/>
    <row r="690" ht="14.1" customHeight="1"/>
    <row r="691" ht="14.1" customHeight="1"/>
    <row r="692" ht="14.1" customHeight="1"/>
    <row r="693" ht="14.1" customHeight="1"/>
    <row r="694" ht="14.1" customHeight="1"/>
    <row r="695" ht="14.1" customHeight="1"/>
    <row r="696" ht="14.1" customHeight="1"/>
    <row r="697" ht="14.1" customHeight="1"/>
    <row r="698" ht="14.1" customHeight="1"/>
    <row r="699" ht="14.1" customHeight="1"/>
    <row r="700" ht="14.1" customHeight="1"/>
    <row r="701" ht="14.1" customHeight="1"/>
    <row r="702" ht="14.1" customHeight="1"/>
    <row r="703" ht="14.1" customHeight="1"/>
    <row r="704" ht="14.1" customHeight="1"/>
    <row r="705" ht="14.1" customHeight="1"/>
    <row r="706" ht="14.1" customHeight="1"/>
    <row r="707" ht="14.1" customHeight="1"/>
    <row r="708" ht="14.1" customHeight="1"/>
    <row r="709" ht="14.1" customHeight="1"/>
    <row r="710" ht="14.1" customHeight="1"/>
    <row r="711" ht="14.1" customHeight="1"/>
    <row r="712" ht="14.1" customHeight="1"/>
    <row r="713" ht="14.1" customHeight="1"/>
    <row r="714" ht="14.1" customHeight="1"/>
    <row r="715" ht="14.1" customHeight="1"/>
    <row r="716" ht="14.1" customHeight="1"/>
    <row r="717" ht="14.1" customHeight="1"/>
    <row r="718" ht="14.1" customHeight="1"/>
    <row r="719" ht="14.1" customHeight="1"/>
    <row r="720" ht="14.1" customHeight="1"/>
    <row r="721" ht="14.1" customHeight="1"/>
    <row r="722" ht="14.1" customHeight="1"/>
    <row r="723" ht="14.1" customHeight="1"/>
    <row r="724" ht="14.1" customHeight="1"/>
    <row r="725" ht="14.1" customHeight="1"/>
    <row r="726" ht="14.1" customHeight="1"/>
    <row r="727" ht="14.1" customHeight="1"/>
    <row r="728" ht="14.1" customHeight="1"/>
    <row r="729" ht="14.1" customHeight="1"/>
    <row r="730" ht="14.1" customHeight="1"/>
    <row r="731" ht="14.1" customHeight="1"/>
    <row r="732" ht="14.1" customHeight="1"/>
    <row r="733" ht="14.1" customHeight="1"/>
    <row r="734" ht="14.1" customHeight="1"/>
    <row r="735" ht="14.1" customHeight="1"/>
    <row r="736" ht="14.1" customHeight="1"/>
    <row r="737" ht="14.1" customHeight="1"/>
    <row r="738" ht="14.1" customHeight="1"/>
    <row r="739" ht="14.1" customHeight="1"/>
    <row r="740" ht="14.1" customHeight="1"/>
    <row r="741" ht="14.1" customHeight="1"/>
    <row r="742" ht="14.1" customHeight="1"/>
    <row r="743" ht="14.1" customHeight="1"/>
    <row r="744" ht="14.1" customHeight="1"/>
    <row r="745" ht="14.1" customHeight="1"/>
    <row r="746" ht="14.1" customHeight="1"/>
    <row r="747" ht="14.1" customHeight="1"/>
    <row r="748" ht="14.1" customHeight="1"/>
    <row r="749" ht="14.1" customHeight="1"/>
    <row r="750" ht="14.1" customHeight="1"/>
    <row r="751" ht="14.1" customHeight="1"/>
    <row r="752" ht="14.1" customHeight="1"/>
    <row r="753" ht="14.1" customHeight="1"/>
    <row r="754" ht="14.1" customHeight="1"/>
    <row r="755" ht="14.1" customHeight="1"/>
    <row r="756" ht="14.1" customHeight="1"/>
    <row r="757" ht="14.1" customHeight="1"/>
    <row r="758" ht="14.1" customHeight="1"/>
    <row r="759" ht="14.1" customHeight="1"/>
    <row r="760" ht="14.1" customHeight="1"/>
    <row r="761" ht="14.1" customHeight="1"/>
    <row r="762" ht="14.1" customHeight="1"/>
    <row r="763" ht="14.1" customHeight="1"/>
    <row r="764" ht="14.1" customHeight="1"/>
    <row r="765" ht="14.1" customHeight="1"/>
    <row r="766" ht="14.1" customHeight="1"/>
    <row r="767" ht="14.1" customHeight="1"/>
    <row r="768" ht="14.1" customHeight="1"/>
    <row r="769" ht="14.1" customHeight="1"/>
    <row r="770" ht="14.1" customHeight="1"/>
    <row r="771" ht="14.1" customHeight="1"/>
    <row r="772" ht="14.1" customHeight="1"/>
    <row r="773" ht="14.1" customHeight="1"/>
    <row r="774" ht="14.1" customHeight="1"/>
    <row r="775" ht="14.1" customHeight="1"/>
    <row r="776" ht="14.1" customHeight="1"/>
    <row r="777" ht="14.1" customHeight="1"/>
    <row r="778" ht="14.1" customHeight="1"/>
    <row r="779" ht="14.1" customHeight="1"/>
    <row r="780" ht="14.1" customHeight="1"/>
    <row r="781" ht="14.1" customHeight="1"/>
    <row r="782" ht="14.1" customHeight="1"/>
    <row r="783" ht="14.1" customHeight="1"/>
    <row r="784" ht="14.1" customHeight="1"/>
    <row r="785" ht="14.1" customHeight="1"/>
    <row r="786" ht="14.1" customHeight="1"/>
    <row r="787" ht="14.1" customHeight="1"/>
    <row r="788" ht="14.1" customHeight="1"/>
    <row r="789" ht="14.1" customHeight="1"/>
    <row r="790" ht="14.1" customHeight="1"/>
    <row r="791" ht="14.1" customHeight="1"/>
    <row r="792" ht="14.1" customHeight="1"/>
    <row r="793" ht="14.1" customHeight="1"/>
  </sheetData>
  <conditionalFormatting sqref="G43:G51">
    <cfRule type="duplicateValues" dxfId="1" priority="1"/>
  </conditionalFormatting>
  <pageMargins left="0.61" right="0.16" top="0.87" bottom="0.21" header="0.16" footer="0.16"/>
  <pageSetup paperSize="8" scale="51" orientation="portrait"/>
  <headerFooter alignWithMargins="0">
    <oddFooter>&amp;L_x000D_&amp;1#&amp;"Arial"&amp;7&amp;KDAD4CE Public&amp;C&amp;"Verdana"&amp;10 &amp;KC1C1C1_x000D_# Restricted</oddFooter>
  </headerFooter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16">
    <tabColor rgb="FF92D050"/>
    <pageSetUpPr fitToPage="1"/>
  </sheetPr>
  <dimension ref="A1:U793"/>
  <sheetViews>
    <sheetView topLeftCell="A37" zoomScale="80" zoomScaleNormal="80" workbookViewId="0">
      <selection activeCell="R63" sqref="R63:R81"/>
    </sheetView>
  </sheetViews>
  <sheetFormatPr defaultColWidth="8.85546875" defaultRowHeight="15" customHeight="1"/>
  <cols>
    <col min="1" max="1" width="4.140625" style="3" customWidth="1"/>
    <col min="2" max="3" width="8.5703125" style="20" customWidth="1"/>
    <col min="4" max="4" width="14.5703125" style="3" customWidth="1"/>
    <col min="5" max="5" width="20.5703125" style="20" customWidth="1"/>
    <col min="6" max="6" width="8.5703125" style="3" customWidth="1"/>
    <col min="7" max="7" width="32.5703125" style="2" customWidth="1"/>
    <col min="8" max="8" width="18.5703125" style="3" customWidth="1"/>
    <col min="9" max="9" width="62.5703125" style="2" customWidth="1"/>
    <col min="10" max="12" width="9.5703125" style="3" customWidth="1"/>
    <col min="13" max="13" width="10.5703125" style="3" customWidth="1"/>
    <col min="14" max="14" width="8.5703125" style="3" customWidth="1"/>
    <col min="15" max="15" width="10.5703125" style="3" customWidth="1"/>
    <col min="16" max="16" width="5.5703125" style="3" customWidth="1"/>
    <col min="17" max="17" width="1.5703125" style="2" customWidth="1"/>
    <col min="18" max="18" width="10.5703125" style="30" customWidth="1"/>
    <col min="19" max="19" width="1.5703125" style="3" customWidth="1"/>
    <col min="20" max="21" width="10.5703125" style="2" customWidth="1"/>
    <col min="22" max="219" width="8.85546875" style="2" customWidth="1"/>
    <col min="220" max="220" width="8.140625" style="2" customWidth="1"/>
    <col min="221" max="221" width="14.5703125" style="2" customWidth="1"/>
    <col min="222" max="222" width="37.42578125" style="2" customWidth="1"/>
    <col min="223" max="223" width="63.140625" style="2" customWidth="1"/>
    <col min="224" max="224" width="20" style="2" customWidth="1"/>
    <col min="225" max="225" width="11.140625" style="2" customWidth="1"/>
    <col min="226" max="226" width="10.85546875" style="2" customWidth="1"/>
    <col min="227" max="227" width="21" style="2" customWidth="1"/>
    <col min="228" max="228" width="10.85546875" style="2" customWidth="1"/>
    <col min="229" max="229" width="17.42578125" style="2" customWidth="1"/>
    <col min="230" max="230" width="14.85546875" style="2" customWidth="1"/>
    <col min="231" max="231" width="15" style="2" customWidth="1"/>
    <col min="232" max="232" width="14.85546875" style="2" customWidth="1"/>
    <col min="233" max="233" width="7.140625" style="2" customWidth="1"/>
    <col min="234" max="235" width="20.140625" style="2" customWidth="1"/>
    <col min="236" max="236" width="18.42578125" style="2" customWidth="1"/>
    <col min="237" max="237" width="9.140625" style="2" customWidth="1"/>
    <col min="238" max="238" width="12" style="2" customWidth="1"/>
    <col min="239" max="239" width="14.85546875" style="2" customWidth="1"/>
    <col min="240" max="240" width="22.42578125" style="2" customWidth="1"/>
    <col min="241" max="241" width="14.85546875" style="2" customWidth="1"/>
    <col min="242" max="242" width="7.140625" style="2" customWidth="1"/>
    <col min="243" max="243" width="20.140625" style="2" customWidth="1"/>
    <col min="244" max="475" width="8.85546875" style="2" customWidth="1"/>
    <col min="476" max="476" width="8.140625" style="2" customWidth="1"/>
    <col min="477" max="477" width="14.5703125" style="2" customWidth="1"/>
    <col min="478" max="478" width="37.42578125" style="2" customWidth="1"/>
    <col min="479" max="479" width="63.140625" style="2" customWidth="1"/>
    <col min="480" max="480" width="20" style="2" customWidth="1"/>
    <col min="481" max="481" width="11.140625" style="2" customWidth="1"/>
    <col min="482" max="482" width="10.85546875" style="2" customWidth="1"/>
    <col min="483" max="483" width="21" style="2" customWidth="1"/>
    <col min="484" max="484" width="10.85546875" style="2" customWidth="1"/>
    <col min="485" max="485" width="17.42578125" style="2" customWidth="1"/>
    <col min="486" max="486" width="14.85546875" style="2" customWidth="1"/>
    <col min="487" max="487" width="15" style="2" customWidth="1"/>
    <col min="488" max="488" width="14.85546875" style="2" customWidth="1"/>
    <col min="489" max="489" width="7.140625" style="2" customWidth="1"/>
    <col min="490" max="491" width="20.140625" style="2" customWidth="1"/>
    <col min="492" max="492" width="18.42578125" style="2" customWidth="1"/>
    <col min="493" max="493" width="9.140625" style="2" customWidth="1"/>
    <col min="494" max="494" width="12" style="2" customWidth="1"/>
    <col min="495" max="495" width="14.85546875" style="2" customWidth="1"/>
    <col min="496" max="496" width="22.42578125" style="2" customWidth="1"/>
    <col min="497" max="497" width="14.85546875" style="2" customWidth="1"/>
    <col min="498" max="498" width="7.140625" style="2" customWidth="1"/>
    <col min="499" max="499" width="20.140625" style="2" customWidth="1"/>
    <col min="500" max="731" width="8.85546875" style="2" customWidth="1"/>
    <col min="732" max="732" width="8.140625" style="2" customWidth="1"/>
    <col min="733" max="733" width="14.5703125" style="2" customWidth="1"/>
    <col min="734" max="734" width="37.42578125" style="2" customWidth="1"/>
    <col min="735" max="735" width="63.140625" style="2" customWidth="1"/>
    <col min="736" max="736" width="20" style="2" customWidth="1"/>
    <col min="737" max="737" width="11.140625" style="2" customWidth="1"/>
    <col min="738" max="738" width="10.85546875" style="2" customWidth="1"/>
    <col min="739" max="739" width="21" style="2" customWidth="1"/>
    <col min="740" max="740" width="10.85546875" style="2" customWidth="1"/>
    <col min="741" max="741" width="17.42578125" style="2" customWidth="1"/>
    <col min="742" max="742" width="14.85546875" style="2" customWidth="1"/>
    <col min="743" max="743" width="15" style="2" customWidth="1"/>
    <col min="744" max="744" width="14.85546875" style="2" customWidth="1"/>
    <col min="745" max="745" width="7.140625" style="2" customWidth="1"/>
    <col min="746" max="747" width="20.140625" style="2" customWidth="1"/>
    <col min="748" max="748" width="18.42578125" style="2" customWidth="1"/>
    <col min="749" max="749" width="9.140625" style="2" customWidth="1"/>
    <col min="750" max="750" width="12" style="2" customWidth="1"/>
    <col min="751" max="751" width="14.85546875" style="2" customWidth="1"/>
    <col min="752" max="752" width="22.42578125" style="2" customWidth="1"/>
    <col min="753" max="753" width="14.85546875" style="2" customWidth="1"/>
    <col min="754" max="754" width="7.140625" style="2" customWidth="1"/>
    <col min="755" max="755" width="20.140625" style="2" customWidth="1"/>
    <col min="756" max="987" width="8.85546875" style="2" customWidth="1"/>
    <col min="988" max="988" width="8.140625" style="2" customWidth="1"/>
    <col min="989" max="989" width="14.5703125" style="2" customWidth="1"/>
    <col min="990" max="990" width="37.42578125" style="2" customWidth="1"/>
    <col min="991" max="991" width="63.140625" style="2" customWidth="1"/>
    <col min="992" max="992" width="20" style="2" customWidth="1"/>
    <col min="993" max="993" width="11.140625" style="2" customWidth="1"/>
    <col min="994" max="994" width="10.85546875" style="2" customWidth="1"/>
    <col min="995" max="995" width="21" style="2" customWidth="1"/>
    <col min="996" max="996" width="10.85546875" style="2" customWidth="1"/>
    <col min="997" max="997" width="17.42578125" style="2" customWidth="1"/>
    <col min="998" max="998" width="14.85546875" style="2" customWidth="1"/>
    <col min="999" max="999" width="15" style="2" customWidth="1"/>
    <col min="1000" max="1000" width="14.85546875" style="2" customWidth="1"/>
    <col min="1001" max="1001" width="7.140625" style="2" customWidth="1"/>
    <col min="1002" max="1003" width="20.140625" style="2" customWidth="1"/>
    <col min="1004" max="1004" width="18.42578125" style="2" customWidth="1"/>
    <col min="1005" max="1005" width="9.140625" style="2" customWidth="1"/>
    <col min="1006" max="1006" width="12" style="2" customWidth="1"/>
    <col min="1007" max="1007" width="14.85546875" style="2" customWidth="1"/>
    <col min="1008" max="1008" width="22.42578125" style="2" customWidth="1"/>
    <col min="1009" max="1009" width="14.85546875" style="2" customWidth="1"/>
    <col min="1010" max="1010" width="7.140625" style="2" customWidth="1"/>
    <col min="1011" max="1011" width="20.140625" style="2" customWidth="1"/>
    <col min="1012" max="1243" width="8.85546875" style="2" customWidth="1"/>
    <col min="1244" max="1244" width="8.140625" style="2" customWidth="1"/>
    <col min="1245" max="1245" width="14.5703125" style="2" customWidth="1"/>
    <col min="1246" max="1246" width="37.42578125" style="2" customWidth="1"/>
    <col min="1247" max="1247" width="63.140625" style="2" customWidth="1"/>
    <col min="1248" max="1248" width="20" style="2" customWidth="1"/>
    <col min="1249" max="1249" width="11.140625" style="2" customWidth="1"/>
    <col min="1250" max="1250" width="10.85546875" style="2" customWidth="1"/>
    <col min="1251" max="1251" width="21" style="2" customWidth="1"/>
    <col min="1252" max="1252" width="10.85546875" style="2" customWidth="1"/>
    <col min="1253" max="1253" width="17.42578125" style="2" customWidth="1"/>
    <col min="1254" max="1254" width="14.85546875" style="2" customWidth="1"/>
    <col min="1255" max="1255" width="15" style="2" customWidth="1"/>
    <col min="1256" max="1256" width="14.85546875" style="2" customWidth="1"/>
    <col min="1257" max="1257" width="7.140625" style="2" customWidth="1"/>
    <col min="1258" max="1259" width="20.140625" style="2" customWidth="1"/>
    <col min="1260" max="1260" width="18.42578125" style="2" customWidth="1"/>
    <col min="1261" max="1261" width="9.140625" style="2" customWidth="1"/>
    <col min="1262" max="1262" width="12" style="2" customWidth="1"/>
    <col min="1263" max="1263" width="14.85546875" style="2" customWidth="1"/>
    <col min="1264" max="1264" width="22.42578125" style="2" customWidth="1"/>
    <col min="1265" max="1265" width="14.85546875" style="2" customWidth="1"/>
    <col min="1266" max="1266" width="7.140625" style="2" customWidth="1"/>
    <col min="1267" max="1267" width="20.140625" style="2" customWidth="1"/>
    <col min="1268" max="1499" width="8.85546875" style="2" customWidth="1"/>
    <col min="1500" max="1500" width="8.140625" style="2" customWidth="1"/>
    <col min="1501" max="1501" width="14.5703125" style="2" customWidth="1"/>
    <col min="1502" max="1502" width="37.42578125" style="2" customWidth="1"/>
    <col min="1503" max="1503" width="63.140625" style="2" customWidth="1"/>
    <col min="1504" max="1504" width="20" style="2" customWidth="1"/>
    <col min="1505" max="1505" width="11.140625" style="2" customWidth="1"/>
    <col min="1506" max="1506" width="10.85546875" style="2" customWidth="1"/>
    <col min="1507" max="1507" width="21" style="2" customWidth="1"/>
    <col min="1508" max="1508" width="10.85546875" style="2" customWidth="1"/>
    <col min="1509" max="1509" width="17.42578125" style="2" customWidth="1"/>
    <col min="1510" max="1510" width="14.85546875" style="2" customWidth="1"/>
    <col min="1511" max="1511" width="15" style="2" customWidth="1"/>
    <col min="1512" max="1512" width="14.85546875" style="2" customWidth="1"/>
    <col min="1513" max="1513" width="7.140625" style="2" customWidth="1"/>
    <col min="1514" max="1515" width="20.140625" style="2" customWidth="1"/>
    <col min="1516" max="1516" width="18.42578125" style="2" customWidth="1"/>
    <col min="1517" max="1517" width="9.140625" style="2" customWidth="1"/>
    <col min="1518" max="1518" width="12" style="2" customWidth="1"/>
    <col min="1519" max="1519" width="14.85546875" style="2" customWidth="1"/>
    <col min="1520" max="1520" width="22.42578125" style="2" customWidth="1"/>
    <col min="1521" max="1521" width="14.85546875" style="2" customWidth="1"/>
    <col min="1522" max="1522" width="7.140625" style="2" customWidth="1"/>
    <col min="1523" max="1523" width="20.140625" style="2" customWidth="1"/>
    <col min="1524" max="1755" width="8.85546875" style="2" customWidth="1"/>
    <col min="1756" max="1756" width="8.140625" style="2" customWidth="1"/>
    <col min="1757" max="1757" width="14.5703125" style="2" customWidth="1"/>
    <col min="1758" max="1758" width="37.42578125" style="2" customWidth="1"/>
    <col min="1759" max="1759" width="63.140625" style="2" customWidth="1"/>
    <col min="1760" max="1760" width="20" style="2" customWidth="1"/>
    <col min="1761" max="1761" width="11.140625" style="2" customWidth="1"/>
    <col min="1762" max="1762" width="10.85546875" style="2" customWidth="1"/>
    <col min="1763" max="1763" width="21" style="2" customWidth="1"/>
    <col min="1764" max="1764" width="10.85546875" style="2" customWidth="1"/>
    <col min="1765" max="1765" width="17.42578125" style="2" customWidth="1"/>
    <col min="1766" max="1766" width="14.85546875" style="2" customWidth="1"/>
    <col min="1767" max="1767" width="15" style="2" customWidth="1"/>
    <col min="1768" max="1768" width="14.85546875" style="2" customWidth="1"/>
    <col min="1769" max="1769" width="7.140625" style="2" customWidth="1"/>
    <col min="1770" max="1771" width="20.140625" style="2" customWidth="1"/>
    <col min="1772" max="1772" width="18.42578125" style="2" customWidth="1"/>
    <col min="1773" max="1773" width="9.140625" style="2" customWidth="1"/>
    <col min="1774" max="1774" width="12" style="2" customWidth="1"/>
    <col min="1775" max="1775" width="14.85546875" style="2" customWidth="1"/>
    <col min="1776" max="1776" width="22.42578125" style="2" customWidth="1"/>
    <col min="1777" max="1777" width="14.85546875" style="2" customWidth="1"/>
    <col min="1778" max="1778" width="7.140625" style="2" customWidth="1"/>
    <col min="1779" max="1779" width="20.140625" style="2" customWidth="1"/>
    <col min="1780" max="2011" width="8.85546875" style="2" customWidth="1"/>
    <col min="2012" max="2012" width="8.140625" style="2" customWidth="1"/>
    <col min="2013" max="2013" width="14.5703125" style="2" customWidth="1"/>
    <col min="2014" max="2014" width="37.42578125" style="2" customWidth="1"/>
    <col min="2015" max="2015" width="63.140625" style="2" customWidth="1"/>
    <col min="2016" max="2016" width="20" style="2" customWidth="1"/>
    <col min="2017" max="2017" width="11.140625" style="2" customWidth="1"/>
    <col min="2018" max="2018" width="10.85546875" style="2" customWidth="1"/>
    <col min="2019" max="2019" width="21" style="2" customWidth="1"/>
    <col min="2020" max="2020" width="10.85546875" style="2" customWidth="1"/>
    <col min="2021" max="2021" width="17.42578125" style="2" customWidth="1"/>
    <col min="2022" max="2022" width="14.85546875" style="2" customWidth="1"/>
    <col min="2023" max="2023" width="15" style="2" customWidth="1"/>
    <col min="2024" max="2024" width="14.85546875" style="2" customWidth="1"/>
    <col min="2025" max="2025" width="7.140625" style="2" customWidth="1"/>
    <col min="2026" max="2027" width="20.140625" style="2" customWidth="1"/>
    <col min="2028" max="2028" width="18.42578125" style="2" customWidth="1"/>
    <col min="2029" max="2029" width="9.140625" style="2" customWidth="1"/>
    <col min="2030" max="2030" width="12" style="2" customWidth="1"/>
    <col min="2031" max="2031" width="14.85546875" style="2" customWidth="1"/>
    <col min="2032" max="2032" width="22.42578125" style="2" customWidth="1"/>
    <col min="2033" max="2033" width="14.85546875" style="2" customWidth="1"/>
    <col min="2034" max="2034" width="7.140625" style="2" customWidth="1"/>
    <col min="2035" max="2035" width="20.140625" style="2" customWidth="1"/>
    <col min="2036" max="2267" width="8.85546875" style="2" customWidth="1"/>
    <col min="2268" max="2268" width="8.140625" style="2" customWidth="1"/>
    <col min="2269" max="2269" width="14.5703125" style="2" customWidth="1"/>
    <col min="2270" max="2270" width="37.42578125" style="2" customWidth="1"/>
    <col min="2271" max="2271" width="63.140625" style="2" customWidth="1"/>
    <col min="2272" max="2272" width="20" style="2" customWidth="1"/>
    <col min="2273" max="2273" width="11.140625" style="2" customWidth="1"/>
    <col min="2274" max="2274" width="10.85546875" style="2" customWidth="1"/>
    <col min="2275" max="2275" width="21" style="2" customWidth="1"/>
    <col min="2276" max="2276" width="10.85546875" style="2" customWidth="1"/>
    <col min="2277" max="2277" width="17.42578125" style="2" customWidth="1"/>
    <col min="2278" max="2278" width="14.85546875" style="2" customWidth="1"/>
    <col min="2279" max="2279" width="15" style="2" customWidth="1"/>
    <col min="2280" max="2280" width="14.85546875" style="2" customWidth="1"/>
    <col min="2281" max="2281" width="7.140625" style="2" customWidth="1"/>
    <col min="2282" max="2283" width="20.140625" style="2" customWidth="1"/>
    <col min="2284" max="2284" width="18.42578125" style="2" customWidth="1"/>
    <col min="2285" max="2285" width="9.140625" style="2" customWidth="1"/>
    <col min="2286" max="2286" width="12" style="2" customWidth="1"/>
    <col min="2287" max="2287" width="14.85546875" style="2" customWidth="1"/>
    <col min="2288" max="2288" width="22.42578125" style="2" customWidth="1"/>
    <col min="2289" max="2289" width="14.85546875" style="2" customWidth="1"/>
    <col min="2290" max="2290" width="7.140625" style="2" customWidth="1"/>
    <col min="2291" max="2291" width="20.140625" style="2" customWidth="1"/>
    <col min="2292" max="2523" width="8.85546875" style="2" customWidth="1"/>
    <col min="2524" max="2524" width="8.140625" style="2" customWidth="1"/>
    <col min="2525" max="2525" width="14.5703125" style="2" customWidth="1"/>
    <col min="2526" max="2526" width="37.42578125" style="2" customWidth="1"/>
    <col min="2527" max="2527" width="63.140625" style="2" customWidth="1"/>
    <col min="2528" max="2528" width="20" style="2" customWidth="1"/>
    <col min="2529" max="2529" width="11.140625" style="2" customWidth="1"/>
    <col min="2530" max="2530" width="10.85546875" style="2" customWidth="1"/>
    <col min="2531" max="2531" width="21" style="2" customWidth="1"/>
    <col min="2532" max="2532" width="10.85546875" style="2" customWidth="1"/>
    <col min="2533" max="2533" width="17.42578125" style="2" customWidth="1"/>
    <col min="2534" max="2534" width="14.85546875" style="2" customWidth="1"/>
    <col min="2535" max="2535" width="15" style="2" customWidth="1"/>
    <col min="2536" max="2536" width="14.85546875" style="2" customWidth="1"/>
    <col min="2537" max="2537" width="7.140625" style="2" customWidth="1"/>
    <col min="2538" max="2539" width="20.140625" style="2" customWidth="1"/>
    <col min="2540" max="2540" width="18.42578125" style="2" customWidth="1"/>
    <col min="2541" max="2541" width="9.140625" style="2" customWidth="1"/>
    <col min="2542" max="2542" width="12" style="2" customWidth="1"/>
    <col min="2543" max="2543" width="14.85546875" style="2" customWidth="1"/>
    <col min="2544" max="2544" width="22.42578125" style="2" customWidth="1"/>
    <col min="2545" max="2545" width="14.85546875" style="2" customWidth="1"/>
    <col min="2546" max="2546" width="7.140625" style="2" customWidth="1"/>
    <col min="2547" max="2547" width="20.140625" style="2" customWidth="1"/>
    <col min="2548" max="2779" width="8.85546875" style="2" customWidth="1"/>
    <col min="2780" max="2780" width="8.140625" style="2" customWidth="1"/>
    <col min="2781" max="2781" width="14.5703125" style="2" customWidth="1"/>
    <col min="2782" max="2782" width="37.42578125" style="2" customWidth="1"/>
    <col min="2783" max="2783" width="63.140625" style="2" customWidth="1"/>
    <col min="2784" max="2784" width="20" style="2" customWidth="1"/>
    <col min="2785" max="2785" width="11.140625" style="2" customWidth="1"/>
    <col min="2786" max="2786" width="10.85546875" style="2" customWidth="1"/>
    <col min="2787" max="2787" width="21" style="2" customWidth="1"/>
    <col min="2788" max="2788" width="10.85546875" style="2" customWidth="1"/>
    <col min="2789" max="2789" width="17.42578125" style="2" customWidth="1"/>
    <col min="2790" max="2790" width="14.85546875" style="2" customWidth="1"/>
    <col min="2791" max="2791" width="15" style="2" customWidth="1"/>
    <col min="2792" max="2792" width="14.85546875" style="2" customWidth="1"/>
    <col min="2793" max="2793" width="7.140625" style="2" customWidth="1"/>
    <col min="2794" max="2795" width="20.140625" style="2" customWidth="1"/>
    <col min="2796" max="2796" width="18.42578125" style="2" customWidth="1"/>
    <col min="2797" max="2797" width="9.140625" style="2" customWidth="1"/>
    <col min="2798" max="2798" width="12" style="2" customWidth="1"/>
    <col min="2799" max="2799" width="14.85546875" style="2" customWidth="1"/>
    <col min="2800" max="2800" width="22.42578125" style="2" customWidth="1"/>
    <col min="2801" max="2801" width="14.85546875" style="2" customWidth="1"/>
    <col min="2802" max="2802" width="7.140625" style="2" customWidth="1"/>
    <col min="2803" max="2803" width="20.140625" style="2" customWidth="1"/>
    <col min="2804" max="3035" width="8.85546875" style="2" customWidth="1"/>
    <col min="3036" max="3036" width="8.140625" style="2" customWidth="1"/>
    <col min="3037" max="3037" width="14.5703125" style="2" customWidth="1"/>
    <col min="3038" max="3038" width="37.42578125" style="2" customWidth="1"/>
    <col min="3039" max="3039" width="63.140625" style="2" customWidth="1"/>
    <col min="3040" max="3040" width="20" style="2" customWidth="1"/>
    <col min="3041" max="3041" width="11.140625" style="2" customWidth="1"/>
    <col min="3042" max="3042" width="10.85546875" style="2" customWidth="1"/>
    <col min="3043" max="3043" width="21" style="2" customWidth="1"/>
    <col min="3044" max="3044" width="10.85546875" style="2" customWidth="1"/>
    <col min="3045" max="3045" width="17.42578125" style="2" customWidth="1"/>
    <col min="3046" max="3046" width="14.85546875" style="2" customWidth="1"/>
    <col min="3047" max="3047" width="15" style="2" customWidth="1"/>
    <col min="3048" max="3048" width="14.85546875" style="2" customWidth="1"/>
    <col min="3049" max="3049" width="7.140625" style="2" customWidth="1"/>
    <col min="3050" max="3051" width="20.140625" style="2" customWidth="1"/>
    <col min="3052" max="3052" width="18.42578125" style="2" customWidth="1"/>
    <col min="3053" max="3053" width="9.140625" style="2" customWidth="1"/>
    <col min="3054" max="3054" width="12" style="2" customWidth="1"/>
    <col min="3055" max="3055" width="14.85546875" style="2" customWidth="1"/>
    <col min="3056" max="3056" width="22.42578125" style="2" customWidth="1"/>
    <col min="3057" max="3057" width="14.85546875" style="2" customWidth="1"/>
    <col min="3058" max="3058" width="7.140625" style="2" customWidth="1"/>
    <col min="3059" max="3059" width="20.140625" style="2" customWidth="1"/>
    <col min="3060" max="3291" width="8.85546875" style="2" customWidth="1"/>
    <col min="3292" max="3292" width="8.140625" style="2" customWidth="1"/>
    <col min="3293" max="3293" width="14.5703125" style="2" customWidth="1"/>
    <col min="3294" max="3294" width="37.42578125" style="2" customWidth="1"/>
    <col min="3295" max="3295" width="63.140625" style="2" customWidth="1"/>
    <col min="3296" max="3296" width="20" style="2" customWidth="1"/>
    <col min="3297" max="3297" width="11.140625" style="2" customWidth="1"/>
    <col min="3298" max="3298" width="10.85546875" style="2" customWidth="1"/>
    <col min="3299" max="3299" width="21" style="2" customWidth="1"/>
    <col min="3300" max="3300" width="10.85546875" style="2" customWidth="1"/>
    <col min="3301" max="3301" width="17.42578125" style="2" customWidth="1"/>
    <col min="3302" max="3302" width="14.85546875" style="2" customWidth="1"/>
    <col min="3303" max="3303" width="15" style="2" customWidth="1"/>
    <col min="3304" max="3304" width="14.85546875" style="2" customWidth="1"/>
    <col min="3305" max="3305" width="7.140625" style="2" customWidth="1"/>
    <col min="3306" max="3307" width="20.140625" style="2" customWidth="1"/>
    <col min="3308" max="3308" width="18.42578125" style="2" customWidth="1"/>
    <col min="3309" max="3309" width="9.140625" style="2" customWidth="1"/>
    <col min="3310" max="3310" width="12" style="2" customWidth="1"/>
    <col min="3311" max="3311" width="14.85546875" style="2" customWidth="1"/>
    <col min="3312" max="3312" width="22.42578125" style="2" customWidth="1"/>
    <col min="3313" max="3313" width="14.85546875" style="2" customWidth="1"/>
    <col min="3314" max="3314" width="7.140625" style="2" customWidth="1"/>
    <col min="3315" max="3315" width="20.140625" style="2" customWidth="1"/>
    <col min="3316" max="3547" width="8.85546875" style="2" customWidth="1"/>
    <col min="3548" max="3548" width="8.140625" style="2" customWidth="1"/>
    <col min="3549" max="3549" width="14.5703125" style="2" customWidth="1"/>
    <col min="3550" max="3550" width="37.42578125" style="2" customWidth="1"/>
    <col min="3551" max="3551" width="63.140625" style="2" customWidth="1"/>
    <col min="3552" max="3552" width="20" style="2" customWidth="1"/>
    <col min="3553" max="3553" width="11.140625" style="2" customWidth="1"/>
    <col min="3554" max="3554" width="10.85546875" style="2" customWidth="1"/>
    <col min="3555" max="3555" width="21" style="2" customWidth="1"/>
    <col min="3556" max="3556" width="10.85546875" style="2" customWidth="1"/>
    <col min="3557" max="3557" width="17.42578125" style="2" customWidth="1"/>
    <col min="3558" max="3558" width="14.85546875" style="2" customWidth="1"/>
    <col min="3559" max="3559" width="15" style="2" customWidth="1"/>
    <col min="3560" max="3560" width="14.85546875" style="2" customWidth="1"/>
    <col min="3561" max="3561" width="7.140625" style="2" customWidth="1"/>
    <col min="3562" max="3563" width="20.140625" style="2" customWidth="1"/>
    <col min="3564" max="3564" width="18.42578125" style="2" customWidth="1"/>
    <col min="3565" max="3565" width="9.140625" style="2" customWidth="1"/>
    <col min="3566" max="3566" width="12" style="2" customWidth="1"/>
    <col min="3567" max="3567" width="14.85546875" style="2" customWidth="1"/>
    <col min="3568" max="3568" width="22.42578125" style="2" customWidth="1"/>
    <col min="3569" max="3569" width="14.85546875" style="2" customWidth="1"/>
    <col min="3570" max="3570" width="7.140625" style="2" customWidth="1"/>
    <col min="3571" max="3571" width="20.140625" style="2" customWidth="1"/>
    <col min="3572" max="3803" width="8.85546875" style="2" customWidth="1"/>
    <col min="3804" max="3804" width="8.140625" style="2" customWidth="1"/>
    <col min="3805" max="3805" width="14.5703125" style="2" customWidth="1"/>
    <col min="3806" max="3806" width="37.42578125" style="2" customWidth="1"/>
    <col min="3807" max="3807" width="63.140625" style="2" customWidth="1"/>
    <col min="3808" max="3808" width="20" style="2" customWidth="1"/>
    <col min="3809" max="3809" width="11.140625" style="2" customWidth="1"/>
    <col min="3810" max="3810" width="10.85546875" style="2" customWidth="1"/>
    <col min="3811" max="3811" width="21" style="2" customWidth="1"/>
    <col min="3812" max="3812" width="10.85546875" style="2" customWidth="1"/>
    <col min="3813" max="3813" width="17.42578125" style="2" customWidth="1"/>
    <col min="3814" max="3814" width="14.85546875" style="2" customWidth="1"/>
    <col min="3815" max="3815" width="15" style="2" customWidth="1"/>
    <col min="3816" max="3816" width="14.85546875" style="2" customWidth="1"/>
    <col min="3817" max="3817" width="7.140625" style="2" customWidth="1"/>
    <col min="3818" max="3819" width="20.140625" style="2" customWidth="1"/>
    <col min="3820" max="3820" width="18.42578125" style="2" customWidth="1"/>
    <col min="3821" max="3821" width="9.140625" style="2" customWidth="1"/>
    <col min="3822" max="3822" width="12" style="2" customWidth="1"/>
    <col min="3823" max="3823" width="14.85546875" style="2" customWidth="1"/>
    <col min="3824" max="3824" width="22.42578125" style="2" customWidth="1"/>
    <col min="3825" max="3825" width="14.85546875" style="2" customWidth="1"/>
    <col min="3826" max="3826" width="7.140625" style="2" customWidth="1"/>
    <col min="3827" max="3827" width="20.140625" style="2" customWidth="1"/>
    <col min="3828" max="4059" width="8.85546875" style="2" customWidth="1"/>
    <col min="4060" max="4060" width="8.140625" style="2" customWidth="1"/>
    <col min="4061" max="4061" width="14.5703125" style="2" customWidth="1"/>
    <col min="4062" max="4062" width="37.42578125" style="2" customWidth="1"/>
    <col min="4063" max="4063" width="63.140625" style="2" customWidth="1"/>
    <col min="4064" max="4064" width="20" style="2" customWidth="1"/>
    <col min="4065" max="4065" width="11.140625" style="2" customWidth="1"/>
    <col min="4066" max="4066" width="10.85546875" style="2" customWidth="1"/>
    <col min="4067" max="4067" width="21" style="2" customWidth="1"/>
    <col min="4068" max="4068" width="10.85546875" style="2" customWidth="1"/>
    <col min="4069" max="4069" width="17.42578125" style="2" customWidth="1"/>
    <col min="4070" max="4070" width="14.85546875" style="2" customWidth="1"/>
    <col min="4071" max="4071" width="15" style="2" customWidth="1"/>
    <col min="4072" max="4072" width="14.85546875" style="2" customWidth="1"/>
    <col min="4073" max="4073" width="7.140625" style="2" customWidth="1"/>
    <col min="4074" max="4075" width="20.140625" style="2" customWidth="1"/>
    <col min="4076" max="4076" width="18.42578125" style="2" customWidth="1"/>
    <col min="4077" max="4077" width="9.140625" style="2" customWidth="1"/>
    <col min="4078" max="4078" width="12" style="2" customWidth="1"/>
    <col min="4079" max="4079" width="14.85546875" style="2" customWidth="1"/>
    <col min="4080" max="4080" width="22.42578125" style="2" customWidth="1"/>
    <col min="4081" max="4081" width="14.85546875" style="2" customWidth="1"/>
    <col min="4082" max="4082" width="7.140625" style="2" customWidth="1"/>
    <col min="4083" max="4083" width="20.140625" style="2" customWidth="1"/>
    <col min="4084" max="4315" width="8.85546875" style="2" customWidth="1"/>
    <col min="4316" max="4316" width="8.140625" style="2" customWidth="1"/>
    <col min="4317" max="4317" width="14.5703125" style="2" customWidth="1"/>
    <col min="4318" max="4318" width="37.42578125" style="2" customWidth="1"/>
    <col min="4319" max="4319" width="63.140625" style="2" customWidth="1"/>
    <col min="4320" max="4320" width="20" style="2" customWidth="1"/>
    <col min="4321" max="4321" width="11.140625" style="2" customWidth="1"/>
    <col min="4322" max="4322" width="10.85546875" style="2" customWidth="1"/>
    <col min="4323" max="4323" width="21" style="2" customWidth="1"/>
    <col min="4324" max="4324" width="10.85546875" style="2" customWidth="1"/>
    <col min="4325" max="4325" width="17.42578125" style="2" customWidth="1"/>
    <col min="4326" max="4326" width="14.85546875" style="2" customWidth="1"/>
    <col min="4327" max="4327" width="15" style="2" customWidth="1"/>
    <col min="4328" max="4328" width="14.85546875" style="2" customWidth="1"/>
    <col min="4329" max="4329" width="7.140625" style="2" customWidth="1"/>
    <col min="4330" max="4331" width="20.140625" style="2" customWidth="1"/>
    <col min="4332" max="4332" width="18.42578125" style="2" customWidth="1"/>
    <col min="4333" max="4333" width="9.140625" style="2" customWidth="1"/>
    <col min="4334" max="4334" width="12" style="2" customWidth="1"/>
    <col min="4335" max="4335" width="14.85546875" style="2" customWidth="1"/>
    <col min="4336" max="4336" width="22.42578125" style="2" customWidth="1"/>
    <col min="4337" max="4337" width="14.85546875" style="2" customWidth="1"/>
    <col min="4338" max="4338" width="7.140625" style="2" customWidth="1"/>
    <col min="4339" max="4339" width="20.140625" style="2" customWidth="1"/>
    <col min="4340" max="4571" width="8.85546875" style="2" customWidth="1"/>
    <col min="4572" max="4572" width="8.140625" style="2" customWidth="1"/>
    <col min="4573" max="4573" width="14.5703125" style="2" customWidth="1"/>
    <col min="4574" max="4574" width="37.42578125" style="2" customWidth="1"/>
    <col min="4575" max="4575" width="63.140625" style="2" customWidth="1"/>
    <col min="4576" max="4576" width="20" style="2" customWidth="1"/>
    <col min="4577" max="4577" width="11.140625" style="2" customWidth="1"/>
    <col min="4578" max="4578" width="10.85546875" style="2" customWidth="1"/>
    <col min="4579" max="4579" width="21" style="2" customWidth="1"/>
    <col min="4580" max="4580" width="10.85546875" style="2" customWidth="1"/>
    <col min="4581" max="4581" width="17.42578125" style="2" customWidth="1"/>
    <col min="4582" max="4582" width="14.85546875" style="2" customWidth="1"/>
    <col min="4583" max="4583" width="15" style="2" customWidth="1"/>
    <col min="4584" max="4584" width="14.85546875" style="2" customWidth="1"/>
    <col min="4585" max="4585" width="7.140625" style="2" customWidth="1"/>
    <col min="4586" max="4587" width="20.140625" style="2" customWidth="1"/>
    <col min="4588" max="4588" width="18.42578125" style="2" customWidth="1"/>
    <col min="4589" max="4589" width="9.140625" style="2" customWidth="1"/>
    <col min="4590" max="4590" width="12" style="2" customWidth="1"/>
    <col min="4591" max="4591" width="14.85546875" style="2" customWidth="1"/>
    <col min="4592" max="4592" width="22.42578125" style="2" customWidth="1"/>
    <col min="4593" max="4593" width="14.85546875" style="2" customWidth="1"/>
    <col min="4594" max="4594" width="7.140625" style="2" customWidth="1"/>
    <col min="4595" max="4595" width="20.140625" style="2" customWidth="1"/>
    <col min="4596" max="4827" width="8.85546875" style="2" customWidth="1"/>
    <col min="4828" max="4828" width="8.140625" style="2" customWidth="1"/>
    <col min="4829" max="4829" width="14.5703125" style="2" customWidth="1"/>
    <col min="4830" max="4830" width="37.42578125" style="2" customWidth="1"/>
    <col min="4831" max="4831" width="63.140625" style="2" customWidth="1"/>
    <col min="4832" max="4832" width="20" style="2" customWidth="1"/>
    <col min="4833" max="4833" width="11.140625" style="2" customWidth="1"/>
    <col min="4834" max="4834" width="10.85546875" style="2" customWidth="1"/>
    <col min="4835" max="4835" width="21" style="2" customWidth="1"/>
    <col min="4836" max="4836" width="10.85546875" style="2" customWidth="1"/>
    <col min="4837" max="4837" width="17.42578125" style="2" customWidth="1"/>
    <col min="4838" max="4838" width="14.85546875" style="2" customWidth="1"/>
    <col min="4839" max="4839" width="15" style="2" customWidth="1"/>
    <col min="4840" max="4840" width="14.85546875" style="2" customWidth="1"/>
    <col min="4841" max="4841" width="7.140625" style="2" customWidth="1"/>
    <col min="4842" max="4843" width="20.140625" style="2" customWidth="1"/>
    <col min="4844" max="4844" width="18.42578125" style="2" customWidth="1"/>
    <col min="4845" max="4845" width="9.140625" style="2" customWidth="1"/>
    <col min="4846" max="4846" width="12" style="2" customWidth="1"/>
    <col min="4847" max="4847" width="14.85546875" style="2" customWidth="1"/>
    <col min="4848" max="4848" width="22.42578125" style="2" customWidth="1"/>
    <col min="4849" max="4849" width="14.85546875" style="2" customWidth="1"/>
    <col min="4850" max="4850" width="7.140625" style="2" customWidth="1"/>
    <col min="4851" max="4851" width="20.140625" style="2" customWidth="1"/>
    <col min="4852" max="5083" width="8.85546875" style="2" customWidth="1"/>
    <col min="5084" max="5084" width="8.140625" style="2" customWidth="1"/>
    <col min="5085" max="5085" width="14.5703125" style="2" customWidth="1"/>
    <col min="5086" max="5086" width="37.42578125" style="2" customWidth="1"/>
    <col min="5087" max="5087" width="63.140625" style="2" customWidth="1"/>
    <col min="5088" max="5088" width="20" style="2" customWidth="1"/>
    <col min="5089" max="5089" width="11.140625" style="2" customWidth="1"/>
    <col min="5090" max="5090" width="10.85546875" style="2" customWidth="1"/>
    <col min="5091" max="5091" width="21" style="2" customWidth="1"/>
    <col min="5092" max="5092" width="10.85546875" style="2" customWidth="1"/>
    <col min="5093" max="5093" width="17.42578125" style="2" customWidth="1"/>
    <col min="5094" max="5094" width="14.85546875" style="2" customWidth="1"/>
    <col min="5095" max="5095" width="15" style="2" customWidth="1"/>
    <col min="5096" max="5096" width="14.85546875" style="2" customWidth="1"/>
    <col min="5097" max="5097" width="7.140625" style="2" customWidth="1"/>
    <col min="5098" max="5099" width="20.140625" style="2" customWidth="1"/>
    <col min="5100" max="5100" width="18.42578125" style="2" customWidth="1"/>
    <col min="5101" max="5101" width="9.140625" style="2" customWidth="1"/>
    <col min="5102" max="5102" width="12" style="2" customWidth="1"/>
    <col min="5103" max="5103" width="14.85546875" style="2" customWidth="1"/>
    <col min="5104" max="5104" width="22.42578125" style="2" customWidth="1"/>
    <col min="5105" max="5105" width="14.85546875" style="2" customWidth="1"/>
    <col min="5106" max="5106" width="7.140625" style="2" customWidth="1"/>
    <col min="5107" max="5107" width="20.140625" style="2" customWidth="1"/>
    <col min="5108" max="5339" width="8.85546875" style="2" customWidth="1"/>
    <col min="5340" max="5340" width="8.140625" style="2" customWidth="1"/>
    <col min="5341" max="5341" width="14.5703125" style="2" customWidth="1"/>
    <col min="5342" max="5342" width="37.42578125" style="2" customWidth="1"/>
    <col min="5343" max="5343" width="63.140625" style="2" customWidth="1"/>
    <col min="5344" max="5344" width="20" style="2" customWidth="1"/>
    <col min="5345" max="5345" width="11.140625" style="2" customWidth="1"/>
    <col min="5346" max="5346" width="10.85546875" style="2" customWidth="1"/>
    <col min="5347" max="5347" width="21" style="2" customWidth="1"/>
    <col min="5348" max="5348" width="10.85546875" style="2" customWidth="1"/>
    <col min="5349" max="5349" width="17.42578125" style="2" customWidth="1"/>
    <col min="5350" max="5350" width="14.85546875" style="2" customWidth="1"/>
    <col min="5351" max="5351" width="15" style="2" customWidth="1"/>
    <col min="5352" max="5352" width="14.85546875" style="2" customWidth="1"/>
    <col min="5353" max="5353" width="7.140625" style="2" customWidth="1"/>
    <col min="5354" max="5355" width="20.140625" style="2" customWidth="1"/>
    <col min="5356" max="5356" width="18.42578125" style="2" customWidth="1"/>
    <col min="5357" max="5357" width="9.140625" style="2" customWidth="1"/>
    <col min="5358" max="5358" width="12" style="2" customWidth="1"/>
    <col min="5359" max="5359" width="14.85546875" style="2" customWidth="1"/>
    <col min="5360" max="5360" width="22.42578125" style="2" customWidth="1"/>
    <col min="5361" max="5361" width="14.85546875" style="2" customWidth="1"/>
    <col min="5362" max="5362" width="7.140625" style="2" customWidth="1"/>
    <col min="5363" max="5363" width="20.140625" style="2" customWidth="1"/>
    <col min="5364" max="5595" width="8.85546875" style="2" customWidth="1"/>
    <col min="5596" max="5596" width="8.140625" style="2" customWidth="1"/>
    <col min="5597" max="5597" width="14.5703125" style="2" customWidth="1"/>
    <col min="5598" max="5598" width="37.42578125" style="2" customWidth="1"/>
    <col min="5599" max="5599" width="63.140625" style="2" customWidth="1"/>
    <col min="5600" max="5600" width="20" style="2" customWidth="1"/>
    <col min="5601" max="5601" width="11.140625" style="2" customWidth="1"/>
    <col min="5602" max="5602" width="10.85546875" style="2" customWidth="1"/>
    <col min="5603" max="5603" width="21" style="2" customWidth="1"/>
    <col min="5604" max="5604" width="10.85546875" style="2" customWidth="1"/>
    <col min="5605" max="5605" width="17.42578125" style="2" customWidth="1"/>
    <col min="5606" max="5606" width="14.85546875" style="2" customWidth="1"/>
    <col min="5607" max="5607" width="15" style="2" customWidth="1"/>
    <col min="5608" max="5608" width="14.85546875" style="2" customWidth="1"/>
    <col min="5609" max="5609" width="7.140625" style="2" customWidth="1"/>
    <col min="5610" max="5611" width="20.140625" style="2" customWidth="1"/>
    <col min="5612" max="5612" width="18.42578125" style="2" customWidth="1"/>
    <col min="5613" max="5613" width="9.140625" style="2" customWidth="1"/>
    <col min="5614" max="5614" width="12" style="2" customWidth="1"/>
    <col min="5615" max="5615" width="14.85546875" style="2" customWidth="1"/>
    <col min="5616" max="5616" width="22.42578125" style="2" customWidth="1"/>
    <col min="5617" max="5617" width="14.85546875" style="2" customWidth="1"/>
    <col min="5618" max="5618" width="7.140625" style="2" customWidth="1"/>
    <col min="5619" max="5619" width="20.140625" style="2" customWidth="1"/>
    <col min="5620" max="5851" width="8.85546875" style="2" customWidth="1"/>
    <col min="5852" max="5852" width="8.140625" style="2" customWidth="1"/>
    <col min="5853" max="5853" width="14.5703125" style="2" customWidth="1"/>
    <col min="5854" max="5854" width="37.42578125" style="2" customWidth="1"/>
    <col min="5855" max="5855" width="63.140625" style="2" customWidth="1"/>
    <col min="5856" max="5856" width="20" style="2" customWidth="1"/>
    <col min="5857" max="5857" width="11.140625" style="2" customWidth="1"/>
    <col min="5858" max="5858" width="10.85546875" style="2" customWidth="1"/>
    <col min="5859" max="5859" width="21" style="2" customWidth="1"/>
    <col min="5860" max="5860" width="10.85546875" style="2" customWidth="1"/>
    <col min="5861" max="5861" width="17.42578125" style="2" customWidth="1"/>
    <col min="5862" max="5862" width="14.85546875" style="2" customWidth="1"/>
    <col min="5863" max="5863" width="15" style="2" customWidth="1"/>
    <col min="5864" max="5864" width="14.85546875" style="2" customWidth="1"/>
    <col min="5865" max="5865" width="7.140625" style="2" customWidth="1"/>
    <col min="5866" max="5867" width="20.140625" style="2" customWidth="1"/>
    <col min="5868" max="5868" width="18.42578125" style="2" customWidth="1"/>
    <col min="5869" max="5869" width="9.140625" style="2" customWidth="1"/>
    <col min="5870" max="5870" width="12" style="2" customWidth="1"/>
    <col min="5871" max="5871" width="14.85546875" style="2" customWidth="1"/>
    <col min="5872" max="5872" width="22.42578125" style="2" customWidth="1"/>
    <col min="5873" max="5873" width="14.85546875" style="2" customWidth="1"/>
    <col min="5874" max="5874" width="7.140625" style="2" customWidth="1"/>
    <col min="5875" max="5875" width="20.140625" style="2" customWidth="1"/>
    <col min="5876" max="6107" width="8.85546875" style="2" customWidth="1"/>
    <col min="6108" max="6108" width="8.140625" style="2" customWidth="1"/>
    <col min="6109" max="6109" width="14.5703125" style="2" customWidth="1"/>
    <col min="6110" max="6110" width="37.42578125" style="2" customWidth="1"/>
    <col min="6111" max="6111" width="63.140625" style="2" customWidth="1"/>
    <col min="6112" max="6112" width="20" style="2" customWidth="1"/>
    <col min="6113" max="6113" width="11.140625" style="2" customWidth="1"/>
    <col min="6114" max="6114" width="10.85546875" style="2" customWidth="1"/>
    <col min="6115" max="6115" width="21" style="2" customWidth="1"/>
    <col min="6116" max="6116" width="10.85546875" style="2" customWidth="1"/>
    <col min="6117" max="6117" width="17.42578125" style="2" customWidth="1"/>
    <col min="6118" max="6118" width="14.85546875" style="2" customWidth="1"/>
    <col min="6119" max="6119" width="15" style="2" customWidth="1"/>
    <col min="6120" max="6120" width="14.85546875" style="2" customWidth="1"/>
    <col min="6121" max="6121" width="7.140625" style="2" customWidth="1"/>
    <col min="6122" max="6123" width="20.140625" style="2" customWidth="1"/>
    <col min="6124" max="6124" width="18.42578125" style="2" customWidth="1"/>
    <col min="6125" max="6125" width="9.140625" style="2" customWidth="1"/>
    <col min="6126" max="6126" width="12" style="2" customWidth="1"/>
    <col min="6127" max="6127" width="14.85546875" style="2" customWidth="1"/>
    <col min="6128" max="6128" width="22.42578125" style="2" customWidth="1"/>
    <col min="6129" max="6129" width="14.85546875" style="2" customWidth="1"/>
    <col min="6130" max="6130" width="7.140625" style="2" customWidth="1"/>
    <col min="6131" max="6131" width="20.140625" style="2" customWidth="1"/>
    <col min="6132" max="6363" width="8.85546875" style="2" customWidth="1"/>
    <col min="6364" max="6364" width="8.140625" style="2" customWidth="1"/>
    <col min="6365" max="6365" width="14.5703125" style="2" customWidth="1"/>
    <col min="6366" max="6366" width="37.42578125" style="2" customWidth="1"/>
    <col min="6367" max="6367" width="63.140625" style="2" customWidth="1"/>
    <col min="6368" max="6368" width="20" style="2" customWidth="1"/>
    <col min="6369" max="6369" width="11.140625" style="2" customWidth="1"/>
    <col min="6370" max="6370" width="10.85546875" style="2" customWidth="1"/>
    <col min="6371" max="6371" width="21" style="2" customWidth="1"/>
    <col min="6372" max="6372" width="10.85546875" style="2" customWidth="1"/>
    <col min="6373" max="6373" width="17.42578125" style="2" customWidth="1"/>
    <col min="6374" max="6374" width="14.85546875" style="2" customWidth="1"/>
    <col min="6375" max="6375" width="15" style="2" customWidth="1"/>
    <col min="6376" max="6376" width="14.85546875" style="2" customWidth="1"/>
    <col min="6377" max="6377" width="7.140625" style="2" customWidth="1"/>
    <col min="6378" max="6379" width="20.140625" style="2" customWidth="1"/>
    <col min="6380" max="6380" width="18.42578125" style="2" customWidth="1"/>
    <col min="6381" max="6381" width="9.140625" style="2" customWidth="1"/>
    <col min="6382" max="6382" width="12" style="2" customWidth="1"/>
    <col min="6383" max="6383" width="14.85546875" style="2" customWidth="1"/>
    <col min="6384" max="6384" width="22.42578125" style="2" customWidth="1"/>
    <col min="6385" max="6385" width="14.85546875" style="2" customWidth="1"/>
    <col min="6386" max="6386" width="7.140625" style="2" customWidth="1"/>
    <col min="6387" max="6387" width="20.140625" style="2" customWidth="1"/>
    <col min="6388" max="6619" width="8.85546875" style="2" customWidth="1"/>
    <col min="6620" max="6620" width="8.140625" style="2" customWidth="1"/>
    <col min="6621" max="6621" width="14.5703125" style="2" customWidth="1"/>
    <col min="6622" max="6622" width="37.42578125" style="2" customWidth="1"/>
    <col min="6623" max="6623" width="63.140625" style="2" customWidth="1"/>
    <col min="6624" max="6624" width="20" style="2" customWidth="1"/>
    <col min="6625" max="6625" width="11.140625" style="2" customWidth="1"/>
    <col min="6626" max="6626" width="10.85546875" style="2" customWidth="1"/>
    <col min="6627" max="6627" width="21" style="2" customWidth="1"/>
    <col min="6628" max="6628" width="10.85546875" style="2" customWidth="1"/>
    <col min="6629" max="6629" width="17.42578125" style="2" customWidth="1"/>
    <col min="6630" max="6630" width="14.85546875" style="2" customWidth="1"/>
    <col min="6631" max="6631" width="15" style="2" customWidth="1"/>
    <col min="6632" max="6632" width="14.85546875" style="2" customWidth="1"/>
    <col min="6633" max="6633" width="7.140625" style="2" customWidth="1"/>
    <col min="6634" max="6635" width="20.140625" style="2" customWidth="1"/>
    <col min="6636" max="6636" width="18.42578125" style="2" customWidth="1"/>
    <col min="6637" max="6637" width="9.140625" style="2" customWidth="1"/>
    <col min="6638" max="6638" width="12" style="2" customWidth="1"/>
    <col min="6639" max="6639" width="14.85546875" style="2" customWidth="1"/>
    <col min="6640" max="6640" width="22.42578125" style="2" customWidth="1"/>
    <col min="6641" max="6641" width="14.85546875" style="2" customWidth="1"/>
    <col min="6642" max="6642" width="7.140625" style="2" customWidth="1"/>
    <col min="6643" max="6643" width="20.140625" style="2" customWidth="1"/>
    <col min="6644" max="6875" width="8.85546875" style="2" customWidth="1"/>
    <col min="6876" max="6876" width="8.140625" style="2" customWidth="1"/>
    <col min="6877" max="6877" width="14.5703125" style="2" customWidth="1"/>
    <col min="6878" max="6878" width="37.42578125" style="2" customWidth="1"/>
    <col min="6879" max="6879" width="63.140625" style="2" customWidth="1"/>
    <col min="6880" max="6880" width="20" style="2" customWidth="1"/>
    <col min="6881" max="6881" width="11.140625" style="2" customWidth="1"/>
    <col min="6882" max="6882" width="10.85546875" style="2" customWidth="1"/>
    <col min="6883" max="6883" width="21" style="2" customWidth="1"/>
    <col min="6884" max="6884" width="10.85546875" style="2" customWidth="1"/>
    <col min="6885" max="6885" width="17.42578125" style="2" customWidth="1"/>
    <col min="6886" max="6886" width="14.85546875" style="2" customWidth="1"/>
    <col min="6887" max="6887" width="15" style="2" customWidth="1"/>
    <col min="6888" max="6888" width="14.85546875" style="2" customWidth="1"/>
    <col min="6889" max="6889" width="7.140625" style="2" customWidth="1"/>
    <col min="6890" max="6891" width="20.140625" style="2" customWidth="1"/>
    <col min="6892" max="6892" width="18.42578125" style="2" customWidth="1"/>
    <col min="6893" max="6893" width="9.140625" style="2" customWidth="1"/>
    <col min="6894" max="6894" width="12" style="2" customWidth="1"/>
    <col min="6895" max="6895" width="14.85546875" style="2" customWidth="1"/>
    <col min="6896" max="6896" width="22.42578125" style="2" customWidth="1"/>
    <col min="6897" max="6897" width="14.85546875" style="2" customWidth="1"/>
    <col min="6898" max="6898" width="7.140625" style="2" customWidth="1"/>
    <col min="6899" max="6899" width="20.140625" style="2" customWidth="1"/>
    <col min="6900" max="7131" width="8.85546875" style="2" customWidth="1"/>
    <col min="7132" max="7132" width="8.140625" style="2" customWidth="1"/>
    <col min="7133" max="7133" width="14.5703125" style="2" customWidth="1"/>
    <col min="7134" max="7134" width="37.42578125" style="2" customWidth="1"/>
    <col min="7135" max="7135" width="63.140625" style="2" customWidth="1"/>
    <col min="7136" max="7136" width="20" style="2" customWidth="1"/>
    <col min="7137" max="7137" width="11.140625" style="2" customWidth="1"/>
    <col min="7138" max="7138" width="10.85546875" style="2" customWidth="1"/>
    <col min="7139" max="7139" width="21" style="2" customWidth="1"/>
    <col min="7140" max="7140" width="10.85546875" style="2" customWidth="1"/>
    <col min="7141" max="7141" width="17.42578125" style="2" customWidth="1"/>
    <col min="7142" max="7142" width="14.85546875" style="2" customWidth="1"/>
    <col min="7143" max="7143" width="15" style="2" customWidth="1"/>
    <col min="7144" max="7144" width="14.85546875" style="2" customWidth="1"/>
    <col min="7145" max="7145" width="7.140625" style="2" customWidth="1"/>
    <col min="7146" max="7147" width="20.140625" style="2" customWidth="1"/>
    <col min="7148" max="7148" width="18.42578125" style="2" customWidth="1"/>
    <col min="7149" max="7149" width="9.140625" style="2" customWidth="1"/>
    <col min="7150" max="7150" width="12" style="2" customWidth="1"/>
    <col min="7151" max="7151" width="14.85546875" style="2" customWidth="1"/>
    <col min="7152" max="7152" width="22.42578125" style="2" customWidth="1"/>
    <col min="7153" max="7153" width="14.85546875" style="2" customWidth="1"/>
    <col min="7154" max="7154" width="7.140625" style="2" customWidth="1"/>
    <col min="7155" max="7155" width="20.140625" style="2" customWidth="1"/>
    <col min="7156" max="7387" width="8.85546875" style="2" customWidth="1"/>
    <col min="7388" max="7388" width="8.140625" style="2" customWidth="1"/>
    <col min="7389" max="7389" width="14.5703125" style="2" customWidth="1"/>
    <col min="7390" max="7390" width="37.42578125" style="2" customWidth="1"/>
    <col min="7391" max="7391" width="63.140625" style="2" customWidth="1"/>
    <col min="7392" max="7392" width="20" style="2" customWidth="1"/>
    <col min="7393" max="7393" width="11.140625" style="2" customWidth="1"/>
    <col min="7394" max="7394" width="10.85546875" style="2" customWidth="1"/>
    <col min="7395" max="7395" width="21" style="2" customWidth="1"/>
    <col min="7396" max="7396" width="10.85546875" style="2" customWidth="1"/>
    <col min="7397" max="7397" width="17.42578125" style="2" customWidth="1"/>
    <col min="7398" max="7398" width="14.85546875" style="2" customWidth="1"/>
    <col min="7399" max="7399" width="15" style="2" customWidth="1"/>
    <col min="7400" max="7400" width="14.85546875" style="2" customWidth="1"/>
    <col min="7401" max="7401" width="7.140625" style="2" customWidth="1"/>
    <col min="7402" max="7403" width="20.140625" style="2" customWidth="1"/>
    <col min="7404" max="7404" width="18.42578125" style="2" customWidth="1"/>
    <col min="7405" max="7405" width="9.140625" style="2" customWidth="1"/>
    <col min="7406" max="7406" width="12" style="2" customWidth="1"/>
    <col min="7407" max="7407" width="14.85546875" style="2" customWidth="1"/>
    <col min="7408" max="7408" width="22.42578125" style="2" customWidth="1"/>
    <col min="7409" max="7409" width="14.85546875" style="2" customWidth="1"/>
    <col min="7410" max="7410" width="7.140625" style="2" customWidth="1"/>
    <col min="7411" max="7411" width="20.140625" style="2" customWidth="1"/>
    <col min="7412" max="7643" width="8.85546875" style="2" customWidth="1"/>
    <col min="7644" max="7644" width="8.140625" style="2" customWidth="1"/>
    <col min="7645" max="7645" width="14.5703125" style="2" customWidth="1"/>
    <col min="7646" max="7646" width="37.42578125" style="2" customWidth="1"/>
    <col min="7647" max="7647" width="63.140625" style="2" customWidth="1"/>
    <col min="7648" max="7648" width="20" style="2" customWidth="1"/>
    <col min="7649" max="7649" width="11.140625" style="2" customWidth="1"/>
    <col min="7650" max="7650" width="10.85546875" style="2" customWidth="1"/>
    <col min="7651" max="7651" width="21" style="2" customWidth="1"/>
    <col min="7652" max="7652" width="10.85546875" style="2" customWidth="1"/>
    <col min="7653" max="7653" width="17.42578125" style="2" customWidth="1"/>
    <col min="7654" max="7654" width="14.85546875" style="2" customWidth="1"/>
    <col min="7655" max="7655" width="15" style="2" customWidth="1"/>
    <col min="7656" max="7656" width="14.85546875" style="2" customWidth="1"/>
    <col min="7657" max="7657" width="7.140625" style="2" customWidth="1"/>
    <col min="7658" max="7659" width="20.140625" style="2" customWidth="1"/>
    <col min="7660" max="7660" width="18.42578125" style="2" customWidth="1"/>
    <col min="7661" max="7661" width="9.140625" style="2" customWidth="1"/>
    <col min="7662" max="7662" width="12" style="2" customWidth="1"/>
    <col min="7663" max="7663" width="14.85546875" style="2" customWidth="1"/>
    <col min="7664" max="7664" width="22.42578125" style="2" customWidth="1"/>
    <col min="7665" max="7665" width="14.85546875" style="2" customWidth="1"/>
    <col min="7666" max="7666" width="7.140625" style="2" customWidth="1"/>
    <col min="7667" max="7667" width="20.140625" style="2" customWidth="1"/>
    <col min="7668" max="7899" width="8.85546875" style="2" customWidth="1"/>
    <col min="7900" max="7900" width="8.140625" style="2" customWidth="1"/>
    <col min="7901" max="7901" width="14.5703125" style="2" customWidth="1"/>
    <col min="7902" max="7902" width="37.42578125" style="2" customWidth="1"/>
    <col min="7903" max="7903" width="63.140625" style="2" customWidth="1"/>
    <col min="7904" max="7904" width="20" style="2" customWidth="1"/>
    <col min="7905" max="7905" width="11.140625" style="2" customWidth="1"/>
    <col min="7906" max="7906" width="10.85546875" style="2" customWidth="1"/>
    <col min="7907" max="7907" width="21" style="2" customWidth="1"/>
    <col min="7908" max="7908" width="10.85546875" style="2" customWidth="1"/>
    <col min="7909" max="7909" width="17.42578125" style="2" customWidth="1"/>
    <col min="7910" max="7910" width="14.85546875" style="2" customWidth="1"/>
    <col min="7911" max="7911" width="15" style="2" customWidth="1"/>
    <col min="7912" max="7912" width="14.85546875" style="2" customWidth="1"/>
    <col min="7913" max="7913" width="7.140625" style="2" customWidth="1"/>
    <col min="7914" max="7915" width="20.140625" style="2" customWidth="1"/>
    <col min="7916" max="7916" width="18.42578125" style="2" customWidth="1"/>
    <col min="7917" max="7917" width="9.140625" style="2" customWidth="1"/>
    <col min="7918" max="7918" width="12" style="2" customWidth="1"/>
    <col min="7919" max="7919" width="14.85546875" style="2" customWidth="1"/>
    <col min="7920" max="7920" width="22.42578125" style="2" customWidth="1"/>
    <col min="7921" max="7921" width="14.85546875" style="2" customWidth="1"/>
    <col min="7922" max="7922" width="7.140625" style="2" customWidth="1"/>
    <col min="7923" max="7923" width="20.140625" style="2" customWidth="1"/>
    <col min="7924" max="8155" width="8.85546875" style="2" customWidth="1"/>
    <col min="8156" max="8156" width="8.140625" style="2" customWidth="1"/>
    <col min="8157" max="8157" width="14.5703125" style="2" customWidth="1"/>
    <col min="8158" max="8158" width="37.42578125" style="2" customWidth="1"/>
    <col min="8159" max="8159" width="63.140625" style="2" customWidth="1"/>
    <col min="8160" max="8160" width="20" style="2" customWidth="1"/>
    <col min="8161" max="8161" width="11.140625" style="2" customWidth="1"/>
    <col min="8162" max="8162" width="10.85546875" style="2" customWidth="1"/>
    <col min="8163" max="8163" width="21" style="2" customWidth="1"/>
    <col min="8164" max="8164" width="10.85546875" style="2" customWidth="1"/>
    <col min="8165" max="8165" width="17.42578125" style="2" customWidth="1"/>
    <col min="8166" max="8166" width="14.85546875" style="2" customWidth="1"/>
    <col min="8167" max="8167" width="15" style="2" customWidth="1"/>
    <col min="8168" max="8168" width="14.85546875" style="2" customWidth="1"/>
    <col min="8169" max="8169" width="7.140625" style="2" customWidth="1"/>
    <col min="8170" max="8171" width="20.140625" style="2" customWidth="1"/>
    <col min="8172" max="8172" width="18.42578125" style="2" customWidth="1"/>
    <col min="8173" max="8173" width="9.140625" style="2" customWidth="1"/>
    <col min="8174" max="8174" width="12" style="2" customWidth="1"/>
    <col min="8175" max="8175" width="14.85546875" style="2" customWidth="1"/>
    <col min="8176" max="8176" width="22.42578125" style="2" customWidth="1"/>
    <col min="8177" max="8177" width="14.85546875" style="2" customWidth="1"/>
    <col min="8178" max="8178" width="7.140625" style="2" customWidth="1"/>
    <col min="8179" max="8179" width="20.140625" style="2" customWidth="1"/>
    <col min="8180" max="8411" width="8.85546875" style="2" customWidth="1"/>
    <col min="8412" max="8412" width="8.140625" style="2" customWidth="1"/>
    <col min="8413" max="8413" width="14.5703125" style="2" customWidth="1"/>
    <col min="8414" max="8414" width="37.42578125" style="2" customWidth="1"/>
    <col min="8415" max="8415" width="63.140625" style="2" customWidth="1"/>
    <col min="8416" max="8416" width="20" style="2" customWidth="1"/>
    <col min="8417" max="8417" width="11.140625" style="2" customWidth="1"/>
    <col min="8418" max="8418" width="10.85546875" style="2" customWidth="1"/>
    <col min="8419" max="8419" width="21" style="2" customWidth="1"/>
    <col min="8420" max="8420" width="10.85546875" style="2" customWidth="1"/>
    <col min="8421" max="8421" width="17.42578125" style="2" customWidth="1"/>
    <col min="8422" max="8422" width="14.85546875" style="2" customWidth="1"/>
    <col min="8423" max="8423" width="15" style="2" customWidth="1"/>
    <col min="8424" max="8424" width="14.85546875" style="2" customWidth="1"/>
    <col min="8425" max="8425" width="7.140625" style="2" customWidth="1"/>
    <col min="8426" max="8427" width="20.140625" style="2" customWidth="1"/>
    <col min="8428" max="8428" width="18.42578125" style="2" customWidth="1"/>
    <col min="8429" max="8429" width="9.140625" style="2" customWidth="1"/>
    <col min="8430" max="8430" width="12" style="2" customWidth="1"/>
    <col min="8431" max="8431" width="14.85546875" style="2" customWidth="1"/>
    <col min="8432" max="8432" width="22.42578125" style="2" customWidth="1"/>
    <col min="8433" max="8433" width="14.85546875" style="2" customWidth="1"/>
    <col min="8434" max="8434" width="7.140625" style="2" customWidth="1"/>
    <col min="8435" max="8435" width="20.140625" style="2" customWidth="1"/>
    <col min="8436" max="8667" width="8.85546875" style="2" customWidth="1"/>
    <col min="8668" max="8668" width="8.140625" style="2" customWidth="1"/>
    <col min="8669" max="8669" width="14.5703125" style="2" customWidth="1"/>
    <col min="8670" max="8670" width="37.42578125" style="2" customWidth="1"/>
    <col min="8671" max="8671" width="63.140625" style="2" customWidth="1"/>
    <col min="8672" max="8672" width="20" style="2" customWidth="1"/>
    <col min="8673" max="8673" width="11.140625" style="2" customWidth="1"/>
    <col min="8674" max="8674" width="10.85546875" style="2" customWidth="1"/>
    <col min="8675" max="8675" width="21" style="2" customWidth="1"/>
    <col min="8676" max="8676" width="10.85546875" style="2" customWidth="1"/>
    <col min="8677" max="8677" width="17.42578125" style="2" customWidth="1"/>
    <col min="8678" max="8678" width="14.85546875" style="2" customWidth="1"/>
    <col min="8679" max="8679" width="15" style="2" customWidth="1"/>
    <col min="8680" max="8680" width="14.85546875" style="2" customWidth="1"/>
    <col min="8681" max="8681" width="7.140625" style="2" customWidth="1"/>
    <col min="8682" max="8683" width="20.140625" style="2" customWidth="1"/>
    <col min="8684" max="8684" width="18.42578125" style="2" customWidth="1"/>
    <col min="8685" max="8685" width="9.140625" style="2" customWidth="1"/>
    <col min="8686" max="8686" width="12" style="2" customWidth="1"/>
    <col min="8687" max="8687" width="14.85546875" style="2" customWidth="1"/>
    <col min="8688" max="8688" width="22.42578125" style="2" customWidth="1"/>
    <col min="8689" max="8689" width="14.85546875" style="2" customWidth="1"/>
    <col min="8690" max="8690" width="7.140625" style="2" customWidth="1"/>
    <col min="8691" max="8691" width="20.140625" style="2" customWidth="1"/>
    <col min="8692" max="8923" width="8.85546875" style="2" customWidth="1"/>
    <col min="8924" max="8924" width="8.140625" style="2" customWidth="1"/>
    <col min="8925" max="8925" width="14.5703125" style="2" customWidth="1"/>
    <col min="8926" max="8926" width="37.42578125" style="2" customWidth="1"/>
    <col min="8927" max="8927" width="63.140625" style="2" customWidth="1"/>
    <col min="8928" max="8928" width="20" style="2" customWidth="1"/>
    <col min="8929" max="8929" width="11.140625" style="2" customWidth="1"/>
    <col min="8930" max="8930" width="10.85546875" style="2" customWidth="1"/>
    <col min="8931" max="8931" width="21" style="2" customWidth="1"/>
    <col min="8932" max="8932" width="10.85546875" style="2" customWidth="1"/>
    <col min="8933" max="8933" width="17.42578125" style="2" customWidth="1"/>
    <col min="8934" max="8934" width="14.85546875" style="2" customWidth="1"/>
    <col min="8935" max="8935" width="15" style="2" customWidth="1"/>
    <col min="8936" max="8936" width="14.85546875" style="2" customWidth="1"/>
    <col min="8937" max="8937" width="7.140625" style="2" customWidth="1"/>
    <col min="8938" max="8939" width="20.140625" style="2" customWidth="1"/>
    <col min="8940" max="8940" width="18.42578125" style="2" customWidth="1"/>
    <col min="8941" max="8941" width="9.140625" style="2" customWidth="1"/>
    <col min="8942" max="8942" width="12" style="2" customWidth="1"/>
    <col min="8943" max="8943" width="14.85546875" style="2" customWidth="1"/>
    <col min="8944" max="8944" width="22.42578125" style="2" customWidth="1"/>
    <col min="8945" max="8945" width="14.85546875" style="2" customWidth="1"/>
    <col min="8946" max="8946" width="7.140625" style="2" customWidth="1"/>
    <col min="8947" max="8947" width="20.140625" style="2" customWidth="1"/>
    <col min="8948" max="9179" width="8.85546875" style="2" customWidth="1"/>
    <col min="9180" max="9180" width="8.140625" style="2" customWidth="1"/>
    <col min="9181" max="9181" width="14.5703125" style="2" customWidth="1"/>
    <col min="9182" max="9182" width="37.42578125" style="2" customWidth="1"/>
    <col min="9183" max="9183" width="63.140625" style="2" customWidth="1"/>
    <col min="9184" max="9184" width="20" style="2" customWidth="1"/>
    <col min="9185" max="9185" width="11.140625" style="2" customWidth="1"/>
    <col min="9186" max="9186" width="10.85546875" style="2" customWidth="1"/>
    <col min="9187" max="9187" width="21" style="2" customWidth="1"/>
    <col min="9188" max="9188" width="10.85546875" style="2" customWidth="1"/>
    <col min="9189" max="9189" width="17.42578125" style="2" customWidth="1"/>
    <col min="9190" max="9190" width="14.85546875" style="2" customWidth="1"/>
    <col min="9191" max="9191" width="15" style="2" customWidth="1"/>
    <col min="9192" max="9192" width="14.85546875" style="2" customWidth="1"/>
    <col min="9193" max="9193" width="7.140625" style="2" customWidth="1"/>
    <col min="9194" max="9195" width="20.140625" style="2" customWidth="1"/>
    <col min="9196" max="9196" width="18.42578125" style="2" customWidth="1"/>
    <col min="9197" max="9197" width="9.140625" style="2" customWidth="1"/>
    <col min="9198" max="9198" width="12" style="2" customWidth="1"/>
    <col min="9199" max="9199" width="14.85546875" style="2" customWidth="1"/>
    <col min="9200" max="9200" width="22.42578125" style="2" customWidth="1"/>
    <col min="9201" max="9201" width="14.85546875" style="2" customWidth="1"/>
    <col min="9202" max="9202" width="7.140625" style="2" customWidth="1"/>
    <col min="9203" max="9203" width="20.140625" style="2" customWidth="1"/>
    <col min="9204" max="9435" width="8.85546875" style="2" customWidth="1"/>
    <col min="9436" max="9436" width="8.140625" style="2" customWidth="1"/>
    <col min="9437" max="9437" width="14.5703125" style="2" customWidth="1"/>
    <col min="9438" max="9438" width="37.42578125" style="2" customWidth="1"/>
    <col min="9439" max="9439" width="63.140625" style="2" customWidth="1"/>
    <col min="9440" max="9440" width="20" style="2" customWidth="1"/>
    <col min="9441" max="9441" width="11.140625" style="2" customWidth="1"/>
    <col min="9442" max="9442" width="10.85546875" style="2" customWidth="1"/>
    <col min="9443" max="9443" width="21" style="2" customWidth="1"/>
    <col min="9444" max="9444" width="10.85546875" style="2" customWidth="1"/>
    <col min="9445" max="9445" width="17.42578125" style="2" customWidth="1"/>
    <col min="9446" max="9446" width="14.85546875" style="2" customWidth="1"/>
    <col min="9447" max="9447" width="15" style="2" customWidth="1"/>
    <col min="9448" max="9448" width="14.85546875" style="2" customWidth="1"/>
    <col min="9449" max="9449" width="7.140625" style="2" customWidth="1"/>
    <col min="9450" max="9451" width="20.140625" style="2" customWidth="1"/>
    <col min="9452" max="9452" width="18.42578125" style="2" customWidth="1"/>
    <col min="9453" max="9453" width="9.140625" style="2" customWidth="1"/>
    <col min="9454" max="9454" width="12" style="2" customWidth="1"/>
    <col min="9455" max="9455" width="14.85546875" style="2" customWidth="1"/>
    <col min="9456" max="9456" width="22.42578125" style="2" customWidth="1"/>
    <col min="9457" max="9457" width="14.85546875" style="2" customWidth="1"/>
    <col min="9458" max="9458" width="7.140625" style="2" customWidth="1"/>
    <col min="9459" max="9459" width="20.140625" style="2" customWidth="1"/>
    <col min="9460" max="9691" width="8.85546875" style="2" customWidth="1"/>
    <col min="9692" max="9692" width="8.140625" style="2" customWidth="1"/>
    <col min="9693" max="9693" width="14.5703125" style="2" customWidth="1"/>
    <col min="9694" max="9694" width="37.42578125" style="2" customWidth="1"/>
    <col min="9695" max="9695" width="63.140625" style="2" customWidth="1"/>
    <col min="9696" max="9696" width="20" style="2" customWidth="1"/>
    <col min="9697" max="9697" width="11.140625" style="2" customWidth="1"/>
    <col min="9698" max="9698" width="10.85546875" style="2" customWidth="1"/>
    <col min="9699" max="9699" width="21" style="2" customWidth="1"/>
    <col min="9700" max="9700" width="10.85546875" style="2" customWidth="1"/>
    <col min="9701" max="9701" width="17.42578125" style="2" customWidth="1"/>
    <col min="9702" max="9702" width="14.85546875" style="2" customWidth="1"/>
    <col min="9703" max="9703" width="15" style="2" customWidth="1"/>
    <col min="9704" max="9704" width="14.85546875" style="2" customWidth="1"/>
    <col min="9705" max="9705" width="7.140625" style="2" customWidth="1"/>
    <col min="9706" max="9707" width="20.140625" style="2" customWidth="1"/>
    <col min="9708" max="9708" width="18.42578125" style="2" customWidth="1"/>
    <col min="9709" max="9709" width="9.140625" style="2" customWidth="1"/>
    <col min="9710" max="9710" width="12" style="2" customWidth="1"/>
    <col min="9711" max="9711" width="14.85546875" style="2" customWidth="1"/>
    <col min="9712" max="9712" width="22.42578125" style="2" customWidth="1"/>
    <col min="9713" max="9713" width="14.85546875" style="2" customWidth="1"/>
    <col min="9714" max="9714" width="7.140625" style="2" customWidth="1"/>
    <col min="9715" max="9715" width="20.140625" style="2" customWidth="1"/>
    <col min="9716" max="9947" width="8.85546875" style="2" customWidth="1"/>
    <col min="9948" max="9948" width="8.140625" style="2" customWidth="1"/>
    <col min="9949" max="9949" width="14.5703125" style="2" customWidth="1"/>
    <col min="9950" max="9950" width="37.42578125" style="2" customWidth="1"/>
    <col min="9951" max="9951" width="63.140625" style="2" customWidth="1"/>
    <col min="9952" max="9952" width="20" style="2" customWidth="1"/>
    <col min="9953" max="9953" width="11.140625" style="2" customWidth="1"/>
    <col min="9954" max="9954" width="10.85546875" style="2" customWidth="1"/>
    <col min="9955" max="9955" width="21" style="2" customWidth="1"/>
    <col min="9956" max="9956" width="10.85546875" style="2" customWidth="1"/>
    <col min="9957" max="9957" width="17.42578125" style="2" customWidth="1"/>
    <col min="9958" max="9958" width="14.85546875" style="2" customWidth="1"/>
    <col min="9959" max="9959" width="15" style="2" customWidth="1"/>
    <col min="9960" max="9960" width="14.85546875" style="2" customWidth="1"/>
    <col min="9961" max="9961" width="7.140625" style="2" customWidth="1"/>
    <col min="9962" max="9963" width="20.140625" style="2" customWidth="1"/>
    <col min="9964" max="9964" width="18.42578125" style="2" customWidth="1"/>
    <col min="9965" max="9965" width="9.140625" style="2" customWidth="1"/>
    <col min="9966" max="9966" width="12" style="2" customWidth="1"/>
    <col min="9967" max="9967" width="14.85546875" style="2" customWidth="1"/>
    <col min="9968" max="9968" width="22.42578125" style="2" customWidth="1"/>
    <col min="9969" max="9969" width="14.85546875" style="2" customWidth="1"/>
    <col min="9970" max="9970" width="7.140625" style="2" customWidth="1"/>
    <col min="9971" max="9971" width="20.140625" style="2" customWidth="1"/>
    <col min="9972" max="10203" width="8.85546875" style="2" customWidth="1"/>
    <col min="10204" max="10204" width="8.140625" style="2" customWidth="1"/>
    <col min="10205" max="10205" width="14.5703125" style="2" customWidth="1"/>
    <col min="10206" max="10206" width="37.42578125" style="2" customWidth="1"/>
    <col min="10207" max="10207" width="63.140625" style="2" customWidth="1"/>
    <col min="10208" max="10208" width="20" style="2" customWidth="1"/>
    <col min="10209" max="10209" width="11.140625" style="2" customWidth="1"/>
    <col min="10210" max="10210" width="10.85546875" style="2" customWidth="1"/>
    <col min="10211" max="10211" width="21" style="2" customWidth="1"/>
    <col min="10212" max="10212" width="10.85546875" style="2" customWidth="1"/>
    <col min="10213" max="10213" width="17.42578125" style="2" customWidth="1"/>
    <col min="10214" max="10214" width="14.85546875" style="2" customWidth="1"/>
    <col min="10215" max="10215" width="15" style="2" customWidth="1"/>
    <col min="10216" max="10216" width="14.85546875" style="2" customWidth="1"/>
    <col min="10217" max="10217" width="7.140625" style="2" customWidth="1"/>
    <col min="10218" max="10219" width="20.140625" style="2" customWidth="1"/>
    <col min="10220" max="10220" width="18.42578125" style="2" customWidth="1"/>
    <col min="10221" max="10221" width="9.140625" style="2" customWidth="1"/>
    <col min="10222" max="10222" width="12" style="2" customWidth="1"/>
    <col min="10223" max="10223" width="14.85546875" style="2" customWidth="1"/>
    <col min="10224" max="10224" width="22.42578125" style="2" customWidth="1"/>
    <col min="10225" max="10225" width="14.85546875" style="2" customWidth="1"/>
    <col min="10226" max="10226" width="7.140625" style="2" customWidth="1"/>
    <col min="10227" max="10227" width="20.140625" style="2" customWidth="1"/>
    <col min="10228" max="10459" width="8.85546875" style="2" customWidth="1"/>
    <col min="10460" max="10460" width="8.140625" style="2" customWidth="1"/>
    <col min="10461" max="10461" width="14.5703125" style="2" customWidth="1"/>
    <col min="10462" max="10462" width="37.42578125" style="2" customWidth="1"/>
    <col min="10463" max="10463" width="63.140625" style="2" customWidth="1"/>
    <col min="10464" max="10464" width="20" style="2" customWidth="1"/>
    <col min="10465" max="10465" width="11.140625" style="2" customWidth="1"/>
    <col min="10466" max="10466" width="10.85546875" style="2" customWidth="1"/>
    <col min="10467" max="10467" width="21" style="2" customWidth="1"/>
    <col min="10468" max="10468" width="10.85546875" style="2" customWidth="1"/>
    <col min="10469" max="10469" width="17.42578125" style="2" customWidth="1"/>
    <col min="10470" max="10470" width="14.85546875" style="2" customWidth="1"/>
    <col min="10471" max="10471" width="15" style="2" customWidth="1"/>
    <col min="10472" max="10472" width="14.85546875" style="2" customWidth="1"/>
    <col min="10473" max="10473" width="7.140625" style="2" customWidth="1"/>
    <col min="10474" max="10475" width="20.140625" style="2" customWidth="1"/>
    <col min="10476" max="10476" width="18.42578125" style="2" customWidth="1"/>
    <col min="10477" max="10477" width="9.140625" style="2" customWidth="1"/>
    <col min="10478" max="10478" width="12" style="2" customWidth="1"/>
    <col min="10479" max="10479" width="14.85546875" style="2" customWidth="1"/>
    <col min="10480" max="10480" width="22.42578125" style="2" customWidth="1"/>
    <col min="10481" max="10481" width="14.85546875" style="2" customWidth="1"/>
    <col min="10482" max="10482" width="7.140625" style="2" customWidth="1"/>
    <col min="10483" max="10483" width="20.140625" style="2" customWidth="1"/>
    <col min="10484" max="10715" width="8.85546875" style="2" customWidth="1"/>
    <col min="10716" max="10716" width="8.140625" style="2" customWidth="1"/>
    <col min="10717" max="10717" width="14.5703125" style="2" customWidth="1"/>
    <col min="10718" max="10718" width="37.42578125" style="2" customWidth="1"/>
    <col min="10719" max="10719" width="63.140625" style="2" customWidth="1"/>
    <col min="10720" max="10720" width="20" style="2" customWidth="1"/>
    <col min="10721" max="10721" width="11.140625" style="2" customWidth="1"/>
    <col min="10722" max="10722" width="10.85546875" style="2" customWidth="1"/>
    <col min="10723" max="10723" width="21" style="2" customWidth="1"/>
    <col min="10724" max="10724" width="10.85546875" style="2" customWidth="1"/>
    <col min="10725" max="10725" width="17.42578125" style="2" customWidth="1"/>
    <col min="10726" max="10726" width="14.85546875" style="2" customWidth="1"/>
    <col min="10727" max="10727" width="15" style="2" customWidth="1"/>
    <col min="10728" max="10728" width="14.85546875" style="2" customWidth="1"/>
    <col min="10729" max="10729" width="7.140625" style="2" customWidth="1"/>
    <col min="10730" max="10731" width="20.140625" style="2" customWidth="1"/>
    <col min="10732" max="10732" width="18.42578125" style="2" customWidth="1"/>
    <col min="10733" max="10733" width="9.140625" style="2" customWidth="1"/>
    <col min="10734" max="10734" width="12" style="2" customWidth="1"/>
    <col min="10735" max="10735" width="14.85546875" style="2" customWidth="1"/>
    <col min="10736" max="10736" width="22.42578125" style="2" customWidth="1"/>
    <col min="10737" max="10737" width="14.85546875" style="2" customWidth="1"/>
    <col min="10738" max="10738" width="7.140625" style="2" customWidth="1"/>
    <col min="10739" max="10739" width="20.140625" style="2" customWidth="1"/>
    <col min="10740" max="10971" width="8.85546875" style="2" customWidth="1"/>
    <col min="10972" max="10972" width="8.140625" style="2" customWidth="1"/>
    <col min="10973" max="10973" width="14.5703125" style="2" customWidth="1"/>
    <col min="10974" max="10974" width="37.42578125" style="2" customWidth="1"/>
    <col min="10975" max="10975" width="63.140625" style="2" customWidth="1"/>
    <col min="10976" max="10976" width="20" style="2" customWidth="1"/>
    <col min="10977" max="10977" width="11.140625" style="2" customWidth="1"/>
    <col min="10978" max="10978" width="10.85546875" style="2" customWidth="1"/>
    <col min="10979" max="10979" width="21" style="2" customWidth="1"/>
    <col min="10980" max="10980" width="10.85546875" style="2" customWidth="1"/>
    <col min="10981" max="10981" width="17.42578125" style="2" customWidth="1"/>
    <col min="10982" max="10982" width="14.85546875" style="2" customWidth="1"/>
    <col min="10983" max="10983" width="15" style="2" customWidth="1"/>
    <col min="10984" max="10984" width="14.85546875" style="2" customWidth="1"/>
    <col min="10985" max="10985" width="7.140625" style="2" customWidth="1"/>
    <col min="10986" max="10987" width="20.140625" style="2" customWidth="1"/>
    <col min="10988" max="10988" width="18.42578125" style="2" customWidth="1"/>
    <col min="10989" max="10989" width="9.140625" style="2" customWidth="1"/>
    <col min="10990" max="10990" width="12" style="2" customWidth="1"/>
    <col min="10991" max="10991" width="14.85546875" style="2" customWidth="1"/>
    <col min="10992" max="10992" width="22.42578125" style="2" customWidth="1"/>
    <col min="10993" max="10993" width="14.85546875" style="2" customWidth="1"/>
    <col min="10994" max="10994" width="7.140625" style="2" customWidth="1"/>
    <col min="10995" max="10995" width="20.140625" style="2" customWidth="1"/>
    <col min="10996" max="11227" width="8.85546875" style="2" customWidth="1"/>
    <col min="11228" max="11228" width="8.140625" style="2" customWidth="1"/>
    <col min="11229" max="11229" width="14.5703125" style="2" customWidth="1"/>
    <col min="11230" max="11230" width="37.42578125" style="2" customWidth="1"/>
    <col min="11231" max="11231" width="63.140625" style="2" customWidth="1"/>
    <col min="11232" max="11232" width="20" style="2" customWidth="1"/>
    <col min="11233" max="11233" width="11.140625" style="2" customWidth="1"/>
    <col min="11234" max="11234" width="10.85546875" style="2" customWidth="1"/>
    <col min="11235" max="11235" width="21" style="2" customWidth="1"/>
    <col min="11236" max="11236" width="10.85546875" style="2" customWidth="1"/>
    <col min="11237" max="11237" width="17.42578125" style="2" customWidth="1"/>
    <col min="11238" max="11238" width="14.85546875" style="2" customWidth="1"/>
    <col min="11239" max="11239" width="15" style="2" customWidth="1"/>
    <col min="11240" max="11240" width="14.85546875" style="2" customWidth="1"/>
    <col min="11241" max="11241" width="7.140625" style="2" customWidth="1"/>
    <col min="11242" max="11243" width="20.140625" style="2" customWidth="1"/>
    <col min="11244" max="11244" width="18.42578125" style="2" customWidth="1"/>
    <col min="11245" max="11245" width="9.140625" style="2" customWidth="1"/>
    <col min="11246" max="11246" width="12" style="2" customWidth="1"/>
    <col min="11247" max="11247" width="14.85546875" style="2" customWidth="1"/>
    <col min="11248" max="11248" width="22.42578125" style="2" customWidth="1"/>
    <col min="11249" max="11249" width="14.85546875" style="2" customWidth="1"/>
    <col min="11250" max="11250" width="7.140625" style="2" customWidth="1"/>
    <col min="11251" max="11251" width="20.140625" style="2" customWidth="1"/>
    <col min="11252" max="11483" width="8.85546875" style="2" customWidth="1"/>
    <col min="11484" max="11484" width="8.140625" style="2" customWidth="1"/>
    <col min="11485" max="11485" width="14.5703125" style="2" customWidth="1"/>
    <col min="11486" max="11486" width="37.42578125" style="2" customWidth="1"/>
    <col min="11487" max="11487" width="63.140625" style="2" customWidth="1"/>
    <col min="11488" max="11488" width="20" style="2" customWidth="1"/>
    <col min="11489" max="11489" width="11.140625" style="2" customWidth="1"/>
    <col min="11490" max="11490" width="10.85546875" style="2" customWidth="1"/>
    <col min="11491" max="11491" width="21" style="2" customWidth="1"/>
    <col min="11492" max="11492" width="10.85546875" style="2" customWidth="1"/>
    <col min="11493" max="11493" width="17.42578125" style="2" customWidth="1"/>
    <col min="11494" max="11494" width="14.85546875" style="2" customWidth="1"/>
    <col min="11495" max="11495" width="15" style="2" customWidth="1"/>
    <col min="11496" max="11496" width="14.85546875" style="2" customWidth="1"/>
    <col min="11497" max="11497" width="7.140625" style="2" customWidth="1"/>
    <col min="11498" max="11499" width="20.140625" style="2" customWidth="1"/>
    <col min="11500" max="11500" width="18.42578125" style="2" customWidth="1"/>
    <col min="11501" max="11501" width="9.140625" style="2" customWidth="1"/>
    <col min="11502" max="11502" width="12" style="2" customWidth="1"/>
    <col min="11503" max="11503" width="14.85546875" style="2" customWidth="1"/>
    <col min="11504" max="11504" width="22.42578125" style="2" customWidth="1"/>
    <col min="11505" max="11505" width="14.85546875" style="2" customWidth="1"/>
    <col min="11506" max="11506" width="7.140625" style="2" customWidth="1"/>
    <col min="11507" max="11507" width="20.140625" style="2" customWidth="1"/>
    <col min="11508" max="11739" width="8.85546875" style="2" customWidth="1"/>
    <col min="11740" max="11740" width="8.140625" style="2" customWidth="1"/>
    <col min="11741" max="11741" width="14.5703125" style="2" customWidth="1"/>
    <col min="11742" max="11742" width="37.42578125" style="2" customWidth="1"/>
    <col min="11743" max="11743" width="63.140625" style="2" customWidth="1"/>
    <col min="11744" max="11744" width="20" style="2" customWidth="1"/>
    <col min="11745" max="11745" width="11.140625" style="2" customWidth="1"/>
    <col min="11746" max="11746" width="10.85546875" style="2" customWidth="1"/>
    <col min="11747" max="11747" width="21" style="2" customWidth="1"/>
    <col min="11748" max="11748" width="10.85546875" style="2" customWidth="1"/>
    <col min="11749" max="11749" width="17.42578125" style="2" customWidth="1"/>
    <col min="11750" max="11750" width="14.85546875" style="2" customWidth="1"/>
    <col min="11751" max="11751" width="15" style="2" customWidth="1"/>
    <col min="11752" max="11752" width="14.85546875" style="2" customWidth="1"/>
    <col min="11753" max="11753" width="7.140625" style="2" customWidth="1"/>
    <col min="11754" max="11755" width="20.140625" style="2" customWidth="1"/>
    <col min="11756" max="11756" width="18.42578125" style="2" customWidth="1"/>
    <col min="11757" max="11757" width="9.140625" style="2" customWidth="1"/>
    <col min="11758" max="11758" width="12" style="2" customWidth="1"/>
    <col min="11759" max="11759" width="14.85546875" style="2" customWidth="1"/>
    <col min="11760" max="11760" width="22.42578125" style="2" customWidth="1"/>
    <col min="11761" max="11761" width="14.85546875" style="2" customWidth="1"/>
    <col min="11762" max="11762" width="7.140625" style="2" customWidth="1"/>
    <col min="11763" max="11763" width="20.140625" style="2" customWidth="1"/>
    <col min="11764" max="11995" width="8.85546875" style="2" customWidth="1"/>
    <col min="11996" max="11996" width="8.140625" style="2" customWidth="1"/>
    <col min="11997" max="11997" width="14.5703125" style="2" customWidth="1"/>
    <col min="11998" max="11998" width="37.42578125" style="2" customWidth="1"/>
    <col min="11999" max="11999" width="63.140625" style="2" customWidth="1"/>
    <col min="12000" max="12000" width="20" style="2" customWidth="1"/>
    <col min="12001" max="12001" width="11.140625" style="2" customWidth="1"/>
    <col min="12002" max="12002" width="10.85546875" style="2" customWidth="1"/>
    <col min="12003" max="12003" width="21" style="2" customWidth="1"/>
    <col min="12004" max="12004" width="10.85546875" style="2" customWidth="1"/>
    <col min="12005" max="12005" width="17.42578125" style="2" customWidth="1"/>
    <col min="12006" max="12006" width="14.85546875" style="2" customWidth="1"/>
    <col min="12007" max="12007" width="15" style="2" customWidth="1"/>
    <col min="12008" max="12008" width="14.85546875" style="2" customWidth="1"/>
    <col min="12009" max="12009" width="7.140625" style="2" customWidth="1"/>
    <col min="12010" max="12011" width="20.140625" style="2" customWidth="1"/>
    <col min="12012" max="12012" width="18.42578125" style="2" customWidth="1"/>
    <col min="12013" max="12013" width="9.140625" style="2" customWidth="1"/>
    <col min="12014" max="12014" width="12" style="2" customWidth="1"/>
    <col min="12015" max="12015" width="14.85546875" style="2" customWidth="1"/>
    <col min="12016" max="12016" width="22.42578125" style="2" customWidth="1"/>
    <col min="12017" max="12017" width="14.85546875" style="2" customWidth="1"/>
    <col min="12018" max="12018" width="7.140625" style="2" customWidth="1"/>
    <col min="12019" max="12019" width="20.140625" style="2" customWidth="1"/>
    <col min="12020" max="12251" width="8.85546875" style="2" customWidth="1"/>
    <col min="12252" max="12252" width="8.140625" style="2" customWidth="1"/>
    <col min="12253" max="12253" width="14.5703125" style="2" customWidth="1"/>
    <col min="12254" max="12254" width="37.42578125" style="2" customWidth="1"/>
    <col min="12255" max="12255" width="63.140625" style="2" customWidth="1"/>
    <col min="12256" max="12256" width="20" style="2" customWidth="1"/>
    <col min="12257" max="12257" width="11.140625" style="2" customWidth="1"/>
    <col min="12258" max="12258" width="10.85546875" style="2" customWidth="1"/>
    <col min="12259" max="12259" width="21" style="2" customWidth="1"/>
    <col min="12260" max="12260" width="10.85546875" style="2" customWidth="1"/>
    <col min="12261" max="12261" width="17.42578125" style="2" customWidth="1"/>
    <col min="12262" max="12262" width="14.85546875" style="2" customWidth="1"/>
    <col min="12263" max="12263" width="15" style="2" customWidth="1"/>
    <col min="12264" max="12264" width="14.85546875" style="2" customWidth="1"/>
    <col min="12265" max="12265" width="7.140625" style="2" customWidth="1"/>
    <col min="12266" max="12267" width="20.140625" style="2" customWidth="1"/>
    <col min="12268" max="12268" width="18.42578125" style="2" customWidth="1"/>
    <col min="12269" max="12269" width="9.140625" style="2" customWidth="1"/>
    <col min="12270" max="12270" width="12" style="2" customWidth="1"/>
    <col min="12271" max="12271" width="14.85546875" style="2" customWidth="1"/>
    <col min="12272" max="12272" width="22.42578125" style="2" customWidth="1"/>
    <col min="12273" max="12273" width="14.85546875" style="2" customWidth="1"/>
    <col min="12274" max="12274" width="7.140625" style="2" customWidth="1"/>
    <col min="12275" max="12275" width="20.140625" style="2" customWidth="1"/>
    <col min="12276" max="12507" width="8.85546875" style="2" customWidth="1"/>
    <col min="12508" max="12508" width="8.140625" style="2" customWidth="1"/>
    <col min="12509" max="12509" width="14.5703125" style="2" customWidth="1"/>
    <col min="12510" max="12510" width="37.42578125" style="2" customWidth="1"/>
    <col min="12511" max="12511" width="63.140625" style="2" customWidth="1"/>
    <col min="12512" max="12512" width="20" style="2" customWidth="1"/>
    <col min="12513" max="12513" width="11.140625" style="2" customWidth="1"/>
    <col min="12514" max="12514" width="10.85546875" style="2" customWidth="1"/>
    <col min="12515" max="12515" width="21" style="2" customWidth="1"/>
    <col min="12516" max="12516" width="10.85546875" style="2" customWidth="1"/>
    <col min="12517" max="12517" width="17.42578125" style="2" customWidth="1"/>
    <col min="12518" max="12518" width="14.85546875" style="2" customWidth="1"/>
    <col min="12519" max="12519" width="15" style="2" customWidth="1"/>
    <col min="12520" max="12520" width="14.85546875" style="2" customWidth="1"/>
    <col min="12521" max="12521" width="7.140625" style="2" customWidth="1"/>
    <col min="12522" max="12523" width="20.140625" style="2" customWidth="1"/>
    <col min="12524" max="12524" width="18.42578125" style="2" customWidth="1"/>
    <col min="12525" max="12525" width="9.140625" style="2" customWidth="1"/>
    <col min="12526" max="12526" width="12" style="2" customWidth="1"/>
    <col min="12527" max="12527" width="14.85546875" style="2" customWidth="1"/>
    <col min="12528" max="12528" width="22.42578125" style="2" customWidth="1"/>
    <col min="12529" max="12529" width="14.85546875" style="2" customWidth="1"/>
    <col min="12530" max="12530" width="7.140625" style="2" customWidth="1"/>
    <col min="12531" max="12531" width="20.140625" style="2" customWidth="1"/>
    <col min="12532" max="12763" width="8.85546875" style="2" customWidth="1"/>
    <col min="12764" max="12764" width="8.140625" style="2" customWidth="1"/>
    <col min="12765" max="12765" width="14.5703125" style="2" customWidth="1"/>
    <col min="12766" max="12766" width="37.42578125" style="2" customWidth="1"/>
    <col min="12767" max="12767" width="63.140625" style="2" customWidth="1"/>
    <col min="12768" max="12768" width="20" style="2" customWidth="1"/>
    <col min="12769" max="12769" width="11.140625" style="2" customWidth="1"/>
    <col min="12770" max="12770" width="10.85546875" style="2" customWidth="1"/>
    <col min="12771" max="12771" width="21" style="2" customWidth="1"/>
    <col min="12772" max="12772" width="10.85546875" style="2" customWidth="1"/>
    <col min="12773" max="12773" width="17.42578125" style="2" customWidth="1"/>
    <col min="12774" max="12774" width="14.85546875" style="2" customWidth="1"/>
    <col min="12775" max="12775" width="15" style="2" customWidth="1"/>
    <col min="12776" max="12776" width="14.85546875" style="2" customWidth="1"/>
    <col min="12777" max="12777" width="7.140625" style="2" customWidth="1"/>
    <col min="12778" max="12779" width="20.140625" style="2" customWidth="1"/>
    <col min="12780" max="12780" width="18.42578125" style="2" customWidth="1"/>
    <col min="12781" max="12781" width="9.140625" style="2" customWidth="1"/>
    <col min="12782" max="12782" width="12" style="2" customWidth="1"/>
    <col min="12783" max="12783" width="14.85546875" style="2" customWidth="1"/>
    <col min="12784" max="12784" width="22.42578125" style="2" customWidth="1"/>
    <col min="12785" max="12785" width="14.85546875" style="2" customWidth="1"/>
    <col min="12786" max="12786" width="7.140625" style="2" customWidth="1"/>
    <col min="12787" max="12787" width="20.140625" style="2" customWidth="1"/>
    <col min="12788" max="13019" width="8.85546875" style="2" customWidth="1"/>
    <col min="13020" max="13020" width="8.140625" style="2" customWidth="1"/>
    <col min="13021" max="13021" width="14.5703125" style="2" customWidth="1"/>
    <col min="13022" max="13022" width="37.42578125" style="2" customWidth="1"/>
    <col min="13023" max="13023" width="63.140625" style="2" customWidth="1"/>
    <col min="13024" max="13024" width="20" style="2" customWidth="1"/>
    <col min="13025" max="13025" width="11.140625" style="2" customWidth="1"/>
    <col min="13026" max="13026" width="10.85546875" style="2" customWidth="1"/>
    <col min="13027" max="13027" width="21" style="2" customWidth="1"/>
    <col min="13028" max="13028" width="10.85546875" style="2" customWidth="1"/>
    <col min="13029" max="13029" width="17.42578125" style="2" customWidth="1"/>
    <col min="13030" max="13030" width="14.85546875" style="2" customWidth="1"/>
    <col min="13031" max="13031" width="15" style="2" customWidth="1"/>
    <col min="13032" max="13032" width="14.85546875" style="2" customWidth="1"/>
    <col min="13033" max="13033" width="7.140625" style="2" customWidth="1"/>
    <col min="13034" max="13035" width="20.140625" style="2" customWidth="1"/>
    <col min="13036" max="13036" width="18.42578125" style="2" customWidth="1"/>
    <col min="13037" max="13037" width="9.140625" style="2" customWidth="1"/>
    <col min="13038" max="13038" width="12" style="2" customWidth="1"/>
    <col min="13039" max="13039" width="14.85546875" style="2" customWidth="1"/>
    <col min="13040" max="13040" width="22.42578125" style="2" customWidth="1"/>
    <col min="13041" max="13041" width="14.85546875" style="2" customWidth="1"/>
    <col min="13042" max="13042" width="7.140625" style="2" customWidth="1"/>
    <col min="13043" max="13043" width="20.140625" style="2" customWidth="1"/>
    <col min="13044" max="13275" width="8.85546875" style="2" customWidth="1"/>
    <col min="13276" max="13276" width="8.140625" style="2" customWidth="1"/>
    <col min="13277" max="13277" width="14.5703125" style="2" customWidth="1"/>
    <col min="13278" max="13278" width="37.42578125" style="2" customWidth="1"/>
    <col min="13279" max="13279" width="63.140625" style="2" customWidth="1"/>
    <col min="13280" max="13280" width="20" style="2" customWidth="1"/>
    <col min="13281" max="13281" width="11.140625" style="2" customWidth="1"/>
    <col min="13282" max="13282" width="10.85546875" style="2" customWidth="1"/>
    <col min="13283" max="13283" width="21" style="2" customWidth="1"/>
    <col min="13284" max="13284" width="10.85546875" style="2" customWidth="1"/>
    <col min="13285" max="13285" width="17.42578125" style="2" customWidth="1"/>
    <col min="13286" max="13286" width="14.85546875" style="2" customWidth="1"/>
    <col min="13287" max="13287" width="15" style="2" customWidth="1"/>
    <col min="13288" max="13288" width="14.85546875" style="2" customWidth="1"/>
    <col min="13289" max="13289" width="7.140625" style="2" customWidth="1"/>
    <col min="13290" max="13291" width="20.140625" style="2" customWidth="1"/>
    <col min="13292" max="13292" width="18.42578125" style="2" customWidth="1"/>
    <col min="13293" max="13293" width="9.140625" style="2" customWidth="1"/>
    <col min="13294" max="13294" width="12" style="2" customWidth="1"/>
    <col min="13295" max="13295" width="14.85546875" style="2" customWidth="1"/>
    <col min="13296" max="13296" width="22.42578125" style="2" customWidth="1"/>
    <col min="13297" max="13297" width="14.85546875" style="2" customWidth="1"/>
    <col min="13298" max="13298" width="7.140625" style="2" customWidth="1"/>
    <col min="13299" max="13299" width="20.140625" style="2" customWidth="1"/>
    <col min="13300" max="13531" width="8.85546875" style="2" customWidth="1"/>
    <col min="13532" max="13532" width="8.140625" style="2" customWidth="1"/>
    <col min="13533" max="13533" width="14.5703125" style="2" customWidth="1"/>
    <col min="13534" max="13534" width="37.42578125" style="2" customWidth="1"/>
    <col min="13535" max="13535" width="63.140625" style="2" customWidth="1"/>
    <col min="13536" max="13536" width="20" style="2" customWidth="1"/>
    <col min="13537" max="13537" width="11.140625" style="2" customWidth="1"/>
    <col min="13538" max="13538" width="10.85546875" style="2" customWidth="1"/>
    <col min="13539" max="13539" width="21" style="2" customWidth="1"/>
    <col min="13540" max="13540" width="10.85546875" style="2" customWidth="1"/>
    <col min="13541" max="13541" width="17.42578125" style="2" customWidth="1"/>
    <col min="13542" max="13542" width="14.85546875" style="2" customWidth="1"/>
    <col min="13543" max="13543" width="15" style="2" customWidth="1"/>
    <col min="13544" max="13544" width="14.85546875" style="2" customWidth="1"/>
    <col min="13545" max="13545" width="7.140625" style="2" customWidth="1"/>
    <col min="13546" max="13547" width="20.140625" style="2" customWidth="1"/>
    <col min="13548" max="13548" width="18.42578125" style="2" customWidth="1"/>
    <col min="13549" max="13549" width="9.140625" style="2" customWidth="1"/>
    <col min="13550" max="13550" width="12" style="2" customWidth="1"/>
    <col min="13551" max="13551" width="14.85546875" style="2" customWidth="1"/>
    <col min="13552" max="13552" width="22.42578125" style="2" customWidth="1"/>
    <col min="13553" max="13553" width="14.85546875" style="2" customWidth="1"/>
    <col min="13554" max="13554" width="7.140625" style="2" customWidth="1"/>
    <col min="13555" max="13555" width="20.140625" style="2" customWidth="1"/>
    <col min="13556" max="13787" width="8.85546875" style="2" customWidth="1"/>
    <col min="13788" max="13788" width="8.140625" style="2" customWidth="1"/>
    <col min="13789" max="13789" width="14.5703125" style="2" customWidth="1"/>
    <col min="13790" max="13790" width="37.42578125" style="2" customWidth="1"/>
    <col min="13791" max="13791" width="63.140625" style="2" customWidth="1"/>
    <col min="13792" max="13792" width="20" style="2" customWidth="1"/>
    <col min="13793" max="13793" width="11.140625" style="2" customWidth="1"/>
    <col min="13794" max="13794" width="10.85546875" style="2" customWidth="1"/>
    <col min="13795" max="13795" width="21" style="2" customWidth="1"/>
    <col min="13796" max="13796" width="10.85546875" style="2" customWidth="1"/>
    <col min="13797" max="13797" width="17.42578125" style="2" customWidth="1"/>
    <col min="13798" max="13798" width="14.85546875" style="2" customWidth="1"/>
    <col min="13799" max="13799" width="15" style="2" customWidth="1"/>
    <col min="13800" max="13800" width="14.85546875" style="2" customWidth="1"/>
    <col min="13801" max="13801" width="7.140625" style="2" customWidth="1"/>
    <col min="13802" max="13803" width="20.140625" style="2" customWidth="1"/>
    <col min="13804" max="13804" width="18.42578125" style="2" customWidth="1"/>
    <col min="13805" max="13805" width="9.140625" style="2" customWidth="1"/>
    <col min="13806" max="13806" width="12" style="2" customWidth="1"/>
    <col min="13807" max="13807" width="14.85546875" style="2" customWidth="1"/>
    <col min="13808" max="13808" width="22.42578125" style="2" customWidth="1"/>
    <col min="13809" max="13809" width="14.85546875" style="2" customWidth="1"/>
    <col min="13810" max="13810" width="7.140625" style="2" customWidth="1"/>
    <col min="13811" max="13811" width="20.140625" style="2" customWidth="1"/>
    <col min="13812" max="14043" width="8.85546875" style="2" customWidth="1"/>
    <col min="14044" max="14044" width="8.140625" style="2" customWidth="1"/>
    <col min="14045" max="14045" width="14.5703125" style="2" customWidth="1"/>
    <col min="14046" max="14046" width="37.42578125" style="2" customWidth="1"/>
    <col min="14047" max="14047" width="63.140625" style="2" customWidth="1"/>
    <col min="14048" max="14048" width="20" style="2" customWidth="1"/>
    <col min="14049" max="14049" width="11.140625" style="2" customWidth="1"/>
    <col min="14050" max="14050" width="10.85546875" style="2" customWidth="1"/>
    <col min="14051" max="14051" width="21" style="2" customWidth="1"/>
    <col min="14052" max="14052" width="10.85546875" style="2" customWidth="1"/>
    <col min="14053" max="14053" width="17.42578125" style="2" customWidth="1"/>
    <col min="14054" max="14054" width="14.85546875" style="2" customWidth="1"/>
    <col min="14055" max="14055" width="15" style="2" customWidth="1"/>
    <col min="14056" max="14056" width="14.85546875" style="2" customWidth="1"/>
    <col min="14057" max="14057" width="7.140625" style="2" customWidth="1"/>
    <col min="14058" max="14059" width="20.140625" style="2" customWidth="1"/>
    <col min="14060" max="14060" width="18.42578125" style="2" customWidth="1"/>
    <col min="14061" max="14061" width="9.140625" style="2" customWidth="1"/>
    <col min="14062" max="14062" width="12" style="2" customWidth="1"/>
    <col min="14063" max="14063" width="14.85546875" style="2" customWidth="1"/>
    <col min="14064" max="14064" width="22.42578125" style="2" customWidth="1"/>
    <col min="14065" max="14065" width="14.85546875" style="2" customWidth="1"/>
    <col min="14066" max="14066" width="7.140625" style="2" customWidth="1"/>
    <col min="14067" max="14067" width="20.140625" style="2" customWidth="1"/>
    <col min="14068" max="14299" width="8.85546875" style="2" customWidth="1"/>
    <col min="14300" max="14300" width="8.140625" style="2" customWidth="1"/>
    <col min="14301" max="14301" width="14.5703125" style="2" customWidth="1"/>
    <col min="14302" max="14302" width="37.42578125" style="2" customWidth="1"/>
    <col min="14303" max="14303" width="63.140625" style="2" customWidth="1"/>
    <col min="14304" max="14304" width="20" style="2" customWidth="1"/>
    <col min="14305" max="14305" width="11.140625" style="2" customWidth="1"/>
    <col min="14306" max="14306" width="10.85546875" style="2" customWidth="1"/>
    <col min="14307" max="14307" width="21" style="2" customWidth="1"/>
    <col min="14308" max="14308" width="10.85546875" style="2" customWidth="1"/>
    <col min="14309" max="14309" width="17.42578125" style="2" customWidth="1"/>
    <col min="14310" max="14310" width="14.85546875" style="2" customWidth="1"/>
    <col min="14311" max="14311" width="15" style="2" customWidth="1"/>
    <col min="14312" max="14312" width="14.85546875" style="2" customWidth="1"/>
    <col min="14313" max="14313" width="7.140625" style="2" customWidth="1"/>
    <col min="14314" max="14315" width="20.140625" style="2" customWidth="1"/>
    <col min="14316" max="14316" width="18.42578125" style="2" customWidth="1"/>
    <col min="14317" max="14317" width="9.140625" style="2" customWidth="1"/>
    <col min="14318" max="14318" width="12" style="2" customWidth="1"/>
    <col min="14319" max="14319" width="14.85546875" style="2" customWidth="1"/>
    <col min="14320" max="14320" width="22.42578125" style="2" customWidth="1"/>
    <col min="14321" max="14321" width="14.85546875" style="2" customWidth="1"/>
    <col min="14322" max="14322" width="7.140625" style="2" customWidth="1"/>
    <col min="14323" max="14323" width="20.140625" style="2" customWidth="1"/>
    <col min="14324" max="14555" width="8.85546875" style="2" customWidth="1"/>
    <col min="14556" max="14556" width="8.140625" style="2" customWidth="1"/>
    <col min="14557" max="14557" width="14.5703125" style="2" customWidth="1"/>
    <col min="14558" max="14558" width="37.42578125" style="2" customWidth="1"/>
    <col min="14559" max="14559" width="63.140625" style="2" customWidth="1"/>
    <col min="14560" max="14560" width="20" style="2" customWidth="1"/>
    <col min="14561" max="14561" width="11.140625" style="2" customWidth="1"/>
    <col min="14562" max="14562" width="10.85546875" style="2" customWidth="1"/>
    <col min="14563" max="14563" width="21" style="2" customWidth="1"/>
    <col min="14564" max="14564" width="10.85546875" style="2" customWidth="1"/>
    <col min="14565" max="14565" width="17.42578125" style="2" customWidth="1"/>
    <col min="14566" max="14566" width="14.85546875" style="2" customWidth="1"/>
    <col min="14567" max="14567" width="15" style="2" customWidth="1"/>
    <col min="14568" max="14568" width="14.85546875" style="2" customWidth="1"/>
    <col min="14569" max="14569" width="7.140625" style="2" customWidth="1"/>
    <col min="14570" max="14571" width="20.140625" style="2" customWidth="1"/>
    <col min="14572" max="14572" width="18.42578125" style="2" customWidth="1"/>
    <col min="14573" max="14573" width="9.140625" style="2" customWidth="1"/>
    <col min="14574" max="14574" width="12" style="2" customWidth="1"/>
    <col min="14575" max="14575" width="14.85546875" style="2" customWidth="1"/>
    <col min="14576" max="14576" width="22.42578125" style="2" customWidth="1"/>
    <col min="14577" max="14577" width="14.85546875" style="2" customWidth="1"/>
    <col min="14578" max="14578" width="7.140625" style="2" customWidth="1"/>
    <col min="14579" max="14579" width="20.140625" style="2" customWidth="1"/>
    <col min="14580" max="14811" width="8.85546875" style="2" customWidth="1"/>
    <col min="14812" max="14812" width="8.140625" style="2" customWidth="1"/>
    <col min="14813" max="14813" width="14.5703125" style="2" customWidth="1"/>
    <col min="14814" max="14814" width="37.42578125" style="2" customWidth="1"/>
    <col min="14815" max="14815" width="63.140625" style="2" customWidth="1"/>
    <col min="14816" max="14816" width="20" style="2" customWidth="1"/>
    <col min="14817" max="14817" width="11.140625" style="2" customWidth="1"/>
    <col min="14818" max="14818" width="10.85546875" style="2" customWidth="1"/>
    <col min="14819" max="14819" width="21" style="2" customWidth="1"/>
    <col min="14820" max="14820" width="10.85546875" style="2" customWidth="1"/>
    <col min="14821" max="14821" width="17.42578125" style="2" customWidth="1"/>
    <col min="14822" max="14822" width="14.85546875" style="2" customWidth="1"/>
    <col min="14823" max="14823" width="15" style="2" customWidth="1"/>
    <col min="14824" max="14824" width="14.85546875" style="2" customWidth="1"/>
    <col min="14825" max="14825" width="7.140625" style="2" customWidth="1"/>
    <col min="14826" max="14827" width="20.140625" style="2" customWidth="1"/>
    <col min="14828" max="14828" width="18.42578125" style="2" customWidth="1"/>
    <col min="14829" max="14829" width="9.140625" style="2" customWidth="1"/>
    <col min="14830" max="14830" width="12" style="2" customWidth="1"/>
    <col min="14831" max="14831" width="14.85546875" style="2" customWidth="1"/>
    <col min="14832" max="14832" width="22.42578125" style="2" customWidth="1"/>
    <col min="14833" max="14833" width="14.85546875" style="2" customWidth="1"/>
    <col min="14834" max="14834" width="7.140625" style="2" customWidth="1"/>
    <col min="14835" max="14835" width="20.140625" style="2" customWidth="1"/>
    <col min="14836" max="15067" width="8.85546875" style="2" customWidth="1"/>
    <col min="15068" max="15068" width="8.140625" style="2" customWidth="1"/>
    <col min="15069" max="15069" width="14.5703125" style="2" customWidth="1"/>
    <col min="15070" max="15070" width="37.42578125" style="2" customWidth="1"/>
    <col min="15071" max="15071" width="63.140625" style="2" customWidth="1"/>
    <col min="15072" max="15072" width="20" style="2" customWidth="1"/>
    <col min="15073" max="15073" width="11.140625" style="2" customWidth="1"/>
    <col min="15074" max="15074" width="10.85546875" style="2" customWidth="1"/>
    <col min="15075" max="15075" width="21" style="2" customWidth="1"/>
    <col min="15076" max="15076" width="10.85546875" style="2" customWidth="1"/>
    <col min="15077" max="15077" width="17.42578125" style="2" customWidth="1"/>
    <col min="15078" max="15078" width="14.85546875" style="2" customWidth="1"/>
    <col min="15079" max="15079" width="15" style="2" customWidth="1"/>
    <col min="15080" max="15080" width="14.85546875" style="2" customWidth="1"/>
    <col min="15081" max="15081" width="7.140625" style="2" customWidth="1"/>
    <col min="15082" max="15083" width="20.140625" style="2" customWidth="1"/>
    <col min="15084" max="15084" width="18.42578125" style="2" customWidth="1"/>
    <col min="15085" max="15085" width="9.140625" style="2" customWidth="1"/>
    <col min="15086" max="15086" width="12" style="2" customWidth="1"/>
    <col min="15087" max="15087" width="14.85546875" style="2" customWidth="1"/>
    <col min="15088" max="15088" width="22.42578125" style="2" customWidth="1"/>
    <col min="15089" max="15089" width="14.85546875" style="2" customWidth="1"/>
    <col min="15090" max="15090" width="7.140625" style="2" customWidth="1"/>
    <col min="15091" max="15091" width="20.140625" style="2" customWidth="1"/>
    <col min="15092" max="15323" width="8.85546875" style="2" customWidth="1"/>
    <col min="15324" max="15324" width="8.140625" style="2" customWidth="1"/>
    <col min="15325" max="15325" width="14.5703125" style="2" customWidth="1"/>
    <col min="15326" max="15326" width="37.42578125" style="2" customWidth="1"/>
    <col min="15327" max="15327" width="63.140625" style="2" customWidth="1"/>
    <col min="15328" max="15328" width="20" style="2" customWidth="1"/>
    <col min="15329" max="15329" width="11.140625" style="2" customWidth="1"/>
    <col min="15330" max="15330" width="10.85546875" style="2" customWidth="1"/>
    <col min="15331" max="15331" width="21" style="2" customWidth="1"/>
    <col min="15332" max="15332" width="10.85546875" style="2" customWidth="1"/>
    <col min="15333" max="15333" width="17.42578125" style="2" customWidth="1"/>
    <col min="15334" max="15334" width="14.85546875" style="2" customWidth="1"/>
    <col min="15335" max="15335" width="15" style="2" customWidth="1"/>
    <col min="15336" max="15336" width="14.85546875" style="2" customWidth="1"/>
    <col min="15337" max="15337" width="7.140625" style="2" customWidth="1"/>
    <col min="15338" max="15339" width="20.140625" style="2" customWidth="1"/>
    <col min="15340" max="15340" width="18.42578125" style="2" customWidth="1"/>
    <col min="15341" max="15341" width="9.140625" style="2" customWidth="1"/>
    <col min="15342" max="15342" width="12" style="2" customWidth="1"/>
    <col min="15343" max="15343" width="14.85546875" style="2" customWidth="1"/>
    <col min="15344" max="15344" width="22.42578125" style="2" customWidth="1"/>
    <col min="15345" max="15345" width="14.85546875" style="2" customWidth="1"/>
    <col min="15346" max="15346" width="7.140625" style="2" customWidth="1"/>
    <col min="15347" max="15347" width="20.140625" style="2" customWidth="1"/>
    <col min="15348" max="15579" width="8.85546875" style="2" customWidth="1"/>
    <col min="15580" max="15580" width="8.140625" style="2" customWidth="1"/>
    <col min="15581" max="15581" width="14.5703125" style="2" customWidth="1"/>
    <col min="15582" max="15582" width="37.42578125" style="2" customWidth="1"/>
    <col min="15583" max="15583" width="63.140625" style="2" customWidth="1"/>
    <col min="15584" max="15584" width="20" style="2" customWidth="1"/>
    <col min="15585" max="15585" width="11.140625" style="2" customWidth="1"/>
    <col min="15586" max="15586" width="10.85546875" style="2" customWidth="1"/>
    <col min="15587" max="15587" width="21" style="2" customWidth="1"/>
    <col min="15588" max="15588" width="10.85546875" style="2" customWidth="1"/>
    <col min="15589" max="15589" width="17.42578125" style="2" customWidth="1"/>
    <col min="15590" max="15590" width="14.85546875" style="2" customWidth="1"/>
    <col min="15591" max="15591" width="15" style="2" customWidth="1"/>
    <col min="15592" max="15592" width="14.85546875" style="2" customWidth="1"/>
    <col min="15593" max="15593" width="7.140625" style="2" customWidth="1"/>
    <col min="15594" max="15595" width="20.140625" style="2" customWidth="1"/>
    <col min="15596" max="15596" width="18.42578125" style="2" customWidth="1"/>
    <col min="15597" max="15597" width="9.140625" style="2" customWidth="1"/>
    <col min="15598" max="15598" width="12" style="2" customWidth="1"/>
    <col min="15599" max="15599" width="14.85546875" style="2" customWidth="1"/>
    <col min="15600" max="15600" width="22.42578125" style="2" customWidth="1"/>
    <col min="15601" max="15601" width="14.85546875" style="2" customWidth="1"/>
    <col min="15602" max="15602" width="7.140625" style="2" customWidth="1"/>
    <col min="15603" max="15603" width="20.140625" style="2" customWidth="1"/>
    <col min="15604" max="15835" width="8.85546875" style="2" customWidth="1"/>
    <col min="15836" max="15836" width="8.140625" style="2" customWidth="1"/>
    <col min="15837" max="15837" width="14.5703125" style="2" customWidth="1"/>
    <col min="15838" max="15838" width="37.42578125" style="2" customWidth="1"/>
    <col min="15839" max="15839" width="63.140625" style="2" customWidth="1"/>
    <col min="15840" max="15840" width="20" style="2" customWidth="1"/>
    <col min="15841" max="15841" width="11.140625" style="2" customWidth="1"/>
    <col min="15842" max="15842" width="10.85546875" style="2" customWidth="1"/>
    <col min="15843" max="15843" width="21" style="2" customWidth="1"/>
    <col min="15844" max="15844" width="10.85546875" style="2" customWidth="1"/>
    <col min="15845" max="15845" width="17.42578125" style="2" customWidth="1"/>
    <col min="15846" max="15846" width="14.85546875" style="2" customWidth="1"/>
    <col min="15847" max="15847" width="15" style="2" customWidth="1"/>
    <col min="15848" max="15848" width="14.85546875" style="2" customWidth="1"/>
    <col min="15849" max="15849" width="7.140625" style="2" customWidth="1"/>
    <col min="15850" max="15851" width="20.140625" style="2" customWidth="1"/>
    <col min="15852" max="15852" width="18.42578125" style="2" customWidth="1"/>
    <col min="15853" max="15853" width="9.140625" style="2" customWidth="1"/>
    <col min="15854" max="15854" width="12" style="2" customWidth="1"/>
    <col min="15855" max="15855" width="14.85546875" style="2" customWidth="1"/>
    <col min="15856" max="15856" width="22.42578125" style="2" customWidth="1"/>
    <col min="15857" max="15857" width="14.85546875" style="2" customWidth="1"/>
    <col min="15858" max="15858" width="7.140625" style="2" customWidth="1"/>
    <col min="15859" max="15859" width="20.140625" style="2" customWidth="1"/>
    <col min="15860" max="16091" width="8.85546875" style="2" customWidth="1"/>
    <col min="16092" max="16092" width="8.140625" style="2" customWidth="1"/>
    <col min="16093" max="16093" width="14.5703125" style="2" customWidth="1"/>
    <col min="16094" max="16094" width="37.42578125" style="2" customWidth="1"/>
    <col min="16095" max="16095" width="63.140625" style="2" customWidth="1"/>
    <col min="16096" max="16096" width="20" style="2" customWidth="1"/>
    <col min="16097" max="16097" width="11.140625" style="2" customWidth="1"/>
    <col min="16098" max="16098" width="10.85546875" style="2" customWidth="1"/>
    <col min="16099" max="16099" width="21" style="2" customWidth="1"/>
    <col min="16100" max="16100" width="10.85546875" style="2" customWidth="1"/>
    <col min="16101" max="16101" width="17.42578125" style="2" customWidth="1"/>
    <col min="16102" max="16102" width="14.85546875" style="2" customWidth="1"/>
    <col min="16103" max="16103" width="15" style="2" customWidth="1"/>
    <col min="16104" max="16104" width="14.85546875" style="2" customWidth="1"/>
    <col min="16105" max="16105" width="7.140625" style="2" customWidth="1"/>
    <col min="16106" max="16107" width="20.140625" style="2" customWidth="1"/>
    <col min="16108" max="16108" width="18.42578125" style="2" customWidth="1"/>
    <col min="16109" max="16109" width="9.140625" style="2" customWidth="1"/>
    <col min="16110" max="16110" width="12" style="2" customWidth="1"/>
    <col min="16111" max="16111" width="14.85546875" style="2" customWidth="1"/>
    <col min="16112" max="16112" width="22.42578125" style="2" customWidth="1"/>
    <col min="16113" max="16113" width="14.85546875" style="2" customWidth="1"/>
    <col min="16114" max="16114" width="7.140625" style="2" customWidth="1"/>
    <col min="16115" max="16115" width="20.140625" style="2" customWidth="1"/>
    <col min="16116" max="16384" width="8.85546875" style="2" customWidth="1"/>
  </cols>
  <sheetData>
    <row r="1" spans="1:21" ht="14.1" customHeight="1">
      <c r="A1" s="1" t="s">
        <v>1693</v>
      </c>
      <c r="B1" s="2"/>
      <c r="C1" s="2"/>
      <c r="D1" s="2"/>
      <c r="F1" s="2"/>
      <c r="H1" s="2"/>
      <c r="J1" s="2"/>
      <c r="K1" s="2"/>
      <c r="L1" s="2"/>
      <c r="M1" s="2"/>
      <c r="N1" s="2"/>
      <c r="O1" s="2"/>
      <c r="P1" s="2"/>
      <c r="R1" s="10"/>
      <c r="S1" s="2"/>
    </row>
    <row r="2" spans="1:21" s="4" customFormat="1" ht="14.1" customHeight="1">
      <c r="A2" s="4" t="s">
        <v>1694</v>
      </c>
      <c r="E2" s="69"/>
      <c r="Q2" s="2"/>
      <c r="R2" s="336"/>
      <c r="T2" s="2"/>
      <c r="U2" s="2"/>
    </row>
    <row r="3" spans="1:21" s="6" customFormat="1" ht="14.1" customHeight="1">
      <c r="A3" s="3"/>
      <c r="B3" s="16"/>
      <c r="C3" s="16"/>
      <c r="D3" s="23"/>
      <c r="E3" s="16"/>
      <c r="F3" s="23"/>
      <c r="G3" s="15"/>
      <c r="H3" s="25"/>
      <c r="I3" s="2"/>
      <c r="J3" s="25"/>
      <c r="K3" s="25"/>
      <c r="L3" s="25"/>
      <c r="M3" s="25"/>
      <c r="N3" s="25"/>
      <c r="O3" s="25"/>
      <c r="P3" s="25"/>
      <c r="Q3" s="2"/>
      <c r="R3" s="355" t="s">
        <v>2</v>
      </c>
      <c r="S3" s="25"/>
      <c r="T3" s="2"/>
      <c r="U3" s="2"/>
    </row>
    <row r="4" spans="1:21" s="5" customFormat="1" ht="33" customHeight="1">
      <c r="A4" s="21" t="s">
        <v>3</v>
      </c>
      <c r="B4" s="52" t="s">
        <v>4</v>
      </c>
      <c r="C4" s="52" t="s">
        <v>5</v>
      </c>
      <c r="D4" s="21" t="s">
        <v>6</v>
      </c>
      <c r="E4" s="21" t="s">
        <v>7</v>
      </c>
      <c r="F4" s="21" t="s">
        <v>8</v>
      </c>
      <c r="G4" s="21" t="s">
        <v>9</v>
      </c>
      <c r="H4" s="21" t="s">
        <v>10</v>
      </c>
      <c r="I4" s="21" t="s">
        <v>11</v>
      </c>
      <c r="J4" s="21" t="s">
        <v>12</v>
      </c>
      <c r="K4" s="21" t="s">
        <v>13</v>
      </c>
      <c r="L4" s="21" t="s">
        <v>14</v>
      </c>
      <c r="M4" s="21" t="s">
        <v>15</v>
      </c>
      <c r="N4" s="21" t="s">
        <v>16</v>
      </c>
      <c r="O4" s="21" t="s">
        <v>17</v>
      </c>
      <c r="P4" s="21" t="s">
        <v>18</v>
      </c>
      <c r="Q4" s="3"/>
      <c r="R4" s="41" t="s">
        <v>19</v>
      </c>
      <c r="S4" s="148"/>
      <c r="T4" s="42" t="s">
        <v>20</v>
      </c>
      <c r="U4" s="42" t="s">
        <v>21</v>
      </c>
    </row>
    <row r="5" spans="1:21" ht="14.1" customHeight="1">
      <c r="A5" s="7">
        <v>1</v>
      </c>
      <c r="B5" s="14" t="s">
        <v>326</v>
      </c>
      <c r="C5" s="14" t="s">
        <v>1695</v>
      </c>
      <c r="D5" s="7" t="s">
        <v>1627</v>
      </c>
      <c r="E5" s="14" t="s">
        <v>327</v>
      </c>
      <c r="F5" s="7" t="s">
        <v>1696</v>
      </c>
      <c r="G5" s="149" t="s">
        <v>1697</v>
      </c>
      <c r="H5" s="7" t="s">
        <v>689</v>
      </c>
      <c r="I5" s="149" t="s">
        <v>1698</v>
      </c>
      <c r="J5" s="150" t="s">
        <v>123</v>
      </c>
      <c r="K5" s="7" t="s">
        <v>685</v>
      </c>
      <c r="L5" s="7" t="s">
        <v>307</v>
      </c>
      <c r="M5" s="7">
        <v>83024110</v>
      </c>
      <c r="N5" s="7">
        <v>1</v>
      </c>
      <c r="O5" s="7" t="s">
        <v>1699</v>
      </c>
      <c r="P5" s="7"/>
      <c r="R5" s="9">
        <v>2677.059013129071</v>
      </c>
      <c r="S5" s="140"/>
      <c r="T5" s="7" t="s">
        <v>34</v>
      </c>
      <c r="U5" s="7"/>
    </row>
    <row r="6" spans="1:21" ht="14.1" customHeight="1">
      <c r="A6" s="7">
        <v>2</v>
      </c>
      <c r="B6" s="14" t="s">
        <v>326</v>
      </c>
      <c r="C6" s="14" t="s">
        <v>1695</v>
      </c>
      <c r="D6" s="7" t="s">
        <v>1627</v>
      </c>
      <c r="E6" s="14" t="s">
        <v>327</v>
      </c>
      <c r="F6" s="7" t="s">
        <v>1696</v>
      </c>
      <c r="G6" s="149" t="s">
        <v>1700</v>
      </c>
      <c r="H6" s="7" t="s">
        <v>1701</v>
      </c>
      <c r="I6" s="149" t="s">
        <v>1702</v>
      </c>
      <c r="J6" s="150" t="s">
        <v>123</v>
      </c>
      <c r="K6" s="7" t="s">
        <v>810</v>
      </c>
      <c r="L6" s="7" t="s">
        <v>307</v>
      </c>
      <c r="M6" s="7">
        <v>83024110</v>
      </c>
      <c r="N6" s="7">
        <v>1</v>
      </c>
      <c r="O6" s="7" t="s">
        <v>1699</v>
      </c>
      <c r="P6" s="7"/>
      <c r="R6" s="9">
        <v>1611.574322372358</v>
      </c>
      <c r="S6" s="140"/>
      <c r="T6" s="7" t="s">
        <v>34</v>
      </c>
      <c r="U6" s="7"/>
    </row>
    <row r="7" spans="1:21" ht="14.1" customHeight="1">
      <c r="A7" s="7">
        <v>3</v>
      </c>
      <c r="B7" s="14" t="s">
        <v>326</v>
      </c>
      <c r="C7" s="14" t="s">
        <v>1695</v>
      </c>
      <c r="D7" s="7" t="s">
        <v>1627</v>
      </c>
      <c r="E7" s="14" t="s">
        <v>327</v>
      </c>
      <c r="F7" s="7" t="s">
        <v>1696</v>
      </c>
      <c r="G7" s="149" t="s">
        <v>1703</v>
      </c>
      <c r="H7" s="7" t="s">
        <v>1701</v>
      </c>
      <c r="I7" s="149" t="s">
        <v>1704</v>
      </c>
      <c r="J7" s="150" t="s">
        <v>123</v>
      </c>
      <c r="K7" s="7" t="s">
        <v>810</v>
      </c>
      <c r="L7" s="7" t="s">
        <v>307</v>
      </c>
      <c r="M7" s="7">
        <v>83024110</v>
      </c>
      <c r="N7" s="7">
        <v>1</v>
      </c>
      <c r="O7" s="7" t="s">
        <v>1699</v>
      </c>
      <c r="P7" s="7"/>
      <c r="R7" s="9">
        <v>482.44694227228649</v>
      </c>
      <c r="S7" s="140"/>
      <c r="T7" s="7" t="s">
        <v>34</v>
      </c>
      <c r="U7" s="7"/>
    </row>
    <row r="8" spans="1:21" ht="14.1" customHeight="1">
      <c r="A8" s="7">
        <v>4</v>
      </c>
      <c r="B8" s="14" t="s">
        <v>326</v>
      </c>
      <c r="C8" s="14" t="s">
        <v>1695</v>
      </c>
      <c r="D8" s="7" t="s">
        <v>1627</v>
      </c>
      <c r="E8" s="14" t="s">
        <v>327</v>
      </c>
      <c r="F8" s="7" t="s">
        <v>1696</v>
      </c>
      <c r="G8" s="149" t="s">
        <v>1705</v>
      </c>
      <c r="H8" s="7" t="s">
        <v>1701</v>
      </c>
      <c r="I8" s="149" t="s">
        <v>1706</v>
      </c>
      <c r="J8" s="150" t="s">
        <v>123</v>
      </c>
      <c r="K8" s="7" t="s">
        <v>810</v>
      </c>
      <c r="L8" s="7" t="s">
        <v>307</v>
      </c>
      <c r="M8" s="7">
        <v>83024110</v>
      </c>
      <c r="N8" s="7">
        <v>1</v>
      </c>
      <c r="O8" s="7" t="s">
        <v>1699</v>
      </c>
      <c r="P8" s="7"/>
      <c r="R8" s="9">
        <v>405.24482439383002</v>
      </c>
      <c r="S8" s="140"/>
      <c r="T8" s="7" t="s">
        <v>34</v>
      </c>
      <c r="U8" s="7"/>
    </row>
    <row r="9" spans="1:21" ht="14.1" customHeight="1">
      <c r="A9" s="7">
        <v>5</v>
      </c>
      <c r="B9" s="14" t="s">
        <v>326</v>
      </c>
      <c r="C9" s="14" t="s">
        <v>1695</v>
      </c>
      <c r="D9" s="7" t="s">
        <v>1627</v>
      </c>
      <c r="E9" s="14" t="s">
        <v>327</v>
      </c>
      <c r="F9" s="7" t="s">
        <v>1696</v>
      </c>
      <c r="G9" s="149" t="s">
        <v>1707</v>
      </c>
      <c r="H9" s="7" t="s">
        <v>1701</v>
      </c>
      <c r="I9" s="149" t="s">
        <v>1708</v>
      </c>
      <c r="J9" s="150" t="s">
        <v>123</v>
      </c>
      <c r="K9" s="7" t="s">
        <v>810</v>
      </c>
      <c r="L9" s="7" t="s">
        <v>307</v>
      </c>
      <c r="M9" s="7">
        <v>83024110</v>
      </c>
      <c r="N9" s="7">
        <v>1</v>
      </c>
      <c r="O9" s="7" t="s">
        <v>1699</v>
      </c>
      <c r="P9" s="7"/>
      <c r="R9" s="9">
        <v>6735.0391249370432</v>
      </c>
      <c r="S9" s="140"/>
      <c r="T9" s="7" t="s">
        <v>34</v>
      </c>
      <c r="U9" s="7"/>
    </row>
    <row r="10" spans="1:21" ht="14.1" customHeight="1">
      <c r="A10" s="7">
        <v>6</v>
      </c>
      <c r="B10" s="14" t="s">
        <v>326</v>
      </c>
      <c r="C10" s="14" t="s">
        <v>1695</v>
      </c>
      <c r="D10" s="7" t="s">
        <v>1627</v>
      </c>
      <c r="E10" s="14" t="s">
        <v>327</v>
      </c>
      <c r="F10" s="7" t="s">
        <v>1696</v>
      </c>
      <c r="G10" s="149" t="s">
        <v>1709</v>
      </c>
      <c r="H10" s="7" t="s">
        <v>1701</v>
      </c>
      <c r="I10" s="149" t="s">
        <v>1710</v>
      </c>
      <c r="J10" s="150" t="s">
        <v>123</v>
      </c>
      <c r="K10" s="7" t="s">
        <v>810</v>
      </c>
      <c r="L10" s="7" t="s">
        <v>307</v>
      </c>
      <c r="M10" s="7">
        <v>83024110</v>
      </c>
      <c r="N10" s="7">
        <v>1</v>
      </c>
      <c r="O10" s="7" t="s">
        <v>1699</v>
      </c>
      <c r="P10" s="7"/>
      <c r="R10" s="9">
        <v>6735.0391249370432</v>
      </c>
      <c r="S10" s="140"/>
      <c r="T10" s="7" t="s">
        <v>34</v>
      </c>
      <c r="U10" s="7"/>
    </row>
    <row r="11" spans="1:21" ht="14.1" customHeight="1">
      <c r="A11" s="7">
        <v>7</v>
      </c>
      <c r="B11" s="14" t="s">
        <v>326</v>
      </c>
      <c r="C11" s="14" t="s">
        <v>1695</v>
      </c>
      <c r="D11" s="7" t="s">
        <v>1627</v>
      </c>
      <c r="E11" s="14" t="s">
        <v>327</v>
      </c>
      <c r="F11" s="7" t="s">
        <v>1696</v>
      </c>
      <c r="G11" s="149" t="s">
        <v>1711</v>
      </c>
      <c r="H11" s="7" t="s">
        <v>1701</v>
      </c>
      <c r="I11" s="149" t="s">
        <v>1712</v>
      </c>
      <c r="J11" s="150" t="s">
        <v>123</v>
      </c>
      <c r="K11" s="7" t="s">
        <v>810</v>
      </c>
      <c r="L11" s="7" t="s">
        <v>307</v>
      </c>
      <c r="M11" s="7">
        <v>83024110</v>
      </c>
      <c r="N11" s="7">
        <v>1</v>
      </c>
      <c r="O11" s="7" t="s">
        <v>1699</v>
      </c>
      <c r="P11" s="7"/>
      <c r="R11" s="9">
        <v>1776.143503935994</v>
      </c>
      <c r="S11" s="140"/>
      <c r="T11" s="7" t="s">
        <v>34</v>
      </c>
      <c r="U11" s="7"/>
    </row>
    <row r="12" spans="1:21" ht="14.1" customHeight="1">
      <c r="A12" s="7">
        <v>8</v>
      </c>
      <c r="B12" s="14" t="s">
        <v>326</v>
      </c>
      <c r="C12" s="14" t="s">
        <v>1695</v>
      </c>
      <c r="D12" s="7" t="s">
        <v>1627</v>
      </c>
      <c r="E12" s="14" t="s">
        <v>327</v>
      </c>
      <c r="F12" s="7" t="s">
        <v>1696</v>
      </c>
      <c r="G12" s="149" t="s">
        <v>1713</v>
      </c>
      <c r="H12" s="7" t="s">
        <v>1701</v>
      </c>
      <c r="I12" s="149" t="s">
        <v>1714</v>
      </c>
      <c r="J12" s="150" t="s">
        <v>123</v>
      </c>
      <c r="K12" s="7" t="s">
        <v>810</v>
      </c>
      <c r="L12" s="7" t="s">
        <v>307</v>
      </c>
      <c r="M12" s="7">
        <v>83024110</v>
      </c>
      <c r="N12" s="7">
        <v>1</v>
      </c>
      <c r="O12" s="7" t="s">
        <v>1699</v>
      </c>
      <c r="P12" s="7"/>
      <c r="R12" s="9">
        <v>1776.143503935994</v>
      </c>
      <c r="S12" s="140"/>
      <c r="T12" s="7" t="s">
        <v>34</v>
      </c>
      <c r="U12" s="7"/>
    </row>
    <row r="13" spans="1:21" ht="14.1" customHeight="1">
      <c r="A13" s="7">
        <v>9</v>
      </c>
      <c r="B13" s="14" t="s">
        <v>326</v>
      </c>
      <c r="C13" s="14" t="s">
        <v>1695</v>
      </c>
      <c r="D13" s="7" t="s">
        <v>1627</v>
      </c>
      <c r="E13" s="14" t="s">
        <v>327</v>
      </c>
      <c r="F13" s="7" t="s">
        <v>1696</v>
      </c>
      <c r="G13" s="149" t="s">
        <v>1715</v>
      </c>
      <c r="H13" s="7" t="s">
        <v>459</v>
      </c>
      <c r="I13" s="149" t="s">
        <v>1716</v>
      </c>
      <c r="J13" s="150" t="s">
        <v>123</v>
      </c>
      <c r="K13" s="7" t="s">
        <v>810</v>
      </c>
      <c r="L13" s="7" t="s">
        <v>307</v>
      </c>
      <c r="M13" s="7">
        <v>83024110</v>
      </c>
      <c r="N13" s="7">
        <v>1</v>
      </c>
      <c r="O13" s="7" t="s">
        <v>1699</v>
      </c>
      <c r="P13" s="7"/>
      <c r="R13" s="9">
        <v>2580.518427666741</v>
      </c>
      <c r="S13" s="140"/>
      <c r="T13" s="7" t="s">
        <v>34</v>
      </c>
      <c r="U13" s="7"/>
    </row>
    <row r="14" spans="1:21" ht="14.1" customHeight="1">
      <c r="A14" s="7">
        <v>10</v>
      </c>
      <c r="B14" s="14" t="s">
        <v>326</v>
      </c>
      <c r="C14" s="14" t="s">
        <v>1695</v>
      </c>
      <c r="D14" s="7" t="s">
        <v>1627</v>
      </c>
      <c r="E14" s="14" t="s">
        <v>327</v>
      </c>
      <c r="F14" s="7" t="s">
        <v>1696</v>
      </c>
      <c r="G14" s="149" t="s">
        <v>1717</v>
      </c>
      <c r="H14" s="7" t="s">
        <v>1701</v>
      </c>
      <c r="I14" s="149" t="s">
        <v>1718</v>
      </c>
      <c r="J14" s="150" t="s">
        <v>123</v>
      </c>
      <c r="K14" s="7" t="s">
        <v>810</v>
      </c>
      <c r="L14" s="7" t="s">
        <v>307</v>
      </c>
      <c r="M14" s="7">
        <v>83024110</v>
      </c>
      <c r="N14" s="7">
        <v>1</v>
      </c>
      <c r="O14" s="7" t="s">
        <v>1699</v>
      </c>
      <c r="P14" s="7"/>
      <c r="R14" s="9">
        <v>352.15130327238489</v>
      </c>
      <c r="S14" s="140"/>
      <c r="T14" s="7" t="s">
        <v>34</v>
      </c>
      <c r="U14" s="7"/>
    </row>
    <row r="15" spans="1:21" ht="14.1" customHeight="1">
      <c r="A15" s="7">
        <v>11</v>
      </c>
      <c r="B15" s="14" t="s">
        <v>326</v>
      </c>
      <c r="C15" s="14" t="s">
        <v>1695</v>
      </c>
      <c r="D15" s="7" t="s">
        <v>1627</v>
      </c>
      <c r="E15" s="14" t="s">
        <v>327</v>
      </c>
      <c r="F15" s="7" t="s">
        <v>1696</v>
      </c>
      <c r="G15" s="149" t="s">
        <v>1719</v>
      </c>
      <c r="H15" s="7" t="s">
        <v>689</v>
      </c>
      <c r="I15" s="149" t="s">
        <v>1720</v>
      </c>
      <c r="J15" s="150" t="s">
        <v>123</v>
      </c>
      <c r="K15" s="7" t="s">
        <v>685</v>
      </c>
      <c r="L15" s="7" t="s">
        <v>307</v>
      </c>
      <c r="M15" s="7">
        <v>83024110</v>
      </c>
      <c r="N15" s="7">
        <v>1</v>
      </c>
      <c r="O15" s="7" t="s">
        <v>1699</v>
      </c>
      <c r="P15" s="7"/>
      <c r="R15" s="9">
        <v>306.81079820943683</v>
      </c>
      <c r="S15" s="140"/>
      <c r="T15" s="7" t="s">
        <v>34</v>
      </c>
      <c r="U15" s="7"/>
    </row>
    <row r="16" spans="1:21" ht="14.1" customHeight="1">
      <c r="A16" s="7">
        <v>12</v>
      </c>
      <c r="B16" s="14" t="s">
        <v>326</v>
      </c>
      <c r="C16" s="14" t="s">
        <v>1695</v>
      </c>
      <c r="D16" s="7" t="s">
        <v>1627</v>
      </c>
      <c r="E16" s="14" t="s">
        <v>327</v>
      </c>
      <c r="F16" s="7" t="s">
        <v>1696</v>
      </c>
      <c r="G16" s="149" t="s">
        <v>1721</v>
      </c>
      <c r="H16" s="7" t="s">
        <v>689</v>
      </c>
      <c r="I16" s="149" t="s">
        <v>1722</v>
      </c>
      <c r="J16" s="150" t="s">
        <v>123</v>
      </c>
      <c r="K16" s="7" t="s">
        <v>685</v>
      </c>
      <c r="L16" s="7" t="s">
        <v>307</v>
      </c>
      <c r="M16" s="7">
        <v>83024110</v>
      </c>
      <c r="N16" s="7">
        <v>1</v>
      </c>
      <c r="O16" s="7" t="s">
        <v>1699</v>
      </c>
      <c r="P16" s="7"/>
      <c r="R16" s="9">
        <v>548.48316244774855</v>
      </c>
      <c r="S16" s="140"/>
      <c r="T16" s="7" t="s">
        <v>34</v>
      </c>
      <c r="U16" s="7"/>
    </row>
    <row r="17" spans="1:21" ht="14.1" customHeight="1">
      <c r="A17" s="7">
        <v>13</v>
      </c>
      <c r="B17" s="14" t="s">
        <v>326</v>
      </c>
      <c r="C17" s="14" t="s">
        <v>1695</v>
      </c>
      <c r="D17" s="7" t="s">
        <v>1627</v>
      </c>
      <c r="E17" s="14" t="s">
        <v>327</v>
      </c>
      <c r="F17" s="7" t="s">
        <v>1696</v>
      </c>
      <c r="G17" s="149" t="s">
        <v>1723</v>
      </c>
      <c r="H17" s="7" t="s">
        <v>689</v>
      </c>
      <c r="I17" s="149" t="s">
        <v>1724</v>
      </c>
      <c r="J17" s="150" t="s">
        <v>123</v>
      </c>
      <c r="K17" s="7" t="s">
        <v>685</v>
      </c>
      <c r="L17" s="7" t="s">
        <v>307</v>
      </c>
      <c r="M17" s="7">
        <v>83024110</v>
      </c>
      <c r="N17" s="7">
        <v>1</v>
      </c>
      <c r="O17" s="7" t="s">
        <v>1699</v>
      </c>
      <c r="P17" s="7"/>
      <c r="R17" s="9">
        <v>685.34502277809236</v>
      </c>
      <c r="S17" s="140"/>
      <c r="T17" s="7" t="s">
        <v>34</v>
      </c>
      <c r="U17" s="7"/>
    </row>
    <row r="18" spans="1:21" ht="14.1" customHeight="1">
      <c r="A18" s="7">
        <v>14</v>
      </c>
      <c r="B18" s="14" t="s">
        <v>326</v>
      </c>
      <c r="C18" s="14" t="s">
        <v>1695</v>
      </c>
      <c r="D18" s="7" t="s">
        <v>1627</v>
      </c>
      <c r="E18" s="14" t="s">
        <v>327</v>
      </c>
      <c r="F18" s="7" t="s">
        <v>1696</v>
      </c>
      <c r="G18" s="149" t="s">
        <v>1725</v>
      </c>
      <c r="H18" s="7" t="s">
        <v>689</v>
      </c>
      <c r="I18" s="149" t="s">
        <v>1726</v>
      </c>
      <c r="J18" s="150" t="s">
        <v>123</v>
      </c>
      <c r="K18" s="7" t="s">
        <v>685</v>
      </c>
      <c r="L18" s="7" t="s">
        <v>307</v>
      </c>
      <c r="M18" s="7">
        <v>83024110</v>
      </c>
      <c r="N18" s="7">
        <v>1</v>
      </c>
      <c r="O18" s="7" t="s">
        <v>1699</v>
      </c>
      <c r="P18" s="7"/>
      <c r="R18" s="9">
        <v>578.72196093480557</v>
      </c>
      <c r="S18" s="140"/>
      <c r="T18" s="7" t="s">
        <v>34</v>
      </c>
      <c r="U18" s="7"/>
    </row>
    <row r="19" spans="1:21" ht="14.1" customHeight="1">
      <c r="A19" s="7">
        <v>15</v>
      </c>
      <c r="B19" s="14" t="s">
        <v>326</v>
      </c>
      <c r="C19" s="14" t="s">
        <v>1695</v>
      </c>
      <c r="D19" s="7" t="s">
        <v>1627</v>
      </c>
      <c r="E19" s="14" t="s">
        <v>327</v>
      </c>
      <c r="F19" s="7" t="s">
        <v>1696</v>
      </c>
      <c r="G19" s="149" t="s">
        <v>1727</v>
      </c>
      <c r="H19" s="7" t="s">
        <v>689</v>
      </c>
      <c r="I19" s="149" t="s">
        <v>1728</v>
      </c>
      <c r="J19" s="150" t="s">
        <v>123</v>
      </c>
      <c r="K19" s="7" t="s">
        <v>685</v>
      </c>
      <c r="L19" s="7" t="s">
        <v>307</v>
      </c>
      <c r="M19" s="7">
        <v>83024110</v>
      </c>
      <c r="N19" s="7">
        <v>1</v>
      </c>
      <c r="O19" s="7" t="s">
        <v>1699</v>
      </c>
      <c r="P19" s="7"/>
      <c r="R19" s="9">
        <v>770.93585878896192</v>
      </c>
      <c r="S19" s="140"/>
      <c r="T19" s="7" t="s">
        <v>34</v>
      </c>
      <c r="U19" s="7"/>
    </row>
    <row r="20" spans="1:21" ht="14.1" customHeight="1">
      <c r="A20" s="7">
        <v>16</v>
      </c>
      <c r="B20" s="14" t="s">
        <v>326</v>
      </c>
      <c r="C20" s="14" t="s">
        <v>1695</v>
      </c>
      <c r="D20" s="7" t="s">
        <v>1627</v>
      </c>
      <c r="E20" s="14" t="s">
        <v>327</v>
      </c>
      <c r="F20" s="7" t="s">
        <v>1696</v>
      </c>
      <c r="G20" s="149" t="s">
        <v>1729</v>
      </c>
      <c r="H20" s="7" t="s">
        <v>481</v>
      </c>
      <c r="I20" s="149" t="s">
        <v>1730</v>
      </c>
      <c r="J20" s="150" t="s">
        <v>123</v>
      </c>
      <c r="K20" s="135" t="s">
        <v>42</v>
      </c>
      <c r="L20" s="7" t="s">
        <v>307</v>
      </c>
      <c r="M20" s="7">
        <v>83024110</v>
      </c>
      <c r="N20" s="7">
        <v>1</v>
      </c>
      <c r="O20" s="7" t="s">
        <v>1699</v>
      </c>
      <c r="P20" s="7"/>
      <c r="R20" s="9">
        <v>3373.091634049807</v>
      </c>
      <c r="S20" s="140"/>
      <c r="T20" s="7" t="s">
        <v>34</v>
      </c>
      <c r="U20" s="7"/>
    </row>
    <row r="21" spans="1:21" ht="14.1" customHeight="1">
      <c r="A21" s="7">
        <v>17</v>
      </c>
      <c r="B21" s="14" t="s">
        <v>326</v>
      </c>
      <c r="C21" s="14" t="s">
        <v>1695</v>
      </c>
      <c r="D21" s="7" t="s">
        <v>1627</v>
      </c>
      <c r="E21" s="14" t="s">
        <v>327</v>
      </c>
      <c r="F21" s="7" t="s">
        <v>1696</v>
      </c>
      <c r="G21" s="149" t="s">
        <v>1731</v>
      </c>
      <c r="H21" s="7" t="s">
        <v>481</v>
      </c>
      <c r="I21" s="149" t="s">
        <v>1732</v>
      </c>
      <c r="J21" s="150" t="s">
        <v>123</v>
      </c>
      <c r="K21" s="135" t="s">
        <v>42</v>
      </c>
      <c r="L21" s="7" t="s">
        <v>307</v>
      </c>
      <c r="M21" s="7">
        <v>83024110</v>
      </c>
      <c r="N21" s="7">
        <v>1</v>
      </c>
      <c r="O21" s="7" t="s">
        <v>1699</v>
      </c>
      <c r="P21" s="7"/>
      <c r="R21" s="9">
        <v>430.04298615417161</v>
      </c>
      <c r="S21" s="140"/>
      <c r="T21" s="7" t="s">
        <v>34</v>
      </c>
      <c r="U21" s="7"/>
    </row>
    <row r="22" spans="1:21" ht="14.1" customHeight="1">
      <c r="A22" s="7">
        <v>18</v>
      </c>
      <c r="B22" s="14" t="s">
        <v>326</v>
      </c>
      <c r="C22" s="14" t="s">
        <v>1695</v>
      </c>
      <c r="D22" s="7" t="s">
        <v>1627</v>
      </c>
      <c r="E22" s="14" t="s">
        <v>327</v>
      </c>
      <c r="F22" s="7" t="s">
        <v>1696</v>
      </c>
      <c r="G22" s="149" t="s">
        <v>1733</v>
      </c>
      <c r="H22" s="7" t="s">
        <v>1701</v>
      </c>
      <c r="I22" s="149" t="s">
        <v>1734</v>
      </c>
      <c r="J22" s="150" t="s">
        <v>123</v>
      </c>
      <c r="K22" s="7" t="s">
        <v>810</v>
      </c>
      <c r="L22" s="7" t="s">
        <v>307</v>
      </c>
      <c r="M22" s="7">
        <v>83024110</v>
      </c>
      <c r="N22" s="7">
        <v>1</v>
      </c>
      <c r="O22" s="7" t="s">
        <v>1699</v>
      </c>
      <c r="P22" s="7"/>
      <c r="R22" s="9">
        <v>158.31118974160231</v>
      </c>
      <c r="S22" s="140"/>
      <c r="T22" s="7" t="s">
        <v>34</v>
      </c>
      <c r="U22" s="7"/>
    </row>
    <row r="23" spans="1:21" ht="14.1" customHeight="1">
      <c r="A23" s="7">
        <v>19</v>
      </c>
      <c r="B23" s="14" t="s">
        <v>326</v>
      </c>
      <c r="C23" s="14" t="s">
        <v>1695</v>
      </c>
      <c r="D23" s="7" t="s">
        <v>1627</v>
      </c>
      <c r="E23" s="14" t="s">
        <v>327</v>
      </c>
      <c r="F23" s="7" t="s">
        <v>1696</v>
      </c>
      <c r="G23" s="149" t="s">
        <v>1735</v>
      </c>
      <c r="H23" s="7" t="s">
        <v>1701</v>
      </c>
      <c r="I23" s="149" t="s">
        <v>1736</v>
      </c>
      <c r="J23" s="150" t="s">
        <v>123</v>
      </c>
      <c r="K23" s="7" t="s">
        <v>810</v>
      </c>
      <c r="L23" s="7" t="s">
        <v>307</v>
      </c>
      <c r="M23" s="7">
        <v>83024110</v>
      </c>
      <c r="N23" s="7">
        <v>1</v>
      </c>
      <c r="O23" s="7" t="s">
        <v>1699</v>
      </c>
      <c r="P23" s="7"/>
      <c r="R23" s="9">
        <v>283.74986972587118</v>
      </c>
      <c r="S23" s="140"/>
      <c r="T23" s="7" t="s">
        <v>34</v>
      </c>
      <c r="U23" s="7"/>
    </row>
    <row r="24" spans="1:21" ht="14.1" customHeight="1">
      <c r="A24" s="7">
        <v>20</v>
      </c>
      <c r="B24" s="14" t="s">
        <v>326</v>
      </c>
      <c r="C24" s="14" t="s">
        <v>1695</v>
      </c>
      <c r="D24" s="7" t="s">
        <v>1627</v>
      </c>
      <c r="E24" s="14" t="s">
        <v>327</v>
      </c>
      <c r="F24" s="7" t="s">
        <v>1696</v>
      </c>
      <c r="G24" s="149" t="s">
        <v>1737</v>
      </c>
      <c r="H24" s="7" t="s">
        <v>1701</v>
      </c>
      <c r="I24" s="149" t="s">
        <v>1738</v>
      </c>
      <c r="J24" s="150" t="s">
        <v>123</v>
      </c>
      <c r="K24" s="7" t="s">
        <v>810</v>
      </c>
      <c r="L24" s="7" t="s">
        <v>307</v>
      </c>
      <c r="M24" s="7">
        <v>83024110</v>
      </c>
      <c r="N24" s="7">
        <v>1</v>
      </c>
      <c r="O24" s="7" t="s">
        <v>1699</v>
      </c>
      <c r="P24" s="7"/>
      <c r="R24" s="9">
        <v>936.53401624640992</v>
      </c>
      <c r="S24" s="140"/>
      <c r="T24" s="7" t="s">
        <v>34</v>
      </c>
      <c r="U24" s="7"/>
    </row>
    <row r="25" spans="1:21" ht="14.1" customHeight="1">
      <c r="A25" s="7">
        <v>21</v>
      </c>
      <c r="B25" s="14" t="s">
        <v>326</v>
      </c>
      <c r="C25" s="14" t="s">
        <v>1695</v>
      </c>
      <c r="D25" s="7" t="s">
        <v>1627</v>
      </c>
      <c r="E25" s="14" t="s">
        <v>327</v>
      </c>
      <c r="F25" s="7" t="s">
        <v>1696</v>
      </c>
      <c r="G25" s="149" t="s">
        <v>1739</v>
      </c>
      <c r="H25" s="7" t="s">
        <v>1701</v>
      </c>
      <c r="I25" s="149" t="s">
        <v>1740</v>
      </c>
      <c r="J25" s="150" t="s">
        <v>123</v>
      </c>
      <c r="K25" s="7" t="s">
        <v>810</v>
      </c>
      <c r="L25" s="7" t="s">
        <v>307</v>
      </c>
      <c r="M25" s="7">
        <v>83024110</v>
      </c>
      <c r="N25" s="7">
        <v>1</v>
      </c>
      <c r="O25" s="7" t="s">
        <v>1699</v>
      </c>
      <c r="P25" s="7"/>
      <c r="R25" s="9">
        <v>5135.9654967220195</v>
      </c>
      <c r="S25" s="140"/>
      <c r="T25" s="7" t="s">
        <v>34</v>
      </c>
      <c r="U25" s="7"/>
    </row>
    <row r="26" spans="1:21" ht="14.1" customHeight="1">
      <c r="A26" s="7">
        <v>22</v>
      </c>
      <c r="B26" s="14" t="s">
        <v>326</v>
      </c>
      <c r="C26" s="14" t="s">
        <v>1695</v>
      </c>
      <c r="D26" s="7" t="s">
        <v>1627</v>
      </c>
      <c r="E26" s="14" t="s">
        <v>327</v>
      </c>
      <c r="F26" s="7" t="s">
        <v>1696</v>
      </c>
      <c r="G26" s="149" t="s">
        <v>1741</v>
      </c>
      <c r="H26" s="7" t="s">
        <v>1701</v>
      </c>
      <c r="I26" s="149" t="s">
        <v>1742</v>
      </c>
      <c r="J26" s="150" t="s">
        <v>30</v>
      </c>
      <c r="K26" s="7" t="s">
        <v>810</v>
      </c>
      <c r="L26" s="7" t="s">
        <v>307</v>
      </c>
      <c r="M26" s="7">
        <v>83024110</v>
      </c>
      <c r="N26" s="7">
        <v>1</v>
      </c>
      <c r="O26" s="7" t="s">
        <v>1699</v>
      </c>
      <c r="P26" s="7"/>
      <c r="R26" s="9">
        <v>78.387324283889043</v>
      </c>
      <c r="S26" s="140"/>
      <c r="T26" s="7" t="s">
        <v>34</v>
      </c>
      <c r="U26" s="7"/>
    </row>
    <row r="27" spans="1:21" ht="14.1" customHeight="1">
      <c r="A27" s="7">
        <v>23</v>
      </c>
      <c r="B27" s="14" t="s">
        <v>326</v>
      </c>
      <c r="C27" s="14" t="s">
        <v>1695</v>
      </c>
      <c r="D27" s="7" t="s">
        <v>1627</v>
      </c>
      <c r="E27" s="14" t="s">
        <v>327</v>
      </c>
      <c r="F27" s="7" t="s">
        <v>1696</v>
      </c>
      <c r="G27" s="149" t="s">
        <v>1743</v>
      </c>
      <c r="H27" s="7" t="s">
        <v>1701</v>
      </c>
      <c r="I27" s="149" t="s">
        <v>1744</v>
      </c>
      <c r="J27" s="150" t="s">
        <v>30</v>
      </c>
      <c r="K27" s="7" t="s">
        <v>810</v>
      </c>
      <c r="L27" s="7" t="s">
        <v>307</v>
      </c>
      <c r="M27" s="7">
        <v>83024110</v>
      </c>
      <c r="N27" s="7">
        <v>1</v>
      </c>
      <c r="O27" s="7" t="s">
        <v>1699</v>
      </c>
      <c r="P27" s="7"/>
      <c r="R27" s="9">
        <v>546.41640179126796</v>
      </c>
      <c r="S27" s="140"/>
      <c r="T27" s="7" t="s">
        <v>34</v>
      </c>
      <c r="U27" s="7"/>
    </row>
    <row r="28" spans="1:21" ht="14.1" customHeight="1">
      <c r="A28" s="7">
        <v>24</v>
      </c>
      <c r="B28" s="14" t="s">
        <v>326</v>
      </c>
      <c r="C28" s="14" t="s">
        <v>1695</v>
      </c>
      <c r="D28" s="7" t="s">
        <v>1627</v>
      </c>
      <c r="E28" s="14" t="s">
        <v>327</v>
      </c>
      <c r="F28" s="7" t="s">
        <v>1696</v>
      </c>
      <c r="G28" s="149" t="s">
        <v>1745</v>
      </c>
      <c r="H28" s="7" t="s">
        <v>1701</v>
      </c>
      <c r="I28" s="149" t="s">
        <v>1746</v>
      </c>
      <c r="J28" s="150" t="s">
        <v>30</v>
      </c>
      <c r="K28" s="7" t="s">
        <v>810</v>
      </c>
      <c r="L28" s="7" t="s">
        <v>307</v>
      </c>
      <c r="M28" s="7">
        <v>83024110</v>
      </c>
      <c r="N28" s="7">
        <v>1</v>
      </c>
      <c r="O28" s="7" t="s">
        <v>1699</v>
      </c>
      <c r="P28" s="7"/>
      <c r="R28" s="9">
        <v>742.65794952030353</v>
      </c>
      <c r="S28" s="140"/>
      <c r="T28" s="7" t="s">
        <v>34</v>
      </c>
      <c r="U28" s="7"/>
    </row>
    <row r="29" spans="1:21" ht="14.1" customHeight="1">
      <c r="A29" s="7">
        <v>25</v>
      </c>
      <c r="B29" s="14" t="s">
        <v>326</v>
      </c>
      <c r="C29" s="14" t="s">
        <v>1695</v>
      </c>
      <c r="D29" s="7" t="s">
        <v>1627</v>
      </c>
      <c r="E29" s="14" t="s">
        <v>327</v>
      </c>
      <c r="F29" s="7" t="s">
        <v>1696</v>
      </c>
      <c r="G29" s="149" t="s">
        <v>1747</v>
      </c>
      <c r="H29" s="7" t="s">
        <v>1701</v>
      </c>
      <c r="I29" s="149" t="s">
        <v>1748</v>
      </c>
      <c r="J29" s="150" t="s">
        <v>30</v>
      </c>
      <c r="K29" s="7" t="s">
        <v>810</v>
      </c>
      <c r="L29" s="7" t="s">
        <v>307</v>
      </c>
      <c r="M29" s="7">
        <v>83024110</v>
      </c>
      <c r="N29" s="7">
        <v>1</v>
      </c>
      <c r="O29" s="7" t="s">
        <v>1699</v>
      </c>
      <c r="P29" s="7"/>
      <c r="R29" s="9">
        <v>742.65794952030353</v>
      </c>
      <c r="S29" s="140"/>
      <c r="T29" s="7" t="s">
        <v>34</v>
      </c>
      <c r="U29" s="7"/>
    </row>
    <row r="30" spans="1:21" ht="14.1" customHeight="1">
      <c r="A30" s="7">
        <v>26</v>
      </c>
      <c r="B30" s="14" t="s">
        <v>326</v>
      </c>
      <c r="C30" s="14" t="s">
        <v>1695</v>
      </c>
      <c r="D30" s="7" t="s">
        <v>1627</v>
      </c>
      <c r="E30" s="14" t="s">
        <v>327</v>
      </c>
      <c r="F30" s="7" t="s">
        <v>1696</v>
      </c>
      <c r="G30" s="149" t="s">
        <v>1749</v>
      </c>
      <c r="H30" s="7" t="s">
        <v>689</v>
      </c>
      <c r="I30" s="149" t="s">
        <v>1750</v>
      </c>
      <c r="J30" s="150" t="s">
        <v>30</v>
      </c>
      <c r="K30" s="7" t="s">
        <v>685</v>
      </c>
      <c r="L30" s="7" t="s">
        <v>307</v>
      </c>
      <c r="M30" s="7">
        <v>83024110</v>
      </c>
      <c r="N30" s="7">
        <v>1</v>
      </c>
      <c r="O30" s="7" t="s">
        <v>1699</v>
      </c>
      <c r="P30" s="7"/>
      <c r="R30" s="9">
        <v>774.45666364597446</v>
      </c>
      <c r="S30" s="140"/>
      <c r="T30" s="7" t="s">
        <v>34</v>
      </c>
      <c r="U30" s="7"/>
    </row>
    <row r="31" spans="1:21" ht="14.1" customHeight="1">
      <c r="A31" s="7">
        <v>27</v>
      </c>
      <c r="B31" s="14" t="s">
        <v>326</v>
      </c>
      <c r="C31" s="14" t="s">
        <v>1695</v>
      </c>
      <c r="D31" s="7" t="s">
        <v>1627</v>
      </c>
      <c r="E31" s="14" t="s">
        <v>327</v>
      </c>
      <c r="F31" s="7" t="s">
        <v>1696</v>
      </c>
      <c r="G31" s="149" t="s">
        <v>1751</v>
      </c>
      <c r="H31" s="7" t="s">
        <v>689</v>
      </c>
      <c r="I31" s="149" t="s">
        <v>1752</v>
      </c>
      <c r="J31" s="150" t="s">
        <v>30</v>
      </c>
      <c r="K31" s="7" t="s">
        <v>685</v>
      </c>
      <c r="L31" s="7" t="s">
        <v>307</v>
      </c>
      <c r="M31" s="7">
        <v>83024110</v>
      </c>
      <c r="N31" s="7">
        <v>1</v>
      </c>
      <c r="O31" s="7" t="s">
        <v>1699</v>
      </c>
      <c r="P31" s="7"/>
      <c r="R31" s="9">
        <v>378.11853620819591</v>
      </c>
      <c r="S31" s="140"/>
      <c r="T31" s="7" t="s">
        <v>34</v>
      </c>
      <c r="U31" s="7"/>
    </row>
    <row r="32" spans="1:21" ht="14.1" customHeight="1">
      <c r="A32" s="7">
        <v>28</v>
      </c>
      <c r="B32" s="14" t="s">
        <v>326</v>
      </c>
      <c r="C32" s="14" t="s">
        <v>1695</v>
      </c>
      <c r="D32" s="7" t="s">
        <v>1627</v>
      </c>
      <c r="E32" s="14" t="s">
        <v>327</v>
      </c>
      <c r="F32" s="7" t="s">
        <v>1696</v>
      </c>
      <c r="G32" s="149" t="s">
        <v>1753</v>
      </c>
      <c r="H32" s="7" t="s">
        <v>689</v>
      </c>
      <c r="I32" s="149" t="s">
        <v>1754</v>
      </c>
      <c r="J32" s="150" t="s">
        <v>30</v>
      </c>
      <c r="K32" s="7" t="s">
        <v>685</v>
      </c>
      <c r="L32" s="7" t="s">
        <v>307</v>
      </c>
      <c r="M32" s="7">
        <v>83024110</v>
      </c>
      <c r="N32" s="7">
        <v>1</v>
      </c>
      <c r="O32" s="7" t="s">
        <v>1699</v>
      </c>
      <c r="P32" s="7"/>
      <c r="R32" s="9">
        <v>567.77987099886536</v>
      </c>
      <c r="S32" s="140"/>
      <c r="T32" s="7" t="s">
        <v>34</v>
      </c>
      <c r="U32" s="7"/>
    </row>
    <row r="33" spans="1:21" ht="14.1" customHeight="1">
      <c r="A33" s="7">
        <v>29</v>
      </c>
      <c r="B33" s="14" t="s">
        <v>326</v>
      </c>
      <c r="C33" s="14" t="s">
        <v>1695</v>
      </c>
      <c r="D33" s="7" t="s">
        <v>1627</v>
      </c>
      <c r="E33" s="14" t="s">
        <v>327</v>
      </c>
      <c r="F33" s="7" t="s">
        <v>1696</v>
      </c>
      <c r="G33" s="149" t="s">
        <v>1755</v>
      </c>
      <c r="H33" s="7" t="s">
        <v>689</v>
      </c>
      <c r="I33" s="149" t="s">
        <v>1756</v>
      </c>
      <c r="J33" s="150" t="s">
        <v>30</v>
      </c>
      <c r="K33" s="7" t="s">
        <v>685</v>
      </c>
      <c r="L33" s="7" t="s">
        <v>307</v>
      </c>
      <c r="M33" s="7">
        <v>83024110</v>
      </c>
      <c r="N33" s="7">
        <v>1</v>
      </c>
      <c r="O33" s="7" t="s">
        <v>1699</v>
      </c>
      <c r="P33" s="7"/>
      <c r="R33" s="9">
        <v>647.68431972107976</v>
      </c>
      <c r="S33" s="140"/>
      <c r="T33" s="7" t="s">
        <v>34</v>
      </c>
      <c r="U33" s="7"/>
    </row>
    <row r="34" spans="1:21" ht="14.1" customHeight="1">
      <c r="A34" s="7">
        <v>30</v>
      </c>
      <c r="B34" s="14" t="s">
        <v>326</v>
      </c>
      <c r="C34" s="14" t="s">
        <v>1695</v>
      </c>
      <c r="D34" s="7" t="s">
        <v>1627</v>
      </c>
      <c r="E34" s="14" t="s">
        <v>327</v>
      </c>
      <c r="F34" s="7" t="s">
        <v>1696</v>
      </c>
      <c r="G34" s="149" t="s">
        <v>1757</v>
      </c>
      <c r="H34" s="7" t="s">
        <v>689</v>
      </c>
      <c r="I34" s="149" t="s">
        <v>1758</v>
      </c>
      <c r="J34" s="150" t="s">
        <v>30</v>
      </c>
      <c r="K34" s="7" t="s">
        <v>685</v>
      </c>
      <c r="L34" s="7" t="s">
        <v>307</v>
      </c>
      <c r="M34" s="7">
        <v>83024110</v>
      </c>
      <c r="N34" s="7">
        <v>1</v>
      </c>
      <c r="O34" s="7" t="s">
        <v>1699</v>
      </c>
      <c r="P34" s="7"/>
      <c r="R34" s="9">
        <v>997.51076680465769</v>
      </c>
      <c r="S34" s="140"/>
      <c r="T34" s="7" t="s">
        <v>34</v>
      </c>
      <c r="U34" s="7"/>
    </row>
    <row r="35" spans="1:21" ht="14.1" customHeight="1">
      <c r="A35" s="7">
        <v>31</v>
      </c>
      <c r="B35" s="14" t="s">
        <v>326</v>
      </c>
      <c r="C35" s="14" t="s">
        <v>1695</v>
      </c>
      <c r="D35" s="7" t="s">
        <v>1627</v>
      </c>
      <c r="E35" s="14" t="s">
        <v>327</v>
      </c>
      <c r="F35" s="7" t="s">
        <v>1696</v>
      </c>
      <c r="G35" s="149" t="s">
        <v>1759</v>
      </c>
      <c r="H35" s="7" t="s">
        <v>689</v>
      </c>
      <c r="I35" s="149" t="s">
        <v>1760</v>
      </c>
      <c r="J35" s="150" t="s">
        <v>30</v>
      </c>
      <c r="K35" s="7" t="s">
        <v>685</v>
      </c>
      <c r="L35" s="7" t="s">
        <v>307</v>
      </c>
      <c r="M35" s="7">
        <v>83024110</v>
      </c>
      <c r="N35" s="7">
        <v>1</v>
      </c>
      <c r="O35" s="7" t="s">
        <v>1699</v>
      </c>
      <c r="P35" s="7"/>
      <c r="R35" s="9">
        <v>1850.334504993391</v>
      </c>
      <c r="S35" s="140"/>
      <c r="T35" s="7" t="s">
        <v>34</v>
      </c>
      <c r="U35" s="7"/>
    </row>
    <row r="36" spans="1:21" ht="14.1" customHeight="1">
      <c r="A36" s="7">
        <v>32</v>
      </c>
      <c r="B36" s="14" t="s">
        <v>326</v>
      </c>
      <c r="C36" s="14" t="s">
        <v>1695</v>
      </c>
      <c r="D36" s="7" t="s">
        <v>1627</v>
      </c>
      <c r="E36" s="14" t="s">
        <v>327</v>
      </c>
      <c r="F36" s="7" t="s">
        <v>1696</v>
      </c>
      <c r="G36" s="149" t="s">
        <v>1761</v>
      </c>
      <c r="H36" s="7" t="s">
        <v>689</v>
      </c>
      <c r="I36" s="149" t="s">
        <v>1762</v>
      </c>
      <c r="J36" s="150" t="s">
        <v>30</v>
      </c>
      <c r="K36" s="7" t="s">
        <v>685</v>
      </c>
      <c r="L36" s="7" t="s">
        <v>307</v>
      </c>
      <c r="M36" s="7">
        <v>83024110</v>
      </c>
      <c r="N36" s="7">
        <v>1</v>
      </c>
      <c r="O36" s="7" t="s">
        <v>1699</v>
      </c>
      <c r="P36" s="7"/>
      <c r="R36" s="9">
        <v>809.60539965134979</v>
      </c>
      <c r="S36" s="140"/>
      <c r="T36" s="7" t="s">
        <v>34</v>
      </c>
      <c r="U36" s="7"/>
    </row>
    <row r="37" spans="1:21" ht="14.1" customHeight="1">
      <c r="A37" s="7">
        <v>33</v>
      </c>
      <c r="B37" s="14" t="s">
        <v>326</v>
      </c>
      <c r="C37" s="14" t="s">
        <v>1695</v>
      </c>
      <c r="D37" s="7" t="s">
        <v>1627</v>
      </c>
      <c r="E37" s="14" t="s">
        <v>327</v>
      </c>
      <c r="F37" s="7" t="s">
        <v>1696</v>
      </c>
      <c r="G37" s="149" t="s">
        <v>1763</v>
      </c>
      <c r="H37" s="7" t="s">
        <v>1701</v>
      </c>
      <c r="I37" s="149" t="s">
        <v>1764</v>
      </c>
      <c r="J37" s="150" t="s">
        <v>30</v>
      </c>
      <c r="K37" s="7" t="s">
        <v>810</v>
      </c>
      <c r="L37" s="7" t="s">
        <v>307</v>
      </c>
      <c r="M37" s="7">
        <v>83024110</v>
      </c>
      <c r="N37" s="7">
        <v>1</v>
      </c>
      <c r="O37" s="7" t="s">
        <v>1699</v>
      </c>
      <c r="P37" s="7"/>
      <c r="R37" s="9">
        <v>205.79289336799769</v>
      </c>
      <c r="S37" s="140"/>
      <c r="T37" s="7" t="s">
        <v>34</v>
      </c>
      <c r="U37" s="7"/>
    </row>
    <row r="38" spans="1:21" ht="14.1" customHeight="1">
      <c r="A38" s="7">
        <v>34</v>
      </c>
      <c r="B38" s="14" t="s">
        <v>326</v>
      </c>
      <c r="C38" s="14" t="s">
        <v>1695</v>
      </c>
      <c r="D38" s="7" t="s">
        <v>1627</v>
      </c>
      <c r="E38" s="14" t="s">
        <v>327</v>
      </c>
      <c r="F38" s="7" t="s">
        <v>1696</v>
      </c>
      <c r="G38" s="149" t="s">
        <v>1765</v>
      </c>
      <c r="H38" s="7" t="s">
        <v>1701</v>
      </c>
      <c r="I38" s="149" t="s">
        <v>1766</v>
      </c>
      <c r="J38" s="150" t="s">
        <v>30</v>
      </c>
      <c r="K38" s="7" t="s">
        <v>810</v>
      </c>
      <c r="L38" s="7" t="s">
        <v>307</v>
      </c>
      <c r="M38" s="7">
        <v>83024110</v>
      </c>
      <c r="N38" s="7">
        <v>1</v>
      </c>
      <c r="O38" s="7" t="s">
        <v>1699</v>
      </c>
      <c r="P38" s="7"/>
      <c r="R38" s="9">
        <v>104.7756226608944</v>
      </c>
      <c r="S38" s="140"/>
      <c r="T38" s="7" t="s">
        <v>34</v>
      </c>
      <c r="U38" s="7"/>
    </row>
    <row r="39" spans="1:21" ht="14.1" customHeight="1">
      <c r="A39" s="7">
        <v>35</v>
      </c>
      <c r="B39" s="14" t="s">
        <v>326</v>
      </c>
      <c r="C39" s="14" t="s">
        <v>1695</v>
      </c>
      <c r="D39" s="7" t="s">
        <v>1627</v>
      </c>
      <c r="E39" s="14" t="s">
        <v>327</v>
      </c>
      <c r="F39" s="7" t="s">
        <v>1696</v>
      </c>
      <c r="G39" s="149" t="s">
        <v>1767</v>
      </c>
      <c r="H39" s="7" t="s">
        <v>1701</v>
      </c>
      <c r="I39" s="149" t="s">
        <v>1768</v>
      </c>
      <c r="J39" s="150" t="s">
        <v>30</v>
      </c>
      <c r="K39" s="7" t="s">
        <v>810</v>
      </c>
      <c r="L39" s="7" t="s">
        <v>307</v>
      </c>
      <c r="M39" s="7">
        <v>83024110</v>
      </c>
      <c r="N39" s="7">
        <v>1</v>
      </c>
      <c r="O39" s="7" t="s">
        <v>1699</v>
      </c>
      <c r="P39" s="7"/>
      <c r="R39" s="9">
        <v>267.96913945545168</v>
      </c>
      <c r="S39" s="140"/>
      <c r="T39" s="7" t="s">
        <v>34</v>
      </c>
      <c r="U39" s="7"/>
    </row>
    <row r="40" spans="1:21" ht="14.1" customHeight="1">
      <c r="A40" s="7">
        <v>36</v>
      </c>
      <c r="B40" s="14" t="s">
        <v>326</v>
      </c>
      <c r="C40" s="14" t="s">
        <v>1695</v>
      </c>
      <c r="D40" s="7" t="s">
        <v>1627</v>
      </c>
      <c r="E40" s="14" t="s">
        <v>327</v>
      </c>
      <c r="F40" s="7" t="s">
        <v>1696</v>
      </c>
      <c r="G40" s="149" t="s">
        <v>1769</v>
      </c>
      <c r="H40" s="7" t="s">
        <v>1701</v>
      </c>
      <c r="I40" s="149" t="s">
        <v>1770</v>
      </c>
      <c r="J40" s="150" t="s">
        <v>30</v>
      </c>
      <c r="K40" s="7" t="s">
        <v>810</v>
      </c>
      <c r="L40" s="7" t="s">
        <v>307</v>
      </c>
      <c r="M40" s="7">
        <v>83024110</v>
      </c>
      <c r="N40" s="7">
        <v>1</v>
      </c>
      <c r="O40" s="7" t="s">
        <v>1699</v>
      </c>
      <c r="P40" s="7"/>
      <c r="R40" s="9">
        <v>2497.60102682973</v>
      </c>
      <c r="S40" s="140"/>
      <c r="T40" s="7" t="s">
        <v>34</v>
      </c>
      <c r="U40" s="7"/>
    </row>
    <row r="41" spans="1:21" ht="14.1" customHeight="1">
      <c r="A41" s="7">
        <v>37</v>
      </c>
      <c r="B41" s="14" t="s">
        <v>326</v>
      </c>
      <c r="C41" s="14" t="s">
        <v>1695</v>
      </c>
      <c r="D41" s="7" t="s">
        <v>1627</v>
      </c>
      <c r="E41" s="14" t="s">
        <v>327</v>
      </c>
      <c r="F41" s="7" t="s">
        <v>1696</v>
      </c>
      <c r="G41" s="149" t="s">
        <v>1771</v>
      </c>
      <c r="H41" s="7" t="s">
        <v>1701</v>
      </c>
      <c r="I41" s="149" t="s">
        <v>1772</v>
      </c>
      <c r="J41" s="150" t="s">
        <v>30</v>
      </c>
      <c r="K41" s="7" t="s">
        <v>810</v>
      </c>
      <c r="L41" s="7" t="s">
        <v>307</v>
      </c>
      <c r="M41" s="7">
        <v>83024110</v>
      </c>
      <c r="N41" s="7">
        <v>1</v>
      </c>
      <c r="O41" s="7" t="s">
        <v>1699</v>
      </c>
      <c r="P41" s="7"/>
      <c r="R41" s="9">
        <v>721.18826715439036</v>
      </c>
      <c r="S41" s="140"/>
      <c r="T41" s="7" t="s">
        <v>34</v>
      </c>
      <c r="U41" s="7"/>
    </row>
    <row r="42" spans="1:21" ht="14.1" customHeight="1">
      <c r="A42" s="7">
        <v>38</v>
      </c>
      <c r="B42" s="14" t="s">
        <v>326</v>
      </c>
      <c r="C42" s="14" t="s">
        <v>1695</v>
      </c>
      <c r="D42" s="7" t="s">
        <v>1627</v>
      </c>
      <c r="E42" s="14" t="s">
        <v>327</v>
      </c>
      <c r="F42" s="7" t="s">
        <v>1696</v>
      </c>
      <c r="G42" s="149" t="s">
        <v>1773</v>
      </c>
      <c r="H42" s="7" t="s">
        <v>1701</v>
      </c>
      <c r="I42" s="149" t="s">
        <v>1774</v>
      </c>
      <c r="J42" s="150" t="s">
        <v>30</v>
      </c>
      <c r="K42" s="7" t="s">
        <v>810</v>
      </c>
      <c r="L42" s="7" t="s">
        <v>307</v>
      </c>
      <c r="M42" s="7">
        <v>83024110</v>
      </c>
      <c r="N42" s="7">
        <v>1</v>
      </c>
      <c r="O42" s="7" t="s">
        <v>1699</v>
      </c>
      <c r="P42" s="7"/>
      <c r="R42" s="9">
        <v>171.33509620528559</v>
      </c>
      <c r="S42" s="140"/>
      <c r="T42" s="7" t="s">
        <v>34</v>
      </c>
      <c r="U42" s="7"/>
    </row>
    <row r="43" spans="1:21" ht="14.1" customHeight="1">
      <c r="A43" s="7">
        <v>39</v>
      </c>
      <c r="B43" s="14" t="s">
        <v>326</v>
      </c>
      <c r="C43" s="14" t="s">
        <v>1695</v>
      </c>
      <c r="D43" s="7" t="s">
        <v>1627</v>
      </c>
      <c r="E43" s="14" t="s">
        <v>327</v>
      </c>
      <c r="F43" s="7" t="s">
        <v>1696</v>
      </c>
      <c r="G43" s="149" t="s">
        <v>1775</v>
      </c>
      <c r="H43" s="7" t="s">
        <v>1701</v>
      </c>
      <c r="I43" s="149" t="s">
        <v>1776</v>
      </c>
      <c r="J43" s="150" t="s">
        <v>30</v>
      </c>
      <c r="K43" s="7" t="s">
        <v>810</v>
      </c>
      <c r="L43" s="7" t="s">
        <v>307</v>
      </c>
      <c r="M43" s="7">
        <v>83024110</v>
      </c>
      <c r="N43" s="7">
        <v>1</v>
      </c>
      <c r="O43" s="7" t="s">
        <v>1699</v>
      </c>
      <c r="P43" s="7"/>
      <c r="R43" s="9">
        <v>85.019172140909703</v>
      </c>
      <c r="S43" s="140"/>
      <c r="T43" s="7" t="s">
        <v>34</v>
      </c>
      <c r="U43" s="7"/>
    </row>
    <row r="44" spans="1:21" ht="14.1" customHeight="1">
      <c r="A44" s="7">
        <v>40</v>
      </c>
      <c r="B44" s="14" t="s">
        <v>326</v>
      </c>
      <c r="C44" s="14" t="s">
        <v>1695</v>
      </c>
      <c r="D44" s="7" t="s">
        <v>1627</v>
      </c>
      <c r="E44" s="14" t="s">
        <v>327</v>
      </c>
      <c r="F44" s="7" t="s">
        <v>1696</v>
      </c>
      <c r="G44" s="149" t="s">
        <v>1777</v>
      </c>
      <c r="H44" s="7" t="s">
        <v>1701</v>
      </c>
      <c r="I44" s="149" t="s">
        <v>1778</v>
      </c>
      <c r="J44" s="150" t="s">
        <v>30</v>
      </c>
      <c r="K44" s="7" t="s">
        <v>810</v>
      </c>
      <c r="L44" s="7" t="s">
        <v>307</v>
      </c>
      <c r="M44" s="7">
        <v>83024110</v>
      </c>
      <c r="N44" s="7">
        <v>1</v>
      </c>
      <c r="O44" s="7" t="s">
        <v>1699</v>
      </c>
      <c r="P44" s="7"/>
      <c r="R44" s="9">
        <v>320.82353056599459</v>
      </c>
      <c r="S44" s="140"/>
      <c r="T44" s="7" t="s">
        <v>34</v>
      </c>
      <c r="U44" s="7"/>
    </row>
    <row r="45" spans="1:21" ht="14.1" customHeight="1">
      <c r="A45" s="7">
        <v>41</v>
      </c>
      <c r="B45" s="14" t="s">
        <v>326</v>
      </c>
      <c r="C45" s="14" t="s">
        <v>1695</v>
      </c>
      <c r="D45" s="7" t="s">
        <v>1627</v>
      </c>
      <c r="E45" s="14" t="s">
        <v>327</v>
      </c>
      <c r="F45" s="7" t="s">
        <v>1696</v>
      </c>
      <c r="G45" s="149" t="s">
        <v>1779</v>
      </c>
      <c r="H45" s="7" t="s">
        <v>1701</v>
      </c>
      <c r="I45" s="149" t="s">
        <v>1780</v>
      </c>
      <c r="J45" s="150" t="s">
        <v>30</v>
      </c>
      <c r="K45" s="7" t="s">
        <v>810</v>
      </c>
      <c r="L45" s="7" t="s">
        <v>307</v>
      </c>
      <c r="M45" s="7">
        <v>83024110</v>
      </c>
      <c r="N45" s="7">
        <v>1</v>
      </c>
      <c r="O45" s="7" t="s">
        <v>1699</v>
      </c>
      <c r="P45" s="7"/>
      <c r="R45" s="9">
        <v>539.23300785420008</v>
      </c>
      <c r="S45" s="140"/>
      <c r="T45" s="7" t="s">
        <v>34</v>
      </c>
      <c r="U45" s="7"/>
    </row>
    <row r="46" spans="1:21" ht="14.1" customHeight="1">
      <c r="A46" s="7">
        <v>42</v>
      </c>
      <c r="B46" s="14" t="s">
        <v>326</v>
      </c>
      <c r="C46" s="14" t="s">
        <v>1695</v>
      </c>
      <c r="D46" s="7" t="s">
        <v>1627</v>
      </c>
      <c r="E46" s="14" t="s">
        <v>327</v>
      </c>
      <c r="F46" s="7" t="s">
        <v>1696</v>
      </c>
      <c r="G46" s="149" t="s">
        <v>1781</v>
      </c>
      <c r="H46" s="7" t="s">
        <v>1701</v>
      </c>
      <c r="I46" s="149" t="s">
        <v>1782</v>
      </c>
      <c r="J46" s="150" t="s">
        <v>30</v>
      </c>
      <c r="K46" s="7" t="s">
        <v>810</v>
      </c>
      <c r="L46" s="7" t="s">
        <v>307</v>
      </c>
      <c r="M46" s="7">
        <v>83024110</v>
      </c>
      <c r="N46" s="7">
        <v>1</v>
      </c>
      <c r="O46" s="7" t="s">
        <v>1699</v>
      </c>
      <c r="P46" s="7"/>
      <c r="R46" s="9">
        <v>2722.5650148706432</v>
      </c>
      <c r="S46" s="140"/>
      <c r="T46" s="7" t="s">
        <v>34</v>
      </c>
      <c r="U46" s="7"/>
    </row>
    <row r="47" spans="1:21" ht="14.1" customHeight="1">
      <c r="A47" s="7">
        <v>43</v>
      </c>
      <c r="B47" s="14" t="s">
        <v>326</v>
      </c>
      <c r="C47" s="14" t="s">
        <v>1695</v>
      </c>
      <c r="D47" s="7" t="s">
        <v>1627</v>
      </c>
      <c r="E47" s="14" t="s">
        <v>327</v>
      </c>
      <c r="F47" s="7" t="s">
        <v>1696</v>
      </c>
      <c r="G47" s="149" t="s">
        <v>1783</v>
      </c>
      <c r="H47" s="7" t="s">
        <v>1701</v>
      </c>
      <c r="I47" s="149" t="s">
        <v>1784</v>
      </c>
      <c r="J47" s="150" t="s">
        <v>30</v>
      </c>
      <c r="K47" s="7" t="s">
        <v>810</v>
      </c>
      <c r="L47" s="7" t="s">
        <v>307</v>
      </c>
      <c r="M47" s="7">
        <v>83024110</v>
      </c>
      <c r="N47" s="7">
        <v>1</v>
      </c>
      <c r="O47" s="7" t="s">
        <v>1699</v>
      </c>
      <c r="P47" s="7"/>
      <c r="R47" s="9">
        <v>5801.3740808837438</v>
      </c>
      <c r="S47" s="140"/>
      <c r="T47" s="7" t="s">
        <v>34</v>
      </c>
      <c r="U47" s="7"/>
    </row>
    <row r="48" spans="1:21" ht="14.1" customHeight="1">
      <c r="A48" s="7">
        <v>44</v>
      </c>
      <c r="B48" s="14" t="s">
        <v>326</v>
      </c>
      <c r="C48" s="14" t="s">
        <v>1695</v>
      </c>
      <c r="D48" s="7" t="s">
        <v>1627</v>
      </c>
      <c r="E48" s="14" t="s">
        <v>327</v>
      </c>
      <c r="F48" s="7" t="s">
        <v>1696</v>
      </c>
      <c r="G48" s="149" t="s">
        <v>1785</v>
      </c>
      <c r="H48" s="7" t="s">
        <v>481</v>
      </c>
      <c r="I48" s="149" t="s">
        <v>1786</v>
      </c>
      <c r="J48" s="7" t="s">
        <v>30</v>
      </c>
      <c r="K48" s="7"/>
      <c r="L48" s="7" t="s">
        <v>307</v>
      </c>
      <c r="M48" s="7">
        <v>83024110</v>
      </c>
      <c r="N48" s="7">
        <v>1</v>
      </c>
      <c r="O48" s="7" t="s">
        <v>1699</v>
      </c>
      <c r="P48" s="7"/>
      <c r="R48" s="9">
        <v>229.60139556984629</v>
      </c>
      <c r="T48" s="7" t="s">
        <v>34</v>
      </c>
      <c r="U48" s="7"/>
    </row>
    <row r="49" spans="1:21" ht="14.1" customHeight="1">
      <c r="A49" s="7">
        <v>45</v>
      </c>
      <c r="B49" s="14" t="s">
        <v>326</v>
      </c>
      <c r="C49" s="14" t="s">
        <v>1695</v>
      </c>
      <c r="D49" s="7" t="s">
        <v>1627</v>
      </c>
      <c r="E49" s="14" t="s">
        <v>327</v>
      </c>
      <c r="F49" s="7" t="s">
        <v>1696</v>
      </c>
      <c r="G49" s="149" t="s">
        <v>1787</v>
      </c>
      <c r="H49" s="7" t="s">
        <v>689</v>
      </c>
      <c r="I49" s="149" t="s">
        <v>1788</v>
      </c>
      <c r="J49" s="7" t="s">
        <v>30</v>
      </c>
      <c r="K49" s="7" t="s">
        <v>685</v>
      </c>
      <c r="L49" s="7" t="s">
        <v>307</v>
      </c>
      <c r="M49" s="7">
        <v>83024110</v>
      </c>
      <c r="N49" s="7">
        <v>1</v>
      </c>
      <c r="O49" s="7" t="s">
        <v>1699</v>
      </c>
      <c r="P49" s="7"/>
      <c r="R49" s="9">
        <v>281.36866674491108</v>
      </c>
      <c r="T49" s="7" t="s">
        <v>34</v>
      </c>
      <c r="U49" s="7"/>
    </row>
    <row r="50" spans="1:21" ht="14.1" customHeight="1">
      <c r="A50" s="7">
        <v>46</v>
      </c>
      <c r="B50" s="14" t="s">
        <v>326</v>
      </c>
      <c r="C50" s="14" t="s">
        <v>1695</v>
      </c>
      <c r="D50" s="7" t="s">
        <v>1627</v>
      </c>
      <c r="E50" s="14" t="s">
        <v>327</v>
      </c>
      <c r="F50" s="7" t="s">
        <v>1696</v>
      </c>
      <c r="G50" s="149" t="s">
        <v>1789</v>
      </c>
      <c r="H50" s="7" t="s">
        <v>689</v>
      </c>
      <c r="I50" s="149" t="s">
        <v>1790</v>
      </c>
      <c r="J50" s="7" t="s">
        <v>30</v>
      </c>
      <c r="K50" s="7" t="s">
        <v>685</v>
      </c>
      <c r="L50" s="7" t="s">
        <v>307</v>
      </c>
      <c r="M50" s="7">
        <v>83024110</v>
      </c>
      <c r="N50" s="7">
        <v>1</v>
      </c>
      <c r="O50" s="7" t="s">
        <v>1699</v>
      </c>
      <c r="P50" s="7"/>
      <c r="R50" s="9">
        <v>375.34836840983593</v>
      </c>
      <c r="T50" s="7" t="s">
        <v>34</v>
      </c>
      <c r="U50" s="7"/>
    </row>
    <row r="51" spans="1:21" ht="14.1" customHeight="1">
      <c r="A51" s="7">
        <v>47</v>
      </c>
      <c r="B51" s="14" t="s">
        <v>326</v>
      </c>
      <c r="C51" s="14" t="s">
        <v>1695</v>
      </c>
      <c r="D51" s="7" t="s">
        <v>1627</v>
      </c>
      <c r="E51" s="14" t="s">
        <v>327</v>
      </c>
      <c r="F51" s="7" t="s">
        <v>1696</v>
      </c>
      <c r="G51" s="149" t="s">
        <v>1791</v>
      </c>
      <c r="H51" s="7" t="s">
        <v>689</v>
      </c>
      <c r="I51" s="149" t="s">
        <v>1792</v>
      </c>
      <c r="J51" s="7" t="s">
        <v>30</v>
      </c>
      <c r="K51" s="7" t="s">
        <v>685</v>
      </c>
      <c r="L51" s="7" t="s">
        <v>307</v>
      </c>
      <c r="M51" s="7">
        <v>83024110</v>
      </c>
      <c r="N51" s="7">
        <v>1</v>
      </c>
      <c r="O51" s="7" t="s">
        <v>1699</v>
      </c>
      <c r="P51" s="7"/>
      <c r="R51" s="9">
        <v>469.07137286232222</v>
      </c>
      <c r="T51" s="7" t="s">
        <v>34</v>
      </c>
      <c r="U51" s="7"/>
    </row>
    <row r="52" spans="1:21" ht="14.1" customHeight="1">
      <c r="A52" s="7">
        <v>48</v>
      </c>
      <c r="B52" s="14" t="s">
        <v>326</v>
      </c>
      <c r="C52" s="14" t="s">
        <v>1695</v>
      </c>
      <c r="D52" s="7" t="s">
        <v>1627</v>
      </c>
      <c r="E52" s="14" t="s">
        <v>327</v>
      </c>
      <c r="F52" s="7" t="s">
        <v>1696</v>
      </c>
      <c r="G52" s="149" t="s">
        <v>1793</v>
      </c>
      <c r="H52" s="7" t="s">
        <v>689</v>
      </c>
      <c r="I52" s="149" t="s">
        <v>1794</v>
      </c>
      <c r="J52" s="7" t="s">
        <v>30</v>
      </c>
      <c r="K52" s="7" t="s">
        <v>685</v>
      </c>
      <c r="L52" s="7" t="s">
        <v>307</v>
      </c>
      <c r="M52" s="7">
        <v>83024110</v>
      </c>
      <c r="N52" s="7">
        <v>1</v>
      </c>
      <c r="O52" s="7" t="s">
        <v>1699</v>
      </c>
      <c r="P52" s="7"/>
      <c r="R52" s="9">
        <v>562.82289922730172</v>
      </c>
      <c r="T52" s="7" t="s">
        <v>34</v>
      </c>
      <c r="U52" s="7"/>
    </row>
    <row r="53" spans="1:21" ht="14.1" customHeight="1">
      <c r="A53" s="7">
        <v>49</v>
      </c>
      <c r="B53" s="14" t="s">
        <v>326</v>
      </c>
      <c r="C53" s="14" t="s">
        <v>1695</v>
      </c>
      <c r="D53" s="7" t="s">
        <v>1627</v>
      </c>
      <c r="E53" s="14" t="s">
        <v>327</v>
      </c>
      <c r="F53" s="7" t="s">
        <v>1696</v>
      </c>
      <c r="G53" s="149" t="s">
        <v>1795</v>
      </c>
      <c r="H53" s="7" t="s">
        <v>689</v>
      </c>
      <c r="I53" s="149" t="s">
        <v>1796</v>
      </c>
      <c r="J53" s="7" t="s">
        <v>30</v>
      </c>
      <c r="K53" s="7" t="s">
        <v>685</v>
      </c>
      <c r="L53" s="7" t="s">
        <v>307</v>
      </c>
      <c r="M53" s="7">
        <v>83024110</v>
      </c>
      <c r="N53" s="7">
        <v>1</v>
      </c>
      <c r="O53" s="7" t="s">
        <v>1699</v>
      </c>
      <c r="P53" s="7"/>
      <c r="R53" s="9">
        <v>750.35447386975397</v>
      </c>
      <c r="T53" s="7" t="s">
        <v>34</v>
      </c>
      <c r="U53" s="7"/>
    </row>
    <row r="54" spans="1:21" ht="14.1" customHeight="1">
      <c r="A54" s="7">
        <v>50</v>
      </c>
      <c r="B54" s="14" t="s">
        <v>326</v>
      </c>
      <c r="C54" s="14" t="s">
        <v>1695</v>
      </c>
      <c r="D54" s="7" t="s">
        <v>1627</v>
      </c>
      <c r="E54" s="14" t="s">
        <v>327</v>
      </c>
      <c r="F54" s="7" t="s">
        <v>1696</v>
      </c>
      <c r="G54" s="149" t="s">
        <v>1797</v>
      </c>
      <c r="H54" s="7" t="s">
        <v>689</v>
      </c>
      <c r="I54" s="149" t="s">
        <v>1798</v>
      </c>
      <c r="J54" s="7" t="s">
        <v>30</v>
      </c>
      <c r="K54" s="7" t="s">
        <v>685</v>
      </c>
      <c r="L54" s="7" t="s">
        <v>307</v>
      </c>
      <c r="M54" s="7">
        <v>83024110</v>
      </c>
      <c r="N54" s="7">
        <v>1</v>
      </c>
      <c r="O54" s="7" t="s">
        <v>1699</v>
      </c>
      <c r="P54" s="7"/>
      <c r="R54" s="9">
        <v>1125.6172765421099</v>
      </c>
      <c r="T54" s="7" t="s">
        <v>34</v>
      </c>
      <c r="U54" s="7"/>
    </row>
    <row r="55" spans="1:21" s="3" customFormat="1" ht="14.1" customHeight="1">
      <c r="A55" s="7">
        <v>51</v>
      </c>
      <c r="B55" s="14" t="s">
        <v>326</v>
      </c>
      <c r="C55" s="14" t="s">
        <v>1695</v>
      </c>
      <c r="D55" s="7" t="s">
        <v>1627</v>
      </c>
      <c r="E55" s="14" t="s">
        <v>327</v>
      </c>
      <c r="F55" s="7" t="s">
        <v>1696</v>
      </c>
      <c r="G55" s="149" t="s">
        <v>1799</v>
      </c>
      <c r="H55" s="7" t="s">
        <v>481</v>
      </c>
      <c r="I55" s="149" t="s">
        <v>1800</v>
      </c>
      <c r="J55" s="7" t="s">
        <v>123</v>
      </c>
      <c r="K55" s="7"/>
      <c r="L55" s="7" t="s">
        <v>307</v>
      </c>
      <c r="M55" s="7">
        <v>83024110</v>
      </c>
      <c r="N55" s="7">
        <v>1</v>
      </c>
      <c r="O55" s="7" t="s">
        <v>1699</v>
      </c>
      <c r="P55" s="7"/>
      <c r="Q55" s="2"/>
      <c r="R55" s="9">
        <v>920.80142292880998</v>
      </c>
      <c r="T55" s="7" t="s">
        <v>34</v>
      </c>
      <c r="U55" s="7"/>
    </row>
    <row r="56" spans="1:21" ht="14.1" customHeight="1">
      <c r="A56" s="7">
        <v>52</v>
      </c>
      <c r="B56" s="14" t="s">
        <v>326</v>
      </c>
      <c r="C56" s="14" t="s">
        <v>1695</v>
      </c>
      <c r="D56" s="7" t="s">
        <v>1627</v>
      </c>
      <c r="E56" s="14" t="s">
        <v>327</v>
      </c>
      <c r="F56" s="7" t="s">
        <v>1696</v>
      </c>
      <c r="G56" s="149" t="s">
        <v>1801</v>
      </c>
      <c r="H56" s="7" t="s">
        <v>481</v>
      </c>
      <c r="I56" s="149" t="s">
        <v>1802</v>
      </c>
      <c r="J56" s="7" t="s">
        <v>123</v>
      </c>
      <c r="K56" s="7"/>
      <c r="L56" s="7" t="s">
        <v>307</v>
      </c>
      <c r="M56" s="7">
        <v>83024110</v>
      </c>
      <c r="N56" s="7">
        <v>1</v>
      </c>
      <c r="O56" s="7" t="s">
        <v>1699</v>
      </c>
      <c r="P56" s="7"/>
      <c r="R56" s="9">
        <v>1227.725723267582</v>
      </c>
      <c r="T56" s="7" t="s">
        <v>34</v>
      </c>
      <c r="U56" s="7"/>
    </row>
    <row r="57" spans="1:21" ht="14.1" customHeight="1">
      <c r="A57" s="7">
        <v>53</v>
      </c>
      <c r="B57" s="14" t="s">
        <v>326</v>
      </c>
      <c r="C57" s="14" t="s">
        <v>1695</v>
      </c>
      <c r="D57" s="7" t="s">
        <v>1627</v>
      </c>
      <c r="E57" s="14" t="s">
        <v>327</v>
      </c>
      <c r="F57" s="7" t="s">
        <v>1696</v>
      </c>
      <c r="G57" s="149" t="s">
        <v>1803</v>
      </c>
      <c r="H57" s="7" t="s">
        <v>481</v>
      </c>
      <c r="I57" s="149" t="s">
        <v>1804</v>
      </c>
      <c r="J57" s="7" t="s">
        <v>123</v>
      </c>
      <c r="K57" s="7"/>
      <c r="L57" s="7" t="s">
        <v>307</v>
      </c>
      <c r="M57" s="7">
        <v>83024110</v>
      </c>
      <c r="N57" s="7">
        <v>1</v>
      </c>
      <c r="O57" s="7" t="s">
        <v>1699</v>
      </c>
      <c r="P57" s="7"/>
      <c r="R57" s="9">
        <v>1534.450370218902</v>
      </c>
      <c r="T57" s="7" t="s">
        <v>34</v>
      </c>
      <c r="U57" s="7"/>
    </row>
    <row r="58" spans="1:21" ht="14.1" customHeight="1">
      <c r="A58" s="7">
        <v>54</v>
      </c>
      <c r="B58" s="14" t="s">
        <v>326</v>
      </c>
      <c r="C58" s="14" t="s">
        <v>1695</v>
      </c>
      <c r="D58" s="7" t="s">
        <v>1627</v>
      </c>
      <c r="E58" s="14" t="s">
        <v>327</v>
      </c>
      <c r="F58" s="7" t="s">
        <v>1696</v>
      </c>
      <c r="G58" s="149" t="s">
        <v>1805</v>
      </c>
      <c r="H58" s="7" t="s">
        <v>481</v>
      </c>
      <c r="I58" s="149" t="s">
        <v>1806</v>
      </c>
      <c r="J58" s="7" t="s">
        <v>123</v>
      </c>
      <c r="K58" s="7"/>
      <c r="L58" s="7" t="s">
        <v>307</v>
      </c>
      <c r="M58" s="7">
        <v>83024110</v>
      </c>
      <c r="N58" s="7">
        <v>1</v>
      </c>
      <c r="O58" s="7" t="s">
        <v>1699</v>
      </c>
      <c r="P58" s="7"/>
      <c r="R58" s="9">
        <v>1841.2891048201959</v>
      </c>
      <c r="T58" s="7" t="s">
        <v>34</v>
      </c>
      <c r="U58" s="7"/>
    </row>
    <row r="59" spans="1:21" ht="14.1" customHeight="1">
      <c r="A59" s="7">
        <v>55</v>
      </c>
      <c r="B59" s="14" t="s">
        <v>326</v>
      </c>
      <c r="C59" s="14" t="s">
        <v>1695</v>
      </c>
      <c r="D59" s="7" t="s">
        <v>1627</v>
      </c>
      <c r="E59" s="14" t="s">
        <v>327</v>
      </c>
      <c r="F59" s="7" t="s">
        <v>1696</v>
      </c>
      <c r="G59" s="149" t="s">
        <v>1807</v>
      </c>
      <c r="H59" s="7" t="s">
        <v>481</v>
      </c>
      <c r="I59" s="149" t="s">
        <v>1808</v>
      </c>
      <c r="J59" s="7" t="s">
        <v>30</v>
      </c>
      <c r="K59" s="7"/>
      <c r="L59" s="7" t="s">
        <v>307</v>
      </c>
      <c r="M59" s="7">
        <v>83024110</v>
      </c>
      <c r="N59" s="7">
        <v>1</v>
      </c>
      <c r="O59" s="7" t="s">
        <v>1699</v>
      </c>
      <c r="P59" s="7"/>
      <c r="R59" s="9">
        <v>780.07430668761469</v>
      </c>
      <c r="T59" s="7" t="s">
        <v>34</v>
      </c>
      <c r="U59" s="7"/>
    </row>
    <row r="60" spans="1:21" ht="14.1" customHeight="1">
      <c r="A60" s="7">
        <v>56</v>
      </c>
      <c r="B60" s="14" t="s">
        <v>326</v>
      </c>
      <c r="C60" s="14" t="s">
        <v>1695</v>
      </c>
      <c r="D60" s="7" t="s">
        <v>1627</v>
      </c>
      <c r="E60" s="14" t="s">
        <v>327</v>
      </c>
      <c r="F60" s="7" t="s">
        <v>1696</v>
      </c>
      <c r="G60" s="149" t="s">
        <v>1809</v>
      </c>
      <c r="H60" s="7" t="s">
        <v>481</v>
      </c>
      <c r="I60" s="149" t="s">
        <v>1810</v>
      </c>
      <c r="J60" s="7" t="s">
        <v>123</v>
      </c>
      <c r="K60" s="7"/>
      <c r="L60" s="7" t="s">
        <v>307</v>
      </c>
      <c r="M60" s="7">
        <v>83024110</v>
      </c>
      <c r="N60" s="7">
        <v>1</v>
      </c>
      <c r="O60" s="7" t="s">
        <v>1699</v>
      </c>
      <c r="P60" s="7"/>
      <c r="R60" s="9">
        <v>1070.256244392908</v>
      </c>
      <c r="T60" s="7" t="s">
        <v>34</v>
      </c>
      <c r="U60" s="7"/>
    </row>
    <row r="61" spans="1:21" ht="14.1" customHeight="1">
      <c r="A61" s="7">
        <v>57</v>
      </c>
      <c r="B61" s="14" t="s">
        <v>326</v>
      </c>
      <c r="C61" s="14" t="s">
        <v>1695</v>
      </c>
      <c r="D61" s="7" t="s">
        <v>1627</v>
      </c>
      <c r="E61" s="14" t="s">
        <v>327</v>
      </c>
      <c r="F61" s="7" t="s">
        <v>1696</v>
      </c>
      <c r="G61" s="149" t="s">
        <v>1811</v>
      </c>
      <c r="H61" s="7" t="s">
        <v>481</v>
      </c>
      <c r="I61" s="149" t="s">
        <v>1812</v>
      </c>
      <c r="J61" s="7" t="s">
        <v>30</v>
      </c>
      <c r="K61" s="7"/>
      <c r="L61" s="7" t="s">
        <v>307</v>
      </c>
      <c r="M61" s="7">
        <v>83024110</v>
      </c>
      <c r="N61" s="7">
        <v>1</v>
      </c>
      <c r="O61" s="7" t="s">
        <v>1699</v>
      </c>
      <c r="P61" s="7"/>
      <c r="R61" s="9">
        <v>108.6114427739099</v>
      </c>
      <c r="T61" s="7" t="s">
        <v>34</v>
      </c>
      <c r="U61" s="7"/>
    </row>
    <row r="62" spans="1:21" ht="14.1" customHeight="1">
      <c r="A62" s="7">
        <v>58</v>
      </c>
      <c r="B62" s="14" t="s">
        <v>326</v>
      </c>
      <c r="C62" s="14" t="s">
        <v>1695</v>
      </c>
      <c r="D62" s="7" t="s">
        <v>1627</v>
      </c>
      <c r="E62" s="14" t="s">
        <v>327</v>
      </c>
      <c r="F62" s="7" t="s">
        <v>1696</v>
      </c>
      <c r="G62" s="149" t="s">
        <v>1813</v>
      </c>
      <c r="H62" s="7" t="s">
        <v>689</v>
      </c>
      <c r="I62" s="149" t="s">
        <v>1814</v>
      </c>
      <c r="J62" s="7" t="s">
        <v>30</v>
      </c>
      <c r="K62" s="7" t="s">
        <v>685</v>
      </c>
      <c r="L62" s="7" t="s">
        <v>307</v>
      </c>
      <c r="M62" s="7">
        <v>83024110</v>
      </c>
      <c r="N62" s="7">
        <v>1</v>
      </c>
      <c r="O62" s="7" t="s">
        <v>1699</v>
      </c>
      <c r="P62" s="7"/>
      <c r="R62" s="9">
        <v>326.20511318414071</v>
      </c>
      <c r="T62" s="7" t="s">
        <v>34</v>
      </c>
      <c r="U62" s="7"/>
    </row>
    <row r="63" spans="1:21" ht="14.1" customHeight="1">
      <c r="A63" s="7">
        <v>59</v>
      </c>
      <c r="B63" s="14" t="s">
        <v>326</v>
      </c>
      <c r="C63" s="14" t="s">
        <v>1695</v>
      </c>
      <c r="D63" s="7" t="s">
        <v>1627</v>
      </c>
      <c r="E63" s="14" t="s">
        <v>327</v>
      </c>
      <c r="F63" s="7" t="s">
        <v>1696</v>
      </c>
      <c r="G63" s="149" t="s">
        <v>1815</v>
      </c>
      <c r="H63" s="7" t="s">
        <v>481</v>
      </c>
      <c r="I63" s="149" t="s">
        <v>1816</v>
      </c>
      <c r="J63" s="7" t="s">
        <v>30</v>
      </c>
      <c r="K63" s="7"/>
      <c r="L63" s="7" t="s">
        <v>307</v>
      </c>
      <c r="M63" s="7">
        <v>83024110</v>
      </c>
      <c r="N63" s="7">
        <v>1</v>
      </c>
      <c r="O63" s="7" t="s">
        <v>1699</v>
      </c>
      <c r="P63" s="7"/>
      <c r="R63" s="9">
        <v>406.40873111487429</v>
      </c>
      <c r="T63" s="7" t="s">
        <v>34</v>
      </c>
      <c r="U63" s="7"/>
    </row>
    <row r="64" spans="1:21" ht="14.1" customHeight="1">
      <c r="A64" s="7">
        <v>60</v>
      </c>
      <c r="B64" s="14" t="s">
        <v>326</v>
      </c>
      <c r="C64" s="14" t="s">
        <v>1695</v>
      </c>
      <c r="D64" s="7" t="s">
        <v>1627</v>
      </c>
      <c r="E64" s="14" t="s">
        <v>327</v>
      </c>
      <c r="F64" s="7" t="s">
        <v>1696</v>
      </c>
      <c r="G64" s="149" t="s">
        <v>1817</v>
      </c>
      <c r="H64" s="7" t="s">
        <v>481</v>
      </c>
      <c r="I64" s="149" t="s">
        <v>1818</v>
      </c>
      <c r="J64" s="7" t="s">
        <v>30</v>
      </c>
      <c r="K64" s="7"/>
      <c r="L64" s="7" t="s">
        <v>307</v>
      </c>
      <c r="M64" s="7">
        <v>83024110</v>
      </c>
      <c r="N64" s="7">
        <v>1</v>
      </c>
      <c r="O64" s="7" t="s">
        <v>1699</v>
      </c>
      <c r="P64" s="7"/>
      <c r="R64" s="9">
        <v>229.62991748233961</v>
      </c>
      <c r="T64" s="7" t="s">
        <v>34</v>
      </c>
      <c r="U64" s="7"/>
    </row>
    <row r="65" spans="1:21" ht="14.1" customHeight="1">
      <c r="A65" s="7">
        <v>61</v>
      </c>
      <c r="B65" s="14" t="s">
        <v>326</v>
      </c>
      <c r="C65" s="14" t="s">
        <v>1695</v>
      </c>
      <c r="D65" s="7" t="s">
        <v>1627</v>
      </c>
      <c r="E65" s="14" t="s">
        <v>327</v>
      </c>
      <c r="F65" s="7" t="s">
        <v>1696</v>
      </c>
      <c r="G65" s="149" t="s">
        <v>1819</v>
      </c>
      <c r="H65" s="7" t="s">
        <v>481</v>
      </c>
      <c r="I65" s="149" t="s">
        <v>1820</v>
      </c>
      <c r="J65" s="7" t="s">
        <v>30</v>
      </c>
      <c r="K65" s="7"/>
      <c r="L65" s="7" t="s">
        <v>307</v>
      </c>
      <c r="M65" s="7">
        <v>83024110</v>
      </c>
      <c r="N65" s="7">
        <v>1</v>
      </c>
      <c r="O65" s="7" t="s">
        <v>1699</v>
      </c>
      <c r="P65" s="7"/>
      <c r="R65" s="9">
        <v>58.840705473365567</v>
      </c>
      <c r="T65" s="7" t="s">
        <v>34</v>
      </c>
      <c r="U65" s="7"/>
    </row>
    <row r="66" spans="1:21" ht="14.1" customHeight="1">
      <c r="A66" s="7">
        <v>62</v>
      </c>
      <c r="B66" s="14" t="s">
        <v>326</v>
      </c>
      <c r="C66" s="14" t="s">
        <v>1695</v>
      </c>
      <c r="D66" s="7" t="s">
        <v>1627</v>
      </c>
      <c r="E66" s="14" t="s">
        <v>327</v>
      </c>
      <c r="F66" s="7" t="s">
        <v>1696</v>
      </c>
      <c r="G66" s="149" t="s">
        <v>1821</v>
      </c>
      <c r="H66" s="7" t="s">
        <v>481</v>
      </c>
      <c r="I66" s="149" t="s">
        <v>1822</v>
      </c>
      <c r="J66" s="7" t="s">
        <v>30</v>
      </c>
      <c r="K66" s="7"/>
      <c r="L66" s="7" t="s">
        <v>307</v>
      </c>
      <c r="M66" s="7">
        <v>83024110</v>
      </c>
      <c r="N66" s="7">
        <v>1</v>
      </c>
      <c r="O66" s="7" t="s">
        <v>1699</v>
      </c>
      <c r="P66" s="7"/>
      <c r="R66" s="9">
        <v>4464.3353091651024</v>
      </c>
      <c r="T66" s="7" t="s">
        <v>34</v>
      </c>
      <c r="U66" s="7"/>
    </row>
    <row r="67" spans="1:21" ht="14.1" customHeight="1">
      <c r="A67" s="7">
        <v>63</v>
      </c>
      <c r="B67" s="14" t="s">
        <v>326</v>
      </c>
      <c r="C67" s="14" t="s">
        <v>1695</v>
      </c>
      <c r="D67" s="7" t="s">
        <v>1627</v>
      </c>
      <c r="E67" s="14" t="s">
        <v>327</v>
      </c>
      <c r="F67" s="7" t="s">
        <v>1696</v>
      </c>
      <c r="G67" s="149" t="s">
        <v>1823</v>
      </c>
      <c r="H67" s="7" t="s">
        <v>481</v>
      </c>
      <c r="I67" s="149" t="s">
        <v>1824</v>
      </c>
      <c r="J67" s="7" t="s">
        <v>30</v>
      </c>
      <c r="K67" s="7"/>
      <c r="L67" s="7" t="s">
        <v>307</v>
      </c>
      <c r="M67" s="7">
        <v>83024110</v>
      </c>
      <c r="N67" s="7">
        <v>1</v>
      </c>
      <c r="O67" s="7" t="s">
        <v>1699</v>
      </c>
      <c r="P67" s="7"/>
      <c r="R67" s="9">
        <v>6782.3967032207674</v>
      </c>
      <c r="T67" s="7" t="s">
        <v>34</v>
      </c>
      <c r="U67" s="7"/>
    </row>
    <row r="68" spans="1:21" ht="14.1" customHeight="1">
      <c r="A68" s="7">
        <v>64</v>
      </c>
      <c r="B68" s="14" t="s">
        <v>326</v>
      </c>
      <c r="C68" s="14" t="s">
        <v>1695</v>
      </c>
      <c r="D68" s="7" t="s">
        <v>1627</v>
      </c>
      <c r="E68" s="14" t="s">
        <v>327</v>
      </c>
      <c r="F68" s="7" t="s">
        <v>1696</v>
      </c>
      <c r="G68" s="149" t="s">
        <v>1825</v>
      </c>
      <c r="H68" s="7" t="s">
        <v>481</v>
      </c>
      <c r="I68" s="149" t="s">
        <v>1826</v>
      </c>
      <c r="J68" s="7" t="s">
        <v>30</v>
      </c>
      <c r="K68" s="7"/>
      <c r="L68" s="7" t="s">
        <v>307</v>
      </c>
      <c r="M68" s="7">
        <v>83024110</v>
      </c>
      <c r="N68" s="7">
        <v>1</v>
      </c>
      <c r="O68" s="7" t="s">
        <v>1699</v>
      </c>
      <c r="P68" s="7"/>
      <c r="R68" s="9">
        <v>11143.853474023081</v>
      </c>
      <c r="T68" s="7" t="s">
        <v>34</v>
      </c>
      <c r="U68" s="7"/>
    </row>
    <row r="69" spans="1:21" ht="14.1" customHeight="1">
      <c r="A69" s="7">
        <v>65</v>
      </c>
      <c r="B69" s="14" t="s">
        <v>326</v>
      </c>
      <c r="C69" s="14" t="s">
        <v>1695</v>
      </c>
      <c r="D69" s="7" t="s">
        <v>1627</v>
      </c>
      <c r="E69" s="14" t="s">
        <v>327</v>
      </c>
      <c r="F69" s="7" t="s">
        <v>1696</v>
      </c>
      <c r="G69" s="149" t="s">
        <v>1827</v>
      </c>
      <c r="H69" s="7" t="s">
        <v>481</v>
      </c>
      <c r="I69" s="149" t="s">
        <v>1828</v>
      </c>
      <c r="J69" s="7" t="s">
        <v>30</v>
      </c>
      <c r="K69" s="7"/>
      <c r="L69" s="7" t="s">
        <v>307</v>
      </c>
      <c r="M69" s="7">
        <v>83024110</v>
      </c>
      <c r="N69" s="7">
        <v>1</v>
      </c>
      <c r="O69" s="7" t="s">
        <v>1699</v>
      </c>
      <c r="P69" s="7"/>
      <c r="R69" s="9">
        <v>1127.0433721667671</v>
      </c>
      <c r="T69" s="7" t="s">
        <v>34</v>
      </c>
      <c r="U69" s="7"/>
    </row>
    <row r="70" spans="1:21" ht="14.1" customHeight="1">
      <c r="A70" s="7">
        <v>66</v>
      </c>
      <c r="B70" s="14" t="s">
        <v>326</v>
      </c>
      <c r="C70" s="14" t="s">
        <v>1695</v>
      </c>
      <c r="D70" s="7" t="s">
        <v>1627</v>
      </c>
      <c r="E70" s="14" t="s">
        <v>327</v>
      </c>
      <c r="F70" s="7" t="s">
        <v>1696</v>
      </c>
      <c r="G70" s="149" t="s">
        <v>1829</v>
      </c>
      <c r="H70" s="7" t="s">
        <v>481</v>
      </c>
      <c r="I70" s="149" t="s">
        <v>1830</v>
      </c>
      <c r="J70" s="7" t="s">
        <v>30</v>
      </c>
      <c r="K70" s="7"/>
      <c r="L70" s="7" t="s">
        <v>307</v>
      </c>
      <c r="M70" s="7">
        <v>83024110</v>
      </c>
      <c r="N70" s="7">
        <v>1</v>
      </c>
      <c r="O70" s="7" t="s">
        <v>1699</v>
      </c>
      <c r="P70" s="7"/>
      <c r="R70" s="9">
        <v>49.257342875667668</v>
      </c>
      <c r="T70" s="7" t="s">
        <v>34</v>
      </c>
      <c r="U70" s="7"/>
    </row>
    <row r="71" spans="1:21" ht="14.1" customHeight="1">
      <c r="A71" s="7">
        <v>67</v>
      </c>
      <c r="B71" s="133" t="s">
        <v>326</v>
      </c>
      <c r="C71" s="133" t="s">
        <v>1695</v>
      </c>
      <c r="D71" s="38" t="s">
        <v>1627</v>
      </c>
      <c r="E71" s="133" t="s">
        <v>327</v>
      </c>
      <c r="F71" s="38" t="s">
        <v>1696</v>
      </c>
      <c r="G71" s="37">
        <v>370882</v>
      </c>
      <c r="H71" s="38" t="s">
        <v>481</v>
      </c>
      <c r="I71" s="37" t="s">
        <v>1831</v>
      </c>
      <c r="J71" s="38" t="s">
        <v>30</v>
      </c>
      <c r="K71" s="38"/>
      <c r="L71" s="38" t="s">
        <v>307</v>
      </c>
      <c r="M71" s="38">
        <v>83024110</v>
      </c>
      <c r="N71" s="38">
        <v>1</v>
      </c>
      <c r="O71" s="38" t="s">
        <v>1699</v>
      </c>
      <c r="P71" s="38"/>
      <c r="Q71" s="39"/>
      <c r="R71" s="9">
        <v>560.73916199353164</v>
      </c>
      <c r="S71" s="40"/>
      <c r="T71" s="7" t="s">
        <v>34</v>
      </c>
      <c r="U71" s="7"/>
    </row>
    <row r="72" spans="1:21" ht="14.1" customHeight="1">
      <c r="A72" s="7">
        <v>68</v>
      </c>
      <c r="B72" s="133" t="s">
        <v>326</v>
      </c>
      <c r="C72" s="133" t="s">
        <v>1695</v>
      </c>
      <c r="D72" s="38" t="s">
        <v>1627</v>
      </c>
      <c r="E72" s="133" t="s">
        <v>327</v>
      </c>
      <c r="F72" s="38" t="s">
        <v>1696</v>
      </c>
      <c r="G72" s="8">
        <v>370931</v>
      </c>
      <c r="H72" s="38" t="s">
        <v>481</v>
      </c>
      <c r="I72" s="8" t="s">
        <v>1832</v>
      </c>
      <c r="J72" s="38" t="s">
        <v>30</v>
      </c>
      <c r="K72" s="38"/>
      <c r="L72" s="38" t="s">
        <v>307</v>
      </c>
      <c r="M72" s="38">
        <v>83024110</v>
      </c>
      <c r="N72" s="38">
        <v>1</v>
      </c>
      <c r="O72" s="38" t="s">
        <v>1699</v>
      </c>
      <c r="P72" s="38"/>
      <c r="R72" s="9">
        <v>1014.697742351949</v>
      </c>
      <c r="T72" s="8"/>
      <c r="U72" s="7" t="s">
        <v>34</v>
      </c>
    </row>
    <row r="73" spans="1:21" ht="14.1" customHeight="1">
      <c r="A73" s="7">
        <v>69</v>
      </c>
      <c r="B73" s="133" t="s">
        <v>326</v>
      </c>
      <c r="C73" s="133" t="s">
        <v>1695</v>
      </c>
      <c r="D73" s="38" t="s">
        <v>1627</v>
      </c>
      <c r="E73" s="133" t="s">
        <v>327</v>
      </c>
      <c r="F73" s="38" t="s">
        <v>1696</v>
      </c>
      <c r="G73" s="8">
        <v>370932</v>
      </c>
      <c r="H73" s="38" t="s">
        <v>481</v>
      </c>
      <c r="I73" s="8" t="s">
        <v>1833</v>
      </c>
      <c r="J73" s="38" t="s">
        <v>30</v>
      </c>
      <c r="K73" s="38"/>
      <c r="L73" s="38" t="s">
        <v>307</v>
      </c>
      <c r="M73" s="38">
        <v>83024110</v>
      </c>
      <c r="N73" s="38">
        <v>1</v>
      </c>
      <c r="O73" s="38" t="s">
        <v>1699</v>
      </c>
      <c r="P73" s="38"/>
      <c r="R73" s="9">
        <v>1427.3784283772179</v>
      </c>
      <c r="T73" s="8"/>
      <c r="U73" s="7" t="s">
        <v>34</v>
      </c>
    </row>
    <row r="74" spans="1:21" ht="14.1" customHeight="1">
      <c r="A74" s="7">
        <v>70</v>
      </c>
      <c r="B74" s="133" t="s">
        <v>326</v>
      </c>
      <c r="C74" s="133" t="s">
        <v>1695</v>
      </c>
      <c r="D74" s="38" t="s">
        <v>1627</v>
      </c>
      <c r="E74" s="133" t="s">
        <v>327</v>
      </c>
      <c r="F74" s="38" t="s">
        <v>1696</v>
      </c>
      <c r="G74" s="8">
        <v>370955</v>
      </c>
      <c r="H74" s="38" t="s">
        <v>481</v>
      </c>
      <c r="I74" s="8" t="s">
        <v>1834</v>
      </c>
      <c r="J74" s="38" t="s">
        <v>30</v>
      </c>
      <c r="K74" s="38"/>
      <c r="L74" s="38" t="s">
        <v>307</v>
      </c>
      <c r="M74" s="38">
        <v>83024110</v>
      </c>
      <c r="N74" s="38">
        <v>1</v>
      </c>
      <c r="O74" s="38" t="s">
        <v>1699</v>
      </c>
      <c r="P74" s="38"/>
      <c r="R74" s="9">
        <v>1838.1485556708899</v>
      </c>
      <c r="T74" s="8"/>
      <c r="U74" s="7" t="s">
        <v>34</v>
      </c>
    </row>
    <row r="75" spans="1:21" ht="14.1" customHeight="1">
      <c r="A75" s="7">
        <v>71</v>
      </c>
      <c r="B75" s="133" t="s">
        <v>326</v>
      </c>
      <c r="C75" s="133" t="s">
        <v>1695</v>
      </c>
      <c r="D75" s="38" t="s">
        <v>1627</v>
      </c>
      <c r="E75" s="133" t="s">
        <v>327</v>
      </c>
      <c r="F75" s="38" t="s">
        <v>1696</v>
      </c>
      <c r="G75" s="8">
        <v>370933</v>
      </c>
      <c r="H75" s="38" t="s">
        <v>481</v>
      </c>
      <c r="I75" s="8" t="s">
        <v>1835</v>
      </c>
      <c r="J75" s="38" t="s">
        <v>30</v>
      </c>
      <c r="K75" s="38"/>
      <c r="L75" s="38" t="s">
        <v>307</v>
      </c>
      <c r="M75" s="38">
        <v>83024110</v>
      </c>
      <c r="N75" s="38">
        <v>1</v>
      </c>
      <c r="O75" s="38" t="s">
        <v>1699</v>
      </c>
      <c r="P75" s="38"/>
      <c r="R75" s="9">
        <v>1352.5800540351379</v>
      </c>
      <c r="T75" s="8"/>
      <c r="U75" s="7" t="s">
        <v>34</v>
      </c>
    </row>
    <row r="76" spans="1:21" ht="14.1" customHeight="1">
      <c r="A76" s="7">
        <v>72</v>
      </c>
      <c r="B76" s="133" t="s">
        <v>326</v>
      </c>
      <c r="C76" s="133" t="s">
        <v>1695</v>
      </c>
      <c r="D76" s="38" t="s">
        <v>1627</v>
      </c>
      <c r="E76" s="133" t="s">
        <v>327</v>
      </c>
      <c r="F76" s="38" t="s">
        <v>1696</v>
      </c>
      <c r="G76" s="8">
        <v>370934</v>
      </c>
      <c r="H76" s="38" t="s">
        <v>481</v>
      </c>
      <c r="I76" s="8" t="s">
        <v>1836</v>
      </c>
      <c r="J76" s="38" t="s">
        <v>30</v>
      </c>
      <c r="K76" s="38"/>
      <c r="L76" s="38" t="s">
        <v>307</v>
      </c>
      <c r="M76" s="38">
        <v>83024110</v>
      </c>
      <c r="N76" s="38">
        <v>1</v>
      </c>
      <c r="O76" s="38" t="s">
        <v>1699</v>
      </c>
      <c r="P76" s="38"/>
      <c r="R76" s="9">
        <v>1684.5396336503729</v>
      </c>
      <c r="T76" s="8"/>
      <c r="U76" s="7" t="s">
        <v>34</v>
      </c>
    </row>
    <row r="77" spans="1:21" ht="14.1" customHeight="1">
      <c r="A77" s="7">
        <v>73</v>
      </c>
      <c r="B77" s="133" t="s">
        <v>326</v>
      </c>
      <c r="C77" s="133" t="s">
        <v>1695</v>
      </c>
      <c r="D77" s="38" t="s">
        <v>1627</v>
      </c>
      <c r="E77" s="133" t="s">
        <v>327</v>
      </c>
      <c r="F77" s="38" t="s">
        <v>1696</v>
      </c>
      <c r="G77" s="8">
        <v>370935</v>
      </c>
      <c r="H77" s="38" t="s">
        <v>481</v>
      </c>
      <c r="I77" s="8" t="s">
        <v>1837</v>
      </c>
      <c r="J77" s="38" t="s">
        <v>30</v>
      </c>
      <c r="K77" s="38"/>
      <c r="L77" s="38" t="s">
        <v>307</v>
      </c>
      <c r="M77" s="38">
        <v>83024110</v>
      </c>
      <c r="N77" s="38">
        <v>1</v>
      </c>
      <c r="O77" s="38" t="s">
        <v>1699</v>
      </c>
      <c r="P77" s="38"/>
      <c r="R77" s="9">
        <v>1818.6608566085861</v>
      </c>
      <c r="T77" s="8"/>
      <c r="U77" s="7" t="s">
        <v>34</v>
      </c>
    </row>
    <row r="78" spans="1:21" ht="14.1" customHeight="1">
      <c r="A78" s="7">
        <v>74</v>
      </c>
      <c r="B78" s="133" t="s">
        <v>326</v>
      </c>
      <c r="C78" s="133" t="s">
        <v>1695</v>
      </c>
      <c r="D78" s="38" t="s">
        <v>1627</v>
      </c>
      <c r="E78" s="133" t="s">
        <v>327</v>
      </c>
      <c r="F78" s="38" t="s">
        <v>1696</v>
      </c>
      <c r="G78" s="8">
        <v>370936</v>
      </c>
      <c r="H78" s="38" t="s">
        <v>481</v>
      </c>
      <c r="I78" s="8" t="s">
        <v>1838</v>
      </c>
      <c r="J78" s="38" t="s">
        <v>30</v>
      </c>
      <c r="K78" s="38"/>
      <c r="L78" s="38" t="s">
        <v>307</v>
      </c>
      <c r="M78" s="38">
        <v>83024110</v>
      </c>
      <c r="N78" s="38">
        <v>1</v>
      </c>
      <c r="O78" s="38" t="s">
        <v>1699</v>
      </c>
      <c r="P78" s="38"/>
      <c r="R78" s="9">
        <v>601.1573048974592</v>
      </c>
      <c r="T78" s="8"/>
      <c r="U78" s="7" t="s">
        <v>34</v>
      </c>
    </row>
    <row r="79" spans="1:21" ht="14.1" customHeight="1">
      <c r="A79" s="7">
        <v>75</v>
      </c>
      <c r="B79" s="133" t="s">
        <v>326</v>
      </c>
      <c r="C79" s="133" t="s">
        <v>1695</v>
      </c>
      <c r="D79" s="38" t="s">
        <v>1627</v>
      </c>
      <c r="E79" s="133" t="s">
        <v>327</v>
      </c>
      <c r="F79" s="38" t="s">
        <v>1696</v>
      </c>
      <c r="G79" s="8">
        <v>370937</v>
      </c>
      <c r="H79" s="38" t="s">
        <v>481</v>
      </c>
      <c r="I79" s="8" t="s">
        <v>1839</v>
      </c>
      <c r="J79" s="38" t="s">
        <v>30</v>
      </c>
      <c r="K79" s="38"/>
      <c r="L79" s="38" t="s">
        <v>307</v>
      </c>
      <c r="M79" s="38">
        <v>83024110</v>
      </c>
      <c r="N79" s="38">
        <v>1</v>
      </c>
      <c r="O79" s="38" t="s">
        <v>1699</v>
      </c>
      <c r="P79" s="38"/>
      <c r="R79" s="9">
        <v>1151.398219597819</v>
      </c>
      <c r="T79" s="8"/>
      <c r="U79" s="7" t="s">
        <v>34</v>
      </c>
    </row>
    <row r="80" spans="1:21" ht="14.1" customHeight="1">
      <c r="A80" s="7">
        <v>76</v>
      </c>
      <c r="B80" s="14" t="s">
        <v>326</v>
      </c>
      <c r="C80" s="14" t="s">
        <v>1695</v>
      </c>
      <c r="D80" s="7" t="s">
        <v>1627</v>
      </c>
      <c r="E80" s="14" t="s">
        <v>327</v>
      </c>
      <c r="F80" s="7" t="s">
        <v>1696</v>
      </c>
      <c r="G80" s="8">
        <v>370759</v>
      </c>
      <c r="H80" s="7" t="s">
        <v>481</v>
      </c>
      <c r="I80" s="8" t="s">
        <v>1840</v>
      </c>
      <c r="J80" s="7" t="s">
        <v>30</v>
      </c>
      <c r="K80" s="7"/>
      <c r="L80" s="7" t="s">
        <v>307</v>
      </c>
      <c r="M80" s="7">
        <v>83024110</v>
      </c>
      <c r="N80" s="7">
        <v>1</v>
      </c>
      <c r="O80" s="7" t="s">
        <v>1699</v>
      </c>
      <c r="P80" s="7"/>
      <c r="R80" s="9">
        <v>648.69146553985001</v>
      </c>
      <c r="T80" s="7" t="s">
        <v>34</v>
      </c>
      <c r="U80" s="8"/>
    </row>
    <row r="81" spans="1:21" ht="14.1" customHeight="1">
      <c r="A81" s="7">
        <v>77</v>
      </c>
      <c r="B81" s="14" t="s">
        <v>326</v>
      </c>
      <c r="C81" s="14" t="s">
        <v>1695</v>
      </c>
      <c r="D81" s="7" t="s">
        <v>1627</v>
      </c>
      <c r="E81" s="14" t="s">
        <v>327</v>
      </c>
      <c r="F81" s="7" t="s">
        <v>1696</v>
      </c>
      <c r="G81" s="8">
        <v>370960</v>
      </c>
      <c r="H81" s="7" t="s">
        <v>481</v>
      </c>
      <c r="I81" s="8" t="s">
        <v>1841</v>
      </c>
      <c r="J81" s="7" t="s">
        <v>30</v>
      </c>
      <c r="K81" s="7"/>
      <c r="L81" s="7" t="s">
        <v>307</v>
      </c>
      <c r="M81" s="7">
        <v>83024110</v>
      </c>
      <c r="N81" s="7">
        <v>1</v>
      </c>
      <c r="O81" s="7" t="s">
        <v>1699</v>
      </c>
      <c r="P81" s="7"/>
      <c r="R81" s="9">
        <v>648.69146553985001</v>
      </c>
      <c r="T81" s="7" t="s">
        <v>34</v>
      </c>
      <c r="U81" s="8"/>
    </row>
    <row r="82" spans="1:21" ht="14.1" customHeight="1"/>
    <row r="83" spans="1:21" ht="14.1" customHeight="1"/>
    <row r="84" spans="1:21" ht="14.1" customHeight="1"/>
    <row r="85" spans="1:21" ht="14.1" customHeight="1"/>
    <row r="86" spans="1:21" ht="14.1" customHeight="1"/>
    <row r="87" spans="1:21" ht="14.1" customHeight="1"/>
    <row r="88" spans="1:21" ht="14.1" customHeight="1"/>
    <row r="89" spans="1:21" ht="14.1" customHeight="1"/>
    <row r="90" spans="1:21" ht="14.1" customHeight="1"/>
    <row r="91" spans="1:21" ht="14.1" customHeight="1"/>
    <row r="92" spans="1:21" ht="14.1" customHeight="1"/>
    <row r="93" spans="1:21" ht="14.1" customHeight="1"/>
    <row r="94" spans="1:21" ht="14.1" customHeight="1"/>
    <row r="95" spans="1:21" ht="14.1" customHeight="1"/>
    <row r="96" spans="1:21" ht="14.1" customHeight="1"/>
    <row r="97" ht="14.1" customHeight="1"/>
    <row r="98" ht="14.1" customHeight="1"/>
    <row r="99" ht="14.1" customHeight="1"/>
    <row r="100" ht="14.1" customHeight="1"/>
    <row r="101" ht="14.1" customHeight="1"/>
    <row r="102" ht="14.1" customHeight="1"/>
    <row r="103" ht="14.1" customHeight="1"/>
    <row r="104" ht="14.1" customHeight="1"/>
    <row r="105" ht="14.1" customHeight="1"/>
    <row r="106" ht="14.1" customHeight="1"/>
    <row r="107" ht="14.1" customHeight="1"/>
    <row r="108" ht="14.1" customHeight="1"/>
    <row r="109" ht="14.1" customHeight="1"/>
    <row r="110" ht="14.1" customHeight="1"/>
    <row r="111" ht="14.1" customHeight="1"/>
    <row r="112" ht="14.1" customHeight="1"/>
    <row r="113" ht="14.1" customHeight="1"/>
    <row r="114" ht="14.1" customHeight="1"/>
    <row r="115" ht="14.1" customHeight="1"/>
    <row r="116" ht="14.1" customHeight="1"/>
    <row r="117" ht="14.1" customHeight="1"/>
    <row r="118" ht="14.1" customHeight="1"/>
    <row r="119" ht="14.1" customHeight="1"/>
    <row r="120" ht="14.1" customHeight="1"/>
    <row r="121" ht="14.1" customHeight="1"/>
    <row r="122" ht="14.1" customHeight="1"/>
    <row r="123" ht="14.1" customHeight="1"/>
    <row r="124" ht="14.1" customHeight="1"/>
    <row r="125" ht="14.1" customHeight="1"/>
    <row r="126" ht="14.1" customHeight="1"/>
    <row r="127" ht="14.1" customHeight="1"/>
    <row r="128" ht="14.1" customHeight="1"/>
    <row r="129" ht="14.1" customHeight="1"/>
    <row r="130" ht="14.1" customHeight="1"/>
    <row r="131" ht="14.1" customHeight="1"/>
    <row r="132" ht="14.1" customHeight="1"/>
    <row r="133" ht="14.1" customHeight="1"/>
    <row r="134" ht="14.1" customHeight="1"/>
    <row r="135" ht="14.1" customHeight="1"/>
    <row r="136" ht="14.1" customHeight="1"/>
    <row r="137" ht="14.1" customHeight="1"/>
    <row r="138" ht="14.1" customHeight="1"/>
    <row r="139" ht="14.1" customHeight="1"/>
    <row r="140" ht="14.1" customHeight="1"/>
    <row r="141" ht="14.1" customHeight="1"/>
    <row r="142" ht="14.1" customHeight="1"/>
    <row r="143" ht="14.1" customHeight="1"/>
    <row r="144" ht="14.1" customHeight="1"/>
    <row r="145" ht="14.1" customHeight="1"/>
    <row r="146" ht="14.1" customHeight="1"/>
    <row r="147" ht="14.1" customHeight="1"/>
    <row r="148" ht="14.1" customHeight="1"/>
    <row r="149" ht="14.1" customHeight="1"/>
    <row r="150" ht="14.1" customHeight="1"/>
    <row r="151" ht="14.1" customHeight="1"/>
    <row r="152" ht="14.1" customHeight="1"/>
    <row r="153" ht="14.1" customHeight="1"/>
    <row r="154" ht="14.1" customHeight="1"/>
    <row r="155" ht="14.1" customHeight="1"/>
    <row r="156" ht="14.1" customHeight="1"/>
    <row r="157" ht="14.1" customHeight="1"/>
    <row r="158" ht="14.1" customHeight="1"/>
    <row r="159" ht="14.1" customHeight="1"/>
    <row r="160" ht="14.1" customHeight="1"/>
    <row r="161" ht="14.1" customHeight="1"/>
    <row r="162" ht="14.1" customHeight="1"/>
    <row r="163" ht="14.1" customHeight="1"/>
    <row r="164" ht="14.1" customHeight="1"/>
    <row r="165" ht="14.1" customHeight="1"/>
    <row r="166" ht="14.1" customHeight="1"/>
    <row r="167" ht="14.1" customHeight="1"/>
    <row r="168" ht="14.1" customHeight="1"/>
    <row r="169" ht="14.1" customHeight="1"/>
    <row r="170" ht="14.1" customHeight="1"/>
    <row r="171" ht="14.1" customHeight="1"/>
    <row r="172" ht="14.1" customHeight="1"/>
    <row r="173" ht="14.1" customHeight="1"/>
    <row r="174" ht="14.1" customHeight="1"/>
    <row r="175" ht="14.1" customHeight="1"/>
    <row r="176" ht="14.1" customHeight="1"/>
    <row r="177" ht="14.1" customHeight="1"/>
    <row r="178" ht="14.1" customHeight="1"/>
    <row r="179" ht="14.1" customHeight="1"/>
    <row r="180" ht="14.1" customHeight="1"/>
    <row r="181" ht="14.1" customHeight="1"/>
    <row r="182" ht="14.1" customHeight="1"/>
    <row r="183" ht="14.1" customHeight="1"/>
    <row r="184" ht="14.1" customHeight="1"/>
    <row r="185" ht="14.1" customHeight="1"/>
    <row r="186" ht="14.1" customHeight="1"/>
    <row r="187" ht="14.1" customHeight="1"/>
    <row r="188" ht="14.1" customHeight="1"/>
    <row r="189" ht="14.1" customHeight="1"/>
    <row r="190" ht="14.1" customHeight="1"/>
    <row r="191" ht="14.1" customHeight="1"/>
    <row r="192" ht="14.1" customHeight="1"/>
    <row r="193" ht="14.1" customHeight="1"/>
    <row r="194" ht="14.1" customHeight="1"/>
    <row r="195" ht="14.1" customHeight="1"/>
    <row r="196" ht="14.1" customHeight="1"/>
    <row r="197" ht="14.1" customHeight="1"/>
    <row r="198" ht="14.1" customHeight="1"/>
    <row r="199" ht="14.1" customHeight="1"/>
    <row r="200" ht="14.1" customHeight="1"/>
    <row r="201" ht="14.1" customHeight="1"/>
    <row r="202" ht="14.1" customHeight="1"/>
    <row r="203" ht="14.1" customHeight="1"/>
    <row r="204" ht="14.1" customHeight="1"/>
    <row r="205" ht="14.1" customHeight="1"/>
    <row r="206" ht="14.1" customHeight="1"/>
    <row r="207" ht="14.1" customHeight="1"/>
    <row r="208" ht="14.1" customHeight="1"/>
    <row r="209" ht="14.1" customHeight="1"/>
    <row r="210" ht="14.1" customHeight="1"/>
    <row r="211" ht="14.1" customHeight="1"/>
    <row r="212" ht="14.1" customHeight="1"/>
    <row r="213" ht="14.1" customHeight="1"/>
    <row r="214" ht="14.1" customHeight="1"/>
    <row r="215" ht="14.1" customHeight="1"/>
    <row r="216" ht="14.1" customHeight="1"/>
    <row r="217" ht="14.1" customHeight="1"/>
    <row r="218" ht="14.1" customHeight="1"/>
    <row r="219" ht="14.1" customHeight="1"/>
    <row r="220" ht="14.1" customHeight="1"/>
    <row r="221" ht="14.1" customHeight="1"/>
    <row r="222" ht="14.1" customHeight="1"/>
    <row r="223" ht="14.1" customHeight="1"/>
    <row r="224" ht="14.1" customHeight="1"/>
    <row r="225" ht="14.1" customHeight="1"/>
    <row r="226" ht="14.1" customHeight="1"/>
    <row r="227" ht="14.1" customHeight="1"/>
    <row r="228" ht="14.1" customHeight="1"/>
    <row r="229" ht="14.1" customHeight="1"/>
    <row r="230" ht="14.1" customHeight="1"/>
    <row r="231" ht="14.1" customHeight="1"/>
    <row r="232" ht="14.1" customHeight="1"/>
    <row r="233" ht="14.1" customHeight="1"/>
    <row r="234" ht="14.1" customHeight="1"/>
    <row r="235" ht="14.1" customHeight="1"/>
    <row r="236" ht="14.1" customHeight="1"/>
    <row r="237" ht="14.1" customHeight="1"/>
    <row r="238" ht="14.1" customHeight="1"/>
    <row r="239" ht="14.1" customHeight="1"/>
    <row r="240" ht="14.1" customHeight="1"/>
    <row r="241" ht="14.1" customHeight="1"/>
    <row r="242" ht="14.1" customHeight="1"/>
    <row r="243" ht="14.1" customHeight="1"/>
    <row r="244" ht="14.1" customHeight="1"/>
    <row r="245" ht="14.1" customHeight="1"/>
    <row r="246" ht="14.1" customHeight="1"/>
    <row r="247" ht="14.1" customHeight="1"/>
    <row r="248" ht="14.1" customHeight="1"/>
    <row r="249" ht="14.1" customHeight="1"/>
    <row r="250" ht="14.1" customHeight="1"/>
    <row r="251" ht="14.1" customHeight="1"/>
    <row r="252" ht="14.1" customHeight="1"/>
    <row r="253" ht="14.1" customHeight="1"/>
    <row r="254" ht="14.1" customHeight="1"/>
    <row r="255" ht="14.1" customHeight="1"/>
    <row r="256" ht="14.1" customHeight="1"/>
    <row r="257" ht="14.1" customHeight="1"/>
    <row r="258" ht="14.1" customHeight="1"/>
    <row r="259" ht="14.1" customHeight="1"/>
    <row r="260" ht="14.1" customHeight="1"/>
    <row r="261" ht="14.1" customHeight="1"/>
    <row r="262" ht="14.1" customHeight="1"/>
    <row r="263" ht="14.1" customHeight="1"/>
    <row r="264" ht="14.1" customHeight="1"/>
    <row r="265" ht="14.1" customHeight="1"/>
    <row r="266" ht="14.1" customHeight="1"/>
    <row r="267" ht="14.1" customHeight="1"/>
    <row r="268" ht="14.1" customHeight="1"/>
    <row r="269" ht="14.1" customHeight="1"/>
    <row r="270" ht="14.1" customHeight="1"/>
    <row r="271" ht="14.1" customHeight="1"/>
    <row r="272" ht="14.1" customHeight="1"/>
    <row r="273" ht="14.1" customHeight="1"/>
    <row r="274" ht="14.1" customHeight="1"/>
    <row r="275" ht="14.1" customHeight="1"/>
    <row r="276" ht="14.1" customHeight="1"/>
    <row r="277" ht="14.1" customHeight="1"/>
    <row r="278" ht="14.1" customHeight="1"/>
    <row r="279" ht="14.1" customHeight="1"/>
    <row r="280" ht="14.1" customHeight="1"/>
    <row r="281" ht="14.1" customHeight="1"/>
    <row r="282" ht="14.1" customHeight="1"/>
    <row r="283" ht="14.1" customHeight="1"/>
    <row r="284" ht="14.1" customHeight="1"/>
    <row r="285" ht="14.1" customHeight="1"/>
    <row r="286" ht="14.1" customHeight="1"/>
    <row r="287" ht="14.1" customHeight="1"/>
    <row r="288" ht="14.1" customHeight="1"/>
    <row r="289" ht="14.1" customHeight="1"/>
    <row r="290" ht="14.1" customHeight="1"/>
    <row r="291" ht="14.1" customHeight="1"/>
    <row r="292" ht="14.1" customHeight="1"/>
    <row r="293" ht="14.1" customHeight="1"/>
    <row r="294" ht="14.1" customHeight="1"/>
    <row r="295" ht="14.1" customHeight="1"/>
    <row r="296" ht="14.1" customHeight="1"/>
    <row r="297" ht="14.1" customHeight="1"/>
    <row r="298" ht="14.1" customHeight="1"/>
    <row r="299" ht="14.1" customHeight="1"/>
    <row r="300" ht="14.1" customHeight="1"/>
    <row r="301" ht="14.1" customHeight="1"/>
    <row r="302" ht="14.1" customHeight="1"/>
    <row r="303" ht="14.1" customHeight="1"/>
    <row r="304" ht="14.1" customHeight="1"/>
    <row r="305" ht="14.1" customHeight="1"/>
    <row r="306" ht="14.1" customHeight="1"/>
    <row r="307" ht="14.1" customHeight="1"/>
    <row r="308" ht="14.1" customHeight="1"/>
    <row r="309" ht="14.1" customHeight="1"/>
    <row r="310" ht="14.1" customHeight="1"/>
    <row r="311" ht="14.1" customHeight="1"/>
    <row r="312" ht="14.1" customHeight="1"/>
    <row r="313" ht="14.1" customHeight="1"/>
    <row r="314" ht="14.1" customHeight="1"/>
    <row r="315" ht="14.1" customHeight="1"/>
    <row r="316" ht="14.1" customHeight="1"/>
    <row r="317" ht="14.1" customHeight="1"/>
    <row r="318" ht="14.1" customHeight="1"/>
    <row r="319" ht="14.1" customHeight="1"/>
    <row r="320" ht="14.1" customHeight="1"/>
    <row r="321" ht="14.1" customHeight="1"/>
    <row r="322" ht="14.1" customHeight="1"/>
    <row r="323" ht="14.1" customHeight="1"/>
    <row r="324" ht="14.1" customHeight="1"/>
    <row r="325" ht="14.1" customHeight="1"/>
    <row r="326" ht="14.1" customHeight="1"/>
    <row r="327" ht="14.1" customHeight="1"/>
    <row r="328" ht="14.1" customHeight="1"/>
    <row r="329" ht="14.1" customHeight="1"/>
    <row r="330" ht="14.1" customHeight="1"/>
    <row r="331" ht="14.1" customHeight="1"/>
    <row r="332" ht="14.1" customHeight="1"/>
    <row r="333" ht="14.1" customHeight="1"/>
    <row r="334" ht="14.1" customHeight="1"/>
    <row r="335" ht="14.1" customHeight="1"/>
    <row r="336" ht="14.1" customHeight="1"/>
    <row r="337" ht="14.1" customHeight="1"/>
    <row r="338" ht="14.1" customHeight="1"/>
    <row r="339" ht="14.1" customHeight="1"/>
    <row r="340" ht="14.1" customHeight="1"/>
    <row r="341" ht="14.1" customHeight="1"/>
    <row r="342" ht="14.1" customHeight="1"/>
    <row r="343" ht="14.1" customHeight="1"/>
    <row r="344" ht="14.1" customHeight="1"/>
    <row r="345" ht="14.1" customHeight="1"/>
    <row r="346" ht="14.1" customHeight="1"/>
    <row r="347" ht="14.1" customHeight="1"/>
    <row r="348" ht="14.1" customHeight="1"/>
    <row r="349" ht="14.1" customHeight="1"/>
    <row r="350" ht="14.1" customHeight="1"/>
    <row r="351" ht="14.1" customHeight="1"/>
    <row r="352" ht="14.1" customHeight="1"/>
    <row r="353" ht="14.1" customHeight="1"/>
    <row r="354" ht="14.1" customHeight="1"/>
    <row r="355" ht="14.1" customHeight="1"/>
    <row r="356" ht="14.1" customHeight="1"/>
    <row r="357" ht="14.1" customHeight="1"/>
    <row r="358" ht="14.1" customHeight="1"/>
    <row r="359" ht="14.1" customHeight="1"/>
    <row r="360" ht="14.1" customHeight="1"/>
    <row r="361" ht="14.1" customHeight="1"/>
    <row r="362" ht="14.1" customHeight="1"/>
    <row r="363" ht="14.1" customHeight="1"/>
    <row r="364" ht="14.1" customHeight="1"/>
    <row r="365" ht="14.1" customHeight="1"/>
    <row r="366" ht="14.1" customHeight="1"/>
    <row r="367" ht="14.1" customHeight="1"/>
    <row r="368" ht="14.1" customHeight="1"/>
    <row r="369" ht="14.1" customHeight="1"/>
    <row r="370" ht="14.1" customHeight="1"/>
    <row r="371" ht="14.1" customHeight="1"/>
    <row r="372" ht="14.1" customHeight="1"/>
    <row r="373" ht="14.1" customHeight="1"/>
    <row r="374" ht="14.1" customHeight="1"/>
    <row r="375" ht="14.1" customHeight="1"/>
    <row r="376" ht="14.1" customHeight="1"/>
    <row r="377" ht="14.1" customHeight="1"/>
    <row r="378" ht="14.1" customHeight="1"/>
    <row r="379" ht="14.1" customHeight="1"/>
    <row r="380" ht="14.1" customHeight="1"/>
    <row r="381" ht="14.1" customHeight="1"/>
    <row r="382" ht="14.1" customHeight="1"/>
    <row r="383" ht="14.1" customHeight="1"/>
    <row r="384" ht="14.1" customHeight="1"/>
    <row r="385" ht="14.1" customHeight="1"/>
    <row r="386" ht="14.1" customHeight="1"/>
    <row r="387" ht="14.1" customHeight="1"/>
    <row r="388" ht="14.1" customHeight="1"/>
    <row r="389" ht="14.1" customHeight="1"/>
    <row r="390" ht="14.1" customHeight="1"/>
    <row r="391" ht="14.1" customHeight="1"/>
    <row r="392" ht="14.1" customHeight="1"/>
    <row r="393" ht="14.1" customHeight="1"/>
    <row r="394" ht="14.1" customHeight="1"/>
    <row r="395" ht="14.1" customHeight="1"/>
    <row r="396" ht="14.1" customHeight="1"/>
    <row r="397" ht="14.1" customHeight="1"/>
    <row r="398" ht="14.1" customHeight="1"/>
    <row r="399" ht="14.1" customHeight="1"/>
    <row r="400" ht="14.1" customHeight="1"/>
    <row r="401" ht="14.1" customHeight="1"/>
    <row r="402" ht="14.1" customHeight="1"/>
    <row r="403" ht="14.1" customHeight="1"/>
    <row r="404" ht="14.1" customHeight="1"/>
    <row r="405" ht="14.1" customHeight="1"/>
    <row r="406" ht="14.1" customHeight="1"/>
    <row r="407" ht="14.1" customHeight="1"/>
    <row r="408" ht="14.1" customHeight="1"/>
    <row r="409" ht="14.1" customHeight="1"/>
    <row r="410" ht="14.1" customHeight="1"/>
    <row r="411" ht="14.1" customHeight="1"/>
    <row r="412" ht="14.1" customHeight="1"/>
    <row r="413" ht="14.1" customHeight="1"/>
    <row r="414" ht="14.1" customHeight="1"/>
    <row r="415" ht="14.1" customHeight="1"/>
    <row r="416" ht="14.1" customHeight="1"/>
    <row r="417" ht="14.1" customHeight="1"/>
    <row r="418" ht="14.1" customHeight="1"/>
    <row r="419" ht="14.1" customHeight="1"/>
    <row r="420" ht="14.1" customHeight="1"/>
    <row r="421" ht="14.1" customHeight="1"/>
    <row r="422" ht="14.1" customHeight="1"/>
    <row r="423" ht="14.1" customHeight="1"/>
    <row r="424" ht="14.1" customHeight="1"/>
    <row r="425" ht="14.1" customHeight="1"/>
    <row r="426" ht="14.1" customHeight="1"/>
    <row r="427" ht="14.1" customHeight="1"/>
    <row r="428" ht="14.1" customHeight="1"/>
    <row r="429" ht="14.1" customHeight="1"/>
    <row r="430" ht="14.1" customHeight="1"/>
    <row r="431" ht="14.1" customHeight="1"/>
    <row r="432" ht="14.1" customHeight="1"/>
    <row r="433" ht="14.1" customHeight="1"/>
    <row r="434" ht="14.1" customHeight="1"/>
    <row r="435" ht="14.1" customHeight="1"/>
    <row r="436" ht="14.1" customHeight="1"/>
    <row r="437" ht="14.1" customHeight="1"/>
    <row r="438" ht="14.1" customHeight="1"/>
    <row r="439" ht="14.1" customHeight="1"/>
    <row r="440" ht="14.1" customHeight="1"/>
    <row r="441" ht="14.1" customHeight="1"/>
    <row r="442" ht="14.1" customHeight="1"/>
    <row r="443" ht="14.1" customHeight="1"/>
    <row r="444" ht="14.1" customHeight="1"/>
    <row r="445" ht="14.1" customHeight="1"/>
    <row r="446" ht="14.1" customHeight="1"/>
    <row r="447" ht="14.1" customHeight="1"/>
    <row r="448" ht="14.1" customHeight="1"/>
    <row r="449" ht="14.1" customHeight="1"/>
    <row r="450" ht="14.1" customHeight="1"/>
    <row r="451" ht="14.1" customHeight="1"/>
    <row r="452" ht="14.1" customHeight="1"/>
    <row r="453" ht="14.1" customHeight="1"/>
    <row r="454" ht="14.1" customHeight="1"/>
    <row r="455" ht="14.1" customHeight="1"/>
    <row r="456" ht="14.1" customHeight="1"/>
    <row r="457" ht="14.1" customHeight="1"/>
    <row r="458" ht="14.1" customHeight="1"/>
    <row r="459" ht="14.1" customHeight="1"/>
    <row r="460" ht="14.1" customHeight="1"/>
    <row r="461" ht="14.1" customHeight="1"/>
    <row r="462" ht="14.1" customHeight="1"/>
    <row r="463" ht="14.1" customHeight="1"/>
    <row r="464" ht="14.1" customHeight="1"/>
    <row r="465" ht="14.1" customHeight="1"/>
    <row r="466" ht="14.1" customHeight="1"/>
    <row r="467" ht="14.1" customHeight="1"/>
    <row r="468" ht="14.1" customHeight="1"/>
    <row r="469" ht="14.1" customHeight="1"/>
    <row r="470" ht="14.1" customHeight="1"/>
    <row r="471" ht="14.1" customHeight="1"/>
    <row r="472" ht="14.1" customHeight="1"/>
    <row r="473" ht="14.1" customHeight="1"/>
    <row r="474" ht="14.1" customHeight="1"/>
    <row r="475" ht="14.1" customHeight="1"/>
    <row r="476" ht="14.1" customHeight="1"/>
    <row r="477" ht="14.1" customHeight="1"/>
    <row r="478" ht="14.1" customHeight="1"/>
    <row r="479" ht="14.1" customHeight="1"/>
    <row r="480" ht="14.1" customHeight="1"/>
    <row r="481" ht="14.1" customHeight="1"/>
    <row r="482" ht="14.1" customHeight="1"/>
    <row r="483" ht="14.1" customHeight="1"/>
    <row r="484" ht="14.1" customHeight="1"/>
    <row r="485" ht="14.1" customHeight="1"/>
    <row r="486" ht="14.1" customHeight="1"/>
    <row r="487" ht="14.1" customHeight="1"/>
    <row r="488" ht="14.1" customHeight="1"/>
    <row r="489" ht="14.1" customHeight="1"/>
    <row r="490" ht="14.1" customHeight="1"/>
    <row r="491" ht="14.1" customHeight="1"/>
    <row r="492" ht="14.1" customHeight="1"/>
    <row r="493" ht="14.1" customHeight="1"/>
    <row r="494" ht="14.1" customHeight="1"/>
    <row r="495" ht="14.1" customHeight="1"/>
    <row r="496" ht="14.1" customHeight="1"/>
    <row r="497" ht="14.1" customHeight="1"/>
    <row r="498" ht="14.1" customHeight="1"/>
    <row r="499" ht="14.1" customHeight="1"/>
    <row r="500" ht="14.1" customHeight="1"/>
    <row r="501" ht="14.1" customHeight="1"/>
    <row r="502" ht="14.1" customHeight="1"/>
    <row r="503" ht="14.1" customHeight="1"/>
    <row r="504" ht="14.1" customHeight="1"/>
    <row r="505" ht="14.1" customHeight="1"/>
    <row r="506" ht="14.1" customHeight="1"/>
    <row r="507" ht="14.1" customHeight="1"/>
    <row r="508" ht="14.1" customHeight="1"/>
    <row r="509" ht="14.1" customHeight="1"/>
    <row r="510" ht="14.1" customHeight="1"/>
    <row r="511" ht="14.1" customHeight="1"/>
    <row r="512" ht="14.1" customHeight="1"/>
    <row r="513" ht="14.1" customHeight="1"/>
    <row r="514" ht="14.1" customHeight="1"/>
    <row r="515" ht="14.1" customHeight="1"/>
    <row r="516" ht="14.1" customHeight="1"/>
    <row r="517" ht="14.1" customHeight="1"/>
    <row r="518" ht="14.1" customHeight="1"/>
    <row r="519" ht="14.1" customHeight="1"/>
    <row r="520" ht="14.1" customHeight="1"/>
    <row r="521" ht="14.1" customHeight="1"/>
    <row r="522" ht="14.1" customHeight="1"/>
    <row r="523" ht="14.1" customHeight="1"/>
    <row r="524" ht="14.1" customHeight="1"/>
    <row r="525" ht="14.1" customHeight="1"/>
    <row r="526" ht="14.1" customHeight="1"/>
    <row r="527" ht="14.1" customHeight="1"/>
    <row r="528" ht="14.1" customHeight="1"/>
    <row r="529" ht="14.1" customHeight="1"/>
    <row r="530" ht="14.1" customHeight="1"/>
    <row r="531" ht="14.1" customHeight="1"/>
    <row r="532" ht="14.1" customHeight="1"/>
    <row r="533" ht="14.1" customHeight="1"/>
    <row r="534" ht="14.1" customHeight="1"/>
    <row r="535" ht="14.1" customHeight="1"/>
    <row r="536" ht="14.1" customHeight="1"/>
    <row r="537" ht="14.1" customHeight="1"/>
    <row r="538" ht="14.1" customHeight="1"/>
    <row r="539" ht="14.1" customHeight="1"/>
    <row r="540" ht="14.1" customHeight="1"/>
    <row r="541" ht="14.1" customHeight="1"/>
    <row r="542" ht="14.1" customHeight="1"/>
    <row r="543" ht="14.1" customHeight="1"/>
    <row r="544" ht="14.1" customHeight="1"/>
    <row r="545" ht="14.1" customHeight="1"/>
    <row r="546" ht="14.1" customHeight="1"/>
    <row r="547" ht="14.1" customHeight="1"/>
    <row r="548" ht="14.1" customHeight="1"/>
    <row r="549" ht="14.1" customHeight="1"/>
    <row r="550" ht="14.1" customHeight="1"/>
    <row r="551" ht="14.1" customHeight="1"/>
    <row r="552" ht="14.1" customHeight="1"/>
    <row r="553" ht="14.1" customHeight="1"/>
    <row r="554" ht="14.1" customHeight="1"/>
    <row r="555" ht="14.1" customHeight="1"/>
    <row r="556" ht="14.1" customHeight="1"/>
    <row r="557" ht="14.1" customHeight="1"/>
    <row r="558" ht="14.1" customHeight="1"/>
    <row r="559" ht="14.1" customHeight="1"/>
    <row r="560" ht="14.1" customHeight="1"/>
    <row r="561" ht="14.1" customHeight="1"/>
    <row r="562" ht="14.1" customHeight="1"/>
    <row r="563" ht="14.1" customHeight="1"/>
    <row r="564" ht="14.1" customHeight="1"/>
    <row r="565" ht="14.1" customHeight="1"/>
    <row r="566" ht="14.1" customHeight="1"/>
    <row r="567" ht="14.1" customHeight="1"/>
    <row r="568" ht="14.1" customHeight="1"/>
    <row r="569" ht="14.1" customHeight="1"/>
    <row r="570" ht="14.1" customHeight="1"/>
    <row r="571" ht="14.1" customHeight="1"/>
    <row r="572" ht="14.1" customHeight="1"/>
    <row r="573" ht="14.1" customHeight="1"/>
    <row r="574" ht="14.1" customHeight="1"/>
    <row r="575" ht="14.1" customHeight="1"/>
    <row r="576" ht="14.1" customHeight="1"/>
    <row r="577" ht="14.1" customHeight="1"/>
    <row r="578" ht="14.1" customHeight="1"/>
    <row r="579" ht="14.1" customHeight="1"/>
    <row r="580" ht="14.1" customHeight="1"/>
    <row r="581" ht="14.1" customHeight="1"/>
    <row r="582" ht="14.1" customHeight="1"/>
    <row r="583" ht="14.1" customHeight="1"/>
    <row r="584" ht="14.1" customHeight="1"/>
    <row r="585" ht="14.1" customHeight="1"/>
    <row r="586" ht="14.1" customHeight="1"/>
    <row r="587" ht="14.1" customHeight="1"/>
    <row r="588" ht="14.1" customHeight="1"/>
    <row r="589" ht="14.1" customHeight="1"/>
    <row r="590" ht="14.1" customHeight="1"/>
    <row r="591" ht="14.1" customHeight="1"/>
    <row r="592" ht="14.1" customHeight="1"/>
    <row r="593" ht="14.1" customHeight="1"/>
    <row r="594" ht="14.1" customHeight="1"/>
    <row r="595" ht="14.1" customHeight="1"/>
    <row r="596" ht="14.1" customHeight="1"/>
    <row r="597" ht="14.1" customHeight="1"/>
    <row r="598" ht="14.1" customHeight="1"/>
    <row r="599" ht="14.1" customHeight="1"/>
    <row r="600" ht="14.1" customHeight="1"/>
    <row r="601" ht="14.1" customHeight="1"/>
    <row r="602" ht="14.1" customHeight="1"/>
    <row r="603" ht="14.1" customHeight="1"/>
    <row r="604" ht="14.1" customHeight="1"/>
    <row r="605" ht="14.1" customHeight="1"/>
    <row r="606" ht="14.1" customHeight="1"/>
    <row r="607" ht="14.1" customHeight="1"/>
    <row r="608" ht="14.1" customHeight="1"/>
    <row r="609" ht="14.1" customHeight="1"/>
    <row r="610" ht="14.1" customHeight="1"/>
    <row r="611" ht="14.1" customHeight="1"/>
    <row r="612" ht="14.1" customHeight="1"/>
    <row r="613" ht="14.1" customHeight="1"/>
    <row r="614" ht="14.1" customHeight="1"/>
    <row r="615" ht="14.1" customHeight="1"/>
    <row r="616" ht="14.1" customHeight="1"/>
    <row r="617" ht="14.1" customHeight="1"/>
    <row r="618" ht="14.1" customHeight="1"/>
    <row r="619" ht="14.1" customHeight="1"/>
    <row r="620" ht="14.1" customHeight="1"/>
    <row r="621" ht="14.1" customHeight="1"/>
    <row r="622" ht="14.1" customHeight="1"/>
    <row r="623" ht="14.1" customHeight="1"/>
    <row r="624" ht="14.1" customHeight="1"/>
    <row r="625" ht="14.1" customHeight="1"/>
    <row r="626" ht="14.1" customHeight="1"/>
    <row r="627" ht="14.1" customHeight="1"/>
    <row r="628" ht="14.1" customHeight="1"/>
    <row r="629" ht="14.1" customHeight="1"/>
    <row r="630" ht="14.1" customHeight="1"/>
    <row r="631" ht="14.1" customHeight="1"/>
    <row r="632" ht="14.1" customHeight="1"/>
    <row r="633" ht="14.1" customHeight="1"/>
    <row r="634" ht="14.1" customHeight="1"/>
    <row r="635" ht="14.1" customHeight="1"/>
    <row r="636" ht="14.1" customHeight="1"/>
    <row r="637" ht="14.1" customHeight="1"/>
    <row r="638" ht="14.1" customHeight="1"/>
    <row r="639" ht="14.1" customHeight="1"/>
    <row r="640" ht="14.1" customHeight="1"/>
    <row r="641" ht="14.1" customHeight="1"/>
    <row r="642" ht="14.1" customHeight="1"/>
    <row r="643" ht="14.1" customHeight="1"/>
    <row r="644" ht="14.1" customHeight="1"/>
    <row r="645" ht="14.1" customHeight="1"/>
    <row r="646" ht="14.1" customHeight="1"/>
    <row r="647" ht="14.1" customHeight="1"/>
    <row r="648" ht="14.1" customHeight="1"/>
    <row r="649" ht="14.1" customHeight="1"/>
    <row r="650" ht="14.1" customHeight="1"/>
    <row r="651" ht="14.1" customHeight="1"/>
    <row r="652" ht="14.1" customHeight="1"/>
    <row r="653" ht="14.1" customHeight="1"/>
    <row r="654" ht="14.1" customHeight="1"/>
    <row r="655" ht="14.1" customHeight="1"/>
    <row r="656" ht="14.1" customHeight="1"/>
    <row r="657" ht="14.1" customHeight="1"/>
    <row r="658" ht="14.1" customHeight="1"/>
    <row r="659" ht="14.1" customHeight="1"/>
    <row r="660" ht="14.1" customHeight="1"/>
    <row r="661" ht="14.1" customHeight="1"/>
    <row r="662" ht="14.1" customHeight="1"/>
    <row r="663" ht="14.1" customHeight="1"/>
    <row r="664" ht="14.1" customHeight="1"/>
    <row r="665" ht="14.1" customHeight="1"/>
    <row r="666" ht="14.1" customHeight="1"/>
    <row r="667" ht="14.1" customHeight="1"/>
    <row r="668" ht="14.1" customHeight="1"/>
    <row r="669" ht="14.1" customHeight="1"/>
    <row r="670" ht="14.1" customHeight="1"/>
    <row r="671" ht="14.1" customHeight="1"/>
    <row r="672" ht="14.1" customHeight="1"/>
    <row r="673" ht="14.1" customHeight="1"/>
    <row r="674" ht="14.1" customHeight="1"/>
    <row r="675" ht="14.1" customHeight="1"/>
    <row r="676" ht="14.1" customHeight="1"/>
    <row r="677" ht="14.1" customHeight="1"/>
    <row r="678" ht="14.1" customHeight="1"/>
    <row r="679" ht="14.1" customHeight="1"/>
    <row r="680" ht="14.1" customHeight="1"/>
    <row r="681" ht="14.1" customHeight="1"/>
    <row r="682" ht="14.1" customHeight="1"/>
    <row r="683" ht="14.1" customHeight="1"/>
    <row r="684" ht="14.1" customHeight="1"/>
    <row r="685" ht="14.1" customHeight="1"/>
    <row r="686" ht="14.1" customHeight="1"/>
    <row r="687" ht="14.1" customHeight="1"/>
    <row r="688" ht="14.1" customHeight="1"/>
    <row r="689" ht="14.1" customHeight="1"/>
    <row r="690" ht="14.1" customHeight="1"/>
    <row r="691" ht="14.1" customHeight="1"/>
    <row r="692" ht="14.1" customHeight="1"/>
    <row r="693" ht="14.1" customHeight="1"/>
    <row r="694" ht="14.1" customHeight="1"/>
    <row r="695" ht="14.1" customHeight="1"/>
    <row r="696" ht="14.1" customHeight="1"/>
    <row r="697" ht="14.1" customHeight="1"/>
    <row r="698" ht="14.1" customHeight="1"/>
    <row r="699" ht="14.1" customHeight="1"/>
    <row r="700" ht="14.1" customHeight="1"/>
    <row r="701" ht="14.1" customHeight="1"/>
    <row r="702" ht="14.1" customHeight="1"/>
    <row r="703" ht="14.1" customHeight="1"/>
    <row r="704" ht="14.1" customHeight="1"/>
    <row r="705" ht="14.1" customHeight="1"/>
    <row r="706" ht="14.1" customHeight="1"/>
    <row r="707" ht="14.1" customHeight="1"/>
    <row r="708" ht="14.1" customHeight="1"/>
    <row r="709" ht="14.1" customHeight="1"/>
    <row r="710" ht="14.1" customHeight="1"/>
    <row r="711" ht="14.1" customHeight="1"/>
    <row r="712" ht="14.1" customHeight="1"/>
    <row r="713" ht="14.1" customHeight="1"/>
    <row r="714" ht="14.1" customHeight="1"/>
    <row r="715" ht="14.1" customHeight="1"/>
    <row r="716" ht="14.1" customHeight="1"/>
    <row r="717" ht="14.1" customHeight="1"/>
    <row r="718" ht="14.1" customHeight="1"/>
    <row r="719" ht="14.1" customHeight="1"/>
    <row r="720" ht="14.1" customHeight="1"/>
    <row r="721" ht="14.1" customHeight="1"/>
    <row r="722" ht="14.1" customHeight="1"/>
    <row r="723" ht="14.1" customHeight="1"/>
    <row r="724" ht="14.1" customHeight="1"/>
    <row r="725" ht="14.1" customHeight="1"/>
    <row r="726" ht="14.1" customHeight="1"/>
    <row r="727" ht="14.1" customHeight="1"/>
    <row r="728" ht="14.1" customHeight="1"/>
    <row r="729" ht="14.1" customHeight="1"/>
    <row r="730" ht="14.1" customHeight="1"/>
    <row r="731" ht="14.1" customHeight="1"/>
    <row r="732" ht="14.1" customHeight="1"/>
    <row r="733" ht="14.1" customHeight="1"/>
    <row r="734" ht="14.1" customHeight="1"/>
    <row r="735" ht="14.1" customHeight="1"/>
    <row r="736" ht="14.1" customHeight="1"/>
    <row r="737" ht="14.1" customHeight="1"/>
    <row r="738" ht="14.1" customHeight="1"/>
    <row r="739" ht="14.1" customHeight="1"/>
    <row r="740" ht="14.1" customHeight="1"/>
    <row r="741" ht="14.1" customHeight="1"/>
    <row r="742" ht="14.1" customHeight="1"/>
    <row r="743" ht="14.1" customHeight="1"/>
    <row r="744" ht="14.1" customHeight="1"/>
    <row r="745" ht="14.1" customHeight="1"/>
    <row r="746" ht="14.1" customHeight="1"/>
    <row r="747" ht="14.1" customHeight="1"/>
    <row r="748" ht="14.1" customHeight="1"/>
    <row r="749" ht="14.1" customHeight="1"/>
    <row r="750" ht="14.1" customHeight="1"/>
    <row r="751" ht="14.1" customHeight="1"/>
    <row r="752" ht="14.1" customHeight="1"/>
    <row r="753" ht="14.1" customHeight="1"/>
    <row r="754" ht="14.1" customHeight="1"/>
    <row r="755" ht="14.1" customHeight="1"/>
    <row r="756" ht="14.1" customHeight="1"/>
    <row r="757" ht="14.1" customHeight="1"/>
    <row r="758" ht="14.1" customHeight="1"/>
    <row r="759" ht="14.1" customHeight="1"/>
    <row r="760" ht="14.1" customHeight="1"/>
    <row r="761" ht="14.1" customHeight="1"/>
    <row r="762" ht="14.1" customHeight="1"/>
    <row r="763" ht="14.1" customHeight="1"/>
    <row r="764" ht="14.1" customHeight="1"/>
    <row r="765" ht="14.1" customHeight="1"/>
    <row r="766" ht="14.1" customHeight="1"/>
    <row r="767" ht="14.1" customHeight="1"/>
    <row r="768" ht="14.1" customHeight="1"/>
    <row r="769" ht="14.1" customHeight="1"/>
    <row r="770" ht="14.1" customHeight="1"/>
    <row r="771" ht="14.1" customHeight="1"/>
    <row r="772" ht="14.1" customHeight="1"/>
    <row r="773" ht="14.1" customHeight="1"/>
    <row r="774" ht="14.1" customHeight="1"/>
    <row r="775" ht="14.1" customHeight="1"/>
    <row r="776" ht="14.1" customHeight="1"/>
    <row r="777" ht="14.1" customHeight="1"/>
    <row r="778" ht="14.1" customHeight="1"/>
    <row r="779" ht="14.1" customHeight="1"/>
    <row r="780" ht="14.1" customHeight="1"/>
    <row r="781" ht="14.1" customHeight="1"/>
    <row r="782" ht="14.1" customHeight="1"/>
    <row r="783" ht="14.1" customHeight="1"/>
    <row r="784" ht="14.1" customHeight="1"/>
    <row r="785" ht="14.1" customHeight="1"/>
    <row r="786" ht="14.1" customHeight="1"/>
    <row r="787" ht="14.1" customHeight="1"/>
    <row r="788" ht="14.1" customHeight="1"/>
    <row r="789" ht="14.1" customHeight="1"/>
    <row r="790" ht="14.1" customHeight="1"/>
    <row r="791" ht="14.1" customHeight="1"/>
    <row r="792" ht="14.1" customHeight="1"/>
    <row r="793" ht="14.1" customHeight="1"/>
  </sheetData>
  <autoFilter ref="A4:U81" xr:uid="{00000000-0009-0000-0000-00000C000000}"/>
  <pageMargins left="0.61" right="0.16" top="0.87" bottom="0.21" header="0.16" footer="0.16"/>
  <pageSetup paperSize="8" scale="47" orientation="portrait"/>
  <headerFooter alignWithMargins="0">
    <oddFooter>&amp;L_x000D_&amp;1#&amp;"Arial"&amp;7&amp;KDAD4CE Public&amp;C&amp;"Verdana"&amp;10 &amp;KC1C1C1_x000D_# Restricted</oddFooter>
  </headerFooter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>
    <tabColor rgb="FF92D050"/>
    <pageSetUpPr fitToPage="1"/>
  </sheetPr>
  <dimension ref="A1:U793"/>
  <sheetViews>
    <sheetView zoomScale="80" zoomScaleNormal="80" workbookViewId="0">
      <selection activeCell="J94" sqref="J94"/>
    </sheetView>
  </sheetViews>
  <sheetFormatPr defaultColWidth="8.85546875" defaultRowHeight="15" customHeight="1"/>
  <cols>
    <col min="1" max="1" width="4.140625" style="3" customWidth="1"/>
    <col min="2" max="3" width="8.5703125" style="20" customWidth="1"/>
    <col min="4" max="4" width="14.5703125" style="3" customWidth="1"/>
    <col min="5" max="5" width="20.5703125" style="20" customWidth="1"/>
    <col min="6" max="6" width="8.5703125" style="3" customWidth="1"/>
    <col min="7" max="7" width="32.5703125" style="2" customWidth="1"/>
    <col min="8" max="8" width="18.5703125" style="3" customWidth="1"/>
    <col min="9" max="9" width="62.5703125" style="2" customWidth="1"/>
    <col min="10" max="12" width="9.5703125" style="3" customWidth="1"/>
    <col min="13" max="13" width="10.5703125" style="3" customWidth="1"/>
    <col min="14" max="14" width="8.5703125" style="3" customWidth="1"/>
    <col min="15" max="15" width="10.5703125" style="3" customWidth="1"/>
    <col min="16" max="16" width="5.5703125" style="3" customWidth="1"/>
    <col min="17" max="17" width="1.5703125" style="2" customWidth="1"/>
    <col min="18" max="18" width="10.5703125" style="30" customWidth="1"/>
    <col min="19" max="19" width="1.5703125" style="2" customWidth="1"/>
    <col min="20" max="21" width="10.5703125" style="2" customWidth="1"/>
    <col min="22" max="219" width="8.85546875" style="2" customWidth="1"/>
    <col min="220" max="220" width="8.140625" style="2" customWidth="1"/>
    <col min="221" max="221" width="14.5703125" style="2" customWidth="1"/>
    <col min="222" max="222" width="37.42578125" style="2" customWidth="1"/>
    <col min="223" max="223" width="63.140625" style="2" customWidth="1"/>
    <col min="224" max="224" width="20" style="2" customWidth="1"/>
    <col min="225" max="225" width="11.140625" style="2" customWidth="1"/>
    <col min="226" max="226" width="10.85546875" style="2" customWidth="1"/>
    <col min="227" max="227" width="21" style="2" customWidth="1"/>
    <col min="228" max="228" width="10.85546875" style="2" customWidth="1"/>
    <col min="229" max="229" width="17.42578125" style="2" customWidth="1"/>
    <col min="230" max="230" width="14.85546875" style="2" customWidth="1"/>
    <col min="231" max="231" width="15" style="2" customWidth="1"/>
    <col min="232" max="232" width="14.85546875" style="2" customWidth="1"/>
    <col min="233" max="233" width="7.140625" style="2" customWidth="1"/>
    <col min="234" max="235" width="20.140625" style="2" customWidth="1"/>
    <col min="236" max="236" width="18.42578125" style="2" customWidth="1"/>
    <col min="237" max="237" width="9.140625" style="2" customWidth="1"/>
    <col min="238" max="238" width="12" style="2" customWidth="1"/>
    <col min="239" max="239" width="14.85546875" style="2" customWidth="1"/>
    <col min="240" max="240" width="22.42578125" style="2" customWidth="1"/>
    <col min="241" max="241" width="14.85546875" style="2" customWidth="1"/>
    <col min="242" max="242" width="7.140625" style="2" customWidth="1"/>
    <col min="243" max="243" width="20.140625" style="2" customWidth="1"/>
    <col min="244" max="475" width="8.85546875" style="2" customWidth="1"/>
    <col min="476" max="476" width="8.140625" style="2" customWidth="1"/>
    <col min="477" max="477" width="14.5703125" style="2" customWidth="1"/>
    <col min="478" max="478" width="37.42578125" style="2" customWidth="1"/>
    <col min="479" max="479" width="63.140625" style="2" customWidth="1"/>
    <col min="480" max="480" width="20" style="2" customWidth="1"/>
    <col min="481" max="481" width="11.140625" style="2" customWidth="1"/>
    <col min="482" max="482" width="10.85546875" style="2" customWidth="1"/>
    <col min="483" max="483" width="21" style="2" customWidth="1"/>
    <col min="484" max="484" width="10.85546875" style="2" customWidth="1"/>
    <col min="485" max="485" width="17.42578125" style="2" customWidth="1"/>
    <col min="486" max="486" width="14.85546875" style="2" customWidth="1"/>
    <col min="487" max="487" width="15" style="2" customWidth="1"/>
    <col min="488" max="488" width="14.85546875" style="2" customWidth="1"/>
    <col min="489" max="489" width="7.140625" style="2" customWidth="1"/>
    <col min="490" max="491" width="20.140625" style="2" customWidth="1"/>
    <col min="492" max="492" width="18.42578125" style="2" customWidth="1"/>
    <col min="493" max="493" width="9.140625" style="2" customWidth="1"/>
    <col min="494" max="494" width="12" style="2" customWidth="1"/>
    <col min="495" max="495" width="14.85546875" style="2" customWidth="1"/>
    <col min="496" max="496" width="22.42578125" style="2" customWidth="1"/>
    <col min="497" max="497" width="14.85546875" style="2" customWidth="1"/>
    <col min="498" max="498" width="7.140625" style="2" customWidth="1"/>
    <col min="499" max="499" width="20.140625" style="2" customWidth="1"/>
    <col min="500" max="731" width="8.85546875" style="2" customWidth="1"/>
    <col min="732" max="732" width="8.140625" style="2" customWidth="1"/>
    <col min="733" max="733" width="14.5703125" style="2" customWidth="1"/>
    <col min="734" max="734" width="37.42578125" style="2" customWidth="1"/>
    <col min="735" max="735" width="63.140625" style="2" customWidth="1"/>
    <col min="736" max="736" width="20" style="2" customWidth="1"/>
    <col min="737" max="737" width="11.140625" style="2" customWidth="1"/>
    <col min="738" max="738" width="10.85546875" style="2" customWidth="1"/>
    <col min="739" max="739" width="21" style="2" customWidth="1"/>
    <col min="740" max="740" width="10.85546875" style="2" customWidth="1"/>
    <col min="741" max="741" width="17.42578125" style="2" customWidth="1"/>
    <col min="742" max="742" width="14.85546875" style="2" customWidth="1"/>
    <col min="743" max="743" width="15" style="2" customWidth="1"/>
    <col min="744" max="744" width="14.85546875" style="2" customWidth="1"/>
    <col min="745" max="745" width="7.140625" style="2" customWidth="1"/>
    <col min="746" max="747" width="20.140625" style="2" customWidth="1"/>
    <col min="748" max="748" width="18.42578125" style="2" customWidth="1"/>
    <col min="749" max="749" width="9.140625" style="2" customWidth="1"/>
    <col min="750" max="750" width="12" style="2" customWidth="1"/>
    <col min="751" max="751" width="14.85546875" style="2" customWidth="1"/>
    <col min="752" max="752" width="22.42578125" style="2" customWidth="1"/>
    <col min="753" max="753" width="14.85546875" style="2" customWidth="1"/>
    <col min="754" max="754" width="7.140625" style="2" customWidth="1"/>
    <col min="755" max="755" width="20.140625" style="2" customWidth="1"/>
    <col min="756" max="987" width="8.85546875" style="2" customWidth="1"/>
    <col min="988" max="988" width="8.140625" style="2" customWidth="1"/>
    <col min="989" max="989" width="14.5703125" style="2" customWidth="1"/>
    <col min="990" max="990" width="37.42578125" style="2" customWidth="1"/>
    <col min="991" max="991" width="63.140625" style="2" customWidth="1"/>
    <col min="992" max="992" width="20" style="2" customWidth="1"/>
    <col min="993" max="993" width="11.140625" style="2" customWidth="1"/>
    <col min="994" max="994" width="10.85546875" style="2" customWidth="1"/>
    <col min="995" max="995" width="21" style="2" customWidth="1"/>
    <col min="996" max="996" width="10.85546875" style="2" customWidth="1"/>
    <col min="997" max="997" width="17.42578125" style="2" customWidth="1"/>
    <col min="998" max="998" width="14.85546875" style="2" customWidth="1"/>
    <col min="999" max="999" width="15" style="2" customWidth="1"/>
    <col min="1000" max="1000" width="14.85546875" style="2" customWidth="1"/>
    <col min="1001" max="1001" width="7.140625" style="2" customWidth="1"/>
    <col min="1002" max="1003" width="20.140625" style="2" customWidth="1"/>
    <col min="1004" max="1004" width="18.42578125" style="2" customWidth="1"/>
    <col min="1005" max="1005" width="9.140625" style="2" customWidth="1"/>
    <col min="1006" max="1006" width="12" style="2" customWidth="1"/>
    <col min="1007" max="1007" width="14.85546875" style="2" customWidth="1"/>
    <col min="1008" max="1008" width="22.42578125" style="2" customWidth="1"/>
    <col min="1009" max="1009" width="14.85546875" style="2" customWidth="1"/>
    <col min="1010" max="1010" width="7.140625" style="2" customWidth="1"/>
    <col min="1011" max="1011" width="20.140625" style="2" customWidth="1"/>
    <col min="1012" max="1243" width="8.85546875" style="2" customWidth="1"/>
    <col min="1244" max="1244" width="8.140625" style="2" customWidth="1"/>
    <col min="1245" max="1245" width="14.5703125" style="2" customWidth="1"/>
    <col min="1246" max="1246" width="37.42578125" style="2" customWidth="1"/>
    <col min="1247" max="1247" width="63.140625" style="2" customWidth="1"/>
    <col min="1248" max="1248" width="20" style="2" customWidth="1"/>
    <col min="1249" max="1249" width="11.140625" style="2" customWidth="1"/>
    <col min="1250" max="1250" width="10.85546875" style="2" customWidth="1"/>
    <col min="1251" max="1251" width="21" style="2" customWidth="1"/>
    <col min="1252" max="1252" width="10.85546875" style="2" customWidth="1"/>
    <col min="1253" max="1253" width="17.42578125" style="2" customWidth="1"/>
    <col min="1254" max="1254" width="14.85546875" style="2" customWidth="1"/>
    <col min="1255" max="1255" width="15" style="2" customWidth="1"/>
    <col min="1256" max="1256" width="14.85546875" style="2" customWidth="1"/>
    <col min="1257" max="1257" width="7.140625" style="2" customWidth="1"/>
    <col min="1258" max="1259" width="20.140625" style="2" customWidth="1"/>
    <col min="1260" max="1260" width="18.42578125" style="2" customWidth="1"/>
    <col min="1261" max="1261" width="9.140625" style="2" customWidth="1"/>
    <col min="1262" max="1262" width="12" style="2" customWidth="1"/>
    <col min="1263" max="1263" width="14.85546875" style="2" customWidth="1"/>
    <col min="1264" max="1264" width="22.42578125" style="2" customWidth="1"/>
    <col min="1265" max="1265" width="14.85546875" style="2" customWidth="1"/>
    <col min="1266" max="1266" width="7.140625" style="2" customWidth="1"/>
    <col min="1267" max="1267" width="20.140625" style="2" customWidth="1"/>
    <col min="1268" max="1499" width="8.85546875" style="2" customWidth="1"/>
    <col min="1500" max="1500" width="8.140625" style="2" customWidth="1"/>
    <col min="1501" max="1501" width="14.5703125" style="2" customWidth="1"/>
    <col min="1502" max="1502" width="37.42578125" style="2" customWidth="1"/>
    <col min="1503" max="1503" width="63.140625" style="2" customWidth="1"/>
    <col min="1504" max="1504" width="20" style="2" customWidth="1"/>
    <col min="1505" max="1505" width="11.140625" style="2" customWidth="1"/>
    <col min="1506" max="1506" width="10.85546875" style="2" customWidth="1"/>
    <col min="1507" max="1507" width="21" style="2" customWidth="1"/>
    <col min="1508" max="1508" width="10.85546875" style="2" customWidth="1"/>
    <col min="1509" max="1509" width="17.42578125" style="2" customWidth="1"/>
    <col min="1510" max="1510" width="14.85546875" style="2" customWidth="1"/>
    <col min="1511" max="1511" width="15" style="2" customWidth="1"/>
    <col min="1512" max="1512" width="14.85546875" style="2" customWidth="1"/>
    <col min="1513" max="1513" width="7.140625" style="2" customWidth="1"/>
    <col min="1514" max="1515" width="20.140625" style="2" customWidth="1"/>
    <col min="1516" max="1516" width="18.42578125" style="2" customWidth="1"/>
    <col min="1517" max="1517" width="9.140625" style="2" customWidth="1"/>
    <col min="1518" max="1518" width="12" style="2" customWidth="1"/>
    <col min="1519" max="1519" width="14.85546875" style="2" customWidth="1"/>
    <col min="1520" max="1520" width="22.42578125" style="2" customWidth="1"/>
    <col min="1521" max="1521" width="14.85546875" style="2" customWidth="1"/>
    <col min="1522" max="1522" width="7.140625" style="2" customWidth="1"/>
    <col min="1523" max="1523" width="20.140625" style="2" customWidth="1"/>
    <col min="1524" max="1755" width="8.85546875" style="2" customWidth="1"/>
    <col min="1756" max="1756" width="8.140625" style="2" customWidth="1"/>
    <col min="1757" max="1757" width="14.5703125" style="2" customWidth="1"/>
    <col min="1758" max="1758" width="37.42578125" style="2" customWidth="1"/>
    <col min="1759" max="1759" width="63.140625" style="2" customWidth="1"/>
    <col min="1760" max="1760" width="20" style="2" customWidth="1"/>
    <col min="1761" max="1761" width="11.140625" style="2" customWidth="1"/>
    <col min="1762" max="1762" width="10.85546875" style="2" customWidth="1"/>
    <col min="1763" max="1763" width="21" style="2" customWidth="1"/>
    <col min="1764" max="1764" width="10.85546875" style="2" customWidth="1"/>
    <col min="1765" max="1765" width="17.42578125" style="2" customWidth="1"/>
    <col min="1766" max="1766" width="14.85546875" style="2" customWidth="1"/>
    <col min="1767" max="1767" width="15" style="2" customWidth="1"/>
    <col min="1768" max="1768" width="14.85546875" style="2" customWidth="1"/>
    <col min="1769" max="1769" width="7.140625" style="2" customWidth="1"/>
    <col min="1770" max="1771" width="20.140625" style="2" customWidth="1"/>
    <col min="1772" max="1772" width="18.42578125" style="2" customWidth="1"/>
    <col min="1773" max="1773" width="9.140625" style="2" customWidth="1"/>
    <col min="1774" max="1774" width="12" style="2" customWidth="1"/>
    <col min="1775" max="1775" width="14.85546875" style="2" customWidth="1"/>
    <col min="1776" max="1776" width="22.42578125" style="2" customWidth="1"/>
    <col min="1777" max="1777" width="14.85546875" style="2" customWidth="1"/>
    <col min="1778" max="1778" width="7.140625" style="2" customWidth="1"/>
    <col min="1779" max="1779" width="20.140625" style="2" customWidth="1"/>
    <col min="1780" max="2011" width="8.85546875" style="2" customWidth="1"/>
    <col min="2012" max="2012" width="8.140625" style="2" customWidth="1"/>
    <col min="2013" max="2013" width="14.5703125" style="2" customWidth="1"/>
    <col min="2014" max="2014" width="37.42578125" style="2" customWidth="1"/>
    <col min="2015" max="2015" width="63.140625" style="2" customWidth="1"/>
    <col min="2016" max="2016" width="20" style="2" customWidth="1"/>
    <col min="2017" max="2017" width="11.140625" style="2" customWidth="1"/>
    <col min="2018" max="2018" width="10.85546875" style="2" customWidth="1"/>
    <col min="2019" max="2019" width="21" style="2" customWidth="1"/>
    <col min="2020" max="2020" width="10.85546875" style="2" customWidth="1"/>
    <col min="2021" max="2021" width="17.42578125" style="2" customWidth="1"/>
    <col min="2022" max="2022" width="14.85546875" style="2" customWidth="1"/>
    <col min="2023" max="2023" width="15" style="2" customWidth="1"/>
    <col min="2024" max="2024" width="14.85546875" style="2" customWidth="1"/>
    <col min="2025" max="2025" width="7.140625" style="2" customWidth="1"/>
    <col min="2026" max="2027" width="20.140625" style="2" customWidth="1"/>
    <col min="2028" max="2028" width="18.42578125" style="2" customWidth="1"/>
    <col min="2029" max="2029" width="9.140625" style="2" customWidth="1"/>
    <col min="2030" max="2030" width="12" style="2" customWidth="1"/>
    <col min="2031" max="2031" width="14.85546875" style="2" customWidth="1"/>
    <col min="2032" max="2032" width="22.42578125" style="2" customWidth="1"/>
    <col min="2033" max="2033" width="14.85546875" style="2" customWidth="1"/>
    <col min="2034" max="2034" width="7.140625" style="2" customWidth="1"/>
    <col min="2035" max="2035" width="20.140625" style="2" customWidth="1"/>
    <col min="2036" max="2267" width="8.85546875" style="2" customWidth="1"/>
    <col min="2268" max="2268" width="8.140625" style="2" customWidth="1"/>
    <col min="2269" max="2269" width="14.5703125" style="2" customWidth="1"/>
    <col min="2270" max="2270" width="37.42578125" style="2" customWidth="1"/>
    <col min="2271" max="2271" width="63.140625" style="2" customWidth="1"/>
    <col min="2272" max="2272" width="20" style="2" customWidth="1"/>
    <col min="2273" max="2273" width="11.140625" style="2" customWidth="1"/>
    <col min="2274" max="2274" width="10.85546875" style="2" customWidth="1"/>
    <col min="2275" max="2275" width="21" style="2" customWidth="1"/>
    <col min="2276" max="2276" width="10.85546875" style="2" customWidth="1"/>
    <col min="2277" max="2277" width="17.42578125" style="2" customWidth="1"/>
    <col min="2278" max="2278" width="14.85546875" style="2" customWidth="1"/>
    <col min="2279" max="2279" width="15" style="2" customWidth="1"/>
    <col min="2280" max="2280" width="14.85546875" style="2" customWidth="1"/>
    <col min="2281" max="2281" width="7.140625" style="2" customWidth="1"/>
    <col min="2282" max="2283" width="20.140625" style="2" customWidth="1"/>
    <col min="2284" max="2284" width="18.42578125" style="2" customWidth="1"/>
    <col min="2285" max="2285" width="9.140625" style="2" customWidth="1"/>
    <col min="2286" max="2286" width="12" style="2" customWidth="1"/>
    <col min="2287" max="2287" width="14.85546875" style="2" customWidth="1"/>
    <col min="2288" max="2288" width="22.42578125" style="2" customWidth="1"/>
    <col min="2289" max="2289" width="14.85546875" style="2" customWidth="1"/>
    <col min="2290" max="2290" width="7.140625" style="2" customWidth="1"/>
    <col min="2291" max="2291" width="20.140625" style="2" customWidth="1"/>
    <col min="2292" max="2523" width="8.85546875" style="2" customWidth="1"/>
    <col min="2524" max="2524" width="8.140625" style="2" customWidth="1"/>
    <col min="2525" max="2525" width="14.5703125" style="2" customWidth="1"/>
    <col min="2526" max="2526" width="37.42578125" style="2" customWidth="1"/>
    <col min="2527" max="2527" width="63.140625" style="2" customWidth="1"/>
    <col min="2528" max="2528" width="20" style="2" customWidth="1"/>
    <col min="2529" max="2529" width="11.140625" style="2" customWidth="1"/>
    <col min="2530" max="2530" width="10.85546875" style="2" customWidth="1"/>
    <col min="2531" max="2531" width="21" style="2" customWidth="1"/>
    <col min="2532" max="2532" width="10.85546875" style="2" customWidth="1"/>
    <col min="2533" max="2533" width="17.42578125" style="2" customWidth="1"/>
    <col min="2534" max="2534" width="14.85546875" style="2" customWidth="1"/>
    <col min="2535" max="2535" width="15" style="2" customWidth="1"/>
    <col min="2536" max="2536" width="14.85546875" style="2" customWidth="1"/>
    <col min="2537" max="2537" width="7.140625" style="2" customWidth="1"/>
    <col min="2538" max="2539" width="20.140625" style="2" customWidth="1"/>
    <col min="2540" max="2540" width="18.42578125" style="2" customWidth="1"/>
    <col min="2541" max="2541" width="9.140625" style="2" customWidth="1"/>
    <col min="2542" max="2542" width="12" style="2" customWidth="1"/>
    <col min="2543" max="2543" width="14.85546875" style="2" customWidth="1"/>
    <col min="2544" max="2544" width="22.42578125" style="2" customWidth="1"/>
    <col min="2545" max="2545" width="14.85546875" style="2" customWidth="1"/>
    <col min="2546" max="2546" width="7.140625" style="2" customWidth="1"/>
    <col min="2547" max="2547" width="20.140625" style="2" customWidth="1"/>
    <col min="2548" max="2779" width="8.85546875" style="2" customWidth="1"/>
    <col min="2780" max="2780" width="8.140625" style="2" customWidth="1"/>
    <col min="2781" max="2781" width="14.5703125" style="2" customWidth="1"/>
    <col min="2782" max="2782" width="37.42578125" style="2" customWidth="1"/>
    <col min="2783" max="2783" width="63.140625" style="2" customWidth="1"/>
    <col min="2784" max="2784" width="20" style="2" customWidth="1"/>
    <col min="2785" max="2785" width="11.140625" style="2" customWidth="1"/>
    <col min="2786" max="2786" width="10.85546875" style="2" customWidth="1"/>
    <col min="2787" max="2787" width="21" style="2" customWidth="1"/>
    <col min="2788" max="2788" width="10.85546875" style="2" customWidth="1"/>
    <col min="2789" max="2789" width="17.42578125" style="2" customWidth="1"/>
    <col min="2790" max="2790" width="14.85546875" style="2" customWidth="1"/>
    <col min="2791" max="2791" width="15" style="2" customWidth="1"/>
    <col min="2792" max="2792" width="14.85546875" style="2" customWidth="1"/>
    <col min="2793" max="2793" width="7.140625" style="2" customWidth="1"/>
    <col min="2794" max="2795" width="20.140625" style="2" customWidth="1"/>
    <col min="2796" max="2796" width="18.42578125" style="2" customWidth="1"/>
    <col min="2797" max="2797" width="9.140625" style="2" customWidth="1"/>
    <col min="2798" max="2798" width="12" style="2" customWidth="1"/>
    <col min="2799" max="2799" width="14.85546875" style="2" customWidth="1"/>
    <col min="2800" max="2800" width="22.42578125" style="2" customWidth="1"/>
    <col min="2801" max="2801" width="14.85546875" style="2" customWidth="1"/>
    <col min="2802" max="2802" width="7.140625" style="2" customWidth="1"/>
    <col min="2803" max="2803" width="20.140625" style="2" customWidth="1"/>
    <col min="2804" max="3035" width="8.85546875" style="2" customWidth="1"/>
    <col min="3036" max="3036" width="8.140625" style="2" customWidth="1"/>
    <col min="3037" max="3037" width="14.5703125" style="2" customWidth="1"/>
    <col min="3038" max="3038" width="37.42578125" style="2" customWidth="1"/>
    <col min="3039" max="3039" width="63.140625" style="2" customWidth="1"/>
    <col min="3040" max="3040" width="20" style="2" customWidth="1"/>
    <col min="3041" max="3041" width="11.140625" style="2" customWidth="1"/>
    <col min="3042" max="3042" width="10.85546875" style="2" customWidth="1"/>
    <col min="3043" max="3043" width="21" style="2" customWidth="1"/>
    <col min="3044" max="3044" width="10.85546875" style="2" customWidth="1"/>
    <col min="3045" max="3045" width="17.42578125" style="2" customWidth="1"/>
    <col min="3046" max="3046" width="14.85546875" style="2" customWidth="1"/>
    <col min="3047" max="3047" width="15" style="2" customWidth="1"/>
    <col min="3048" max="3048" width="14.85546875" style="2" customWidth="1"/>
    <col min="3049" max="3049" width="7.140625" style="2" customWidth="1"/>
    <col min="3050" max="3051" width="20.140625" style="2" customWidth="1"/>
    <col min="3052" max="3052" width="18.42578125" style="2" customWidth="1"/>
    <col min="3053" max="3053" width="9.140625" style="2" customWidth="1"/>
    <col min="3054" max="3054" width="12" style="2" customWidth="1"/>
    <col min="3055" max="3055" width="14.85546875" style="2" customWidth="1"/>
    <col min="3056" max="3056" width="22.42578125" style="2" customWidth="1"/>
    <col min="3057" max="3057" width="14.85546875" style="2" customWidth="1"/>
    <col min="3058" max="3058" width="7.140625" style="2" customWidth="1"/>
    <col min="3059" max="3059" width="20.140625" style="2" customWidth="1"/>
    <col min="3060" max="3291" width="8.85546875" style="2" customWidth="1"/>
    <col min="3292" max="3292" width="8.140625" style="2" customWidth="1"/>
    <col min="3293" max="3293" width="14.5703125" style="2" customWidth="1"/>
    <col min="3294" max="3294" width="37.42578125" style="2" customWidth="1"/>
    <col min="3295" max="3295" width="63.140625" style="2" customWidth="1"/>
    <col min="3296" max="3296" width="20" style="2" customWidth="1"/>
    <col min="3297" max="3297" width="11.140625" style="2" customWidth="1"/>
    <col min="3298" max="3298" width="10.85546875" style="2" customWidth="1"/>
    <col min="3299" max="3299" width="21" style="2" customWidth="1"/>
    <col min="3300" max="3300" width="10.85546875" style="2" customWidth="1"/>
    <col min="3301" max="3301" width="17.42578125" style="2" customWidth="1"/>
    <col min="3302" max="3302" width="14.85546875" style="2" customWidth="1"/>
    <col min="3303" max="3303" width="15" style="2" customWidth="1"/>
    <col min="3304" max="3304" width="14.85546875" style="2" customWidth="1"/>
    <col min="3305" max="3305" width="7.140625" style="2" customWidth="1"/>
    <col min="3306" max="3307" width="20.140625" style="2" customWidth="1"/>
    <col min="3308" max="3308" width="18.42578125" style="2" customWidth="1"/>
    <col min="3309" max="3309" width="9.140625" style="2" customWidth="1"/>
    <col min="3310" max="3310" width="12" style="2" customWidth="1"/>
    <col min="3311" max="3311" width="14.85546875" style="2" customWidth="1"/>
    <col min="3312" max="3312" width="22.42578125" style="2" customWidth="1"/>
    <col min="3313" max="3313" width="14.85546875" style="2" customWidth="1"/>
    <col min="3314" max="3314" width="7.140625" style="2" customWidth="1"/>
    <col min="3315" max="3315" width="20.140625" style="2" customWidth="1"/>
    <col min="3316" max="3547" width="8.85546875" style="2" customWidth="1"/>
    <col min="3548" max="3548" width="8.140625" style="2" customWidth="1"/>
    <col min="3549" max="3549" width="14.5703125" style="2" customWidth="1"/>
    <col min="3550" max="3550" width="37.42578125" style="2" customWidth="1"/>
    <col min="3551" max="3551" width="63.140625" style="2" customWidth="1"/>
    <col min="3552" max="3552" width="20" style="2" customWidth="1"/>
    <col min="3553" max="3553" width="11.140625" style="2" customWidth="1"/>
    <col min="3554" max="3554" width="10.85546875" style="2" customWidth="1"/>
    <col min="3555" max="3555" width="21" style="2" customWidth="1"/>
    <col min="3556" max="3556" width="10.85546875" style="2" customWidth="1"/>
    <col min="3557" max="3557" width="17.42578125" style="2" customWidth="1"/>
    <col min="3558" max="3558" width="14.85546875" style="2" customWidth="1"/>
    <col min="3559" max="3559" width="15" style="2" customWidth="1"/>
    <col min="3560" max="3560" width="14.85546875" style="2" customWidth="1"/>
    <col min="3561" max="3561" width="7.140625" style="2" customWidth="1"/>
    <col min="3562" max="3563" width="20.140625" style="2" customWidth="1"/>
    <col min="3564" max="3564" width="18.42578125" style="2" customWidth="1"/>
    <col min="3565" max="3565" width="9.140625" style="2" customWidth="1"/>
    <col min="3566" max="3566" width="12" style="2" customWidth="1"/>
    <col min="3567" max="3567" width="14.85546875" style="2" customWidth="1"/>
    <col min="3568" max="3568" width="22.42578125" style="2" customWidth="1"/>
    <col min="3569" max="3569" width="14.85546875" style="2" customWidth="1"/>
    <col min="3570" max="3570" width="7.140625" style="2" customWidth="1"/>
    <col min="3571" max="3571" width="20.140625" style="2" customWidth="1"/>
    <col min="3572" max="3803" width="8.85546875" style="2" customWidth="1"/>
    <col min="3804" max="3804" width="8.140625" style="2" customWidth="1"/>
    <col min="3805" max="3805" width="14.5703125" style="2" customWidth="1"/>
    <col min="3806" max="3806" width="37.42578125" style="2" customWidth="1"/>
    <col min="3807" max="3807" width="63.140625" style="2" customWidth="1"/>
    <col min="3808" max="3808" width="20" style="2" customWidth="1"/>
    <col min="3809" max="3809" width="11.140625" style="2" customWidth="1"/>
    <col min="3810" max="3810" width="10.85546875" style="2" customWidth="1"/>
    <col min="3811" max="3811" width="21" style="2" customWidth="1"/>
    <col min="3812" max="3812" width="10.85546875" style="2" customWidth="1"/>
    <col min="3813" max="3813" width="17.42578125" style="2" customWidth="1"/>
    <col min="3814" max="3814" width="14.85546875" style="2" customWidth="1"/>
    <col min="3815" max="3815" width="15" style="2" customWidth="1"/>
    <col min="3816" max="3816" width="14.85546875" style="2" customWidth="1"/>
    <col min="3817" max="3817" width="7.140625" style="2" customWidth="1"/>
    <col min="3818" max="3819" width="20.140625" style="2" customWidth="1"/>
    <col min="3820" max="3820" width="18.42578125" style="2" customWidth="1"/>
    <col min="3821" max="3821" width="9.140625" style="2" customWidth="1"/>
    <col min="3822" max="3822" width="12" style="2" customWidth="1"/>
    <col min="3823" max="3823" width="14.85546875" style="2" customWidth="1"/>
    <col min="3824" max="3824" width="22.42578125" style="2" customWidth="1"/>
    <col min="3825" max="3825" width="14.85546875" style="2" customWidth="1"/>
    <col min="3826" max="3826" width="7.140625" style="2" customWidth="1"/>
    <col min="3827" max="3827" width="20.140625" style="2" customWidth="1"/>
    <col min="3828" max="4059" width="8.85546875" style="2" customWidth="1"/>
    <col min="4060" max="4060" width="8.140625" style="2" customWidth="1"/>
    <col min="4061" max="4061" width="14.5703125" style="2" customWidth="1"/>
    <col min="4062" max="4062" width="37.42578125" style="2" customWidth="1"/>
    <col min="4063" max="4063" width="63.140625" style="2" customWidth="1"/>
    <col min="4064" max="4064" width="20" style="2" customWidth="1"/>
    <col min="4065" max="4065" width="11.140625" style="2" customWidth="1"/>
    <col min="4066" max="4066" width="10.85546875" style="2" customWidth="1"/>
    <col min="4067" max="4067" width="21" style="2" customWidth="1"/>
    <col min="4068" max="4068" width="10.85546875" style="2" customWidth="1"/>
    <col min="4069" max="4069" width="17.42578125" style="2" customWidth="1"/>
    <col min="4070" max="4070" width="14.85546875" style="2" customWidth="1"/>
    <col min="4071" max="4071" width="15" style="2" customWidth="1"/>
    <col min="4072" max="4072" width="14.85546875" style="2" customWidth="1"/>
    <col min="4073" max="4073" width="7.140625" style="2" customWidth="1"/>
    <col min="4074" max="4075" width="20.140625" style="2" customWidth="1"/>
    <col min="4076" max="4076" width="18.42578125" style="2" customWidth="1"/>
    <col min="4077" max="4077" width="9.140625" style="2" customWidth="1"/>
    <col min="4078" max="4078" width="12" style="2" customWidth="1"/>
    <col min="4079" max="4079" width="14.85546875" style="2" customWidth="1"/>
    <col min="4080" max="4080" width="22.42578125" style="2" customWidth="1"/>
    <col min="4081" max="4081" width="14.85546875" style="2" customWidth="1"/>
    <col min="4082" max="4082" width="7.140625" style="2" customWidth="1"/>
    <col min="4083" max="4083" width="20.140625" style="2" customWidth="1"/>
    <col min="4084" max="4315" width="8.85546875" style="2" customWidth="1"/>
    <col min="4316" max="4316" width="8.140625" style="2" customWidth="1"/>
    <col min="4317" max="4317" width="14.5703125" style="2" customWidth="1"/>
    <col min="4318" max="4318" width="37.42578125" style="2" customWidth="1"/>
    <col min="4319" max="4319" width="63.140625" style="2" customWidth="1"/>
    <col min="4320" max="4320" width="20" style="2" customWidth="1"/>
    <col min="4321" max="4321" width="11.140625" style="2" customWidth="1"/>
    <col min="4322" max="4322" width="10.85546875" style="2" customWidth="1"/>
    <col min="4323" max="4323" width="21" style="2" customWidth="1"/>
    <col min="4324" max="4324" width="10.85546875" style="2" customWidth="1"/>
    <col min="4325" max="4325" width="17.42578125" style="2" customWidth="1"/>
    <col min="4326" max="4326" width="14.85546875" style="2" customWidth="1"/>
    <col min="4327" max="4327" width="15" style="2" customWidth="1"/>
    <col min="4328" max="4328" width="14.85546875" style="2" customWidth="1"/>
    <col min="4329" max="4329" width="7.140625" style="2" customWidth="1"/>
    <col min="4330" max="4331" width="20.140625" style="2" customWidth="1"/>
    <col min="4332" max="4332" width="18.42578125" style="2" customWidth="1"/>
    <col min="4333" max="4333" width="9.140625" style="2" customWidth="1"/>
    <col min="4334" max="4334" width="12" style="2" customWidth="1"/>
    <col min="4335" max="4335" width="14.85546875" style="2" customWidth="1"/>
    <col min="4336" max="4336" width="22.42578125" style="2" customWidth="1"/>
    <col min="4337" max="4337" width="14.85546875" style="2" customWidth="1"/>
    <col min="4338" max="4338" width="7.140625" style="2" customWidth="1"/>
    <col min="4339" max="4339" width="20.140625" style="2" customWidth="1"/>
    <col min="4340" max="4571" width="8.85546875" style="2" customWidth="1"/>
    <col min="4572" max="4572" width="8.140625" style="2" customWidth="1"/>
    <col min="4573" max="4573" width="14.5703125" style="2" customWidth="1"/>
    <col min="4574" max="4574" width="37.42578125" style="2" customWidth="1"/>
    <col min="4575" max="4575" width="63.140625" style="2" customWidth="1"/>
    <col min="4576" max="4576" width="20" style="2" customWidth="1"/>
    <col min="4577" max="4577" width="11.140625" style="2" customWidth="1"/>
    <col min="4578" max="4578" width="10.85546875" style="2" customWidth="1"/>
    <col min="4579" max="4579" width="21" style="2" customWidth="1"/>
    <col min="4580" max="4580" width="10.85546875" style="2" customWidth="1"/>
    <col min="4581" max="4581" width="17.42578125" style="2" customWidth="1"/>
    <col min="4582" max="4582" width="14.85546875" style="2" customWidth="1"/>
    <col min="4583" max="4583" width="15" style="2" customWidth="1"/>
    <col min="4584" max="4584" width="14.85546875" style="2" customWidth="1"/>
    <col min="4585" max="4585" width="7.140625" style="2" customWidth="1"/>
    <col min="4586" max="4587" width="20.140625" style="2" customWidth="1"/>
    <col min="4588" max="4588" width="18.42578125" style="2" customWidth="1"/>
    <col min="4589" max="4589" width="9.140625" style="2" customWidth="1"/>
    <col min="4590" max="4590" width="12" style="2" customWidth="1"/>
    <col min="4591" max="4591" width="14.85546875" style="2" customWidth="1"/>
    <col min="4592" max="4592" width="22.42578125" style="2" customWidth="1"/>
    <col min="4593" max="4593" width="14.85546875" style="2" customWidth="1"/>
    <col min="4594" max="4594" width="7.140625" style="2" customWidth="1"/>
    <col min="4595" max="4595" width="20.140625" style="2" customWidth="1"/>
    <col min="4596" max="4827" width="8.85546875" style="2" customWidth="1"/>
    <col min="4828" max="4828" width="8.140625" style="2" customWidth="1"/>
    <col min="4829" max="4829" width="14.5703125" style="2" customWidth="1"/>
    <col min="4830" max="4830" width="37.42578125" style="2" customWidth="1"/>
    <col min="4831" max="4831" width="63.140625" style="2" customWidth="1"/>
    <col min="4832" max="4832" width="20" style="2" customWidth="1"/>
    <col min="4833" max="4833" width="11.140625" style="2" customWidth="1"/>
    <col min="4834" max="4834" width="10.85546875" style="2" customWidth="1"/>
    <col min="4835" max="4835" width="21" style="2" customWidth="1"/>
    <col min="4836" max="4836" width="10.85546875" style="2" customWidth="1"/>
    <col min="4837" max="4837" width="17.42578125" style="2" customWidth="1"/>
    <col min="4838" max="4838" width="14.85546875" style="2" customWidth="1"/>
    <col min="4839" max="4839" width="15" style="2" customWidth="1"/>
    <col min="4840" max="4840" width="14.85546875" style="2" customWidth="1"/>
    <col min="4841" max="4841" width="7.140625" style="2" customWidth="1"/>
    <col min="4842" max="4843" width="20.140625" style="2" customWidth="1"/>
    <col min="4844" max="4844" width="18.42578125" style="2" customWidth="1"/>
    <col min="4845" max="4845" width="9.140625" style="2" customWidth="1"/>
    <col min="4846" max="4846" width="12" style="2" customWidth="1"/>
    <col min="4847" max="4847" width="14.85546875" style="2" customWidth="1"/>
    <col min="4848" max="4848" width="22.42578125" style="2" customWidth="1"/>
    <col min="4849" max="4849" width="14.85546875" style="2" customWidth="1"/>
    <col min="4850" max="4850" width="7.140625" style="2" customWidth="1"/>
    <col min="4851" max="4851" width="20.140625" style="2" customWidth="1"/>
    <col min="4852" max="5083" width="8.85546875" style="2" customWidth="1"/>
    <col min="5084" max="5084" width="8.140625" style="2" customWidth="1"/>
    <col min="5085" max="5085" width="14.5703125" style="2" customWidth="1"/>
    <col min="5086" max="5086" width="37.42578125" style="2" customWidth="1"/>
    <col min="5087" max="5087" width="63.140625" style="2" customWidth="1"/>
    <col min="5088" max="5088" width="20" style="2" customWidth="1"/>
    <col min="5089" max="5089" width="11.140625" style="2" customWidth="1"/>
    <col min="5090" max="5090" width="10.85546875" style="2" customWidth="1"/>
    <col min="5091" max="5091" width="21" style="2" customWidth="1"/>
    <col min="5092" max="5092" width="10.85546875" style="2" customWidth="1"/>
    <col min="5093" max="5093" width="17.42578125" style="2" customWidth="1"/>
    <col min="5094" max="5094" width="14.85546875" style="2" customWidth="1"/>
    <col min="5095" max="5095" width="15" style="2" customWidth="1"/>
    <col min="5096" max="5096" width="14.85546875" style="2" customWidth="1"/>
    <col min="5097" max="5097" width="7.140625" style="2" customWidth="1"/>
    <col min="5098" max="5099" width="20.140625" style="2" customWidth="1"/>
    <col min="5100" max="5100" width="18.42578125" style="2" customWidth="1"/>
    <col min="5101" max="5101" width="9.140625" style="2" customWidth="1"/>
    <col min="5102" max="5102" width="12" style="2" customWidth="1"/>
    <col min="5103" max="5103" width="14.85546875" style="2" customWidth="1"/>
    <col min="5104" max="5104" width="22.42578125" style="2" customWidth="1"/>
    <col min="5105" max="5105" width="14.85546875" style="2" customWidth="1"/>
    <col min="5106" max="5106" width="7.140625" style="2" customWidth="1"/>
    <col min="5107" max="5107" width="20.140625" style="2" customWidth="1"/>
    <col min="5108" max="5339" width="8.85546875" style="2" customWidth="1"/>
    <col min="5340" max="5340" width="8.140625" style="2" customWidth="1"/>
    <col min="5341" max="5341" width="14.5703125" style="2" customWidth="1"/>
    <col min="5342" max="5342" width="37.42578125" style="2" customWidth="1"/>
    <col min="5343" max="5343" width="63.140625" style="2" customWidth="1"/>
    <col min="5344" max="5344" width="20" style="2" customWidth="1"/>
    <col min="5345" max="5345" width="11.140625" style="2" customWidth="1"/>
    <col min="5346" max="5346" width="10.85546875" style="2" customWidth="1"/>
    <col min="5347" max="5347" width="21" style="2" customWidth="1"/>
    <col min="5348" max="5348" width="10.85546875" style="2" customWidth="1"/>
    <col min="5349" max="5349" width="17.42578125" style="2" customWidth="1"/>
    <col min="5350" max="5350" width="14.85546875" style="2" customWidth="1"/>
    <col min="5351" max="5351" width="15" style="2" customWidth="1"/>
    <col min="5352" max="5352" width="14.85546875" style="2" customWidth="1"/>
    <col min="5353" max="5353" width="7.140625" style="2" customWidth="1"/>
    <col min="5354" max="5355" width="20.140625" style="2" customWidth="1"/>
    <col min="5356" max="5356" width="18.42578125" style="2" customWidth="1"/>
    <col min="5357" max="5357" width="9.140625" style="2" customWidth="1"/>
    <col min="5358" max="5358" width="12" style="2" customWidth="1"/>
    <col min="5359" max="5359" width="14.85546875" style="2" customWidth="1"/>
    <col min="5360" max="5360" width="22.42578125" style="2" customWidth="1"/>
    <col min="5361" max="5361" width="14.85546875" style="2" customWidth="1"/>
    <col min="5362" max="5362" width="7.140625" style="2" customWidth="1"/>
    <col min="5363" max="5363" width="20.140625" style="2" customWidth="1"/>
    <col min="5364" max="5595" width="8.85546875" style="2" customWidth="1"/>
    <col min="5596" max="5596" width="8.140625" style="2" customWidth="1"/>
    <col min="5597" max="5597" width="14.5703125" style="2" customWidth="1"/>
    <col min="5598" max="5598" width="37.42578125" style="2" customWidth="1"/>
    <col min="5599" max="5599" width="63.140625" style="2" customWidth="1"/>
    <col min="5600" max="5600" width="20" style="2" customWidth="1"/>
    <col min="5601" max="5601" width="11.140625" style="2" customWidth="1"/>
    <col min="5602" max="5602" width="10.85546875" style="2" customWidth="1"/>
    <col min="5603" max="5603" width="21" style="2" customWidth="1"/>
    <col min="5604" max="5604" width="10.85546875" style="2" customWidth="1"/>
    <col min="5605" max="5605" width="17.42578125" style="2" customWidth="1"/>
    <col min="5606" max="5606" width="14.85546875" style="2" customWidth="1"/>
    <col min="5607" max="5607" width="15" style="2" customWidth="1"/>
    <col min="5608" max="5608" width="14.85546875" style="2" customWidth="1"/>
    <col min="5609" max="5609" width="7.140625" style="2" customWidth="1"/>
    <col min="5610" max="5611" width="20.140625" style="2" customWidth="1"/>
    <col min="5612" max="5612" width="18.42578125" style="2" customWidth="1"/>
    <col min="5613" max="5613" width="9.140625" style="2" customWidth="1"/>
    <col min="5614" max="5614" width="12" style="2" customWidth="1"/>
    <col min="5615" max="5615" width="14.85546875" style="2" customWidth="1"/>
    <col min="5616" max="5616" width="22.42578125" style="2" customWidth="1"/>
    <col min="5617" max="5617" width="14.85546875" style="2" customWidth="1"/>
    <col min="5618" max="5618" width="7.140625" style="2" customWidth="1"/>
    <col min="5619" max="5619" width="20.140625" style="2" customWidth="1"/>
    <col min="5620" max="5851" width="8.85546875" style="2" customWidth="1"/>
    <col min="5852" max="5852" width="8.140625" style="2" customWidth="1"/>
    <col min="5853" max="5853" width="14.5703125" style="2" customWidth="1"/>
    <col min="5854" max="5854" width="37.42578125" style="2" customWidth="1"/>
    <col min="5855" max="5855" width="63.140625" style="2" customWidth="1"/>
    <col min="5856" max="5856" width="20" style="2" customWidth="1"/>
    <col min="5857" max="5857" width="11.140625" style="2" customWidth="1"/>
    <col min="5858" max="5858" width="10.85546875" style="2" customWidth="1"/>
    <col min="5859" max="5859" width="21" style="2" customWidth="1"/>
    <col min="5860" max="5860" width="10.85546875" style="2" customWidth="1"/>
    <col min="5861" max="5861" width="17.42578125" style="2" customWidth="1"/>
    <col min="5862" max="5862" width="14.85546875" style="2" customWidth="1"/>
    <col min="5863" max="5863" width="15" style="2" customWidth="1"/>
    <col min="5864" max="5864" width="14.85546875" style="2" customWidth="1"/>
    <col min="5865" max="5865" width="7.140625" style="2" customWidth="1"/>
    <col min="5866" max="5867" width="20.140625" style="2" customWidth="1"/>
    <col min="5868" max="5868" width="18.42578125" style="2" customWidth="1"/>
    <col min="5869" max="5869" width="9.140625" style="2" customWidth="1"/>
    <col min="5870" max="5870" width="12" style="2" customWidth="1"/>
    <col min="5871" max="5871" width="14.85546875" style="2" customWidth="1"/>
    <col min="5872" max="5872" width="22.42578125" style="2" customWidth="1"/>
    <col min="5873" max="5873" width="14.85546875" style="2" customWidth="1"/>
    <col min="5874" max="5874" width="7.140625" style="2" customWidth="1"/>
    <col min="5875" max="5875" width="20.140625" style="2" customWidth="1"/>
    <col min="5876" max="6107" width="8.85546875" style="2" customWidth="1"/>
    <col min="6108" max="6108" width="8.140625" style="2" customWidth="1"/>
    <col min="6109" max="6109" width="14.5703125" style="2" customWidth="1"/>
    <col min="6110" max="6110" width="37.42578125" style="2" customWidth="1"/>
    <col min="6111" max="6111" width="63.140625" style="2" customWidth="1"/>
    <col min="6112" max="6112" width="20" style="2" customWidth="1"/>
    <col min="6113" max="6113" width="11.140625" style="2" customWidth="1"/>
    <col min="6114" max="6114" width="10.85546875" style="2" customWidth="1"/>
    <col min="6115" max="6115" width="21" style="2" customWidth="1"/>
    <col min="6116" max="6116" width="10.85546875" style="2" customWidth="1"/>
    <col min="6117" max="6117" width="17.42578125" style="2" customWidth="1"/>
    <col min="6118" max="6118" width="14.85546875" style="2" customWidth="1"/>
    <col min="6119" max="6119" width="15" style="2" customWidth="1"/>
    <col min="6120" max="6120" width="14.85546875" style="2" customWidth="1"/>
    <col min="6121" max="6121" width="7.140625" style="2" customWidth="1"/>
    <col min="6122" max="6123" width="20.140625" style="2" customWidth="1"/>
    <col min="6124" max="6124" width="18.42578125" style="2" customWidth="1"/>
    <col min="6125" max="6125" width="9.140625" style="2" customWidth="1"/>
    <col min="6126" max="6126" width="12" style="2" customWidth="1"/>
    <col min="6127" max="6127" width="14.85546875" style="2" customWidth="1"/>
    <col min="6128" max="6128" width="22.42578125" style="2" customWidth="1"/>
    <col min="6129" max="6129" width="14.85546875" style="2" customWidth="1"/>
    <col min="6130" max="6130" width="7.140625" style="2" customWidth="1"/>
    <col min="6131" max="6131" width="20.140625" style="2" customWidth="1"/>
    <col min="6132" max="6363" width="8.85546875" style="2" customWidth="1"/>
    <col min="6364" max="6364" width="8.140625" style="2" customWidth="1"/>
    <col min="6365" max="6365" width="14.5703125" style="2" customWidth="1"/>
    <col min="6366" max="6366" width="37.42578125" style="2" customWidth="1"/>
    <col min="6367" max="6367" width="63.140625" style="2" customWidth="1"/>
    <col min="6368" max="6368" width="20" style="2" customWidth="1"/>
    <col min="6369" max="6369" width="11.140625" style="2" customWidth="1"/>
    <col min="6370" max="6370" width="10.85546875" style="2" customWidth="1"/>
    <col min="6371" max="6371" width="21" style="2" customWidth="1"/>
    <col min="6372" max="6372" width="10.85546875" style="2" customWidth="1"/>
    <col min="6373" max="6373" width="17.42578125" style="2" customWidth="1"/>
    <col min="6374" max="6374" width="14.85546875" style="2" customWidth="1"/>
    <col min="6375" max="6375" width="15" style="2" customWidth="1"/>
    <col min="6376" max="6376" width="14.85546875" style="2" customWidth="1"/>
    <col min="6377" max="6377" width="7.140625" style="2" customWidth="1"/>
    <col min="6378" max="6379" width="20.140625" style="2" customWidth="1"/>
    <col min="6380" max="6380" width="18.42578125" style="2" customWidth="1"/>
    <col min="6381" max="6381" width="9.140625" style="2" customWidth="1"/>
    <col min="6382" max="6382" width="12" style="2" customWidth="1"/>
    <col min="6383" max="6383" width="14.85546875" style="2" customWidth="1"/>
    <col min="6384" max="6384" width="22.42578125" style="2" customWidth="1"/>
    <col min="6385" max="6385" width="14.85546875" style="2" customWidth="1"/>
    <col min="6386" max="6386" width="7.140625" style="2" customWidth="1"/>
    <col min="6387" max="6387" width="20.140625" style="2" customWidth="1"/>
    <col min="6388" max="6619" width="8.85546875" style="2" customWidth="1"/>
    <col min="6620" max="6620" width="8.140625" style="2" customWidth="1"/>
    <col min="6621" max="6621" width="14.5703125" style="2" customWidth="1"/>
    <col min="6622" max="6622" width="37.42578125" style="2" customWidth="1"/>
    <col min="6623" max="6623" width="63.140625" style="2" customWidth="1"/>
    <col min="6624" max="6624" width="20" style="2" customWidth="1"/>
    <col min="6625" max="6625" width="11.140625" style="2" customWidth="1"/>
    <col min="6626" max="6626" width="10.85546875" style="2" customWidth="1"/>
    <col min="6627" max="6627" width="21" style="2" customWidth="1"/>
    <col min="6628" max="6628" width="10.85546875" style="2" customWidth="1"/>
    <col min="6629" max="6629" width="17.42578125" style="2" customWidth="1"/>
    <col min="6630" max="6630" width="14.85546875" style="2" customWidth="1"/>
    <col min="6631" max="6631" width="15" style="2" customWidth="1"/>
    <col min="6632" max="6632" width="14.85546875" style="2" customWidth="1"/>
    <col min="6633" max="6633" width="7.140625" style="2" customWidth="1"/>
    <col min="6634" max="6635" width="20.140625" style="2" customWidth="1"/>
    <col min="6636" max="6636" width="18.42578125" style="2" customWidth="1"/>
    <col min="6637" max="6637" width="9.140625" style="2" customWidth="1"/>
    <col min="6638" max="6638" width="12" style="2" customWidth="1"/>
    <col min="6639" max="6639" width="14.85546875" style="2" customWidth="1"/>
    <col min="6640" max="6640" width="22.42578125" style="2" customWidth="1"/>
    <col min="6641" max="6641" width="14.85546875" style="2" customWidth="1"/>
    <col min="6642" max="6642" width="7.140625" style="2" customWidth="1"/>
    <col min="6643" max="6643" width="20.140625" style="2" customWidth="1"/>
    <col min="6644" max="6875" width="8.85546875" style="2" customWidth="1"/>
    <col min="6876" max="6876" width="8.140625" style="2" customWidth="1"/>
    <col min="6877" max="6877" width="14.5703125" style="2" customWidth="1"/>
    <col min="6878" max="6878" width="37.42578125" style="2" customWidth="1"/>
    <col min="6879" max="6879" width="63.140625" style="2" customWidth="1"/>
    <col min="6880" max="6880" width="20" style="2" customWidth="1"/>
    <col min="6881" max="6881" width="11.140625" style="2" customWidth="1"/>
    <col min="6882" max="6882" width="10.85546875" style="2" customWidth="1"/>
    <col min="6883" max="6883" width="21" style="2" customWidth="1"/>
    <col min="6884" max="6884" width="10.85546875" style="2" customWidth="1"/>
    <col min="6885" max="6885" width="17.42578125" style="2" customWidth="1"/>
    <col min="6886" max="6886" width="14.85546875" style="2" customWidth="1"/>
    <col min="6887" max="6887" width="15" style="2" customWidth="1"/>
    <col min="6888" max="6888" width="14.85546875" style="2" customWidth="1"/>
    <col min="6889" max="6889" width="7.140625" style="2" customWidth="1"/>
    <col min="6890" max="6891" width="20.140625" style="2" customWidth="1"/>
    <col min="6892" max="6892" width="18.42578125" style="2" customWidth="1"/>
    <col min="6893" max="6893" width="9.140625" style="2" customWidth="1"/>
    <col min="6894" max="6894" width="12" style="2" customWidth="1"/>
    <col min="6895" max="6895" width="14.85546875" style="2" customWidth="1"/>
    <col min="6896" max="6896" width="22.42578125" style="2" customWidth="1"/>
    <col min="6897" max="6897" width="14.85546875" style="2" customWidth="1"/>
    <col min="6898" max="6898" width="7.140625" style="2" customWidth="1"/>
    <col min="6899" max="6899" width="20.140625" style="2" customWidth="1"/>
    <col min="6900" max="7131" width="8.85546875" style="2" customWidth="1"/>
    <col min="7132" max="7132" width="8.140625" style="2" customWidth="1"/>
    <col min="7133" max="7133" width="14.5703125" style="2" customWidth="1"/>
    <col min="7134" max="7134" width="37.42578125" style="2" customWidth="1"/>
    <col min="7135" max="7135" width="63.140625" style="2" customWidth="1"/>
    <col min="7136" max="7136" width="20" style="2" customWidth="1"/>
    <col min="7137" max="7137" width="11.140625" style="2" customWidth="1"/>
    <col min="7138" max="7138" width="10.85546875" style="2" customWidth="1"/>
    <col min="7139" max="7139" width="21" style="2" customWidth="1"/>
    <col min="7140" max="7140" width="10.85546875" style="2" customWidth="1"/>
    <col min="7141" max="7141" width="17.42578125" style="2" customWidth="1"/>
    <col min="7142" max="7142" width="14.85546875" style="2" customWidth="1"/>
    <col min="7143" max="7143" width="15" style="2" customWidth="1"/>
    <col min="7144" max="7144" width="14.85546875" style="2" customWidth="1"/>
    <col min="7145" max="7145" width="7.140625" style="2" customWidth="1"/>
    <col min="7146" max="7147" width="20.140625" style="2" customWidth="1"/>
    <col min="7148" max="7148" width="18.42578125" style="2" customWidth="1"/>
    <col min="7149" max="7149" width="9.140625" style="2" customWidth="1"/>
    <col min="7150" max="7150" width="12" style="2" customWidth="1"/>
    <col min="7151" max="7151" width="14.85546875" style="2" customWidth="1"/>
    <col min="7152" max="7152" width="22.42578125" style="2" customWidth="1"/>
    <col min="7153" max="7153" width="14.85546875" style="2" customWidth="1"/>
    <col min="7154" max="7154" width="7.140625" style="2" customWidth="1"/>
    <col min="7155" max="7155" width="20.140625" style="2" customWidth="1"/>
    <col min="7156" max="7387" width="8.85546875" style="2" customWidth="1"/>
    <col min="7388" max="7388" width="8.140625" style="2" customWidth="1"/>
    <col min="7389" max="7389" width="14.5703125" style="2" customWidth="1"/>
    <col min="7390" max="7390" width="37.42578125" style="2" customWidth="1"/>
    <col min="7391" max="7391" width="63.140625" style="2" customWidth="1"/>
    <col min="7392" max="7392" width="20" style="2" customWidth="1"/>
    <col min="7393" max="7393" width="11.140625" style="2" customWidth="1"/>
    <col min="7394" max="7394" width="10.85546875" style="2" customWidth="1"/>
    <col min="7395" max="7395" width="21" style="2" customWidth="1"/>
    <col min="7396" max="7396" width="10.85546875" style="2" customWidth="1"/>
    <col min="7397" max="7397" width="17.42578125" style="2" customWidth="1"/>
    <col min="7398" max="7398" width="14.85546875" style="2" customWidth="1"/>
    <col min="7399" max="7399" width="15" style="2" customWidth="1"/>
    <col min="7400" max="7400" width="14.85546875" style="2" customWidth="1"/>
    <col min="7401" max="7401" width="7.140625" style="2" customWidth="1"/>
    <col min="7402" max="7403" width="20.140625" style="2" customWidth="1"/>
    <col min="7404" max="7404" width="18.42578125" style="2" customWidth="1"/>
    <col min="7405" max="7405" width="9.140625" style="2" customWidth="1"/>
    <col min="7406" max="7406" width="12" style="2" customWidth="1"/>
    <col min="7407" max="7407" width="14.85546875" style="2" customWidth="1"/>
    <col min="7408" max="7408" width="22.42578125" style="2" customWidth="1"/>
    <col min="7409" max="7409" width="14.85546875" style="2" customWidth="1"/>
    <col min="7410" max="7410" width="7.140625" style="2" customWidth="1"/>
    <col min="7411" max="7411" width="20.140625" style="2" customWidth="1"/>
    <col min="7412" max="7643" width="8.85546875" style="2" customWidth="1"/>
    <col min="7644" max="7644" width="8.140625" style="2" customWidth="1"/>
    <col min="7645" max="7645" width="14.5703125" style="2" customWidth="1"/>
    <col min="7646" max="7646" width="37.42578125" style="2" customWidth="1"/>
    <col min="7647" max="7647" width="63.140625" style="2" customWidth="1"/>
    <col min="7648" max="7648" width="20" style="2" customWidth="1"/>
    <col min="7649" max="7649" width="11.140625" style="2" customWidth="1"/>
    <col min="7650" max="7650" width="10.85546875" style="2" customWidth="1"/>
    <col min="7651" max="7651" width="21" style="2" customWidth="1"/>
    <col min="7652" max="7652" width="10.85546875" style="2" customWidth="1"/>
    <col min="7653" max="7653" width="17.42578125" style="2" customWidth="1"/>
    <col min="7654" max="7654" width="14.85546875" style="2" customWidth="1"/>
    <col min="7655" max="7655" width="15" style="2" customWidth="1"/>
    <col min="7656" max="7656" width="14.85546875" style="2" customWidth="1"/>
    <col min="7657" max="7657" width="7.140625" style="2" customWidth="1"/>
    <col min="7658" max="7659" width="20.140625" style="2" customWidth="1"/>
    <col min="7660" max="7660" width="18.42578125" style="2" customWidth="1"/>
    <col min="7661" max="7661" width="9.140625" style="2" customWidth="1"/>
    <col min="7662" max="7662" width="12" style="2" customWidth="1"/>
    <col min="7663" max="7663" width="14.85546875" style="2" customWidth="1"/>
    <col min="7664" max="7664" width="22.42578125" style="2" customWidth="1"/>
    <col min="7665" max="7665" width="14.85546875" style="2" customWidth="1"/>
    <col min="7666" max="7666" width="7.140625" style="2" customWidth="1"/>
    <col min="7667" max="7667" width="20.140625" style="2" customWidth="1"/>
    <col min="7668" max="7899" width="8.85546875" style="2" customWidth="1"/>
    <col min="7900" max="7900" width="8.140625" style="2" customWidth="1"/>
    <col min="7901" max="7901" width="14.5703125" style="2" customWidth="1"/>
    <col min="7902" max="7902" width="37.42578125" style="2" customWidth="1"/>
    <col min="7903" max="7903" width="63.140625" style="2" customWidth="1"/>
    <col min="7904" max="7904" width="20" style="2" customWidth="1"/>
    <col min="7905" max="7905" width="11.140625" style="2" customWidth="1"/>
    <col min="7906" max="7906" width="10.85546875" style="2" customWidth="1"/>
    <col min="7907" max="7907" width="21" style="2" customWidth="1"/>
    <col min="7908" max="7908" width="10.85546875" style="2" customWidth="1"/>
    <col min="7909" max="7909" width="17.42578125" style="2" customWidth="1"/>
    <col min="7910" max="7910" width="14.85546875" style="2" customWidth="1"/>
    <col min="7911" max="7911" width="15" style="2" customWidth="1"/>
    <col min="7912" max="7912" width="14.85546875" style="2" customWidth="1"/>
    <col min="7913" max="7913" width="7.140625" style="2" customWidth="1"/>
    <col min="7914" max="7915" width="20.140625" style="2" customWidth="1"/>
    <col min="7916" max="7916" width="18.42578125" style="2" customWidth="1"/>
    <col min="7917" max="7917" width="9.140625" style="2" customWidth="1"/>
    <col min="7918" max="7918" width="12" style="2" customWidth="1"/>
    <col min="7919" max="7919" width="14.85546875" style="2" customWidth="1"/>
    <col min="7920" max="7920" width="22.42578125" style="2" customWidth="1"/>
    <col min="7921" max="7921" width="14.85546875" style="2" customWidth="1"/>
    <col min="7922" max="7922" width="7.140625" style="2" customWidth="1"/>
    <col min="7923" max="7923" width="20.140625" style="2" customWidth="1"/>
    <col min="7924" max="8155" width="8.85546875" style="2" customWidth="1"/>
    <col min="8156" max="8156" width="8.140625" style="2" customWidth="1"/>
    <col min="8157" max="8157" width="14.5703125" style="2" customWidth="1"/>
    <col min="8158" max="8158" width="37.42578125" style="2" customWidth="1"/>
    <col min="8159" max="8159" width="63.140625" style="2" customWidth="1"/>
    <col min="8160" max="8160" width="20" style="2" customWidth="1"/>
    <col min="8161" max="8161" width="11.140625" style="2" customWidth="1"/>
    <col min="8162" max="8162" width="10.85546875" style="2" customWidth="1"/>
    <col min="8163" max="8163" width="21" style="2" customWidth="1"/>
    <col min="8164" max="8164" width="10.85546875" style="2" customWidth="1"/>
    <col min="8165" max="8165" width="17.42578125" style="2" customWidth="1"/>
    <col min="8166" max="8166" width="14.85546875" style="2" customWidth="1"/>
    <col min="8167" max="8167" width="15" style="2" customWidth="1"/>
    <col min="8168" max="8168" width="14.85546875" style="2" customWidth="1"/>
    <col min="8169" max="8169" width="7.140625" style="2" customWidth="1"/>
    <col min="8170" max="8171" width="20.140625" style="2" customWidth="1"/>
    <col min="8172" max="8172" width="18.42578125" style="2" customWidth="1"/>
    <col min="8173" max="8173" width="9.140625" style="2" customWidth="1"/>
    <col min="8174" max="8174" width="12" style="2" customWidth="1"/>
    <col min="8175" max="8175" width="14.85546875" style="2" customWidth="1"/>
    <col min="8176" max="8176" width="22.42578125" style="2" customWidth="1"/>
    <col min="8177" max="8177" width="14.85546875" style="2" customWidth="1"/>
    <col min="8178" max="8178" width="7.140625" style="2" customWidth="1"/>
    <col min="8179" max="8179" width="20.140625" style="2" customWidth="1"/>
    <col min="8180" max="8411" width="8.85546875" style="2" customWidth="1"/>
    <col min="8412" max="8412" width="8.140625" style="2" customWidth="1"/>
    <col min="8413" max="8413" width="14.5703125" style="2" customWidth="1"/>
    <col min="8414" max="8414" width="37.42578125" style="2" customWidth="1"/>
    <col min="8415" max="8415" width="63.140625" style="2" customWidth="1"/>
    <col min="8416" max="8416" width="20" style="2" customWidth="1"/>
    <col min="8417" max="8417" width="11.140625" style="2" customWidth="1"/>
    <col min="8418" max="8418" width="10.85546875" style="2" customWidth="1"/>
    <col min="8419" max="8419" width="21" style="2" customWidth="1"/>
    <col min="8420" max="8420" width="10.85546875" style="2" customWidth="1"/>
    <col min="8421" max="8421" width="17.42578125" style="2" customWidth="1"/>
    <col min="8422" max="8422" width="14.85546875" style="2" customWidth="1"/>
    <col min="8423" max="8423" width="15" style="2" customWidth="1"/>
    <col min="8424" max="8424" width="14.85546875" style="2" customWidth="1"/>
    <col min="8425" max="8425" width="7.140625" style="2" customWidth="1"/>
    <col min="8426" max="8427" width="20.140625" style="2" customWidth="1"/>
    <col min="8428" max="8428" width="18.42578125" style="2" customWidth="1"/>
    <col min="8429" max="8429" width="9.140625" style="2" customWidth="1"/>
    <col min="8430" max="8430" width="12" style="2" customWidth="1"/>
    <col min="8431" max="8431" width="14.85546875" style="2" customWidth="1"/>
    <col min="8432" max="8432" width="22.42578125" style="2" customWidth="1"/>
    <col min="8433" max="8433" width="14.85546875" style="2" customWidth="1"/>
    <col min="8434" max="8434" width="7.140625" style="2" customWidth="1"/>
    <col min="8435" max="8435" width="20.140625" style="2" customWidth="1"/>
    <col min="8436" max="8667" width="8.85546875" style="2" customWidth="1"/>
    <col min="8668" max="8668" width="8.140625" style="2" customWidth="1"/>
    <col min="8669" max="8669" width="14.5703125" style="2" customWidth="1"/>
    <col min="8670" max="8670" width="37.42578125" style="2" customWidth="1"/>
    <col min="8671" max="8671" width="63.140625" style="2" customWidth="1"/>
    <col min="8672" max="8672" width="20" style="2" customWidth="1"/>
    <col min="8673" max="8673" width="11.140625" style="2" customWidth="1"/>
    <col min="8674" max="8674" width="10.85546875" style="2" customWidth="1"/>
    <col min="8675" max="8675" width="21" style="2" customWidth="1"/>
    <col min="8676" max="8676" width="10.85546875" style="2" customWidth="1"/>
    <col min="8677" max="8677" width="17.42578125" style="2" customWidth="1"/>
    <col min="8678" max="8678" width="14.85546875" style="2" customWidth="1"/>
    <col min="8679" max="8679" width="15" style="2" customWidth="1"/>
    <col min="8680" max="8680" width="14.85546875" style="2" customWidth="1"/>
    <col min="8681" max="8681" width="7.140625" style="2" customWidth="1"/>
    <col min="8682" max="8683" width="20.140625" style="2" customWidth="1"/>
    <col min="8684" max="8684" width="18.42578125" style="2" customWidth="1"/>
    <col min="8685" max="8685" width="9.140625" style="2" customWidth="1"/>
    <col min="8686" max="8686" width="12" style="2" customWidth="1"/>
    <col min="8687" max="8687" width="14.85546875" style="2" customWidth="1"/>
    <col min="8688" max="8688" width="22.42578125" style="2" customWidth="1"/>
    <col min="8689" max="8689" width="14.85546875" style="2" customWidth="1"/>
    <col min="8690" max="8690" width="7.140625" style="2" customWidth="1"/>
    <col min="8691" max="8691" width="20.140625" style="2" customWidth="1"/>
    <col min="8692" max="8923" width="8.85546875" style="2" customWidth="1"/>
    <col min="8924" max="8924" width="8.140625" style="2" customWidth="1"/>
    <col min="8925" max="8925" width="14.5703125" style="2" customWidth="1"/>
    <col min="8926" max="8926" width="37.42578125" style="2" customWidth="1"/>
    <col min="8927" max="8927" width="63.140625" style="2" customWidth="1"/>
    <col min="8928" max="8928" width="20" style="2" customWidth="1"/>
    <col min="8929" max="8929" width="11.140625" style="2" customWidth="1"/>
    <col min="8930" max="8930" width="10.85546875" style="2" customWidth="1"/>
    <col min="8931" max="8931" width="21" style="2" customWidth="1"/>
    <col min="8932" max="8932" width="10.85546875" style="2" customWidth="1"/>
    <col min="8933" max="8933" width="17.42578125" style="2" customWidth="1"/>
    <col min="8934" max="8934" width="14.85546875" style="2" customWidth="1"/>
    <col min="8935" max="8935" width="15" style="2" customWidth="1"/>
    <col min="8936" max="8936" width="14.85546875" style="2" customWidth="1"/>
    <col min="8937" max="8937" width="7.140625" style="2" customWidth="1"/>
    <col min="8938" max="8939" width="20.140625" style="2" customWidth="1"/>
    <col min="8940" max="8940" width="18.42578125" style="2" customWidth="1"/>
    <col min="8941" max="8941" width="9.140625" style="2" customWidth="1"/>
    <col min="8942" max="8942" width="12" style="2" customWidth="1"/>
    <col min="8943" max="8943" width="14.85546875" style="2" customWidth="1"/>
    <col min="8944" max="8944" width="22.42578125" style="2" customWidth="1"/>
    <col min="8945" max="8945" width="14.85546875" style="2" customWidth="1"/>
    <col min="8946" max="8946" width="7.140625" style="2" customWidth="1"/>
    <col min="8947" max="8947" width="20.140625" style="2" customWidth="1"/>
    <col min="8948" max="9179" width="8.85546875" style="2" customWidth="1"/>
    <col min="9180" max="9180" width="8.140625" style="2" customWidth="1"/>
    <col min="9181" max="9181" width="14.5703125" style="2" customWidth="1"/>
    <col min="9182" max="9182" width="37.42578125" style="2" customWidth="1"/>
    <col min="9183" max="9183" width="63.140625" style="2" customWidth="1"/>
    <col min="9184" max="9184" width="20" style="2" customWidth="1"/>
    <col min="9185" max="9185" width="11.140625" style="2" customWidth="1"/>
    <col min="9186" max="9186" width="10.85546875" style="2" customWidth="1"/>
    <col min="9187" max="9187" width="21" style="2" customWidth="1"/>
    <col min="9188" max="9188" width="10.85546875" style="2" customWidth="1"/>
    <col min="9189" max="9189" width="17.42578125" style="2" customWidth="1"/>
    <col min="9190" max="9190" width="14.85546875" style="2" customWidth="1"/>
    <col min="9191" max="9191" width="15" style="2" customWidth="1"/>
    <col min="9192" max="9192" width="14.85546875" style="2" customWidth="1"/>
    <col min="9193" max="9193" width="7.140625" style="2" customWidth="1"/>
    <col min="9194" max="9195" width="20.140625" style="2" customWidth="1"/>
    <col min="9196" max="9196" width="18.42578125" style="2" customWidth="1"/>
    <col min="9197" max="9197" width="9.140625" style="2" customWidth="1"/>
    <col min="9198" max="9198" width="12" style="2" customWidth="1"/>
    <col min="9199" max="9199" width="14.85546875" style="2" customWidth="1"/>
    <col min="9200" max="9200" width="22.42578125" style="2" customWidth="1"/>
    <col min="9201" max="9201" width="14.85546875" style="2" customWidth="1"/>
    <col min="9202" max="9202" width="7.140625" style="2" customWidth="1"/>
    <col min="9203" max="9203" width="20.140625" style="2" customWidth="1"/>
    <col min="9204" max="9435" width="8.85546875" style="2" customWidth="1"/>
    <col min="9436" max="9436" width="8.140625" style="2" customWidth="1"/>
    <col min="9437" max="9437" width="14.5703125" style="2" customWidth="1"/>
    <col min="9438" max="9438" width="37.42578125" style="2" customWidth="1"/>
    <col min="9439" max="9439" width="63.140625" style="2" customWidth="1"/>
    <col min="9440" max="9440" width="20" style="2" customWidth="1"/>
    <col min="9441" max="9441" width="11.140625" style="2" customWidth="1"/>
    <col min="9442" max="9442" width="10.85546875" style="2" customWidth="1"/>
    <col min="9443" max="9443" width="21" style="2" customWidth="1"/>
    <col min="9444" max="9444" width="10.85546875" style="2" customWidth="1"/>
    <col min="9445" max="9445" width="17.42578125" style="2" customWidth="1"/>
    <col min="9446" max="9446" width="14.85546875" style="2" customWidth="1"/>
    <col min="9447" max="9447" width="15" style="2" customWidth="1"/>
    <col min="9448" max="9448" width="14.85546875" style="2" customWidth="1"/>
    <col min="9449" max="9449" width="7.140625" style="2" customWidth="1"/>
    <col min="9450" max="9451" width="20.140625" style="2" customWidth="1"/>
    <col min="9452" max="9452" width="18.42578125" style="2" customWidth="1"/>
    <col min="9453" max="9453" width="9.140625" style="2" customWidth="1"/>
    <col min="9454" max="9454" width="12" style="2" customWidth="1"/>
    <col min="9455" max="9455" width="14.85546875" style="2" customWidth="1"/>
    <col min="9456" max="9456" width="22.42578125" style="2" customWidth="1"/>
    <col min="9457" max="9457" width="14.85546875" style="2" customWidth="1"/>
    <col min="9458" max="9458" width="7.140625" style="2" customWidth="1"/>
    <col min="9459" max="9459" width="20.140625" style="2" customWidth="1"/>
    <col min="9460" max="9691" width="8.85546875" style="2" customWidth="1"/>
    <col min="9692" max="9692" width="8.140625" style="2" customWidth="1"/>
    <col min="9693" max="9693" width="14.5703125" style="2" customWidth="1"/>
    <col min="9694" max="9694" width="37.42578125" style="2" customWidth="1"/>
    <col min="9695" max="9695" width="63.140625" style="2" customWidth="1"/>
    <col min="9696" max="9696" width="20" style="2" customWidth="1"/>
    <col min="9697" max="9697" width="11.140625" style="2" customWidth="1"/>
    <col min="9698" max="9698" width="10.85546875" style="2" customWidth="1"/>
    <col min="9699" max="9699" width="21" style="2" customWidth="1"/>
    <col min="9700" max="9700" width="10.85546875" style="2" customWidth="1"/>
    <col min="9701" max="9701" width="17.42578125" style="2" customWidth="1"/>
    <col min="9702" max="9702" width="14.85546875" style="2" customWidth="1"/>
    <col min="9703" max="9703" width="15" style="2" customWidth="1"/>
    <col min="9704" max="9704" width="14.85546875" style="2" customWidth="1"/>
    <col min="9705" max="9705" width="7.140625" style="2" customWidth="1"/>
    <col min="9706" max="9707" width="20.140625" style="2" customWidth="1"/>
    <col min="9708" max="9708" width="18.42578125" style="2" customWidth="1"/>
    <col min="9709" max="9709" width="9.140625" style="2" customWidth="1"/>
    <col min="9710" max="9710" width="12" style="2" customWidth="1"/>
    <col min="9711" max="9711" width="14.85546875" style="2" customWidth="1"/>
    <col min="9712" max="9712" width="22.42578125" style="2" customWidth="1"/>
    <col min="9713" max="9713" width="14.85546875" style="2" customWidth="1"/>
    <col min="9714" max="9714" width="7.140625" style="2" customWidth="1"/>
    <col min="9715" max="9715" width="20.140625" style="2" customWidth="1"/>
    <col min="9716" max="9947" width="8.85546875" style="2" customWidth="1"/>
    <col min="9948" max="9948" width="8.140625" style="2" customWidth="1"/>
    <col min="9949" max="9949" width="14.5703125" style="2" customWidth="1"/>
    <col min="9950" max="9950" width="37.42578125" style="2" customWidth="1"/>
    <col min="9951" max="9951" width="63.140625" style="2" customWidth="1"/>
    <col min="9952" max="9952" width="20" style="2" customWidth="1"/>
    <col min="9953" max="9953" width="11.140625" style="2" customWidth="1"/>
    <col min="9954" max="9954" width="10.85546875" style="2" customWidth="1"/>
    <col min="9955" max="9955" width="21" style="2" customWidth="1"/>
    <col min="9956" max="9956" width="10.85546875" style="2" customWidth="1"/>
    <col min="9957" max="9957" width="17.42578125" style="2" customWidth="1"/>
    <col min="9958" max="9958" width="14.85546875" style="2" customWidth="1"/>
    <col min="9959" max="9959" width="15" style="2" customWidth="1"/>
    <col min="9960" max="9960" width="14.85546875" style="2" customWidth="1"/>
    <col min="9961" max="9961" width="7.140625" style="2" customWidth="1"/>
    <col min="9962" max="9963" width="20.140625" style="2" customWidth="1"/>
    <col min="9964" max="9964" width="18.42578125" style="2" customWidth="1"/>
    <col min="9965" max="9965" width="9.140625" style="2" customWidth="1"/>
    <col min="9966" max="9966" width="12" style="2" customWidth="1"/>
    <col min="9967" max="9967" width="14.85546875" style="2" customWidth="1"/>
    <col min="9968" max="9968" width="22.42578125" style="2" customWidth="1"/>
    <col min="9969" max="9969" width="14.85546875" style="2" customWidth="1"/>
    <col min="9970" max="9970" width="7.140625" style="2" customWidth="1"/>
    <col min="9971" max="9971" width="20.140625" style="2" customWidth="1"/>
    <col min="9972" max="10203" width="8.85546875" style="2" customWidth="1"/>
    <col min="10204" max="10204" width="8.140625" style="2" customWidth="1"/>
    <col min="10205" max="10205" width="14.5703125" style="2" customWidth="1"/>
    <col min="10206" max="10206" width="37.42578125" style="2" customWidth="1"/>
    <col min="10207" max="10207" width="63.140625" style="2" customWidth="1"/>
    <col min="10208" max="10208" width="20" style="2" customWidth="1"/>
    <col min="10209" max="10209" width="11.140625" style="2" customWidth="1"/>
    <col min="10210" max="10210" width="10.85546875" style="2" customWidth="1"/>
    <col min="10211" max="10211" width="21" style="2" customWidth="1"/>
    <col min="10212" max="10212" width="10.85546875" style="2" customWidth="1"/>
    <col min="10213" max="10213" width="17.42578125" style="2" customWidth="1"/>
    <col min="10214" max="10214" width="14.85546875" style="2" customWidth="1"/>
    <col min="10215" max="10215" width="15" style="2" customWidth="1"/>
    <col min="10216" max="10216" width="14.85546875" style="2" customWidth="1"/>
    <col min="10217" max="10217" width="7.140625" style="2" customWidth="1"/>
    <col min="10218" max="10219" width="20.140625" style="2" customWidth="1"/>
    <col min="10220" max="10220" width="18.42578125" style="2" customWidth="1"/>
    <col min="10221" max="10221" width="9.140625" style="2" customWidth="1"/>
    <col min="10222" max="10222" width="12" style="2" customWidth="1"/>
    <col min="10223" max="10223" width="14.85546875" style="2" customWidth="1"/>
    <col min="10224" max="10224" width="22.42578125" style="2" customWidth="1"/>
    <col min="10225" max="10225" width="14.85546875" style="2" customWidth="1"/>
    <col min="10226" max="10226" width="7.140625" style="2" customWidth="1"/>
    <col min="10227" max="10227" width="20.140625" style="2" customWidth="1"/>
    <col min="10228" max="10459" width="8.85546875" style="2" customWidth="1"/>
    <col min="10460" max="10460" width="8.140625" style="2" customWidth="1"/>
    <col min="10461" max="10461" width="14.5703125" style="2" customWidth="1"/>
    <col min="10462" max="10462" width="37.42578125" style="2" customWidth="1"/>
    <col min="10463" max="10463" width="63.140625" style="2" customWidth="1"/>
    <col min="10464" max="10464" width="20" style="2" customWidth="1"/>
    <col min="10465" max="10465" width="11.140625" style="2" customWidth="1"/>
    <col min="10466" max="10466" width="10.85546875" style="2" customWidth="1"/>
    <col min="10467" max="10467" width="21" style="2" customWidth="1"/>
    <col min="10468" max="10468" width="10.85546875" style="2" customWidth="1"/>
    <col min="10469" max="10469" width="17.42578125" style="2" customWidth="1"/>
    <col min="10470" max="10470" width="14.85546875" style="2" customWidth="1"/>
    <col min="10471" max="10471" width="15" style="2" customWidth="1"/>
    <col min="10472" max="10472" width="14.85546875" style="2" customWidth="1"/>
    <col min="10473" max="10473" width="7.140625" style="2" customWidth="1"/>
    <col min="10474" max="10475" width="20.140625" style="2" customWidth="1"/>
    <col min="10476" max="10476" width="18.42578125" style="2" customWidth="1"/>
    <col min="10477" max="10477" width="9.140625" style="2" customWidth="1"/>
    <col min="10478" max="10478" width="12" style="2" customWidth="1"/>
    <col min="10479" max="10479" width="14.85546875" style="2" customWidth="1"/>
    <col min="10480" max="10480" width="22.42578125" style="2" customWidth="1"/>
    <col min="10481" max="10481" width="14.85546875" style="2" customWidth="1"/>
    <col min="10482" max="10482" width="7.140625" style="2" customWidth="1"/>
    <col min="10483" max="10483" width="20.140625" style="2" customWidth="1"/>
    <col min="10484" max="10715" width="8.85546875" style="2" customWidth="1"/>
    <col min="10716" max="10716" width="8.140625" style="2" customWidth="1"/>
    <col min="10717" max="10717" width="14.5703125" style="2" customWidth="1"/>
    <col min="10718" max="10718" width="37.42578125" style="2" customWidth="1"/>
    <col min="10719" max="10719" width="63.140625" style="2" customWidth="1"/>
    <col min="10720" max="10720" width="20" style="2" customWidth="1"/>
    <col min="10721" max="10721" width="11.140625" style="2" customWidth="1"/>
    <col min="10722" max="10722" width="10.85546875" style="2" customWidth="1"/>
    <col min="10723" max="10723" width="21" style="2" customWidth="1"/>
    <col min="10724" max="10724" width="10.85546875" style="2" customWidth="1"/>
    <col min="10725" max="10725" width="17.42578125" style="2" customWidth="1"/>
    <col min="10726" max="10726" width="14.85546875" style="2" customWidth="1"/>
    <col min="10727" max="10727" width="15" style="2" customWidth="1"/>
    <col min="10728" max="10728" width="14.85546875" style="2" customWidth="1"/>
    <col min="10729" max="10729" width="7.140625" style="2" customWidth="1"/>
    <col min="10730" max="10731" width="20.140625" style="2" customWidth="1"/>
    <col min="10732" max="10732" width="18.42578125" style="2" customWidth="1"/>
    <col min="10733" max="10733" width="9.140625" style="2" customWidth="1"/>
    <col min="10734" max="10734" width="12" style="2" customWidth="1"/>
    <col min="10735" max="10735" width="14.85546875" style="2" customWidth="1"/>
    <col min="10736" max="10736" width="22.42578125" style="2" customWidth="1"/>
    <col min="10737" max="10737" width="14.85546875" style="2" customWidth="1"/>
    <col min="10738" max="10738" width="7.140625" style="2" customWidth="1"/>
    <col min="10739" max="10739" width="20.140625" style="2" customWidth="1"/>
    <col min="10740" max="10971" width="8.85546875" style="2" customWidth="1"/>
    <col min="10972" max="10972" width="8.140625" style="2" customWidth="1"/>
    <col min="10973" max="10973" width="14.5703125" style="2" customWidth="1"/>
    <col min="10974" max="10974" width="37.42578125" style="2" customWidth="1"/>
    <col min="10975" max="10975" width="63.140625" style="2" customWidth="1"/>
    <col min="10976" max="10976" width="20" style="2" customWidth="1"/>
    <col min="10977" max="10977" width="11.140625" style="2" customWidth="1"/>
    <col min="10978" max="10978" width="10.85546875" style="2" customWidth="1"/>
    <col min="10979" max="10979" width="21" style="2" customWidth="1"/>
    <col min="10980" max="10980" width="10.85546875" style="2" customWidth="1"/>
    <col min="10981" max="10981" width="17.42578125" style="2" customWidth="1"/>
    <col min="10982" max="10982" width="14.85546875" style="2" customWidth="1"/>
    <col min="10983" max="10983" width="15" style="2" customWidth="1"/>
    <col min="10984" max="10984" width="14.85546875" style="2" customWidth="1"/>
    <col min="10985" max="10985" width="7.140625" style="2" customWidth="1"/>
    <col min="10986" max="10987" width="20.140625" style="2" customWidth="1"/>
    <col min="10988" max="10988" width="18.42578125" style="2" customWidth="1"/>
    <col min="10989" max="10989" width="9.140625" style="2" customWidth="1"/>
    <col min="10990" max="10990" width="12" style="2" customWidth="1"/>
    <col min="10991" max="10991" width="14.85546875" style="2" customWidth="1"/>
    <col min="10992" max="10992" width="22.42578125" style="2" customWidth="1"/>
    <col min="10993" max="10993" width="14.85546875" style="2" customWidth="1"/>
    <col min="10994" max="10994" width="7.140625" style="2" customWidth="1"/>
    <col min="10995" max="10995" width="20.140625" style="2" customWidth="1"/>
    <col min="10996" max="11227" width="8.85546875" style="2" customWidth="1"/>
    <col min="11228" max="11228" width="8.140625" style="2" customWidth="1"/>
    <col min="11229" max="11229" width="14.5703125" style="2" customWidth="1"/>
    <col min="11230" max="11230" width="37.42578125" style="2" customWidth="1"/>
    <col min="11231" max="11231" width="63.140625" style="2" customWidth="1"/>
    <col min="11232" max="11232" width="20" style="2" customWidth="1"/>
    <col min="11233" max="11233" width="11.140625" style="2" customWidth="1"/>
    <col min="11234" max="11234" width="10.85546875" style="2" customWidth="1"/>
    <col min="11235" max="11235" width="21" style="2" customWidth="1"/>
    <col min="11236" max="11236" width="10.85546875" style="2" customWidth="1"/>
    <col min="11237" max="11237" width="17.42578125" style="2" customWidth="1"/>
    <col min="11238" max="11238" width="14.85546875" style="2" customWidth="1"/>
    <col min="11239" max="11239" width="15" style="2" customWidth="1"/>
    <col min="11240" max="11240" width="14.85546875" style="2" customWidth="1"/>
    <col min="11241" max="11241" width="7.140625" style="2" customWidth="1"/>
    <col min="11242" max="11243" width="20.140625" style="2" customWidth="1"/>
    <col min="11244" max="11244" width="18.42578125" style="2" customWidth="1"/>
    <col min="11245" max="11245" width="9.140625" style="2" customWidth="1"/>
    <col min="11246" max="11246" width="12" style="2" customWidth="1"/>
    <col min="11247" max="11247" width="14.85546875" style="2" customWidth="1"/>
    <col min="11248" max="11248" width="22.42578125" style="2" customWidth="1"/>
    <col min="11249" max="11249" width="14.85546875" style="2" customWidth="1"/>
    <col min="11250" max="11250" width="7.140625" style="2" customWidth="1"/>
    <col min="11251" max="11251" width="20.140625" style="2" customWidth="1"/>
    <col min="11252" max="11483" width="8.85546875" style="2" customWidth="1"/>
    <col min="11484" max="11484" width="8.140625" style="2" customWidth="1"/>
    <col min="11485" max="11485" width="14.5703125" style="2" customWidth="1"/>
    <col min="11486" max="11486" width="37.42578125" style="2" customWidth="1"/>
    <col min="11487" max="11487" width="63.140625" style="2" customWidth="1"/>
    <col min="11488" max="11488" width="20" style="2" customWidth="1"/>
    <col min="11489" max="11489" width="11.140625" style="2" customWidth="1"/>
    <col min="11490" max="11490" width="10.85546875" style="2" customWidth="1"/>
    <col min="11491" max="11491" width="21" style="2" customWidth="1"/>
    <col min="11492" max="11492" width="10.85546875" style="2" customWidth="1"/>
    <col min="11493" max="11493" width="17.42578125" style="2" customWidth="1"/>
    <col min="11494" max="11494" width="14.85546875" style="2" customWidth="1"/>
    <col min="11495" max="11495" width="15" style="2" customWidth="1"/>
    <col min="11496" max="11496" width="14.85546875" style="2" customWidth="1"/>
    <col min="11497" max="11497" width="7.140625" style="2" customWidth="1"/>
    <col min="11498" max="11499" width="20.140625" style="2" customWidth="1"/>
    <col min="11500" max="11500" width="18.42578125" style="2" customWidth="1"/>
    <col min="11501" max="11501" width="9.140625" style="2" customWidth="1"/>
    <col min="11502" max="11502" width="12" style="2" customWidth="1"/>
    <col min="11503" max="11503" width="14.85546875" style="2" customWidth="1"/>
    <col min="11504" max="11504" width="22.42578125" style="2" customWidth="1"/>
    <col min="11505" max="11505" width="14.85546875" style="2" customWidth="1"/>
    <col min="11506" max="11506" width="7.140625" style="2" customWidth="1"/>
    <col min="11507" max="11507" width="20.140625" style="2" customWidth="1"/>
    <col min="11508" max="11739" width="8.85546875" style="2" customWidth="1"/>
    <col min="11740" max="11740" width="8.140625" style="2" customWidth="1"/>
    <col min="11741" max="11741" width="14.5703125" style="2" customWidth="1"/>
    <col min="11742" max="11742" width="37.42578125" style="2" customWidth="1"/>
    <col min="11743" max="11743" width="63.140625" style="2" customWidth="1"/>
    <col min="11744" max="11744" width="20" style="2" customWidth="1"/>
    <col min="11745" max="11745" width="11.140625" style="2" customWidth="1"/>
    <col min="11746" max="11746" width="10.85546875" style="2" customWidth="1"/>
    <col min="11747" max="11747" width="21" style="2" customWidth="1"/>
    <col min="11748" max="11748" width="10.85546875" style="2" customWidth="1"/>
    <col min="11749" max="11749" width="17.42578125" style="2" customWidth="1"/>
    <col min="11750" max="11750" width="14.85546875" style="2" customWidth="1"/>
    <col min="11751" max="11751" width="15" style="2" customWidth="1"/>
    <col min="11752" max="11752" width="14.85546875" style="2" customWidth="1"/>
    <col min="11753" max="11753" width="7.140625" style="2" customWidth="1"/>
    <col min="11754" max="11755" width="20.140625" style="2" customWidth="1"/>
    <col min="11756" max="11756" width="18.42578125" style="2" customWidth="1"/>
    <col min="11757" max="11757" width="9.140625" style="2" customWidth="1"/>
    <col min="11758" max="11758" width="12" style="2" customWidth="1"/>
    <col min="11759" max="11759" width="14.85546875" style="2" customWidth="1"/>
    <col min="11760" max="11760" width="22.42578125" style="2" customWidth="1"/>
    <col min="11761" max="11761" width="14.85546875" style="2" customWidth="1"/>
    <col min="11762" max="11762" width="7.140625" style="2" customWidth="1"/>
    <col min="11763" max="11763" width="20.140625" style="2" customWidth="1"/>
    <col min="11764" max="11995" width="8.85546875" style="2" customWidth="1"/>
    <col min="11996" max="11996" width="8.140625" style="2" customWidth="1"/>
    <col min="11997" max="11997" width="14.5703125" style="2" customWidth="1"/>
    <col min="11998" max="11998" width="37.42578125" style="2" customWidth="1"/>
    <col min="11999" max="11999" width="63.140625" style="2" customWidth="1"/>
    <col min="12000" max="12000" width="20" style="2" customWidth="1"/>
    <col min="12001" max="12001" width="11.140625" style="2" customWidth="1"/>
    <col min="12002" max="12002" width="10.85546875" style="2" customWidth="1"/>
    <col min="12003" max="12003" width="21" style="2" customWidth="1"/>
    <col min="12004" max="12004" width="10.85546875" style="2" customWidth="1"/>
    <col min="12005" max="12005" width="17.42578125" style="2" customWidth="1"/>
    <col min="12006" max="12006" width="14.85546875" style="2" customWidth="1"/>
    <col min="12007" max="12007" width="15" style="2" customWidth="1"/>
    <col min="12008" max="12008" width="14.85546875" style="2" customWidth="1"/>
    <col min="12009" max="12009" width="7.140625" style="2" customWidth="1"/>
    <col min="12010" max="12011" width="20.140625" style="2" customWidth="1"/>
    <col min="12012" max="12012" width="18.42578125" style="2" customWidth="1"/>
    <col min="12013" max="12013" width="9.140625" style="2" customWidth="1"/>
    <col min="12014" max="12014" width="12" style="2" customWidth="1"/>
    <col min="12015" max="12015" width="14.85546875" style="2" customWidth="1"/>
    <col min="12016" max="12016" width="22.42578125" style="2" customWidth="1"/>
    <col min="12017" max="12017" width="14.85546875" style="2" customWidth="1"/>
    <col min="12018" max="12018" width="7.140625" style="2" customWidth="1"/>
    <col min="12019" max="12019" width="20.140625" style="2" customWidth="1"/>
    <col min="12020" max="12251" width="8.85546875" style="2" customWidth="1"/>
    <col min="12252" max="12252" width="8.140625" style="2" customWidth="1"/>
    <col min="12253" max="12253" width="14.5703125" style="2" customWidth="1"/>
    <col min="12254" max="12254" width="37.42578125" style="2" customWidth="1"/>
    <col min="12255" max="12255" width="63.140625" style="2" customWidth="1"/>
    <col min="12256" max="12256" width="20" style="2" customWidth="1"/>
    <col min="12257" max="12257" width="11.140625" style="2" customWidth="1"/>
    <col min="12258" max="12258" width="10.85546875" style="2" customWidth="1"/>
    <col min="12259" max="12259" width="21" style="2" customWidth="1"/>
    <col min="12260" max="12260" width="10.85546875" style="2" customWidth="1"/>
    <col min="12261" max="12261" width="17.42578125" style="2" customWidth="1"/>
    <col min="12262" max="12262" width="14.85546875" style="2" customWidth="1"/>
    <col min="12263" max="12263" width="15" style="2" customWidth="1"/>
    <col min="12264" max="12264" width="14.85546875" style="2" customWidth="1"/>
    <col min="12265" max="12265" width="7.140625" style="2" customWidth="1"/>
    <col min="12266" max="12267" width="20.140625" style="2" customWidth="1"/>
    <col min="12268" max="12268" width="18.42578125" style="2" customWidth="1"/>
    <col min="12269" max="12269" width="9.140625" style="2" customWidth="1"/>
    <col min="12270" max="12270" width="12" style="2" customWidth="1"/>
    <col min="12271" max="12271" width="14.85546875" style="2" customWidth="1"/>
    <col min="12272" max="12272" width="22.42578125" style="2" customWidth="1"/>
    <col min="12273" max="12273" width="14.85546875" style="2" customWidth="1"/>
    <col min="12274" max="12274" width="7.140625" style="2" customWidth="1"/>
    <col min="12275" max="12275" width="20.140625" style="2" customWidth="1"/>
    <col min="12276" max="12507" width="8.85546875" style="2" customWidth="1"/>
    <col min="12508" max="12508" width="8.140625" style="2" customWidth="1"/>
    <col min="12509" max="12509" width="14.5703125" style="2" customWidth="1"/>
    <col min="12510" max="12510" width="37.42578125" style="2" customWidth="1"/>
    <col min="12511" max="12511" width="63.140625" style="2" customWidth="1"/>
    <col min="12512" max="12512" width="20" style="2" customWidth="1"/>
    <col min="12513" max="12513" width="11.140625" style="2" customWidth="1"/>
    <col min="12514" max="12514" width="10.85546875" style="2" customWidth="1"/>
    <col min="12515" max="12515" width="21" style="2" customWidth="1"/>
    <col min="12516" max="12516" width="10.85546875" style="2" customWidth="1"/>
    <col min="12517" max="12517" width="17.42578125" style="2" customWidth="1"/>
    <col min="12518" max="12518" width="14.85546875" style="2" customWidth="1"/>
    <col min="12519" max="12519" width="15" style="2" customWidth="1"/>
    <col min="12520" max="12520" width="14.85546875" style="2" customWidth="1"/>
    <col min="12521" max="12521" width="7.140625" style="2" customWidth="1"/>
    <col min="12522" max="12523" width="20.140625" style="2" customWidth="1"/>
    <col min="12524" max="12524" width="18.42578125" style="2" customWidth="1"/>
    <col min="12525" max="12525" width="9.140625" style="2" customWidth="1"/>
    <col min="12526" max="12526" width="12" style="2" customWidth="1"/>
    <col min="12527" max="12527" width="14.85546875" style="2" customWidth="1"/>
    <col min="12528" max="12528" width="22.42578125" style="2" customWidth="1"/>
    <col min="12529" max="12529" width="14.85546875" style="2" customWidth="1"/>
    <col min="12530" max="12530" width="7.140625" style="2" customWidth="1"/>
    <col min="12531" max="12531" width="20.140625" style="2" customWidth="1"/>
    <col min="12532" max="12763" width="8.85546875" style="2" customWidth="1"/>
    <col min="12764" max="12764" width="8.140625" style="2" customWidth="1"/>
    <col min="12765" max="12765" width="14.5703125" style="2" customWidth="1"/>
    <col min="12766" max="12766" width="37.42578125" style="2" customWidth="1"/>
    <col min="12767" max="12767" width="63.140625" style="2" customWidth="1"/>
    <col min="12768" max="12768" width="20" style="2" customWidth="1"/>
    <col min="12769" max="12769" width="11.140625" style="2" customWidth="1"/>
    <col min="12770" max="12770" width="10.85546875" style="2" customWidth="1"/>
    <col min="12771" max="12771" width="21" style="2" customWidth="1"/>
    <col min="12772" max="12772" width="10.85546875" style="2" customWidth="1"/>
    <col min="12773" max="12773" width="17.42578125" style="2" customWidth="1"/>
    <col min="12774" max="12774" width="14.85546875" style="2" customWidth="1"/>
    <col min="12775" max="12775" width="15" style="2" customWidth="1"/>
    <col min="12776" max="12776" width="14.85546875" style="2" customWidth="1"/>
    <col min="12777" max="12777" width="7.140625" style="2" customWidth="1"/>
    <col min="12778" max="12779" width="20.140625" style="2" customWidth="1"/>
    <col min="12780" max="12780" width="18.42578125" style="2" customWidth="1"/>
    <col min="12781" max="12781" width="9.140625" style="2" customWidth="1"/>
    <col min="12782" max="12782" width="12" style="2" customWidth="1"/>
    <col min="12783" max="12783" width="14.85546875" style="2" customWidth="1"/>
    <col min="12784" max="12784" width="22.42578125" style="2" customWidth="1"/>
    <col min="12785" max="12785" width="14.85546875" style="2" customWidth="1"/>
    <col min="12786" max="12786" width="7.140625" style="2" customWidth="1"/>
    <col min="12787" max="12787" width="20.140625" style="2" customWidth="1"/>
    <col min="12788" max="13019" width="8.85546875" style="2" customWidth="1"/>
    <col min="13020" max="13020" width="8.140625" style="2" customWidth="1"/>
    <col min="13021" max="13021" width="14.5703125" style="2" customWidth="1"/>
    <col min="13022" max="13022" width="37.42578125" style="2" customWidth="1"/>
    <col min="13023" max="13023" width="63.140625" style="2" customWidth="1"/>
    <col min="13024" max="13024" width="20" style="2" customWidth="1"/>
    <col min="13025" max="13025" width="11.140625" style="2" customWidth="1"/>
    <col min="13026" max="13026" width="10.85546875" style="2" customWidth="1"/>
    <col min="13027" max="13027" width="21" style="2" customWidth="1"/>
    <col min="13028" max="13028" width="10.85546875" style="2" customWidth="1"/>
    <col min="13029" max="13029" width="17.42578125" style="2" customWidth="1"/>
    <col min="13030" max="13030" width="14.85546875" style="2" customWidth="1"/>
    <col min="13031" max="13031" width="15" style="2" customWidth="1"/>
    <col min="13032" max="13032" width="14.85546875" style="2" customWidth="1"/>
    <col min="13033" max="13033" width="7.140625" style="2" customWidth="1"/>
    <col min="13034" max="13035" width="20.140625" style="2" customWidth="1"/>
    <col min="13036" max="13036" width="18.42578125" style="2" customWidth="1"/>
    <col min="13037" max="13037" width="9.140625" style="2" customWidth="1"/>
    <col min="13038" max="13038" width="12" style="2" customWidth="1"/>
    <col min="13039" max="13039" width="14.85546875" style="2" customWidth="1"/>
    <col min="13040" max="13040" width="22.42578125" style="2" customWidth="1"/>
    <col min="13041" max="13041" width="14.85546875" style="2" customWidth="1"/>
    <col min="13042" max="13042" width="7.140625" style="2" customWidth="1"/>
    <col min="13043" max="13043" width="20.140625" style="2" customWidth="1"/>
    <col min="13044" max="13275" width="8.85546875" style="2" customWidth="1"/>
    <col min="13276" max="13276" width="8.140625" style="2" customWidth="1"/>
    <col min="13277" max="13277" width="14.5703125" style="2" customWidth="1"/>
    <col min="13278" max="13278" width="37.42578125" style="2" customWidth="1"/>
    <col min="13279" max="13279" width="63.140625" style="2" customWidth="1"/>
    <col min="13280" max="13280" width="20" style="2" customWidth="1"/>
    <col min="13281" max="13281" width="11.140625" style="2" customWidth="1"/>
    <col min="13282" max="13282" width="10.85546875" style="2" customWidth="1"/>
    <col min="13283" max="13283" width="21" style="2" customWidth="1"/>
    <col min="13284" max="13284" width="10.85546875" style="2" customWidth="1"/>
    <col min="13285" max="13285" width="17.42578125" style="2" customWidth="1"/>
    <col min="13286" max="13286" width="14.85546875" style="2" customWidth="1"/>
    <col min="13287" max="13287" width="15" style="2" customWidth="1"/>
    <col min="13288" max="13288" width="14.85546875" style="2" customWidth="1"/>
    <col min="13289" max="13289" width="7.140625" style="2" customWidth="1"/>
    <col min="13290" max="13291" width="20.140625" style="2" customWidth="1"/>
    <col min="13292" max="13292" width="18.42578125" style="2" customWidth="1"/>
    <col min="13293" max="13293" width="9.140625" style="2" customWidth="1"/>
    <col min="13294" max="13294" width="12" style="2" customWidth="1"/>
    <col min="13295" max="13295" width="14.85546875" style="2" customWidth="1"/>
    <col min="13296" max="13296" width="22.42578125" style="2" customWidth="1"/>
    <col min="13297" max="13297" width="14.85546875" style="2" customWidth="1"/>
    <col min="13298" max="13298" width="7.140625" style="2" customWidth="1"/>
    <col min="13299" max="13299" width="20.140625" style="2" customWidth="1"/>
    <col min="13300" max="13531" width="8.85546875" style="2" customWidth="1"/>
    <col min="13532" max="13532" width="8.140625" style="2" customWidth="1"/>
    <col min="13533" max="13533" width="14.5703125" style="2" customWidth="1"/>
    <col min="13534" max="13534" width="37.42578125" style="2" customWidth="1"/>
    <col min="13535" max="13535" width="63.140625" style="2" customWidth="1"/>
    <col min="13536" max="13536" width="20" style="2" customWidth="1"/>
    <col min="13537" max="13537" width="11.140625" style="2" customWidth="1"/>
    <col min="13538" max="13538" width="10.85546875" style="2" customWidth="1"/>
    <col min="13539" max="13539" width="21" style="2" customWidth="1"/>
    <col min="13540" max="13540" width="10.85546875" style="2" customWidth="1"/>
    <col min="13541" max="13541" width="17.42578125" style="2" customWidth="1"/>
    <col min="13542" max="13542" width="14.85546875" style="2" customWidth="1"/>
    <col min="13543" max="13543" width="15" style="2" customWidth="1"/>
    <col min="13544" max="13544" width="14.85546875" style="2" customWidth="1"/>
    <col min="13545" max="13545" width="7.140625" style="2" customWidth="1"/>
    <col min="13546" max="13547" width="20.140625" style="2" customWidth="1"/>
    <col min="13548" max="13548" width="18.42578125" style="2" customWidth="1"/>
    <col min="13549" max="13549" width="9.140625" style="2" customWidth="1"/>
    <col min="13550" max="13550" width="12" style="2" customWidth="1"/>
    <col min="13551" max="13551" width="14.85546875" style="2" customWidth="1"/>
    <col min="13552" max="13552" width="22.42578125" style="2" customWidth="1"/>
    <col min="13553" max="13553" width="14.85546875" style="2" customWidth="1"/>
    <col min="13554" max="13554" width="7.140625" style="2" customWidth="1"/>
    <col min="13555" max="13555" width="20.140625" style="2" customWidth="1"/>
    <col min="13556" max="13787" width="8.85546875" style="2" customWidth="1"/>
    <col min="13788" max="13788" width="8.140625" style="2" customWidth="1"/>
    <col min="13789" max="13789" width="14.5703125" style="2" customWidth="1"/>
    <col min="13790" max="13790" width="37.42578125" style="2" customWidth="1"/>
    <col min="13791" max="13791" width="63.140625" style="2" customWidth="1"/>
    <col min="13792" max="13792" width="20" style="2" customWidth="1"/>
    <col min="13793" max="13793" width="11.140625" style="2" customWidth="1"/>
    <col min="13794" max="13794" width="10.85546875" style="2" customWidth="1"/>
    <col min="13795" max="13795" width="21" style="2" customWidth="1"/>
    <col min="13796" max="13796" width="10.85546875" style="2" customWidth="1"/>
    <col min="13797" max="13797" width="17.42578125" style="2" customWidth="1"/>
    <col min="13798" max="13798" width="14.85546875" style="2" customWidth="1"/>
    <col min="13799" max="13799" width="15" style="2" customWidth="1"/>
    <col min="13800" max="13800" width="14.85546875" style="2" customWidth="1"/>
    <col min="13801" max="13801" width="7.140625" style="2" customWidth="1"/>
    <col min="13802" max="13803" width="20.140625" style="2" customWidth="1"/>
    <col min="13804" max="13804" width="18.42578125" style="2" customWidth="1"/>
    <col min="13805" max="13805" width="9.140625" style="2" customWidth="1"/>
    <col min="13806" max="13806" width="12" style="2" customWidth="1"/>
    <col min="13807" max="13807" width="14.85546875" style="2" customWidth="1"/>
    <col min="13808" max="13808" width="22.42578125" style="2" customWidth="1"/>
    <col min="13809" max="13809" width="14.85546875" style="2" customWidth="1"/>
    <col min="13810" max="13810" width="7.140625" style="2" customWidth="1"/>
    <col min="13811" max="13811" width="20.140625" style="2" customWidth="1"/>
    <col min="13812" max="14043" width="8.85546875" style="2" customWidth="1"/>
    <col min="14044" max="14044" width="8.140625" style="2" customWidth="1"/>
    <col min="14045" max="14045" width="14.5703125" style="2" customWidth="1"/>
    <col min="14046" max="14046" width="37.42578125" style="2" customWidth="1"/>
    <col min="14047" max="14047" width="63.140625" style="2" customWidth="1"/>
    <col min="14048" max="14048" width="20" style="2" customWidth="1"/>
    <col min="14049" max="14049" width="11.140625" style="2" customWidth="1"/>
    <col min="14050" max="14050" width="10.85546875" style="2" customWidth="1"/>
    <col min="14051" max="14051" width="21" style="2" customWidth="1"/>
    <col min="14052" max="14052" width="10.85546875" style="2" customWidth="1"/>
    <col min="14053" max="14053" width="17.42578125" style="2" customWidth="1"/>
    <col min="14054" max="14054" width="14.85546875" style="2" customWidth="1"/>
    <col min="14055" max="14055" width="15" style="2" customWidth="1"/>
    <col min="14056" max="14056" width="14.85546875" style="2" customWidth="1"/>
    <col min="14057" max="14057" width="7.140625" style="2" customWidth="1"/>
    <col min="14058" max="14059" width="20.140625" style="2" customWidth="1"/>
    <col min="14060" max="14060" width="18.42578125" style="2" customWidth="1"/>
    <col min="14061" max="14061" width="9.140625" style="2" customWidth="1"/>
    <col min="14062" max="14062" width="12" style="2" customWidth="1"/>
    <col min="14063" max="14063" width="14.85546875" style="2" customWidth="1"/>
    <col min="14064" max="14064" width="22.42578125" style="2" customWidth="1"/>
    <col min="14065" max="14065" width="14.85546875" style="2" customWidth="1"/>
    <col min="14066" max="14066" width="7.140625" style="2" customWidth="1"/>
    <col min="14067" max="14067" width="20.140625" style="2" customWidth="1"/>
    <col min="14068" max="14299" width="8.85546875" style="2" customWidth="1"/>
    <col min="14300" max="14300" width="8.140625" style="2" customWidth="1"/>
    <col min="14301" max="14301" width="14.5703125" style="2" customWidth="1"/>
    <col min="14302" max="14302" width="37.42578125" style="2" customWidth="1"/>
    <col min="14303" max="14303" width="63.140625" style="2" customWidth="1"/>
    <col min="14304" max="14304" width="20" style="2" customWidth="1"/>
    <col min="14305" max="14305" width="11.140625" style="2" customWidth="1"/>
    <col min="14306" max="14306" width="10.85546875" style="2" customWidth="1"/>
    <col min="14307" max="14307" width="21" style="2" customWidth="1"/>
    <col min="14308" max="14308" width="10.85546875" style="2" customWidth="1"/>
    <col min="14309" max="14309" width="17.42578125" style="2" customWidth="1"/>
    <col min="14310" max="14310" width="14.85546875" style="2" customWidth="1"/>
    <col min="14311" max="14311" width="15" style="2" customWidth="1"/>
    <col min="14312" max="14312" width="14.85546875" style="2" customWidth="1"/>
    <col min="14313" max="14313" width="7.140625" style="2" customWidth="1"/>
    <col min="14314" max="14315" width="20.140625" style="2" customWidth="1"/>
    <col min="14316" max="14316" width="18.42578125" style="2" customWidth="1"/>
    <col min="14317" max="14317" width="9.140625" style="2" customWidth="1"/>
    <col min="14318" max="14318" width="12" style="2" customWidth="1"/>
    <col min="14319" max="14319" width="14.85546875" style="2" customWidth="1"/>
    <col min="14320" max="14320" width="22.42578125" style="2" customWidth="1"/>
    <col min="14321" max="14321" width="14.85546875" style="2" customWidth="1"/>
    <col min="14322" max="14322" width="7.140625" style="2" customWidth="1"/>
    <col min="14323" max="14323" width="20.140625" style="2" customWidth="1"/>
    <col min="14324" max="14555" width="8.85546875" style="2" customWidth="1"/>
    <col min="14556" max="14556" width="8.140625" style="2" customWidth="1"/>
    <col min="14557" max="14557" width="14.5703125" style="2" customWidth="1"/>
    <col min="14558" max="14558" width="37.42578125" style="2" customWidth="1"/>
    <col min="14559" max="14559" width="63.140625" style="2" customWidth="1"/>
    <col min="14560" max="14560" width="20" style="2" customWidth="1"/>
    <col min="14561" max="14561" width="11.140625" style="2" customWidth="1"/>
    <col min="14562" max="14562" width="10.85546875" style="2" customWidth="1"/>
    <col min="14563" max="14563" width="21" style="2" customWidth="1"/>
    <col min="14564" max="14564" width="10.85546875" style="2" customWidth="1"/>
    <col min="14565" max="14565" width="17.42578125" style="2" customWidth="1"/>
    <col min="14566" max="14566" width="14.85546875" style="2" customWidth="1"/>
    <col min="14567" max="14567" width="15" style="2" customWidth="1"/>
    <col min="14568" max="14568" width="14.85546875" style="2" customWidth="1"/>
    <col min="14569" max="14569" width="7.140625" style="2" customWidth="1"/>
    <col min="14570" max="14571" width="20.140625" style="2" customWidth="1"/>
    <col min="14572" max="14572" width="18.42578125" style="2" customWidth="1"/>
    <col min="14573" max="14573" width="9.140625" style="2" customWidth="1"/>
    <col min="14574" max="14574" width="12" style="2" customWidth="1"/>
    <col min="14575" max="14575" width="14.85546875" style="2" customWidth="1"/>
    <col min="14576" max="14576" width="22.42578125" style="2" customWidth="1"/>
    <col min="14577" max="14577" width="14.85546875" style="2" customWidth="1"/>
    <col min="14578" max="14578" width="7.140625" style="2" customWidth="1"/>
    <col min="14579" max="14579" width="20.140625" style="2" customWidth="1"/>
    <col min="14580" max="14811" width="8.85546875" style="2" customWidth="1"/>
    <col min="14812" max="14812" width="8.140625" style="2" customWidth="1"/>
    <col min="14813" max="14813" width="14.5703125" style="2" customWidth="1"/>
    <col min="14814" max="14814" width="37.42578125" style="2" customWidth="1"/>
    <col min="14815" max="14815" width="63.140625" style="2" customWidth="1"/>
    <col min="14816" max="14816" width="20" style="2" customWidth="1"/>
    <col min="14817" max="14817" width="11.140625" style="2" customWidth="1"/>
    <col min="14818" max="14818" width="10.85546875" style="2" customWidth="1"/>
    <col min="14819" max="14819" width="21" style="2" customWidth="1"/>
    <col min="14820" max="14820" width="10.85546875" style="2" customWidth="1"/>
    <col min="14821" max="14821" width="17.42578125" style="2" customWidth="1"/>
    <col min="14822" max="14822" width="14.85546875" style="2" customWidth="1"/>
    <col min="14823" max="14823" width="15" style="2" customWidth="1"/>
    <col min="14824" max="14824" width="14.85546875" style="2" customWidth="1"/>
    <col min="14825" max="14825" width="7.140625" style="2" customWidth="1"/>
    <col min="14826" max="14827" width="20.140625" style="2" customWidth="1"/>
    <col min="14828" max="14828" width="18.42578125" style="2" customWidth="1"/>
    <col min="14829" max="14829" width="9.140625" style="2" customWidth="1"/>
    <col min="14830" max="14830" width="12" style="2" customWidth="1"/>
    <col min="14831" max="14831" width="14.85546875" style="2" customWidth="1"/>
    <col min="14832" max="14832" width="22.42578125" style="2" customWidth="1"/>
    <col min="14833" max="14833" width="14.85546875" style="2" customWidth="1"/>
    <col min="14834" max="14834" width="7.140625" style="2" customWidth="1"/>
    <col min="14835" max="14835" width="20.140625" style="2" customWidth="1"/>
    <col min="14836" max="15067" width="8.85546875" style="2" customWidth="1"/>
    <col min="15068" max="15068" width="8.140625" style="2" customWidth="1"/>
    <col min="15069" max="15069" width="14.5703125" style="2" customWidth="1"/>
    <col min="15070" max="15070" width="37.42578125" style="2" customWidth="1"/>
    <col min="15071" max="15071" width="63.140625" style="2" customWidth="1"/>
    <col min="15072" max="15072" width="20" style="2" customWidth="1"/>
    <col min="15073" max="15073" width="11.140625" style="2" customWidth="1"/>
    <col min="15074" max="15074" width="10.85546875" style="2" customWidth="1"/>
    <col min="15075" max="15075" width="21" style="2" customWidth="1"/>
    <col min="15076" max="15076" width="10.85546875" style="2" customWidth="1"/>
    <col min="15077" max="15077" width="17.42578125" style="2" customWidth="1"/>
    <col min="15078" max="15078" width="14.85546875" style="2" customWidth="1"/>
    <col min="15079" max="15079" width="15" style="2" customWidth="1"/>
    <col min="15080" max="15080" width="14.85546875" style="2" customWidth="1"/>
    <col min="15081" max="15081" width="7.140625" style="2" customWidth="1"/>
    <col min="15082" max="15083" width="20.140625" style="2" customWidth="1"/>
    <col min="15084" max="15084" width="18.42578125" style="2" customWidth="1"/>
    <col min="15085" max="15085" width="9.140625" style="2" customWidth="1"/>
    <col min="15086" max="15086" width="12" style="2" customWidth="1"/>
    <col min="15087" max="15087" width="14.85546875" style="2" customWidth="1"/>
    <col min="15088" max="15088" width="22.42578125" style="2" customWidth="1"/>
    <col min="15089" max="15089" width="14.85546875" style="2" customWidth="1"/>
    <col min="15090" max="15090" width="7.140625" style="2" customWidth="1"/>
    <col min="15091" max="15091" width="20.140625" style="2" customWidth="1"/>
    <col min="15092" max="15323" width="8.85546875" style="2" customWidth="1"/>
    <col min="15324" max="15324" width="8.140625" style="2" customWidth="1"/>
    <col min="15325" max="15325" width="14.5703125" style="2" customWidth="1"/>
    <col min="15326" max="15326" width="37.42578125" style="2" customWidth="1"/>
    <col min="15327" max="15327" width="63.140625" style="2" customWidth="1"/>
    <col min="15328" max="15328" width="20" style="2" customWidth="1"/>
    <col min="15329" max="15329" width="11.140625" style="2" customWidth="1"/>
    <col min="15330" max="15330" width="10.85546875" style="2" customWidth="1"/>
    <col min="15331" max="15331" width="21" style="2" customWidth="1"/>
    <col min="15332" max="15332" width="10.85546875" style="2" customWidth="1"/>
    <col min="15333" max="15333" width="17.42578125" style="2" customWidth="1"/>
    <col min="15334" max="15334" width="14.85546875" style="2" customWidth="1"/>
    <col min="15335" max="15335" width="15" style="2" customWidth="1"/>
    <col min="15336" max="15336" width="14.85546875" style="2" customWidth="1"/>
    <col min="15337" max="15337" width="7.140625" style="2" customWidth="1"/>
    <col min="15338" max="15339" width="20.140625" style="2" customWidth="1"/>
    <col min="15340" max="15340" width="18.42578125" style="2" customWidth="1"/>
    <col min="15341" max="15341" width="9.140625" style="2" customWidth="1"/>
    <col min="15342" max="15342" width="12" style="2" customWidth="1"/>
    <col min="15343" max="15343" width="14.85546875" style="2" customWidth="1"/>
    <col min="15344" max="15344" width="22.42578125" style="2" customWidth="1"/>
    <col min="15345" max="15345" width="14.85546875" style="2" customWidth="1"/>
    <col min="15346" max="15346" width="7.140625" style="2" customWidth="1"/>
    <col min="15347" max="15347" width="20.140625" style="2" customWidth="1"/>
    <col min="15348" max="15579" width="8.85546875" style="2" customWidth="1"/>
    <col min="15580" max="15580" width="8.140625" style="2" customWidth="1"/>
    <col min="15581" max="15581" width="14.5703125" style="2" customWidth="1"/>
    <col min="15582" max="15582" width="37.42578125" style="2" customWidth="1"/>
    <col min="15583" max="15583" width="63.140625" style="2" customWidth="1"/>
    <col min="15584" max="15584" width="20" style="2" customWidth="1"/>
    <col min="15585" max="15585" width="11.140625" style="2" customWidth="1"/>
    <col min="15586" max="15586" width="10.85546875" style="2" customWidth="1"/>
    <col min="15587" max="15587" width="21" style="2" customWidth="1"/>
    <col min="15588" max="15588" width="10.85546875" style="2" customWidth="1"/>
    <col min="15589" max="15589" width="17.42578125" style="2" customWidth="1"/>
    <col min="15590" max="15590" width="14.85546875" style="2" customWidth="1"/>
    <col min="15591" max="15591" width="15" style="2" customWidth="1"/>
    <col min="15592" max="15592" width="14.85546875" style="2" customWidth="1"/>
    <col min="15593" max="15593" width="7.140625" style="2" customWidth="1"/>
    <col min="15594" max="15595" width="20.140625" style="2" customWidth="1"/>
    <col min="15596" max="15596" width="18.42578125" style="2" customWidth="1"/>
    <col min="15597" max="15597" width="9.140625" style="2" customWidth="1"/>
    <col min="15598" max="15598" width="12" style="2" customWidth="1"/>
    <col min="15599" max="15599" width="14.85546875" style="2" customWidth="1"/>
    <col min="15600" max="15600" width="22.42578125" style="2" customWidth="1"/>
    <col min="15601" max="15601" width="14.85546875" style="2" customWidth="1"/>
    <col min="15602" max="15602" width="7.140625" style="2" customWidth="1"/>
    <col min="15603" max="15603" width="20.140625" style="2" customWidth="1"/>
    <col min="15604" max="15835" width="8.85546875" style="2" customWidth="1"/>
    <col min="15836" max="15836" width="8.140625" style="2" customWidth="1"/>
    <col min="15837" max="15837" width="14.5703125" style="2" customWidth="1"/>
    <col min="15838" max="15838" width="37.42578125" style="2" customWidth="1"/>
    <col min="15839" max="15839" width="63.140625" style="2" customWidth="1"/>
    <col min="15840" max="15840" width="20" style="2" customWidth="1"/>
    <col min="15841" max="15841" width="11.140625" style="2" customWidth="1"/>
    <col min="15842" max="15842" width="10.85546875" style="2" customWidth="1"/>
    <col min="15843" max="15843" width="21" style="2" customWidth="1"/>
    <col min="15844" max="15844" width="10.85546875" style="2" customWidth="1"/>
    <col min="15845" max="15845" width="17.42578125" style="2" customWidth="1"/>
    <col min="15846" max="15846" width="14.85546875" style="2" customWidth="1"/>
    <col min="15847" max="15847" width="15" style="2" customWidth="1"/>
    <col min="15848" max="15848" width="14.85546875" style="2" customWidth="1"/>
    <col min="15849" max="15849" width="7.140625" style="2" customWidth="1"/>
    <col min="15850" max="15851" width="20.140625" style="2" customWidth="1"/>
    <col min="15852" max="15852" width="18.42578125" style="2" customWidth="1"/>
    <col min="15853" max="15853" width="9.140625" style="2" customWidth="1"/>
    <col min="15854" max="15854" width="12" style="2" customWidth="1"/>
    <col min="15855" max="15855" width="14.85546875" style="2" customWidth="1"/>
    <col min="15856" max="15856" width="22.42578125" style="2" customWidth="1"/>
    <col min="15857" max="15857" width="14.85546875" style="2" customWidth="1"/>
    <col min="15858" max="15858" width="7.140625" style="2" customWidth="1"/>
    <col min="15859" max="15859" width="20.140625" style="2" customWidth="1"/>
    <col min="15860" max="16091" width="8.85546875" style="2" customWidth="1"/>
    <col min="16092" max="16092" width="8.140625" style="2" customWidth="1"/>
    <col min="16093" max="16093" width="14.5703125" style="2" customWidth="1"/>
    <col min="16094" max="16094" width="37.42578125" style="2" customWidth="1"/>
    <col min="16095" max="16095" width="63.140625" style="2" customWidth="1"/>
    <col min="16096" max="16096" width="20" style="2" customWidth="1"/>
    <col min="16097" max="16097" width="11.140625" style="2" customWidth="1"/>
    <col min="16098" max="16098" width="10.85546875" style="2" customWidth="1"/>
    <col min="16099" max="16099" width="21" style="2" customWidth="1"/>
    <col min="16100" max="16100" width="10.85546875" style="2" customWidth="1"/>
    <col min="16101" max="16101" width="17.42578125" style="2" customWidth="1"/>
    <col min="16102" max="16102" width="14.85546875" style="2" customWidth="1"/>
    <col min="16103" max="16103" width="15" style="2" customWidth="1"/>
    <col min="16104" max="16104" width="14.85546875" style="2" customWidth="1"/>
    <col min="16105" max="16105" width="7.140625" style="2" customWidth="1"/>
    <col min="16106" max="16107" width="20.140625" style="2" customWidth="1"/>
    <col min="16108" max="16108" width="18.42578125" style="2" customWidth="1"/>
    <col min="16109" max="16109" width="9.140625" style="2" customWidth="1"/>
    <col min="16110" max="16110" width="12" style="2" customWidth="1"/>
    <col min="16111" max="16111" width="14.85546875" style="2" customWidth="1"/>
    <col min="16112" max="16112" width="22.42578125" style="2" customWidth="1"/>
    <col min="16113" max="16113" width="14.85546875" style="2" customWidth="1"/>
    <col min="16114" max="16114" width="7.140625" style="2" customWidth="1"/>
    <col min="16115" max="16115" width="20.140625" style="2" customWidth="1"/>
    <col min="16116" max="16384" width="8.85546875" style="2" customWidth="1"/>
  </cols>
  <sheetData>
    <row r="1" spans="1:21" ht="14.1" customHeight="1">
      <c r="A1" s="1" t="s">
        <v>1842</v>
      </c>
      <c r="B1" s="2"/>
      <c r="C1" s="2"/>
      <c r="D1" s="2"/>
      <c r="F1" s="2"/>
      <c r="H1" s="2"/>
      <c r="J1" s="2"/>
      <c r="K1" s="2"/>
      <c r="L1" s="2"/>
      <c r="M1" s="2"/>
      <c r="N1" s="2"/>
      <c r="O1" s="2"/>
      <c r="P1" s="2"/>
      <c r="R1" s="10"/>
    </row>
    <row r="2" spans="1:21" s="4" customFormat="1" ht="14.1" customHeight="1">
      <c r="A2" s="4" t="s">
        <v>1843</v>
      </c>
      <c r="E2" s="69"/>
      <c r="Q2" s="2"/>
      <c r="R2" s="336"/>
      <c r="S2" s="118"/>
    </row>
    <row r="3" spans="1:21" ht="14.1" customHeight="1">
      <c r="B3" s="16"/>
      <c r="C3" s="16"/>
      <c r="D3" s="23"/>
      <c r="E3" s="16"/>
      <c r="F3" s="23"/>
      <c r="G3" s="15"/>
      <c r="H3" s="25"/>
      <c r="I3" s="15"/>
      <c r="J3" s="25"/>
      <c r="K3" s="25"/>
      <c r="L3" s="25"/>
      <c r="M3" s="25"/>
      <c r="N3" s="25"/>
      <c r="O3" s="25"/>
      <c r="P3" s="25"/>
      <c r="R3" s="355" t="s">
        <v>2</v>
      </c>
    </row>
    <row r="4" spans="1:21" s="5" customFormat="1" ht="33" customHeight="1">
      <c r="A4" s="21" t="s">
        <v>3</v>
      </c>
      <c r="B4" s="52" t="s">
        <v>4</v>
      </c>
      <c r="C4" s="52" t="s">
        <v>5</v>
      </c>
      <c r="D4" s="21" t="s">
        <v>6</v>
      </c>
      <c r="E4" s="21" t="s">
        <v>7</v>
      </c>
      <c r="F4" s="21" t="s">
        <v>8</v>
      </c>
      <c r="G4" s="21" t="s">
        <v>9</v>
      </c>
      <c r="H4" s="21" t="s">
        <v>10</v>
      </c>
      <c r="I4" s="21" t="s">
        <v>11</v>
      </c>
      <c r="J4" s="21" t="s">
        <v>12</v>
      </c>
      <c r="K4" s="21" t="s">
        <v>13</v>
      </c>
      <c r="L4" s="21" t="s">
        <v>14</v>
      </c>
      <c r="M4" s="21" t="s">
        <v>15</v>
      </c>
      <c r="N4" s="21" t="s">
        <v>16</v>
      </c>
      <c r="O4" s="21" t="s">
        <v>17</v>
      </c>
      <c r="P4" s="21" t="s">
        <v>18</v>
      </c>
      <c r="Q4" s="3"/>
      <c r="R4" s="41" t="s">
        <v>19</v>
      </c>
      <c r="S4" s="3"/>
      <c r="T4" s="42" t="s">
        <v>20</v>
      </c>
      <c r="U4" s="42" t="s">
        <v>21</v>
      </c>
    </row>
    <row r="5" spans="1:21" ht="14.1" customHeight="1">
      <c r="A5" s="7">
        <v>1</v>
      </c>
      <c r="B5" s="14" t="s">
        <v>329</v>
      </c>
      <c r="C5" s="14" t="s">
        <v>329</v>
      </c>
      <c r="D5" s="7" t="s">
        <v>684</v>
      </c>
      <c r="E5" s="14" t="s">
        <v>413</v>
      </c>
      <c r="F5" s="7" t="s">
        <v>1844</v>
      </c>
      <c r="G5" s="8" t="s">
        <v>1845</v>
      </c>
      <c r="H5" s="7" t="s">
        <v>1846</v>
      </c>
      <c r="I5" s="8" t="s">
        <v>1847</v>
      </c>
      <c r="J5" s="7" t="s">
        <v>123</v>
      </c>
      <c r="K5" s="7" t="s">
        <v>1848</v>
      </c>
      <c r="L5" s="7" t="s">
        <v>32</v>
      </c>
      <c r="M5" s="7">
        <v>83014011</v>
      </c>
      <c r="N5" s="7">
        <v>1</v>
      </c>
      <c r="O5" s="7" t="s">
        <v>1849</v>
      </c>
      <c r="P5" s="7" t="s">
        <v>286</v>
      </c>
      <c r="Q5" s="241"/>
      <c r="R5" s="9">
        <v>1880.00959885003</v>
      </c>
      <c r="T5" s="7" t="s">
        <v>34</v>
      </c>
      <c r="U5" s="7"/>
    </row>
    <row r="6" spans="1:21" ht="14.1" customHeight="1">
      <c r="A6" s="7">
        <v>2</v>
      </c>
      <c r="B6" s="14" t="s">
        <v>329</v>
      </c>
      <c r="C6" s="14" t="s">
        <v>329</v>
      </c>
      <c r="D6" s="7" t="s">
        <v>684</v>
      </c>
      <c r="E6" s="14" t="s">
        <v>413</v>
      </c>
      <c r="F6" s="7" t="s">
        <v>1844</v>
      </c>
      <c r="G6" s="8" t="s">
        <v>1850</v>
      </c>
      <c r="H6" s="7" t="s">
        <v>1846</v>
      </c>
      <c r="I6" s="8" t="s">
        <v>1851</v>
      </c>
      <c r="J6" s="7" t="s">
        <v>123</v>
      </c>
      <c r="K6" s="7" t="s">
        <v>1848</v>
      </c>
      <c r="L6" s="7" t="s">
        <v>32</v>
      </c>
      <c r="M6" s="7">
        <v>83014011</v>
      </c>
      <c r="N6" s="7">
        <v>1</v>
      </c>
      <c r="O6" s="7" t="s">
        <v>1849</v>
      </c>
      <c r="P6" s="7" t="s">
        <v>286</v>
      </c>
      <c r="Q6" s="241"/>
      <c r="R6" s="9">
        <v>2035.7275656234669</v>
      </c>
      <c r="T6" s="7" t="s">
        <v>34</v>
      </c>
      <c r="U6" s="7"/>
    </row>
    <row r="7" spans="1:21" ht="14.1" customHeight="1">
      <c r="A7" s="7">
        <v>3</v>
      </c>
      <c r="B7" s="14" t="s">
        <v>329</v>
      </c>
      <c r="C7" s="14" t="s">
        <v>329</v>
      </c>
      <c r="D7" s="7" t="s">
        <v>684</v>
      </c>
      <c r="E7" s="14" t="s">
        <v>413</v>
      </c>
      <c r="F7" s="7" t="s">
        <v>1844</v>
      </c>
      <c r="G7" s="8" t="s">
        <v>1852</v>
      </c>
      <c r="H7" s="7" t="s">
        <v>1846</v>
      </c>
      <c r="I7" s="8" t="s">
        <v>1853</v>
      </c>
      <c r="J7" s="7" t="s">
        <v>123</v>
      </c>
      <c r="K7" s="7" t="s">
        <v>1848</v>
      </c>
      <c r="L7" s="7" t="s">
        <v>32</v>
      </c>
      <c r="M7" s="7">
        <v>83014011</v>
      </c>
      <c r="N7" s="7">
        <v>1</v>
      </c>
      <c r="O7" s="7" t="s">
        <v>1849</v>
      </c>
      <c r="P7" s="7" t="s">
        <v>286</v>
      </c>
      <c r="Q7" s="241"/>
      <c r="R7" s="9">
        <v>2191.222120679869</v>
      </c>
      <c r="T7" s="7" t="s">
        <v>34</v>
      </c>
      <c r="U7" s="7"/>
    </row>
    <row r="8" spans="1:21" ht="14.1" customHeight="1">
      <c r="A8" s="7">
        <v>4</v>
      </c>
      <c r="B8" s="14" t="s">
        <v>329</v>
      </c>
      <c r="C8" s="14" t="s">
        <v>329</v>
      </c>
      <c r="D8" s="7" t="s">
        <v>684</v>
      </c>
      <c r="E8" s="14" t="s">
        <v>413</v>
      </c>
      <c r="F8" s="7" t="s">
        <v>1844</v>
      </c>
      <c r="G8" s="8" t="s">
        <v>1854</v>
      </c>
      <c r="H8" s="7" t="s">
        <v>1846</v>
      </c>
      <c r="I8" s="8" t="s">
        <v>1855</v>
      </c>
      <c r="J8" s="7" t="s">
        <v>123</v>
      </c>
      <c r="K8" s="7" t="s">
        <v>1848</v>
      </c>
      <c r="L8" s="7" t="s">
        <v>32</v>
      </c>
      <c r="M8" s="7">
        <v>83014011</v>
      </c>
      <c r="N8" s="7">
        <v>1</v>
      </c>
      <c r="O8" s="7" t="s">
        <v>1849</v>
      </c>
      <c r="P8" s="7" t="s">
        <v>286</v>
      </c>
      <c r="Q8" s="241"/>
      <c r="R8" s="9">
        <v>1475.634391016571</v>
      </c>
      <c r="T8" s="7" t="s">
        <v>34</v>
      </c>
      <c r="U8" s="7"/>
    </row>
    <row r="9" spans="1:21" ht="14.1" customHeight="1">
      <c r="A9" s="7">
        <v>5</v>
      </c>
      <c r="B9" s="14" t="s">
        <v>329</v>
      </c>
      <c r="C9" s="14" t="s">
        <v>329</v>
      </c>
      <c r="D9" s="7" t="s">
        <v>684</v>
      </c>
      <c r="E9" s="14" t="s">
        <v>413</v>
      </c>
      <c r="F9" s="7" t="s">
        <v>1844</v>
      </c>
      <c r="G9" s="8" t="s">
        <v>1856</v>
      </c>
      <c r="H9" s="7" t="s">
        <v>1846</v>
      </c>
      <c r="I9" s="8" t="s">
        <v>1857</v>
      </c>
      <c r="J9" s="7" t="s">
        <v>123</v>
      </c>
      <c r="K9" s="7" t="s">
        <v>1848</v>
      </c>
      <c r="L9" s="7" t="s">
        <v>32</v>
      </c>
      <c r="M9" s="7">
        <v>83014011</v>
      </c>
      <c r="N9" s="7">
        <v>1</v>
      </c>
      <c r="O9" s="7" t="s">
        <v>1849</v>
      </c>
      <c r="P9" s="7" t="s">
        <v>286</v>
      </c>
      <c r="Q9" s="241"/>
      <c r="R9" s="9">
        <v>1631.128946072974</v>
      </c>
      <c r="T9" s="7" t="s">
        <v>34</v>
      </c>
      <c r="U9" s="7"/>
    </row>
    <row r="10" spans="1:21" ht="14.1" customHeight="1">
      <c r="A10" s="7">
        <v>6</v>
      </c>
      <c r="B10" s="14" t="s">
        <v>329</v>
      </c>
      <c r="C10" s="14" t="s">
        <v>329</v>
      </c>
      <c r="D10" s="7" t="s">
        <v>684</v>
      </c>
      <c r="E10" s="14" t="s">
        <v>413</v>
      </c>
      <c r="F10" s="7" t="s">
        <v>1844</v>
      </c>
      <c r="G10" s="8" t="s">
        <v>1858</v>
      </c>
      <c r="H10" s="7" t="s">
        <v>1846</v>
      </c>
      <c r="I10" s="8" t="s">
        <v>1859</v>
      </c>
      <c r="J10" s="7" t="s">
        <v>123</v>
      </c>
      <c r="K10" s="7" t="s">
        <v>1848</v>
      </c>
      <c r="L10" s="7" t="s">
        <v>32</v>
      </c>
      <c r="M10" s="7">
        <v>83014011</v>
      </c>
      <c r="N10" s="7">
        <v>1</v>
      </c>
      <c r="O10" s="7" t="s">
        <v>1849</v>
      </c>
      <c r="P10" s="7" t="s">
        <v>286</v>
      </c>
      <c r="Q10" s="241"/>
      <c r="R10" s="9">
        <v>1631.128946072974</v>
      </c>
      <c r="T10" s="7" t="s">
        <v>34</v>
      </c>
      <c r="U10" s="7"/>
    </row>
    <row r="11" spans="1:21" ht="14.1" customHeight="1">
      <c r="A11" s="7">
        <v>7</v>
      </c>
      <c r="B11" s="14" t="s">
        <v>329</v>
      </c>
      <c r="C11" s="14" t="s">
        <v>329</v>
      </c>
      <c r="D11" s="7" t="s">
        <v>684</v>
      </c>
      <c r="E11" s="14" t="s">
        <v>413</v>
      </c>
      <c r="F11" s="7" t="s">
        <v>1844</v>
      </c>
      <c r="G11" s="8" t="s">
        <v>1860</v>
      </c>
      <c r="H11" s="7" t="s">
        <v>1846</v>
      </c>
      <c r="I11" s="8" t="s">
        <v>1861</v>
      </c>
      <c r="J11" s="7" t="s">
        <v>123</v>
      </c>
      <c r="K11" s="7" t="s">
        <v>1848</v>
      </c>
      <c r="L11" s="7" t="s">
        <v>32</v>
      </c>
      <c r="M11" s="7">
        <v>83014011</v>
      </c>
      <c r="N11" s="7">
        <v>1</v>
      </c>
      <c r="O11" s="7" t="s">
        <v>1849</v>
      </c>
      <c r="P11" s="7" t="s">
        <v>286</v>
      </c>
      <c r="Q11" s="241"/>
      <c r="R11" s="9">
        <v>1905.925358026097</v>
      </c>
      <c r="T11" s="7" t="s">
        <v>34</v>
      </c>
      <c r="U11" s="7"/>
    </row>
    <row r="12" spans="1:21" ht="14.1" customHeight="1">
      <c r="A12" s="7">
        <v>8</v>
      </c>
      <c r="B12" s="14" t="s">
        <v>329</v>
      </c>
      <c r="C12" s="14" t="s">
        <v>329</v>
      </c>
      <c r="D12" s="7" t="s">
        <v>684</v>
      </c>
      <c r="E12" s="14" t="s">
        <v>413</v>
      </c>
      <c r="F12" s="7" t="s">
        <v>1844</v>
      </c>
      <c r="G12" s="8" t="s">
        <v>1862</v>
      </c>
      <c r="H12" s="7" t="s">
        <v>1846</v>
      </c>
      <c r="I12" s="8" t="s">
        <v>1863</v>
      </c>
      <c r="J12" s="7" t="s">
        <v>123</v>
      </c>
      <c r="K12" s="7" t="s">
        <v>1848</v>
      </c>
      <c r="L12" s="7" t="s">
        <v>32</v>
      </c>
      <c r="M12" s="7">
        <v>83014011</v>
      </c>
      <c r="N12" s="7">
        <v>1</v>
      </c>
      <c r="O12" s="7" t="s">
        <v>1849</v>
      </c>
      <c r="P12" s="7" t="s">
        <v>286</v>
      </c>
      <c r="Q12" s="241"/>
      <c r="R12" s="9">
        <v>2061.6433247995342</v>
      </c>
      <c r="T12" s="7" t="s">
        <v>34</v>
      </c>
      <c r="U12" s="7"/>
    </row>
    <row r="13" spans="1:21" ht="14.1" customHeight="1">
      <c r="A13" s="7">
        <v>9</v>
      </c>
      <c r="B13" s="14" t="s">
        <v>329</v>
      </c>
      <c r="C13" s="14" t="s">
        <v>329</v>
      </c>
      <c r="D13" s="7" t="s">
        <v>684</v>
      </c>
      <c r="E13" s="14" t="s">
        <v>413</v>
      </c>
      <c r="F13" s="7" t="s">
        <v>1844</v>
      </c>
      <c r="G13" s="8" t="s">
        <v>1864</v>
      </c>
      <c r="H13" s="7" t="s">
        <v>1846</v>
      </c>
      <c r="I13" s="8" t="s">
        <v>1865</v>
      </c>
      <c r="J13" s="7" t="s">
        <v>123</v>
      </c>
      <c r="K13" s="7" t="s">
        <v>1848</v>
      </c>
      <c r="L13" s="7" t="s">
        <v>32</v>
      </c>
      <c r="M13" s="7">
        <v>83014011</v>
      </c>
      <c r="N13" s="7">
        <v>1</v>
      </c>
      <c r="O13" s="7" t="s">
        <v>1849</v>
      </c>
      <c r="P13" s="7" t="s">
        <v>286</v>
      </c>
      <c r="Q13" s="241"/>
      <c r="R13" s="9">
        <v>2217.1378798559358</v>
      </c>
      <c r="T13" s="7" t="s">
        <v>34</v>
      </c>
      <c r="U13" s="7"/>
    </row>
    <row r="14" spans="1:21" ht="25.5" customHeight="1">
      <c r="A14" s="7">
        <v>10</v>
      </c>
      <c r="B14" s="14" t="s">
        <v>329</v>
      </c>
      <c r="C14" s="14" t="s">
        <v>329</v>
      </c>
      <c r="D14" s="7" t="s">
        <v>684</v>
      </c>
      <c r="E14" s="14" t="s">
        <v>413</v>
      </c>
      <c r="F14" s="7" t="s">
        <v>1844</v>
      </c>
      <c r="G14" s="8" t="s">
        <v>1866</v>
      </c>
      <c r="H14" s="7" t="s">
        <v>1320</v>
      </c>
      <c r="I14" s="11" t="s">
        <v>1867</v>
      </c>
      <c r="J14" s="7" t="s">
        <v>123</v>
      </c>
      <c r="K14" s="7" t="s">
        <v>1322</v>
      </c>
      <c r="L14" s="7" t="s">
        <v>32</v>
      </c>
      <c r="M14" s="7">
        <v>83014011</v>
      </c>
      <c r="N14" s="7">
        <v>1</v>
      </c>
      <c r="O14" s="7" t="s">
        <v>1849</v>
      </c>
      <c r="P14" s="7" t="s">
        <v>286</v>
      </c>
      <c r="Q14" s="241"/>
      <c r="R14" s="9">
        <v>1560.5308434898941</v>
      </c>
      <c r="T14" s="7" t="s">
        <v>34</v>
      </c>
      <c r="U14" s="7"/>
    </row>
    <row r="15" spans="1:21" ht="25.5" customHeight="1">
      <c r="A15" s="7">
        <v>11</v>
      </c>
      <c r="B15" s="14" t="s">
        <v>329</v>
      </c>
      <c r="C15" s="14" t="s">
        <v>329</v>
      </c>
      <c r="D15" s="7" t="s">
        <v>684</v>
      </c>
      <c r="E15" s="14" t="s">
        <v>413</v>
      </c>
      <c r="F15" s="7" t="s">
        <v>1844</v>
      </c>
      <c r="G15" s="8" t="s">
        <v>1868</v>
      </c>
      <c r="H15" s="7" t="s">
        <v>1320</v>
      </c>
      <c r="I15" s="11" t="s">
        <v>1869</v>
      </c>
      <c r="J15" s="7" t="s">
        <v>123</v>
      </c>
      <c r="K15" s="7" t="s">
        <v>1322</v>
      </c>
      <c r="L15" s="7" t="s">
        <v>32</v>
      </c>
      <c r="M15" s="7">
        <v>83014011</v>
      </c>
      <c r="N15" s="7">
        <v>1</v>
      </c>
      <c r="O15" s="7" t="s">
        <v>1849</v>
      </c>
      <c r="P15" s="7" t="s">
        <v>286</v>
      </c>
      <c r="Q15" s="241"/>
      <c r="R15" s="9">
        <v>1517.859205536198</v>
      </c>
      <c r="T15" s="7" t="s">
        <v>34</v>
      </c>
      <c r="U15" s="7"/>
    </row>
    <row r="16" spans="1:21" ht="14.1" customHeight="1">
      <c r="A16" s="7">
        <v>12</v>
      </c>
      <c r="B16" s="14" t="s">
        <v>329</v>
      </c>
      <c r="C16" s="14" t="s">
        <v>329</v>
      </c>
      <c r="D16" s="7" t="s">
        <v>35</v>
      </c>
      <c r="E16" s="14" t="s">
        <v>36</v>
      </c>
      <c r="F16" s="7" t="s">
        <v>1844</v>
      </c>
      <c r="G16" s="8" t="s">
        <v>1870</v>
      </c>
      <c r="H16" s="17" t="s">
        <v>1871</v>
      </c>
      <c r="I16" s="8" t="s">
        <v>1872</v>
      </c>
      <c r="J16" s="7" t="s">
        <v>123</v>
      </c>
      <c r="K16" s="7" t="s">
        <v>1873</v>
      </c>
      <c r="L16" s="7" t="s">
        <v>32</v>
      </c>
      <c r="M16" s="7">
        <v>83014011</v>
      </c>
      <c r="N16" s="7">
        <v>1</v>
      </c>
      <c r="O16" s="7" t="s">
        <v>1849</v>
      </c>
      <c r="P16" s="7" t="s">
        <v>286</v>
      </c>
      <c r="Q16" s="241"/>
      <c r="R16" s="9">
        <v>1642.746355358797</v>
      </c>
      <c r="T16" s="7" t="s">
        <v>34</v>
      </c>
      <c r="U16" s="7"/>
    </row>
    <row r="17" spans="1:21" ht="14.1" customHeight="1">
      <c r="A17" s="7">
        <v>13</v>
      </c>
      <c r="B17" s="14" t="s">
        <v>329</v>
      </c>
      <c r="C17" s="14" t="s">
        <v>329</v>
      </c>
      <c r="D17" s="7" t="s">
        <v>684</v>
      </c>
      <c r="E17" s="14" t="s">
        <v>413</v>
      </c>
      <c r="F17" s="7" t="s">
        <v>1844</v>
      </c>
      <c r="G17" s="8" t="s">
        <v>1874</v>
      </c>
      <c r="H17" s="7" t="s">
        <v>1846</v>
      </c>
      <c r="I17" s="8" t="s">
        <v>1875</v>
      </c>
      <c r="J17" s="7" t="s">
        <v>123</v>
      </c>
      <c r="K17" s="7" t="s">
        <v>1848</v>
      </c>
      <c r="L17" s="7" t="s">
        <v>32</v>
      </c>
      <c r="M17" s="7">
        <v>83014011</v>
      </c>
      <c r="N17" s="7">
        <v>1</v>
      </c>
      <c r="O17" s="7" t="s">
        <v>1849</v>
      </c>
      <c r="P17" s="7" t="s">
        <v>286</v>
      </c>
      <c r="Q17" s="241"/>
      <c r="R17" s="9">
        <v>2211.55258693006</v>
      </c>
      <c r="T17" s="7" t="s">
        <v>34</v>
      </c>
      <c r="U17" s="7"/>
    </row>
    <row r="18" spans="1:21" ht="14.1" customHeight="1">
      <c r="A18" s="7">
        <v>14</v>
      </c>
      <c r="B18" s="14" t="s">
        <v>329</v>
      </c>
      <c r="C18" s="14" t="s">
        <v>329</v>
      </c>
      <c r="D18" s="7" t="s">
        <v>684</v>
      </c>
      <c r="E18" s="14" t="s">
        <v>413</v>
      </c>
      <c r="F18" s="7" t="s">
        <v>1844</v>
      </c>
      <c r="G18" s="8" t="s">
        <v>1876</v>
      </c>
      <c r="H18" s="7" t="s">
        <v>1846</v>
      </c>
      <c r="I18" s="8" t="s">
        <v>1877</v>
      </c>
      <c r="J18" s="7" t="s">
        <v>123</v>
      </c>
      <c r="K18" s="7" t="s">
        <v>1848</v>
      </c>
      <c r="L18" s="7" t="s">
        <v>32</v>
      </c>
      <c r="M18" s="7">
        <v>83014011</v>
      </c>
      <c r="N18" s="7">
        <v>1</v>
      </c>
      <c r="O18" s="7" t="s">
        <v>1849</v>
      </c>
      <c r="P18" s="7" t="s">
        <v>286</v>
      </c>
      <c r="Q18" s="241"/>
      <c r="R18" s="9">
        <v>2367.0471419864612</v>
      </c>
      <c r="T18" s="7" t="s">
        <v>34</v>
      </c>
      <c r="U18" s="7"/>
    </row>
    <row r="19" spans="1:21" ht="14.1" customHeight="1">
      <c r="A19" s="7">
        <v>15</v>
      </c>
      <c r="B19" s="14" t="s">
        <v>329</v>
      </c>
      <c r="C19" s="14" t="s">
        <v>329</v>
      </c>
      <c r="D19" s="7" t="s">
        <v>684</v>
      </c>
      <c r="E19" s="14" t="s">
        <v>413</v>
      </c>
      <c r="F19" s="7" t="s">
        <v>1844</v>
      </c>
      <c r="G19" s="8" t="s">
        <v>1878</v>
      </c>
      <c r="H19" s="7" t="s">
        <v>1846</v>
      </c>
      <c r="I19" s="8" t="s">
        <v>1879</v>
      </c>
      <c r="J19" s="7" t="s">
        <v>123</v>
      </c>
      <c r="K19" s="7" t="s">
        <v>1848</v>
      </c>
      <c r="L19" s="7" t="s">
        <v>32</v>
      </c>
      <c r="M19" s="7">
        <v>83014011</v>
      </c>
      <c r="N19" s="7">
        <v>1</v>
      </c>
      <c r="O19" s="7" t="s">
        <v>1849</v>
      </c>
      <c r="P19" s="7" t="s">
        <v>286</v>
      </c>
      <c r="Q19" s="241"/>
      <c r="R19" s="9">
        <v>2522.7651087598979</v>
      </c>
      <c r="T19" s="7" t="s">
        <v>34</v>
      </c>
      <c r="U19" s="7"/>
    </row>
    <row r="20" spans="1:21" ht="14.1" customHeight="1">
      <c r="A20" s="7">
        <v>16</v>
      </c>
      <c r="B20" s="14" t="s">
        <v>329</v>
      </c>
      <c r="C20" s="14" t="s">
        <v>329</v>
      </c>
      <c r="D20" s="7" t="s">
        <v>684</v>
      </c>
      <c r="E20" s="14" t="s">
        <v>413</v>
      </c>
      <c r="F20" s="7" t="s">
        <v>1844</v>
      </c>
      <c r="G20" s="8" t="s">
        <v>1880</v>
      </c>
      <c r="H20" s="7" t="s">
        <v>1846</v>
      </c>
      <c r="I20" s="8" t="s">
        <v>1881</v>
      </c>
      <c r="J20" s="7" t="s">
        <v>123</v>
      </c>
      <c r="K20" s="7" t="s">
        <v>1848</v>
      </c>
      <c r="L20" s="7" t="s">
        <v>32</v>
      </c>
      <c r="M20" s="7">
        <v>83014011</v>
      </c>
      <c r="N20" s="7">
        <v>1</v>
      </c>
      <c r="O20" s="7" t="s">
        <v>1849</v>
      </c>
      <c r="P20" s="7" t="s">
        <v>286</v>
      </c>
      <c r="Q20" s="241"/>
      <c r="R20" s="9">
        <v>1738.8133936838719</v>
      </c>
      <c r="T20" s="7" t="s">
        <v>34</v>
      </c>
      <c r="U20" s="7"/>
    </row>
    <row r="21" spans="1:21" ht="14.1" customHeight="1">
      <c r="A21" s="7">
        <v>17</v>
      </c>
      <c r="B21" s="14" t="s">
        <v>329</v>
      </c>
      <c r="C21" s="14" t="s">
        <v>329</v>
      </c>
      <c r="D21" s="7" t="s">
        <v>684</v>
      </c>
      <c r="E21" s="14" t="s">
        <v>413</v>
      </c>
      <c r="F21" s="7" t="s">
        <v>1844</v>
      </c>
      <c r="G21" s="8" t="s">
        <v>1882</v>
      </c>
      <c r="H21" s="7" t="s">
        <v>1846</v>
      </c>
      <c r="I21" s="8" t="s">
        <v>1883</v>
      </c>
      <c r="J21" s="7" t="s">
        <v>123</v>
      </c>
      <c r="K21" s="7" t="s">
        <v>1848</v>
      </c>
      <c r="L21" s="7" t="s">
        <v>32</v>
      </c>
      <c r="M21" s="7">
        <v>83014011</v>
      </c>
      <c r="N21" s="7">
        <v>1</v>
      </c>
      <c r="O21" s="7" t="s">
        <v>1849</v>
      </c>
      <c r="P21" s="7" t="s">
        <v>286</v>
      </c>
      <c r="Q21" s="241"/>
      <c r="R21" s="9">
        <v>1894.5313604573089</v>
      </c>
      <c r="T21" s="7" t="s">
        <v>34</v>
      </c>
      <c r="U21" s="7"/>
    </row>
    <row r="22" spans="1:21" ht="14.1" customHeight="1">
      <c r="A22" s="7">
        <v>18</v>
      </c>
      <c r="B22" s="14" t="s">
        <v>329</v>
      </c>
      <c r="C22" s="14" t="s">
        <v>329</v>
      </c>
      <c r="D22" s="7" t="s">
        <v>684</v>
      </c>
      <c r="E22" s="14" t="s">
        <v>413</v>
      </c>
      <c r="F22" s="7" t="s">
        <v>1844</v>
      </c>
      <c r="G22" s="8" t="s">
        <v>1884</v>
      </c>
      <c r="H22" s="7" t="s">
        <v>1846</v>
      </c>
      <c r="I22" s="8" t="s">
        <v>1885</v>
      </c>
      <c r="J22" s="7" t="s">
        <v>123</v>
      </c>
      <c r="K22" s="7" t="s">
        <v>1848</v>
      </c>
      <c r="L22" s="7" t="s">
        <v>32</v>
      </c>
      <c r="M22" s="7">
        <v>83014011</v>
      </c>
      <c r="N22" s="7">
        <v>1</v>
      </c>
      <c r="O22" s="7" t="s">
        <v>1849</v>
      </c>
      <c r="P22" s="7" t="s">
        <v>286</v>
      </c>
      <c r="Q22" s="241"/>
      <c r="R22" s="9">
        <v>1894.5313604573089</v>
      </c>
      <c r="T22" s="7" t="s">
        <v>34</v>
      </c>
      <c r="U22" s="7"/>
    </row>
    <row r="23" spans="1:21" ht="14.1" customHeight="1">
      <c r="A23" s="7">
        <v>19</v>
      </c>
      <c r="B23" s="14" t="s">
        <v>329</v>
      </c>
      <c r="C23" s="14" t="s">
        <v>329</v>
      </c>
      <c r="D23" s="7" t="s">
        <v>684</v>
      </c>
      <c r="E23" s="14" t="s">
        <v>413</v>
      </c>
      <c r="F23" s="7" t="s">
        <v>1844</v>
      </c>
      <c r="G23" s="8" t="s">
        <v>1886</v>
      </c>
      <c r="H23" s="7" t="s">
        <v>1846</v>
      </c>
      <c r="I23" s="8" t="s">
        <v>1887</v>
      </c>
      <c r="J23" s="7" t="s">
        <v>123</v>
      </c>
      <c r="K23" s="7" t="s">
        <v>1848</v>
      </c>
      <c r="L23" s="7" t="s">
        <v>32</v>
      </c>
      <c r="M23" s="7">
        <v>83014011</v>
      </c>
      <c r="N23" s="7">
        <v>1</v>
      </c>
      <c r="O23" s="7" t="s">
        <v>1849</v>
      </c>
      <c r="P23" s="7" t="s">
        <v>286</v>
      </c>
      <c r="Q23" s="241"/>
      <c r="R23" s="9">
        <v>2169.104360693399</v>
      </c>
      <c r="T23" s="7" t="s">
        <v>34</v>
      </c>
      <c r="U23" s="7"/>
    </row>
    <row r="24" spans="1:21" ht="14.1" customHeight="1">
      <c r="A24" s="7">
        <v>20</v>
      </c>
      <c r="B24" s="14" t="s">
        <v>329</v>
      </c>
      <c r="C24" s="14" t="s">
        <v>329</v>
      </c>
      <c r="D24" s="7" t="s">
        <v>684</v>
      </c>
      <c r="E24" s="14" t="s">
        <v>413</v>
      </c>
      <c r="F24" s="7" t="s">
        <v>1844</v>
      </c>
      <c r="G24" s="8" t="s">
        <v>1888</v>
      </c>
      <c r="H24" s="7" t="s">
        <v>1846</v>
      </c>
      <c r="I24" s="8" t="s">
        <v>1889</v>
      </c>
      <c r="J24" s="7" t="s">
        <v>123</v>
      </c>
      <c r="K24" s="7" t="s">
        <v>1848</v>
      </c>
      <c r="L24" s="7" t="s">
        <v>32</v>
      </c>
      <c r="M24" s="7">
        <v>83014011</v>
      </c>
      <c r="N24" s="7">
        <v>1</v>
      </c>
      <c r="O24" s="7" t="s">
        <v>1849</v>
      </c>
      <c r="P24" s="7" t="s">
        <v>286</v>
      </c>
      <c r="Q24" s="241"/>
      <c r="R24" s="9">
        <v>2324.8223274668348</v>
      </c>
      <c r="T24" s="7" t="s">
        <v>34</v>
      </c>
      <c r="U24" s="7"/>
    </row>
    <row r="25" spans="1:21" ht="14.1" customHeight="1">
      <c r="A25" s="7">
        <v>21</v>
      </c>
      <c r="B25" s="14" t="s">
        <v>329</v>
      </c>
      <c r="C25" s="14" t="s">
        <v>329</v>
      </c>
      <c r="D25" s="7" t="s">
        <v>684</v>
      </c>
      <c r="E25" s="14" t="s">
        <v>413</v>
      </c>
      <c r="F25" s="7" t="s">
        <v>1844</v>
      </c>
      <c r="G25" s="8" t="s">
        <v>1890</v>
      </c>
      <c r="H25" s="7" t="s">
        <v>1846</v>
      </c>
      <c r="I25" s="8" t="s">
        <v>1891</v>
      </c>
      <c r="J25" s="7" t="s">
        <v>123</v>
      </c>
      <c r="K25" s="7" t="s">
        <v>1848</v>
      </c>
      <c r="L25" s="7" t="s">
        <v>32</v>
      </c>
      <c r="M25" s="7">
        <v>83014011</v>
      </c>
      <c r="N25" s="7">
        <v>1</v>
      </c>
      <c r="O25" s="7" t="s">
        <v>1849</v>
      </c>
      <c r="P25" s="7" t="s">
        <v>286</v>
      </c>
      <c r="Q25" s="241"/>
      <c r="R25" s="9">
        <v>2480.540294240272</v>
      </c>
      <c r="T25" s="7" t="s">
        <v>34</v>
      </c>
      <c r="U25" s="7"/>
    </row>
    <row r="26" spans="1:21" ht="25.5" customHeight="1">
      <c r="A26" s="7">
        <v>22</v>
      </c>
      <c r="B26" s="14" t="s">
        <v>329</v>
      </c>
      <c r="C26" s="14" t="s">
        <v>329</v>
      </c>
      <c r="D26" s="7" t="s">
        <v>684</v>
      </c>
      <c r="E26" s="14" t="s">
        <v>413</v>
      </c>
      <c r="F26" s="7" t="s">
        <v>1844</v>
      </c>
      <c r="G26" s="8" t="s">
        <v>1892</v>
      </c>
      <c r="H26" s="7" t="s">
        <v>1320</v>
      </c>
      <c r="I26" s="11" t="s">
        <v>1893</v>
      </c>
      <c r="J26" s="7" t="s">
        <v>123</v>
      </c>
      <c r="K26" s="7" t="s">
        <v>1322</v>
      </c>
      <c r="L26" s="7" t="s">
        <v>32</v>
      </c>
      <c r="M26" s="7">
        <v>83014011</v>
      </c>
      <c r="N26" s="7">
        <v>1</v>
      </c>
      <c r="O26" s="7" t="s">
        <v>1849</v>
      </c>
      <c r="P26" s="7" t="s">
        <v>286</v>
      </c>
      <c r="Q26" s="241"/>
      <c r="R26" s="9">
        <v>1817.677729797249</v>
      </c>
      <c r="T26" s="7" t="s">
        <v>34</v>
      </c>
      <c r="U26" s="7"/>
    </row>
    <row r="27" spans="1:21" ht="25.5" customHeight="1">
      <c r="A27" s="7">
        <v>23</v>
      </c>
      <c r="B27" s="14" t="s">
        <v>329</v>
      </c>
      <c r="C27" s="14" t="s">
        <v>329</v>
      </c>
      <c r="D27" s="7" t="s">
        <v>684</v>
      </c>
      <c r="E27" s="14" t="s">
        <v>413</v>
      </c>
      <c r="F27" s="7" t="s">
        <v>1844</v>
      </c>
      <c r="G27" s="8" t="s">
        <v>1894</v>
      </c>
      <c r="H27" s="7" t="s">
        <v>1320</v>
      </c>
      <c r="I27" s="11" t="s">
        <v>1895</v>
      </c>
      <c r="J27" s="7" t="s">
        <v>123</v>
      </c>
      <c r="K27" s="7" t="s">
        <v>1322</v>
      </c>
      <c r="L27" s="7" t="s">
        <v>32</v>
      </c>
      <c r="M27" s="7">
        <v>83014011</v>
      </c>
      <c r="N27" s="7">
        <v>1</v>
      </c>
      <c r="O27" s="7" t="s">
        <v>1849</v>
      </c>
      <c r="P27" s="7" t="s">
        <v>286</v>
      </c>
      <c r="Q27" s="241"/>
      <c r="R27" s="9">
        <v>1782.155266788674</v>
      </c>
      <c r="T27" s="7" t="s">
        <v>34</v>
      </c>
      <c r="U27" s="7"/>
    </row>
    <row r="28" spans="1:21" ht="14.1" customHeight="1">
      <c r="A28" s="7">
        <v>24</v>
      </c>
      <c r="B28" s="14" t="s">
        <v>329</v>
      </c>
      <c r="C28" s="14" t="s">
        <v>329</v>
      </c>
      <c r="D28" s="7" t="s">
        <v>35</v>
      </c>
      <c r="E28" s="14" t="s">
        <v>36</v>
      </c>
      <c r="F28" s="7" t="s">
        <v>1844</v>
      </c>
      <c r="G28" s="8" t="s">
        <v>1896</v>
      </c>
      <c r="H28" s="17" t="s">
        <v>1871</v>
      </c>
      <c r="I28" s="8" t="s">
        <v>1897</v>
      </c>
      <c r="J28" s="7" t="s">
        <v>123</v>
      </c>
      <c r="K28" s="7" t="s">
        <v>1873</v>
      </c>
      <c r="L28" s="7" t="s">
        <v>32</v>
      </c>
      <c r="M28" s="7">
        <v>83014011</v>
      </c>
      <c r="N28" s="7">
        <v>1</v>
      </c>
      <c r="O28" s="7" t="s">
        <v>1849</v>
      </c>
      <c r="P28" s="7" t="s">
        <v>286</v>
      </c>
      <c r="Q28" s="241"/>
      <c r="R28" s="9">
        <v>1908.8297103475529</v>
      </c>
      <c r="T28" s="7" t="s">
        <v>34</v>
      </c>
      <c r="U28" s="7"/>
    </row>
    <row r="29" spans="1:21" ht="14.1" customHeight="1">
      <c r="A29" s="7">
        <v>25</v>
      </c>
      <c r="B29" s="14" t="s">
        <v>329</v>
      </c>
      <c r="C29" s="14" t="s">
        <v>329</v>
      </c>
      <c r="D29" s="7" t="s">
        <v>684</v>
      </c>
      <c r="E29" s="14" t="s">
        <v>413</v>
      </c>
      <c r="F29" s="7" t="s">
        <v>1844</v>
      </c>
      <c r="G29" s="8" t="s">
        <v>1898</v>
      </c>
      <c r="H29" s="7" t="s">
        <v>1846</v>
      </c>
      <c r="I29" s="8" t="s">
        <v>1899</v>
      </c>
      <c r="J29" s="7" t="s">
        <v>123</v>
      </c>
      <c r="K29" s="7" t="s">
        <v>1848</v>
      </c>
      <c r="L29" s="7" t="s">
        <v>32</v>
      </c>
      <c r="M29" s="7">
        <v>83014011</v>
      </c>
      <c r="N29" s="7">
        <v>1</v>
      </c>
      <c r="O29" s="7" t="s">
        <v>1849</v>
      </c>
      <c r="P29" s="7" t="s">
        <v>286</v>
      </c>
      <c r="Q29" s="241"/>
      <c r="R29" s="9">
        <v>2363.2491427968662</v>
      </c>
      <c r="T29" s="7" t="s">
        <v>34</v>
      </c>
      <c r="U29" s="7"/>
    </row>
    <row r="30" spans="1:21" ht="14.1" customHeight="1">
      <c r="A30" s="7">
        <v>26</v>
      </c>
      <c r="B30" s="14" t="s">
        <v>329</v>
      </c>
      <c r="C30" s="14" t="s">
        <v>329</v>
      </c>
      <c r="D30" s="7" t="s">
        <v>684</v>
      </c>
      <c r="E30" s="14" t="s">
        <v>413</v>
      </c>
      <c r="F30" s="7" t="s">
        <v>1844</v>
      </c>
      <c r="G30" s="8" t="s">
        <v>1900</v>
      </c>
      <c r="H30" s="7" t="s">
        <v>1846</v>
      </c>
      <c r="I30" s="8" t="s">
        <v>1901</v>
      </c>
      <c r="J30" s="7" t="s">
        <v>123</v>
      </c>
      <c r="K30" s="7" t="s">
        <v>1848</v>
      </c>
      <c r="L30" s="7" t="s">
        <v>32</v>
      </c>
      <c r="M30" s="7">
        <v>83014011</v>
      </c>
      <c r="N30" s="7">
        <v>1</v>
      </c>
      <c r="O30" s="7" t="s">
        <v>1849</v>
      </c>
      <c r="P30" s="7" t="s">
        <v>286</v>
      </c>
      <c r="Q30" s="241"/>
      <c r="R30" s="9">
        <v>2518.967109570302</v>
      </c>
      <c r="T30" s="7" t="s">
        <v>34</v>
      </c>
      <c r="U30" s="7"/>
    </row>
    <row r="31" spans="1:21" ht="14.1" customHeight="1">
      <c r="A31" s="7">
        <v>27</v>
      </c>
      <c r="B31" s="14" t="s">
        <v>329</v>
      </c>
      <c r="C31" s="14" t="s">
        <v>329</v>
      </c>
      <c r="D31" s="7" t="s">
        <v>684</v>
      </c>
      <c r="E31" s="14" t="s">
        <v>413</v>
      </c>
      <c r="F31" s="7" t="s">
        <v>1844</v>
      </c>
      <c r="G31" s="8" t="s">
        <v>1902</v>
      </c>
      <c r="H31" s="7" t="s">
        <v>1846</v>
      </c>
      <c r="I31" s="8" t="s">
        <v>1903</v>
      </c>
      <c r="J31" s="7" t="s">
        <v>123</v>
      </c>
      <c r="K31" s="7" t="s">
        <v>1848</v>
      </c>
      <c r="L31" s="7" t="s">
        <v>32</v>
      </c>
      <c r="M31" s="7">
        <v>83014011</v>
      </c>
      <c r="N31" s="7">
        <v>1</v>
      </c>
      <c r="O31" s="7" t="s">
        <v>1849</v>
      </c>
      <c r="P31" s="7" t="s">
        <v>286</v>
      </c>
      <c r="Q31" s="241"/>
      <c r="R31" s="9">
        <v>2674.4616646267041</v>
      </c>
      <c r="T31" s="7" t="s">
        <v>34</v>
      </c>
      <c r="U31" s="7"/>
    </row>
    <row r="32" spans="1:21" ht="14.1" customHeight="1">
      <c r="A32" s="7">
        <v>28</v>
      </c>
      <c r="B32" s="14" t="s">
        <v>329</v>
      </c>
      <c r="C32" s="14" t="s">
        <v>329</v>
      </c>
      <c r="D32" s="7" t="s">
        <v>684</v>
      </c>
      <c r="E32" s="14" t="s">
        <v>413</v>
      </c>
      <c r="F32" s="7" t="s">
        <v>1844</v>
      </c>
      <c r="G32" s="8" t="s">
        <v>1904</v>
      </c>
      <c r="H32" s="7" t="s">
        <v>1846</v>
      </c>
      <c r="I32" s="8" t="s">
        <v>1905</v>
      </c>
      <c r="J32" s="7" t="s">
        <v>123</v>
      </c>
      <c r="K32" s="7" t="s">
        <v>1848</v>
      </c>
      <c r="L32" s="7" t="s">
        <v>32</v>
      </c>
      <c r="M32" s="7">
        <v>83014011</v>
      </c>
      <c r="N32" s="7">
        <v>1</v>
      </c>
      <c r="O32" s="7" t="s">
        <v>1849</v>
      </c>
      <c r="P32" s="7" t="s">
        <v>286</v>
      </c>
      <c r="Q32" s="241"/>
      <c r="R32" s="9">
        <v>1857.8918388635591</v>
      </c>
      <c r="T32" s="7" t="s">
        <v>34</v>
      </c>
      <c r="U32" s="7"/>
    </row>
    <row r="33" spans="1:21" ht="14.1" customHeight="1">
      <c r="A33" s="7">
        <v>29</v>
      </c>
      <c r="B33" s="14" t="s">
        <v>329</v>
      </c>
      <c r="C33" s="14" t="s">
        <v>329</v>
      </c>
      <c r="D33" s="7" t="s">
        <v>684</v>
      </c>
      <c r="E33" s="14" t="s">
        <v>413</v>
      </c>
      <c r="F33" s="7" t="s">
        <v>1844</v>
      </c>
      <c r="G33" s="8" t="s">
        <v>1906</v>
      </c>
      <c r="H33" s="7" t="s">
        <v>1846</v>
      </c>
      <c r="I33" s="8" t="s">
        <v>1907</v>
      </c>
      <c r="J33" s="7" t="s">
        <v>123</v>
      </c>
      <c r="K33" s="7" t="s">
        <v>1848</v>
      </c>
      <c r="L33" s="7" t="s">
        <v>32</v>
      </c>
      <c r="M33" s="7">
        <v>83014011</v>
      </c>
      <c r="N33" s="7">
        <v>1</v>
      </c>
      <c r="O33" s="7" t="s">
        <v>1849</v>
      </c>
      <c r="P33" s="7" t="s">
        <v>286</v>
      </c>
      <c r="Q33" s="241"/>
      <c r="R33" s="9">
        <v>2013.609805636996</v>
      </c>
      <c r="T33" s="7" t="s">
        <v>34</v>
      </c>
      <c r="U33" s="7"/>
    </row>
    <row r="34" spans="1:21" ht="14.1" customHeight="1">
      <c r="A34" s="7">
        <v>30</v>
      </c>
      <c r="B34" s="14" t="s">
        <v>329</v>
      </c>
      <c r="C34" s="14" t="s">
        <v>329</v>
      </c>
      <c r="D34" s="7" t="s">
        <v>684</v>
      </c>
      <c r="E34" s="14" t="s">
        <v>413</v>
      </c>
      <c r="F34" s="7" t="s">
        <v>1844</v>
      </c>
      <c r="G34" s="8" t="s">
        <v>1908</v>
      </c>
      <c r="H34" s="7" t="s">
        <v>1846</v>
      </c>
      <c r="I34" s="8" t="s">
        <v>1909</v>
      </c>
      <c r="J34" s="7" t="s">
        <v>123</v>
      </c>
      <c r="K34" s="7" t="s">
        <v>1848</v>
      </c>
      <c r="L34" s="7" t="s">
        <v>32</v>
      </c>
      <c r="M34" s="7">
        <v>83014011</v>
      </c>
      <c r="N34" s="7">
        <v>1</v>
      </c>
      <c r="O34" s="7" t="s">
        <v>1849</v>
      </c>
      <c r="P34" s="7" t="s">
        <v>286</v>
      </c>
      <c r="Q34" s="241"/>
      <c r="R34" s="9">
        <v>2013.609805636996</v>
      </c>
      <c r="T34" s="7" t="s">
        <v>34</v>
      </c>
      <c r="U34" s="7"/>
    </row>
    <row r="35" spans="1:21" ht="14.1" customHeight="1">
      <c r="A35" s="7">
        <v>31</v>
      </c>
      <c r="B35" s="14" t="s">
        <v>329</v>
      </c>
      <c r="C35" s="14" t="s">
        <v>329</v>
      </c>
      <c r="D35" s="7" t="s">
        <v>684</v>
      </c>
      <c r="E35" s="14" t="s">
        <v>413</v>
      </c>
      <c r="F35" s="7" t="s">
        <v>1844</v>
      </c>
      <c r="G35" s="8" t="s">
        <v>1910</v>
      </c>
      <c r="H35" s="7" t="s">
        <v>1846</v>
      </c>
      <c r="I35" s="8" t="s">
        <v>1911</v>
      </c>
      <c r="J35" s="7" t="s">
        <v>123</v>
      </c>
      <c r="K35" s="7" t="s">
        <v>1848</v>
      </c>
      <c r="L35" s="7" t="s">
        <v>32</v>
      </c>
      <c r="M35" s="7">
        <v>83014011</v>
      </c>
      <c r="N35" s="7">
        <v>1</v>
      </c>
      <c r="O35" s="7" t="s">
        <v>1849</v>
      </c>
      <c r="P35" s="7" t="s">
        <v>286</v>
      </c>
      <c r="Q35" s="241"/>
      <c r="R35" s="9">
        <v>2281.7038660790681</v>
      </c>
      <c r="T35" s="7" t="s">
        <v>34</v>
      </c>
      <c r="U35" s="7"/>
    </row>
    <row r="36" spans="1:21" ht="14.1" customHeight="1">
      <c r="A36" s="7">
        <v>32</v>
      </c>
      <c r="B36" s="14" t="s">
        <v>329</v>
      </c>
      <c r="C36" s="14" t="s">
        <v>329</v>
      </c>
      <c r="D36" s="7" t="s">
        <v>684</v>
      </c>
      <c r="E36" s="14" t="s">
        <v>413</v>
      </c>
      <c r="F36" s="7" t="s">
        <v>1844</v>
      </c>
      <c r="G36" s="8" t="s">
        <v>1912</v>
      </c>
      <c r="H36" s="7" t="s">
        <v>1846</v>
      </c>
      <c r="I36" s="8" t="s">
        <v>1913</v>
      </c>
      <c r="J36" s="7" t="s">
        <v>123</v>
      </c>
      <c r="K36" s="7" t="s">
        <v>1848</v>
      </c>
      <c r="L36" s="7" t="s">
        <v>32</v>
      </c>
      <c r="M36" s="7">
        <v>83014011</v>
      </c>
      <c r="N36" s="7">
        <v>1</v>
      </c>
      <c r="O36" s="7" t="s">
        <v>1849</v>
      </c>
      <c r="P36" s="7" t="s">
        <v>286</v>
      </c>
      <c r="Q36" s="241"/>
      <c r="R36" s="9">
        <v>2437.1984211354702</v>
      </c>
      <c r="T36" s="7" t="s">
        <v>34</v>
      </c>
      <c r="U36" s="7"/>
    </row>
    <row r="37" spans="1:21" ht="14.1" customHeight="1">
      <c r="A37" s="7">
        <v>33</v>
      </c>
      <c r="B37" s="14" t="s">
        <v>329</v>
      </c>
      <c r="C37" s="14" t="s">
        <v>329</v>
      </c>
      <c r="D37" s="7" t="s">
        <v>684</v>
      </c>
      <c r="E37" s="14" t="s">
        <v>413</v>
      </c>
      <c r="F37" s="7" t="s">
        <v>1844</v>
      </c>
      <c r="G37" s="8" t="s">
        <v>1914</v>
      </c>
      <c r="H37" s="7" t="s">
        <v>1846</v>
      </c>
      <c r="I37" s="8" t="s">
        <v>1915</v>
      </c>
      <c r="J37" s="7" t="s">
        <v>123</v>
      </c>
      <c r="K37" s="7" t="s">
        <v>1848</v>
      </c>
      <c r="L37" s="7" t="s">
        <v>32</v>
      </c>
      <c r="M37" s="7">
        <v>83014011</v>
      </c>
      <c r="N37" s="7">
        <v>1</v>
      </c>
      <c r="O37" s="7" t="s">
        <v>1849</v>
      </c>
      <c r="P37" s="7" t="s">
        <v>286</v>
      </c>
      <c r="Q37" s="241"/>
      <c r="R37" s="9">
        <v>2592.9163879089069</v>
      </c>
      <c r="T37" s="7" t="s">
        <v>34</v>
      </c>
      <c r="U37" s="7"/>
    </row>
    <row r="38" spans="1:21" ht="25.5" customHeight="1">
      <c r="A38" s="7">
        <v>34</v>
      </c>
      <c r="B38" s="14" t="s">
        <v>329</v>
      </c>
      <c r="C38" s="14" t="s">
        <v>329</v>
      </c>
      <c r="D38" s="7" t="s">
        <v>684</v>
      </c>
      <c r="E38" s="14" t="s">
        <v>413</v>
      </c>
      <c r="F38" s="7" t="s">
        <v>1844</v>
      </c>
      <c r="G38" s="8" t="s">
        <v>1916</v>
      </c>
      <c r="H38" s="7" t="s">
        <v>1320</v>
      </c>
      <c r="I38" s="11" t="s">
        <v>1917</v>
      </c>
      <c r="J38" s="7" t="s">
        <v>123</v>
      </c>
      <c r="K38" s="7" t="s">
        <v>1322</v>
      </c>
      <c r="L38" s="7" t="s">
        <v>32</v>
      </c>
      <c r="M38" s="7">
        <v>83014011</v>
      </c>
      <c r="N38" s="7">
        <v>1</v>
      </c>
      <c r="O38" s="7" t="s">
        <v>1849</v>
      </c>
      <c r="P38" s="7" t="s">
        <v>286</v>
      </c>
      <c r="Q38" s="241"/>
      <c r="R38" s="9">
        <v>1934.7454695236199</v>
      </c>
      <c r="T38" s="7" t="s">
        <v>34</v>
      </c>
      <c r="U38" s="7"/>
    </row>
    <row r="39" spans="1:21" ht="25.5" customHeight="1">
      <c r="A39" s="7">
        <v>35</v>
      </c>
      <c r="B39" s="14" t="s">
        <v>329</v>
      </c>
      <c r="C39" s="14" t="s">
        <v>329</v>
      </c>
      <c r="D39" s="7" t="s">
        <v>684</v>
      </c>
      <c r="E39" s="14" t="s">
        <v>413</v>
      </c>
      <c r="F39" s="7" t="s">
        <v>1844</v>
      </c>
      <c r="G39" s="8" t="s">
        <v>1918</v>
      </c>
      <c r="H39" s="7" t="s">
        <v>1320</v>
      </c>
      <c r="I39" s="11" t="s">
        <v>1919</v>
      </c>
      <c r="J39" s="7" t="s">
        <v>123</v>
      </c>
      <c r="K39" s="7" t="s">
        <v>1322</v>
      </c>
      <c r="L39" s="7" t="s">
        <v>32</v>
      </c>
      <c r="M39" s="7">
        <v>83014011</v>
      </c>
      <c r="N39" s="7">
        <v>1</v>
      </c>
      <c r="O39" s="7" t="s">
        <v>1849</v>
      </c>
      <c r="P39" s="7" t="s">
        <v>286</v>
      </c>
      <c r="Q39" s="241"/>
      <c r="R39" s="9">
        <v>1900.1166533831861</v>
      </c>
      <c r="T39" s="7" t="s">
        <v>34</v>
      </c>
      <c r="U39" s="7"/>
    </row>
    <row r="40" spans="1:21" ht="14.1" customHeight="1">
      <c r="A40" s="7">
        <v>36</v>
      </c>
      <c r="B40" s="14" t="s">
        <v>329</v>
      </c>
      <c r="C40" s="14" t="s">
        <v>329</v>
      </c>
      <c r="D40" s="7" t="s">
        <v>35</v>
      </c>
      <c r="E40" s="14" t="s">
        <v>36</v>
      </c>
      <c r="F40" s="7" t="s">
        <v>1844</v>
      </c>
      <c r="G40" s="8" t="s">
        <v>1920</v>
      </c>
      <c r="H40" s="17" t="s">
        <v>1871</v>
      </c>
      <c r="I40" s="8" t="s">
        <v>1921</v>
      </c>
      <c r="J40" s="7" t="s">
        <v>123</v>
      </c>
      <c r="K40" s="7" t="s">
        <v>1873</v>
      </c>
      <c r="L40" s="7" t="s">
        <v>32</v>
      </c>
      <c r="M40" s="7">
        <v>83014011</v>
      </c>
      <c r="N40" s="7">
        <v>1</v>
      </c>
      <c r="O40" s="7" t="s">
        <v>1849</v>
      </c>
      <c r="P40" s="7" t="s">
        <v>286</v>
      </c>
      <c r="Q40" s="241"/>
      <c r="R40" s="9">
        <v>2022.322862601364</v>
      </c>
      <c r="T40" s="7" t="s">
        <v>34</v>
      </c>
      <c r="U40" s="7"/>
    </row>
    <row r="41" spans="1:21" ht="14.1" customHeight="1">
      <c r="A41" s="7">
        <v>37</v>
      </c>
      <c r="B41" s="14" t="s">
        <v>329</v>
      </c>
      <c r="C41" s="14" t="s">
        <v>329</v>
      </c>
      <c r="D41" s="7" t="s">
        <v>260</v>
      </c>
      <c r="E41" s="14" t="s">
        <v>827</v>
      </c>
      <c r="F41" s="7" t="s">
        <v>1844</v>
      </c>
      <c r="G41" s="8" t="s">
        <v>1922</v>
      </c>
      <c r="H41" s="17" t="s">
        <v>1923</v>
      </c>
      <c r="I41" s="8" t="s">
        <v>1924</v>
      </c>
      <c r="J41" s="7" t="s">
        <v>30</v>
      </c>
      <c r="K41" s="7" t="s">
        <v>1925</v>
      </c>
      <c r="L41" s="7" t="s">
        <v>32</v>
      </c>
      <c r="M41" s="7">
        <v>83016000</v>
      </c>
      <c r="N41" s="7">
        <v>1</v>
      </c>
      <c r="O41" s="7" t="s">
        <v>1849</v>
      </c>
      <c r="P41" s="7" t="s">
        <v>286</v>
      </c>
      <c r="Q41" s="241"/>
      <c r="R41" s="9">
        <v>203.7514859359747</v>
      </c>
      <c r="T41" s="7" t="s">
        <v>34</v>
      </c>
      <c r="U41" s="7"/>
    </row>
    <row r="42" spans="1:21" ht="14.1" customHeight="1">
      <c r="A42" s="7">
        <v>38</v>
      </c>
      <c r="B42" s="14" t="s">
        <v>329</v>
      </c>
      <c r="C42" s="14" t="s">
        <v>329</v>
      </c>
      <c r="D42" s="7" t="s">
        <v>260</v>
      </c>
      <c r="E42" s="14" t="s">
        <v>827</v>
      </c>
      <c r="F42" s="7" t="s">
        <v>1844</v>
      </c>
      <c r="G42" s="8" t="s">
        <v>1926</v>
      </c>
      <c r="H42" s="17" t="s">
        <v>1923</v>
      </c>
      <c r="I42" s="8" t="s">
        <v>1927</v>
      </c>
      <c r="J42" s="7" t="s">
        <v>30</v>
      </c>
      <c r="K42" s="7" t="s">
        <v>1925</v>
      </c>
      <c r="L42" s="7" t="s">
        <v>32</v>
      </c>
      <c r="M42" s="7">
        <v>83016000</v>
      </c>
      <c r="N42" s="7">
        <v>1</v>
      </c>
      <c r="O42" s="7" t="s">
        <v>1849</v>
      </c>
      <c r="P42" s="7" t="s">
        <v>286</v>
      </c>
      <c r="Q42" s="241"/>
      <c r="R42" s="9">
        <v>529.48576937309235</v>
      </c>
      <c r="T42" s="7" t="s">
        <v>34</v>
      </c>
      <c r="U42" s="7"/>
    </row>
    <row r="43" spans="1:21" ht="14.1" customHeight="1">
      <c r="A43" s="7">
        <v>39</v>
      </c>
      <c r="B43" s="14" t="s">
        <v>329</v>
      </c>
      <c r="C43" s="14" t="s">
        <v>329</v>
      </c>
      <c r="D43" s="7" t="s">
        <v>944</v>
      </c>
      <c r="E43" s="14" t="s">
        <v>1928</v>
      </c>
      <c r="F43" s="7" t="s">
        <v>1844</v>
      </c>
      <c r="G43" s="8" t="s">
        <v>1929</v>
      </c>
      <c r="H43" s="7" t="s">
        <v>42</v>
      </c>
      <c r="I43" s="8" t="s">
        <v>1930</v>
      </c>
      <c r="J43" s="7" t="s">
        <v>30</v>
      </c>
      <c r="K43" s="7"/>
      <c r="L43" s="7" t="s">
        <v>32</v>
      </c>
      <c r="M43" s="7"/>
      <c r="N43" s="7">
        <v>1</v>
      </c>
      <c r="O43" s="7"/>
      <c r="P43" s="7" t="s">
        <v>286</v>
      </c>
      <c r="R43" s="9">
        <v>3213.7775495493388</v>
      </c>
      <c r="T43" s="7" t="s">
        <v>34</v>
      </c>
      <c r="U43" s="7"/>
    </row>
    <row r="44" spans="1:21" ht="14.1" customHeight="1">
      <c r="A44" s="7">
        <v>40</v>
      </c>
      <c r="B44" s="14" t="s">
        <v>329</v>
      </c>
      <c r="C44" s="14" t="s">
        <v>329</v>
      </c>
      <c r="D44" s="7" t="s">
        <v>944</v>
      </c>
      <c r="E44" s="14" t="s">
        <v>1928</v>
      </c>
      <c r="F44" s="7" t="s">
        <v>1844</v>
      </c>
      <c r="G44" s="8" t="s">
        <v>1931</v>
      </c>
      <c r="H44" s="7" t="s">
        <v>42</v>
      </c>
      <c r="I44" s="8" t="s">
        <v>1932</v>
      </c>
      <c r="J44" s="7" t="s">
        <v>30</v>
      </c>
      <c r="K44" s="7"/>
      <c r="L44" s="7" t="s">
        <v>32</v>
      </c>
      <c r="M44" s="7"/>
      <c r="N44" s="7">
        <v>1</v>
      </c>
      <c r="O44" s="7"/>
      <c r="P44" s="7" t="s">
        <v>286</v>
      </c>
      <c r="R44" s="9">
        <v>3699.4746223835591</v>
      </c>
      <c r="T44" s="7" t="s">
        <v>34</v>
      </c>
      <c r="U44" s="7"/>
    </row>
    <row r="45" spans="1:21" ht="14.1" customHeight="1">
      <c r="A45" s="7">
        <v>41</v>
      </c>
      <c r="B45" s="14" t="s">
        <v>329</v>
      </c>
      <c r="C45" s="14" t="s">
        <v>329</v>
      </c>
      <c r="D45" s="7" t="s">
        <v>944</v>
      </c>
      <c r="E45" s="14" t="s">
        <v>1928</v>
      </c>
      <c r="F45" s="7" t="s">
        <v>1844</v>
      </c>
      <c r="G45" s="8" t="s">
        <v>1933</v>
      </c>
      <c r="H45" s="7" t="s">
        <v>42</v>
      </c>
      <c r="I45" s="8" t="s">
        <v>1934</v>
      </c>
      <c r="J45" s="7" t="s">
        <v>30</v>
      </c>
      <c r="K45" s="7"/>
      <c r="L45" s="7" t="s">
        <v>32</v>
      </c>
      <c r="M45" s="7"/>
      <c r="N45" s="7">
        <v>1</v>
      </c>
      <c r="O45" s="7"/>
      <c r="P45" s="7" t="s">
        <v>286</v>
      </c>
      <c r="R45" s="9">
        <v>2887.8198543951862</v>
      </c>
      <c r="T45" s="7" t="s">
        <v>34</v>
      </c>
      <c r="U45" s="7"/>
    </row>
    <row r="46" spans="1:21" ht="14.1" customHeight="1">
      <c r="A46" s="7">
        <v>42</v>
      </c>
      <c r="B46" s="14" t="s">
        <v>329</v>
      </c>
      <c r="C46" s="14" t="s">
        <v>329</v>
      </c>
      <c r="D46" s="7" t="s">
        <v>944</v>
      </c>
      <c r="E46" s="14" t="s">
        <v>1928</v>
      </c>
      <c r="F46" s="7" t="s">
        <v>1844</v>
      </c>
      <c r="G46" s="8" t="s">
        <v>1935</v>
      </c>
      <c r="H46" s="7" t="s">
        <v>42</v>
      </c>
      <c r="I46" s="8" t="s">
        <v>1936</v>
      </c>
      <c r="J46" s="7" t="s">
        <v>30</v>
      </c>
      <c r="K46" s="7"/>
      <c r="L46" s="7" t="s">
        <v>32</v>
      </c>
      <c r="M46" s="7"/>
      <c r="N46" s="7">
        <v>1</v>
      </c>
      <c r="O46" s="7"/>
      <c r="P46" s="7" t="s">
        <v>286</v>
      </c>
      <c r="R46" s="9">
        <v>3116.1466292050168</v>
      </c>
      <c r="T46" s="7" t="s">
        <v>34</v>
      </c>
      <c r="U46" s="7"/>
    </row>
    <row r="47" spans="1:21" ht="14.1" customHeight="1">
      <c r="A47" s="7">
        <v>43</v>
      </c>
      <c r="B47" s="14" t="s">
        <v>329</v>
      </c>
      <c r="C47" s="14" t="s">
        <v>329</v>
      </c>
      <c r="D47" s="7" t="s">
        <v>944</v>
      </c>
      <c r="E47" s="14" t="s">
        <v>1928</v>
      </c>
      <c r="F47" s="7" t="s">
        <v>1844</v>
      </c>
      <c r="G47" s="8" t="s">
        <v>1937</v>
      </c>
      <c r="H47" s="7" t="s">
        <v>42</v>
      </c>
      <c r="I47" s="8" t="s">
        <v>1938</v>
      </c>
      <c r="J47" s="7" t="s">
        <v>30</v>
      </c>
      <c r="K47" s="7"/>
      <c r="L47" s="7" t="s">
        <v>32</v>
      </c>
      <c r="M47" s="7"/>
      <c r="N47" s="7">
        <v>1</v>
      </c>
      <c r="O47" s="7"/>
      <c r="P47" s="7" t="s">
        <v>286</v>
      </c>
      <c r="R47" s="9">
        <v>3160.158737460923</v>
      </c>
      <c r="T47" s="7" t="s">
        <v>34</v>
      </c>
      <c r="U47" s="7"/>
    </row>
    <row r="48" spans="1:21" ht="14.1" customHeight="1">
      <c r="A48" s="7">
        <v>44</v>
      </c>
      <c r="B48" s="14" t="s">
        <v>329</v>
      </c>
      <c r="C48" s="14" t="s">
        <v>329</v>
      </c>
      <c r="D48" s="7" t="s">
        <v>944</v>
      </c>
      <c r="E48" s="14" t="s">
        <v>1928</v>
      </c>
      <c r="F48" s="7" t="s">
        <v>1844</v>
      </c>
      <c r="G48" s="8" t="s">
        <v>1939</v>
      </c>
      <c r="H48" s="7" t="s">
        <v>42</v>
      </c>
      <c r="I48" s="8" t="s">
        <v>1940</v>
      </c>
      <c r="J48" s="7" t="s">
        <v>30</v>
      </c>
      <c r="K48" s="7"/>
      <c r="L48" s="7" t="s">
        <v>32</v>
      </c>
      <c r="M48" s="7"/>
      <c r="N48" s="7">
        <v>1</v>
      </c>
      <c r="O48" s="7"/>
      <c r="P48" s="7" t="s">
        <v>286</v>
      </c>
      <c r="R48" s="9">
        <v>2887.8198543951862</v>
      </c>
      <c r="T48" s="7" t="s">
        <v>34</v>
      </c>
      <c r="U48" s="7"/>
    </row>
    <row r="49" spans="1:21" ht="14.1" customHeight="1">
      <c r="A49" s="7">
        <v>45</v>
      </c>
      <c r="B49" s="14" t="s">
        <v>329</v>
      </c>
      <c r="C49" s="14" t="s">
        <v>329</v>
      </c>
      <c r="D49" s="7" t="s">
        <v>944</v>
      </c>
      <c r="E49" s="14" t="s">
        <v>1928</v>
      </c>
      <c r="F49" s="7" t="s">
        <v>1844</v>
      </c>
      <c r="G49" s="8" t="s">
        <v>1941</v>
      </c>
      <c r="H49" s="7" t="s">
        <v>42</v>
      </c>
      <c r="I49" s="8" t="s">
        <v>1942</v>
      </c>
      <c r="J49" s="7" t="s">
        <v>30</v>
      </c>
      <c r="K49" s="7"/>
      <c r="L49" s="7" t="s">
        <v>32</v>
      </c>
      <c r="M49" s="7"/>
      <c r="N49" s="7">
        <v>1</v>
      </c>
      <c r="O49" s="7"/>
      <c r="P49" s="7" t="s">
        <v>286</v>
      </c>
      <c r="R49" s="9">
        <v>3215.118019851549</v>
      </c>
      <c r="T49" s="7" t="s">
        <v>34</v>
      </c>
      <c r="U49" s="7"/>
    </row>
    <row r="50" spans="1:21" ht="14.1" customHeight="1">
      <c r="A50" s="7">
        <v>46</v>
      </c>
      <c r="B50" s="14" t="s">
        <v>329</v>
      </c>
      <c r="C50" s="14" t="s">
        <v>329</v>
      </c>
      <c r="D50" s="7" t="s">
        <v>944</v>
      </c>
      <c r="E50" s="14" t="s">
        <v>1928</v>
      </c>
      <c r="F50" s="7" t="s">
        <v>1844</v>
      </c>
      <c r="G50" s="8" t="s">
        <v>1943</v>
      </c>
      <c r="H50" s="7" t="s">
        <v>42</v>
      </c>
      <c r="I50" s="8" t="s">
        <v>1944</v>
      </c>
      <c r="J50" s="7" t="s">
        <v>30</v>
      </c>
      <c r="K50" s="7"/>
      <c r="L50" s="7" t="s">
        <v>32</v>
      </c>
      <c r="M50" s="7"/>
      <c r="N50" s="7">
        <v>1</v>
      </c>
      <c r="O50" s="7"/>
      <c r="P50" s="7" t="s">
        <v>286</v>
      </c>
      <c r="R50" s="9">
        <v>3215.118019851549</v>
      </c>
      <c r="T50" s="7" t="s">
        <v>34</v>
      </c>
      <c r="U50" s="7"/>
    </row>
    <row r="51" spans="1:21" ht="14.1" customHeight="1">
      <c r="A51" s="7">
        <v>47</v>
      </c>
      <c r="B51" s="14" t="s">
        <v>329</v>
      </c>
      <c r="C51" s="14" t="s">
        <v>329</v>
      </c>
      <c r="D51" s="7" t="s">
        <v>944</v>
      </c>
      <c r="E51" s="14" t="s">
        <v>1928</v>
      </c>
      <c r="F51" s="7" t="s">
        <v>1844</v>
      </c>
      <c r="G51" s="8" t="s">
        <v>1945</v>
      </c>
      <c r="H51" s="7" t="s">
        <v>42</v>
      </c>
      <c r="I51" s="8" t="s">
        <v>1946</v>
      </c>
      <c r="J51" s="7" t="s">
        <v>30</v>
      </c>
      <c r="K51" s="7"/>
      <c r="L51" s="7" t="s">
        <v>32</v>
      </c>
      <c r="M51" s="7"/>
      <c r="N51" s="7">
        <v>1</v>
      </c>
      <c r="O51" s="7"/>
      <c r="P51" s="7" t="s">
        <v>286</v>
      </c>
      <c r="R51" s="9">
        <v>3215.118019851549</v>
      </c>
      <c r="T51" s="7" t="s">
        <v>34</v>
      </c>
      <c r="U51" s="7"/>
    </row>
    <row r="52" spans="1:21" ht="14.1" customHeight="1">
      <c r="A52" s="7">
        <v>48</v>
      </c>
      <c r="B52" s="14" t="s">
        <v>329</v>
      </c>
      <c r="C52" s="14" t="s">
        <v>329</v>
      </c>
      <c r="D52" s="7" t="s">
        <v>944</v>
      </c>
      <c r="E52" s="14" t="s">
        <v>1928</v>
      </c>
      <c r="F52" s="7" t="s">
        <v>1844</v>
      </c>
      <c r="G52" s="8" t="s">
        <v>1947</v>
      </c>
      <c r="H52" s="7" t="s">
        <v>42</v>
      </c>
      <c r="I52" s="8" t="s">
        <v>1948</v>
      </c>
      <c r="J52" s="7" t="s">
        <v>30</v>
      </c>
      <c r="K52" s="7"/>
      <c r="L52" s="7" t="s">
        <v>32</v>
      </c>
      <c r="M52" s="7"/>
      <c r="N52" s="7">
        <v>1</v>
      </c>
      <c r="O52" s="7"/>
      <c r="P52" s="7" t="s">
        <v>286</v>
      </c>
      <c r="R52" s="9">
        <v>3837.9898869452959</v>
      </c>
      <c r="T52" s="7" t="s">
        <v>34</v>
      </c>
      <c r="U52" s="7"/>
    </row>
    <row r="53" spans="1:21" ht="14.1" customHeight="1">
      <c r="A53" s="7">
        <v>49</v>
      </c>
      <c r="B53" s="14" t="s">
        <v>329</v>
      </c>
      <c r="C53" s="14" t="s">
        <v>329</v>
      </c>
      <c r="D53" s="7" t="s">
        <v>944</v>
      </c>
      <c r="E53" s="14" t="s">
        <v>1928</v>
      </c>
      <c r="F53" s="7" t="s">
        <v>1844</v>
      </c>
      <c r="G53" s="8" t="s">
        <v>1949</v>
      </c>
      <c r="H53" s="7" t="s">
        <v>42</v>
      </c>
      <c r="I53" s="8" t="s">
        <v>1950</v>
      </c>
      <c r="J53" s="7" t="s">
        <v>30</v>
      </c>
      <c r="K53" s="7"/>
      <c r="L53" s="7" t="s">
        <v>32</v>
      </c>
      <c r="M53" s="7"/>
      <c r="N53" s="7">
        <v>1</v>
      </c>
      <c r="O53" s="7"/>
      <c r="P53" s="7" t="s">
        <v>286</v>
      </c>
      <c r="R53" s="9">
        <v>4323.9103714965522</v>
      </c>
      <c r="T53" s="7" t="s">
        <v>34</v>
      </c>
      <c r="U53" s="7"/>
    </row>
    <row r="54" spans="1:21" ht="14.1" customHeight="1">
      <c r="A54" s="7">
        <v>50</v>
      </c>
      <c r="B54" s="14" t="s">
        <v>329</v>
      </c>
      <c r="C54" s="14" t="s">
        <v>329</v>
      </c>
      <c r="D54" s="7" t="s">
        <v>944</v>
      </c>
      <c r="E54" s="14" t="s">
        <v>1928</v>
      </c>
      <c r="F54" s="7" t="s">
        <v>1844</v>
      </c>
      <c r="G54" s="8" t="s">
        <v>1951</v>
      </c>
      <c r="H54" s="7" t="s">
        <v>42</v>
      </c>
      <c r="I54" s="8" t="s">
        <v>1952</v>
      </c>
      <c r="J54" s="7" t="s">
        <v>30</v>
      </c>
      <c r="K54" s="7"/>
      <c r="L54" s="7" t="s">
        <v>32</v>
      </c>
      <c r="M54" s="7"/>
      <c r="N54" s="7">
        <v>1</v>
      </c>
      <c r="O54" s="7"/>
      <c r="P54" s="7" t="s">
        <v>286</v>
      </c>
      <c r="R54" s="9">
        <v>3527.6710119835989</v>
      </c>
      <c r="T54" s="7" t="s">
        <v>34</v>
      </c>
      <c r="U54" s="7"/>
    </row>
    <row r="55" spans="1:21" ht="14.1" customHeight="1">
      <c r="A55" s="7">
        <v>51</v>
      </c>
      <c r="B55" s="14" t="s">
        <v>329</v>
      </c>
      <c r="C55" s="14" t="s">
        <v>329</v>
      </c>
      <c r="D55" s="7" t="s">
        <v>944</v>
      </c>
      <c r="E55" s="14" t="s">
        <v>1928</v>
      </c>
      <c r="F55" s="7" t="s">
        <v>1844</v>
      </c>
      <c r="G55" s="8" t="s">
        <v>1953</v>
      </c>
      <c r="H55" s="7" t="s">
        <v>42</v>
      </c>
      <c r="I55" s="8" t="s">
        <v>1954</v>
      </c>
      <c r="J55" s="7" t="s">
        <v>30</v>
      </c>
      <c r="K55" s="7"/>
      <c r="L55" s="7" t="s">
        <v>32</v>
      </c>
      <c r="M55" s="7"/>
      <c r="N55" s="7">
        <v>1</v>
      </c>
      <c r="O55" s="7"/>
      <c r="P55" s="7" t="s">
        <v>286</v>
      </c>
      <c r="R55" s="9">
        <v>3783.0306045546722</v>
      </c>
      <c r="T55" s="7" t="s">
        <v>34</v>
      </c>
      <c r="U55" s="7"/>
    </row>
    <row r="56" spans="1:21" ht="14.1" customHeight="1">
      <c r="A56" s="7">
        <v>52</v>
      </c>
      <c r="B56" s="14" t="s">
        <v>329</v>
      </c>
      <c r="C56" s="14" t="s">
        <v>329</v>
      </c>
      <c r="D56" s="7" t="s">
        <v>944</v>
      </c>
      <c r="E56" s="14" t="s">
        <v>1928</v>
      </c>
      <c r="F56" s="7" t="s">
        <v>1844</v>
      </c>
      <c r="G56" s="8" t="s">
        <v>1955</v>
      </c>
      <c r="H56" s="7" t="s">
        <v>42</v>
      </c>
      <c r="I56" s="8" t="s">
        <v>1956</v>
      </c>
      <c r="J56" s="7" t="s">
        <v>30</v>
      </c>
      <c r="K56" s="7"/>
      <c r="L56" s="7" t="s">
        <v>32</v>
      </c>
      <c r="M56" s="7"/>
      <c r="N56" s="7">
        <v>1</v>
      </c>
      <c r="O56" s="7"/>
      <c r="P56" s="7" t="s">
        <v>286</v>
      </c>
      <c r="R56" s="9">
        <v>3034.601352487221</v>
      </c>
      <c r="T56" s="7" t="s">
        <v>34</v>
      </c>
      <c r="U56" s="7"/>
    </row>
    <row r="57" spans="1:21" ht="14.1" customHeight="1">
      <c r="A57" s="7">
        <v>53</v>
      </c>
      <c r="B57" s="14" t="s">
        <v>329</v>
      </c>
      <c r="C57" s="14" t="s">
        <v>329</v>
      </c>
      <c r="D57" s="7" t="s">
        <v>944</v>
      </c>
      <c r="E57" s="14" t="s">
        <v>1928</v>
      </c>
      <c r="F57" s="7" t="s">
        <v>1844</v>
      </c>
      <c r="G57" s="8" t="s">
        <v>1957</v>
      </c>
      <c r="H57" s="7" t="s">
        <v>42</v>
      </c>
      <c r="I57" s="8" t="s">
        <v>1958</v>
      </c>
      <c r="J57" s="7" t="s">
        <v>30</v>
      </c>
      <c r="K57" s="7"/>
      <c r="L57" s="7" t="s">
        <v>32</v>
      </c>
      <c r="M57" s="7"/>
      <c r="N57" s="7">
        <v>1</v>
      </c>
      <c r="O57" s="7"/>
      <c r="P57" s="7" t="s">
        <v>286</v>
      </c>
      <c r="R57" s="9">
        <v>3052.921113284096</v>
      </c>
      <c r="T57" s="7" t="s">
        <v>34</v>
      </c>
      <c r="U57" s="7"/>
    </row>
    <row r="58" spans="1:21" ht="14.1" customHeight="1">
      <c r="A58" s="7">
        <v>54</v>
      </c>
      <c r="B58" s="14" t="s">
        <v>329</v>
      </c>
      <c r="C58" s="14" t="s">
        <v>329</v>
      </c>
      <c r="D58" s="7" t="s">
        <v>944</v>
      </c>
      <c r="E58" s="14" t="s">
        <v>1928</v>
      </c>
      <c r="F58" s="7" t="s">
        <v>1844</v>
      </c>
      <c r="G58" s="8" t="s">
        <v>1959</v>
      </c>
      <c r="H58" s="7" t="s">
        <v>42</v>
      </c>
      <c r="I58" s="8" t="s">
        <v>1960</v>
      </c>
      <c r="J58" s="7" t="s">
        <v>30</v>
      </c>
      <c r="K58" s="7"/>
      <c r="L58" s="7" t="s">
        <v>32</v>
      </c>
      <c r="M58" s="7"/>
      <c r="N58" s="7">
        <v>1</v>
      </c>
      <c r="O58" s="7"/>
      <c r="P58" s="7" t="s">
        <v>286</v>
      </c>
      <c r="R58" s="9">
        <v>3068.5599334765502</v>
      </c>
      <c r="T58" s="7" t="s">
        <v>34</v>
      </c>
      <c r="U58" s="7"/>
    </row>
    <row r="59" spans="1:21" ht="14.1" customHeight="1">
      <c r="A59" s="7">
        <v>55</v>
      </c>
      <c r="B59" s="14" t="s">
        <v>329</v>
      </c>
      <c r="C59" s="14" t="s">
        <v>329</v>
      </c>
      <c r="D59" s="7" t="s">
        <v>944</v>
      </c>
      <c r="E59" s="14" t="s">
        <v>1928</v>
      </c>
      <c r="F59" s="7" t="s">
        <v>1844</v>
      </c>
      <c r="G59" s="8" t="s">
        <v>1961</v>
      </c>
      <c r="H59" s="7" t="s">
        <v>42</v>
      </c>
      <c r="I59" s="8" t="s">
        <v>1962</v>
      </c>
      <c r="J59" s="7" t="s">
        <v>30</v>
      </c>
      <c r="K59" s="7"/>
      <c r="L59" s="7" t="s">
        <v>32</v>
      </c>
      <c r="M59" s="7"/>
      <c r="N59" s="7">
        <v>1</v>
      </c>
      <c r="O59" s="7"/>
      <c r="P59" s="7" t="s">
        <v>286</v>
      </c>
      <c r="R59" s="9">
        <v>3203.053787131656</v>
      </c>
      <c r="T59" s="7" t="s">
        <v>34</v>
      </c>
      <c r="U59" s="7"/>
    </row>
    <row r="60" spans="1:21" ht="14.1" customHeight="1">
      <c r="A60" s="7">
        <v>56</v>
      </c>
      <c r="B60" s="14" t="s">
        <v>329</v>
      </c>
      <c r="C60" s="14" t="s">
        <v>329</v>
      </c>
      <c r="D60" s="7" t="s">
        <v>944</v>
      </c>
      <c r="E60" s="14" t="s">
        <v>1928</v>
      </c>
      <c r="F60" s="7" t="s">
        <v>1844</v>
      </c>
      <c r="G60" s="8" t="s">
        <v>1963</v>
      </c>
      <c r="H60" s="7" t="s">
        <v>42</v>
      </c>
      <c r="I60" s="8" t="s">
        <v>1964</v>
      </c>
      <c r="J60" s="7" t="s">
        <v>30</v>
      </c>
      <c r="K60" s="7"/>
      <c r="L60" s="7" t="s">
        <v>32</v>
      </c>
      <c r="M60" s="7"/>
      <c r="N60" s="7">
        <v>1</v>
      </c>
      <c r="O60" s="7"/>
      <c r="P60" s="7" t="s">
        <v>286</v>
      </c>
      <c r="R60" s="9">
        <v>3099.8375738614582</v>
      </c>
      <c r="T60" s="7" t="s">
        <v>34</v>
      </c>
      <c r="U60" s="7"/>
    </row>
    <row r="61" spans="1:21" ht="14.1" customHeight="1">
      <c r="A61" s="7">
        <v>57</v>
      </c>
      <c r="B61" s="14" t="s">
        <v>329</v>
      </c>
      <c r="C61" s="14" t="s">
        <v>329</v>
      </c>
      <c r="D61" s="7" t="s">
        <v>944</v>
      </c>
      <c r="E61" s="14" t="s">
        <v>1928</v>
      </c>
      <c r="F61" s="7" t="s">
        <v>1844</v>
      </c>
      <c r="G61" s="8" t="s">
        <v>1965</v>
      </c>
      <c r="H61" s="7" t="s">
        <v>42</v>
      </c>
      <c r="I61" s="8" t="s">
        <v>1966</v>
      </c>
      <c r="J61" s="7" t="s">
        <v>30</v>
      </c>
      <c r="K61" s="7"/>
      <c r="L61" s="7" t="s">
        <v>32</v>
      </c>
      <c r="M61" s="7"/>
      <c r="N61" s="7">
        <v>1</v>
      </c>
      <c r="O61" s="7"/>
      <c r="P61" s="7" t="s">
        <v>286</v>
      </c>
      <c r="R61" s="9">
        <v>3916.1839879075669</v>
      </c>
      <c r="T61" s="7" t="s">
        <v>34</v>
      </c>
      <c r="U61" s="7"/>
    </row>
    <row r="62" spans="1:21" ht="14.1" customHeight="1">
      <c r="A62" s="7">
        <v>58</v>
      </c>
      <c r="B62" s="14" t="s">
        <v>329</v>
      </c>
      <c r="C62" s="14" t="s">
        <v>329</v>
      </c>
      <c r="D62" s="7" t="s">
        <v>944</v>
      </c>
      <c r="E62" s="14" t="s">
        <v>1928</v>
      </c>
      <c r="F62" s="7" t="s">
        <v>1844</v>
      </c>
      <c r="G62" s="8" t="s">
        <v>1967</v>
      </c>
      <c r="H62" s="7" t="s">
        <v>42</v>
      </c>
      <c r="I62" s="8" t="s">
        <v>1968</v>
      </c>
      <c r="J62" s="7" t="s">
        <v>30</v>
      </c>
      <c r="K62" s="7"/>
      <c r="L62" s="7" t="s">
        <v>32</v>
      </c>
      <c r="M62" s="7"/>
      <c r="N62" s="7">
        <v>1</v>
      </c>
      <c r="O62" s="7"/>
      <c r="P62" s="7" t="s">
        <v>286</v>
      </c>
      <c r="R62" s="9">
        <v>3996.835617757225</v>
      </c>
      <c r="T62" s="7" t="s">
        <v>34</v>
      </c>
      <c r="U62" s="7"/>
    </row>
    <row r="63" spans="1:21" ht="14.1" customHeight="1">
      <c r="A63" s="7">
        <v>59</v>
      </c>
      <c r="B63" s="14" t="s">
        <v>329</v>
      </c>
      <c r="C63" s="14" t="s">
        <v>329</v>
      </c>
      <c r="D63" s="7" t="s">
        <v>944</v>
      </c>
      <c r="E63" s="14" t="s">
        <v>1928</v>
      </c>
      <c r="F63" s="7" t="s">
        <v>1844</v>
      </c>
      <c r="G63" s="8" t="s">
        <v>1969</v>
      </c>
      <c r="H63" s="7" t="s">
        <v>42</v>
      </c>
      <c r="I63" s="8" t="s">
        <v>1970</v>
      </c>
      <c r="J63" s="7" t="s">
        <v>30</v>
      </c>
      <c r="K63" s="7"/>
      <c r="L63" s="7" t="s">
        <v>32</v>
      </c>
      <c r="M63" s="7"/>
      <c r="N63" s="7">
        <v>1</v>
      </c>
      <c r="O63" s="7"/>
      <c r="P63" s="7" t="s">
        <v>286</v>
      </c>
      <c r="R63" s="9">
        <v>3965.111153938245</v>
      </c>
      <c r="T63" s="7" t="s">
        <v>34</v>
      </c>
      <c r="U63" s="7"/>
    </row>
    <row r="64" spans="1:21" ht="14.1" customHeight="1">
      <c r="A64" s="7">
        <v>60</v>
      </c>
      <c r="B64" s="14" t="s">
        <v>329</v>
      </c>
      <c r="C64" s="14" t="s">
        <v>329</v>
      </c>
      <c r="D64" s="7" t="s">
        <v>944</v>
      </c>
      <c r="E64" s="14" t="s">
        <v>1928</v>
      </c>
      <c r="F64" s="7" t="s">
        <v>1844</v>
      </c>
      <c r="G64" s="8" t="s">
        <v>1971</v>
      </c>
      <c r="H64" s="7" t="s">
        <v>42</v>
      </c>
      <c r="I64" s="8" t="s">
        <v>1972</v>
      </c>
      <c r="J64" s="7" t="s">
        <v>30</v>
      </c>
      <c r="K64" s="7"/>
      <c r="L64" s="7" t="s">
        <v>32</v>
      </c>
      <c r="M64" s="7"/>
      <c r="N64" s="7">
        <v>1</v>
      </c>
      <c r="O64" s="7"/>
      <c r="P64" s="7" t="s">
        <v>286</v>
      </c>
      <c r="R64" s="9">
        <v>3994.1546771528042</v>
      </c>
      <c r="T64" s="7" t="s">
        <v>34</v>
      </c>
      <c r="U64" s="7"/>
    </row>
    <row r="65" spans="1:21" ht="14.1" customHeight="1">
      <c r="A65" s="7">
        <v>61</v>
      </c>
      <c r="B65" s="14" t="s">
        <v>329</v>
      </c>
      <c r="C65" s="14" t="s">
        <v>329</v>
      </c>
      <c r="D65" s="7" t="s">
        <v>944</v>
      </c>
      <c r="E65" s="14" t="s">
        <v>1928</v>
      </c>
      <c r="F65" s="7" t="s">
        <v>1844</v>
      </c>
      <c r="G65" s="8" t="s">
        <v>1973</v>
      </c>
      <c r="H65" s="7" t="s">
        <v>42</v>
      </c>
      <c r="I65" s="8" t="s">
        <v>1974</v>
      </c>
      <c r="J65" s="7" t="s">
        <v>30</v>
      </c>
      <c r="K65" s="7"/>
      <c r="L65" s="7" t="s">
        <v>32</v>
      </c>
      <c r="M65" s="7"/>
      <c r="N65" s="7">
        <v>1</v>
      </c>
      <c r="O65" s="7"/>
      <c r="P65" s="7" t="s">
        <v>286</v>
      </c>
      <c r="R65" s="9">
        <v>2790.6357574849349</v>
      </c>
      <c r="T65" s="7" t="s">
        <v>34</v>
      </c>
      <c r="U65" s="7"/>
    </row>
    <row r="66" spans="1:21" ht="14.1" customHeight="1">
      <c r="A66" s="7">
        <v>62</v>
      </c>
      <c r="B66" s="14" t="s">
        <v>329</v>
      </c>
      <c r="C66" s="14" t="s">
        <v>329</v>
      </c>
      <c r="D66" s="7" t="s">
        <v>944</v>
      </c>
      <c r="E66" s="14" t="s">
        <v>1928</v>
      </c>
      <c r="F66" s="7" t="s">
        <v>1844</v>
      </c>
      <c r="G66" s="8" t="s">
        <v>1975</v>
      </c>
      <c r="H66" s="7" t="s">
        <v>42</v>
      </c>
      <c r="I66" s="8" t="s">
        <v>1976</v>
      </c>
      <c r="J66" s="7" t="s">
        <v>30</v>
      </c>
      <c r="K66" s="7"/>
      <c r="L66" s="7" t="s">
        <v>32</v>
      </c>
      <c r="M66" s="7"/>
      <c r="N66" s="7">
        <v>1</v>
      </c>
      <c r="O66" s="7"/>
      <c r="P66" s="7" t="s">
        <v>286</v>
      </c>
      <c r="R66" s="9">
        <v>2825.2645736253689</v>
      </c>
      <c r="T66" s="7" t="s">
        <v>34</v>
      </c>
      <c r="U66" s="7"/>
    </row>
    <row r="67" spans="1:21" ht="14.1" customHeight="1">
      <c r="A67" s="7">
        <v>63</v>
      </c>
      <c r="B67" s="14" t="s">
        <v>329</v>
      </c>
      <c r="C67" s="14" t="s">
        <v>329</v>
      </c>
      <c r="D67" s="7" t="s">
        <v>944</v>
      </c>
      <c r="E67" s="14" t="s">
        <v>1928</v>
      </c>
      <c r="F67" s="7" t="s">
        <v>1844</v>
      </c>
      <c r="G67" s="8" t="s">
        <v>1977</v>
      </c>
      <c r="H67" s="7" t="s">
        <v>42</v>
      </c>
      <c r="I67" s="8" t="s">
        <v>1978</v>
      </c>
      <c r="J67" s="7" t="s">
        <v>30</v>
      </c>
      <c r="K67" s="7"/>
      <c r="L67" s="7" t="s">
        <v>32</v>
      </c>
      <c r="M67" s="7"/>
      <c r="N67" s="7">
        <v>1</v>
      </c>
      <c r="O67" s="7"/>
      <c r="P67" s="7" t="s">
        <v>286</v>
      </c>
      <c r="R67" s="9">
        <v>3103.8589847680901</v>
      </c>
      <c r="T67" s="7" t="s">
        <v>34</v>
      </c>
      <c r="U67" s="7"/>
    </row>
    <row r="68" spans="1:21" ht="14.1" customHeight="1">
      <c r="A68" s="7">
        <v>64</v>
      </c>
      <c r="B68" s="14" t="s">
        <v>329</v>
      </c>
      <c r="C68" s="14" t="s">
        <v>329</v>
      </c>
      <c r="D68" s="7" t="s">
        <v>944</v>
      </c>
      <c r="E68" s="14" t="s">
        <v>1928</v>
      </c>
      <c r="F68" s="7" t="s">
        <v>1844</v>
      </c>
      <c r="G68" s="8" t="s">
        <v>1979</v>
      </c>
      <c r="H68" s="7" t="s">
        <v>42</v>
      </c>
      <c r="I68" s="8" t="s">
        <v>1980</v>
      </c>
      <c r="J68" s="7" t="s">
        <v>30</v>
      </c>
      <c r="K68" s="7"/>
      <c r="L68" s="7" t="s">
        <v>32</v>
      </c>
      <c r="M68" s="7"/>
      <c r="N68" s="7">
        <v>1</v>
      </c>
      <c r="O68" s="7"/>
      <c r="P68" s="7" t="s">
        <v>286</v>
      </c>
      <c r="R68" s="9">
        <v>3103.8589847680901</v>
      </c>
      <c r="T68" s="7" t="s">
        <v>34</v>
      </c>
      <c r="U68" s="7"/>
    </row>
    <row r="69" spans="1:21" ht="14.1" customHeight="1">
      <c r="A69" s="7">
        <v>65</v>
      </c>
      <c r="B69" s="14" t="s">
        <v>329</v>
      </c>
      <c r="C69" s="14" t="s">
        <v>329</v>
      </c>
      <c r="D69" s="7" t="s">
        <v>944</v>
      </c>
      <c r="E69" s="14" t="s">
        <v>1928</v>
      </c>
      <c r="F69" s="7" t="s">
        <v>1844</v>
      </c>
      <c r="G69" s="8" t="s">
        <v>1981</v>
      </c>
      <c r="H69" s="7" t="s">
        <v>42</v>
      </c>
      <c r="I69" s="8" t="s">
        <v>1982</v>
      </c>
      <c r="J69" s="7" t="s">
        <v>30</v>
      </c>
      <c r="K69" s="7"/>
      <c r="L69" s="7" t="s">
        <v>32</v>
      </c>
      <c r="M69" s="7"/>
      <c r="N69" s="7">
        <v>1</v>
      </c>
      <c r="O69" s="7"/>
      <c r="P69" s="7" t="s">
        <v>286</v>
      </c>
      <c r="R69" s="9">
        <v>2959.7584272804752</v>
      </c>
      <c r="T69" s="7" t="s">
        <v>34</v>
      </c>
      <c r="U69" s="7"/>
    </row>
    <row r="70" spans="1:21" ht="14.1" customHeight="1">
      <c r="A70" s="7">
        <v>66</v>
      </c>
      <c r="B70" s="14" t="s">
        <v>329</v>
      </c>
      <c r="C70" s="14" t="s">
        <v>329</v>
      </c>
      <c r="D70" s="7" t="s">
        <v>944</v>
      </c>
      <c r="E70" s="14" t="s">
        <v>1928</v>
      </c>
      <c r="F70" s="7" t="s">
        <v>1844</v>
      </c>
      <c r="G70" s="8" t="s">
        <v>1983</v>
      </c>
      <c r="H70" s="7" t="s">
        <v>42</v>
      </c>
      <c r="I70" s="8" t="s">
        <v>1984</v>
      </c>
      <c r="J70" s="7" t="s">
        <v>30</v>
      </c>
      <c r="K70" s="7"/>
      <c r="L70" s="7" t="s">
        <v>32</v>
      </c>
      <c r="M70" s="7"/>
      <c r="N70" s="7">
        <v>1</v>
      </c>
      <c r="O70" s="7"/>
      <c r="P70" s="7" t="s">
        <v>286</v>
      </c>
      <c r="R70" s="9">
        <v>2953.7263109205292</v>
      </c>
      <c r="T70" s="7" t="s">
        <v>34</v>
      </c>
      <c r="U70" s="7"/>
    </row>
    <row r="71" spans="1:21" ht="14.1" customHeight="1">
      <c r="A71" s="7">
        <v>67</v>
      </c>
      <c r="B71" s="14" t="s">
        <v>329</v>
      </c>
      <c r="C71" s="14" t="s">
        <v>329</v>
      </c>
      <c r="D71" s="7" t="s">
        <v>944</v>
      </c>
      <c r="E71" s="14" t="s">
        <v>1928</v>
      </c>
      <c r="F71" s="7" t="s">
        <v>1844</v>
      </c>
      <c r="G71" s="8" t="s">
        <v>1985</v>
      </c>
      <c r="H71" s="7" t="s">
        <v>42</v>
      </c>
      <c r="I71" s="8" t="s">
        <v>1984</v>
      </c>
      <c r="J71" s="7" t="s">
        <v>30</v>
      </c>
      <c r="K71" s="7"/>
      <c r="L71" s="7" t="s">
        <v>32</v>
      </c>
      <c r="M71" s="7"/>
      <c r="N71" s="7">
        <v>1</v>
      </c>
      <c r="O71" s="7"/>
      <c r="P71" s="7" t="s">
        <v>286</v>
      </c>
      <c r="R71" s="9">
        <v>3016.2815916903451</v>
      </c>
      <c r="T71" s="7" t="s">
        <v>34</v>
      </c>
      <c r="U71" s="7"/>
    </row>
    <row r="72" spans="1:21" ht="14.1" customHeight="1">
      <c r="A72" s="7">
        <v>68</v>
      </c>
      <c r="B72" s="14" t="s">
        <v>329</v>
      </c>
      <c r="C72" s="14" t="s">
        <v>329</v>
      </c>
      <c r="D72" s="7" t="s">
        <v>944</v>
      </c>
      <c r="E72" s="14" t="s">
        <v>1928</v>
      </c>
      <c r="F72" s="7" t="s">
        <v>1844</v>
      </c>
      <c r="G72" s="8" t="s">
        <v>1986</v>
      </c>
      <c r="H72" s="7" t="s">
        <v>42</v>
      </c>
      <c r="I72" s="8" t="s">
        <v>1984</v>
      </c>
      <c r="J72" s="7" t="s">
        <v>30</v>
      </c>
      <c r="K72" s="7"/>
      <c r="L72" s="7" t="s">
        <v>32</v>
      </c>
      <c r="M72" s="7"/>
      <c r="N72" s="7">
        <v>1</v>
      </c>
      <c r="O72" s="7"/>
      <c r="P72" s="7" t="s">
        <v>286</v>
      </c>
      <c r="R72" s="9">
        <v>3016.2815916903451</v>
      </c>
      <c r="T72" s="7" t="s">
        <v>34</v>
      </c>
      <c r="U72" s="7"/>
    </row>
    <row r="73" spans="1:21" ht="14.1" customHeight="1">
      <c r="A73" s="7">
        <v>69</v>
      </c>
      <c r="B73" s="14" t="s">
        <v>329</v>
      </c>
      <c r="C73" s="14" t="s">
        <v>329</v>
      </c>
      <c r="D73" s="7" t="s">
        <v>944</v>
      </c>
      <c r="E73" s="14" t="s">
        <v>1928</v>
      </c>
      <c r="F73" s="7" t="s">
        <v>1844</v>
      </c>
      <c r="G73" s="8" t="s">
        <v>1987</v>
      </c>
      <c r="H73" s="7" t="s">
        <v>42</v>
      </c>
      <c r="I73" s="8" t="s">
        <v>1984</v>
      </c>
      <c r="J73" s="7" t="s">
        <v>30</v>
      </c>
      <c r="K73" s="7"/>
      <c r="L73" s="7" t="s">
        <v>32</v>
      </c>
      <c r="M73" s="7"/>
      <c r="N73" s="7">
        <v>1</v>
      </c>
      <c r="O73" s="7"/>
      <c r="P73" s="7" t="s">
        <v>286</v>
      </c>
      <c r="R73" s="9">
        <v>3103.8589847680901</v>
      </c>
      <c r="T73" s="7" t="s">
        <v>34</v>
      </c>
      <c r="U73" s="7"/>
    </row>
    <row r="74" spans="1:21" ht="14.1" customHeight="1">
      <c r="A74" s="7">
        <v>70</v>
      </c>
      <c r="B74" s="14" t="s">
        <v>329</v>
      </c>
      <c r="C74" s="14" t="s">
        <v>329</v>
      </c>
      <c r="D74" s="7" t="s">
        <v>944</v>
      </c>
      <c r="E74" s="14" t="s">
        <v>1928</v>
      </c>
      <c r="F74" s="7" t="s">
        <v>1844</v>
      </c>
      <c r="G74" s="8" t="s">
        <v>1988</v>
      </c>
      <c r="H74" s="7" t="s">
        <v>42</v>
      </c>
      <c r="I74" s="8" t="s">
        <v>1989</v>
      </c>
      <c r="J74" s="7" t="s">
        <v>30</v>
      </c>
      <c r="K74" s="7"/>
      <c r="L74" s="7" t="s">
        <v>32</v>
      </c>
      <c r="M74" s="7"/>
      <c r="N74" s="7">
        <v>1</v>
      </c>
      <c r="O74" s="7"/>
      <c r="P74" s="7" t="s">
        <v>286</v>
      </c>
      <c r="R74" s="9">
        <v>3324.589761198728</v>
      </c>
      <c r="T74" s="7" t="s">
        <v>34</v>
      </c>
      <c r="U74" s="7"/>
    </row>
    <row r="75" spans="1:21" ht="14.1" customHeight="1">
      <c r="A75" s="7">
        <v>71</v>
      </c>
      <c r="B75" s="14" t="s">
        <v>329</v>
      </c>
      <c r="C75" s="14" t="s">
        <v>329</v>
      </c>
      <c r="D75" s="7" t="s">
        <v>944</v>
      </c>
      <c r="E75" s="14" t="s">
        <v>1928</v>
      </c>
      <c r="F75" s="7" t="s">
        <v>1844</v>
      </c>
      <c r="G75" s="8" t="s">
        <v>1990</v>
      </c>
      <c r="H75" s="7" t="s">
        <v>42</v>
      </c>
      <c r="I75" s="8" t="s">
        <v>1989</v>
      </c>
      <c r="J75" s="7" t="s">
        <v>30</v>
      </c>
      <c r="K75" s="7"/>
      <c r="L75" s="7" t="s">
        <v>32</v>
      </c>
      <c r="M75" s="7"/>
      <c r="N75" s="7">
        <v>1</v>
      </c>
      <c r="O75" s="7"/>
      <c r="P75" s="7" t="s">
        <v>286</v>
      </c>
      <c r="R75" s="9">
        <v>3324.589761198728</v>
      </c>
      <c r="T75" s="7" t="s">
        <v>34</v>
      </c>
      <c r="U75" s="7"/>
    </row>
    <row r="76" spans="1:21" ht="14.1" customHeight="1">
      <c r="A76" s="7">
        <v>72</v>
      </c>
      <c r="B76" s="14" t="s">
        <v>329</v>
      </c>
      <c r="C76" s="14" t="s">
        <v>329</v>
      </c>
      <c r="D76" s="7" t="s">
        <v>944</v>
      </c>
      <c r="E76" s="14" t="s">
        <v>1928</v>
      </c>
      <c r="F76" s="7" t="s">
        <v>1844</v>
      </c>
      <c r="G76" s="8" t="s">
        <v>1991</v>
      </c>
      <c r="H76" s="7" t="s">
        <v>42</v>
      </c>
      <c r="I76" s="8" t="s">
        <v>1989</v>
      </c>
      <c r="J76" s="7" t="s">
        <v>30</v>
      </c>
      <c r="K76" s="7"/>
      <c r="L76" s="7" t="s">
        <v>32</v>
      </c>
      <c r="M76" s="7"/>
      <c r="N76" s="7">
        <v>1</v>
      </c>
      <c r="O76" s="7"/>
      <c r="P76" s="7" t="s">
        <v>286</v>
      </c>
      <c r="R76" s="9">
        <v>2901.4479691343249</v>
      </c>
      <c r="T76" s="7" t="s">
        <v>34</v>
      </c>
      <c r="U76" s="7"/>
    </row>
    <row r="77" spans="1:21" ht="14.1" customHeight="1">
      <c r="A77" s="7">
        <v>73</v>
      </c>
      <c r="B77" s="14" t="s">
        <v>329</v>
      </c>
      <c r="C77" s="14" t="s">
        <v>329</v>
      </c>
      <c r="D77" s="7" t="s">
        <v>944</v>
      </c>
      <c r="E77" s="14" t="s">
        <v>1928</v>
      </c>
      <c r="F77" s="7" t="s">
        <v>1844</v>
      </c>
      <c r="G77" s="8" t="s">
        <v>1992</v>
      </c>
      <c r="H77" s="7" t="s">
        <v>42</v>
      </c>
      <c r="I77" s="8" t="s">
        <v>1993</v>
      </c>
      <c r="J77" s="7" t="s">
        <v>30</v>
      </c>
      <c r="K77" s="7"/>
      <c r="L77" s="7" t="s">
        <v>32</v>
      </c>
      <c r="M77" s="7"/>
      <c r="N77" s="7">
        <v>1</v>
      </c>
      <c r="O77" s="7"/>
      <c r="P77" s="7" t="s">
        <v>286</v>
      </c>
      <c r="R77" s="9">
        <v>3780.3496639502509</v>
      </c>
      <c r="T77" s="7" t="s">
        <v>34</v>
      </c>
      <c r="U77" s="7"/>
    </row>
    <row r="78" spans="1:21" ht="14.1" customHeight="1">
      <c r="A78" s="7">
        <v>74</v>
      </c>
      <c r="B78" s="14" t="s">
        <v>329</v>
      </c>
      <c r="C78" s="14" t="s">
        <v>329</v>
      </c>
      <c r="D78" s="7" t="s">
        <v>944</v>
      </c>
      <c r="E78" s="14" t="s">
        <v>1928</v>
      </c>
      <c r="F78" s="7" t="s">
        <v>1844</v>
      </c>
      <c r="G78" s="8" t="s">
        <v>1994</v>
      </c>
      <c r="H78" s="7" t="s">
        <v>42</v>
      </c>
      <c r="I78" s="8" t="s">
        <v>1995</v>
      </c>
      <c r="J78" s="7" t="s">
        <v>30</v>
      </c>
      <c r="K78" s="7"/>
      <c r="L78" s="7" t="s">
        <v>32</v>
      </c>
      <c r="M78" s="7"/>
      <c r="N78" s="7">
        <v>1</v>
      </c>
      <c r="O78" s="7"/>
      <c r="P78" s="7" t="s">
        <v>286</v>
      </c>
      <c r="R78" s="9">
        <v>3147.8710930239959</v>
      </c>
      <c r="T78" s="7" t="s">
        <v>34</v>
      </c>
      <c r="U78" s="7"/>
    </row>
    <row r="79" spans="1:21" ht="14.1" customHeight="1">
      <c r="A79" s="7">
        <v>75</v>
      </c>
      <c r="B79" s="14" t="s">
        <v>329</v>
      </c>
      <c r="C79" s="14" t="s">
        <v>329</v>
      </c>
      <c r="D79" s="7" t="s">
        <v>944</v>
      </c>
      <c r="E79" s="14" t="s">
        <v>1928</v>
      </c>
      <c r="F79" s="7" t="s">
        <v>1844</v>
      </c>
      <c r="G79" s="8" t="s">
        <v>1996</v>
      </c>
      <c r="H79" s="7" t="s">
        <v>42</v>
      </c>
      <c r="I79" s="8" t="s">
        <v>1997</v>
      </c>
      <c r="J79" s="7" t="s">
        <v>30</v>
      </c>
      <c r="K79" s="7"/>
      <c r="L79" s="7" t="s">
        <v>32</v>
      </c>
      <c r="M79" s="7"/>
      <c r="N79" s="7">
        <v>1</v>
      </c>
      <c r="O79" s="7"/>
      <c r="P79" s="7" t="s">
        <v>286</v>
      </c>
      <c r="R79" s="9">
        <v>3259.3535398244908</v>
      </c>
      <c r="T79" s="7" t="s">
        <v>34</v>
      </c>
      <c r="U79" s="7"/>
    </row>
    <row r="80" spans="1:21" ht="14.1" customHeight="1">
      <c r="A80" s="7">
        <v>76</v>
      </c>
      <c r="B80" s="14" t="s">
        <v>329</v>
      </c>
      <c r="C80" s="14" t="s">
        <v>329</v>
      </c>
      <c r="D80" s="7" t="s">
        <v>944</v>
      </c>
      <c r="E80" s="14" t="s">
        <v>1928</v>
      </c>
      <c r="F80" s="7" t="s">
        <v>1844</v>
      </c>
      <c r="G80" s="8" t="s">
        <v>1998</v>
      </c>
      <c r="H80" s="7" t="s">
        <v>42</v>
      </c>
      <c r="I80" s="8" t="s">
        <v>1999</v>
      </c>
      <c r="J80" s="7" t="s">
        <v>30</v>
      </c>
      <c r="K80" s="7"/>
      <c r="L80" s="7" t="s">
        <v>32</v>
      </c>
      <c r="M80" s="7"/>
      <c r="N80" s="7">
        <v>1</v>
      </c>
      <c r="O80" s="7"/>
      <c r="P80" s="7" t="s">
        <v>286</v>
      </c>
      <c r="R80" s="9">
        <v>2828.1689259468249</v>
      </c>
      <c r="T80" s="7" t="s">
        <v>34</v>
      </c>
      <c r="U80" s="7"/>
    </row>
    <row r="81" spans="1:21" ht="14.1" customHeight="1">
      <c r="A81" s="7">
        <v>77</v>
      </c>
      <c r="B81" s="14" t="s">
        <v>329</v>
      </c>
      <c r="C81" s="14" t="s">
        <v>329</v>
      </c>
      <c r="D81" s="7" t="s">
        <v>944</v>
      </c>
      <c r="E81" s="14" t="s">
        <v>1928</v>
      </c>
      <c r="F81" s="7" t="s">
        <v>1844</v>
      </c>
      <c r="G81" s="8" t="s">
        <v>2000</v>
      </c>
      <c r="H81" s="7" t="s">
        <v>42</v>
      </c>
      <c r="I81" s="8" t="s">
        <v>2001</v>
      </c>
      <c r="J81" s="7" t="s">
        <v>30</v>
      </c>
      <c r="K81" s="7"/>
      <c r="L81" s="7" t="s">
        <v>32</v>
      </c>
      <c r="M81" s="7"/>
      <c r="N81" s="7">
        <v>1</v>
      </c>
      <c r="O81" s="7"/>
      <c r="P81" s="7" t="s">
        <v>286</v>
      </c>
      <c r="R81" s="9">
        <v>3207.7454331893932</v>
      </c>
      <c r="T81" s="7" t="s">
        <v>34</v>
      </c>
      <c r="U81" s="7"/>
    </row>
    <row r="82" spans="1:21" ht="14.1" customHeight="1">
      <c r="A82" s="7">
        <v>78</v>
      </c>
      <c r="B82" s="14" t="s">
        <v>329</v>
      </c>
      <c r="C82" s="14" t="s">
        <v>329</v>
      </c>
      <c r="D82" s="7" t="s">
        <v>944</v>
      </c>
      <c r="E82" s="14" t="s">
        <v>1928</v>
      </c>
      <c r="F82" s="7" t="s">
        <v>1844</v>
      </c>
      <c r="G82" s="8" t="s">
        <v>2002</v>
      </c>
      <c r="H82" s="7" t="s">
        <v>42</v>
      </c>
      <c r="I82" s="8" t="s">
        <v>2001</v>
      </c>
      <c r="J82" s="7" t="s">
        <v>30</v>
      </c>
      <c r="K82" s="7"/>
      <c r="L82" s="7" t="s">
        <v>32</v>
      </c>
      <c r="M82" s="7"/>
      <c r="N82" s="7">
        <v>1</v>
      </c>
      <c r="O82" s="7"/>
      <c r="P82" s="7" t="s">
        <v>286</v>
      </c>
      <c r="R82" s="9">
        <v>2900.1074988321138</v>
      </c>
      <c r="T82" s="7" t="s">
        <v>34</v>
      </c>
      <c r="U82" s="7"/>
    </row>
    <row r="83" spans="1:21" ht="14.1" customHeight="1">
      <c r="A83" s="7">
        <v>79</v>
      </c>
      <c r="B83" s="14" t="s">
        <v>329</v>
      </c>
      <c r="C83" s="14" t="s">
        <v>329</v>
      </c>
      <c r="D83" s="7" t="s">
        <v>944</v>
      </c>
      <c r="E83" s="14" t="s">
        <v>1928</v>
      </c>
      <c r="F83" s="7" t="s">
        <v>1844</v>
      </c>
      <c r="G83" s="8" t="s">
        <v>2003</v>
      </c>
      <c r="H83" s="7" t="s">
        <v>42</v>
      </c>
      <c r="I83" s="8" t="s">
        <v>2004</v>
      </c>
      <c r="J83" s="7" t="s">
        <v>30</v>
      </c>
      <c r="K83" s="7"/>
      <c r="L83" s="7" t="s">
        <v>32</v>
      </c>
      <c r="M83" s="7"/>
      <c r="N83" s="7">
        <v>1</v>
      </c>
      <c r="O83" s="7"/>
      <c r="P83" s="7" t="s">
        <v>286</v>
      </c>
      <c r="R83" s="9">
        <v>4156.5749954372932</v>
      </c>
      <c r="T83" s="7" t="s">
        <v>34</v>
      </c>
      <c r="U83" s="7"/>
    </row>
    <row r="84" spans="1:21" ht="14.1" customHeight="1">
      <c r="A84" s="7">
        <v>80</v>
      </c>
      <c r="B84" s="14" t="s">
        <v>329</v>
      </c>
      <c r="C84" s="14" t="s">
        <v>329</v>
      </c>
      <c r="D84" s="7" t="s">
        <v>944</v>
      </c>
      <c r="E84" s="14" t="s">
        <v>1928</v>
      </c>
      <c r="F84" s="7" t="s">
        <v>1844</v>
      </c>
      <c r="G84" s="8" t="s">
        <v>2005</v>
      </c>
      <c r="H84" s="7" t="s">
        <v>42</v>
      </c>
      <c r="I84" s="8" t="s">
        <v>2004</v>
      </c>
      <c r="J84" s="7" t="s">
        <v>30</v>
      </c>
      <c r="K84" s="7"/>
      <c r="L84" s="7" t="s">
        <v>32</v>
      </c>
      <c r="M84" s="7"/>
      <c r="N84" s="7">
        <v>1</v>
      </c>
      <c r="O84" s="7"/>
      <c r="P84" s="7" t="s">
        <v>286</v>
      </c>
      <c r="R84" s="9">
        <v>2774.9969372924811</v>
      </c>
      <c r="T84" s="7" t="s">
        <v>34</v>
      </c>
      <c r="U84" s="7"/>
    </row>
    <row r="85" spans="1:21" ht="14.1" customHeight="1">
      <c r="A85" s="7">
        <v>81</v>
      </c>
      <c r="B85" s="14" t="s">
        <v>329</v>
      </c>
      <c r="C85" s="14" t="s">
        <v>329</v>
      </c>
      <c r="D85" s="7" t="s">
        <v>944</v>
      </c>
      <c r="E85" s="14" t="s">
        <v>1928</v>
      </c>
      <c r="F85" s="7" t="s">
        <v>1844</v>
      </c>
      <c r="G85" s="8" t="s">
        <v>2006</v>
      </c>
      <c r="H85" s="7" t="s">
        <v>42</v>
      </c>
      <c r="I85" s="8" t="s">
        <v>2007</v>
      </c>
      <c r="J85" s="7" t="s">
        <v>30</v>
      </c>
      <c r="K85" s="7"/>
      <c r="L85" s="7" t="s">
        <v>32</v>
      </c>
      <c r="M85" s="7"/>
      <c r="N85" s="7">
        <v>1</v>
      </c>
      <c r="O85" s="7"/>
      <c r="P85" s="7" t="s">
        <v>286</v>
      </c>
      <c r="R85" s="9">
        <v>3345.5904626000238</v>
      </c>
      <c r="T85" s="7" t="s">
        <v>34</v>
      </c>
      <c r="U85" s="7"/>
    </row>
    <row r="86" spans="1:21" ht="14.1" customHeight="1">
      <c r="A86" s="7">
        <v>82</v>
      </c>
      <c r="B86" s="14" t="s">
        <v>329</v>
      </c>
      <c r="C86" s="14" t="s">
        <v>329</v>
      </c>
      <c r="D86" s="7" t="s">
        <v>944</v>
      </c>
      <c r="E86" s="14" t="s">
        <v>1928</v>
      </c>
      <c r="F86" s="7" t="s">
        <v>1844</v>
      </c>
      <c r="G86" s="8" t="s">
        <v>2008</v>
      </c>
      <c r="H86" s="7" t="s">
        <v>42</v>
      </c>
      <c r="I86" s="8" t="s">
        <v>2009</v>
      </c>
      <c r="J86" s="7" t="s">
        <v>30</v>
      </c>
      <c r="K86" s="7"/>
      <c r="L86" s="7" t="s">
        <v>32</v>
      </c>
      <c r="M86" s="7"/>
      <c r="N86" s="7">
        <v>1</v>
      </c>
      <c r="O86" s="7"/>
      <c r="P86" s="7" t="s">
        <v>286</v>
      </c>
      <c r="R86" s="9">
        <v>3303.589059797433</v>
      </c>
      <c r="T86" s="7" t="s">
        <v>34</v>
      </c>
      <c r="U86" s="7"/>
    </row>
    <row r="87" spans="1:21" ht="14.1" customHeight="1">
      <c r="A87" s="7">
        <v>83</v>
      </c>
      <c r="B87" s="14" t="s">
        <v>329</v>
      </c>
      <c r="C87" s="14" t="s">
        <v>329</v>
      </c>
      <c r="D87" s="7" t="s">
        <v>944</v>
      </c>
      <c r="E87" s="14" t="s">
        <v>1928</v>
      </c>
      <c r="F87" s="7" t="s">
        <v>1844</v>
      </c>
      <c r="G87" s="8" t="s">
        <v>2010</v>
      </c>
      <c r="H87" s="7" t="s">
        <v>42</v>
      </c>
      <c r="I87" s="8" t="s">
        <v>2011</v>
      </c>
      <c r="J87" s="7" t="s">
        <v>30</v>
      </c>
      <c r="K87" s="7"/>
      <c r="L87" s="7" t="s">
        <v>32</v>
      </c>
      <c r="M87" s="7"/>
      <c r="N87" s="7">
        <v>1</v>
      </c>
      <c r="O87" s="7"/>
      <c r="P87" s="7" t="s">
        <v>286</v>
      </c>
      <c r="R87" s="9">
        <v>3103.8589847680901</v>
      </c>
      <c r="T87" s="7" t="s">
        <v>34</v>
      </c>
      <c r="U87" s="7"/>
    </row>
    <row r="88" spans="1:21" ht="14.1" customHeight="1">
      <c r="A88" s="7">
        <v>84</v>
      </c>
      <c r="B88" s="14" t="s">
        <v>329</v>
      </c>
      <c r="C88" s="14" t="s">
        <v>329</v>
      </c>
      <c r="D88" s="7" t="s">
        <v>944</v>
      </c>
      <c r="E88" s="14" t="s">
        <v>1928</v>
      </c>
      <c r="F88" s="7" t="s">
        <v>1844</v>
      </c>
      <c r="G88" s="8" t="s">
        <v>2012</v>
      </c>
      <c r="H88" s="7" t="s">
        <v>42</v>
      </c>
      <c r="I88" s="8" t="s">
        <v>2013</v>
      </c>
      <c r="J88" s="7" t="s">
        <v>30</v>
      </c>
      <c r="K88" s="7"/>
      <c r="L88" s="7" t="s">
        <v>32</v>
      </c>
      <c r="M88" s="7"/>
      <c r="N88" s="7">
        <v>1</v>
      </c>
      <c r="O88" s="7"/>
      <c r="P88" s="7" t="s">
        <v>286</v>
      </c>
      <c r="R88" s="9">
        <v>3103.8589847680901</v>
      </c>
      <c r="T88" s="7" t="s">
        <v>34</v>
      </c>
      <c r="U88" s="7"/>
    </row>
    <row r="89" spans="1:21" ht="14.1" customHeight="1">
      <c r="A89" s="7">
        <v>85</v>
      </c>
      <c r="B89" s="14" t="s">
        <v>329</v>
      </c>
      <c r="C89" s="14" t="s">
        <v>329</v>
      </c>
      <c r="D89" s="7" t="s">
        <v>944</v>
      </c>
      <c r="E89" s="14" t="s">
        <v>1928</v>
      </c>
      <c r="F89" s="7" t="s">
        <v>1844</v>
      </c>
      <c r="G89" s="8" t="s">
        <v>2014</v>
      </c>
      <c r="H89" s="7" t="s">
        <v>42</v>
      </c>
      <c r="I89" s="8" t="s">
        <v>2015</v>
      </c>
      <c r="J89" s="7" t="s">
        <v>30</v>
      </c>
      <c r="K89" s="7"/>
      <c r="L89" s="7" t="s">
        <v>32</v>
      </c>
      <c r="M89" s="7"/>
      <c r="N89" s="7">
        <v>1</v>
      </c>
      <c r="O89" s="7"/>
      <c r="P89" s="7" t="s">
        <v>286</v>
      </c>
      <c r="R89" s="9">
        <v>3378.2085732871428</v>
      </c>
      <c r="T89" s="7" t="s">
        <v>34</v>
      </c>
      <c r="U89" s="7"/>
    </row>
    <row r="90" spans="1:21" ht="14.1" customHeight="1">
      <c r="A90" s="7">
        <v>86</v>
      </c>
      <c r="B90" s="14" t="s">
        <v>329</v>
      </c>
      <c r="C90" s="14" t="s">
        <v>329</v>
      </c>
      <c r="D90" s="7" t="s">
        <v>944</v>
      </c>
      <c r="E90" s="14" t="s">
        <v>1928</v>
      </c>
      <c r="F90" s="7" t="s">
        <v>1844</v>
      </c>
      <c r="G90" s="8" t="s">
        <v>2016</v>
      </c>
      <c r="H90" s="7" t="s">
        <v>42</v>
      </c>
      <c r="I90" s="8" t="s">
        <v>2017</v>
      </c>
      <c r="J90" s="7" t="s">
        <v>30</v>
      </c>
      <c r="K90" s="7"/>
      <c r="L90" s="7" t="s">
        <v>32</v>
      </c>
      <c r="M90" s="7"/>
      <c r="N90" s="7">
        <v>1</v>
      </c>
      <c r="O90" s="7"/>
      <c r="P90" s="7" t="s">
        <v>286</v>
      </c>
      <c r="R90" s="9">
        <v>3654.568867259512</v>
      </c>
      <c r="T90" s="7" t="s">
        <v>34</v>
      </c>
      <c r="U90" s="7"/>
    </row>
    <row r="91" spans="1:21" ht="14.1" customHeight="1">
      <c r="A91" s="7">
        <v>87</v>
      </c>
      <c r="B91" s="14" t="s">
        <v>329</v>
      </c>
      <c r="C91" s="14" t="s">
        <v>329</v>
      </c>
      <c r="D91" s="7" t="s">
        <v>944</v>
      </c>
      <c r="E91" s="14" t="s">
        <v>1928</v>
      </c>
      <c r="F91" s="7" t="s">
        <v>1844</v>
      </c>
      <c r="G91" s="8" t="s">
        <v>2018</v>
      </c>
      <c r="H91" s="7" t="s">
        <v>42</v>
      </c>
      <c r="I91" s="8" t="s">
        <v>2019</v>
      </c>
      <c r="J91" s="7" t="s">
        <v>30</v>
      </c>
      <c r="K91" s="7"/>
      <c r="L91" s="7" t="s">
        <v>32</v>
      </c>
      <c r="M91" s="7"/>
      <c r="N91" s="7">
        <v>1</v>
      </c>
      <c r="O91" s="7"/>
      <c r="P91" s="7" t="s">
        <v>286</v>
      </c>
      <c r="R91" s="9">
        <v>3654.568867259512</v>
      </c>
      <c r="T91" s="7" t="s">
        <v>34</v>
      </c>
      <c r="U91" s="7"/>
    </row>
    <row r="92" spans="1:21" ht="14.1" customHeight="1">
      <c r="A92" s="7">
        <v>88</v>
      </c>
      <c r="B92" s="14" t="s">
        <v>329</v>
      </c>
      <c r="C92" s="14" t="s">
        <v>329</v>
      </c>
      <c r="D92" s="7" t="s">
        <v>944</v>
      </c>
      <c r="E92" s="14" t="s">
        <v>1928</v>
      </c>
      <c r="F92" s="7" t="s">
        <v>1844</v>
      </c>
      <c r="G92" s="8" t="s">
        <v>2020</v>
      </c>
      <c r="H92" s="7" t="s">
        <v>42</v>
      </c>
      <c r="I92" s="8" t="s">
        <v>2021</v>
      </c>
      <c r="J92" s="7" t="s">
        <v>30</v>
      </c>
      <c r="K92" s="7"/>
      <c r="L92" s="7" t="s">
        <v>32</v>
      </c>
      <c r="M92" s="7"/>
      <c r="N92" s="7">
        <v>1</v>
      </c>
      <c r="O92" s="7"/>
      <c r="P92" s="7" t="s">
        <v>286</v>
      </c>
      <c r="R92" s="9">
        <v>539.53929663967006</v>
      </c>
      <c r="T92" s="7" t="s">
        <v>34</v>
      </c>
      <c r="U92" s="7"/>
    </row>
    <row r="93" spans="1:21" ht="14.1" customHeight="1">
      <c r="A93" s="7">
        <v>89</v>
      </c>
      <c r="B93" s="14" t="s">
        <v>329</v>
      </c>
      <c r="C93" s="14" t="s">
        <v>329</v>
      </c>
      <c r="D93" s="7" t="s">
        <v>944</v>
      </c>
      <c r="E93" s="14" t="s">
        <v>1928</v>
      </c>
      <c r="F93" s="7" t="s">
        <v>1844</v>
      </c>
      <c r="G93" s="8" t="s">
        <v>2022</v>
      </c>
      <c r="H93" s="7" t="s">
        <v>42</v>
      </c>
      <c r="I93" s="8" t="s">
        <v>2023</v>
      </c>
      <c r="J93" s="7" t="s">
        <v>30</v>
      </c>
      <c r="K93" s="7"/>
      <c r="L93" s="7" t="s">
        <v>32</v>
      </c>
      <c r="M93" s="7"/>
      <c r="N93" s="7">
        <v>1</v>
      </c>
      <c r="O93" s="7"/>
      <c r="P93" s="7" t="s">
        <v>286</v>
      </c>
      <c r="R93" s="9">
        <v>587.57281580220797</v>
      </c>
      <c r="T93" s="7" t="s">
        <v>34</v>
      </c>
      <c r="U93" s="7"/>
    </row>
    <row r="94" spans="1:21" ht="14.1" customHeight="1">
      <c r="A94" s="7">
        <v>90</v>
      </c>
      <c r="B94" s="14" t="s">
        <v>329</v>
      </c>
      <c r="C94" s="14" t="s">
        <v>329</v>
      </c>
      <c r="D94" s="7" t="s">
        <v>944</v>
      </c>
      <c r="E94" s="14" t="s">
        <v>1928</v>
      </c>
      <c r="F94" s="7" t="s">
        <v>1844</v>
      </c>
      <c r="G94" s="8" t="s">
        <v>2024</v>
      </c>
      <c r="H94" s="7" t="s">
        <v>42</v>
      </c>
      <c r="I94" s="8" t="s">
        <v>2025</v>
      </c>
      <c r="J94" s="7" t="s">
        <v>30</v>
      </c>
      <c r="K94" s="7"/>
      <c r="L94" s="7" t="s">
        <v>32</v>
      </c>
      <c r="M94" s="7"/>
      <c r="N94" s="7">
        <v>1</v>
      </c>
      <c r="O94" s="7"/>
      <c r="P94" s="7" t="s">
        <v>286</v>
      </c>
      <c r="R94" s="9">
        <v>631.13810062404457</v>
      </c>
      <c r="T94" s="7" t="s">
        <v>34</v>
      </c>
      <c r="U94" s="7"/>
    </row>
    <row r="95" spans="1:21" ht="14.1" customHeight="1">
      <c r="A95" s="7">
        <v>91</v>
      </c>
      <c r="B95" s="14" t="s">
        <v>329</v>
      </c>
      <c r="C95" s="14" t="s">
        <v>329</v>
      </c>
      <c r="D95" s="7" t="s">
        <v>944</v>
      </c>
      <c r="E95" s="14" t="s">
        <v>1928</v>
      </c>
      <c r="F95" s="7" t="s">
        <v>1844</v>
      </c>
      <c r="G95" s="8" t="s">
        <v>2026</v>
      </c>
      <c r="H95" s="7" t="s">
        <v>42</v>
      </c>
      <c r="I95" s="8" t="s">
        <v>2027</v>
      </c>
      <c r="J95" s="7" t="s">
        <v>30</v>
      </c>
      <c r="K95" s="7"/>
      <c r="L95" s="7" t="s">
        <v>32</v>
      </c>
      <c r="M95" s="7"/>
      <c r="N95" s="7">
        <v>1</v>
      </c>
      <c r="O95" s="7"/>
      <c r="P95" s="7" t="s">
        <v>286</v>
      </c>
      <c r="R95" s="9">
        <v>861.25216917015655</v>
      </c>
      <c r="T95" s="7" t="s">
        <v>34</v>
      </c>
      <c r="U95" s="7"/>
    </row>
    <row r="96" spans="1:21" ht="14.1" customHeight="1">
      <c r="A96" s="7">
        <v>92</v>
      </c>
      <c r="B96" s="14" t="s">
        <v>329</v>
      </c>
      <c r="C96" s="14" t="s">
        <v>329</v>
      </c>
      <c r="D96" s="7" t="s">
        <v>944</v>
      </c>
      <c r="E96" s="14" t="s">
        <v>1928</v>
      </c>
      <c r="F96" s="7" t="s">
        <v>1844</v>
      </c>
      <c r="G96" s="8" t="s">
        <v>2028</v>
      </c>
      <c r="H96" s="7" t="s">
        <v>42</v>
      </c>
      <c r="I96" s="8" t="s">
        <v>2029</v>
      </c>
      <c r="J96" s="7" t="s">
        <v>30</v>
      </c>
      <c r="K96" s="7"/>
      <c r="L96" s="7" t="s">
        <v>32</v>
      </c>
      <c r="M96" s="7"/>
      <c r="N96" s="7">
        <v>1</v>
      </c>
      <c r="O96" s="7"/>
      <c r="P96" s="7" t="s">
        <v>286</v>
      </c>
      <c r="R96" s="9">
        <v>1085.7809447903919</v>
      </c>
      <c r="T96" s="7" t="s">
        <v>34</v>
      </c>
      <c r="U96" s="7"/>
    </row>
    <row r="97" spans="1:21" ht="14.1" customHeight="1">
      <c r="A97" s="7">
        <v>93</v>
      </c>
      <c r="B97" s="14" t="s">
        <v>329</v>
      </c>
      <c r="C97" s="14" t="s">
        <v>329</v>
      </c>
      <c r="D97" s="7" t="s">
        <v>944</v>
      </c>
      <c r="E97" s="14" t="s">
        <v>1928</v>
      </c>
      <c r="F97" s="7" t="s">
        <v>1844</v>
      </c>
      <c r="G97" s="8" t="s">
        <v>2030</v>
      </c>
      <c r="H97" s="7" t="s">
        <v>42</v>
      </c>
      <c r="I97" s="8" t="s">
        <v>2031</v>
      </c>
      <c r="J97" s="7" t="s">
        <v>30</v>
      </c>
      <c r="K97" s="7"/>
      <c r="L97" s="7" t="s">
        <v>32</v>
      </c>
      <c r="M97" s="7"/>
      <c r="N97" s="7">
        <v>1</v>
      </c>
      <c r="O97" s="7"/>
      <c r="P97" s="7" t="s">
        <v>286</v>
      </c>
      <c r="R97" s="9">
        <v>2147.433424140997</v>
      </c>
      <c r="T97" s="7" t="s">
        <v>34</v>
      </c>
      <c r="U97" s="7"/>
    </row>
    <row r="98" spans="1:21" ht="14.1" customHeight="1">
      <c r="A98" s="7">
        <v>94</v>
      </c>
      <c r="B98" s="14" t="s">
        <v>329</v>
      </c>
      <c r="C98" s="14" t="s">
        <v>329</v>
      </c>
      <c r="D98" s="7" t="s">
        <v>944</v>
      </c>
      <c r="E98" s="14" t="s">
        <v>1928</v>
      </c>
      <c r="F98" s="7" t="s">
        <v>1844</v>
      </c>
      <c r="G98" s="8" t="s">
        <v>2032</v>
      </c>
      <c r="H98" s="7" t="s">
        <v>42</v>
      </c>
      <c r="I98" s="8" t="s">
        <v>2033</v>
      </c>
      <c r="J98" s="7" t="s">
        <v>30</v>
      </c>
      <c r="K98" s="7"/>
      <c r="L98" s="7" t="s">
        <v>32</v>
      </c>
      <c r="M98" s="7"/>
      <c r="N98" s="7">
        <v>1</v>
      </c>
      <c r="O98" s="7"/>
      <c r="P98" s="7" t="s">
        <v>286</v>
      </c>
      <c r="R98" s="9">
        <v>1761.377977104414</v>
      </c>
      <c r="T98" s="7" t="s">
        <v>34</v>
      </c>
      <c r="U98" s="7"/>
    </row>
    <row r="99" spans="1:21" ht="14.1" customHeight="1">
      <c r="A99" s="7">
        <v>95</v>
      </c>
      <c r="B99" s="14" t="s">
        <v>329</v>
      </c>
      <c r="C99" s="14" t="s">
        <v>329</v>
      </c>
      <c r="D99" s="7" t="s">
        <v>944</v>
      </c>
      <c r="E99" s="14" t="s">
        <v>1928</v>
      </c>
      <c r="F99" s="7" t="s">
        <v>1844</v>
      </c>
      <c r="G99" s="8" t="s">
        <v>2034</v>
      </c>
      <c r="H99" s="7" t="s">
        <v>42</v>
      </c>
      <c r="I99" s="8" t="s">
        <v>2035</v>
      </c>
      <c r="J99" s="7" t="s">
        <v>30</v>
      </c>
      <c r="K99" s="7"/>
      <c r="L99" s="7" t="s">
        <v>32</v>
      </c>
      <c r="M99" s="7"/>
      <c r="N99" s="7">
        <v>1</v>
      </c>
      <c r="O99" s="7"/>
      <c r="P99" s="7" t="s">
        <v>286</v>
      </c>
      <c r="R99" s="9">
        <v>784.17512679306083</v>
      </c>
      <c r="T99" s="7" t="s">
        <v>34</v>
      </c>
      <c r="U99" s="7"/>
    </row>
    <row r="100" spans="1:21" ht="14.1" customHeight="1">
      <c r="A100" s="7">
        <v>96</v>
      </c>
      <c r="B100" s="14" t="s">
        <v>329</v>
      </c>
      <c r="C100" s="14" t="s">
        <v>329</v>
      </c>
      <c r="D100" s="7" t="s">
        <v>944</v>
      </c>
      <c r="E100" s="14" t="s">
        <v>1928</v>
      </c>
      <c r="F100" s="7" t="s">
        <v>1844</v>
      </c>
      <c r="G100" s="8" t="s">
        <v>2036</v>
      </c>
      <c r="H100" s="7" t="s">
        <v>42</v>
      </c>
      <c r="I100" s="8" t="s">
        <v>2037</v>
      </c>
      <c r="J100" s="7" t="s">
        <v>30</v>
      </c>
      <c r="K100" s="7"/>
      <c r="L100" s="7" t="s">
        <v>32</v>
      </c>
      <c r="M100" s="7"/>
      <c r="N100" s="7">
        <v>1</v>
      </c>
      <c r="O100" s="7"/>
      <c r="P100" s="7" t="s">
        <v>286</v>
      </c>
      <c r="R100" s="9">
        <v>832.20864595559885</v>
      </c>
      <c r="T100" s="7" t="s">
        <v>34</v>
      </c>
      <c r="U100" s="7"/>
    </row>
    <row r="101" spans="1:21" ht="14.1" customHeight="1">
      <c r="A101" s="7">
        <v>97</v>
      </c>
      <c r="B101" s="14" t="s">
        <v>329</v>
      </c>
      <c r="C101" s="14" t="s">
        <v>329</v>
      </c>
      <c r="D101" s="7" t="s">
        <v>944</v>
      </c>
      <c r="E101" s="14" t="s">
        <v>1928</v>
      </c>
      <c r="F101" s="7" t="s">
        <v>1844</v>
      </c>
      <c r="G101" s="8" t="s">
        <v>2038</v>
      </c>
      <c r="H101" s="7" t="s">
        <v>42</v>
      </c>
      <c r="I101" s="8" t="s">
        <v>2039</v>
      </c>
      <c r="J101" s="7" t="s">
        <v>30</v>
      </c>
      <c r="K101" s="7"/>
      <c r="L101" s="7" t="s">
        <v>32</v>
      </c>
      <c r="M101" s="7"/>
      <c r="N101" s="7">
        <v>1</v>
      </c>
      <c r="O101" s="7"/>
      <c r="P101" s="7" t="s">
        <v>286</v>
      </c>
      <c r="R101" s="9">
        <v>875.77393077743545</v>
      </c>
      <c r="T101" s="7" t="s">
        <v>34</v>
      </c>
      <c r="U101" s="7"/>
    </row>
    <row r="102" spans="1:21" ht="14.1" customHeight="1">
      <c r="A102" s="7">
        <v>98</v>
      </c>
      <c r="B102" s="14" t="s">
        <v>329</v>
      </c>
      <c r="C102" s="14" t="s">
        <v>329</v>
      </c>
      <c r="D102" s="7" t="s">
        <v>944</v>
      </c>
      <c r="E102" s="14" t="s">
        <v>1928</v>
      </c>
      <c r="F102" s="7" t="s">
        <v>1844</v>
      </c>
      <c r="G102" s="8" t="s">
        <v>2040</v>
      </c>
      <c r="H102" s="7" t="s">
        <v>42</v>
      </c>
      <c r="I102" s="8" t="s">
        <v>2041</v>
      </c>
      <c r="J102" s="7" t="s">
        <v>30</v>
      </c>
      <c r="K102" s="7"/>
      <c r="L102" s="7" t="s">
        <v>32</v>
      </c>
      <c r="M102" s="7"/>
      <c r="N102" s="7">
        <v>1</v>
      </c>
      <c r="O102" s="7"/>
      <c r="P102" s="7" t="s">
        <v>286</v>
      </c>
      <c r="R102" s="9">
        <v>459.11107850704838</v>
      </c>
      <c r="T102" s="7" t="s">
        <v>34</v>
      </c>
      <c r="U102" s="7"/>
    </row>
    <row r="103" spans="1:21" ht="14.1" customHeight="1">
      <c r="A103" s="7">
        <v>99</v>
      </c>
      <c r="B103" s="14" t="s">
        <v>329</v>
      </c>
      <c r="C103" s="14" t="s">
        <v>329</v>
      </c>
      <c r="D103" s="7" t="s">
        <v>944</v>
      </c>
      <c r="E103" s="14" t="s">
        <v>1928</v>
      </c>
      <c r="F103" s="7" t="s">
        <v>1844</v>
      </c>
      <c r="G103" s="8" t="s">
        <v>2042</v>
      </c>
      <c r="H103" s="7" t="s">
        <v>42</v>
      </c>
      <c r="I103" s="8" t="s">
        <v>2043</v>
      </c>
      <c r="J103" s="7" t="s">
        <v>30</v>
      </c>
      <c r="K103" s="7"/>
      <c r="L103" s="7" t="s">
        <v>32</v>
      </c>
      <c r="M103" s="7"/>
      <c r="N103" s="7">
        <v>1</v>
      </c>
      <c r="O103" s="7"/>
      <c r="P103" s="7" t="s">
        <v>286</v>
      </c>
      <c r="R103" s="9">
        <v>497.09107040300859</v>
      </c>
      <c r="T103" s="7" t="s">
        <v>34</v>
      </c>
      <c r="U103" s="7"/>
    </row>
    <row r="104" spans="1:21" ht="14.1" customHeight="1">
      <c r="A104" s="7">
        <v>100</v>
      </c>
      <c r="B104" s="14" t="s">
        <v>329</v>
      </c>
      <c r="C104" s="14" t="s">
        <v>329</v>
      </c>
      <c r="D104" s="7" t="s">
        <v>944</v>
      </c>
      <c r="E104" s="14" t="s">
        <v>1928</v>
      </c>
      <c r="F104" s="7" t="s">
        <v>1844</v>
      </c>
      <c r="G104" s="8" t="s">
        <v>2044</v>
      </c>
      <c r="H104" s="7" t="s">
        <v>42</v>
      </c>
      <c r="I104" s="8" t="s">
        <v>2045</v>
      </c>
      <c r="J104" s="7" t="s">
        <v>30</v>
      </c>
      <c r="K104" s="7"/>
      <c r="L104" s="7" t="s">
        <v>32</v>
      </c>
      <c r="M104" s="7"/>
      <c r="N104" s="7">
        <v>1</v>
      </c>
      <c r="O104" s="7"/>
      <c r="P104" s="7" t="s">
        <v>286</v>
      </c>
      <c r="R104" s="9">
        <v>538.42223805449476</v>
      </c>
      <c r="T104" s="7" t="s">
        <v>34</v>
      </c>
      <c r="U104" s="7"/>
    </row>
    <row r="105" spans="1:21" ht="14.1" customHeight="1">
      <c r="A105" s="7">
        <v>101</v>
      </c>
      <c r="B105" s="14" t="s">
        <v>329</v>
      </c>
      <c r="C105" s="14" t="s">
        <v>329</v>
      </c>
      <c r="D105" s="7" t="s">
        <v>944</v>
      </c>
      <c r="E105" s="14" t="s">
        <v>1928</v>
      </c>
      <c r="F105" s="7" t="s">
        <v>1844</v>
      </c>
      <c r="G105" s="8" t="s">
        <v>2046</v>
      </c>
      <c r="H105" s="7" t="s">
        <v>42</v>
      </c>
      <c r="I105" s="8" t="s">
        <v>2047</v>
      </c>
      <c r="J105" s="7" t="s">
        <v>30</v>
      </c>
      <c r="K105" s="7"/>
      <c r="L105" s="7" t="s">
        <v>32</v>
      </c>
      <c r="M105" s="7"/>
      <c r="N105" s="7">
        <v>1</v>
      </c>
      <c r="O105" s="7"/>
      <c r="P105" s="7" t="s">
        <v>286</v>
      </c>
      <c r="R105" s="9">
        <v>1158.166341109752</v>
      </c>
      <c r="T105" s="7" t="s">
        <v>34</v>
      </c>
      <c r="U105" s="7"/>
    </row>
    <row r="106" spans="1:21" ht="14.1" customHeight="1">
      <c r="A106" s="7">
        <v>102</v>
      </c>
      <c r="B106" s="14" t="s">
        <v>329</v>
      </c>
      <c r="C106" s="14" t="s">
        <v>329</v>
      </c>
      <c r="D106" s="7" t="s">
        <v>944</v>
      </c>
      <c r="E106" s="14" t="s">
        <v>1928</v>
      </c>
      <c r="F106" s="7" t="s">
        <v>1844</v>
      </c>
      <c r="G106" s="8" t="s">
        <v>2048</v>
      </c>
      <c r="H106" s="7" t="s">
        <v>42</v>
      </c>
      <c r="I106" s="8" t="s">
        <v>2049</v>
      </c>
      <c r="J106" s="7" t="s">
        <v>30</v>
      </c>
      <c r="K106" s="7"/>
      <c r="L106" s="7" t="s">
        <v>32</v>
      </c>
      <c r="M106" s="7"/>
      <c r="N106" s="7">
        <v>1</v>
      </c>
      <c r="O106" s="7"/>
      <c r="P106" s="7" t="s">
        <v>286</v>
      </c>
      <c r="R106" s="9">
        <v>5788.1507649443347</v>
      </c>
      <c r="T106" s="7" t="s">
        <v>34</v>
      </c>
      <c r="U106" s="7"/>
    </row>
    <row r="107" spans="1:21" ht="14.1" customHeight="1">
      <c r="A107" s="7">
        <v>103</v>
      </c>
      <c r="B107" s="14" t="s">
        <v>329</v>
      </c>
      <c r="C107" s="14" t="s">
        <v>329</v>
      </c>
      <c r="D107" s="7" t="s">
        <v>944</v>
      </c>
      <c r="E107" s="14" t="s">
        <v>1928</v>
      </c>
      <c r="F107" s="7" t="s">
        <v>1844</v>
      </c>
      <c r="G107" s="8" t="s">
        <v>2050</v>
      </c>
      <c r="H107" s="7" t="s">
        <v>42</v>
      </c>
      <c r="I107" s="8" t="s">
        <v>2051</v>
      </c>
      <c r="J107" s="7" t="s">
        <v>30</v>
      </c>
      <c r="K107" s="7"/>
      <c r="L107" s="7" t="s">
        <v>32</v>
      </c>
      <c r="M107" s="7"/>
      <c r="N107" s="7">
        <v>1</v>
      </c>
      <c r="O107" s="7"/>
      <c r="P107" s="7" t="s">
        <v>286</v>
      </c>
      <c r="R107" s="9">
        <v>14389.94869422822</v>
      </c>
      <c r="T107" s="7" t="s">
        <v>34</v>
      </c>
      <c r="U107" s="7"/>
    </row>
    <row r="108" spans="1:21" ht="14.1" customHeight="1">
      <c r="A108" s="7">
        <v>104</v>
      </c>
      <c r="B108" s="14" t="s">
        <v>329</v>
      </c>
      <c r="C108" s="14" t="s">
        <v>329</v>
      </c>
      <c r="D108" s="7" t="s">
        <v>944</v>
      </c>
      <c r="E108" s="14" t="s">
        <v>1928</v>
      </c>
      <c r="F108" s="7" t="s">
        <v>1844</v>
      </c>
      <c r="G108" s="8" t="s">
        <v>2052</v>
      </c>
      <c r="H108" s="7" t="s">
        <v>42</v>
      </c>
      <c r="I108" s="8" t="s">
        <v>2053</v>
      </c>
      <c r="J108" s="7" t="s">
        <v>30</v>
      </c>
      <c r="K108" s="7"/>
      <c r="L108" s="7" t="s">
        <v>32</v>
      </c>
      <c r="M108" s="7"/>
      <c r="N108" s="7">
        <v>1</v>
      </c>
      <c r="O108" s="7"/>
      <c r="P108" s="7" t="s">
        <v>286</v>
      </c>
      <c r="R108" s="9">
        <v>23523.913333489611</v>
      </c>
      <c r="T108" s="7" t="s">
        <v>34</v>
      </c>
      <c r="U108" s="7"/>
    </row>
    <row r="109" spans="1:21" ht="14.1" customHeight="1">
      <c r="A109" s="7">
        <v>105</v>
      </c>
      <c r="B109" s="14" t="s">
        <v>329</v>
      </c>
      <c r="C109" s="14" t="s">
        <v>329</v>
      </c>
      <c r="D109" s="7" t="s">
        <v>944</v>
      </c>
      <c r="E109" s="14" t="s">
        <v>1928</v>
      </c>
      <c r="F109" s="7" t="s">
        <v>1844</v>
      </c>
      <c r="G109" s="8" t="s">
        <v>2054</v>
      </c>
      <c r="H109" s="7" t="s">
        <v>42</v>
      </c>
      <c r="I109" s="8" t="s">
        <v>2055</v>
      </c>
      <c r="J109" s="7" t="s">
        <v>30</v>
      </c>
      <c r="K109" s="7"/>
      <c r="L109" s="7" t="s">
        <v>32</v>
      </c>
      <c r="M109" s="7"/>
      <c r="N109" s="7">
        <v>1</v>
      </c>
      <c r="O109" s="7"/>
      <c r="P109" s="7" t="s">
        <v>286</v>
      </c>
      <c r="R109" s="9">
        <v>24423.368906272772</v>
      </c>
      <c r="T109" s="7" t="s">
        <v>34</v>
      </c>
      <c r="U109" s="7"/>
    </row>
    <row r="110" spans="1:21" ht="14.1" customHeight="1">
      <c r="A110" s="7">
        <v>106</v>
      </c>
      <c r="B110" s="14" t="s">
        <v>329</v>
      </c>
      <c r="C110" s="14" t="s">
        <v>329</v>
      </c>
      <c r="D110" s="7" t="s">
        <v>944</v>
      </c>
      <c r="E110" s="14" t="s">
        <v>1928</v>
      </c>
      <c r="F110" s="7" t="s">
        <v>1844</v>
      </c>
      <c r="G110" s="8">
        <v>1600</v>
      </c>
      <c r="H110" s="7" t="s">
        <v>42</v>
      </c>
      <c r="I110" s="8" t="s">
        <v>2056</v>
      </c>
      <c r="J110" s="7" t="s">
        <v>30</v>
      </c>
      <c r="K110" s="7"/>
      <c r="L110" s="7" t="s">
        <v>32</v>
      </c>
      <c r="M110" s="7"/>
      <c r="N110" s="7">
        <v>1</v>
      </c>
      <c r="O110" s="7"/>
      <c r="P110" s="7" t="s">
        <v>286</v>
      </c>
      <c r="R110" s="9">
        <v>11033.41105749348</v>
      </c>
      <c r="T110" s="7" t="s">
        <v>34</v>
      </c>
      <c r="U110" s="7"/>
    </row>
    <row r="111" spans="1:21" ht="14.1" customHeight="1">
      <c r="A111" s="7">
        <v>107</v>
      </c>
      <c r="B111" s="14" t="s">
        <v>329</v>
      </c>
      <c r="C111" s="14" t="s">
        <v>329</v>
      </c>
      <c r="D111" s="7" t="s">
        <v>944</v>
      </c>
      <c r="E111" s="14" t="s">
        <v>1928</v>
      </c>
      <c r="F111" s="7" t="s">
        <v>1844</v>
      </c>
      <c r="G111" s="8" t="s">
        <v>2057</v>
      </c>
      <c r="H111" s="7" t="s">
        <v>42</v>
      </c>
      <c r="I111" s="8" t="s">
        <v>2058</v>
      </c>
      <c r="J111" s="7" t="s">
        <v>30</v>
      </c>
      <c r="K111" s="7"/>
      <c r="L111" s="7" t="s">
        <v>32</v>
      </c>
      <c r="M111" s="7"/>
      <c r="N111" s="7">
        <v>1</v>
      </c>
      <c r="O111" s="7"/>
      <c r="P111" s="7" t="s">
        <v>286</v>
      </c>
      <c r="R111" s="9">
        <v>6820.312897646314</v>
      </c>
      <c r="T111" s="7" t="s">
        <v>34</v>
      </c>
      <c r="U111" s="7"/>
    </row>
    <row r="112" spans="1:21" ht="14.1" customHeight="1"/>
    <row r="113" ht="14.1" customHeight="1"/>
    <row r="114" ht="14.1" customHeight="1"/>
    <row r="115" ht="14.1" customHeight="1"/>
    <row r="116" ht="14.1" customHeight="1"/>
    <row r="117" ht="14.1" customHeight="1"/>
    <row r="118" ht="14.1" customHeight="1"/>
    <row r="119" ht="14.1" customHeight="1"/>
    <row r="120" ht="14.1" customHeight="1"/>
    <row r="121" ht="14.1" customHeight="1"/>
    <row r="122" ht="14.1" customHeight="1"/>
    <row r="123" ht="14.1" customHeight="1"/>
    <row r="124" ht="14.1" customHeight="1"/>
    <row r="125" ht="14.1" customHeight="1"/>
    <row r="126" ht="14.1" customHeight="1"/>
    <row r="127" ht="14.1" customHeight="1"/>
    <row r="128" ht="14.1" customHeight="1"/>
    <row r="129" ht="14.1" customHeight="1"/>
    <row r="130" ht="14.1" customHeight="1"/>
    <row r="131" ht="14.1" customHeight="1"/>
    <row r="132" ht="14.1" customHeight="1"/>
    <row r="133" ht="14.1" customHeight="1"/>
    <row r="134" ht="14.1" customHeight="1"/>
    <row r="135" ht="14.1" customHeight="1"/>
    <row r="136" ht="14.1" customHeight="1"/>
    <row r="137" ht="14.1" customHeight="1"/>
    <row r="138" ht="14.1" customHeight="1"/>
    <row r="139" ht="14.1" customHeight="1"/>
    <row r="140" ht="14.1" customHeight="1"/>
    <row r="141" ht="14.1" customHeight="1"/>
    <row r="142" ht="14.1" customHeight="1"/>
    <row r="143" ht="14.1" customHeight="1"/>
    <row r="144" ht="14.1" customHeight="1"/>
    <row r="145" ht="14.1" customHeight="1"/>
    <row r="146" ht="14.1" customHeight="1"/>
    <row r="147" ht="14.1" customHeight="1"/>
    <row r="148" ht="14.1" customHeight="1"/>
    <row r="149" ht="14.1" customHeight="1"/>
    <row r="150" ht="14.1" customHeight="1"/>
    <row r="151" ht="14.1" customHeight="1"/>
    <row r="152" ht="14.1" customHeight="1"/>
    <row r="153" ht="14.1" customHeight="1"/>
    <row r="154" ht="14.1" customHeight="1"/>
    <row r="155" ht="14.1" customHeight="1"/>
    <row r="156" ht="14.1" customHeight="1"/>
    <row r="157" ht="14.1" customHeight="1"/>
    <row r="158" ht="14.1" customHeight="1"/>
    <row r="159" ht="14.1" customHeight="1"/>
    <row r="160" ht="14.1" customHeight="1"/>
    <row r="161" ht="14.1" customHeight="1"/>
    <row r="162" ht="14.1" customHeight="1"/>
    <row r="163" ht="14.1" customHeight="1"/>
    <row r="164" ht="14.1" customHeight="1"/>
    <row r="165" ht="14.1" customHeight="1"/>
    <row r="166" ht="14.1" customHeight="1"/>
    <row r="167" ht="14.1" customHeight="1"/>
    <row r="168" ht="14.1" customHeight="1"/>
    <row r="169" ht="14.1" customHeight="1"/>
    <row r="170" ht="14.1" customHeight="1"/>
    <row r="171" ht="14.1" customHeight="1"/>
    <row r="172" ht="14.1" customHeight="1"/>
    <row r="173" ht="14.1" customHeight="1"/>
    <row r="174" ht="14.1" customHeight="1"/>
    <row r="175" ht="14.1" customHeight="1"/>
    <row r="176" ht="14.1" customHeight="1"/>
    <row r="177" ht="14.1" customHeight="1"/>
    <row r="178" ht="14.1" customHeight="1"/>
    <row r="179" ht="14.1" customHeight="1"/>
    <row r="180" ht="14.1" customHeight="1"/>
    <row r="181" ht="14.1" customHeight="1"/>
    <row r="182" ht="14.1" customHeight="1"/>
    <row r="183" ht="14.1" customHeight="1"/>
    <row r="184" ht="14.1" customHeight="1"/>
    <row r="185" ht="14.1" customHeight="1"/>
    <row r="186" ht="14.1" customHeight="1"/>
    <row r="187" ht="14.1" customHeight="1"/>
    <row r="188" ht="14.1" customHeight="1"/>
    <row r="189" ht="14.1" customHeight="1"/>
    <row r="190" ht="14.1" customHeight="1"/>
    <row r="191" ht="14.1" customHeight="1"/>
    <row r="192" ht="14.1" customHeight="1"/>
    <row r="193" ht="14.1" customHeight="1"/>
    <row r="194" ht="14.1" customHeight="1"/>
    <row r="195" ht="14.1" customHeight="1"/>
    <row r="196" ht="14.1" customHeight="1"/>
    <row r="197" ht="14.1" customHeight="1"/>
    <row r="198" ht="14.1" customHeight="1"/>
    <row r="199" ht="14.1" customHeight="1"/>
    <row r="200" ht="14.1" customHeight="1"/>
    <row r="201" ht="14.1" customHeight="1"/>
    <row r="202" ht="14.1" customHeight="1"/>
    <row r="203" ht="14.1" customHeight="1"/>
    <row r="204" ht="14.1" customHeight="1"/>
    <row r="205" ht="14.1" customHeight="1"/>
    <row r="206" ht="14.1" customHeight="1"/>
    <row r="207" ht="14.1" customHeight="1"/>
    <row r="208" ht="14.1" customHeight="1"/>
    <row r="209" ht="14.1" customHeight="1"/>
    <row r="210" ht="14.1" customHeight="1"/>
    <row r="211" ht="14.1" customHeight="1"/>
    <row r="212" ht="14.1" customHeight="1"/>
    <row r="213" ht="14.1" customHeight="1"/>
    <row r="214" ht="14.1" customHeight="1"/>
    <row r="215" ht="14.1" customHeight="1"/>
    <row r="216" ht="14.1" customHeight="1"/>
    <row r="217" ht="14.1" customHeight="1"/>
    <row r="218" ht="14.1" customHeight="1"/>
    <row r="219" ht="14.1" customHeight="1"/>
    <row r="220" ht="14.1" customHeight="1"/>
    <row r="221" ht="14.1" customHeight="1"/>
    <row r="222" ht="14.1" customHeight="1"/>
    <row r="223" ht="14.1" customHeight="1"/>
    <row r="224" ht="14.1" customHeight="1"/>
    <row r="225" ht="14.1" customHeight="1"/>
    <row r="226" ht="14.1" customHeight="1"/>
    <row r="227" ht="14.1" customHeight="1"/>
    <row r="228" ht="14.1" customHeight="1"/>
    <row r="229" ht="14.1" customHeight="1"/>
    <row r="230" ht="14.1" customHeight="1"/>
    <row r="231" ht="14.1" customHeight="1"/>
    <row r="232" ht="14.1" customHeight="1"/>
    <row r="233" ht="14.1" customHeight="1"/>
    <row r="234" ht="14.1" customHeight="1"/>
    <row r="235" ht="14.1" customHeight="1"/>
    <row r="236" ht="14.1" customHeight="1"/>
    <row r="237" ht="14.1" customHeight="1"/>
    <row r="238" ht="14.1" customHeight="1"/>
    <row r="239" ht="14.1" customHeight="1"/>
    <row r="240" ht="14.1" customHeight="1"/>
    <row r="241" ht="14.1" customHeight="1"/>
    <row r="242" ht="14.1" customHeight="1"/>
    <row r="243" ht="14.1" customHeight="1"/>
    <row r="244" ht="14.1" customHeight="1"/>
    <row r="245" ht="14.1" customHeight="1"/>
    <row r="246" ht="14.1" customHeight="1"/>
    <row r="247" ht="14.1" customHeight="1"/>
    <row r="248" ht="14.1" customHeight="1"/>
    <row r="249" ht="14.1" customHeight="1"/>
    <row r="250" ht="14.1" customHeight="1"/>
    <row r="251" ht="14.1" customHeight="1"/>
    <row r="252" ht="14.1" customHeight="1"/>
    <row r="253" ht="14.1" customHeight="1"/>
    <row r="254" ht="14.1" customHeight="1"/>
    <row r="255" ht="14.1" customHeight="1"/>
    <row r="256" ht="14.1" customHeight="1"/>
    <row r="257" ht="14.1" customHeight="1"/>
    <row r="258" ht="14.1" customHeight="1"/>
    <row r="259" ht="14.1" customHeight="1"/>
    <row r="260" ht="14.1" customHeight="1"/>
    <row r="261" ht="14.1" customHeight="1"/>
    <row r="262" ht="14.1" customHeight="1"/>
    <row r="263" ht="14.1" customHeight="1"/>
    <row r="264" ht="14.1" customHeight="1"/>
    <row r="265" ht="14.1" customHeight="1"/>
    <row r="266" ht="14.1" customHeight="1"/>
    <row r="267" ht="14.1" customHeight="1"/>
    <row r="268" ht="14.1" customHeight="1"/>
    <row r="269" ht="14.1" customHeight="1"/>
    <row r="270" ht="14.1" customHeight="1"/>
    <row r="271" ht="14.1" customHeight="1"/>
    <row r="272" ht="14.1" customHeight="1"/>
    <row r="273" ht="14.1" customHeight="1"/>
    <row r="274" ht="14.1" customHeight="1"/>
    <row r="275" ht="14.1" customHeight="1"/>
    <row r="276" ht="14.1" customHeight="1"/>
    <row r="277" ht="14.1" customHeight="1"/>
    <row r="278" ht="14.1" customHeight="1"/>
    <row r="279" ht="14.1" customHeight="1"/>
    <row r="280" ht="14.1" customHeight="1"/>
    <row r="281" ht="14.1" customHeight="1"/>
    <row r="282" ht="14.1" customHeight="1"/>
    <row r="283" ht="14.1" customHeight="1"/>
    <row r="284" ht="14.1" customHeight="1"/>
    <row r="285" ht="14.1" customHeight="1"/>
    <row r="286" ht="14.1" customHeight="1"/>
    <row r="287" ht="14.1" customHeight="1"/>
    <row r="288" ht="14.1" customHeight="1"/>
    <row r="289" ht="14.1" customHeight="1"/>
    <row r="290" ht="14.1" customHeight="1"/>
    <row r="291" ht="14.1" customHeight="1"/>
    <row r="292" ht="14.1" customHeight="1"/>
    <row r="293" ht="14.1" customHeight="1"/>
    <row r="294" ht="14.1" customHeight="1"/>
    <row r="295" ht="14.1" customHeight="1"/>
    <row r="296" ht="14.1" customHeight="1"/>
    <row r="297" ht="14.1" customHeight="1"/>
    <row r="298" ht="14.1" customHeight="1"/>
    <row r="299" ht="14.1" customHeight="1"/>
    <row r="300" ht="14.1" customHeight="1"/>
    <row r="301" ht="14.1" customHeight="1"/>
    <row r="302" ht="14.1" customHeight="1"/>
    <row r="303" ht="14.1" customHeight="1"/>
    <row r="304" ht="14.1" customHeight="1"/>
    <row r="305" ht="14.1" customHeight="1"/>
    <row r="306" ht="14.1" customHeight="1"/>
    <row r="307" ht="14.1" customHeight="1"/>
    <row r="308" ht="14.1" customHeight="1"/>
    <row r="309" ht="14.1" customHeight="1"/>
    <row r="310" ht="14.1" customHeight="1"/>
    <row r="311" ht="14.1" customHeight="1"/>
    <row r="312" ht="14.1" customHeight="1"/>
    <row r="313" ht="14.1" customHeight="1"/>
    <row r="314" ht="14.1" customHeight="1"/>
    <row r="315" ht="14.1" customHeight="1"/>
    <row r="316" ht="14.1" customHeight="1"/>
    <row r="317" ht="14.1" customHeight="1"/>
    <row r="318" ht="14.1" customHeight="1"/>
    <row r="319" ht="14.1" customHeight="1"/>
    <row r="320" ht="14.1" customHeight="1"/>
    <row r="321" ht="14.1" customHeight="1"/>
    <row r="322" ht="14.1" customHeight="1"/>
    <row r="323" ht="14.1" customHeight="1"/>
    <row r="324" ht="14.1" customHeight="1"/>
    <row r="325" ht="14.1" customHeight="1"/>
    <row r="326" ht="14.1" customHeight="1"/>
    <row r="327" ht="14.1" customHeight="1"/>
    <row r="328" ht="14.1" customHeight="1"/>
    <row r="329" ht="14.1" customHeight="1"/>
    <row r="330" ht="14.1" customHeight="1"/>
    <row r="331" ht="14.1" customHeight="1"/>
    <row r="332" ht="14.1" customHeight="1"/>
    <row r="333" ht="14.1" customHeight="1"/>
    <row r="334" ht="14.1" customHeight="1"/>
    <row r="335" ht="14.1" customHeight="1"/>
    <row r="336" ht="14.1" customHeight="1"/>
    <row r="337" ht="14.1" customHeight="1"/>
    <row r="338" ht="14.1" customHeight="1"/>
    <row r="339" ht="14.1" customHeight="1"/>
    <row r="340" ht="14.1" customHeight="1"/>
    <row r="341" ht="14.1" customHeight="1"/>
    <row r="342" ht="14.1" customHeight="1"/>
    <row r="343" ht="14.1" customHeight="1"/>
    <row r="344" ht="14.1" customHeight="1"/>
    <row r="345" ht="14.1" customHeight="1"/>
    <row r="346" ht="14.1" customHeight="1"/>
    <row r="347" ht="14.1" customHeight="1"/>
    <row r="348" ht="14.1" customHeight="1"/>
    <row r="349" ht="14.1" customHeight="1"/>
    <row r="350" ht="14.1" customHeight="1"/>
    <row r="351" ht="14.1" customHeight="1"/>
    <row r="352" ht="14.1" customHeight="1"/>
    <row r="353" ht="14.1" customHeight="1"/>
    <row r="354" ht="14.1" customHeight="1"/>
    <row r="355" ht="14.1" customHeight="1"/>
    <row r="356" ht="14.1" customHeight="1"/>
    <row r="357" ht="14.1" customHeight="1"/>
    <row r="358" ht="14.1" customHeight="1"/>
    <row r="359" ht="14.1" customHeight="1"/>
    <row r="360" ht="14.1" customHeight="1"/>
    <row r="361" ht="14.1" customHeight="1"/>
    <row r="362" ht="14.1" customHeight="1"/>
    <row r="363" ht="14.1" customHeight="1"/>
    <row r="364" ht="14.1" customHeight="1"/>
    <row r="365" ht="14.1" customHeight="1"/>
    <row r="366" ht="14.1" customHeight="1"/>
    <row r="367" ht="14.1" customHeight="1"/>
    <row r="368" ht="14.1" customHeight="1"/>
    <row r="369" ht="14.1" customHeight="1"/>
    <row r="370" ht="14.1" customHeight="1"/>
    <row r="371" ht="14.1" customHeight="1"/>
    <row r="372" ht="14.1" customHeight="1"/>
    <row r="373" ht="14.1" customHeight="1"/>
    <row r="374" ht="14.1" customHeight="1"/>
    <row r="375" ht="14.1" customHeight="1"/>
    <row r="376" ht="14.1" customHeight="1"/>
    <row r="377" ht="14.1" customHeight="1"/>
    <row r="378" ht="14.1" customHeight="1"/>
    <row r="379" ht="14.1" customHeight="1"/>
    <row r="380" ht="14.1" customHeight="1"/>
    <row r="381" ht="14.1" customHeight="1"/>
    <row r="382" ht="14.1" customHeight="1"/>
    <row r="383" ht="14.1" customHeight="1"/>
    <row r="384" ht="14.1" customHeight="1"/>
    <row r="385" ht="14.1" customHeight="1"/>
    <row r="386" ht="14.1" customHeight="1"/>
    <row r="387" ht="14.1" customHeight="1"/>
    <row r="388" ht="14.1" customHeight="1"/>
    <row r="389" ht="14.1" customHeight="1"/>
    <row r="390" ht="14.1" customHeight="1"/>
    <row r="391" ht="14.1" customHeight="1"/>
    <row r="392" ht="14.1" customHeight="1"/>
    <row r="393" ht="14.1" customHeight="1"/>
    <row r="394" ht="14.1" customHeight="1"/>
    <row r="395" ht="14.1" customHeight="1"/>
    <row r="396" ht="14.1" customHeight="1"/>
    <row r="397" ht="14.1" customHeight="1"/>
    <row r="398" ht="14.1" customHeight="1"/>
    <row r="399" ht="14.1" customHeight="1"/>
    <row r="400" ht="14.1" customHeight="1"/>
    <row r="401" ht="14.1" customHeight="1"/>
    <row r="402" ht="14.1" customHeight="1"/>
    <row r="403" ht="14.1" customHeight="1"/>
    <row r="404" ht="14.1" customHeight="1"/>
    <row r="405" ht="14.1" customHeight="1"/>
    <row r="406" ht="14.1" customHeight="1"/>
    <row r="407" ht="14.1" customHeight="1"/>
    <row r="408" ht="14.1" customHeight="1"/>
    <row r="409" ht="14.1" customHeight="1"/>
    <row r="410" ht="14.1" customHeight="1"/>
    <row r="411" ht="14.1" customHeight="1"/>
    <row r="412" ht="14.1" customHeight="1"/>
    <row r="413" ht="14.1" customHeight="1"/>
    <row r="414" ht="14.1" customHeight="1"/>
    <row r="415" ht="14.1" customHeight="1"/>
    <row r="416" ht="14.1" customHeight="1"/>
    <row r="417" ht="14.1" customHeight="1"/>
    <row r="418" ht="14.1" customHeight="1"/>
    <row r="419" ht="14.1" customHeight="1"/>
    <row r="420" ht="14.1" customHeight="1"/>
    <row r="421" ht="14.1" customHeight="1"/>
    <row r="422" ht="14.1" customHeight="1"/>
    <row r="423" ht="14.1" customHeight="1"/>
    <row r="424" ht="14.1" customHeight="1"/>
    <row r="425" ht="14.1" customHeight="1"/>
    <row r="426" ht="14.1" customHeight="1"/>
    <row r="427" ht="14.1" customHeight="1"/>
    <row r="428" ht="14.1" customHeight="1"/>
    <row r="429" ht="14.1" customHeight="1"/>
    <row r="430" ht="14.1" customHeight="1"/>
    <row r="431" ht="14.1" customHeight="1"/>
    <row r="432" ht="14.1" customHeight="1"/>
    <row r="433" ht="14.1" customHeight="1"/>
    <row r="434" ht="14.1" customHeight="1"/>
    <row r="435" ht="14.1" customHeight="1"/>
    <row r="436" ht="14.1" customHeight="1"/>
    <row r="437" ht="14.1" customHeight="1"/>
    <row r="438" ht="14.1" customHeight="1"/>
    <row r="439" ht="14.1" customHeight="1"/>
    <row r="440" ht="14.1" customHeight="1"/>
    <row r="441" ht="14.1" customHeight="1"/>
    <row r="442" ht="14.1" customHeight="1"/>
    <row r="443" ht="14.1" customHeight="1"/>
    <row r="444" ht="14.1" customHeight="1"/>
    <row r="445" ht="14.1" customHeight="1"/>
    <row r="446" ht="14.1" customHeight="1"/>
    <row r="447" ht="14.1" customHeight="1"/>
    <row r="448" ht="14.1" customHeight="1"/>
    <row r="449" ht="14.1" customHeight="1"/>
    <row r="450" ht="14.1" customHeight="1"/>
    <row r="451" ht="14.1" customHeight="1"/>
    <row r="452" ht="14.1" customHeight="1"/>
    <row r="453" ht="14.1" customHeight="1"/>
    <row r="454" ht="14.1" customHeight="1"/>
    <row r="455" ht="14.1" customHeight="1"/>
    <row r="456" ht="14.1" customHeight="1"/>
    <row r="457" ht="14.1" customHeight="1"/>
    <row r="458" ht="14.1" customHeight="1"/>
    <row r="459" ht="14.1" customHeight="1"/>
    <row r="460" ht="14.1" customHeight="1"/>
    <row r="461" ht="14.1" customHeight="1"/>
    <row r="462" ht="14.1" customHeight="1"/>
    <row r="463" ht="14.1" customHeight="1"/>
    <row r="464" ht="14.1" customHeight="1"/>
    <row r="465" ht="14.1" customHeight="1"/>
    <row r="466" ht="14.1" customHeight="1"/>
    <row r="467" ht="14.1" customHeight="1"/>
    <row r="468" ht="14.1" customHeight="1"/>
    <row r="469" ht="14.1" customHeight="1"/>
    <row r="470" ht="14.1" customHeight="1"/>
    <row r="471" ht="14.1" customHeight="1"/>
    <row r="472" ht="14.1" customHeight="1"/>
    <row r="473" ht="14.1" customHeight="1"/>
    <row r="474" ht="14.1" customHeight="1"/>
    <row r="475" ht="14.1" customHeight="1"/>
    <row r="476" ht="14.1" customHeight="1"/>
    <row r="477" ht="14.1" customHeight="1"/>
    <row r="478" ht="14.1" customHeight="1"/>
    <row r="479" ht="14.1" customHeight="1"/>
    <row r="480" ht="14.1" customHeight="1"/>
    <row r="481" ht="14.1" customHeight="1"/>
    <row r="482" ht="14.1" customHeight="1"/>
    <row r="483" ht="14.1" customHeight="1"/>
    <row r="484" ht="14.1" customHeight="1"/>
    <row r="485" ht="14.1" customHeight="1"/>
    <row r="486" ht="14.1" customHeight="1"/>
    <row r="487" ht="14.1" customHeight="1"/>
    <row r="488" ht="14.1" customHeight="1"/>
    <row r="489" ht="14.1" customHeight="1"/>
    <row r="490" ht="14.1" customHeight="1"/>
    <row r="491" ht="14.1" customHeight="1"/>
    <row r="492" ht="14.1" customHeight="1"/>
    <row r="493" ht="14.1" customHeight="1"/>
    <row r="494" ht="14.1" customHeight="1"/>
    <row r="495" ht="14.1" customHeight="1"/>
    <row r="496" ht="14.1" customHeight="1"/>
    <row r="497" ht="14.1" customHeight="1"/>
    <row r="498" ht="14.1" customHeight="1"/>
    <row r="499" ht="14.1" customHeight="1"/>
    <row r="500" ht="14.1" customHeight="1"/>
    <row r="501" ht="14.1" customHeight="1"/>
    <row r="502" ht="14.1" customHeight="1"/>
    <row r="503" ht="14.1" customHeight="1"/>
    <row r="504" ht="14.1" customHeight="1"/>
    <row r="505" ht="14.1" customHeight="1"/>
    <row r="506" ht="14.1" customHeight="1"/>
    <row r="507" ht="14.1" customHeight="1"/>
    <row r="508" ht="14.1" customHeight="1"/>
    <row r="509" ht="14.1" customHeight="1"/>
    <row r="510" ht="14.1" customHeight="1"/>
    <row r="511" ht="14.1" customHeight="1"/>
    <row r="512" ht="14.1" customHeight="1"/>
    <row r="513" ht="14.1" customHeight="1"/>
    <row r="514" ht="14.1" customHeight="1"/>
    <row r="515" ht="14.1" customHeight="1"/>
    <row r="516" ht="14.1" customHeight="1"/>
    <row r="517" ht="14.1" customHeight="1"/>
    <row r="518" ht="14.1" customHeight="1"/>
    <row r="519" ht="14.1" customHeight="1"/>
    <row r="520" ht="14.1" customHeight="1"/>
    <row r="521" ht="14.1" customHeight="1"/>
    <row r="522" ht="14.1" customHeight="1"/>
    <row r="523" ht="14.1" customHeight="1"/>
    <row r="524" ht="14.1" customHeight="1"/>
    <row r="525" ht="14.1" customHeight="1"/>
    <row r="526" ht="14.1" customHeight="1"/>
    <row r="527" ht="14.1" customHeight="1"/>
    <row r="528" ht="14.1" customHeight="1"/>
    <row r="529" ht="14.1" customHeight="1"/>
    <row r="530" ht="14.1" customHeight="1"/>
    <row r="531" ht="14.1" customHeight="1"/>
    <row r="532" ht="14.1" customHeight="1"/>
    <row r="533" ht="14.1" customHeight="1"/>
    <row r="534" ht="14.1" customHeight="1"/>
    <row r="535" ht="14.1" customHeight="1"/>
    <row r="536" ht="14.1" customHeight="1"/>
    <row r="537" ht="14.1" customHeight="1"/>
    <row r="538" ht="14.1" customHeight="1"/>
    <row r="539" ht="14.1" customHeight="1"/>
    <row r="540" ht="14.1" customHeight="1"/>
    <row r="541" ht="14.1" customHeight="1"/>
    <row r="542" ht="14.1" customHeight="1"/>
    <row r="543" ht="14.1" customHeight="1"/>
    <row r="544" ht="14.1" customHeight="1"/>
    <row r="545" ht="14.1" customHeight="1"/>
    <row r="546" ht="14.1" customHeight="1"/>
    <row r="547" ht="14.1" customHeight="1"/>
    <row r="548" ht="14.1" customHeight="1"/>
    <row r="549" ht="14.1" customHeight="1"/>
    <row r="550" ht="14.1" customHeight="1"/>
    <row r="551" ht="14.1" customHeight="1"/>
    <row r="552" ht="14.1" customHeight="1"/>
    <row r="553" ht="14.1" customHeight="1"/>
    <row r="554" ht="14.1" customHeight="1"/>
    <row r="555" ht="14.1" customHeight="1"/>
    <row r="556" ht="14.1" customHeight="1"/>
    <row r="557" ht="14.1" customHeight="1"/>
    <row r="558" ht="14.1" customHeight="1"/>
    <row r="559" ht="14.1" customHeight="1"/>
    <row r="560" ht="14.1" customHeight="1"/>
    <row r="561" ht="14.1" customHeight="1"/>
    <row r="562" ht="14.1" customHeight="1"/>
    <row r="563" ht="14.1" customHeight="1"/>
    <row r="564" ht="14.1" customHeight="1"/>
    <row r="565" ht="14.1" customHeight="1"/>
    <row r="566" ht="14.1" customHeight="1"/>
    <row r="567" ht="14.1" customHeight="1"/>
    <row r="568" ht="14.1" customHeight="1"/>
    <row r="569" ht="14.1" customHeight="1"/>
    <row r="570" ht="14.1" customHeight="1"/>
    <row r="571" ht="14.1" customHeight="1"/>
    <row r="572" ht="14.1" customHeight="1"/>
    <row r="573" ht="14.1" customHeight="1"/>
    <row r="574" ht="14.1" customHeight="1"/>
    <row r="575" ht="14.1" customHeight="1"/>
    <row r="576" ht="14.1" customHeight="1"/>
    <row r="577" ht="14.1" customHeight="1"/>
    <row r="578" ht="14.1" customHeight="1"/>
    <row r="579" ht="14.1" customHeight="1"/>
    <row r="580" ht="14.1" customHeight="1"/>
    <row r="581" ht="14.1" customHeight="1"/>
    <row r="582" ht="14.1" customHeight="1"/>
    <row r="583" ht="14.1" customHeight="1"/>
    <row r="584" ht="14.1" customHeight="1"/>
    <row r="585" ht="14.1" customHeight="1"/>
    <row r="586" ht="14.1" customHeight="1"/>
    <row r="587" ht="14.1" customHeight="1"/>
    <row r="588" ht="14.1" customHeight="1"/>
    <row r="589" ht="14.1" customHeight="1"/>
    <row r="590" ht="14.1" customHeight="1"/>
    <row r="591" ht="14.1" customHeight="1"/>
    <row r="592" ht="14.1" customHeight="1"/>
    <row r="593" ht="14.1" customHeight="1"/>
    <row r="594" ht="14.1" customHeight="1"/>
    <row r="595" ht="14.1" customHeight="1"/>
    <row r="596" ht="14.1" customHeight="1"/>
    <row r="597" ht="14.1" customHeight="1"/>
    <row r="598" ht="14.1" customHeight="1"/>
    <row r="599" ht="14.1" customHeight="1"/>
    <row r="600" ht="14.1" customHeight="1"/>
    <row r="601" ht="14.1" customHeight="1"/>
    <row r="602" ht="14.1" customHeight="1"/>
    <row r="603" ht="14.1" customHeight="1"/>
    <row r="604" ht="14.1" customHeight="1"/>
    <row r="605" ht="14.1" customHeight="1"/>
    <row r="606" ht="14.1" customHeight="1"/>
    <row r="607" ht="14.1" customHeight="1"/>
    <row r="608" ht="14.1" customHeight="1"/>
    <row r="609" ht="14.1" customHeight="1"/>
    <row r="610" ht="14.1" customHeight="1"/>
    <row r="611" ht="14.1" customHeight="1"/>
    <row r="612" ht="14.1" customHeight="1"/>
    <row r="613" ht="14.1" customHeight="1"/>
    <row r="614" ht="14.1" customHeight="1"/>
    <row r="615" ht="14.1" customHeight="1"/>
    <row r="616" ht="14.1" customHeight="1"/>
    <row r="617" ht="14.1" customHeight="1"/>
    <row r="618" ht="14.1" customHeight="1"/>
    <row r="619" ht="14.1" customHeight="1"/>
    <row r="620" ht="14.1" customHeight="1"/>
    <row r="621" ht="14.1" customHeight="1"/>
    <row r="622" ht="14.1" customHeight="1"/>
    <row r="623" ht="14.1" customHeight="1"/>
    <row r="624" ht="14.1" customHeight="1"/>
    <row r="625" ht="14.1" customHeight="1"/>
    <row r="626" ht="14.1" customHeight="1"/>
    <row r="627" ht="14.1" customHeight="1"/>
    <row r="628" ht="14.1" customHeight="1"/>
    <row r="629" ht="14.1" customHeight="1"/>
    <row r="630" ht="14.1" customHeight="1"/>
    <row r="631" ht="14.1" customHeight="1"/>
    <row r="632" ht="14.1" customHeight="1"/>
    <row r="633" ht="14.1" customHeight="1"/>
    <row r="634" ht="14.1" customHeight="1"/>
    <row r="635" ht="14.1" customHeight="1"/>
    <row r="636" ht="14.1" customHeight="1"/>
    <row r="637" ht="14.1" customHeight="1"/>
    <row r="638" ht="14.1" customHeight="1"/>
    <row r="639" ht="14.1" customHeight="1"/>
    <row r="640" ht="14.1" customHeight="1"/>
    <row r="641" ht="14.1" customHeight="1"/>
    <row r="642" ht="14.1" customHeight="1"/>
    <row r="643" ht="14.1" customHeight="1"/>
    <row r="644" ht="14.1" customHeight="1"/>
    <row r="645" ht="14.1" customHeight="1"/>
    <row r="646" ht="14.1" customHeight="1"/>
    <row r="647" ht="14.1" customHeight="1"/>
    <row r="648" ht="14.1" customHeight="1"/>
    <row r="649" ht="14.1" customHeight="1"/>
    <row r="650" ht="14.1" customHeight="1"/>
    <row r="651" ht="14.1" customHeight="1"/>
    <row r="652" ht="14.1" customHeight="1"/>
    <row r="653" ht="14.1" customHeight="1"/>
    <row r="654" ht="14.1" customHeight="1"/>
    <row r="655" ht="14.1" customHeight="1"/>
    <row r="656" ht="14.1" customHeight="1"/>
    <row r="657" ht="14.1" customHeight="1"/>
    <row r="658" ht="14.1" customHeight="1"/>
    <row r="659" ht="14.1" customHeight="1"/>
    <row r="660" ht="14.1" customHeight="1"/>
    <row r="661" ht="14.1" customHeight="1"/>
    <row r="662" ht="14.1" customHeight="1"/>
    <row r="663" ht="14.1" customHeight="1"/>
    <row r="664" ht="14.1" customHeight="1"/>
    <row r="665" ht="14.1" customHeight="1"/>
    <row r="666" ht="14.1" customHeight="1"/>
    <row r="667" ht="14.1" customHeight="1"/>
    <row r="668" ht="14.1" customHeight="1"/>
    <row r="669" ht="14.1" customHeight="1"/>
    <row r="670" ht="14.1" customHeight="1"/>
    <row r="671" ht="14.1" customHeight="1"/>
    <row r="672" ht="14.1" customHeight="1"/>
    <row r="673" ht="14.1" customHeight="1"/>
    <row r="674" ht="14.1" customHeight="1"/>
    <row r="675" ht="14.1" customHeight="1"/>
    <row r="676" ht="14.1" customHeight="1"/>
    <row r="677" ht="14.1" customHeight="1"/>
    <row r="678" ht="14.1" customHeight="1"/>
    <row r="679" ht="14.1" customHeight="1"/>
    <row r="680" ht="14.1" customHeight="1"/>
    <row r="681" ht="14.1" customHeight="1"/>
    <row r="682" ht="14.1" customHeight="1"/>
    <row r="683" ht="14.1" customHeight="1"/>
    <row r="684" ht="14.1" customHeight="1"/>
    <row r="685" ht="14.1" customHeight="1"/>
    <row r="686" ht="14.1" customHeight="1"/>
    <row r="687" ht="14.1" customHeight="1"/>
    <row r="688" ht="14.1" customHeight="1"/>
    <row r="689" ht="14.1" customHeight="1"/>
    <row r="690" ht="14.1" customHeight="1"/>
    <row r="691" ht="14.1" customHeight="1"/>
    <row r="692" ht="14.1" customHeight="1"/>
    <row r="693" ht="14.1" customHeight="1"/>
    <row r="694" ht="14.1" customHeight="1"/>
    <row r="695" ht="14.1" customHeight="1"/>
    <row r="696" ht="14.1" customHeight="1"/>
    <row r="697" ht="14.1" customHeight="1"/>
    <row r="698" ht="14.1" customHeight="1"/>
    <row r="699" ht="14.1" customHeight="1"/>
    <row r="700" ht="14.1" customHeight="1"/>
    <row r="701" ht="14.1" customHeight="1"/>
    <row r="702" ht="14.1" customHeight="1"/>
    <row r="703" ht="14.1" customHeight="1"/>
    <row r="704" ht="14.1" customHeight="1"/>
    <row r="705" ht="14.1" customHeight="1"/>
    <row r="706" ht="14.1" customHeight="1"/>
    <row r="707" ht="14.1" customHeight="1"/>
    <row r="708" ht="14.1" customHeight="1"/>
    <row r="709" ht="14.1" customHeight="1"/>
    <row r="710" ht="14.1" customHeight="1"/>
    <row r="711" ht="14.1" customHeight="1"/>
    <row r="712" ht="14.1" customHeight="1"/>
    <row r="713" ht="14.1" customHeight="1"/>
    <row r="714" ht="14.1" customHeight="1"/>
    <row r="715" ht="14.1" customHeight="1"/>
    <row r="716" ht="14.1" customHeight="1"/>
    <row r="717" ht="14.1" customHeight="1"/>
    <row r="718" ht="14.1" customHeight="1"/>
    <row r="719" ht="14.1" customHeight="1"/>
    <row r="720" ht="14.1" customHeight="1"/>
    <row r="721" ht="14.1" customHeight="1"/>
    <row r="722" ht="14.1" customHeight="1"/>
    <row r="723" ht="14.1" customHeight="1"/>
    <row r="724" ht="14.1" customHeight="1"/>
    <row r="725" ht="14.1" customHeight="1"/>
    <row r="726" ht="14.1" customHeight="1"/>
    <row r="727" ht="14.1" customHeight="1"/>
    <row r="728" ht="14.1" customHeight="1"/>
    <row r="729" ht="14.1" customHeight="1"/>
    <row r="730" ht="14.1" customHeight="1"/>
    <row r="731" ht="14.1" customHeight="1"/>
    <row r="732" ht="14.1" customHeight="1"/>
    <row r="733" ht="14.1" customHeight="1"/>
    <row r="734" ht="14.1" customHeight="1"/>
    <row r="735" ht="14.1" customHeight="1"/>
    <row r="736" ht="14.1" customHeight="1"/>
    <row r="737" ht="14.1" customHeight="1"/>
    <row r="738" ht="14.1" customHeight="1"/>
    <row r="739" ht="14.1" customHeight="1"/>
    <row r="740" ht="14.1" customHeight="1"/>
    <row r="741" ht="14.1" customHeight="1"/>
    <row r="742" ht="14.1" customHeight="1"/>
    <row r="743" ht="14.1" customHeight="1"/>
    <row r="744" ht="14.1" customHeight="1"/>
    <row r="745" ht="14.1" customHeight="1"/>
    <row r="746" ht="14.1" customHeight="1"/>
    <row r="747" ht="14.1" customHeight="1"/>
    <row r="748" ht="14.1" customHeight="1"/>
    <row r="749" ht="14.1" customHeight="1"/>
    <row r="750" ht="14.1" customHeight="1"/>
    <row r="751" ht="14.1" customHeight="1"/>
    <row r="752" ht="14.1" customHeight="1"/>
    <row r="753" ht="14.1" customHeight="1"/>
    <row r="754" ht="14.1" customHeight="1"/>
    <row r="755" ht="14.1" customHeight="1"/>
    <row r="756" ht="14.1" customHeight="1"/>
    <row r="757" ht="14.1" customHeight="1"/>
    <row r="758" ht="14.1" customHeight="1"/>
    <row r="759" ht="14.1" customHeight="1"/>
    <row r="760" ht="14.1" customHeight="1"/>
    <row r="761" ht="14.1" customHeight="1"/>
    <row r="762" ht="14.1" customHeight="1"/>
    <row r="763" ht="14.1" customHeight="1"/>
    <row r="764" ht="14.1" customHeight="1"/>
    <row r="765" ht="14.1" customHeight="1"/>
    <row r="766" ht="14.1" customHeight="1"/>
    <row r="767" ht="14.1" customHeight="1"/>
    <row r="768" ht="14.1" customHeight="1"/>
    <row r="769" ht="14.1" customHeight="1"/>
    <row r="770" ht="14.1" customHeight="1"/>
    <row r="771" ht="14.1" customHeight="1"/>
    <row r="772" ht="14.1" customHeight="1"/>
    <row r="773" ht="14.1" customHeight="1"/>
    <row r="774" ht="14.1" customHeight="1"/>
    <row r="775" ht="14.1" customHeight="1"/>
    <row r="776" ht="14.1" customHeight="1"/>
    <row r="777" ht="14.1" customHeight="1"/>
    <row r="778" ht="14.1" customHeight="1"/>
    <row r="779" ht="14.1" customHeight="1"/>
    <row r="780" ht="14.1" customHeight="1"/>
    <row r="781" ht="14.1" customHeight="1"/>
    <row r="782" ht="14.1" customHeight="1"/>
    <row r="783" ht="14.1" customHeight="1"/>
    <row r="784" ht="14.1" customHeight="1"/>
    <row r="785" ht="14.1" customHeight="1"/>
    <row r="786" ht="14.1" customHeight="1"/>
    <row r="787" ht="14.1" customHeight="1"/>
    <row r="788" ht="14.1" customHeight="1"/>
    <row r="789" ht="14.1" customHeight="1"/>
    <row r="790" ht="14.1" customHeight="1"/>
    <row r="791" ht="14.1" customHeight="1"/>
    <row r="792" ht="14.1" customHeight="1"/>
    <row r="793" ht="14.1" customHeight="1"/>
  </sheetData>
  <autoFilter ref="A4:U111" xr:uid="{00000000-0009-0000-0000-00000D000000}"/>
  <pageMargins left="0.61" right="0.16" top="0.87" bottom="0.21" header="0.16" footer="0.16"/>
  <pageSetup paperSize="8" scale="46" orientation="portrait"/>
  <headerFooter alignWithMargins="0">
    <oddFooter>&amp;L&amp;"Arial"&amp;7 &amp;KDAD4CE_x000D_# Internal_x000D_&amp;1#&amp;"Arial"&amp;7&amp;KDAD4CE Public</oddFooter>
  </headerFooter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>
    <tabColor rgb="FF92D050"/>
    <pageSetUpPr fitToPage="1"/>
  </sheetPr>
  <dimension ref="A1:U793"/>
  <sheetViews>
    <sheetView zoomScale="80" zoomScaleNormal="80" workbookViewId="0">
      <pane ySplit="4" topLeftCell="A5" activePane="bottomLeft" state="frozen"/>
      <selection activeCell="A16" sqref="A16"/>
      <selection pane="bottomLeft" activeCell="R5" sqref="R5:R20"/>
    </sheetView>
  </sheetViews>
  <sheetFormatPr defaultColWidth="8.85546875" defaultRowHeight="15" customHeight="1"/>
  <cols>
    <col min="1" max="1" width="4.140625" style="3" customWidth="1"/>
    <col min="2" max="3" width="8.5703125" style="20" customWidth="1"/>
    <col min="4" max="4" width="14.5703125" style="3" customWidth="1"/>
    <col min="5" max="5" width="20.5703125" style="20" customWidth="1"/>
    <col min="6" max="6" width="8.5703125" style="3" customWidth="1"/>
    <col min="7" max="7" width="32.5703125" style="2" customWidth="1"/>
    <col min="8" max="8" width="18.5703125" style="3" customWidth="1"/>
    <col min="9" max="9" width="62.5703125" style="2" customWidth="1"/>
    <col min="10" max="12" width="9.5703125" style="3" customWidth="1"/>
    <col min="13" max="13" width="10.5703125" style="3" customWidth="1"/>
    <col min="14" max="14" width="8.5703125" style="3" customWidth="1"/>
    <col min="15" max="15" width="10.5703125" style="3" customWidth="1"/>
    <col min="16" max="16" width="5.5703125" style="3" customWidth="1"/>
    <col min="17" max="17" width="1.5703125" style="2" customWidth="1"/>
    <col min="18" max="18" width="10.5703125" style="30" customWidth="1"/>
    <col min="19" max="19" width="1.5703125" style="2" customWidth="1"/>
    <col min="20" max="21" width="10.5703125" style="2" customWidth="1"/>
    <col min="22" max="220" width="8.85546875" style="2" customWidth="1"/>
    <col min="221" max="221" width="8.140625" style="2" customWidth="1"/>
    <col min="222" max="222" width="14.5703125" style="2" customWidth="1"/>
    <col min="223" max="223" width="37.42578125" style="2" customWidth="1"/>
    <col min="224" max="224" width="63.140625" style="2" customWidth="1"/>
    <col min="225" max="225" width="20" style="2" customWidth="1"/>
    <col min="226" max="226" width="11.140625" style="2" customWidth="1"/>
    <col min="227" max="227" width="10.85546875" style="2" customWidth="1"/>
    <col min="228" max="228" width="21" style="2" customWidth="1"/>
    <col min="229" max="229" width="10.85546875" style="2" customWidth="1"/>
    <col min="230" max="230" width="17.42578125" style="2" customWidth="1"/>
    <col min="231" max="231" width="14.85546875" style="2" customWidth="1"/>
    <col min="232" max="232" width="15" style="2" customWidth="1"/>
    <col min="233" max="233" width="14.85546875" style="2" customWidth="1"/>
    <col min="234" max="234" width="7.140625" style="2" customWidth="1"/>
    <col min="235" max="236" width="20.140625" style="2" customWidth="1"/>
    <col min="237" max="237" width="18.42578125" style="2" customWidth="1"/>
    <col min="238" max="238" width="9.140625" style="2" customWidth="1"/>
    <col min="239" max="239" width="12" style="2" customWidth="1"/>
    <col min="240" max="240" width="14.85546875" style="2" customWidth="1"/>
    <col min="241" max="241" width="22.42578125" style="2" customWidth="1"/>
    <col min="242" max="242" width="14.85546875" style="2" customWidth="1"/>
    <col min="243" max="243" width="7.140625" style="2" customWidth="1"/>
    <col min="244" max="244" width="20.140625" style="2" customWidth="1"/>
    <col min="245" max="476" width="8.85546875" style="2" customWidth="1"/>
    <col min="477" max="477" width="8.140625" style="2" customWidth="1"/>
    <col min="478" max="478" width="14.5703125" style="2" customWidth="1"/>
    <col min="479" max="479" width="37.42578125" style="2" customWidth="1"/>
    <col min="480" max="480" width="63.140625" style="2" customWidth="1"/>
    <col min="481" max="481" width="20" style="2" customWidth="1"/>
    <col min="482" max="482" width="11.140625" style="2" customWidth="1"/>
    <col min="483" max="483" width="10.85546875" style="2" customWidth="1"/>
    <col min="484" max="484" width="21" style="2" customWidth="1"/>
    <col min="485" max="485" width="10.85546875" style="2" customWidth="1"/>
    <col min="486" max="486" width="17.42578125" style="2" customWidth="1"/>
    <col min="487" max="487" width="14.85546875" style="2" customWidth="1"/>
    <col min="488" max="488" width="15" style="2" customWidth="1"/>
    <col min="489" max="489" width="14.85546875" style="2" customWidth="1"/>
    <col min="490" max="490" width="7.140625" style="2" customWidth="1"/>
    <col min="491" max="492" width="20.140625" style="2" customWidth="1"/>
    <col min="493" max="493" width="18.42578125" style="2" customWidth="1"/>
    <col min="494" max="494" width="9.140625" style="2" customWidth="1"/>
    <col min="495" max="495" width="12" style="2" customWidth="1"/>
    <col min="496" max="496" width="14.85546875" style="2" customWidth="1"/>
    <col min="497" max="497" width="22.42578125" style="2" customWidth="1"/>
    <col min="498" max="498" width="14.85546875" style="2" customWidth="1"/>
    <col min="499" max="499" width="7.140625" style="2" customWidth="1"/>
    <col min="500" max="500" width="20.140625" style="2" customWidth="1"/>
    <col min="501" max="732" width="8.85546875" style="2" customWidth="1"/>
    <col min="733" max="733" width="8.140625" style="2" customWidth="1"/>
    <col min="734" max="734" width="14.5703125" style="2" customWidth="1"/>
    <col min="735" max="735" width="37.42578125" style="2" customWidth="1"/>
    <col min="736" max="736" width="63.140625" style="2" customWidth="1"/>
    <col min="737" max="737" width="20" style="2" customWidth="1"/>
    <col min="738" max="738" width="11.140625" style="2" customWidth="1"/>
    <col min="739" max="739" width="10.85546875" style="2" customWidth="1"/>
    <col min="740" max="740" width="21" style="2" customWidth="1"/>
    <col min="741" max="741" width="10.85546875" style="2" customWidth="1"/>
    <col min="742" max="742" width="17.42578125" style="2" customWidth="1"/>
    <col min="743" max="743" width="14.85546875" style="2" customWidth="1"/>
    <col min="744" max="744" width="15" style="2" customWidth="1"/>
    <col min="745" max="745" width="14.85546875" style="2" customWidth="1"/>
    <col min="746" max="746" width="7.140625" style="2" customWidth="1"/>
    <col min="747" max="748" width="20.140625" style="2" customWidth="1"/>
    <col min="749" max="749" width="18.42578125" style="2" customWidth="1"/>
    <col min="750" max="750" width="9.140625" style="2" customWidth="1"/>
    <col min="751" max="751" width="12" style="2" customWidth="1"/>
    <col min="752" max="752" width="14.85546875" style="2" customWidth="1"/>
    <col min="753" max="753" width="22.42578125" style="2" customWidth="1"/>
    <col min="754" max="754" width="14.85546875" style="2" customWidth="1"/>
    <col min="755" max="755" width="7.140625" style="2" customWidth="1"/>
    <col min="756" max="756" width="20.140625" style="2" customWidth="1"/>
    <col min="757" max="988" width="8.85546875" style="2" customWidth="1"/>
    <col min="989" max="989" width="8.140625" style="2" customWidth="1"/>
    <col min="990" max="990" width="14.5703125" style="2" customWidth="1"/>
    <col min="991" max="991" width="37.42578125" style="2" customWidth="1"/>
    <col min="992" max="992" width="63.140625" style="2" customWidth="1"/>
    <col min="993" max="993" width="20" style="2" customWidth="1"/>
    <col min="994" max="994" width="11.140625" style="2" customWidth="1"/>
    <col min="995" max="995" width="10.85546875" style="2" customWidth="1"/>
    <col min="996" max="996" width="21" style="2" customWidth="1"/>
    <col min="997" max="997" width="10.85546875" style="2" customWidth="1"/>
    <col min="998" max="998" width="17.42578125" style="2" customWidth="1"/>
    <col min="999" max="999" width="14.85546875" style="2" customWidth="1"/>
    <col min="1000" max="1000" width="15" style="2" customWidth="1"/>
    <col min="1001" max="1001" width="14.85546875" style="2" customWidth="1"/>
    <col min="1002" max="1002" width="7.140625" style="2" customWidth="1"/>
    <col min="1003" max="1004" width="20.140625" style="2" customWidth="1"/>
    <col min="1005" max="1005" width="18.42578125" style="2" customWidth="1"/>
    <col min="1006" max="1006" width="9.140625" style="2" customWidth="1"/>
    <col min="1007" max="1007" width="12" style="2" customWidth="1"/>
    <col min="1008" max="1008" width="14.85546875" style="2" customWidth="1"/>
    <col min="1009" max="1009" width="22.42578125" style="2" customWidth="1"/>
    <col min="1010" max="1010" width="14.85546875" style="2" customWidth="1"/>
    <col min="1011" max="1011" width="7.140625" style="2" customWidth="1"/>
    <col min="1012" max="1012" width="20.140625" style="2" customWidth="1"/>
    <col min="1013" max="1244" width="8.85546875" style="2" customWidth="1"/>
    <col min="1245" max="1245" width="8.140625" style="2" customWidth="1"/>
    <col min="1246" max="1246" width="14.5703125" style="2" customWidth="1"/>
    <col min="1247" max="1247" width="37.42578125" style="2" customWidth="1"/>
    <col min="1248" max="1248" width="63.140625" style="2" customWidth="1"/>
    <col min="1249" max="1249" width="20" style="2" customWidth="1"/>
    <col min="1250" max="1250" width="11.140625" style="2" customWidth="1"/>
    <col min="1251" max="1251" width="10.85546875" style="2" customWidth="1"/>
    <col min="1252" max="1252" width="21" style="2" customWidth="1"/>
    <col min="1253" max="1253" width="10.85546875" style="2" customWidth="1"/>
    <col min="1254" max="1254" width="17.42578125" style="2" customWidth="1"/>
    <col min="1255" max="1255" width="14.85546875" style="2" customWidth="1"/>
    <col min="1256" max="1256" width="15" style="2" customWidth="1"/>
    <col min="1257" max="1257" width="14.85546875" style="2" customWidth="1"/>
    <col min="1258" max="1258" width="7.140625" style="2" customWidth="1"/>
    <col min="1259" max="1260" width="20.140625" style="2" customWidth="1"/>
    <col min="1261" max="1261" width="18.42578125" style="2" customWidth="1"/>
    <col min="1262" max="1262" width="9.140625" style="2" customWidth="1"/>
    <col min="1263" max="1263" width="12" style="2" customWidth="1"/>
    <col min="1264" max="1264" width="14.85546875" style="2" customWidth="1"/>
    <col min="1265" max="1265" width="22.42578125" style="2" customWidth="1"/>
    <col min="1266" max="1266" width="14.85546875" style="2" customWidth="1"/>
    <col min="1267" max="1267" width="7.140625" style="2" customWidth="1"/>
    <col min="1268" max="1268" width="20.140625" style="2" customWidth="1"/>
    <col min="1269" max="1500" width="8.85546875" style="2" customWidth="1"/>
    <col min="1501" max="1501" width="8.140625" style="2" customWidth="1"/>
    <col min="1502" max="1502" width="14.5703125" style="2" customWidth="1"/>
    <col min="1503" max="1503" width="37.42578125" style="2" customWidth="1"/>
    <col min="1504" max="1504" width="63.140625" style="2" customWidth="1"/>
    <col min="1505" max="1505" width="20" style="2" customWidth="1"/>
    <col min="1506" max="1506" width="11.140625" style="2" customWidth="1"/>
    <col min="1507" max="1507" width="10.85546875" style="2" customWidth="1"/>
    <col min="1508" max="1508" width="21" style="2" customWidth="1"/>
    <col min="1509" max="1509" width="10.85546875" style="2" customWidth="1"/>
    <col min="1510" max="1510" width="17.42578125" style="2" customWidth="1"/>
    <col min="1511" max="1511" width="14.85546875" style="2" customWidth="1"/>
    <col min="1512" max="1512" width="15" style="2" customWidth="1"/>
    <col min="1513" max="1513" width="14.85546875" style="2" customWidth="1"/>
    <col min="1514" max="1514" width="7.140625" style="2" customWidth="1"/>
    <col min="1515" max="1516" width="20.140625" style="2" customWidth="1"/>
    <col min="1517" max="1517" width="18.42578125" style="2" customWidth="1"/>
    <col min="1518" max="1518" width="9.140625" style="2" customWidth="1"/>
    <col min="1519" max="1519" width="12" style="2" customWidth="1"/>
    <col min="1520" max="1520" width="14.85546875" style="2" customWidth="1"/>
    <col min="1521" max="1521" width="22.42578125" style="2" customWidth="1"/>
    <col min="1522" max="1522" width="14.85546875" style="2" customWidth="1"/>
    <col min="1523" max="1523" width="7.140625" style="2" customWidth="1"/>
    <col min="1524" max="1524" width="20.140625" style="2" customWidth="1"/>
    <col min="1525" max="1756" width="8.85546875" style="2" customWidth="1"/>
    <col min="1757" max="1757" width="8.140625" style="2" customWidth="1"/>
    <col min="1758" max="1758" width="14.5703125" style="2" customWidth="1"/>
    <col min="1759" max="1759" width="37.42578125" style="2" customWidth="1"/>
    <col min="1760" max="1760" width="63.140625" style="2" customWidth="1"/>
    <col min="1761" max="1761" width="20" style="2" customWidth="1"/>
    <col min="1762" max="1762" width="11.140625" style="2" customWidth="1"/>
    <col min="1763" max="1763" width="10.85546875" style="2" customWidth="1"/>
    <col min="1764" max="1764" width="21" style="2" customWidth="1"/>
    <col min="1765" max="1765" width="10.85546875" style="2" customWidth="1"/>
    <col min="1766" max="1766" width="17.42578125" style="2" customWidth="1"/>
    <col min="1767" max="1767" width="14.85546875" style="2" customWidth="1"/>
    <col min="1768" max="1768" width="15" style="2" customWidth="1"/>
    <col min="1769" max="1769" width="14.85546875" style="2" customWidth="1"/>
    <col min="1770" max="1770" width="7.140625" style="2" customWidth="1"/>
    <col min="1771" max="1772" width="20.140625" style="2" customWidth="1"/>
    <col min="1773" max="1773" width="18.42578125" style="2" customWidth="1"/>
    <col min="1774" max="1774" width="9.140625" style="2" customWidth="1"/>
    <col min="1775" max="1775" width="12" style="2" customWidth="1"/>
    <col min="1776" max="1776" width="14.85546875" style="2" customWidth="1"/>
    <col min="1777" max="1777" width="22.42578125" style="2" customWidth="1"/>
    <col min="1778" max="1778" width="14.85546875" style="2" customWidth="1"/>
    <col min="1779" max="1779" width="7.140625" style="2" customWidth="1"/>
    <col min="1780" max="1780" width="20.140625" style="2" customWidth="1"/>
    <col min="1781" max="2012" width="8.85546875" style="2" customWidth="1"/>
    <col min="2013" max="2013" width="8.140625" style="2" customWidth="1"/>
    <col min="2014" max="2014" width="14.5703125" style="2" customWidth="1"/>
    <col min="2015" max="2015" width="37.42578125" style="2" customWidth="1"/>
    <col min="2016" max="2016" width="63.140625" style="2" customWidth="1"/>
    <col min="2017" max="2017" width="20" style="2" customWidth="1"/>
    <col min="2018" max="2018" width="11.140625" style="2" customWidth="1"/>
    <col min="2019" max="2019" width="10.85546875" style="2" customWidth="1"/>
    <col min="2020" max="2020" width="21" style="2" customWidth="1"/>
    <col min="2021" max="2021" width="10.85546875" style="2" customWidth="1"/>
    <col min="2022" max="2022" width="17.42578125" style="2" customWidth="1"/>
    <col min="2023" max="2023" width="14.85546875" style="2" customWidth="1"/>
    <col min="2024" max="2024" width="15" style="2" customWidth="1"/>
    <col min="2025" max="2025" width="14.85546875" style="2" customWidth="1"/>
    <col min="2026" max="2026" width="7.140625" style="2" customWidth="1"/>
    <col min="2027" max="2028" width="20.140625" style="2" customWidth="1"/>
    <col min="2029" max="2029" width="18.42578125" style="2" customWidth="1"/>
    <col min="2030" max="2030" width="9.140625" style="2" customWidth="1"/>
    <col min="2031" max="2031" width="12" style="2" customWidth="1"/>
    <col min="2032" max="2032" width="14.85546875" style="2" customWidth="1"/>
    <col min="2033" max="2033" width="22.42578125" style="2" customWidth="1"/>
    <col min="2034" max="2034" width="14.85546875" style="2" customWidth="1"/>
    <col min="2035" max="2035" width="7.140625" style="2" customWidth="1"/>
    <col min="2036" max="2036" width="20.140625" style="2" customWidth="1"/>
    <col min="2037" max="2268" width="8.85546875" style="2" customWidth="1"/>
    <col min="2269" max="2269" width="8.140625" style="2" customWidth="1"/>
    <col min="2270" max="2270" width="14.5703125" style="2" customWidth="1"/>
    <col min="2271" max="2271" width="37.42578125" style="2" customWidth="1"/>
    <col min="2272" max="2272" width="63.140625" style="2" customWidth="1"/>
    <col min="2273" max="2273" width="20" style="2" customWidth="1"/>
    <col min="2274" max="2274" width="11.140625" style="2" customWidth="1"/>
    <col min="2275" max="2275" width="10.85546875" style="2" customWidth="1"/>
    <col min="2276" max="2276" width="21" style="2" customWidth="1"/>
    <col min="2277" max="2277" width="10.85546875" style="2" customWidth="1"/>
    <col min="2278" max="2278" width="17.42578125" style="2" customWidth="1"/>
    <col min="2279" max="2279" width="14.85546875" style="2" customWidth="1"/>
    <col min="2280" max="2280" width="15" style="2" customWidth="1"/>
    <col min="2281" max="2281" width="14.85546875" style="2" customWidth="1"/>
    <col min="2282" max="2282" width="7.140625" style="2" customWidth="1"/>
    <col min="2283" max="2284" width="20.140625" style="2" customWidth="1"/>
    <col min="2285" max="2285" width="18.42578125" style="2" customWidth="1"/>
    <col min="2286" max="2286" width="9.140625" style="2" customWidth="1"/>
    <col min="2287" max="2287" width="12" style="2" customWidth="1"/>
    <col min="2288" max="2288" width="14.85546875" style="2" customWidth="1"/>
    <col min="2289" max="2289" width="22.42578125" style="2" customWidth="1"/>
    <col min="2290" max="2290" width="14.85546875" style="2" customWidth="1"/>
    <col min="2291" max="2291" width="7.140625" style="2" customWidth="1"/>
    <col min="2292" max="2292" width="20.140625" style="2" customWidth="1"/>
    <col min="2293" max="2524" width="8.85546875" style="2" customWidth="1"/>
    <col min="2525" max="2525" width="8.140625" style="2" customWidth="1"/>
    <col min="2526" max="2526" width="14.5703125" style="2" customWidth="1"/>
    <col min="2527" max="2527" width="37.42578125" style="2" customWidth="1"/>
    <col min="2528" max="2528" width="63.140625" style="2" customWidth="1"/>
    <col min="2529" max="2529" width="20" style="2" customWidth="1"/>
    <col min="2530" max="2530" width="11.140625" style="2" customWidth="1"/>
    <col min="2531" max="2531" width="10.85546875" style="2" customWidth="1"/>
    <col min="2532" max="2532" width="21" style="2" customWidth="1"/>
    <col min="2533" max="2533" width="10.85546875" style="2" customWidth="1"/>
    <col min="2534" max="2534" width="17.42578125" style="2" customWidth="1"/>
    <col min="2535" max="2535" width="14.85546875" style="2" customWidth="1"/>
    <col min="2536" max="2536" width="15" style="2" customWidth="1"/>
    <col min="2537" max="2537" width="14.85546875" style="2" customWidth="1"/>
    <col min="2538" max="2538" width="7.140625" style="2" customWidth="1"/>
    <col min="2539" max="2540" width="20.140625" style="2" customWidth="1"/>
    <col min="2541" max="2541" width="18.42578125" style="2" customWidth="1"/>
    <col min="2542" max="2542" width="9.140625" style="2" customWidth="1"/>
    <col min="2543" max="2543" width="12" style="2" customWidth="1"/>
    <col min="2544" max="2544" width="14.85546875" style="2" customWidth="1"/>
    <col min="2545" max="2545" width="22.42578125" style="2" customWidth="1"/>
    <col min="2546" max="2546" width="14.85546875" style="2" customWidth="1"/>
    <col min="2547" max="2547" width="7.140625" style="2" customWidth="1"/>
    <col min="2548" max="2548" width="20.140625" style="2" customWidth="1"/>
    <col min="2549" max="2780" width="8.85546875" style="2" customWidth="1"/>
    <col min="2781" max="2781" width="8.140625" style="2" customWidth="1"/>
    <col min="2782" max="2782" width="14.5703125" style="2" customWidth="1"/>
    <col min="2783" max="2783" width="37.42578125" style="2" customWidth="1"/>
    <col min="2784" max="2784" width="63.140625" style="2" customWidth="1"/>
    <col min="2785" max="2785" width="20" style="2" customWidth="1"/>
    <col min="2786" max="2786" width="11.140625" style="2" customWidth="1"/>
    <col min="2787" max="2787" width="10.85546875" style="2" customWidth="1"/>
    <col min="2788" max="2788" width="21" style="2" customWidth="1"/>
    <col min="2789" max="2789" width="10.85546875" style="2" customWidth="1"/>
    <col min="2790" max="2790" width="17.42578125" style="2" customWidth="1"/>
    <col min="2791" max="2791" width="14.85546875" style="2" customWidth="1"/>
    <col min="2792" max="2792" width="15" style="2" customWidth="1"/>
    <col min="2793" max="2793" width="14.85546875" style="2" customWidth="1"/>
    <col min="2794" max="2794" width="7.140625" style="2" customWidth="1"/>
    <col min="2795" max="2796" width="20.140625" style="2" customWidth="1"/>
    <col min="2797" max="2797" width="18.42578125" style="2" customWidth="1"/>
    <col min="2798" max="2798" width="9.140625" style="2" customWidth="1"/>
    <col min="2799" max="2799" width="12" style="2" customWidth="1"/>
    <col min="2800" max="2800" width="14.85546875" style="2" customWidth="1"/>
    <col min="2801" max="2801" width="22.42578125" style="2" customWidth="1"/>
    <col min="2802" max="2802" width="14.85546875" style="2" customWidth="1"/>
    <col min="2803" max="2803" width="7.140625" style="2" customWidth="1"/>
    <col min="2804" max="2804" width="20.140625" style="2" customWidth="1"/>
    <col min="2805" max="3036" width="8.85546875" style="2" customWidth="1"/>
    <col min="3037" max="3037" width="8.140625" style="2" customWidth="1"/>
    <col min="3038" max="3038" width="14.5703125" style="2" customWidth="1"/>
    <col min="3039" max="3039" width="37.42578125" style="2" customWidth="1"/>
    <col min="3040" max="3040" width="63.140625" style="2" customWidth="1"/>
    <col min="3041" max="3041" width="20" style="2" customWidth="1"/>
    <col min="3042" max="3042" width="11.140625" style="2" customWidth="1"/>
    <col min="3043" max="3043" width="10.85546875" style="2" customWidth="1"/>
    <col min="3044" max="3044" width="21" style="2" customWidth="1"/>
    <col min="3045" max="3045" width="10.85546875" style="2" customWidth="1"/>
    <col min="3046" max="3046" width="17.42578125" style="2" customWidth="1"/>
    <col min="3047" max="3047" width="14.85546875" style="2" customWidth="1"/>
    <col min="3048" max="3048" width="15" style="2" customWidth="1"/>
    <col min="3049" max="3049" width="14.85546875" style="2" customWidth="1"/>
    <col min="3050" max="3050" width="7.140625" style="2" customWidth="1"/>
    <col min="3051" max="3052" width="20.140625" style="2" customWidth="1"/>
    <col min="3053" max="3053" width="18.42578125" style="2" customWidth="1"/>
    <col min="3054" max="3054" width="9.140625" style="2" customWidth="1"/>
    <col min="3055" max="3055" width="12" style="2" customWidth="1"/>
    <col min="3056" max="3056" width="14.85546875" style="2" customWidth="1"/>
    <col min="3057" max="3057" width="22.42578125" style="2" customWidth="1"/>
    <col min="3058" max="3058" width="14.85546875" style="2" customWidth="1"/>
    <col min="3059" max="3059" width="7.140625" style="2" customWidth="1"/>
    <col min="3060" max="3060" width="20.140625" style="2" customWidth="1"/>
    <col min="3061" max="3292" width="8.85546875" style="2" customWidth="1"/>
    <col min="3293" max="3293" width="8.140625" style="2" customWidth="1"/>
    <col min="3294" max="3294" width="14.5703125" style="2" customWidth="1"/>
    <col min="3295" max="3295" width="37.42578125" style="2" customWidth="1"/>
    <col min="3296" max="3296" width="63.140625" style="2" customWidth="1"/>
    <col min="3297" max="3297" width="20" style="2" customWidth="1"/>
    <col min="3298" max="3298" width="11.140625" style="2" customWidth="1"/>
    <col min="3299" max="3299" width="10.85546875" style="2" customWidth="1"/>
    <col min="3300" max="3300" width="21" style="2" customWidth="1"/>
    <col min="3301" max="3301" width="10.85546875" style="2" customWidth="1"/>
    <col min="3302" max="3302" width="17.42578125" style="2" customWidth="1"/>
    <col min="3303" max="3303" width="14.85546875" style="2" customWidth="1"/>
    <col min="3304" max="3304" width="15" style="2" customWidth="1"/>
    <col min="3305" max="3305" width="14.85546875" style="2" customWidth="1"/>
    <col min="3306" max="3306" width="7.140625" style="2" customWidth="1"/>
    <col min="3307" max="3308" width="20.140625" style="2" customWidth="1"/>
    <col min="3309" max="3309" width="18.42578125" style="2" customWidth="1"/>
    <col min="3310" max="3310" width="9.140625" style="2" customWidth="1"/>
    <col min="3311" max="3311" width="12" style="2" customWidth="1"/>
    <col min="3312" max="3312" width="14.85546875" style="2" customWidth="1"/>
    <col min="3313" max="3313" width="22.42578125" style="2" customWidth="1"/>
    <col min="3314" max="3314" width="14.85546875" style="2" customWidth="1"/>
    <col min="3315" max="3315" width="7.140625" style="2" customWidth="1"/>
    <col min="3316" max="3316" width="20.140625" style="2" customWidth="1"/>
    <col min="3317" max="3548" width="8.85546875" style="2" customWidth="1"/>
    <col min="3549" max="3549" width="8.140625" style="2" customWidth="1"/>
    <col min="3550" max="3550" width="14.5703125" style="2" customWidth="1"/>
    <col min="3551" max="3551" width="37.42578125" style="2" customWidth="1"/>
    <col min="3552" max="3552" width="63.140625" style="2" customWidth="1"/>
    <col min="3553" max="3553" width="20" style="2" customWidth="1"/>
    <col min="3554" max="3554" width="11.140625" style="2" customWidth="1"/>
    <col min="3555" max="3555" width="10.85546875" style="2" customWidth="1"/>
    <col min="3556" max="3556" width="21" style="2" customWidth="1"/>
    <col min="3557" max="3557" width="10.85546875" style="2" customWidth="1"/>
    <col min="3558" max="3558" width="17.42578125" style="2" customWidth="1"/>
    <col min="3559" max="3559" width="14.85546875" style="2" customWidth="1"/>
    <col min="3560" max="3560" width="15" style="2" customWidth="1"/>
    <col min="3561" max="3561" width="14.85546875" style="2" customWidth="1"/>
    <col min="3562" max="3562" width="7.140625" style="2" customWidth="1"/>
    <col min="3563" max="3564" width="20.140625" style="2" customWidth="1"/>
    <col min="3565" max="3565" width="18.42578125" style="2" customWidth="1"/>
    <col min="3566" max="3566" width="9.140625" style="2" customWidth="1"/>
    <col min="3567" max="3567" width="12" style="2" customWidth="1"/>
    <col min="3568" max="3568" width="14.85546875" style="2" customWidth="1"/>
    <col min="3569" max="3569" width="22.42578125" style="2" customWidth="1"/>
    <col min="3570" max="3570" width="14.85546875" style="2" customWidth="1"/>
    <col min="3571" max="3571" width="7.140625" style="2" customWidth="1"/>
    <col min="3572" max="3572" width="20.140625" style="2" customWidth="1"/>
    <col min="3573" max="3804" width="8.85546875" style="2" customWidth="1"/>
    <col min="3805" max="3805" width="8.140625" style="2" customWidth="1"/>
    <col min="3806" max="3806" width="14.5703125" style="2" customWidth="1"/>
    <col min="3807" max="3807" width="37.42578125" style="2" customWidth="1"/>
    <col min="3808" max="3808" width="63.140625" style="2" customWidth="1"/>
    <col min="3809" max="3809" width="20" style="2" customWidth="1"/>
    <col min="3810" max="3810" width="11.140625" style="2" customWidth="1"/>
    <col min="3811" max="3811" width="10.85546875" style="2" customWidth="1"/>
    <col min="3812" max="3812" width="21" style="2" customWidth="1"/>
    <col min="3813" max="3813" width="10.85546875" style="2" customWidth="1"/>
    <col min="3814" max="3814" width="17.42578125" style="2" customWidth="1"/>
    <col min="3815" max="3815" width="14.85546875" style="2" customWidth="1"/>
    <col min="3816" max="3816" width="15" style="2" customWidth="1"/>
    <col min="3817" max="3817" width="14.85546875" style="2" customWidth="1"/>
    <col min="3818" max="3818" width="7.140625" style="2" customWidth="1"/>
    <col min="3819" max="3820" width="20.140625" style="2" customWidth="1"/>
    <col min="3821" max="3821" width="18.42578125" style="2" customWidth="1"/>
    <col min="3822" max="3822" width="9.140625" style="2" customWidth="1"/>
    <col min="3823" max="3823" width="12" style="2" customWidth="1"/>
    <col min="3824" max="3824" width="14.85546875" style="2" customWidth="1"/>
    <col min="3825" max="3825" width="22.42578125" style="2" customWidth="1"/>
    <col min="3826" max="3826" width="14.85546875" style="2" customWidth="1"/>
    <col min="3827" max="3827" width="7.140625" style="2" customWidth="1"/>
    <col min="3828" max="3828" width="20.140625" style="2" customWidth="1"/>
    <col min="3829" max="4060" width="8.85546875" style="2" customWidth="1"/>
    <col min="4061" max="4061" width="8.140625" style="2" customWidth="1"/>
    <col min="4062" max="4062" width="14.5703125" style="2" customWidth="1"/>
    <col min="4063" max="4063" width="37.42578125" style="2" customWidth="1"/>
    <col min="4064" max="4064" width="63.140625" style="2" customWidth="1"/>
    <col min="4065" max="4065" width="20" style="2" customWidth="1"/>
    <col min="4066" max="4066" width="11.140625" style="2" customWidth="1"/>
    <col min="4067" max="4067" width="10.85546875" style="2" customWidth="1"/>
    <col min="4068" max="4068" width="21" style="2" customWidth="1"/>
    <col min="4069" max="4069" width="10.85546875" style="2" customWidth="1"/>
    <col min="4070" max="4070" width="17.42578125" style="2" customWidth="1"/>
    <col min="4071" max="4071" width="14.85546875" style="2" customWidth="1"/>
    <col min="4072" max="4072" width="15" style="2" customWidth="1"/>
    <col min="4073" max="4073" width="14.85546875" style="2" customWidth="1"/>
    <col min="4074" max="4074" width="7.140625" style="2" customWidth="1"/>
    <col min="4075" max="4076" width="20.140625" style="2" customWidth="1"/>
    <col min="4077" max="4077" width="18.42578125" style="2" customWidth="1"/>
    <col min="4078" max="4078" width="9.140625" style="2" customWidth="1"/>
    <col min="4079" max="4079" width="12" style="2" customWidth="1"/>
    <col min="4080" max="4080" width="14.85546875" style="2" customWidth="1"/>
    <col min="4081" max="4081" width="22.42578125" style="2" customWidth="1"/>
    <col min="4082" max="4082" width="14.85546875" style="2" customWidth="1"/>
    <col min="4083" max="4083" width="7.140625" style="2" customWidth="1"/>
    <col min="4084" max="4084" width="20.140625" style="2" customWidth="1"/>
    <col min="4085" max="4316" width="8.85546875" style="2" customWidth="1"/>
    <col min="4317" max="4317" width="8.140625" style="2" customWidth="1"/>
    <col min="4318" max="4318" width="14.5703125" style="2" customWidth="1"/>
    <col min="4319" max="4319" width="37.42578125" style="2" customWidth="1"/>
    <col min="4320" max="4320" width="63.140625" style="2" customWidth="1"/>
    <col min="4321" max="4321" width="20" style="2" customWidth="1"/>
    <col min="4322" max="4322" width="11.140625" style="2" customWidth="1"/>
    <col min="4323" max="4323" width="10.85546875" style="2" customWidth="1"/>
    <col min="4324" max="4324" width="21" style="2" customWidth="1"/>
    <col min="4325" max="4325" width="10.85546875" style="2" customWidth="1"/>
    <col min="4326" max="4326" width="17.42578125" style="2" customWidth="1"/>
    <col min="4327" max="4327" width="14.85546875" style="2" customWidth="1"/>
    <col min="4328" max="4328" width="15" style="2" customWidth="1"/>
    <col min="4329" max="4329" width="14.85546875" style="2" customWidth="1"/>
    <col min="4330" max="4330" width="7.140625" style="2" customWidth="1"/>
    <col min="4331" max="4332" width="20.140625" style="2" customWidth="1"/>
    <col min="4333" max="4333" width="18.42578125" style="2" customWidth="1"/>
    <col min="4334" max="4334" width="9.140625" style="2" customWidth="1"/>
    <col min="4335" max="4335" width="12" style="2" customWidth="1"/>
    <col min="4336" max="4336" width="14.85546875" style="2" customWidth="1"/>
    <col min="4337" max="4337" width="22.42578125" style="2" customWidth="1"/>
    <col min="4338" max="4338" width="14.85546875" style="2" customWidth="1"/>
    <col min="4339" max="4339" width="7.140625" style="2" customWidth="1"/>
    <col min="4340" max="4340" width="20.140625" style="2" customWidth="1"/>
    <col min="4341" max="4572" width="8.85546875" style="2" customWidth="1"/>
    <col min="4573" max="4573" width="8.140625" style="2" customWidth="1"/>
    <col min="4574" max="4574" width="14.5703125" style="2" customWidth="1"/>
    <col min="4575" max="4575" width="37.42578125" style="2" customWidth="1"/>
    <col min="4576" max="4576" width="63.140625" style="2" customWidth="1"/>
    <col min="4577" max="4577" width="20" style="2" customWidth="1"/>
    <col min="4578" max="4578" width="11.140625" style="2" customWidth="1"/>
    <col min="4579" max="4579" width="10.85546875" style="2" customWidth="1"/>
    <col min="4580" max="4580" width="21" style="2" customWidth="1"/>
    <col min="4581" max="4581" width="10.85546875" style="2" customWidth="1"/>
    <col min="4582" max="4582" width="17.42578125" style="2" customWidth="1"/>
    <col min="4583" max="4583" width="14.85546875" style="2" customWidth="1"/>
    <col min="4584" max="4584" width="15" style="2" customWidth="1"/>
    <col min="4585" max="4585" width="14.85546875" style="2" customWidth="1"/>
    <col min="4586" max="4586" width="7.140625" style="2" customWidth="1"/>
    <col min="4587" max="4588" width="20.140625" style="2" customWidth="1"/>
    <col min="4589" max="4589" width="18.42578125" style="2" customWidth="1"/>
    <col min="4590" max="4590" width="9.140625" style="2" customWidth="1"/>
    <col min="4591" max="4591" width="12" style="2" customWidth="1"/>
    <col min="4592" max="4592" width="14.85546875" style="2" customWidth="1"/>
    <col min="4593" max="4593" width="22.42578125" style="2" customWidth="1"/>
    <col min="4594" max="4594" width="14.85546875" style="2" customWidth="1"/>
    <col min="4595" max="4595" width="7.140625" style="2" customWidth="1"/>
    <col min="4596" max="4596" width="20.140625" style="2" customWidth="1"/>
    <col min="4597" max="4828" width="8.85546875" style="2" customWidth="1"/>
    <col min="4829" max="4829" width="8.140625" style="2" customWidth="1"/>
    <col min="4830" max="4830" width="14.5703125" style="2" customWidth="1"/>
    <col min="4831" max="4831" width="37.42578125" style="2" customWidth="1"/>
    <col min="4832" max="4832" width="63.140625" style="2" customWidth="1"/>
    <col min="4833" max="4833" width="20" style="2" customWidth="1"/>
    <col min="4834" max="4834" width="11.140625" style="2" customWidth="1"/>
    <col min="4835" max="4835" width="10.85546875" style="2" customWidth="1"/>
    <col min="4836" max="4836" width="21" style="2" customWidth="1"/>
    <col min="4837" max="4837" width="10.85546875" style="2" customWidth="1"/>
    <col min="4838" max="4838" width="17.42578125" style="2" customWidth="1"/>
    <col min="4839" max="4839" width="14.85546875" style="2" customWidth="1"/>
    <col min="4840" max="4840" width="15" style="2" customWidth="1"/>
    <col min="4841" max="4841" width="14.85546875" style="2" customWidth="1"/>
    <col min="4842" max="4842" width="7.140625" style="2" customWidth="1"/>
    <col min="4843" max="4844" width="20.140625" style="2" customWidth="1"/>
    <col min="4845" max="4845" width="18.42578125" style="2" customWidth="1"/>
    <col min="4846" max="4846" width="9.140625" style="2" customWidth="1"/>
    <col min="4847" max="4847" width="12" style="2" customWidth="1"/>
    <col min="4848" max="4848" width="14.85546875" style="2" customWidth="1"/>
    <col min="4849" max="4849" width="22.42578125" style="2" customWidth="1"/>
    <col min="4850" max="4850" width="14.85546875" style="2" customWidth="1"/>
    <col min="4851" max="4851" width="7.140625" style="2" customWidth="1"/>
    <col min="4852" max="4852" width="20.140625" style="2" customWidth="1"/>
    <col min="4853" max="5084" width="8.85546875" style="2" customWidth="1"/>
    <col min="5085" max="5085" width="8.140625" style="2" customWidth="1"/>
    <col min="5086" max="5086" width="14.5703125" style="2" customWidth="1"/>
    <col min="5087" max="5087" width="37.42578125" style="2" customWidth="1"/>
    <col min="5088" max="5088" width="63.140625" style="2" customWidth="1"/>
    <col min="5089" max="5089" width="20" style="2" customWidth="1"/>
    <col min="5090" max="5090" width="11.140625" style="2" customWidth="1"/>
    <col min="5091" max="5091" width="10.85546875" style="2" customWidth="1"/>
    <col min="5092" max="5092" width="21" style="2" customWidth="1"/>
    <col min="5093" max="5093" width="10.85546875" style="2" customWidth="1"/>
    <col min="5094" max="5094" width="17.42578125" style="2" customWidth="1"/>
    <col min="5095" max="5095" width="14.85546875" style="2" customWidth="1"/>
    <col min="5096" max="5096" width="15" style="2" customWidth="1"/>
    <col min="5097" max="5097" width="14.85546875" style="2" customWidth="1"/>
    <col min="5098" max="5098" width="7.140625" style="2" customWidth="1"/>
    <col min="5099" max="5100" width="20.140625" style="2" customWidth="1"/>
    <col min="5101" max="5101" width="18.42578125" style="2" customWidth="1"/>
    <col min="5102" max="5102" width="9.140625" style="2" customWidth="1"/>
    <col min="5103" max="5103" width="12" style="2" customWidth="1"/>
    <col min="5104" max="5104" width="14.85546875" style="2" customWidth="1"/>
    <col min="5105" max="5105" width="22.42578125" style="2" customWidth="1"/>
    <col min="5106" max="5106" width="14.85546875" style="2" customWidth="1"/>
    <col min="5107" max="5107" width="7.140625" style="2" customWidth="1"/>
    <col min="5108" max="5108" width="20.140625" style="2" customWidth="1"/>
    <col min="5109" max="5340" width="8.85546875" style="2" customWidth="1"/>
    <col min="5341" max="5341" width="8.140625" style="2" customWidth="1"/>
    <col min="5342" max="5342" width="14.5703125" style="2" customWidth="1"/>
    <col min="5343" max="5343" width="37.42578125" style="2" customWidth="1"/>
    <col min="5344" max="5344" width="63.140625" style="2" customWidth="1"/>
    <col min="5345" max="5345" width="20" style="2" customWidth="1"/>
    <col min="5346" max="5346" width="11.140625" style="2" customWidth="1"/>
    <col min="5347" max="5347" width="10.85546875" style="2" customWidth="1"/>
    <col min="5348" max="5348" width="21" style="2" customWidth="1"/>
    <col min="5349" max="5349" width="10.85546875" style="2" customWidth="1"/>
    <col min="5350" max="5350" width="17.42578125" style="2" customWidth="1"/>
    <col min="5351" max="5351" width="14.85546875" style="2" customWidth="1"/>
    <col min="5352" max="5352" width="15" style="2" customWidth="1"/>
    <col min="5353" max="5353" width="14.85546875" style="2" customWidth="1"/>
    <col min="5354" max="5354" width="7.140625" style="2" customWidth="1"/>
    <col min="5355" max="5356" width="20.140625" style="2" customWidth="1"/>
    <col min="5357" max="5357" width="18.42578125" style="2" customWidth="1"/>
    <col min="5358" max="5358" width="9.140625" style="2" customWidth="1"/>
    <col min="5359" max="5359" width="12" style="2" customWidth="1"/>
    <col min="5360" max="5360" width="14.85546875" style="2" customWidth="1"/>
    <col min="5361" max="5361" width="22.42578125" style="2" customWidth="1"/>
    <col min="5362" max="5362" width="14.85546875" style="2" customWidth="1"/>
    <col min="5363" max="5363" width="7.140625" style="2" customWidth="1"/>
    <col min="5364" max="5364" width="20.140625" style="2" customWidth="1"/>
    <col min="5365" max="5596" width="8.85546875" style="2" customWidth="1"/>
    <col min="5597" max="5597" width="8.140625" style="2" customWidth="1"/>
    <col min="5598" max="5598" width="14.5703125" style="2" customWidth="1"/>
    <col min="5599" max="5599" width="37.42578125" style="2" customWidth="1"/>
    <col min="5600" max="5600" width="63.140625" style="2" customWidth="1"/>
    <col min="5601" max="5601" width="20" style="2" customWidth="1"/>
    <col min="5602" max="5602" width="11.140625" style="2" customWidth="1"/>
    <col min="5603" max="5603" width="10.85546875" style="2" customWidth="1"/>
    <col min="5604" max="5604" width="21" style="2" customWidth="1"/>
    <col min="5605" max="5605" width="10.85546875" style="2" customWidth="1"/>
    <col min="5606" max="5606" width="17.42578125" style="2" customWidth="1"/>
    <col min="5607" max="5607" width="14.85546875" style="2" customWidth="1"/>
    <col min="5608" max="5608" width="15" style="2" customWidth="1"/>
    <col min="5609" max="5609" width="14.85546875" style="2" customWidth="1"/>
    <col min="5610" max="5610" width="7.140625" style="2" customWidth="1"/>
    <col min="5611" max="5612" width="20.140625" style="2" customWidth="1"/>
    <col min="5613" max="5613" width="18.42578125" style="2" customWidth="1"/>
    <col min="5614" max="5614" width="9.140625" style="2" customWidth="1"/>
    <col min="5615" max="5615" width="12" style="2" customWidth="1"/>
    <col min="5616" max="5616" width="14.85546875" style="2" customWidth="1"/>
    <col min="5617" max="5617" width="22.42578125" style="2" customWidth="1"/>
    <col min="5618" max="5618" width="14.85546875" style="2" customWidth="1"/>
    <col min="5619" max="5619" width="7.140625" style="2" customWidth="1"/>
    <col min="5620" max="5620" width="20.140625" style="2" customWidth="1"/>
    <col min="5621" max="5852" width="8.85546875" style="2" customWidth="1"/>
    <col min="5853" max="5853" width="8.140625" style="2" customWidth="1"/>
    <col min="5854" max="5854" width="14.5703125" style="2" customWidth="1"/>
    <col min="5855" max="5855" width="37.42578125" style="2" customWidth="1"/>
    <col min="5856" max="5856" width="63.140625" style="2" customWidth="1"/>
    <col min="5857" max="5857" width="20" style="2" customWidth="1"/>
    <col min="5858" max="5858" width="11.140625" style="2" customWidth="1"/>
    <col min="5859" max="5859" width="10.85546875" style="2" customWidth="1"/>
    <col min="5860" max="5860" width="21" style="2" customWidth="1"/>
    <col min="5861" max="5861" width="10.85546875" style="2" customWidth="1"/>
    <col min="5862" max="5862" width="17.42578125" style="2" customWidth="1"/>
    <col min="5863" max="5863" width="14.85546875" style="2" customWidth="1"/>
    <col min="5864" max="5864" width="15" style="2" customWidth="1"/>
    <col min="5865" max="5865" width="14.85546875" style="2" customWidth="1"/>
    <col min="5866" max="5866" width="7.140625" style="2" customWidth="1"/>
    <col min="5867" max="5868" width="20.140625" style="2" customWidth="1"/>
    <col min="5869" max="5869" width="18.42578125" style="2" customWidth="1"/>
    <col min="5870" max="5870" width="9.140625" style="2" customWidth="1"/>
    <col min="5871" max="5871" width="12" style="2" customWidth="1"/>
    <col min="5872" max="5872" width="14.85546875" style="2" customWidth="1"/>
    <col min="5873" max="5873" width="22.42578125" style="2" customWidth="1"/>
    <col min="5874" max="5874" width="14.85546875" style="2" customWidth="1"/>
    <col min="5875" max="5875" width="7.140625" style="2" customWidth="1"/>
    <col min="5876" max="5876" width="20.140625" style="2" customWidth="1"/>
    <col min="5877" max="6108" width="8.85546875" style="2" customWidth="1"/>
    <col min="6109" max="6109" width="8.140625" style="2" customWidth="1"/>
    <col min="6110" max="6110" width="14.5703125" style="2" customWidth="1"/>
    <col min="6111" max="6111" width="37.42578125" style="2" customWidth="1"/>
    <col min="6112" max="6112" width="63.140625" style="2" customWidth="1"/>
    <col min="6113" max="6113" width="20" style="2" customWidth="1"/>
    <col min="6114" max="6114" width="11.140625" style="2" customWidth="1"/>
    <col min="6115" max="6115" width="10.85546875" style="2" customWidth="1"/>
    <col min="6116" max="6116" width="21" style="2" customWidth="1"/>
    <col min="6117" max="6117" width="10.85546875" style="2" customWidth="1"/>
    <col min="6118" max="6118" width="17.42578125" style="2" customWidth="1"/>
    <col min="6119" max="6119" width="14.85546875" style="2" customWidth="1"/>
    <col min="6120" max="6120" width="15" style="2" customWidth="1"/>
    <col min="6121" max="6121" width="14.85546875" style="2" customWidth="1"/>
    <col min="6122" max="6122" width="7.140625" style="2" customWidth="1"/>
    <col min="6123" max="6124" width="20.140625" style="2" customWidth="1"/>
    <col min="6125" max="6125" width="18.42578125" style="2" customWidth="1"/>
    <col min="6126" max="6126" width="9.140625" style="2" customWidth="1"/>
    <col min="6127" max="6127" width="12" style="2" customWidth="1"/>
    <col min="6128" max="6128" width="14.85546875" style="2" customWidth="1"/>
    <col min="6129" max="6129" width="22.42578125" style="2" customWidth="1"/>
    <col min="6130" max="6130" width="14.85546875" style="2" customWidth="1"/>
    <col min="6131" max="6131" width="7.140625" style="2" customWidth="1"/>
    <col min="6132" max="6132" width="20.140625" style="2" customWidth="1"/>
    <col min="6133" max="6364" width="8.85546875" style="2" customWidth="1"/>
    <col min="6365" max="6365" width="8.140625" style="2" customWidth="1"/>
    <col min="6366" max="6366" width="14.5703125" style="2" customWidth="1"/>
    <col min="6367" max="6367" width="37.42578125" style="2" customWidth="1"/>
    <col min="6368" max="6368" width="63.140625" style="2" customWidth="1"/>
    <col min="6369" max="6369" width="20" style="2" customWidth="1"/>
    <col min="6370" max="6370" width="11.140625" style="2" customWidth="1"/>
    <col min="6371" max="6371" width="10.85546875" style="2" customWidth="1"/>
    <col min="6372" max="6372" width="21" style="2" customWidth="1"/>
    <col min="6373" max="6373" width="10.85546875" style="2" customWidth="1"/>
    <col min="6374" max="6374" width="17.42578125" style="2" customWidth="1"/>
    <col min="6375" max="6375" width="14.85546875" style="2" customWidth="1"/>
    <col min="6376" max="6376" width="15" style="2" customWidth="1"/>
    <col min="6377" max="6377" width="14.85546875" style="2" customWidth="1"/>
    <col min="6378" max="6378" width="7.140625" style="2" customWidth="1"/>
    <col min="6379" max="6380" width="20.140625" style="2" customWidth="1"/>
    <col min="6381" max="6381" width="18.42578125" style="2" customWidth="1"/>
    <col min="6382" max="6382" width="9.140625" style="2" customWidth="1"/>
    <col min="6383" max="6383" width="12" style="2" customWidth="1"/>
    <col min="6384" max="6384" width="14.85546875" style="2" customWidth="1"/>
    <col min="6385" max="6385" width="22.42578125" style="2" customWidth="1"/>
    <col min="6386" max="6386" width="14.85546875" style="2" customWidth="1"/>
    <col min="6387" max="6387" width="7.140625" style="2" customWidth="1"/>
    <col min="6388" max="6388" width="20.140625" style="2" customWidth="1"/>
    <col min="6389" max="6620" width="8.85546875" style="2" customWidth="1"/>
    <col min="6621" max="6621" width="8.140625" style="2" customWidth="1"/>
    <col min="6622" max="6622" width="14.5703125" style="2" customWidth="1"/>
    <col min="6623" max="6623" width="37.42578125" style="2" customWidth="1"/>
    <col min="6624" max="6624" width="63.140625" style="2" customWidth="1"/>
    <col min="6625" max="6625" width="20" style="2" customWidth="1"/>
    <col min="6626" max="6626" width="11.140625" style="2" customWidth="1"/>
    <col min="6627" max="6627" width="10.85546875" style="2" customWidth="1"/>
    <col min="6628" max="6628" width="21" style="2" customWidth="1"/>
    <col min="6629" max="6629" width="10.85546875" style="2" customWidth="1"/>
    <col min="6630" max="6630" width="17.42578125" style="2" customWidth="1"/>
    <col min="6631" max="6631" width="14.85546875" style="2" customWidth="1"/>
    <col min="6632" max="6632" width="15" style="2" customWidth="1"/>
    <col min="6633" max="6633" width="14.85546875" style="2" customWidth="1"/>
    <col min="6634" max="6634" width="7.140625" style="2" customWidth="1"/>
    <col min="6635" max="6636" width="20.140625" style="2" customWidth="1"/>
    <col min="6637" max="6637" width="18.42578125" style="2" customWidth="1"/>
    <col min="6638" max="6638" width="9.140625" style="2" customWidth="1"/>
    <col min="6639" max="6639" width="12" style="2" customWidth="1"/>
    <col min="6640" max="6640" width="14.85546875" style="2" customWidth="1"/>
    <col min="6641" max="6641" width="22.42578125" style="2" customWidth="1"/>
    <col min="6642" max="6642" width="14.85546875" style="2" customWidth="1"/>
    <col min="6643" max="6643" width="7.140625" style="2" customWidth="1"/>
    <col min="6644" max="6644" width="20.140625" style="2" customWidth="1"/>
    <col min="6645" max="6876" width="8.85546875" style="2" customWidth="1"/>
    <col min="6877" max="6877" width="8.140625" style="2" customWidth="1"/>
    <col min="6878" max="6878" width="14.5703125" style="2" customWidth="1"/>
    <col min="6879" max="6879" width="37.42578125" style="2" customWidth="1"/>
    <col min="6880" max="6880" width="63.140625" style="2" customWidth="1"/>
    <col min="6881" max="6881" width="20" style="2" customWidth="1"/>
    <col min="6882" max="6882" width="11.140625" style="2" customWidth="1"/>
    <col min="6883" max="6883" width="10.85546875" style="2" customWidth="1"/>
    <col min="6884" max="6884" width="21" style="2" customWidth="1"/>
    <col min="6885" max="6885" width="10.85546875" style="2" customWidth="1"/>
    <col min="6886" max="6886" width="17.42578125" style="2" customWidth="1"/>
    <col min="6887" max="6887" width="14.85546875" style="2" customWidth="1"/>
    <col min="6888" max="6888" width="15" style="2" customWidth="1"/>
    <col min="6889" max="6889" width="14.85546875" style="2" customWidth="1"/>
    <col min="6890" max="6890" width="7.140625" style="2" customWidth="1"/>
    <col min="6891" max="6892" width="20.140625" style="2" customWidth="1"/>
    <col min="6893" max="6893" width="18.42578125" style="2" customWidth="1"/>
    <col min="6894" max="6894" width="9.140625" style="2" customWidth="1"/>
    <col min="6895" max="6895" width="12" style="2" customWidth="1"/>
    <col min="6896" max="6896" width="14.85546875" style="2" customWidth="1"/>
    <col min="6897" max="6897" width="22.42578125" style="2" customWidth="1"/>
    <col min="6898" max="6898" width="14.85546875" style="2" customWidth="1"/>
    <col min="6899" max="6899" width="7.140625" style="2" customWidth="1"/>
    <col min="6900" max="6900" width="20.140625" style="2" customWidth="1"/>
    <col min="6901" max="7132" width="8.85546875" style="2" customWidth="1"/>
    <col min="7133" max="7133" width="8.140625" style="2" customWidth="1"/>
    <col min="7134" max="7134" width="14.5703125" style="2" customWidth="1"/>
    <col min="7135" max="7135" width="37.42578125" style="2" customWidth="1"/>
    <col min="7136" max="7136" width="63.140625" style="2" customWidth="1"/>
    <col min="7137" max="7137" width="20" style="2" customWidth="1"/>
    <col min="7138" max="7138" width="11.140625" style="2" customWidth="1"/>
    <col min="7139" max="7139" width="10.85546875" style="2" customWidth="1"/>
    <col min="7140" max="7140" width="21" style="2" customWidth="1"/>
    <col min="7141" max="7141" width="10.85546875" style="2" customWidth="1"/>
    <col min="7142" max="7142" width="17.42578125" style="2" customWidth="1"/>
    <col min="7143" max="7143" width="14.85546875" style="2" customWidth="1"/>
    <col min="7144" max="7144" width="15" style="2" customWidth="1"/>
    <col min="7145" max="7145" width="14.85546875" style="2" customWidth="1"/>
    <col min="7146" max="7146" width="7.140625" style="2" customWidth="1"/>
    <col min="7147" max="7148" width="20.140625" style="2" customWidth="1"/>
    <col min="7149" max="7149" width="18.42578125" style="2" customWidth="1"/>
    <col min="7150" max="7150" width="9.140625" style="2" customWidth="1"/>
    <col min="7151" max="7151" width="12" style="2" customWidth="1"/>
    <col min="7152" max="7152" width="14.85546875" style="2" customWidth="1"/>
    <col min="7153" max="7153" width="22.42578125" style="2" customWidth="1"/>
    <col min="7154" max="7154" width="14.85546875" style="2" customWidth="1"/>
    <col min="7155" max="7155" width="7.140625" style="2" customWidth="1"/>
    <col min="7156" max="7156" width="20.140625" style="2" customWidth="1"/>
    <col min="7157" max="7388" width="8.85546875" style="2" customWidth="1"/>
    <col min="7389" max="7389" width="8.140625" style="2" customWidth="1"/>
    <col min="7390" max="7390" width="14.5703125" style="2" customWidth="1"/>
    <col min="7391" max="7391" width="37.42578125" style="2" customWidth="1"/>
    <col min="7392" max="7392" width="63.140625" style="2" customWidth="1"/>
    <col min="7393" max="7393" width="20" style="2" customWidth="1"/>
    <col min="7394" max="7394" width="11.140625" style="2" customWidth="1"/>
    <col min="7395" max="7395" width="10.85546875" style="2" customWidth="1"/>
    <col min="7396" max="7396" width="21" style="2" customWidth="1"/>
    <col min="7397" max="7397" width="10.85546875" style="2" customWidth="1"/>
    <col min="7398" max="7398" width="17.42578125" style="2" customWidth="1"/>
    <col min="7399" max="7399" width="14.85546875" style="2" customWidth="1"/>
    <col min="7400" max="7400" width="15" style="2" customWidth="1"/>
    <col min="7401" max="7401" width="14.85546875" style="2" customWidth="1"/>
    <col min="7402" max="7402" width="7.140625" style="2" customWidth="1"/>
    <col min="7403" max="7404" width="20.140625" style="2" customWidth="1"/>
    <col min="7405" max="7405" width="18.42578125" style="2" customWidth="1"/>
    <col min="7406" max="7406" width="9.140625" style="2" customWidth="1"/>
    <col min="7407" max="7407" width="12" style="2" customWidth="1"/>
    <col min="7408" max="7408" width="14.85546875" style="2" customWidth="1"/>
    <col min="7409" max="7409" width="22.42578125" style="2" customWidth="1"/>
    <col min="7410" max="7410" width="14.85546875" style="2" customWidth="1"/>
    <col min="7411" max="7411" width="7.140625" style="2" customWidth="1"/>
    <col min="7412" max="7412" width="20.140625" style="2" customWidth="1"/>
    <col min="7413" max="7644" width="8.85546875" style="2" customWidth="1"/>
    <col min="7645" max="7645" width="8.140625" style="2" customWidth="1"/>
    <col min="7646" max="7646" width="14.5703125" style="2" customWidth="1"/>
    <col min="7647" max="7647" width="37.42578125" style="2" customWidth="1"/>
    <col min="7648" max="7648" width="63.140625" style="2" customWidth="1"/>
    <col min="7649" max="7649" width="20" style="2" customWidth="1"/>
    <col min="7650" max="7650" width="11.140625" style="2" customWidth="1"/>
    <col min="7651" max="7651" width="10.85546875" style="2" customWidth="1"/>
    <col min="7652" max="7652" width="21" style="2" customWidth="1"/>
    <col min="7653" max="7653" width="10.85546875" style="2" customWidth="1"/>
    <col min="7654" max="7654" width="17.42578125" style="2" customWidth="1"/>
    <col min="7655" max="7655" width="14.85546875" style="2" customWidth="1"/>
    <col min="7656" max="7656" width="15" style="2" customWidth="1"/>
    <col min="7657" max="7657" width="14.85546875" style="2" customWidth="1"/>
    <col min="7658" max="7658" width="7.140625" style="2" customWidth="1"/>
    <col min="7659" max="7660" width="20.140625" style="2" customWidth="1"/>
    <col min="7661" max="7661" width="18.42578125" style="2" customWidth="1"/>
    <col min="7662" max="7662" width="9.140625" style="2" customWidth="1"/>
    <col min="7663" max="7663" width="12" style="2" customWidth="1"/>
    <col min="7664" max="7664" width="14.85546875" style="2" customWidth="1"/>
    <col min="7665" max="7665" width="22.42578125" style="2" customWidth="1"/>
    <col min="7666" max="7666" width="14.85546875" style="2" customWidth="1"/>
    <col min="7667" max="7667" width="7.140625" style="2" customWidth="1"/>
    <col min="7668" max="7668" width="20.140625" style="2" customWidth="1"/>
    <col min="7669" max="7900" width="8.85546875" style="2" customWidth="1"/>
    <col min="7901" max="7901" width="8.140625" style="2" customWidth="1"/>
    <col min="7902" max="7902" width="14.5703125" style="2" customWidth="1"/>
    <col min="7903" max="7903" width="37.42578125" style="2" customWidth="1"/>
    <col min="7904" max="7904" width="63.140625" style="2" customWidth="1"/>
    <col min="7905" max="7905" width="20" style="2" customWidth="1"/>
    <col min="7906" max="7906" width="11.140625" style="2" customWidth="1"/>
    <col min="7907" max="7907" width="10.85546875" style="2" customWidth="1"/>
    <col min="7908" max="7908" width="21" style="2" customWidth="1"/>
    <col min="7909" max="7909" width="10.85546875" style="2" customWidth="1"/>
    <col min="7910" max="7910" width="17.42578125" style="2" customWidth="1"/>
    <col min="7911" max="7911" width="14.85546875" style="2" customWidth="1"/>
    <col min="7912" max="7912" width="15" style="2" customWidth="1"/>
    <col min="7913" max="7913" width="14.85546875" style="2" customWidth="1"/>
    <col min="7914" max="7914" width="7.140625" style="2" customWidth="1"/>
    <col min="7915" max="7916" width="20.140625" style="2" customWidth="1"/>
    <col min="7917" max="7917" width="18.42578125" style="2" customWidth="1"/>
    <col min="7918" max="7918" width="9.140625" style="2" customWidth="1"/>
    <col min="7919" max="7919" width="12" style="2" customWidth="1"/>
    <col min="7920" max="7920" width="14.85546875" style="2" customWidth="1"/>
    <col min="7921" max="7921" width="22.42578125" style="2" customWidth="1"/>
    <col min="7922" max="7922" width="14.85546875" style="2" customWidth="1"/>
    <col min="7923" max="7923" width="7.140625" style="2" customWidth="1"/>
    <col min="7924" max="7924" width="20.140625" style="2" customWidth="1"/>
    <col min="7925" max="8156" width="8.85546875" style="2" customWidth="1"/>
    <col min="8157" max="8157" width="8.140625" style="2" customWidth="1"/>
    <col min="8158" max="8158" width="14.5703125" style="2" customWidth="1"/>
    <col min="8159" max="8159" width="37.42578125" style="2" customWidth="1"/>
    <col min="8160" max="8160" width="63.140625" style="2" customWidth="1"/>
    <col min="8161" max="8161" width="20" style="2" customWidth="1"/>
    <col min="8162" max="8162" width="11.140625" style="2" customWidth="1"/>
    <col min="8163" max="8163" width="10.85546875" style="2" customWidth="1"/>
    <col min="8164" max="8164" width="21" style="2" customWidth="1"/>
    <col min="8165" max="8165" width="10.85546875" style="2" customWidth="1"/>
    <col min="8166" max="8166" width="17.42578125" style="2" customWidth="1"/>
    <col min="8167" max="8167" width="14.85546875" style="2" customWidth="1"/>
    <col min="8168" max="8168" width="15" style="2" customWidth="1"/>
    <col min="8169" max="8169" width="14.85546875" style="2" customWidth="1"/>
    <col min="8170" max="8170" width="7.140625" style="2" customWidth="1"/>
    <col min="8171" max="8172" width="20.140625" style="2" customWidth="1"/>
    <col min="8173" max="8173" width="18.42578125" style="2" customWidth="1"/>
    <col min="8174" max="8174" width="9.140625" style="2" customWidth="1"/>
    <col min="8175" max="8175" width="12" style="2" customWidth="1"/>
    <col min="8176" max="8176" width="14.85546875" style="2" customWidth="1"/>
    <col min="8177" max="8177" width="22.42578125" style="2" customWidth="1"/>
    <col min="8178" max="8178" width="14.85546875" style="2" customWidth="1"/>
    <col min="8179" max="8179" width="7.140625" style="2" customWidth="1"/>
    <col min="8180" max="8180" width="20.140625" style="2" customWidth="1"/>
    <col min="8181" max="8412" width="8.85546875" style="2" customWidth="1"/>
    <col min="8413" max="8413" width="8.140625" style="2" customWidth="1"/>
    <col min="8414" max="8414" width="14.5703125" style="2" customWidth="1"/>
    <col min="8415" max="8415" width="37.42578125" style="2" customWidth="1"/>
    <col min="8416" max="8416" width="63.140625" style="2" customWidth="1"/>
    <col min="8417" max="8417" width="20" style="2" customWidth="1"/>
    <col min="8418" max="8418" width="11.140625" style="2" customWidth="1"/>
    <col min="8419" max="8419" width="10.85546875" style="2" customWidth="1"/>
    <col min="8420" max="8420" width="21" style="2" customWidth="1"/>
    <col min="8421" max="8421" width="10.85546875" style="2" customWidth="1"/>
    <col min="8422" max="8422" width="17.42578125" style="2" customWidth="1"/>
    <col min="8423" max="8423" width="14.85546875" style="2" customWidth="1"/>
    <col min="8424" max="8424" width="15" style="2" customWidth="1"/>
    <col min="8425" max="8425" width="14.85546875" style="2" customWidth="1"/>
    <col min="8426" max="8426" width="7.140625" style="2" customWidth="1"/>
    <col min="8427" max="8428" width="20.140625" style="2" customWidth="1"/>
    <col min="8429" max="8429" width="18.42578125" style="2" customWidth="1"/>
    <col min="8430" max="8430" width="9.140625" style="2" customWidth="1"/>
    <col min="8431" max="8431" width="12" style="2" customWidth="1"/>
    <col min="8432" max="8432" width="14.85546875" style="2" customWidth="1"/>
    <col min="8433" max="8433" width="22.42578125" style="2" customWidth="1"/>
    <col min="8434" max="8434" width="14.85546875" style="2" customWidth="1"/>
    <col min="8435" max="8435" width="7.140625" style="2" customWidth="1"/>
    <col min="8436" max="8436" width="20.140625" style="2" customWidth="1"/>
    <col min="8437" max="8668" width="8.85546875" style="2" customWidth="1"/>
    <col min="8669" max="8669" width="8.140625" style="2" customWidth="1"/>
    <col min="8670" max="8670" width="14.5703125" style="2" customWidth="1"/>
    <col min="8671" max="8671" width="37.42578125" style="2" customWidth="1"/>
    <col min="8672" max="8672" width="63.140625" style="2" customWidth="1"/>
    <col min="8673" max="8673" width="20" style="2" customWidth="1"/>
    <col min="8674" max="8674" width="11.140625" style="2" customWidth="1"/>
    <col min="8675" max="8675" width="10.85546875" style="2" customWidth="1"/>
    <col min="8676" max="8676" width="21" style="2" customWidth="1"/>
    <col min="8677" max="8677" width="10.85546875" style="2" customWidth="1"/>
    <col min="8678" max="8678" width="17.42578125" style="2" customWidth="1"/>
    <col min="8679" max="8679" width="14.85546875" style="2" customWidth="1"/>
    <col min="8680" max="8680" width="15" style="2" customWidth="1"/>
    <col min="8681" max="8681" width="14.85546875" style="2" customWidth="1"/>
    <col min="8682" max="8682" width="7.140625" style="2" customWidth="1"/>
    <col min="8683" max="8684" width="20.140625" style="2" customWidth="1"/>
    <col min="8685" max="8685" width="18.42578125" style="2" customWidth="1"/>
    <col min="8686" max="8686" width="9.140625" style="2" customWidth="1"/>
    <col min="8687" max="8687" width="12" style="2" customWidth="1"/>
    <col min="8688" max="8688" width="14.85546875" style="2" customWidth="1"/>
    <col min="8689" max="8689" width="22.42578125" style="2" customWidth="1"/>
    <col min="8690" max="8690" width="14.85546875" style="2" customWidth="1"/>
    <col min="8691" max="8691" width="7.140625" style="2" customWidth="1"/>
    <col min="8692" max="8692" width="20.140625" style="2" customWidth="1"/>
    <col min="8693" max="8924" width="8.85546875" style="2" customWidth="1"/>
    <col min="8925" max="8925" width="8.140625" style="2" customWidth="1"/>
    <col min="8926" max="8926" width="14.5703125" style="2" customWidth="1"/>
    <col min="8927" max="8927" width="37.42578125" style="2" customWidth="1"/>
    <col min="8928" max="8928" width="63.140625" style="2" customWidth="1"/>
    <col min="8929" max="8929" width="20" style="2" customWidth="1"/>
    <col min="8930" max="8930" width="11.140625" style="2" customWidth="1"/>
    <col min="8931" max="8931" width="10.85546875" style="2" customWidth="1"/>
    <col min="8932" max="8932" width="21" style="2" customWidth="1"/>
    <col min="8933" max="8933" width="10.85546875" style="2" customWidth="1"/>
    <col min="8934" max="8934" width="17.42578125" style="2" customWidth="1"/>
    <col min="8935" max="8935" width="14.85546875" style="2" customWidth="1"/>
    <col min="8936" max="8936" width="15" style="2" customWidth="1"/>
    <col min="8937" max="8937" width="14.85546875" style="2" customWidth="1"/>
    <col min="8938" max="8938" width="7.140625" style="2" customWidth="1"/>
    <col min="8939" max="8940" width="20.140625" style="2" customWidth="1"/>
    <col min="8941" max="8941" width="18.42578125" style="2" customWidth="1"/>
    <col min="8942" max="8942" width="9.140625" style="2" customWidth="1"/>
    <col min="8943" max="8943" width="12" style="2" customWidth="1"/>
    <col min="8944" max="8944" width="14.85546875" style="2" customWidth="1"/>
    <col min="8945" max="8945" width="22.42578125" style="2" customWidth="1"/>
    <col min="8946" max="8946" width="14.85546875" style="2" customWidth="1"/>
    <col min="8947" max="8947" width="7.140625" style="2" customWidth="1"/>
    <col min="8948" max="8948" width="20.140625" style="2" customWidth="1"/>
    <col min="8949" max="9180" width="8.85546875" style="2" customWidth="1"/>
    <col min="9181" max="9181" width="8.140625" style="2" customWidth="1"/>
    <col min="9182" max="9182" width="14.5703125" style="2" customWidth="1"/>
    <col min="9183" max="9183" width="37.42578125" style="2" customWidth="1"/>
    <col min="9184" max="9184" width="63.140625" style="2" customWidth="1"/>
    <col min="9185" max="9185" width="20" style="2" customWidth="1"/>
    <col min="9186" max="9186" width="11.140625" style="2" customWidth="1"/>
    <col min="9187" max="9187" width="10.85546875" style="2" customWidth="1"/>
    <col min="9188" max="9188" width="21" style="2" customWidth="1"/>
    <col min="9189" max="9189" width="10.85546875" style="2" customWidth="1"/>
    <col min="9190" max="9190" width="17.42578125" style="2" customWidth="1"/>
    <col min="9191" max="9191" width="14.85546875" style="2" customWidth="1"/>
    <col min="9192" max="9192" width="15" style="2" customWidth="1"/>
    <col min="9193" max="9193" width="14.85546875" style="2" customWidth="1"/>
    <col min="9194" max="9194" width="7.140625" style="2" customWidth="1"/>
    <col min="9195" max="9196" width="20.140625" style="2" customWidth="1"/>
    <col min="9197" max="9197" width="18.42578125" style="2" customWidth="1"/>
    <col min="9198" max="9198" width="9.140625" style="2" customWidth="1"/>
    <col min="9199" max="9199" width="12" style="2" customWidth="1"/>
    <col min="9200" max="9200" width="14.85546875" style="2" customWidth="1"/>
    <col min="9201" max="9201" width="22.42578125" style="2" customWidth="1"/>
    <col min="9202" max="9202" width="14.85546875" style="2" customWidth="1"/>
    <col min="9203" max="9203" width="7.140625" style="2" customWidth="1"/>
    <col min="9204" max="9204" width="20.140625" style="2" customWidth="1"/>
    <col min="9205" max="9436" width="8.85546875" style="2" customWidth="1"/>
    <col min="9437" max="9437" width="8.140625" style="2" customWidth="1"/>
    <col min="9438" max="9438" width="14.5703125" style="2" customWidth="1"/>
    <col min="9439" max="9439" width="37.42578125" style="2" customWidth="1"/>
    <col min="9440" max="9440" width="63.140625" style="2" customWidth="1"/>
    <col min="9441" max="9441" width="20" style="2" customWidth="1"/>
    <col min="9442" max="9442" width="11.140625" style="2" customWidth="1"/>
    <col min="9443" max="9443" width="10.85546875" style="2" customWidth="1"/>
    <col min="9444" max="9444" width="21" style="2" customWidth="1"/>
    <col min="9445" max="9445" width="10.85546875" style="2" customWidth="1"/>
    <col min="9446" max="9446" width="17.42578125" style="2" customWidth="1"/>
    <col min="9447" max="9447" width="14.85546875" style="2" customWidth="1"/>
    <col min="9448" max="9448" width="15" style="2" customWidth="1"/>
    <col min="9449" max="9449" width="14.85546875" style="2" customWidth="1"/>
    <col min="9450" max="9450" width="7.140625" style="2" customWidth="1"/>
    <col min="9451" max="9452" width="20.140625" style="2" customWidth="1"/>
    <col min="9453" max="9453" width="18.42578125" style="2" customWidth="1"/>
    <col min="9454" max="9454" width="9.140625" style="2" customWidth="1"/>
    <col min="9455" max="9455" width="12" style="2" customWidth="1"/>
    <col min="9456" max="9456" width="14.85546875" style="2" customWidth="1"/>
    <col min="9457" max="9457" width="22.42578125" style="2" customWidth="1"/>
    <col min="9458" max="9458" width="14.85546875" style="2" customWidth="1"/>
    <col min="9459" max="9459" width="7.140625" style="2" customWidth="1"/>
    <col min="9460" max="9460" width="20.140625" style="2" customWidth="1"/>
    <col min="9461" max="9692" width="8.85546875" style="2" customWidth="1"/>
    <col min="9693" max="9693" width="8.140625" style="2" customWidth="1"/>
    <col min="9694" max="9694" width="14.5703125" style="2" customWidth="1"/>
    <col min="9695" max="9695" width="37.42578125" style="2" customWidth="1"/>
    <col min="9696" max="9696" width="63.140625" style="2" customWidth="1"/>
    <col min="9697" max="9697" width="20" style="2" customWidth="1"/>
    <col min="9698" max="9698" width="11.140625" style="2" customWidth="1"/>
    <col min="9699" max="9699" width="10.85546875" style="2" customWidth="1"/>
    <col min="9700" max="9700" width="21" style="2" customWidth="1"/>
    <col min="9701" max="9701" width="10.85546875" style="2" customWidth="1"/>
    <col min="9702" max="9702" width="17.42578125" style="2" customWidth="1"/>
    <col min="9703" max="9703" width="14.85546875" style="2" customWidth="1"/>
    <col min="9704" max="9704" width="15" style="2" customWidth="1"/>
    <col min="9705" max="9705" width="14.85546875" style="2" customWidth="1"/>
    <col min="9706" max="9706" width="7.140625" style="2" customWidth="1"/>
    <col min="9707" max="9708" width="20.140625" style="2" customWidth="1"/>
    <col min="9709" max="9709" width="18.42578125" style="2" customWidth="1"/>
    <col min="9710" max="9710" width="9.140625" style="2" customWidth="1"/>
    <col min="9711" max="9711" width="12" style="2" customWidth="1"/>
    <col min="9712" max="9712" width="14.85546875" style="2" customWidth="1"/>
    <col min="9713" max="9713" width="22.42578125" style="2" customWidth="1"/>
    <col min="9714" max="9714" width="14.85546875" style="2" customWidth="1"/>
    <col min="9715" max="9715" width="7.140625" style="2" customWidth="1"/>
    <col min="9716" max="9716" width="20.140625" style="2" customWidth="1"/>
    <col min="9717" max="9948" width="8.85546875" style="2" customWidth="1"/>
    <col min="9949" max="9949" width="8.140625" style="2" customWidth="1"/>
    <col min="9950" max="9950" width="14.5703125" style="2" customWidth="1"/>
    <col min="9951" max="9951" width="37.42578125" style="2" customWidth="1"/>
    <col min="9952" max="9952" width="63.140625" style="2" customWidth="1"/>
    <col min="9953" max="9953" width="20" style="2" customWidth="1"/>
    <col min="9954" max="9954" width="11.140625" style="2" customWidth="1"/>
    <col min="9955" max="9955" width="10.85546875" style="2" customWidth="1"/>
    <col min="9956" max="9956" width="21" style="2" customWidth="1"/>
    <col min="9957" max="9957" width="10.85546875" style="2" customWidth="1"/>
    <col min="9958" max="9958" width="17.42578125" style="2" customWidth="1"/>
    <col min="9959" max="9959" width="14.85546875" style="2" customWidth="1"/>
    <col min="9960" max="9960" width="15" style="2" customWidth="1"/>
    <col min="9961" max="9961" width="14.85546875" style="2" customWidth="1"/>
    <col min="9962" max="9962" width="7.140625" style="2" customWidth="1"/>
    <col min="9963" max="9964" width="20.140625" style="2" customWidth="1"/>
    <col min="9965" max="9965" width="18.42578125" style="2" customWidth="1"/>
    <col min="9966" max="9966" width="9.140625" style="2" customWidth="1"/>
    <col min="9967" max="9967" width="12" style="2" customWidth="1"/>
    <col min="9968" max="9968" width="14.85546875" style="2" customWidth="1"/>
    <col min="9969" max="9969" width="22.42578125" style="2" customWidth="1"/>
    <col min="9970" max="9970" width="14.85546875" style="2" customWidth="1"/>
    <col min="9971" max="9971" width="7.140625" style="2" customWidth="1"/>
    <col min="9972" max="9972" width="20.140625" style="2" customWidth="1"/>
    <col min="9973" max="10204" width="8.85546875" style="2" customWidth="1"/>
    <col min="10205" max="10205" width="8.140625" style="2" customWidth="1"/>
    <col min="10206" max="10206" width="14.5703125" style="2" customWidth="1"/>
    <col min="10207" max="10207" width="37.42578125" style="2" customWidth="1"/>
    <col min="10208" max="10208" width="63.140625" style="2" customWidth="1"/>
    <col min="10209" max="10209" width="20" style="2" customWidth="1"/>
    <col min="10210" max="10210" width="11.140625" style="2" customWidth="1"/>
    <col min="10211" max="10211" width="10.85546875" style="2" customWidth="1"/>
    <col min="10212" max="10212" width="21" style="2" customWidth="1"/>
    <col min="10213" max="10213" width="10.85546875" style="2" customWidth="1"/>
    <col min="10214" max="10214" width="17.42578125" style="2" customWidth="1"/>
    <col min="10215" max="10215" width="14.85546875" style="2" customWidth="1"/>
    <col min="10216" max="10216" width="15" style="2" customWidth="1"/>
    <col min="10217" max="10217" width="14.85546875" style="2" customWidth="1"/>
    <col min="10218" max="10218" width="7.140625" style="2" customWidth="1"/>
    <col min="10219" max="10220" width="20.140625" style="2" customWidth="1"/>
    <col min="10221" max="10221" width="18.42578125" style="2" customWidth="1"/>
    <col min="10222" max="10222" width="9.140625" style="2" customWidth="1"/>
    <col min="10223" max="10223" width="12" style="2" customWidth="1"/>
    <col min="10224" max="10224" width="14.85546875" style="2" customWidth="1"/>
    <col min="10225" max="10225" width="22.42578125" style="2" customWidth="1"/>
    <col min="10226" max="10226" width="14.85546875" style="2" customWidth="1"/>
    <col min="10227" max="10227" width="7.140625" style="2" customWidth="1"/>
    <col min="10228" max="10228" width="20.140625" style="2" customWidth="1"/>
    <col min="10229" max="10460" width="8.85546875" style="2" customWidth="1"/>
    <col min="10461" max="10461" width="8.140625" style="2" customWidth="1"/>
    <col min="10462" max="10462" width="14.5703125" style="2" customWidth="1"/>
    <col min="10463" max="10463" width="37.42578125" style="2" customWidth="1"/>
    <col min="10464" max="10464" width="63.140625" style="2" customWidth="1"/>
    <col min="10465" max="10465" width="20" style="2" customWidth="1"/>
    <col min="10466" max="10466" width="11.140625" style="2" customWidth="1"/>
    <col min="10467" max="10467" width="10.85546875" style="2" customWidth="1"/>
    <col min="10468" max="10468" width="21" style="2" customWidth="1"/>
    <col min="10469" max="10469" width="10.85546875" style="2" customWidth="1"/>
    <col min="10470" max="10470" width="17.42578125" style="2" customWidth="1"/>
    <col min="10471" max="10471" width="14.85546875" style="2" customWidth="1"/>
    <col min="10472" max="10472" width="15" style="2" customWidth="1"/>
    <col min="10473" max="10473" width="14.85546875" style="2" customWidth="1"/>
    <col min="10474" max="10474" width="7.140625" style="2" customWidth="1"/>
    <col min="10475" max="10476" width="20.140625" style="2" customWidth="1"/>
    <col min="10477" max="10477" width="18.42578125" style="2" customWidth="1"/>
    <col min="10478" max="10478" width="9.140625" style="2" customWidth="1"/>
    <col min="10479" max="10479" width="12" style="2" customWidth="1"/>
    <col min="10480" max="10480" width="14.85546875" style="2" customWidth="1"/>
    <col min="10481" max="10481" width="22.42578125" style="2" customWidth="1"/>
    <col min="10482" max="10482" width="14.85546875" style="2" customWidth="1"/>
    <col min="10483" max="10483" width="7.140625" style="2" customWidth="1"/>
    <col min="10484" max="10484" width="20.140625" style="2" customWidth="1"/>
    <col min="10485" max="10716" width="8.85546875" style="2" customWidth="1"/>
    <col min="10717" max="10717" width="8.140625" style="2" customWidth="1"/>
    <col min="10718" max="10718" width="14.5703125" style="2" customWidth="1"/>
    <col min="10719" max="10719" width="37.42578125" style="2" customWidth="1"/>
    <col min="10720" max="10720" width="63.140625" style="2" customWidth="1"/>
    <col min="10721" max="10721" width="20" style="2" customWidth="1"/>
    <col min="10722" max="10722" width="11.140625" style="2" customWidth="1"/>
    <col min="10723" max="10723" width="10.85546875" style="2" customWidth="1"/>
    <col min="10724" max="10724" width="21" style="2" customWidth="1"/>
    <col min="10725" max="10725" width="10.85546875" style="2" customWidth="1"/>
    <col min="10726" max="10726" width="17.42578125" style="2" customWidth="1"/>
    <col min="10727" max="10727" width="14.85546875" style="2" customWidth="1"/>
    <col min="10728" max="10728" width="15" style="2" customWidth="1"/>
    <col min="10729" max="10729" width="14.85546875" style="2" customWidth="1"/>
    <col min="10730" max="10730" width="7.140625" style="2" customWidth="1"/>
    <col min="10731" max="10732" width="20.140625" style="2" customWidth="1"/>
    <col min="10733" max="10733" width="18.42578125" style="2" customWidth="1"/>
    <col min="10734" max="10734" width="9.140625" style="2" customWidth="1"/>
    <col min="10735" max="10735" width="12" style="2" customWidth="1"/>
    <col min="10736" max="10736" width="14.85546875" style="2" customWidth="1"/>
    <col min="10737" max="10737" width="22.42578125" style="2" customWidth="1"/>
    <col min="10738" max="10738" width="14.85546875" style="2" customWidth="1"/>
    <col min="10739" max="10739" width="7.140625" style="2" customWidth="1"/>
    <col min="10740" max="10740" width="20.140625" style="2" customWidth="1"/>
    <col min="10741" max="10972" width="8.85546875" style="2" customWidth="1"/>
    <col min="10973" max="10973" width="8.140625" style="2" customWidth="1"/>
    <col min="10974" max="10974" width="14.5703125" style="2" customWidth="1"/>
    <col min="10975" max="10975" width="37.42578125" style="2" customWidth="1"/>
    <col min="10976" max="10976" width="63.140625" style="2" customWidth="1"/>
    <col min="10977" max="10977" width="20" style="2" customWidth="1"/>
    <col min="10978" max="10978" width="11.140625" style="2" customWidth="1"/>
    <col min="10979" max="10979" width="10.85546875" style="2" customWidth="1"/>
    <col min="10980" max="10980" width="21" style="2" customWidth="1"/>
    <col min="10981" max="10981" width="10.85546875" style="2" customWidth="1"/>
    <col min="10982" max="10982" width="17.42578125" style="2" customWidth="1"/>
    <col min="10983" max="10983" width="14.85546875" style="2" customWidth="1"/>
    <col min="10984" max="10984" width="15" style="2" customWidth="1"/>
    <col min="10985" max="10985" width="14.85546875" style="2" customWidth="1"/>
    <col min="10986" max="10986" width="7.140625" style="2" customWidth="1"/>
    <col min="10987" max="10988" width="20.140625" style="2" customWidth="1"/>
    <col min="10989" max="10989" width="18.42578125" style="2" customWidth="1"/>
    <col min="10990" max="10990" width="9.140625" style="2" customWidth="1"/>
    <col min="10991" max="10991" width="12" style="2" customWidth="1"/>
    <col min="10992" max="10992" width="14.85546875" style="2" customWidth="1"/>
    <col min="10993" max="10993" width="22.42578125" style="2" customWidth="1"/>
    <col min="10994" max="10994" width="14.85546875" style="2" customWidth="1"/>
    <col min="10995" max="10995" width="7.140625" style="2" customWidth="1"/>
    <col min="10996" max="10996" width="20.140625" style="2" customWidth="1"/>
    <col min="10997" max="11228" width="8.85546875" style="2" customWidth="1"/>
    <col min="11229" max="11229" width="8.140625" style="2" customWidth="1"/>
    <col min="11230" max="11230" width="14.5703125" style="2" customWidth="1"/>
    <col min="11231" max="11231" width="37.42578125" style="2" customWidth="1"/>
    <col min="11232" max="11232" width="63.140625" style="2" customWidth="1"/>
    <col min="11233" max="11233" width="20" style="2" customWidth="1"/>
    <col min="11234" max="11234" width="11.140625" style="2" customWidth="1"/>
    <col min="11235" max="11235" width="10.85546875" style="2" customWidth="1"/>
    <col min="11236" max="11236" width="21" style="2" customWidth="1"/>
    <col min="11237" max="11237" width="10.85546875" style="2" customWidth="1"/>
    <col min="11238" max="11238" width="17.42578125" style="2" customWidth="1"/>
    <col min="11239" max="11239" width="14.85546875" style="2" customWidth="1"/>
    <col min="11240" max="11240" width="15" style="2" customWidth="1"/>
    <col min="11241" max="11241" width="14.85546875" style="2" customWidth="1"/>
    <col min="11242" max="11242" width="7.140625" style="2" customWidth="1"/>
    <col min="11243" max="11244" width="20.140625" style="2" customWidth="1"/>
    <col min="11245" max="11245" width="18.42578125" style="2" customWidth="1"/>
    <col min="11246" max="11246" width="9.140625" style="2" customWidth="1"/>
    <col min="11247" max="11247" width="12" style="2" customWidth="1"/>
    <col min="11248" max="11248" width="14.85546875" style="2" customWidth="1"/>
    <col min="11249" max="11249" width="22.42578125" style="2" customWidth="1"/>
    <col min="11250" max="11250" width="14.85546875" style="2" customWidth="1"/>
    <col min="11251" max="11251" width="7.140625" style="2" customWidth="1"/>
    <col min="11252" max="11252" width="20.140625" style="2" customWidth="1"/>
    <col min="11253" max="11484" width="8.85546875" style="2" customWidth="1"/>
    <col min="11485" max="11485" width="8.140625" style="2" customWidth="1"/>
    <col min="11486" max="11486" width="14.5703125" style="2" customWidth="1"/>
    <col min="11487" max="11487" width="37.42578125" style="2" customWidth="1"/>
    <col min="11488" max="11488" width="63.140625" style="2" customWidth="1"/>
    <col min="11489" max="11489" width="20" style="2" customWidth="1"/>
    <col min="11490" max="11490" width="11.140625" style="2" customWidth="1"/>
    <col min="11491" max="11491" width="10.85546875" style="2" customWidth="1"/>
    <col min="11492" max="11492" width="21" style="2" customWidth="1"/>
    <col min="11493" max="11493" width="10.85546875" style="2" customWidth="1"/>
    <col min="11494" max="11494" width="17.42578125" style="2" customWidth="1"/>
    <col min="11495" max="11495" width="14.85546875" style="2" customWidth="1"/>
    <col min="11496" max="11496" width="15" style="2" customWidth="1"/>
    <col min="11497" max="11497" width="14.85546875" style="2" customWidth="1"/>
    <col min="11498" max="11498" width="7.140625" style="2" customWidth="1"/>
    <col min="11499" max="11500" width="20.140625" style="2" customWidth="1"/>
    <col min="11501" max="11501" width="18.42578125" style="2" customWidth="1"/>
    <col min="11502" max="11502" width="9.140625" style="2" customWidth="1"/>
    <col min="11503" max="11503" width="12" style="2" customWidth="1"/>
    <col min="11504" max="11504" width="14.85546875" style="2" customWidth="1"/>
    <col min="11505" max="11505" width="22.42578125" style="2" customWidth="1"/>
    <col min="11506" max="11506" width="14.85546875" style="2" customWidth="1"/>
    <col min="11507" max="11507" width="7.140625" style="2" customWidth="1"/>
    <col min="11508" max="11508" width="20.140625" style="2" customWidth="1"/>
    <col min="11509" max="11740" width="8.85546875" style="2" customWidth="1"/>
    <col min="11741" max="11741" width="8.140625" style="2" customWidth="1"/>
    <col min="11742" max="11742" width="14.5703125" style="2" customWidth="1"/>
    <col min="11743" max="11743" width="37.42578125" style="2" customWidth="1"/>
    <col min="11744" max="11744" width="63.140625" style="2" customWidth="1"/>
    <col min="11745" max="11745" width="20" style="2" customWidth="1"/>
    <col min="11746" max="11746" width="11.140625" style="2" customWidth="1"/>
    <col min="11747" max="11747" width="10.85546875" style="2" customWidth="1"/>
    <col min="11748" max="11748" width="21" style="2" customWidth="1"/>
    <col min="11749" max="11749" width="10.85546875" style="2" customWidth="1"/>
    <col min="11750" max="11750" width="17.42578125" style="2" customWidth="1"/>
    <col min="11751" max="11751" width="14.85546875" style="2" customWidth="1"/>
    <col min="11752" max="11752" width="15" style="2" customWidth="1"/>
    <col min="11753" max="11753" width="14.85546875" style="2" customWidth="1"/>
    <col min="11754" max="11754" width="7.140625" style="2" customWidth="1"/>
    <col min="11755" max="11756" width="20.140625" style="2" customWidth="1"/>
    <col min="11757" max="11757" width="18.42578125" style="2" customWidth="1"/>
    <col min="11758" max="11758" width="9.140625" style="2" customWidth="1"/>
    <col min="11759" max="11759" width="12" style="2" customWidth="1"/>
    <col min="11760" max="11760" width="14.85546875" style="2" customWidth="1"/>
    <col min="11761" max="11761" width="22.42578125" style="2" customWidth="1"/>
    <col min="11762" max="11762" width="14.85546875" style="2" customWidth="1"/>
    <col min="11763" max="11763" width="7.140625" style="2" customWidth="1"/>
    <col min="11764" max="11764" width="20.140625" style="2" customWidth="1"/>
    <col min="11765" max="11996" width="8.85546875" style="2" customWidth="1"/>
    <col min="11997" max="11997" width="8.140625" style="2" customWidth="1"/>
    <col min="11998" max="11998" width="14.5703125" style="2" customWidth="1"/>
    <col min="11999" max="11999" width="37.42578125" style="2" customWidth="1"/>
    <col min="12000" max="12000" width="63.140625" style="2" customWidth="1"/>
    <col min="12001" max="12001" width="20" style="2" customWidth="1"/>
    <col min="12002" max="12002" width="11.140625" style="2" customWidth="1"/>
    <col min="12003" max="12003" width="10.85546875" style="2" customWidth="1"/>
    <col min="12004" max="12004" width="21" style="2" customWidth="1"/>
    <col min="12005" max="12005" width="10.85546875" style="2" customWidth="1"/>
    <col min="12006" max="12006" width="17.42578125" style="2" customWidth="1"/>
    <col min="12007" max="12007" width="14.85546875" style="2" customWidth="1"/>
    <col min="12008" max="12008" width="15" style="2" customWidth="1"/>
    <col min="12009" max="12009" width="14.85546875" style="2" customWidth="1"/>
    <col min="12010" max="12010" width="7.140625" style="2" customWidth="1"/>
    <col min="12011" max="12012" width="20.140625" style="2" customWidth="1"/>
    <col min="12013" max="12013" width="18.42578125" style="2" customWidth="1"/>
    <col min="12014" max="12014" width="9.140625" style="2" customWidth="1"/>
    <col min="12015" max="12015" width="12" style="2" customWidth="1"/>
    <col min="12016" max="12016" width="14.85546875" style="2" customWidth="1"/>
    <col min="12017" max="12017" width="22.42578125" style="2" customWidth="1"/>
    <col min="12018" max="12018" width="14.85546875" style="2" customWidth="1"/>
    <col min="12019" max="12019" width="7.140625" style="2" customWidth="1"/>
    <col min="12020" max="12020" width="20.140625" style="2" customWidth="1"/>
    <col min="12021" max="12252" width="8.85546875" style="2" customWidth="1"/>
    <col min="12253" max="12253" width="8.140625" style="2" customWidth="1"/>
    <col min="12254" max="12254" width="14.5703125" style="2" customWidth="1"/>
    <col min="12255" max="12255" width="37.42578125" style="2" customWidth="1"/>
    <col min="12256" max="12256" width="63.140625" style="2" customWidth="1"/>
    <col min="12257" max="12257" width="20" style="2" customWidth="1"/>
    <col min="12258" max="12258" width="11.140625" style="2" customWidth="1"/>
    <col min="12259" max="12259" width="10.85546875" style="2" customWidth="1"/>
    <col min="12260" max="12260" width="21" style="2" customWidth="1"/>
    <col min="12261" max="12261" width="10.85546875" style="2" customWidth="1"/>
    <col min="12262" max="12262" width="17.42578125" style="2" customWidth="1"/>
    <col min="12263" max="12263" width="14.85546875" style="2" customWidth="1"/>
    <col min="12264" max="12264" width="15" style="2" customWidth="1"/>
    <col min="12265" max="12265" width="14.85546875" style="2" customWidth="1"/>
    <col min="12266" max="12266" width="7.140625" style="2" customWidth="1"/>
    <col min="12267" max="12268" width="20.140625" style="2" customWidth="1"/>
    <col min="12269" max="12269" width="18.42578125" style="2" customWidth="1"/>
    <col min="12270" max="12270" width="9.140625" style="2" customWidth="1"/>
    <col min="12271" max="12271" width="12" style="2" customWidth="1"/>
    <col min="12272" max="12272" width="14.85546875" style="2" customWidth="1"/>
    <col min="12273" max="12273" width="22.42578125" style="2" customWidth="1"/>
    <col min="12274" max="12274" width="14.85546875" style="2" customWidth="1"/>
    <col min="12275" max="12275" width="7.140625" style="2" customWidth="1"/>
    <col min="12276" max="12276" width="20.140625" style="2" customWidth="1"/>
    <col min="12277" max="12508" width="8.85546875" style="2" customWidth="1"/>
    <col min="12509" max="12509" width="8.140625" style="2" customWidth="1"/>
    <col min="12510" max="12510" width="14.5703125" style="2" customWidth="1"/>
    <col min="12511" max="12511" width="37.42578125" style="2" customWidth="1"/>
    <col min="12512" max="12512" width="63.140625" style="2" customWidth="1"/>
    <col min="12513" max="12513" width="20" style="2" customWidth="1"/>
    <col min="12514" max="12514" width="11.140625" style="2" customWidth="1"/>
    <col min="12515" max="12515" width="10.85546875" style="2" customWidth="1"/>
    <col min="12516" max="12516" width="21" style="2" customWidth="1"/>
    <col min="12517" max="12517" width="10.85546875" style="2" customWidth="1"/>
    <col min="12518" max="12518" width="17.42578125" style="2" customWidth="1"/>
    <col min="12519" max="12519" width="14.85546875" style="2" customWidth="1"/>
    <col min="12520" max="12520" width="15" style="2" customWidth="1"/>
    <col min="12521" max="12521" width="14.85546875" style="2" customWidth="1"/>
    <col min="12522" max="12522" width="7.140625" style="2" customWidth="1"/>
    <col min="12523" max="12524" width="20.140625" style="2" customWidth="1"/>
    <col min="12525" max="12525" width="18.42578125" style="2" customWidth="1"/>
    <col min="12526" max="12526" width="9.140625" style="2" customWidth="1"/>
    <col min="12527" max="12527" width="12" style="2" customWidth="1"/>
    <col min="12528" max="12528" width="14.85546875" style="2" customWidth="1"/>
    <col min="12529" max="12529" width="22.42578125" style="2" customWidth="1"/>
    <col min="12530" max="12530" width="14.85546875" style="2" customWidth="1"/>
    <col min="12531" max="12531" width="7.140625" style="2" customWidth="1"/>
    <col min="12532" max="12532" width="20.140625" style="2" customWidth="1"/>
    <col min="12533" max="12764" width="8.85546875" style="2" customWidth="1"/>
    <col min="12765" max="12765" width="8.140625" style="2" customWidth="1"/>
    <col min="12766" max="12766" width="14.5703125" style="2" customWidth="1"/>
    <col min="12767" max="12767" width="37.42578125" style="2" customWidth="1"/>
    <col min="12768" max="12768" width="63.140625" style="2" customWidth="1"/>
    <col min="12769" max="12769" width="20" style="2" customWidth="1"/>
    <col min="12770" max="12770" width="11.140625" style="2" customWidth="1"/>
    <col min="12771" max="12771" width="10.85546875" style="2" customWidth="1"/>
    <col min="12772" max="12772" width="21" style="2" customWidth="1"/>
    <col min="12773" max="12773" width="10.85546875" style="2" customWidth="1"/>
    <col min="12774" max="12774" width="17.42578125" style="2" customWidth="1"/>
    <col min="12775" max="12775" width="14.85546875" style="2" customWidth="1"/>
    <col min="12776" max="12776" width="15" style="2" customWidth="1"/>
    <col min="12777" max="12777" width="14.85546875" style="2" customWidth="1"/>
    <col min="12778" max="12778" width="7.140625" style="2" customWidth="1"/>
    <col min="12779" max="12780" width="20.140625" style="2" customWidth="1"/>
    <col min="12781" max="12781" width="18.42578125" style="2" customWidth="1"/>
    <col min="12782" max="12782" width="9.140625" style="2" customWidth="1"/>
    <col min="12783" max="12783" width="12" style="2" customWidth="1"/>
    <col min="12784" max="12784" width="14.85546875" style="2" customWidth="1"/>
    <col min="12785" max="12785" width="22.42578125" style="2" customWidth="1"/>
    <col min="12786" max="12786" width="14.85546875" style="2" customWidth="1"/>
    <col min="12787" max="12787" width="7.140625" style="2" customWidth="1"/>
    <col min="12788" max="12788" width="20.140625" style="2" customWidth="1"/>
    <col min="12789" max="13020" width="8.85546875" style="2" customWidth="1"/>
    <col min="13021" max="13021" width="8.140625" style="2" customWidth="1"/>
    <col min="13022" max="13022" width="14.5703125" style="2" customWidth="1"/>
    <col min="13023" max="13023" width="37.42578125" style="2" customWidth="1"/>
    <col min="13024" max="13024" width="63.140625" style="2" customWidth="1"/>
    <col min="13025" max="13025" width="20" style="2" customWidth="1"/>
    <col min="13026" max="13026" width="11.140625" style="2" customWidth="1"/>
    <col min="13027" max="13027" width="10.85546875" style="2" customWidth="1"/>
    <col min="13028" max="13028" width="21" style="2" customWidth="1"/>
    <col min="13029" max="13029" width="10.85546875" style="2" customWidth="1"/>
    <col min="13030" max="13030" width="17.42578125" style="2" customWidth="1"/>
    <col min="13031" max="13031" width="14.85546875" style="2" customWidth="1"/>
    <col min="13032" max="13032" width="15" style="2" customWidth="1"/>
    <col min="13033" max="13033" width="14.85546875" style="2" customWidth="1"/>
    <col min="13034" max="13034" width="7.140625" style="2" customWidth="1"/>
    <col min="13035" max="13036" width="20.140625" style="2" customWidth="1"/>
    <col min="13037" max="13037" width="18.42578125" style="2" customWidth="1"/>
    <col min="13038" max="13038" width="9.140625" style="2" customWidth="1"/>
    <col min="13039" max="13039" width="12" style="2" customWidth="1"/>
    <col min="13040" max="13040" width="14.85546875" style="2" customWidth="1"/>
    <col min="13041" max="13041" width="22.42578125" style="2" customWidth="1"/>
    <col min="13042" max="13042" width="14.85546875" style="2" customWidth="1"/>
    <col min="13043" max="13043" width="7.140625" style="2" customWidth="1"/>
    <col min="13044" max="13044" width="20.140625" style="2" customWidth="1"/>
    <col min="13045" max="13276" width="8.85546875" style="2" customWidth="1"/>
    <col min="13277" max="13277" width="8.140625" style="2" customWidth="1"/>
    <col min="13278" max="13278" width="14.5703125" style="2" customWidth="1"/>
    <col min="13279" max="13279" width="37.42578125" style="2" customWidth="1"/>
    <col min="13280" max="13280" width="63.140625" style="2" customWidth="1"/>
    <col min="13281" max="13281" width="20" style="2" customWidth="1"/>
    <col min="13282" max="13282" width="11.140625" style="2" customWidth="1"/>
    <col min="13283" max="13283" width="10.85546875" style="2" customWidth="1"/>
    <col min="13284" max="13284" width="21" style="2" customWidth="1"/>
    <col min="13285" max="13285" width="10.85546875" style="2" customWidth="1"/>
    <col min="13286" max="13286" width="17.42578125" style="2" customWidth="1"/>
    <col min="13287" max="13287" width="14.85546875" style="2" customWidth="1"/>
    <col min="13288" max="13288" width="15" style="2" customWidth="1"/>
    <col min="13289" max="13289" width="14.85546875" style="2" customWidth="1"/>
    <col min="13290" max="13290" width="7.140625" style="2" customWidth="1"/>
    <col min="13291" max="13292" width="20.140625" style="2" customWidth="1"/>
    <col min="13293" max="13293" width="18.42578125" style="2" customWidth="1"/>
    <col min="13294" max="13294" width="9.140625" style="2" customWidth="1"/>
    <col min="13295" max="13295" width="12" style="2" customWidth="1"/>
    <col min="13296" max="13296" width="14.85546875" style="2" customWidth="1"/>
    <col min="13297" max="13297" width="22.42578125" style="2" customWidth="1"/>
    <col min="13298" max="13298" width="14.85546875" style="2" customWidth="1"/>
    <col min="13299" max="13299" width="7.140625" style="2" customWidth="1"/>
    <col min="13300" max="13300" width="20.140625" style="2" customWidth="1"/>
    <col min="13301" max="13532" width="8.85546875" style="2" customWidth="1"/>
    <col min="13533" max="13533" width="8.140625" style="2" customWidth="1"/>
    <col min="13534" max="13534" width="14.5703125" style="2" customWidth="1"/>
    <col min="13535" max="13535" width="37.42578125" style="2" customWidth="1"/>
    <col min="13536" max="13536" width="63.140625" style="2" customWidth="1"/>
    <col min="13537" max="13537" width="20" style="2" customWidth="1"/>
    <col min="13538" max="13538" width="11.140625" style="2" customWidth="1"/>
    <col min="13539" max="13539" width="10.85546875" style="2" customWidth="1"/>
    <col min="13540" max="13540" width="21" style="2" customWidth="1"/>
    <col min="13541" max="13541" width="10.85546875" style="2" customWidth="1"/>
    <col min="13542" max="13542" width="17.42578125" style="2" customWidth="1"/>
    <col min="13543" max="13543" width="14.85546875" style="2" customWidth="1"/>
    <col min="13544" max="13544" width="15" style="2" customWidth="1"/>
    <col min="13545" max="13545" width="14.85546875" style="2" customWidth="1"/>
    <col min="13546" max="13546" width="7.140625" style="2" customWidth="1"/>
    <col min="13547" max="13548" width="20.140625" style="2" customWidth="1"/>
    <col min="13549" max="13549" width="18.42578125" style="2" customWidth="1"/>
    <col min="13550" max="13550" width="9.140625" style="2" customWidth="1"/>
    <col min="13551" max="13551" width="12" style="2" customWidth="1"/>
    <col min="13552" max="13552" width="14.85546875" style="2" customWidth="1"/>
    <col min="13553" max="13553" width="22.42578125" style="2" customWidth="1"/>
    <col min="13554" max="13554" width="14.85546875" style="2" customWidth="1"/>
    <col min="13555" max="13555" width="7.140625" style="2" customWidth="1"/>
    <col min="13556" max="13556" width="20.140625" style="2" customWidth="1"/>
    <col min="13557" max="13788" width="8.85546875" style="2" customWidth="1"/>
    <col min="13789" max="13789" width="8.140625" style="2" customWidth="1"/>
    <col min="13790" max="13790" width="14.5703125" style="2" customWidth="1"/>
    <col min="13791" max="13791" width="37.42578125" style="2" customWidth="1"/>
    <col min="13792" max="13792" width="63.140625" style="2" customWidth="1"/>
    <col min="13793" max="13793" width="20" style="2" customWidth="1"/>
    <col min="13794" max="13794" width="11.140625" style="2" customWidth="1"/>
    <col min="13795" max="13795" width="10.85546875" style="2" customWidth="1"/>
    <col min="13796" max="13796" width="21" style="2" customWidth="1"/>
    <col min="13797" max="13797" width="10.85546875" style="2" customWidth="1"/>
    <col min="13798" max="13798" width="17.42578125" style="2" customWidth="1"/>
    <col min="13799" max="13799" width="14.85546875" style="2" customWidth="1"/>
    <col min="13800" max="13800" width="15" style="2" customWidth="1"/>
    <col min="13801" max="13801" width="14.85546875" style="2" customWidth="1"/>
    <col min="13802" max="13802" width="7.140625" style="2" customWidth="1"/>
    <col min="13803" max="13804" width="20.140625" style="2" customWidth="1"/>
    <col min="13805" max="13805" width="18.42578125" style="2" customWidth="1"/>
    <col min="13806" max="13806" width="9.140625" style="2" customWidth="1"/>
    <col min="13807" max="13807" width="12" style="2" customWidth="1"/>
    <col min="13808" max="13808" width="14.85546875" style="2" customWidth="1"/>
    <col min="13809" max="13809" width="22.42578125" style="2" customWidth="1"/>
    <col min="13810" max="13810" width="14.85546875" style="2" customWidth="1"/>
    <col min="13811" max="13811" width="7.140625" style="2" customWidth="1"/>
    <col min="13812" max="13812" width="20.140625" style="2" customWidth="1"/>
    <col min="13813" max="14044" width="8.85546875" style="2" customWidth="1"/>
    <col min="14045" max="14045" width="8.140625" style="2" customWidth="1"/>
    <col min="14046" max="14046" width="14.5703125" style="2" customWidth="1"/>
    <col min="14047" max="14047" width="37.42578125" style="2" customWidth="1"/>
    <col min="14048" max="14048" width="63.140625" style="2" customWidth="1"/>
    <col min="14049" max="14049" width="20" style="2" customWidth="1"/>
    <col min="14050" max="14050" width="11.140625" style="2" customWidth="1"/>
    <col min="14051" max="14051" width="10.85546875" style="2" customWidth="1"/>
    <col min="14052" max="14052" width="21" style="2" customWidth="1"/>
    <col min="14053" max="14053" width="10.85546875" style="2" customWidth="1"/>
    <col min="14054" max="14054" width="17.42578125" style="2" customWidth="1"/>
    <col min="14055" max="14055" width="14.85546875" style="2" customWidth="1"/>
    <col min="14056" max="14056" width="15" style="2" customWidth="1"/>
    <col min="14057" max="14057" width="14.85546875" style="2" customWidth="1"/>
    <col min="14058" max="14058" width="7.140625" style="2" customWidth="1"/>
    <col min="14059" max="14060" width="20.140625" style="2" customWidth="1"/>
    <col min="14061" max="14061" width="18.42578125" style="2" customWidth="1"/>
    <col min="14062" max="14062" width="9.140625" style="2" customWidth="1"/>
    <col min="14063" max="14063" width="12" style="2" customWidth="1"/>
    <col min="14064" max="14064" width="14.85546875" style="2" customWidth="1"/>
    <col min="14065" max="14065" width="22.42578125" style="2" customWidth="1"/>
    <col min="14066" max="14066" width="14.85546875" style="2" customWidth="1"/>
    <col min="14067" max="14067" width="7.140625" style="2" customWidth="1"/>
    <col min="14068" max="14068" width="20.140625" style="2" customWidth="1"/>
    <col min="14069" max="14300" width="8.85546875" style="2" customWidth="1"/>
    <col min="14301" max="14301" width="8.140625" style="2" customWidth="1"/>
    <col min="14302" max="14302" width="14.5703125" style="2" customWidth="1"/>
    <col min="14303" max="14303" width="37.42578125" style="2" customWidth="1"/>
    <col min="14304" max="14304" width="63.140625" style="2" customWidth="1"/>
    <col min="14305" max="14305" width="20" style="2" customWidth="1"/>
    <col min="14306" max="14306" width="11.140625" style="2" customWidth="1"/>
    <col min="14307" max="14307" width="10.85546875" style="2" customWidth="1"/>
    <col min="14308" max="14308" width="21" style="2" customWidth="1"/>
    <col min="14309" max="14309" width="10.85546875" style="2" customWidth="1"/>
    <col min="14310" max="14310" width="17.42578125" style="2" customWidth="1"/>
    <col min="14311" max="14311" width="14.85546875" style="2" customWidth="1"/>
    <col min="14312" max="14312" width="15" style="2" customWidth="1"/>
    <col min="14313" max="14313" width="14.85546875" style="2" customWidth="1"/>
    <col min="14314" max="14314" width="7.140625" style="2" customWidth="1"/>
    <col min="14315" max="14316" width="20.140625" style="2" customWidth="1"/>
    <col min="14317" max="14317" width="18.42578125" style="2" customWidth="1"/>
    <col min="14318" max="14318" width="9.140625" style="2" customWidth="1"/>
    <col min="14319" max="14319" width="12" style="2" customWidth="1"/>
    <col min="14320" max="14320" width="14.85546875" style="2" customWidth="1"/>
    <col min="14321" max="14321" width="22.42578125" style="2" customWidth="1"/>
    <col min="14322" max="14322" width="14.85546875" style="2" customWidth="1"/>
    <col min="14323" max="14323" width="7.140625" style="2" customWidth="1"/>
    <col min="14324" max="14324" width="20.140625" style="2" customWidth="1"/>
    <col min="14325" max="14556" width="8.85546875" style="2" customWidth="1"/>
    <col min="14557" max="14557" width="8.140625" style="2" customWidth="1"/>
    <col min="14558" max="14558" width="14.5703125" style="2" customWidth="1"/>
    <col min="14559" max="14559" width="37.42578125" style="2" customWidth="1"/>
    <col min="14560" max="14560" width="63.140625" style="2" customWidth="1"/>
    <col min="14561" max="14561" width="20" style="2" customWidth="1"/>
    <col min="14562" max="14562" width="11.140625" style="2" customWidth="1"/>
    <col min="14563" max="14563" width="10.85546875" style="2" customWidth="1"/>
    <col min="14564" max="14564" width="21" style="2" customWidth="1"/>
    <col min="14565" max="14565" width="10.85546875" style="2" customWidth="1"/>
    <col min="14566" max="14566" width="17.42578125" style="2" customWidth="1"/>
    <col min="14567" max="14567" width="14.85546875" style="2" customWidth="1"/>
    <col min="14568" max="14568" width="15" style="2" customWidth="1"/>
    <col min="14569" max="14569" width="14.85546875" style="2" customWidth="1"/>
    <col min="14570" max="14570" width="7.140625" style="2" customWidth="1"/>
    <col min="14571" max="14572" width="20.140625" style="2" customWidth="1"/>
    <col min="14573" max="14573" width="18.42578125" style="2" customWidth="1"/>
    <col min="14574" max="14574" width="9.140625" style="2" customWidth="1"/>
    <col min="14575" max="14575" width="12" style="2" customWidth="1"/>
    <col min="14576" max="14576" width="14.85546875" style="2" customWidth="1"/>
    <col min="14577" max="14577" width="22.42578125" style="2" customWidth="1"/>
    <col min="14578" max="14578" width="14.85546875" style="2" customWidth="1"/>
    <col min="14579" max="14579" width="7.140625" style="2" customWidth="1"/>
    <col min="14580" max="14580" width="20.140625" style="2" customWidth="1"/>
    <col min="14581" max="14812" width="8.85546875" style="2" customWidth="1"/>
    <col min="14813" max="14813" width="8.140625" style="2" customWidth="1"/>
    <col min="14814" max="14814" width="14.5703125" style="2" customWidth="1"/>
    <col min="14815" max="14815" width="37.42578125" style="2" customWidth="1"/>
    <col min="14816" max="14816" width="63.140625" style="2" customWidth="1"/>
    <col min="14817" max="14817" width="20" style="2" customWidth="1"/>
    <col min="14818" max="14818" width="11.140625" style="2" customWidth="1"/>
    <col min="14819" max="14819" width="10.85546875" style="2" customWidth="1"/>
    <col min="14820" max="14820" width="21" style="2" customWidth="1"/>
    <col min="14821" max="14821" width="10.85546875" style="2" customWidth="1"/>
    <col min="14822" max="14822" width="17.42578125" style="2" customWidth="1"/>
    <col min="14823" max="14823" width="14.85546875" style="2" customWidth="1"/>
    <col min="14824" max="14824" width="15" style="2" customWidth="1"/>
    <col min="14825" max="14825" width="14.85546875" style="2" customWidth="1"/>
    <col min="14826" max="14826" width="7.140625" style="2" customWidth="1"/>
    <col min="14827" max="14828" width="20.140625" style="2" customWidth="1"/>
    <col min="14829" max="14829" width="18.42578125" style="2" customWidth="1"/>
    <col min="14830" max="14830" width="9.140625" style="2" customWidth="1"/>
    <col min="14831" max="14831" width="12" style="2" customWidth="1"/>
    <col min="14832" max="14832" width="14.85546875" style="2" customWidth="1"/>
    <col min="14833" max="14833" width="22.42578125" style="2" customWidth="1"/>
    <col min="14834" max="14834" width="14.85546875" style="2" customWidth="1"/>
    <col min="14835" max="14835" width="7.140625" style="2" customWidth="1"/>
    <col min="14836" max="14836" width="20.140625" style="2" customWidth="1"/>
    <col min="14837" max="15068" width="8.85546875" style="2" customWidth="1"/>
    <col min="15069" max="15069" width="8.140625" style="2" customWidth="1"/>
    <col min="15070" max="15070" width="14.5703125" style="2" customWidth="1"/>
    <col min="15071" max="15071" width="37.42578125" style="2" customWidth="1"/>
    <col min="15072" max="15072" width="63.140625" style="2" customWidth="1"/>
    <col min="15073" max="15073" width="20" style="2" customWidth="1"/>
    <col min="15074" max="15074" width="11.140625" style="2" customWidth="1"/>
    <col min="15075" max="15075" width="10.85546875" style="2" customWidth="1"/>
    <col min="15076" max="15076" width="21" style="2" customWidth="1"/>
    <col min="15077" max="15077" width="10.85546875" style="2" customWidth="1"/>
    <col min="15078" max="15078" width="17.42578125" style="2" customWidth="1"/>
    <col min="15079" max="15079" width="14.85546875" style="2" customWidth="1"/>
    <col min="15080" max="15080" width="15" style="2" customWidth="1"/>
    <col min="15081" max="15081" width="14.85546875" style="2" customWidth="1"/>
    <col min="15082" max="15082" width="7.140625" style="2" customWidth="1"/>
    <col min="15083" max="15084" width="20.140625" style="2" customWidth="1"/>
    <col min="15085" max="15085" width="18.42578125" style="2" customWidth="1"/>
    <col min="15086" max="15086" width="9.140625" style="2" customWidth="1"/>
    <col min="15087" max="15087" width="12" style="2" customWidth="1"/>
    <col min="15088" max="15088" width="14.85546875" style="2" customWidth="1"/>
    <col min="15089" max="15089" width="22.42578125" style="2" customWidth="1"/>
    <col min="15090" max="15090" width="14.85546875" style="2" customWidth="1"/>
    <col min="15091" max="15091" width="7.140625" style="2" customWidth="1"/>
    <col min="15092" max="15092" width="20.140625" style="2" customWidth="1"/>
    <col min="15093" max="15324" width="8.85546875" style="2" customWidth="1"/>
    <col min="15325" max="15325" width="8.140625" style="2" customWidth="1"/>
    <col min="15326" max="15326" width="14.5703125" style="2" customWidth="1"/>
    <col min="15327" max="15327" width="37.42578125" style="2" customWidth="1"/>
    <col min="15328" max="15328" width="63.140625" style="2" customWidth="1"/>
    <col min="15329" max="15329" width="20" style="2" customWidth="1"/>
    <col min="15330" max="15330" width="11.140625" style="2" customWidth="1"/>
    <col min="15331" max="15331" width="10.85546875" style="2" customWidth="1"/>
    <col min="15332" max="15332" width="21" style="2" customWidth="1"/>
    <col min="15333" max="15333" width="10.85546875" style="2" customWidth="1"/>
    <col min="15334" max="15334" width="17.42578125" style="2" customWidth="1"/>
    <col min="15335" max="15335" width="14.85546875" style="2" customWidth="1"/>
    <col min="15336" max="15336" width="15" style="2" customWidth="1"/>
    <col min="15337" max="15337" width="14.85546875" style="2" customWidth="1"/>
    <col min="15338" max="15338" width="7.140625" style="2" customWidth="1"/>
    <col min="15339" max="15340" width="20.140625" style="2" customWidth="1"/>
    <col min="15341" max="15341" width="18.42578125" style="2" customWidth="1"/>
    <col min="15342" max="15342" width="9.140625" style="2" customWidth="1"/>
    <col min="15343" max="15343" width="12" style="2" customWidth="1"/>
    <col min="15344" max="15344" width="14.85546875" style="2" customWidth="1"/>
    <col min="15345" max="15345" width="22.42578125" style="2" customWidth="1"/>
    <col min="15346" max="15346" width="14.85546875" style="2" customWidth="1"/>
    <col min="15347" max="15347" width="7.140625" style="2" customWidth="1"/>
    <col min="15348" max="15348" width="20.140625" style="2" customWidth="1"/>
    <col min="15349" max="15580" width="8.85546875" style="2" customWidth="1"/>
    <col min="15581" max="15581" width="8.140625" style="2" customWidth="1"/>
    <col min="15582" max="15582" width="14.5703125" style="2" customWidth="1"/>
    <col min="15583" max="15583" width="37.42578125" style="2" customWidth="1"/>
    <col min="15584" max="15584" width="63.140625" style="2" customWidth="1"/>
    <col min="15585" max="15585" width="20" style="2" customWidth="1"/>
    <col min="15586" max="15586" width="11.140625" style="2" customWidth="1"/>
    <col min="15587" max="15587" width="10.85546875" style="2" customWidth="1"/>
    <col min="15588" max="15588" width="21" style="2" customWidth="1"/>
    <col min="15589" max="15589" width="10.85546875" style="2" customWidth="1"/>
    <col min="15590" max="15590" width="17.42578125" style="2" customWidth="1"/>
    <col min="15591" max="15591" width="14.85546875" style="2" customWidth="1"/>
    <col min="15592" max="15592" width="15" style="2" customWidth="1"/>
    <col min="15593" max="15593" width="14.85546875" style="2" customWidth="1"/>
    <col min="15594" max="15594" width="7.140625" style="2" customWidth="1"/>
    <col min="15595" max="15596" width="20.140625" style="2" customWidth="1"/>
    <col min="15597" max="15597" width="18.42578125" style="2" customWidth="1"/>
    <col min="15598" max="15598" width="9.140625" style="2" customWidth="1"/>
    <col min="15599" max="15599" width="12" style="2" customWidth="1"/>
    <col min="15600" max="15600" width="14.85546875" style="2" customWidth="1"/>
    <col min="15601" max="15601" width="22.42578125" style="2" customWidth="1"/>
    <col min="15602" max="15602" width="14.85546875" style="2" customWidth="1"/>
    <col min="15603" max="15603" width="7.140625" style="2" customWidth="1"/>
    <col min="15604" max="15604" width="20.140625" style="2" customWidth="1"/>
    <col min="15605" max="15836" width="8.85546875" style="2" customWidth="1"/>
    <col min="15837" max="15837" width="8.140625" style="2" customWidth="1"/>
    <col min="15838" max="15838" width="14.5703125" style="2" customWidth="1"/>
    <col min="15839" max="15839" width="37.42578125" style="2" customWidth="1"/>
    <col min="15840" max="15840" width="63.140625" style="2" customWidth="1"/>
    <col min="15841" max="15841" width="20" style="2" customWidth="1"/>
    <col min="15842" max="15842" width="11.140625" style="2" customWidth="1"/>
    <col min="15843" max="15843" width="10.85546875" style="2" customWidth="1"/>
    <col min="15844" max="15844" width="21" style="2" customWidth="1"/>
    <col min="15845" max="15845" width="10.85546875" style="2" customWidth="1"/>
    <col min="15846" max="15846" width="17.42578125" style="2" customWidth="1"/>
    <col min="15847" max="15847" width="14.85546875" style="2" customWidth="1"/>
    <col min="15848" max="15848" width="15" style="2" customWidth="1"/>
    <col min="15849" max="15849" width="14.85546875" style="2" customWidth="1"/>
    <col min="15850" max="15850" width="7.140625" style="2" customWidth="1"/>
    <col min="15851" max="15852" width="20.140625" style="2" customWidth="1"/>
    <col min="15853" max="15853" width="18.42578125" style="2" customWidth="1"/>
    <col min="15854" max="15854" width="9.140625" style="2" customWidth="1"/>
    <col min="15855" max="15855" width="12" style="2" customWidth="1"/>
    <col min="15856" max="15856" width="14.85546875" style="2" customWidth="1"/>
    <col min="15857" max="15857" width="22.42578125" style="2" customWidth="1"/>
    <col min="15858" max="15858" width="14.85546875" style="2" customWidth="1"/>
    <col min="15859" max="15859" width="7.140625" style="2" customWidth="1"/>
    <col min="15860" max="15860" width="20.140625" style="2" customWidth="1"/>
    <col min="15861" max="16092" width="8.85546875" style="2" customWidth="1"/>
    <col min="16093" max="16093" width="8.140625" style="2" customWidth="1"/>
    <col min="16094" max="16094" width="14.5703125" style="2" customWidth="1"/>
    <col min="16095" max="16095" width="37.42578125" style="2" customWidth="1"/>
    <col min="16096" max="16096" width="63.140625" style="2" customWidth="1"/>
    <col min="16097" max="16097" width="20" style="2" customWidth="1"/>
    <col min="16098" max="16098" width="11.140625" style="2" customWidth="1"/>
    <col min="16099" max="16099" width="10.85546875" style="2" customWidth="1"/>
    <col min="16100" max="16100" width="21" style="2" customWidth="1"/>
    <col min="16101" max="16101" width="10.85546875" style="2" customWidth="1"/>
    <col min="16102" max="16102" width="17.42578125" style="2" customWidth="1"/>
    <col min="16103" max="16103" width="14.85546875" style="2" customWidth="1"/>
    <col min="16104" max="16104" width="15" style="2" customWidth="1"/>
    <col min="16105" max="16105" width="14.85546875" style="2" customWidth="1"/>
    <col min="16106" max="16106" width="7.140625" style="2" customWidth="1"/>
    <col min="16107" max="16108" width="20.140625" style="2" customWidth="1"/>
    <col min="16109" max="16109" width="18.42578125" style="2" customWidth="1"/>
    <col min="16110" max="16110" width="9.140625" style="2" customWidth="1"/>
    <col min="16111" max="16111" width="12" style="2" customWidth="1"/>
    <col min="16112" max="16112" width="14.85546875" style="2" customWidth="1"/>
    <col min="16113" max="16113" width="22.42578125" style="2" customWidth="1"/>
    <col min="16114" max="16114" width="14.85546875" style="2" customWidth="1"/>
    <col min="16115" max="16115" width="7.140625" style="2" customWidth="1"/>
    <col min="16116" max="16116" width="20.140625" style="2" customWidth="1"/>
    <col min="16117" max="16384" width="8.85546875" style="2" customWidth="1"/>
  </cols>
  <sheetData>
    <row r="1" spans="1:21" ht="14.1" customHeight="1">
      <c r="A1" s="1" t="s">
        <v>2059</v>
      </c>
      <c r="B1" s="2"/>
      <c r="C1" s="2"/>
      <c r="D1" s="2"/>
      <c r="F1" s="2"/>
      <c r="H1" s="2"/>
      <c r="J1" s="2"/>
      <c r="K1" s="2"/>
      <c r="L1" s="2"/>
      <c r="M1" s="2"/>
      <c r="N1" s="2"/>
      <c r="O1" s="2"/>
      <c r="P1" s="2"/>
      <c r="R1" s="10"/>
    </row>
    <row r="2" spans="1:21" s="4" customFormat="1" ht="14.1" customHeight="1">
      <c r="A2" s="4" t="s">
        <v>2060</v>
      </c>
      <c r="E2" s="69"/>
      <c r="R2" s="336"/>
    </row>
    <row r="3" spans="1:21" s="6" customFormat="1" ht="14.1" customHeight="1">
      <c r="A3" s="3"/>
      <c r="B3" s="16"/>
      <c r="C3" s="16"/>
      <c r="D3" s="23"/>
      <c r="E3" s="16"/>
      <c r="F3" s="23"/>
      <c r="G3" s="15"/>
      <c r="H3" s="25"/>
      <c r="I3" s="15"/>
      <c r="J3" s="25"/>
      <c r="K3" s="25"/>
      <c r="L3" s="25"/>
      <c r="M3" s="25"/>
      <c r="N3" s="25"/>
      <c r="O3" s="25"/>
      <c r="P3" s="25"/>
      <c r="Q3" s="2"/>
      <c r="R3" s="355" t="s">
        <v>2</v>
      </c>
      <c r="S3" s="2"/>
      <c r="T3" s="2"/>
      <c r="U3" s="2"/>
    </row>
    <row r="4" spans="1:21" s="5" customFormat="1" ht="33" customHeight="1">
      <c r="A4" s="21" t="s">
        <v>3</v>
      </c>
      <c r="B4" s="52" t="s">
        <v>4</v>
      </c>
      <c r="C4" s="52" t="s">
        <v>5</v>
      </c>
      <c r="D4" s="21" t="s">
        <v>6</v>
      </c>
      <c r="E4" s="21" t="s">
        <v>7</v>
      </c>
      <c r="F4" s="21" t="s">
        <v>8</v>
      </c>
      <c r="G4" s="21" t="s">
        <v>9</v>
      </c>
      <c r="H4" s="21" t="s">
        <v>10</v>
      </c>
      <c r="I4" s="21" t="s">
        <v>11</v>
      </c>
      <c r="J4" s="21" t="s">
        <v>12</v>
      </c>
      <c r="K4" s="21" t="s">
        <v>13</v>
      </c>
      <c r="L4" s="21" t="s">
        <v>14</v>
      </c>
      <c r="M4" s="21" t="s">
        <v>15</v>
      </c>
      <c r="N4" s="21" t="s">
        <v>16</v>
      </c>
      <c r="O4" s="21" t="s">
        <v>17</v>
      </c>
      <c r="P4" s="21" t="s">
        <v>18</v>
      </c>
      <c r="Q4" s="3"/>
      <c r="R4" s="41" t="s">
        <v>19</v>
      </c>
      <c r="S4" s="20"/>
      <c r="T4" s="42" t="s">
        <v>20</v>
      </c>
      <c r="U4" s="42" t="s">
        <v>21</v>
      </c>
    </row>
    <row r="5" spans="1:21" s="318" customFormat="1" ht="14.1" customHeight="1">
      <c r="A5" s="311">
        <v>1</v>
      </c>
      <c r="B5" s="247" t="s">
        <v>332</v>
      </c>
      <c r="C5" s="247" t="s">
        <v>2061</v>
      </c>
      <c r="D5" s="311" t="s">
        <v>684</v>
      </c>
      <c r="E5" s="247" t="s">
        <v>413</v>
      </c>
      <c r="F5" s="311" t="s">
        <v>2062</v>
      </c>
      <c r="G5" s="317" t="s">
        <v>2063</v>
      </c>
      <c r="H5" s="311" t="s">
        <v>2064</v>
      </c>
      <c r="I5" s="317" t="s">
        <v>2065</v>
      </c>
      <c r="J5" s="311" t="s">
        <v>30</v>
      </c>
      <c r="K5" s="311">
        <v>38</v>
      </c>
      <c r="L5" s="311" t="s">
        <v>2066</v>
      </c>
      <c r="M5" s="311" t="s">
        <v>2067</v>
      </c>
      <c r="N5" s="311">
        <v>1</v>
      </c>
      <c r="O5" s="311" t="s">
        <v>2068</v>
      </c>
      <c r="P5" s="311"/>
      <c r="R5" s="319">
        <v>1395.3581963473109</v>
      </c>
      <c r="S5" s="310"/>
      <c r="T5" s="311" t="s">
        <v>34</v>
      </c>
      <c r="U5" s="317"/>
    </row>
    <row r="6" spans="1:21" s="318" customFormat="1" ht="14.1" customHeight="1">
      <c r="A6" s="311">
        <v>2</v>
      </c>
      <c r="B6" s="247" t="s">
        <v>332</v>
      </c>
      <c r="C6" s="247" t="s">
        <v>2061</v>
      </c>
      <c r="D6" s="311" t="s">
        <v>684</v>
      </c>
      <c r="E6" s="247" t="s">
        <v>413</v>
      </c>
      <c r="F6" s="311" t="s">
        <v>2062</v>
      </c>
      <c r="G6" s="317" t="s">
        <v>2069</v>
      </c>
      <c r="H6" s="311" t="s">
        <v>2064</v>
      </c>
      <c r="I6" s="317" t="s">
        <v>2070</v>
      </c>
      <c r="J6" s="311" t="s">
        <v>30</v>
      </c>
      <c r="K6" s="311">
        <v>38</v>
      </c>
      <c r="L6" s="311" t="s">
        <v>2066</v>
      </c>
      <c r="M6" s="311" t="s">
        <v>2067</v>
      </c>
      <c r="N6" s="311">
        <v>1</v>
      </c>
      <c r="O6" s="311" t="s">
        <v>2068</v>
      </c>
      <c r="P6" s="311"/>
      <c r="R6" s="319">
        <v>1483.558192802526</v>
      </c>
      <c r="T6" s="311" t="s">
        <v>34</v>
      </c>
      <c r="U6" s="317"/>
    </row>
    <row r="7" spans="1:21" s="318" customFormat="1" ht="14.1" customHeight="1">
      <c r="A7" s="311">
        <v>3</v>
      </c>
      <c r="B7" s="247" t="s">
        <v>332</v>
      </c>
      <c r="C7" s="247" t="s">
        <v>2061</v>
      </c>
      <c r="D7" s="311" t="s">
        <v>684</v>
      </c>
      <c r="E7" s="247" t="s">
        <v>413</v>
      </c>
      <c r="F7" s="311" t="s">
        <v>2062</v>
      </c>
      <c r="G7" s="317" t="s">
        <v>2071</v>
      </c>
      <c r="H7" s="311" t="s">
        <v>2064</v>
      </c>
      <c r="I7" s="317" t="s">
        <v>2072</v>
      </c>
      <c r="J7" s="311" t="s">
        <v>30</v>
      </c>
      <c r="K7" s="311">
        <v>38</v>
      </c>
      <c r="L7" s="311" t="s">
        <v>2066</v>
      </c>
      <c r="M7" s="311" t="s">
        <v>2067</v>
      </c>
      <c r="N7" s="311">
        <v>1</v>
      </c>
      <c r="O7" s="311" t="s">
        <v>2068</v>
      </c>
      <c r="P7" s="311"/>
      <c r="R7" s="319">
        <v>1483.558192802526</v>
      </c>
      <c r="T7" s="311" t="s">
        <v>34</v>
      </c>
      <c r="U7" s="317"/>
    </row>
    <row r="8" spans="1:21" s="318" customFormat="1" ht="14.1" customHeight="1">
      <c r="A8" s="311">
        <v>4</v>
      </c>
      <c r="B8" s="247" t="s">
        <v>332</v>
      </c>
      <c r="C8" s="247" t="s">
        <v>2061</v>
      </c>
      <c r="D8" s="311" t="s">
        <v>684</v>
      </c>
      <c r="E8" s="247" t="s">
        <v>413</v>
      </c>
      <c r="F8" s="311" t="s">
        <v>2062</v>
      </c>
      <c r="G8" s="317" t="s">
        <v>2073</v>
      </c>
      <c r="H8" s="311" t="s">
        <v>2064</v>
      </c>
      <c r="I8" s="317" t="s">
        <v>2074</v>
      </c>
      <c r="J8" s="311" t="s">
        <v>30</v>
      </c>
      <c r="K8" s="311">
        <v>38</v>
      </c>
      <c r="L8" s="311" t="s">
        <v>2066</v>
      </c>
      <c r="M8" s="311" t="s">
        <v>2067</v>
      </c>
      <c r="N8" s="311">
        <v>1</v>
      </c>
      <c r="O8" s="311" t="s">
        <v>2068</v>
      </c>
      <c r="P8" s="311"/>
      <c r="R8" s="319">
        <v>1571.7581892577421</v>
      </c>
      <c r="T8" s="311" t="s">
        <v>34</v>
      </c>
      <c r="U8" s="317"/>
    </row>
    <row r="9" spans="1:21" s="318" customFormat="1" ht="14.1" customHeight="1">
      <c r="A9" s="311">
        <v>5</v>
      </c>
      <c r="B9" s="247" t="s">
        <v>332</v>
      </c>
      <c r="C9" s="247" t="s">
        <v>2061</v>
      </c>
      <c r="D9" s="311" t="s">
        <v>684</v>
      </c>
      <c r="E9" s="247" t="s">
        <v>413</v>
      </c>
      <c r="F9" s="311" t="s">
        <v>2062</v>
      </c>
      <c r="G9" s="317" t="s">
        <v>2075</v>
      </c>
      <c r="H9" s="311" t="s">
        <v>2064</v>
      </c>
      <c r="I9" s="317" t="s">
        <v>2076</v>
      </c>
      <c r="J9" s="311" t="s">
        <v>30</v>
      </c>
      <c r="K9" s="311">
        <v>38</v>
      </c>
      <c r="L9" s="311" t="s">
        <v>2066</v>
      </c>
      <c r="M9" s="311" t="s">
        <v>2067</v>
      </c>
      <c r="N9" s="311">
        <v>1</v>
      </c>
      <c r="O9" s="311" t="s">
        <v>2068</v>
      </c>
      <c r="P9" s="311"/>
      <c r="R9" s="319">
        <v>1571.7581892577421</v>
      </c>
      <c r="T9" s="311" t="s">
        <v>34</v>
      </c>
      <c r="U9" s="317"/>
    </row>
    <row r="10" spans="1:21" s="318" customFormat="1" ht="14.1" customHeight="1">
      <c r="A10" s="311">
        <v>6</v>
      </c>
      <c r="B10" s="247" t="s">
        <v>332</v>
      </c>
      <c r="C10" s="247" t="s">
        <v>2061</v>
      </c>
      <c r="D10" s="311" t="s">
        <v>684</v>
      </c>
      <c r="E10" s="247" t="s">
        <v>413</v>
      </c>
      <c r="F10" s="311" t="s">
        <v>2062</v>
      </c>
      <c r="G10" s="317" t="s">
        <v>2077</v>
      </c>
      <c r="H10" s="311" t="s">
        <v>2064</v>
      </c>
      <c r="I10" s="317" t="s">
        <v>2078</v>
      </c>
      <c r="J10" s="311" t="s">
        <v>30</v>
      </c>
      <c r="K10" s="311">
        <v>38</v>
      </c>
      <c r="L10" s="311" t="s">
        <v>2066</v>
      </c>
      <c r="M10" s="311" t="s">
        <v>2067</v>
      </c>
      <c r="N10" s="311">
        <v>1</v>
      </c>
      <c r="O10" s="311" t="s">
        <v>2068</v>
      </c>
      <c r="P10" s="311"/>
      <c r="R10" s="319">
        <v>1659.9581857129569</v>
      </c>
      <c r="T10" s="311" t="s">
        <v>34</v>
      </c>
      <c r="U10" s="317"/>
    </row>
    <row r="11" spans="1:21" s="318" customFormat="1" ht="14.1" customHeight="1">
      <c r="A11" s="311">
        <v>7</v>
      </c>
      <c r="B11" s="247" t="s">
        <v>332</v>
      </c>
      <c r="C11" s="247" t="s">
        <v>2061</v>
      </c>
      <c r="D11" s="311" t="s">
        <v>684</v>
      </c>
      <c r="E11" s="247" t="s">
        <v>413</v>
      </c>
      <c r="F11" s="311" t="s">
        <v>2062</v>
      </c>
      <c r="G11" s="317" t="s">
        <v>2079</v>
      </c>
      <c r="H11" s="311" t="s">
        <v>2064</v>
      </c>
      <c r="I11" s="317" t="s">
        <v>2080</v>
      </c>
      <c r="J11" s="311" t="s">
        <v>30</v>
      </c>
      <c r="K11" s="311">
        <v>38</v>
      </c>
      <c r="L11" s="311" t="s">
        <v>2066</v>
      </c>
      <c r="M11" s="311" t="s">
        <v>2067</v>
      </c>
      <c r="N11" s="311">
        <v>1</v>
      </c>
      <c r="O11" s="311" t="s">
        <v>2068</v>
      </c>
      <c r="P11" s="311"/>
      <c r="R11" s="319">
        <v>1659.9581857129569</v>
      </c>
      <c r="T11" s="311" t="s">
        <v>34</v>
      </c>
      <c r="U11" s="317"/>
    </row>
    <row r="12" spans="1:21" s="318" customFormat="1" ht="14.1" customHeight="1">
      <c r="A12" s="311">
        <v>8</v>
      </c>
      <c r="B12" s="247" t="s">
        <v>332</v>
      </c>
      <c r="C12" s="247" t="s">
        <v>2061</v>
      </c>
      <c r="D12" s="311" t="s">
        <v>684</v>
      </c>
      <c r="E12" s="247" t="s">
        <v>413</v>
      </c>
      <c r="F12" s="311" t="s">
        <v>2062</v>
      </c>
      <c r="G12" s="317" t="s">
        <v>2081</v>
      </c>
      <c r="H12" s="311" t="s">
        <v>2064</v>
      </c>
      <c r="I12" s="317" t="s">
        <v>2082</v>
      </c>
      <c r="J12" s="311" t="s">
        <v>30</v>
      </c>
      <c r="K12" s="311">
        <v>38</v>
      </c>
      <c r="L12" s="311" t="s">
        <v>2066</v>
      </c>
      <c r="M12" s="311" t="s">
        <v>2067</v>
      </c>
      <c r="N12" s="311">
        <v>1</v>
      </c>
      <c r="O12" s="311" t="s">
        <v>2068</v>
      </c>
      <c r="P12" s="311"/>
      <c r="R12" s="319">
        <v>1748.1581821681721</v>
      </c>
      <c r="T12" s="311" t="s">
        <v>34</v>
      </c>
      <c r="U12" s="317"/>
    </row>
    <row r="13" spans="1:21" s="318" customFormat="1" ht="14.1" customHeight="1">
      <c r="A13" s="311">
        <v>9</v>
      </c>
      <c r="B13" s="247" t="s">
        <v>332</v>
      </c>
      <c r="C13" s="247" t="s">
        <v>2061</v>
      </c>
      <c r="D13" s="311" t="s">
        <v>684</v>
      </c>
      <c r="E13" s="247" t="s">
        <v>413</v>
      </c>
      <c r="F13" s="311" t="s">
        <v>2062</v>
      </c>
      <c r="G13" s="317" t="s">
        <v>2083</v>
      </c>
      <c r="H13" s="311" t="s">
        <v>2064</v>
      </c>
      <c r="I13" s="317" t="s">
        <v>2084</v>
      </c>
      <c r="J13" s="311" t="s">
        <v>30</v>
      </c>
      <c r="K13" s="311">
        <v>38</v>
      </c>
      <c r="L13" s="311" t="s">
        <v>2066</v>
      </c>
      <c r="M13" s="311" t="s">
        <v>2067</v>
      </c>
      <c r="N13" s="311">
        <v>1</v>
      </c>
      <c r="O13" s="311" t="s">
        <v>2068</v>
      </c>
      <c r="P13" s="311"/>
      <c r="R13" s="319">
        <v>966.34656310398327</v>
      </c>
      <c r="T13" s="311" t="s">
        <v>34</v>
      </c>
      <c r="U13" s="311"/>
    </row>
    <row r="14" spans="1:21" s="318" customFormat="1" ht="14.1" customHeight="1">
      <c r="A14" s="311">
        <v>10</v>
      </c>
      <c r="B14" s="247" t="s">
        <v>332</v>
      </c>
      <c r="C14" s="247" t="s">
        <v>2061</v>
      </c>
      <c r="D14" s="311" t="s">
        <v>684</v>
      </c>
      <c r="E14" s="247" t="s">
        <v>413</v>
      </c>
      <c r="F14" s="311" t="s">
        <v>2062</v>
      </c>
      <c r="G14" s="317" t="s">
        <v>2085</v>
      </c>
      <c r="H14" s="311" t="s">
        <v>2064</v>
      </c>
      <c r="I14" s="317" t="s">
        <v>2086</v>
      </c>
      <c r="J14" s="311" t="s">
        <v>30</v>
      </c>
      <c r="K14" s="311">
        <v>38</v>
      </c>
      <c r="L14" s="311" t="s">
        <v>2066</v>
      </c>
      <c r="M14" s="311" t="s">
        <v>2067</v>
      </c>
      <c r="N14" s="311">
        <v>1</v>
      </c>
      <c r="O14" s="311" t="s">
        <v>2068</v>
      </c>
      <c r="P14" s="311"/>
      <c r="R14" s="319">
        <v>1054.5465595591979</v>
      </c>
      <c r="T14" s="311" t="s">
        <v>34</v>
      </c>
      <c r="U14" s="317"/>
    </row>
    <row r="15" spans="1:21" s="318" customFormat="1" ht="14.1" customHeight="1">
      <c r="A15" s="311">
        <v>11</v>
      </c>
      <c r="B15" s="247" t="s">
        <v>332</v>
      </c>
      <c r="C15" s="247" t="s">
        <v>2061</v>
      </c>
      <c r="D15" s="311" t="s">
        <v>684</v>
      </c>
      <c r="E15" s="247" t="s">
        <v>413</v>
      </c>
      <c r="F15" s="311" t="s">
        <v>2062</v>
      </c>
      <c r="G15" s="317" t="s">
        <v>2087</v>
      </c>
      <c r="H15" s="311" t="s">
        <v>2064</v>
      </c>
      <c r="I15" s="317" t="s">
        <v>2088</v>
      </c>
      <c r="J15" s="311" t="s">
        <v>30</v>
      </c>
      <c r="K15" s="311">
        <v>38</v>
      </c>
      <c r="L15" s="311" t="s">
        <v>2066</v>
      </c>
      <c r="M15" s="311" t="s">
        <v>2067</v>
      </c>
      <c r="N15" s="311">
        <v>1</v>
      </c>
      <c r="O15" s="311" t="s">
        <v>2068</v>
      </c>
      <c r="P15" s="311"/>
      <c r="R15" s="319">
        <v>1142.746556014414</v>
      </c>
      <c r="T15" s="311" t="s">
        <v>34</v>
      </c>
      <c r="U15" s="317"/>
    </row>
    <row r="16" spans="1:21" s="318" customFormat="1" ht="14.1" customHeight="1">
      <c r="A16" s="311">
        <v>12</v>
      </c>
      <c r="B16" s="247" t="s">
        <v>332</v>
      </c>
      <c r="C16" s="247" t="s">
        <v>2061</v>
      </c>
      <c r="D16" s="311" t="s">
        <v>684</v>
      </c>
      <c r="E16" s="247" t="s">
        <v>413</v>
      </c>
      <c r="F16" s="311" t="s">
        <v>2062</v>
      </c>
      <c r="G16" s="317" t="s">
        <v>2089</v>
      </c>
      <c r="H16" s="311" t="s">
        <v>2064</v>
      </c>
      <c r="I16" s="317" t="s">
        <v>2090</v>
      </c>
      <c r="J16" s="311" t="s">
        <v>30</v>
      </c>
      <c r="K16" s="311">
        <v>38</v>
      </c>
      <c r="L16" s="311" t="s">
        <v>2066</v>
      </c>
      <c r="M16" s="311" t="s">
        <v>2067</v>
      </c>
      <c r="N16" s="311">
        <v>1</v>
      </c>
      <c r="O16" s="311" t="s">
        <v>2068</v>
      </c>
      <c r="P16" s="311"/>
      <c r="R16" s="319">
        <v>1231.802863114825</v>
      </c>
      <c r="T16" s="311" t="s">
        <v>34</v>
      </c>
      <c r="U16" s="317"/>
    </row>
    <row r="17" spans="1:21" s="318" customFormat="1" ht="14.1" customHeight="1">
      <c r="A17" s="311">
        <v>13</v>
      </c>
      <c r="B17" s="247" t="s">
        <v>332</v>
      </c>
      <c r="C17" s="247" t="s">
        <v>2061</v>
      </c>
      <c r="D17" s="311" t="s">
        <v>684</v>
      </c>
      <c r="E17" s="247" t="s">
        <v>413</v>
      </c>
      <c r="F17" s="311" t="s">
        <v>2062</v>
      </c>
      <c r="G17" s="317" t="s">
        <v>2091</v>
      </c>
      <c r="H17" s="311" t="s">
        <v>2064</v>
      </c>
      <c r="I17" s="317" t="s">
        <v>2092</v>
      </c>
      <c r="J17" s="311" t="s">
        <v>30</v>
      </c>
      <c r="K17" s="311">
        <v>38</v>
      </c>
      <c r="L17" s="311" t="s">
        <v>2066</v>
      </c>
      <c r="M17" s="311" t="s">
        <v>2067</v>
      </c>
      <c r="N17" s="311">
        <v>1</v>
      </c>
      <c r="O17" s="311" t="s">
        <v>2068</v>
      </c>
      <c r="P17" s="311"/>
      <c r="R17" s="319">
        <v>1408.202856025255</v>
      </c>
      <c r="T17" s="311" t="s">
        <v>34</v>
      </c>
      <c r="U17" s="317"/>
    </row>
    <row r="18" spans="1:21" s="318" customFormat="1" ht="14.1" customHeight="1">
      <c r="A18" s="311">
        <v>14</v>
      </c>
      <c r="B18" s="247" t="s">
        <v>332</v>
      </c>
      <c r="C18" s="247" t="s">
        <v>2061</v>
      </c>
      <c r="D18" s="311" t="s">
        <v>684</v>
      </c>
      <c r="E18" s="247" t="s">
        <v>413</v>
      </c>
      <c r="F18" s="311" t="s">
        <v>2062</v>
      </c>
      <c r="G18" s="317" t="s">
        <v>2093</v>
      </c>
      <c r="H18" s="311" t="s">
        <v>2064</v>
      </c>
      <c r="I18" s="317" t="s">
        <v>2094</v>
      </c>
      <c r="J18" s="311" t="s">
        <v>30</v>
      </c>
      <c r="K18" s="311">
        <v>38</v>
      </c>
      <c r="L18" s="311" t="s">
        <v>2066</v>
      </c>
      <c r="M18" s="311" t="s">
        <v>2067</v>
      </c>
      <c r="N18" s="311">
        <v>1</v>
      </c>
      <c r="O18" s="311" t="s">
        <v>2068</v>
      </c>
      <c r="P18" s="311"/>
      <c r="R18" s="319">
        <v>1584.6028489356861</v>
      </c>
      <c r="T18" s="311" t="s">
        <v>34</v>
      </c>
      <c r="U18" s="317"/>
    </row>
    <row r="19" spans="1:21" s="318" customFormat="1" ht="14.1" customHeight="1">
      <c r="A19" s="311">
        <v>15</v>
      </c>
      <c r="B19" s="247" t="s">
        <v>332</v>
      </c>
      <c r="C19" s="247" t="s">
        <v>2061</v>
      </c>
      <c r="D19" s="311" t="s">
        <v>260</v>
      </c>
      <c r="E19" s="247" t="s">
        <v>827</v>
      </c>
      <c r="F19" s="311" t="s">
        <v>2062</v>
      </c>
      <c r="G19" s="317" t="s">
        <v>2095</v>
      </c>
      <c r="H19" s="311" t="s">
        <v>2096</v>
      </c>
      <c r="I19" s="317" t="s">
        <v>2097</v>
      </c>
      <c r="J19" s="311" t="s">
        <v>30</v>
      </c>
      <c r="K19" s="326" t="s">
        <v>2098</v>
      </c>
      <c r="L19" s="311" t="s">
        <v>2066</v>
      </c>
      <c r="M19" s="311" t="s">
        <v>2067</v>
      </c>
      <c r="N19" s="311">
        <v>1</v>
      </c>
      <c r="O19" s="311" t="s">
        <v>2068</v>
      </c>
      <c r="P19" s="311"/>
      <c r="R19" s="319">
        <v>104.041743391346</v>
      </c>
      <c r="T19" s="311" t="s">
        <v>34</v>
      </c>
      <c r="U19" s="317"/>
    </row>
    <row r="20" spans="1:21" s="318" customFormat="1" ht="14.1" customHeight="1">
      <c r="A20" s="311">
        <v>16</v>
      </c>
      <c r="B20" s="247" t="s">
        <v>332</v>
      </c>
      <c r="C20" s="247" t="s">
        <v>2061</v>
      </c>
      <c r="D20" s="311" t="s">
        <v>260</v>
      </c>
      <c r="E20" s="247" t="s">
        <v>827</v>
      </c>
      <c r="F20" s="311" t="s">
        <v>2062</v>
      </c>
      <c r="G20" s="317" t="s">
        <v>2099</v>
      </c>
      <c r="H20" s="311" t="s">
        <v>2096</v>
      </c>
      <c r="I20" s="317" t="s">
        <v>2100</v>
      </c>
      <c r="J20" s="311" t="s">
        <v>30</v>
      </c>
      <c r="K20" s="326" t="s">
        <v>2098</v>
      </c>
      <c r="L20" s="311" t="s">
        <v>2066</v>
      </c>
      <c r="M20" s="311" t="s">
        <v>2067</v>
      </c>
      <c r="N20" s="311">
        <v>1</v>
      </c>
      <c r="O20" s="311" t="s">
        <v>2068</v>
      </c>
      <c r="P20" s="311"/>
      <c r="R20" s="319">
        <v>104.041743391346</v>
      </c>
      <c r="T20" s="311" t="s">
        <v>34</v>
      </c>
      <c r="U20" s="317"/>
    </row>
    <row r="21" spans="1:21" ht="14.1" customHeight="1"/>
    <row r="22" spans="1:21" ht="14.1" customHeight="1"/>
    <row r="23" spans="1:21" ht="14.1" customHeight="1"/>
    <row r="24" spans="1:21" ht="14.1" customHeight="1"/>
    <row r="25" spans="1:21" ht="14.1" customHeight="1"/>
    <row r="26" spans="1:21" ht="14.1" customHeight="1"/>
    <row r="27" spans="1:21" ht="14.1" customHeight="1"/>
    <row r="28" spans="1:21" ht="14.1" customHeight="1"/>
    <row r="29" spans="1:21" ht="14.1" customHeight="1"/>
    <row r="30" spans="1:21" ht="14.1" customHeight="1"/>
    <row r="31" spans="1:21" ht="14.1" customHeight="1"/>
    <row r="32" spans="1:21" ht="14.1" customHeight="1"/>
    <row r="33" ht="14.1" customHeight="1"/>
    <row r="34" ht="14.1" customHeight="1"/>
    <row r="35" ht="14.1" customHeight="1"/>
    <row r="36" ht="14.1" customHeight="1"/>
    <row r="37" ht="14.1" customHeight="1"/>
    <row r="38" ht="14.1" customHeight="1"/>
    <row r="39" ht="14.1" customHeight="1"/>
    <row r="40" ht="14.1" customHeight="1"/>
    <row r="41" ht="14.1" customHeight="1"/>
    <row r="42" ht="14.1" customHeight="1"/>
    <row r="43" ht="14.1" customHeight="1"/>
    <row r="44" ht="14.1" customHeight="1"/>
    <row r="45" ht="14.1" customHeight="1"/>
    <row r="46" ht="14.1" customHeight="1"/>
    <row r="47" ht="14.1" customHeight="1"/>
    <row r="48" ht="14.1" customHeight="1"/>
    <row r="49" ht="14.1" customHeight="1"/>
    <row r="50" ht="14.1" customHeight="1"/>
    <row r="51" ht="14.1" customHeight="1"/>
    <row r="52" ht="14.1" customHeight="1"/>
    <row r="53" ht="14.1" customHeight="1"/>
    <row r="54" ht="14.1" customHeight="1"/>
    <row r="55" ht="14.1" customHeight="1"/>
    <row r="56" ht="14.1" customHeight="1"/>
    <row r="57" ht="14.1" customHeight="1"/>
    <row r="58" ht="14.1" customHeight="1"/>
    <row r="59" ht="14.1" customHeight="1"/>
    <row r="60" ht="14.1" customHeight="1"/>
    <row r="61" ht="14.1" customHeight="1"/>
    <row r="62" ht="14.1" customHeight="1"/>
    <row r="63" ht="14.1" customHeight="1"/>
    <row r="64" ht="14.1" customHeight="1"/>
    <row r="65" ht="14.1" customHeight="1"/>
    <row r="66" ht="14.1" customHeight="1"/>
    <row r="67" ht="14.1" customHeight="1"/>
    <row r="68" ht="14.1" customHeight="1"/>
    <row r="69" ht="14.1" customHeight="1"/>
    <row r="70" ht="14.1" customHeight="1"/>
    <row r="71" ht="14.1" customHeight="1"/>
    <row r="72" ht="14.1" customHeight="1"/>
    <row r="73" ht="14.1" customHeight="1"/>
    <row r="74" ht="14.1" customHeight="1"/>
    <row r="75" ht="14.1" customHeight="1"/>
    <row r="76" ht="14.1" customHeight="1"/>
    <row r="77" ht="14.1" customHeight="1"/>
    <row r="78" ht="14.1" customHeight="1"/>
    <row r="79" ht="14.1" customHeight="1"/>
    <row r="80" ht="14.1" customHeight="1"/>
    <row r="81" ht="14.1" customHeight="1"/>
    <row r="82" ht="14.1" customHeight="1"/>
    <row r="83" ht="14.1" customHeight="1"/>
    <row r="84" ht="14.1" customHeight="1"/>
    <row r="85" ht="14.1" customHeight="1"/>
    <row r="86" ht="14.1" customHeight="1"/>
    <row r="87" ht="14.1" customHeight="1"/>
    <row r="88" ht="14.1" customHeight="1"/>
    <row r="89" ht="14.1" customHeight="1"/>
    <row r="90" ht="14.1" customHeight="1"/>
    <row r="91" ht="14.1" customHeight="1"/>
    <row r="92" ht="14.1" customHeight="1"/>
    <row r="93" ht="14.1" customHeight="1"/>
    <row r="94" ht="14.1" customHeight="1"/>
    <row r="95" ht="14.1" customHeight="1"/>
    <row r="96" ht="14.1" customHeight="1"/>
    <row r="97" ht="14.1" customHeight="1"/>
    <row r="98" ht="14.1" customHeight="1"/>
    <row r="99" ht="14.1" customHeight="1"/>
    <row r="100" ht="14.1" customHeight="1"/>
    <row r="101" ht="14.1" customHeight="1"/>
    <row r="102" ht="14.1" customHeight="1"/>
    <row r="103" ht="14.1" customHeight="1"/>
    <row r="104" ht="14.1" customHeight="1"/>
    <row r="105" ht="14.1" customHeight="1"/>
    <row r="106" ht="14.1" customHeight="1"/>
    <row r="107" ht="14.1" customHeight="1"/>
    <row r="108" ht="14.1" customHeight="1"/>
    <row r="109" ht="14.1" customHeight="1"/>
    <row r="110" ht="14.1" customHeight="1"/>
    <row r="111" ht="14.1" customHeight="1"/>
    <row r="112" ht="14.1" customHeight="1"/>
    <row r="113" ht="14.1" customHeight="1"/>
    <row r="114" ht="14.1" customHeight="1"/>
    <row r="115" ht="14.1" customHeight="1"/>
    <row r="116" ht="14.1" customHeight="1"/>
    <row r="117" ht="14.1" customHeight="1"/>
    <row r="118" ht="14.1" customHeight="1"/>
    <row r="119" ht="14.1" customHeight="1"/>
    <row r="120" ht="14.1" customHeight="1"/>
    <row r="121" ht="14.1" customHeight="1"/>
    <row r="122" ht="14.1" customHeight="1"/>
    <row r="123" ht="14.1" customHeight="1"/>
    <row r="124" ht="14.1" customHeight="1"/>
    <row r="125" ht="14.1" customHeight="1"/>
    <row r="126" ht="14.1" customHeight="1"/>
    <row r="127" ht="14.1" customHeight="1"/>
    <row r="128" ht="14.1" customHeight="1"/>
    <row r="129" ht="14.1" customHeight="1"/>
    <row r="130" ht="14.1" customHeight="1"/>
    <row r="131" ht="14.1" customHeight="1"/>
    <row r="132" ht="14.1" customHeight="1"/>
    <row r="133" ht="14.1" customHeight="1"/>
    <row r="134" ht="14.1" customHeight="1"/>
    <row r="135" ht="14.1" customHeight="1"/>
    <row r="136" ht="14.1" customHeight="1"/>
    <row r="137" ht="14.1" customHeight="1"/>
    <row r="138" ht="14.1" customHeight="1"/>
    <row r="139" ht="14.1" customHeight="1"/>
    <row r="140" ht="14.1" customHeight="1"/>
    <row r="141" ht="14.1" customHeight="1"/>
    <row r="142" ht="14.1" customHeight="1"/>
    <row r="143" ht="14.1" customHeight="1"/>
    <row r="144" ht="14.1" customHeight="1"/>
    <row r="145" ht="14.1" customHeight="1"/>
    <row r="146" ht="14.1" customHeight="1"/>
    <row r="147" ht="14.1" customHeight="1"/>
    <row r="148" ht="14.1" customHeight="1"/>
    <row r="149" ht="14.1" customHeight="1"/>
    <row r="150" ht="14.1" customHeight="1"/>
    <row r="151" ht="14.1" customHeight="1"/>
    <row r="152" ht="14.1" customHeight="1"/>
    <row r="153" ht="14.1" customHeight="1"/>
    <row r="154" ht="14.1" customHeight="1"/>
    <row r="155" ht="14.1" customHeight="1"/>
    <row r="156" ht="14.1" customHeight="1"/>
    <row r="157" ht="14.1" customHeight="1"/>
    <row r="158" ht="14.1" customHeight="1"/>
    <row r="159" ht="14.1" customHeight="1"/>
    <row r="160" ht="14.1" customHeight="1"/>
    <row r="161" ht="14.1" customHeight="1"/>
    <row r="162" ht="14.1" customHeight="1"/>
    <row r="163" ht="14.1" customHeight="1"/>
    <row r="164" ht="14.1" customHeight="1"/>
    <row r="165" ht="14.1" customHeight="1"/>
    <row r="166" ht="14.1" customHeight="1"/>
    <row r="167" ht="14.1" customHeight="1"/>
    <row r="168" ht="14.1" customHeight="1"/>
    <row r="169" ht="14.1" customHeight="1"/>
    <row r="170" ht="14.1" customHeight="1"/>
    <row r="171" ht="14.1" customHeight="1"/>
    <row r="172" ht="14.1" customHeight="1"/>
    <row r="173" ht="14.1" customHeight="1"/>
    <row r="174" ht="14.1" customHeight="1"/>
    <row r="175" ht="14.1" customHeight="1"/>
    <row r="176" ht="14.1" customHeight="1"/>
    <row r="177" ht="14.1" customHeight="1"/>
    <row r="178" ht="14.1" customHeight="1"/>
    <row r="179" ht="14.1" customHeight="1"/>
    <row r="180" ht="14.1" customHeight="1"/>
    <row r="181" ht="14.1" customHeight="1"/>
    <row r="182" ht="14.1" customHeight="1"/>
    <row r="183" ht="14.1" customHeight="1"/>
    <row r="184" ht="14.1" customHeight="1"/>
    <row r="185" ht="14.1" customHeight="1"/>
    <row r="186" ht="14.1" customHeight="1"/>
    <row r="187" ht="14.1" customHeight="1"/>
    <row r="188" ht="14.1" customHeight="1"/>
    <row r="189" ht="14.1" customHeight="1"/>
    <row r="190" ht="14.1" customHeight="1"/>
    <row r="191" ht="14.1" customHeight="1"/>
    <row r="192" ht="14.1" customHeight="1"/>
    <row r="193" ht="14.1" customHeight="1"/>
    <row r="194" ht="14.1" customHeight="1"/>
    <row r="195" ht="14.1" customHeight="1"/>
    <row r="196" ht="14.1" customHeight="1"/>
    <row r="197" ht="14.1" customHeight="1"/>
    <row r="198" ht="14.1" customHeight="1"/>
    <row r="199" ht="14.1" customHeight="1"/>
    <row r="200" ht="14.1" customHeight="1"/>
    <row r="201" ht="14.1" customHeight="1"/>
    <row r="202" ht="14.1" customHeight="1"/>
    <row r="203" ht="14.1" customHeight="1"/>
    <row r="204" ht="14.1" customHeight="1"/>
    <row r="205" ht="14.1" customHeight="1"/>
    <row r="206" ht="14.1" customHeight="1"/>
    <row r="207" ht="14.1" customHeight="1"/>
    <row r="208" ht="14.1" customHeight="1"/>
    <row r="209" ht="14.1" customHeight="1"/>
    <row r="210" ht="14.1" customHeight="1"/>
    <row r="211" ht="14.1" customHeight="1"/>
    <row r="212" ht="14.1" customHeight="1"/>
    <row r="213" ht="14.1" customHeight="1"/>
    <row r="214" ht="14.1" customHeight="1"/>
    <row r="215" ht="14.1" customHeight="1"/>
    <row r="216" ht="14.1" customHeight="1"/>
    <row r="217" ht="14.1" customHeight="1"/>
    <row r="218" ht="14.1" customHeight="1"/>
    <row r="219" ht="14.1" customHeight="1"/>
    <row r="220" ht="14.1" customHeight="1"/>
    <row r="221" ht="14.1" customHeight="1"/>
    <row r="222" ht="14.1" customHeight="1"/>
    <row r="223" ht="14.1" customHeight="1"/>
    <row r="224" ht="14.1" customHeight="1"/>
    <row r="225" ht="14.1" customHeight="1"/>
    <row r="226" ht="14.1" customHeight="1"/>
    <row r="227" ht="14.1" customHeight="1"/>
    <row r="228" ht="14.1" customHeight="1"/>
    <row r="229" ht="14.1" customHeight="1"/>
    <row r="230" ht="14.1" customHeight="1"/>
    <row r="231" ht="14.1" customHeight="1"/>
    <row r="232" ht="14.1" customHeight="1"/>
    <row r="233" ht="14.1" customHeight="1"/>
    <row r="234" ht="14.1" customHeight="1"/>
    <row r="235" ht="14.1" customHeight="1"/>
    <row r="236" ht="14.1" customHeight="1"/>
    <row r="237" ht="14.1" customHeight="1"/>
    <row r="238" ht="14.1" customHeight="1"/>
    <row r="239" ht="14.1" customHeight="1"/>
    <row r="240" ht="14.1" customHeight="1"/>
    <row r="241" ht="14.1" customHeight="1"/>
    <row r="242" ht="14.1" customHeight="1"/>
    <row r="243" ht="14.1" customHeight="1"/>
    <row r="244" ht="14.1" customHeight="1"/>
    <row r="245" ht="14.1" customHeight="1"/>
    <row r="246" ht="14.1" customHeight="1"/>
    <row r="247" ht="14.1" customHeight="1"/>
    <row r="248" ht="14.1" customHeight="1"/>
    <row r="249" ht="14.1" customHeight="1"/>
    <row r="250" ht="14.1" customHeight="1"/>
    <row r="251" ht="14.1" customHeight="1"/>
    <row r="252" ht="14.1" customHeight="1"/>
    <row r="253" ht="14.1" customHeight="1"/>
    <row r="254" ht="14.1" customHeight="1"/>
    <row r="255" ht="14.1" customHeight="1"/>
    <row r="256" ht="14.1" customHeight="1"/>
    <row r="257" ht="14.1" customHeight="1"/>
    <row r="258" ht="14.1" customHeight="1"/>
    <row r="259" ht="14.1" customHeight="1"/>
    <row r="260" ht="14.1" customHeight="1"/>
    <row r="261" ht="14.1" customHeight="1"/>
    <row r="262" ht="14.1" customHeight="1"/>
    <row r="263" ht="14.1" customHeight="1"/>
    <row r="264" ht="14.1" customHeight="1"/>
    <row r="265" ht="14.1" customHeight="1"/>
    <row r="266" ht="14.1" customHeight="1"/>
    <row r="267" ht="14.1" customHeight="1"/>
    <row r="268" ht="14.1" customHeight="1"/>
    <row r="269" ht="14.1" customHeight="1"/>
    <row r="270" ht="14.1" customHeight="1"/>
    <row r="271" ht="14.1" customHeight="1"/>
    <row r="272" ht="14.1" customHeight="1"/>
    <row r="273" ht="14.1" customHeight="1"/>
    <row r="274" ht="14.1" customHeight="1"/>
    <row r="275" ht="14.1" customHeight="1"/>
    <row r="276" ht="14.1" customHeight="1"/>
    <row r="277" ht="14.1" customHeight="1"/>
    <row r="278" ht="14.1" customHeight="1"/>
    <row r="279" ht="14.1" customHeight="1"/>
    <row r="280" ht="14.1" customHeight="1"/>
    <row r="281" ht="14.1" customHeight="1"/>
    <row r="282" ht="14.1" customHeight="1"/>
    <row r="283" ht="14.1" customHeight="1"/>
    <row r="284" ht="14.1" customHeight="1"/>
    <row r="285" ht="14.1" customHeight="1"/>
    <row r="286" ht="14.1" customHeight="1"/>
    <row r="287" ht="14.1" customHeight="1"/>
    <row r="288" ht="14.1" customHeight="1"/>
    <row r="289" ht="14.1" customHeight="1"/>
    <row r="290" ht="14.1" customHeight="1"/>
    <row r="291" ht="14.1" customHeight="1"/>
    <row r="292" ht="14.1" customHeight="1"/>
    <row r="293" ht="14.1" customHeight="1"/>
    <row r="294" ht="14.1" customHeight="1"/>
    <row r="295" ht="14.1" customHeight="1"/>
    <row r="296" ht="14.1" customHeight="1"/>
    <row r="297" ht="14.1" customHeight="1"/>
    <row r="298" ht="14.1" customHeight="1"/>
    <row r="299" ht="14.1" customHeight="1"/>
    <row r="300" ht="14.1" customHeight="1"/>
    <row r="301" ht="14.1" customHeight="1"/>
    <row r="302" ht="14.1" customHeight="1"/>
    <row r="303" ht="14.1" customHeight="1"/>
    <row r="304" ht="14.1" customHeight="1"/>
    <row r="305" ht="14.1" customHeight="1"/>
    <row r="306" ht="14.1" customHeight="1"/>
    <row r="307" ht="14.1" customHeight="1"/>
    <row r="308" ht="14.1" customHeight="1"/>
    <row r="309" ht="14.1" customHeight="1"/>
    <row r="310" ht="14.1" customHeight="1"/>
    <row r="311" ht="14.1" customHeight="1"/>
    <row r="312" ht="14.1" customHeight="1"/>
    <row r="313" ht="14.1" customHeight="1"/>
    <row r="314" ht="14.1" customHeight="1"/>
    <row r="315" ht="14.1" customHeight="1"/>
    <row r="316" ht="14.1" customHeight="1"/>
    <row r="317" ht="14.1" customHeight="1"/>
    <row r="318" ht="14.1" customHeight="1"/>
    <row r="319" ht="14.1" customHeight="1"/>
    <row r="320" ht="14.1" customHeight="1"/>
    <row r="321" ht="14.1" customHeight="1"/>
    <row r="322" ht="14.1" customHeight="1"/>
    <row r="323" ht="14.1" customHeight="1"/>
    <row r="324" ht="14.1" customHeight="1"/>
    <row r="325" ht="14.1" customHeight="1"/>
    <row r="326" ht="14.1" customHeight="1"/>
    <row r="327" ht="14.1" customHeight="1"/>
    <row r="328" ht="14.1" customHeight="1"/>
    <row r="329" ht="14.1" customHeight="1"/>
    <row r="330" ht="14.1" customHeight="1"/>
    <row r="331" ht="14.1" customHeight="1"/>
    <row r="332" ht="14.1" customHeight="1"/>
    <row r="333" ht="14.1" customHeight="1"/>
    <row r="334" ht="14.1" customHeight="1"/>
    <row r="335" ht="14.1" customHeight="1"/>
    <row r="336" ht="14.1" customHeight="1"/>
    <row r="337" ht="14.1" customHeight="1"/>
    <row r="338" ht="14.1" customHeight="1"/>
    <row r="339" ht="14.1" customHeight="1"/>
    <row r="340" ht="14.1" customHeight="1"/>
    <row r="341" ht="14.1" customHeight="1"/>
    <row r="342" ht="14.1" customHeight="1"/>
    <row r="343" ht="14.1" customHeight="1"/>
    <row r="344" ht="14.1" customHeight="1"/>
    <row r="345" ht="14.1" customHeight="1"/>
    <row r="346" ht="14.1" customHeight="1"/>
    <row r="347" ht="14.1" customHeight="1"/>
    <row r="348" ht="14.1" customHeight="1"/>
    <row r="349" ht="14.1" customHeight="1"/>
    <row r="350" ht="14.1" customHeight="1"/>
    <row r="351" ht="14.1" customHeight="1"/>
    <row r="352" ht="14.1" customHeight="1"/>
    <row r="353" ht="14.1" customHeight="1"/>
    <row r="354" ht="14.1" customHeight="1"/>
    <row r="355" ht="14.1" customHeight="1"/>
    <row r="356" ht="14.1" customHeight="1"/>
    <row r="357" ht="14.1" customHeight="1"/>
    <row r="358" ht="14.1" customHeight="1"/>
    <row r="359" ht="14.1" customHeight="1"/>
    <row r="360" ht="14.1" customHeight="1"/>
    <row r="361" ht="14.1" customHeight="1"/>
    <row r="362" ht="14.1" customHeight="1"/>
    <row r="363" ht="14.1" customHeight="1"/>
    <row r="364" ht="14.1" customHeight="1"/>
    <row r="365" ht="14.1" customHeight="1"/>
    <row r="366" ht="14.1" customHeight="1"/>
    <row r="367" ht="14.1" customHeight="1"/>
    <row r="368" ht="14.1" customHeight="1"/>
    <row r="369" ht="14.1" customHeight="1"/>
    <row r="370" ht="14.1" customHeight="1"/>
    <row r="371" ht="14.1" customHeight="1"/>
    <row r="372" ht="14.1" customHeight="1"/>
    <row r="373" ht="14.1" customHeight="1"/>
    <row r="374" ht="14.1" customHeight="1"/>
    <row r="375" ht="14.1" customHeight="1"/>
    <row r="376" ht="14.1" customHeight="1"/>
    <row r="377" ht="14.1" customHeight="1"/>
    <row r="378" ht="14.1" customHeight="1"/>
    <row r="379" ht="14.1" customHeight="1"/>
    <row r="380" ht="14.1" customHeight="1"/>
    <row r="381" ht="14.1" customHeight="1"/>
    <row r="382" ht="14.1" customHeight="1"/>
    <row r="383" ht="14.1" customHeight="1"/>
    <row r="384" ht="14.1" customHeight="1"/>
    <row r="385" ht="14.1" customHeight="1"/>
    <row r="386" ht="14.1" customHeight="1"/>
    <row r="387" ht="14.1" customHeight="1"/>
    <row r="388" ht="14.1" customHeight="1"/>
    <row r="389" ht="14.1" customHeight="1"/>
    <row r="390" ht="14.1" customHeight="1"/>
    <row r="391" ht="14.1" customHeight="1"/>
    <row r="392" ht="14.1" customHeight="1"/>
    <row r="393" ht="14.1" customHeight="1"/>
    <row r="394" ht="14.1" customHeight="1"/>
    <row r="395" ht="14.1" customHeight="1"/>
    <row r="396" ht="14.1" customHeight="1"/>
    <row r="397" ht="14.1" customHeight="1"/>
    <row r="398" ht="14.1" customHeight="1"/>
    <row r="399" ht="14.1" customHeight="1"/>
    <row r="400" ht="14.1" customHeight="1"/>
    <row r="401" ht="14.1" customHeight="1"/>
    <row r="402" ht="14.1" customHeight="1"/>
    <row r="403" ht="14.1" customHeight="1"/>
    <row r="404" ht="14.1" customHeight="1"/>
    <row r="405" ht="14.1" customHeight="1"/>
    <row r="406" ht="14.1" customHeight="1"/>
    <row r="407" ht="14.1" customHeight="1"/>
    <row r="408" ht="14.1" customHeight="1"/>
    <row r="409" ht="14.1" customHeight="1"/>
    <row r="410" ht="14.1" customHeight="1"/>
    <row r="411" ht="14.1" customHeight="1"/>
    <row r="412" ht="14.1" customHeight="1"/>
    <row r="413" ht="14.1" customHeight="1"/>
    <row r="414" ht="14.1" customHeight="1"/>
    <row r="415" ht="14.1" customHeight="1"/>
    <row r="416" ht="14.1" customHeight="1"/>
    <row r="417" ht="14.1" customHeight="1"/>
    <row r="418" ht="14.1" customHeight="1"/>
    <row r="419" ht="14.1" customHeight="1"/>
    <row r="420" ht="14.1" customHeight="1"/>
    <row r="421" ht="14.1" customHeight="1"/>
    <row r="422" ht="14.1" customHeight="1"/>
    <row r="423" ht="14.1" customHeight="1"/>
    <row r="424" ht="14.1" customHeight="1"/>
    <row r="425" ht="14.1" customHeight="1"/>
    <row r="426" ht="14.1" customHeight="1"/>
    <row r="427" ht="14.1" customHeight="1"/>
    <row r="428" ht="14.1" customHeight="1"/>
    <row r="429" ht="14.1" customHeight="1"/>
    <row r="430" ht="14.1" customHeight="1"/>
    <row r="431" ht="14.1" customHeight="1"/>
    <row r="432" ht="14.1" customHeight="1"/>
    <row r="433" ht="14.1" customHeight="1"/>
    <row r="434" ht="14.1" customHeight="1"/>
    <row r="435" ht="14.1" customHeight="1"/>
    <row r="436" ht="14.1" customHeight="1"/>
    <row r="437" ht="14.1" customHeight="1"/>
    <row r="438" ht="14.1" customHeight="1"/>
    <row r="439" ht="14.1" customHeight="1"/>
    <row r="440" ht="14.1" customHeight="1"/>
    <row r="441" ht="14.1" customHeight="1"/>
    <row r="442" ht="14.1" customHeight="1"/>
    <row r="443" ht="14.1" customHeight="1"/>
    <row r="444" ht="14.1" customHeight="1"/>
    <row r="445" ht="14.1" customHeight="1"/>
    <row r="446" ht="14.1" customHeight="1"/>
    <row r="447" ht="14.1" customHeight="1"/>
    <row r="448" ht="14.1" customHeight="1"/>
    <row r="449" ht="14.1" customHeight="1"/>
    <row r="450" ht="14.1" customHeight="1"/>
    <row r="451" ht="14.1" customHeight="1"/>
    <row r="452" ht="14.1" customHeight="1"/>
    <row r="453" ht="14.1" customHeight="1"/>
    <row r="454" ht="14.1" customHeight="1"/>
    <row r="455" ht="14.1" customHeight="1"/>
    <row r="456" ht="14.1" customHeight="1"/>
    <row r="457" ht="14.1" customHeight="1"/>
    <row r="458" ht="14.1" customHeight="1"/>
    <row r="459" ht="14.1" customHeight="1"/>
    <row r="460" ht="14.1" customHeight="1"/>
    <row r="461" ht="14.1" customHeight="1"/>
    <row r="462" ht="14.1" customHeight="1"/>
    <row r="463" ht="14.1" customHeight="1"/>
    <row r="464" ht="14.1" customHeight="1"/>
    <row r="465" ht="14.1" customHeight="1"/>
    <row r="466" ht="14.1" customHeight="1"/>
    <row r="467" ht="14.1" customHeight="1"/>
    <row r="468" ht="14.1" customHeight="1"/>
    <row r="469" ht="14.1" customHeight="1"/>
    <row r="470" ht="14.1" customHeight="1"/>
    <row r="471" ht="14.1" customHeight="1"/>
    <row r="472" ht="14.1" customHeight="1"/>
    <row r="473" ht="14.1" customHeight="1"/>
    <row r="474" ht="14.1" customHeight="1"/>
    <row r="475" ht="14.1" customHeight="1"/>
    <row r="476" ht="14.1" customHeight="1"/>
    <row r="477" ht="14.1" customHeight="1"/>
    <row r="478" ht="14.1" customHeight="1"/>
    <row r="479" ht="14.1" customHeight="1"/>
    <row r="480" ht="14.1" customHeight="1"/>
    <row r="481" ht="14.1" customHeight="1"/>
    <row r="482" ht="14.1" customHeight="1"/>
    <row r="483" ht="14.1" customHeight="1"/>
    <row r="484" ht="14.1" customHeight="1"/>
    <row r="485" ht="14.1" customHeight="1"/>
    <row r="486" ht="14.1" customHeight="1"/>
    <row r="487" ht="14.1" customHeight="1"/>
    <row r="488" ht="14.1" customHeight="1"/>
    <row r="489" ht="14.1" customHeight="1"/>
    <row r="490" ht="14.1" customHeight="1"/>
    <row r="491" ht="14.1" customHeight="1"/>
    <row r="492" ht="14.1" customHeight="1"/>
    <row r="493" ht="14.1" customHeight="1"/>
    <row r="494" ht="14.1" customHeight="1"/>
    <row r="495" ht="14.1" customHeight="1"/>
    <row r="496" ht="14.1" customHeight="1"/>
    <row r="497" ht="14.1" customHeight="1"/>
    <row r="498" ht="14.1" customHeight="1"/>
    <row r="499" ht="14.1" customHeight="1"/>
    <row r="500" ht="14.1" customHeight="1"/>
    <row r="501" ht="14.1" customHeight="1"/>
    <row r="502" ht="14.1" customHeight="1"/>
    <row r="503" ht="14.1" customHeight="1"/>
    <row r="504" ht="14.1" customHeight="1"/>
    <row r="505" ht="14.1" customHeight="1"/>
    <row r="506" ht="14.1" customHeight="1"/>
    <row r="507" ht="14.1" customHeight="1"/>
    <row r="508" ht="14.1" customHeight="1"/>
    <row r="509" ht="14.1" customHeight="1"/>
    <row r="510" ht="14.1" customHeight="1"/>
    <row r="511" ht="14.1" customHeight="1"/>
    <row r="512" ht="14.1" customHeight="1"/>
    <row r="513" ht="14.1" customHeight="1"/>
    <row r="514" ht="14.1" customHeight="1"/>
    <row r="515" ht="14.1" customHeight="1"/>
    <row r="516" ht="14.1" customHeight="1"/>
    <row r="517" ht="14.1" customHeight="1"/>
    <row r="518" ht="14.1" customHeight="1"/>
    <row r="519" ht="14.1" customHeight="1"/>
    <row r="520" ht="14.1" customHeight="1"/>
    <row r="521" ht="14.1" customHeight="1"/>
    <row r="522" ht="14.1" customHeight="1"/>
    <row r="523" ht="14.1" customHeight="1"/>
    <row r="524" ht="14.1" customHeight="1"/>
    <row r="525" ht="14.1" customHeight="1"/>
    <row r="526" ht="14.1" customHeight="1"/>
    <row r="527" ht="14.1" customHeight="1"/>
    <row r="528" ht="14.1" customHeight="1"/>
    <row r="529" ht="14.1" customHeight="1"/>
    <row r="530" ht="14.1" customHeight="1"/>
    <row r="531" ht="14.1" customHeight="1"/>
    <row r="532" ht="14.1" customHeight="1"/>
    <row r="533" ht="14.1" customHeight="1"/>
    <row r="534" ht="14.1" customHeight="1"/>
    <row r="535" ht="14.1" customHeight="1"/>
    <row r="536" ht="14.1" customHeight="1"/>
    <row r="537" ht="14.1" customHeight="1"/>
    <row r="538" ht="14.1" customHeight="1"/>
    <row r="539" ht="14.1" customHeight="1"/>
    <row r="540" ht="14.1" customHeight="1"/>
    <row r="541" ht="14.1" customHeight="1"/>
    <row r="542" ht="14.1" customHeight="1"/>
    <row r="543" ht="14.1" customHeight="1"/>
    <row r="544" ht="14.1" customHeight="1"/>
    <row r="545" ht="14.1" customHeight="1"/>
    <row r="546" ht="14.1" customHeight="1"/>
    <row r="547" ht="14.1" customHeight="1"/>
    <row r="548" ht="14.1" customHeight="1"/>
    <row r="549" ht="14.1" customHeight="1"/>
    <row r="550" ht="14.1" customHeight="1"/>
    <row r="551" ht="14.1" customHeight="1"/>
    <row r="552" ht="14.1" customHeight="1"/>
    <row r="553" ht="14.1" customHeight="1"/>
    <row r="554" ht="14.1" customHeight="1"/>
    <row r="555" ht="14.1" customHeight="1"/>
    <row r="556" ht="14.1" customHeight="1"/>
    <row r="557" ht="14.1" customHeight="1"/>
    <row r="558" ht="14.1" customHeight="1"/>
    <row r="559" ht="14.1" customHeight="1"/>
    <row r="560" ht="14.1" customHeight="1"/>
    <row r="561" ht="14.1" customHeight="1"/>
    <row r="562" ht="14.1" customHeight="1"/>
    <row r="563" ht="14.1" customHeight="1"/>
    <row r="564" ht="14.1" customHeight="1"/>
    <row r="565" ht="14.1" customHeight="1"/>
    <row r="566" ht="14.1" customHeight="1"/>
    <row r="567" ht="14.1" customHeight="1"/>
    <row r="568" ht="14.1" customHeight="1"/>
    <row r="569" ht="14.1" customHeight="1"/>
    <row r="570" ht="14.1" customHeight="1"/>
    <row r="571" ht="14.1" customHeight="1"/>
    <row r="572" ht="14.1" customHeight="1"/>
    <row r="573" ht="14.1" customHeight="1"/>
    <row r="574" ht="14.1" customHeight="1"/>
    <row r="575" ht="14.1" customHeight="1"/>
    <row r="576" ht="14.1" customHeight="1"/>
    <row r="577" ht="14.1" customHeight="1"/>
    <row r="578" ht="14.1" customHeight="1"/>
    <row r="579" ht="14.1" customHeight="1"/>
    <row r="580" ht="14.1" customHeight="1"/>
    <row r="581" ht="14.1" customHeight="1"/>
    <row r="582" ht="14.1" customHeight="1"/>
    <row r="583" ht="14.1" customHeight="1"/>
    <row r="584" ht="14.1" customHeight="1"/>
    <row r="585" ht="14.1" customHeight="1"/>
    <row r="586" ht="14.1" customHeight="1"/>
    <row r="587" ht="14.1" customHeight="1"/>
    <row r="588" ht="14.1" customHeight="1"/>
    <row r="589" ht="14.1" customHeight="1"/>
    <row r="590" ht="14.1" customHeight="1"/>
    <row r="591" ht="14.1" customHeight="1"/>
    <row r="592" ht="14.1" customHeight="1"/>
    <row r="593" ht="14.1" customHeight="1"/>
    <row r="594" ht="14.1" customHeight="1"/>
    <row r="595" ht="14.1" customHeight="1"/>
    <row r="596" ht="14.1" customHeight="1"/>
    <row r="597" ht="14.1" customHeight="1"/>
    <row r="598" ht="14.1" customHeight="1"/>
    <row r="599" ht="14.1" customHeight="1"/>
    <row r="600" ht="14.1" customHeight="1"/>
    <row r="601" ht="14.1" customHeight="1"/>
    <row r="602" ht="14.1" customHeight="1"/>
    <row r="603" ht="14.1" customHeight="1"/>
    <row r="604" ht="14.1" customHeight="1"/>
    <row r="605" ht="14.1" customHeight="1"/>
    <row r="606" ht="14.1" customHeight="1"/>
    <row r="607" ht="14.1" customHeight="1"/>
    <row r="608" ht="14.1" customHeight="1"/>
    <row r="609" ht="14.1" customHeight="1"/>
    <row r="610" ht="14.1" customHeight="1"/>
    <row r="611" ht="14.1" customHeight="1"/>
    <row r="612" ht="14.1" customHeight="1"/>
    <row r="613" ht="14.1" customHeight="1"/>
    <row r="614" ht="14.1" customHeight="1"/>
    <row r="615" ht="14.1" customHeight="1"/>
    <row r="616" ht="14.1" customHeight="1"/>
    <row r="617" ht="14.1" customHeight="1"/>
    <row r="618" ht="14.1" customHeight="1"/>
    <row r="619" ht="14.1" customHeight="1"/>
    <row r="620" ht="14.1" customHeight="1"/>
    <row r="621" ht="14.1" customHeight="1"/>
    <row r="622" ht="14.1" customHeight="1"/>
    <row r="623" ht="14.1" customHeight="1"/>
    <row r="624" ht="14.1" customHeight="1"/>
    <row r="625" ht="14.1" customHeight="1"/>
    <row r="626" ht="14.1" customHeight="1"/>
    <row r="627" ht="14.1" customHeight="1"/>
    <row r="628" ht="14.1" customHeight="1"/>
    <row r="629" ht="14.1" customHeight="1"/>
    <row r="630" ht="14.1" customHeight="1"/>
    <row r="631" ht="14.1" customHeight="1"/>
    <row r="632" ht="14.1" customHeight="1"/>
    <row r="633" ht="14.1" customHeight="1"/>
    <row r="634" ht="14.1" customHeight="1"/>
    <row r="635" ht="14.1" customHeight="1"/>
    <row r="636" ht="14.1" customHeight="1"/>
    <row r="637" ht="14.1" customHeight="1"/>
    <row r="638" ht="14.1" customHeight="1"/>
    <row r="639" ht="14.1" customHeight="1"/>
    <row r="640" ht="14.1" customHeight="1"/>
    <row r="641" ht="14.1" customHeight="1"/>
    <row r="642" ht="14.1" customHeight="1"/>
    <row r="643" ht="14.1" customHeight="1"/>
    <row r="644" ht="14.1" customHeight="1"/>
    <row r="645" ht="14.1" customHeight="1"/>
    <row r="646" ht="14.1" customHeight="1"/>
    <row r="647" ht="14.1" customHeight="1"/>
    <row r="648" ht="14.1" customHeight="1"/>
    <row r="649" ht="14.1" customHeight="1"/>
    <row r="650" ht="14.1" customHeight="1"/>
    <row r="651" ht="14.1" customHeight="1"/>
    <row r="652" ht="14.1" customHeight="1"/>
    <row r="653" ht="14.1" customHeight="1"/>
    <row r="654" ht="14.1" customHeight="1"/>
    <row r="655" ht="14.1" customHeight="1"/>
    <row r="656" ht="14.1" customHeight="1"/>
    <row r="657" ht="14.1" customHeight="1"/>
    <row r="658" ht="14.1" customHeight="1"/>
    <row r="659" ht="14.1" customHeight="1"/>
    <row r="660" ht="14.1" customHeight="1"/>
    <row r="661" ht="14.1" customHeight="1"/>
    <row r="662" ht="14.1" customHeight="1"/>
    <row r="663" ht="14.1" customHeight="1"/>
    <row r="664" ht="14.1" customHeight="1"/>
    <row r="665" ht="14.1" customHeight="1"/>
    <row r="666" ht="14.1" customHeight="1"/>
    <row r="667" ht="14.1" customHeight="1"/>
    <row r="668" ht="14.1" customHeight="1"/>
    <row r="669" ht="14.1" customHeight="1"/>
    <row r="670" ht="14.1" customHeight="1"/>
    <row r="671" ht="14.1" customHeight="1"/>
    <row r="672" ht="14.1" customHeight="1"/>
    <row r="673" ht="14.1" customHeight="1"/>
    <row r="674" ht="14.1" customHeight="1"/>
    <row r="675" ht="14.1" customHeight="1"/>
    <row r="676" ht="14.1" customHeight="1"/>
    <row r="677" ht="14.1" customHeight="1"/>
    <row r="678" ht="14.1" customHeight="1"/>
    <row r="679" ht="14.1" customHeight="1"/>
    <row r="680" ht="14.1" customHeight="1"/>
    <row r="681" ht="14.1" customHeight="1"/>
    <row r="682" ht="14.1" customHeight="1"/>
    <row r="683" ht="14.1" customHeight="1"/>
    <row r="684" ht="14.1" customHeight="1"/>
    <row r="685" ht="14.1" customHeight="1"/>
    <row r="686" ht="14.1" customHeight="1"/>
    <row r="687" ht="14.1" customHeight="1"/>
    <row r="688" ht="14.1" customHeight="1"/>
    <row r="689" ht="14.1" customHeight="1"/>
    <row r="690" ht="14.1" customHeight="1"/>
    <row r="691" ht="14.1" customHeight="1"/>
    <row r="692" ht="14.1" customHeight="1"/>
    <row r="693" ht="14.1" customHeight="1"/>
    <row r="694" ht="14.1" customHeight="1"/>
    <row r="695" ht="14.1" customHeight="1"/>
    <row r="696" ht="14.1" customHeight="1"/>
    <row r="697" ht="14.1" customHeight="1"/>
    <row r="698" ht="14.1" customHeight="1"/>
    <row r="699" ht="14.1" customHeight="1"/>
    <row r="700" ht="14.1" customHeight="1"/>
    <row r="701" ht="14.1" customHeight="1"/>
    <row r="702" ht="14.1" customHeight="1"/>
    <row r="703" ht="14.1" customHeight="1"/>
    <row r="704" ht="14.1" customHeight="1"/>
    <row r="705" ht="14.1" customHeight="1"/>
    <row r="706" ht="14.1" customHeight="1"/>
    <row r="707" ht="14.1" customHeight="1"/>
    <row r="708" ht="14.1" customHeight="1"/>
    <row r="709" ht="14.1" customHeight="1"/>
    <row r="710" ht="14.1" customHeight="1"/>
    <row r="711" ht="14.1" customHeight="1"/>
    <row r="712" ht="14.1" customHeight="1"/>
    <row r="713" ht="14.1" customHeight="1"/>
    <row r="714" ht="14.1" customHeight="1"/>
    <row r="715" ht="14.1" customHeight="1"/>
    <row r="716" ht="14.1" customHeight="1"/>
    <row r="717" ht="14.1" customHeight="1"/>
    <row r="718" ht="14.1" customHeight="1"/>
    <row r="719" ht="14.1" customHeight="1"/>
    <row r="720" ht="14.1" customHeight="1"/>
    <row r="721" ht="14.1" customHeight="1"/>
    <row r="722" ht="14.1" customHeight="1"/>
    <row r="723" ht="14.1" customHeight="1"/>
    <row r="724" ht="14.1" customHeight="1"/>
    <row r="725" ht="14.1" customHeight="1"/>
    <row r="726" ht="14.1" customHeight="1"/>
    <row r="727" ht="14.1" customHeight="1"/>
    <row r="728" ht="14.1" customHeight="1"/>
    <row r="729" ht="14.1" customHeight="1"/>
    <row r="730" ht="14.1" customHeight="1"/>
    <row r="731" ht="14.1" customHeight="1"/>
    <row r="732" ht="14.1" customHeight="1"/>
    <row r="733" ht="14.1" customHeight="1"/>
    <row r="734" ht="14.1" customHeight="1"/>
    <row r="735" ht="14.1" customHeight="1"/>
    <row r="736" ht="14.1" customHeight="1"/>
    <row r="737" ht="14.1" customHeight="1"/>
    <row r="738" ht="14.1" customHeight="1"/>
    <row r="739" ht="14.1" customHeight="1"/>
    <row r="740" ht="14.1" customHeight="1"/>
    <row r="741" ht="14.1" customHeight="1"/>
    <row r="742" ht="14.1" customHeight="1"/>
    <row r="743" ht="14.1" customHeight="1"/>
    <row r="744" ht="14.1" customHeight="1"/>
    <row r="745" ht="14.1" customHeight="1"/>
    <row r="746" ht="14.1" customHeight="1"/>
    <row r="747" ht="14.1" customHeight="1"/>
    <row r="748" ht="14.1" customHeight="1"/>
    <row r="749" ht="14.1" customHeight="1"/>
    <row r="750" ht="14.1" customHeight="1"/>
    <row r="751" ht="14.1" customHeight="1"/>
    <row r="752" ht="14.1" customHeight="1"/>
    <row r="753" ht="14.1" customHeight="1"/>
    <row r="754" ht="14.1" customHeight="1"/>
    <row r="755" ht="14.1" customHeight="1"/>
    <row r="756" ht="14.1" customHeight="1"/>
    <row r="757" ht="14.1" customHeight="1"/>
    <row r="758" ht="14.1" customHeight="1"/>
    <row r="759" ht="14.1" customHeight="1"/>
    <row r="760" ht="14.1" customHeight="1"/>
    <row r="761" ht="14.1" customHeight="1"/>
    <row r="762" ht="14.1" customHeight="1"/>
    <row r="763" ht="14.1" customHeight="1"/>
    <row r="764" ht="14.1" customHeight="1"/>
    <row r="765" ht="14.1" customHeight="1"/>
    <row r="766" ht="14.1" customHeight="1"/>
    <row r="767" ht="14.1" customHeight="1"/>
    <row r="768" ht="14.1" customHeight="1"/>
    <row r="769" ht="14.1" customHeight="1"/>
    <row r="770" ht="14.1" customHeight="1"/>
    <row r="771" ht="14.1" customHeight="1"/>
    <row r="772" ht="14.1" customHeight="1"/>
    <row r="773" ht="14.1" customHeight="1"/>
    <row r="774" ht="14.1" customHeight="1"/>
    <row r="775" ht="14.1" customHeight="1"/>
    <row r="776" ht="14.1" customHeight="1"/>
    <row r="777" ht="14.1" customHeight="1"/>
    <row r="778" ht="14.1" customHeight="1"/>
    <row r="779" ht="14.1" customHeight="1"/>
    <row r="780" ht="14.1" customHeight="1"/>
    <row r="781" ht="14.1" customHeight="1"/>
    <row r="782" ht="14.1" customHeight="1"/>
    <row r="783" ht="14.1" customHeight="1"/>
    <row r="784" ht="14.1" customHeight="1"/>
    <row r="785" ht="14.1" customHeight="1"/>
    <row r="786" ht="14.1" customHeight="1"/>
    <row r="787" ht="14.1" customHeight="1"/>
    <row r="788" ht="14.1" customHeight="1"/>
    <row r="789" ht="14.1" customHeight="1"/>
    <row r="790" ht="14.1" customHeight="1"/>
    <row r="791" ht="14.1" customHeight="1"/>
    <row r="792" ht="14.1" customHeight="1"/>
    <row r="793" ht="14.1" customHeight="1"/>
  </sheetData>
  <pageMargins left="0.61" right="0.16" top="0.87" bottom="0.21" header="0.16" footer="0.16"/>
  <pageSetup paperSize="8" scale="69" orientation="landscape"/>
  <headerFooter alignWithMargins="0">
    <oddFooter>&amp;L&amp;"Arial"&amp;7 &amp;KDAD4CE_x000D_# Internal_x000D_&amp;1#&amp;"Arial"&amp;7&amp;KDAD4CE Public</oddFooter>
  </headerFooter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>
    <tabColor rgb="FF92D050"/>
    <pageSetUpPr fitToPage="1"/>
  </sheetPr>
  <dimension ref="A1:U793"/>
  <sheetViews>
    <sheetView zoomScale="80" zoomScaleNormal="80" workbookViewId="0">
      <pane ySplit="4" topLeftCell="A5" activePane="bottomLeft" state="frozen"/>
      <selection activeCell="A16" sqref="A16"/>
      <selection pane="bottomLeft" activeCell="A16" sqref="A16"/>
    </sheetView>
  </sheetViews>
  <sheetFormatPr defaultColWidth="8.85546875" defaultRowHeight="12.75"/>
  <cols>
    <col min="1" max="1" width="4.140625" style="3" customWidth="1"/>
    <col min="2" max="3" width="8.5703125" style="20" customWidth="1"/>
    <col min="4" max="4" width="14.5703125" style="3" customWidth="1"/>
    <col min="5" max="5" width="20.5703125" style="20" customWidth="1"/>
    <col min="6" max="6" width="8.5703125" style="3" customWidth="1"/>
    <col min="7" max="7" width="32.5703125" style="2" customWidth="1"/>
    <col min="8" max="8" width="18.5703125" style="3" customWidth="1"/>
    <col min="9" max="9" width="62.5703125" style="2" customWidth="1"/>
    <col min="10" max="12" width="9.5703125" style="3" customWidth="1"/>
    <col min="13" max="13" width="10.5703125" style="3" customWidth="1"/>
    <col min="14" max="14" width="8.5703125" style="3" customWidth="1"/>
    <col min="15" max="15" width="10.5703125" style="3" customWidth="1"/>
    <col min="16" max="16" width="5.5703125" style="3" customWidth="1"/>
    <col min="17" max="17" width="1.5703125" style="2" customWidth="1"/>
    <col min="18" max="18" width="10.5703125" style="30" customWidth="1"/>
    <col min="19" max="19" width="1.5703125" style="2" customWidth="1"/>
    <col min="20" max="21" width="10.5703125" style="2" customWidth="1"/>
    <col min="22" max="222" width="8.85546875" style="2" customWidth="1"/>
    <col min="223" max="223" width="8.140625" style="2" customWidth="1"/>
    <col min="224" max="224" width="14.42578125" style="2" customWidth="1"/>
    <col min="225" max="225" width="37.42578125" style="2" customWidth="1"/>
    <col min="226" max="226" width="63.140625" style="2" customWidth="1"/>
    <col min="227" max="227" width="20" style="2" customWidth="1"/>
    <col min="228" max="228" width="11.140625" style="2" customWidth="1"/>
    <col min="229" max="229" width="10.85546875" style="2" customWidth="1"/>
    <col min="230" max="230" width="21" style="2" customWidth="1"/>
    <col min="231" max="231" width="10.85546875" style="2" customWidth="1"/>
    <col min="232" max="232" width="17.42578125" style="2" customWidth="1"/>
    <col min="233" max="233" width="14.85546875" style="2" customWidth="1"/>
    <col min="234" max="234" width="15" style="2" customWidth="1"/>
    <col min="235" max="235" width="14.85546875" style="2" customWidth="1"/>
    <col min="236" max="236" width="7.140625" style="2" customWidth="1"/>
    <col min="237" max="238" width="20.140625" style="2" customWidth="1"/>
    <col min="239" max="239" width="18.42578125" style="2" customWidth="1"/>
    <col min="240" max="240" width="9.140625" style="2" customWidth="1"/>
    <col min="241" max="241" width="12" style="2" customWidth="1"/>
    <col min="242" max="242" width="14.85546875" style="2" customWidth="1"/>
    <col min="243" max="243" width="22.42578125" style="2" customWidth="1"/>
    <col min="244" max="244" width="14.85546875" style="2" customWidth="1"/>
    <col min="245" max="245" width="7.140625" style="2" customWidth="1"/>
    <col min="246" max="246" width="20.140625" style="2" customWidth="1"/>
    <col min="247" max="478" width="8.85546875" style="2" customWidth="1"/>
    <col min="479" max="479" width="8.140625" style="2" customWidth="1"/>
    <col min="480" max="480" width="14.42578125" style="2" customWidth="1"/>
    <col min="481" max="481" width="37.42578125" style="2" customWidth="1"/>
    <col min="482" max="482" width="63.140625" style="2" customWidth="1"/>
    <col min="483" max="483" width="20" style="2" customWidth="1"/>
    <col min="484" max="484" width="11.140625" style="2" customWidth="1"/>
    <col min="485" max="485" width="10.85546875" style="2" customWidth="1"/>
    <col min="486" max="486" width="21" style="2" customWidth="1"/>
    <col min="487" max="487" width="10.85546875" style="2" customWidth="1"/>
    <col min="488" max="488" width="17.42578125" style="2" customWidth="1"/>
    <col min="489" max="489" width="14.85546875" style="2" customWidth="1"/>
    <col min="490" max="490" width="15" style="2" customWidth="1"/>
    <col min="491" max="491" width="14.85546875" style="2" customWidth="1"/>
    <col min="492" max="492" width="7.140625" style="2" customWidth="1"/>
    <col min="493" max="494" width="20.140625" style="2" customWidth="1"/>
    <col min="495" max="495" width="18.42578125" style="2" customWidth="1"/>
    <col min="496" max="496" width="9.140625" style="2" customWidth="1"/>
    <col min="497" max="497" width="12" style="2" customWidth="1"/>
    <col min="498" max="498" width="14.85546875" style="2" customWidth="1"/>
    <col min="499" max="499" width="22.42578125" style="2" customWidth="1"/>
    <col min="500" max="500" width="14.85546875" style="2" customWidth="1"/>
    <col min="501" max="501" width="7.140625" style="2" customWidth="1"/>
    <col min="502" max="502" width="20.140625" style="2" customWidth="1"/>
    <col min="503" max="734" width="8.85546875" style="2" customWidth="1"/>
    <col min="735" max="735" width="8.140625" style="2" customWidth="1"/>
    <col min="736" max="736" width="14.42578125" style="2" customWidth="1"/>
    <col min="737" max="737" width="37.42578125" style="2" customWidth="1"/>
    <col min="738" max="738" width="63.140625" style="2" customWidth="1"/>
    <col min="739" max="739" width="20" style="2" customWidth="1"/>
    <col min="740" max="740" width="11.140625" style="2" customWidth="1"/>
    <col min="741" max="741" width="10.85546875" style="2" customWidth="1"/>
    <col min="742" max="742" width="21" style="2" customWidth="1"/>
    <col min="743" max="743" width="10.85546875" style="2" customWidth="1"/>
    <col min="744" max="744" width="17.42578125" style="2" customWidth="1"/>
    <col min="745" max="745" width="14.85546875" style="2" customWidth="1"/>
    <col min="746" max="746" width="15" style="2" customWidth="1"/>
    <col min="747" max="747" width="14.85546875" style="2" customWidth="1"/>
    <col min="748" max="748" width="7.140625" style="2" customWidth="1"/>
    <col min="749" max="750" width="20.140625" style="2" customWidth="1"/>
    <col min="751" max="751" width="18.42578125" style="2" customWidth="1"/>
    <col min="752" max="752" width="9.140625" style="2" customWidth="1"/>
    <col min="753" max="753" width="12" style="2" customWidth="1"/>
    <col min="754" max="754" width="14.85546875" style="2" customWidth="1"/>
    <col min="755" max="755" width="22.42578125" style="2" customWidth="1"/>
    <col min="756" max="756" width="14.85546875" style="2" customWidth="1"/>
    <col min="757" max="757" width="7.140625" style="2" customWidth="1"/>
    <col min="758" max="758" width="20.140625" style="2" customWidth="1"/>
    <col min="759" max="990" width="8.85546875" style="2" customWidth="1"/>
    <col min="991" max="991" width="8.140625" style="2" customWidth="1"/>
    <col min="992" max="992" width="14.42578125" style="2" customWidth="1"/>
    <col min="993" max="993" width="37.42578125" style="2" customWidth="1"/>
    <col min="994" max="994" width="63.140625" style="2" customWidth="1"/>
    <col min="995" max="995" width="20" style="2" customWidth="1"/>
    <col min="996" max="996" width="11.140625" style="2" customWidth="1"/>
    <col min="997" max="997" width="10.85546875" style="2" customWidth="1"/>
    <col min="998" max="998" width="21" style="2" customWidth="1"/>
    <col min="999" max="999" width="10.85546875" style="2" customWidth="1"/>
    <col min="1000" max="1000" width="17.42578125" style="2" customWidth="1"/>
    <col min="1001" max="1001" width="14.85546875" style="2" customWidth="1"/>
    <col min="1002" max="1002" width="15" style="2" customWidth="1"/>
    <col min="1003" max="1003" width="14.85546875" style="2" customWidth="1"/>
    <col min="1004" max="1004" width="7.140625" style="2" customWidth="1"/>
    <col min="1005" max="1006" width="20.140625" style="2" customWidth="1"/>
    <col min="1007" max="1007" width="18.42578125" style="2" customWidth="1"/>
    <col min="1008" max="1008" width="9.140625" style="2" customWidth="1"/>
    <col min="1009" max="1009" width="12" style="2" customWidth="1"/>
    <col min="1010" max="1010" width="14.85546875" style="2" customWidth="1"/>
    <col min="1011" max="1011" width="22.42578125" style="2" customWidth="1"/>
    <col min="1012" max="1012" width="14.85546875" style="2" customWidth="1"/>
    <col min="1013" max="1013" width="7.140625" style="2" customWidth="1"/>
    <col min="1014" max="1014" width="20.140625" style="2" customWidth="1"/>
    <col min="1015" max="1246" width="8.85546875" style="2" customWidth="1"/>
    <col min="1247" max="1247" width="8.140625" style="2" customWidth="1"/>
    <col min="1248" max="1248" width="14.42578125" style="2" customWidth="1"/>
    <col min="1249" max="1249" width="37.42578125" style="2" customWidth="1"/>
    <col min="1250" max="1250" width="63.140625" style="2" customWidth="1"/>
    <col min="1251" max="1251" width="20" style="2" customWidth="1"/>
    <col min="1252" max="1252" width="11.140625" style="2" customWidth="1"/>
    <col min="1253" max="1253" width="10.85546875" style="2" customWidth="1"/>
    <col min="1254" max="1254" width="21" style="2" customWidth="1"/>
    <col min="1255" max="1255" width="10.85546875" style="2" customWidth="1"/>
    <col min="1256" max="1256" width="17.42578125" style="2" customWidth="1"/>
    <col min="1257" max="1257" width="14.85546875" style="2" customWidth="1"/>
    <col min="1258" max="1258" width="15" style="2" customWidth="1"/>
    <col min="1259" max="1259" width="14.85546875" style="2" customWidth="1"/>
    <col min="1260" max="1260" width="7.140625" style="2" customWidth="1"/>
    <col min="1261" max="1262" width="20.140625" style="2" customWidth="1"/>
    <col min="1263" max="1263" width="18.42578125" style="2" customWidth="1"/>
    <col min="1264" max="1264" width="9.140625" style="2" customWidth="1"/>
    <col min="1265" max="1265" width="12" style="2" customWidth="1"/>
    <col min="1266" max="1266" width="14.85546875" style="2" customWidth="1"/>
    <col min="1267" max="1267" width="22.42578125" style="2" customWidth="1"/>
    <col min="1268" max="1268" width="14.85546875" style="2" customWidth="1"/>
    <col min="1269" max="1269" width="7.140625" style="2" customWidth="1"/>
    <col min="1270" max="1270" width="20.140625" style="2" customWidth="1"/>
    <col min="1271" max="1502" width="8.85546875" style="2" customWidth="1"/>
    <col min="1503" max="1503" width="8.140625" style="2" customWidth="1"/>
    <col min="1504" max="1504" width="14.42578125" style="2" customWidth="1"/>
    <col min="1505" max="1505" width="37.42578125" style="2" customWidth="1"/>
    <col min="1506" max="1506" width="63.140625" style="2" customWidth="1"/>
    <col min="1507" max="1507" width="20" style="2" customWidth="1"/>
    <col min="1508" max="1508" width="11.140625" style="2" customWidth="1"/>
    <col min="1509" max="1509" width="10.85546875" style="2" customWidth="1"/>
    <col min="1510" max="1510" width="21" style="2" customWidth="1"/>
    <col min="1511" max="1511" width="10.85546875" style="2" customWidth="1"/>
    <col min="1512" max="1512" width="17.42578125" style="2" customWidth="1"/>
    <col min="1513" max="1513" width="14.85546875" style="2" customWidth="1"/>
    <col min="1514" max="1514" width="15" style="2" customWidth="1"/>
    <col min="1515" max="1515" width="14.85546875" style="2" customWidth="1"/>
    <col min="1516" max="1516" width="7.140625" style="2" customWidth="1"/>
    <col min="1517" max="1518" width="20.140625" style="2" customWidth="1"/>
    <col min="1519" max="1519" width="18.42578125" style="2" customWidth="1"/>
    <col min="1520" max="1520" width="9.140625" style="2" customWidth="1"/>
    <col min="1521" max="1521" width="12" style="2" customWidth="1"/>
    <col min="1522" max="1522" width="14.85546875" style="2" customWidth="1"/>
    <col min="1523" max="1523" width="22.42578125" style="2" customWidth="1"/>
    <col min="1524" max="1524" width="14.85546875" style="2" customWidth="1"/>
    <col min="1525" max="1525" width="7.140625" style="2" customWidth="1"/>
    <col min="1526" max="1526" width="20.140625" style="2" customWidth="1"/>
    <col min="1527" max="1758" width="8.85546875" style="2" customWidth="1"/>
    <col min="1759" max="1759" width="8.140625" style="2" customWidth="1"/>
    <col min="1760" max="1760" width="14.42578125" style="2" customWidth="1"/>
    <col min="1761" max="1761" width="37.42578125" style="2" customWidth="1"/>
    <col min="1762" max="1762" width="63.140625" style="2" customWidth="1"/>
    <col min="1763" max="1763" width="20" style="2" customWidth="1"/>
    <col min="1764" max="1764" width="11.140625" style="2" customWidth="1"/>
    <col min="1765" max="1765" width="10.85546875" style="2" customWidth="1"/>
    <col min="1766" max="1766" width="21" style="2" customWidth="1"/>
    <col min="1767" max="1767" width="10.85546875" style="2" customWidth="1"/>
    <col min="1768" max="1768" width="17.42578125" style="2" customWidth="1"/>
    <col min="1769" max="1769" width="14.85546875" style="2" customWidth="1"/>
    <col min="1770" max="1770" width="15" style="2" customWidth="1"/>
    <col min="1771" max="1771" width="14.85546875" style="2" customWidth="1"/>
    <col min="1772" max="1772" width="7.140625" style="2" customWidth="1"/>
    <col min="1773" max="1774" width="20.140625" style="2" customWidth="1"/>
    <col min="1775" max="1775" width="18.42578125" style="2" customWidth="1"/>
    <col min="1776" max="1776" width="9.140625" style="2" customWidth="1"/>
    <col min="1777" max="1777" width="12" style="2" customWidth="1"/>
    <col min="1778" max="1778" width="14.85546875" style="2" customWidth="1"/>
    <col min="1779" max="1779" width="22.42578125" style="2" customWidth="1"/>
    <col min="1780" max="1780" width="14.85546875" style="2" customWidth="1"/>
    <col min="1781" max="1781" width="7.140625" style="2" customWidth="1"/>
    <col min="1782" max="1782" width="20.140625" style="2" customWidth="1"/>
    <col min="1783" max="2014" width="8.85546875" style="2" customWidth="1"/>
    <col min="2015" max="2015" width="8.140625" style="2" customWidth="1"/>
    <col min="2016" max="2016" width="14.42578125" style="2" customWidth="1"/>
    <col min="2017" max="2017" width="37.42578125" style="2" customWidth="1"/>
    <col min="2018" max="2018" width="63.140625" style="2" customWidth="1"/>
    <col min="2019" max="2019" width="20" style="2" customWidth="1"/>
    <col min="2020" max="2020" width="11.140625" style="2" customWidth="1"/>
    <col min="2021" max="2021" width="10.85546875" style="2" customWidth="1"/>
    <col min="2022" max="2022" width="21" style="2" customWidth="1"/>
    <col min="2023" max="2023" width="10.85546875" style="2" customWidth="1"/>
    <col min="2024" max="2024" width="17.42578125" style="2" customWidth="1"/>
    <col min="2025" max="2025" width="14.85546875" style="2" customWidth="1"/>
    <col min="2026" max="2026" width="15" style="2" customWidth="1"/>
    <col min="2027" max="2027" width="14.85546875" style="2" customWidth="1"/>
    <col min="2028" max="2028" width="7.140625" style="2" customWidth="1"/>
    <col min="2029" max="2030" width="20.140625" style="2" customWidth="1"/>
    <col min="2031" max="2031" width="18.42578125" style="2" customWidth="1"/>
    <col min="2032" max="2032" width="9.140625" style="2" customWidth="1"/>
    <col min="2033" max="2033" width="12" style="2" customWidth="1"/>
    <col min="2034" max="2034" width="14.85546875" style="2" customWidth="1"/>
    <col min="2035" max="2035" width="22.42578125" style="2" customWidth="1"/>
    <col min="2036" max="2036" width="14.85546875" style="2" customWidth="1"/>
    <col min="2037" max="2037" width="7.140625" style="2" customWidth="1"/>
    <col min="2038" max="2038" width="20.140625" style="2" customWidth="1"/>
    <col min="2039" max="2270" width="8.85546875" style="2" customWidth="1"/>
    <col min="2271" max="2271" width="8.140625" style="2" customWidth="1"/>
    <col min="2272" max="2272" width="14.42578125" style="2" customWidth="1"/>
    <col min="2273" max="2273" width="37.42578125" style="2" customWidth="1"/>
    <col min="2274" max="2274" width="63.140625" style="2" customWidth="1"/>
    <col min="2275" max="2275" width="20" style="2" customWidth="1"/>
    <col min="2276" max="2276" width="11.140625" style="2" customWidth="1"/>
    <col min="2277" max="2277" width="10.85546875" style="2" customWidth="1"/>
    <col min="2278" max="2278" width="21" style="2" customWidth="1"/>
    <col min="2279" max="2279" width="10.85546875" style="2" customWidth="1"/>
    <col min="2280" max="2280" width="17.42578125" style="2" customWidth="1"/>
    <col min="2281" max="2281" width="14.85546875" style="2" customWidth="1"/>
    <col min="2282" max="2282" width="15" style="2" customWidth="1"/>
    <col min="2283" max="2283" width="14.85546875" style="2" customWidth="1"/>
    <col min="2284" max="2284" width="7.140625" style="2" customWidth="1"/>
    <col min="2285" max="2286" width="20.140625" style="2" customWidth="1"/>
    <col min="2287" max="2287" width="18.42578125" style="2" customWidth="1"/>
    <col min="2288" max="2288" width="9.140625" style="2" customWidth="1"/>
    <col min="2289" max="2289" width="12" style="2" customWidth="1"/>
    <col min="2290" max="2290" width="14.85546875" style="2" customWidth="1"/>
    <col min="2291" max="2291" width="22.42578125" style="2" customWidth="1"/>
    <col min="2292" max="2292" width="14.85546875" style="2" customWidth="1"/>
    <col min="2293" max="2293" width="7.140625" style="2" customWidth="1"/>
    <col min="2294" max="2294" width="20.140625" style="2" customWidth="1"/>
    <col min="2295" max="2526" width="8.85546875" style="2" customWidth="1"/>
    <col min="2527" max="2527" width="8.140625" style="2" customWidth="1"/>
    <col min="2528" max="2528" width="14.42578125" style="2" customWidth="1"/>
    <col min="2529" max="2529" width="37.42578125" style="2" customWidth="1"/>
    <col min="2530" max="2530" width="63.140625" style="2" customWidth="1"/>
    <col min="2531" max="2531" width="20" style="2" customWidth="1"/>
    <col min="2532" max="2532" width="11.140625" style="2" customWidth="1"/>
    <col min="2533" max="2533" width="10.85546875" style="2" customWidth="1"/>
    <col min="2534" max="2534" width="21" style="2" customWidth="1"/>
    <col min="2535" max="2535" width="10.85546875" style="2" customWidth="1"/>
    <col min="2536" max="2536" width="17.42578125" style="2" customWidth="1"/>
    <col min="2537" max="2537" width="14.85546875" style="2" customWidth="1"/>
    <col min="2538" max="2538" width="15" style="2" customWidth="1"/>
    <col min="2539" max="2539" width="14.85546875" style="2" customWidth="1"/>
    <col min="2540" max="2540" width="7.140625" style="2" customWidth="1"/>
    <col min="2541" max="2542" width="20.140625" style="2" customWidth="1"/>
    <col min="2543" max="2543" width="18.42578125" style="2" customWidth="1"/>
    <col min="2544" max="2544" width="9.140625" style="2" customWidth="1"/>
    <col min="2545" max="2545" width="12" style="2" customWidth="1"/>
    <col min="2546" max="2546" width="14.85546875" style="2" customWidth="1"/>
    <col min="2547" max="2547" width="22.42578125" style="2" customWidth="1"/>
    <col min="2548" max="2548" width="14.85546875" style="2" customWidth="1"/>
    <col min="2549" max="2549" width="7.140625" style="2" customWidth="1"/>
    <col min="2550" max="2550" width="20.140625" style="2" customWidth="1"/>
    <col min="2551" max="2782" width="8.85546875" style="2" customWidth="1"/>
    <col min="2783" max="2783" width="8.140625" style="2" customWidth="1"/>
    <col min="2784" max="2784" width="14.42578125" style="2" customWidth="1"/>
    <col min="2785" max="2785" width="37.42578125" style="2" customWidth="1"/>
    <col min="2786" max="2786" width="63.140625" style="2" customWidth="1"/>
    <col min="2787" max="2787" width="20" style="2" customWidth="1"/>
    <col min="2788" max="2788" width="11.140625" style="2" customWidth="1"/>
    <col min="2789" max="2789" width="10.85546875" style="2" customWidth="1"/>
    <col min="2790" max="2790" width="21" style="2" customWidth="1"/>
    <col min="2791" max="2791" width="10.85546875" style="2" customWidth="1"/>
    <col min="2792" max="2792" width="17.42578125" style="2" customWidth="1"/>
    <col min="2793" max="2793" width="14.85546875" style="2" customWidth="1"/>
    <col min="2794" max="2794" width="15" style="2" customWidth="1"/>
    <col min="2795" max="2795" width="14.85546875" style="2" customWidth="1"/>
    <col min="2796" max="2796" width="7.140625" style="2" customWidth="1"/>
    <col min="2797" max="2798" width="20.140625" style="2" customWidth="1"/>
    <col min="2799" max="2799" width="18.42578125" style="2" customWidth="1"/>
    <col min="2800" max="2800" width="9.140625" style="2" customWidth="1"/>
    <col min="2801" max="2801" width="12" style="2" customWidth="1"/>
    <col min="2802" max="2802" width="14.85546875" style="2" customWidth="1"/>
    <col min="2803" max="2803" width="22.42578125" style="2" customWidth="1"/>
    <col min="2804" max="2804" width="14.85546875" style="2" customWidth="1"/>
    <col min="2805" max="2805" width="7.140625" style="2" customWidth="1"/>
    <col min="2806" max="2806" width="20.140625" style="2" customWidth="1"/>
    <col min="2807" max="3038" width="8.85546875" style="2" customWidth="1"/>
    <col min="3039" max="3039" width="8.140625" style="2" customWidth="1"/>
    <col min="3040" max="3040" width="14.42578125" style="2" customWidth="1"/>
    <col min="3041" max="3041" width="37.42578125" style="2" customWidth="1"/>
    <col min="3042" max="3042" width="63.140625" style="2" customWidth="1"/>
    <col min="3043" max="3043" width="20" style="2" customWidth="1"/>
    <col min="3044" max="3044" width="11.140625" style="2" customWidth="1"/>
    <col min="3045" max="3045" width="10.85546875" style="2" customWidth="1"/>
    <col min="3046" max="3046" width="21" style="2" customWidth="1"/>
    <col min="3047" max="3047" width="10.85546875" style="2" customWidth="1"/>
    <col min="3048" max="3048" width="17.42578125" style="2" customWidth="1"/>
    <col min="3049" max="3049" width="14.85546875" style="2" customWidth="1"/>
    <col min="3050" max="3050" width="15" style="2" customWidth="1"/>
    <col min="3051" max="3051" width="14.85546875" style="2" customWidth="1"/>
    <col min="3052" max="3052" width="7.140625" style="2" customWidth="1"/>
    <col min="3053" max="3054" width="20.140625" style="2" customWidth="1"/>
    <col min="3055" max="3055" width="18.42578125" style="2" customWidth="1"/>
    <col min="3056" max="3056" width="9.140625" style="2" customWidth="1"/>
    <col min="3057" max="3057" width="12" style="2" customWidth="1"/>
    <col min="3058" max="3058" width="14.85546875" style="2" customWidth="1"/>
    <col min="3059" max="3059" width="22.42578125" style="2" customWidth="1"/>
    <col min="3060" max="3060" width="14.85546875" style="2" customWidth="1"/>
    <col min="3061" max="3061" width="7.140625" style="2" customWidth="1"/>
    <col min="3062" max="3062" width="20.140625" style="2" customWidth="1"/>
    <col min="3063" max="3294" width="8.85546875" style="2" customWidth="1"/>
    <col min="3295" max="3295" width="8.140625" style="2" customWidth="1"/>
    <col min="3296" max="3296" width="14.42578125" style="2" customWidth="1"/>
    <col min="3297" max="3297" width="37.42578125" style="2" customWidth="1"/>
    <col min="3298" max="3298" width="63.140625" style="2" customWidth="1"/>
    <col min="3299" max="3299" width="20" style="2" customWidth="1"/>
    <col min="3300" max="3300" width="11.140625" style="2" customWidth="1"/>
    <col min="3301" max="3301" width="10.85546875" style="2" customWidth="1"/>
    <col min="3302" max="3302" width="21" style="2" customWidth="1"/>
    <col min="3303" max="3303" width="10.85546875" style="2" customWidth="1"/>
    <col min="3304" max="3304" width="17.42578125" style="2" customWidth="1"/>
    <col min="3305" max="3305" width="14.85546875" style="2" customWidth="1"/>
    <col min="3306" max="3306" width="15" style="2" customWidth="1"/>
    <col min="3307" max="3307" width="14.85546875" style="2" customWidth="1"/>
    <col min="3308" max="3308" width="7.140625" style="2" customWidth="1"/>
    <col min="3309" max="3310" width="20.140625" style="2" customWidth="1"/>
    <col min="3311" max="3311" width="18.42578125" style="2" customWidth="1"/>
    <col min="3312" max="3312" width="9.140625" style="2" customWidth="1"/>
    <col min="3313" max="3313" width="12" style="2" customWidth="1"/>
    <col min="3314" max="3314" width="14.85546875" style="2" customWidth="1"/>
    <col min="3315" max="3315" width="22.42578125" style="2" customWidth="1"/>
    <col min="3316" max="3316" width="14.85546875" style="2" customWidth="1"/>
    <col min="3317" max="3317" width="7.140625" style="2" customWidth="1"/>
    <col min="3318" max="3318" width="20.140625" style="2" customWidth="1"/>
    <col min="3319" max="3550" width="8.85546875" style="2" customWidth="1"/>
    <col min="3551" max="3551" width="8.140625" style="2" customWidth="1"/>
    <col min="3552" max="3552" width="14.42578125" style="2" customWidth="1"/>
    <col min="3553" max="3553" width="37.42578125" style="2" customWidth="1"/>
    <col min="3554" max="3554" width="63.140625" style="2" customWidth="1"/>
    <col min="3555" max="3555" width="20" style="2" customWidth="1"/>
    <col min="3556" max="3556" width="11.140625" style="2" customWidth="1"/>
    <col min="3557" max="3557" width="10.85546875" style="2" customWidth="1"/>
    <col min="3558" max="3558" width="21" style="2" customWidth="1"/>
    <col min="3559" max="3559" width="10.85546875" style="2" customWidth="1"/>
    <col min="3560" max="3560" width="17.42578125" style="2" customWidth="1"/>
    <col min="3561" max="3561" width="14.85546875" style="2" customWidth="1"/>
    <col min="3562" max="3562" width="15" style="2" customWidth="1"/>
    <col min="3563" max="3563" width="14.85546875" style="2" customWidth="1"/>
    <col min="3564" max="3564" width="7.140625" style="2" customWidth="1"/>
    <col min="3565" max="3566" width="20.140625" style="2" customWidth="1"/>
    <col min="3567" max="3567" width="18.42578125" style="2" customWidth="1"/>
    <col min="3568" max="3568" width="9.140625" style="2" customWidth="1"/>
    <col min="3569" max="3569" width="12" style="2" customWidth="1"/>
    <col min="3570" max="3570" width="14.85546875" style="2" customWidth="1"/>
    <col min="3571" max="3571" width="22.42578125" style="2" customWidth="1"/>
    <col min="3572" max="3572" width="14.85546875" style="2" customWidth="1"/>
    <col min="3573" max="3573" width="7.140625" style="2" customWidth="1"/>
    <col min="3574" max="3574" width="20.140625" style="2" customWidth="1"/>
    <col min="3575" max="3806" width="8.85546875" style="2" customWidth="1"/>
    <col min="3807" max="3807" width="8.140625" style="2" customWidth="1"/>
    <col min="3808" max="3808" width="14.42578125" style="2" customWidth="1"/>
    <col min="3809" max="3809" width="37.42578125" style="2" customWidth="1"/>
    <col min="3810" max="3810" width="63.140625" style="2" customWidth="1"/>
    <col min="3811" max="3811" width="20" style="2" customWidth="1"/>
    <col min="3812" max="3812" width="11.140625" style="2" customWidth="1"/>
    <col min="3813" max="3813" width="10.85546875" style="2" customWidth="1"/>
    <col min="3814" max="3814" width="21" style="2" customWidth="1"/>
    <col min="3815" max="3815" width="10.85546875" style="2" customWidth="1"/>
    <col min="3816" max="3816" width="17.42578125" style="2" customWidth="1"/>
    <col min="3817" max="3817" width="14.85546875" style="2" customWidth="1"/>
    <col min="3818" max="3818" width="15" style="2" customWidth="1"/>
    <col min="3819" max="3819" width="14.85546875" style="2" customWidth="1"/>
    <col min="3820" max="3820" width="7.140625" style="2" customWidth="1"/>
    <col min="3821" max="3822" width="20.140625" style="2" customWidth="1"/>
    <col min="3823" max="3823" width="18.42578125" style="2" customWidth="1"/>
    <col min="3824" max="3824" width="9.140625" style="2" customWidth="1"/>
    <col min="3825" max="3825" width="12" style="2" customWidth="1"/>
    <col min="3826" max="3826" width="14.85546875" style="2" customWidth="1"/>
    <col min="3827" max="3827" width="22.42578125" style="2" customWidth="1"/>
    <col min="3828" max="3828" width="14.85546875" style="2" customWidth="1"/>
    <col min="3829" max="3829" width="7.140625" style="2" customWidth="1"/>
    <col min="3830" max="3830" width="20.140625" style="2" customWidth="1"/>
    <col min="3831" max="4062" width="8.85546875" style="2" customWidth="1"/>
    <col min="4063" max="4063" width="8.140625" style="2" customWidth="1"/>
    <col min="4064" max="4064" width="14.42578125" style="2" customWidth="1"/>
    <col min="4065" max="4065" width="37.42578125" style="2" customWidth="1"/>
    <col min="4066" max="4066" width="63.140625" style="2" customWidth="1"/>
    <col min="4067" max="4067" width="20" style="2" customWidth="1"/>
    <col min="4068" max="4068" width="11.140625" style="2" customWidth="1"/>
    <col min="4069" max="4069" width="10.85546875" style="2" customWidth="1"/>
    <col min="4070" max="4070" width="21" style="2" customWidth="1"/>
    <col min="4071" max="4071" width="10.85546875" style="2" customWidth="1"/>
    <col min="4072" max="4072" width="17.42578125" style="2" customWidth="1"/>
    <col min="4073" max="4073" width="14.85546875" style="2" customWidth="1"/>
    <col min="4074" max="4074" width="15" style="2" customWidth="1"/>
    <col min="4075" max="4075" width="14.85546875" style="2" customWidth="1"/>
    <col min="4076" max="4076" width="7.140625" style="2" customWidth="1"/>
    <col min="4077" max="4078" width="20.140625" style="2" customWidth="1"/>
    <col min="4079" max="4079" width="18.42578125" style="2" customWidth="1"/>
    <col min="4080" max="4080" width="9.140625" style="2" customWidth="1"/>
    <col min="4081" max="4081" width="12" style="2" customWidth="1"/>
    <col min="4082" max="4082" width="14.85546875" style="2" customWidth="1"/>
    <col min="4083" max="4083" width="22.42578125" style="2" customWidth="1"/>
    <col min="4084" max="4084" width="14.85546875" style="2" customWidth="1"/>
    <col min="4085" max="4085" width="7.140625" style="2" customWidth="1"/>
    <col min="4086" max="4086" width="20.140625" style="2" customWidth="1"/>
    <col min="4087" max="4318" width="8.85546875" style="2" customWidth="1"/>
    <col min="4319" max="4319" width="8.140625" style="2" customWidth="1"/>
    <col min="4320" max="4320" width="14.42578125" style="2" customWidth="1"/>
    <col min="4321" max="4321" width="37.42578125" style="2" customWidth="1"/>
    <col min="4322" max="4322" width="63.140625" style="2" customWidth="1"/>
    <col min="4323" max="4323" width="20" style="2" customWidth="1"/>
    <col min="4324" max="4324" width="11.140625" style="2" customWidth="1"/>
    <col min="4325" max="4325" width="10.85546875" style="2" customWidth="1"/>
    <col min="4326" max="4326" width="21" style="2" customWidth="1"/>
    <col min="4327" max="4327" width="10.85546875" style="2" customWidth="1"/>
    <col min="4328" max="4328" width="17.42578125" style="2" customWidth="1"/>
    <col min="4329" max="4329" width="14.85546875" style="2" customWidth="1"/>
    <col min="4330" max="4330" width="15" style="2" customWidth="1"/>
    <col min="4331" max="4331" width="14.85546875" style="2" customWidth="1"/>
    <col min="4332" max="4332" width="7.140625" style="2" customWidth="1"/>
    <col min="4333" max="4334" width="20.140625" style="2" customWidth="1"/>
    <col min="4335" max="4335" width="18.42578125" style="2" customWidth="1"/>
    <col min="4336" max="4336" width="9.140625" style="2" customWidth="1"/>
    <col min="4337" max="4337" width="12" style="2" customWidth="1"/>
    <col min="4338" max="4338" width="14.85546875" style="2" customWidth="1"/>
    <col min="4339" max="4339" width="22.42578125" style="2" customWidth="1"/>
    <col min="4340" max="4340" width="14.85546875" style="2" customWidth="1"/>
    <col min="4341" max="4341" width="7.140625" style="2" customWidth="1"/>
    <col min="4342" max="4342" width="20.140625" style="2" customWidth="1"/>
    <col min="4343" max="4574" width="8.85546875" style="2" customWidth="1"/>
    <col min="4575" max="4575" width="8.140625" style="2" customWidth="1"/>
    <col min="4576" max="4576" width="14.42578125" style="2" customWidth="1"/>
    <col min="4577" max="4577" width="37.42578125" style="2" customWidth="1"/>
    <col min="4578" max="4578" width="63.140625" style="2" customWidth="1"/>
    <col min="4579" max="4579" width="20" style="2" customWidth="1"/>
    <col min="4580" max="4580" width="11.140625" style="2" customWidth="1"/>
    <col min="4581" max="4581" width="10.85546875" style="2" customWidth="1"/>
    <col min="4582" max="4582" width="21" style="2" customWidth="1"/>
    <col min="4583" max="4583" width="10.85546875" style="2" customWidth="1"/>
    <col min="4584" max="4584" width="17.42578125" style="2" customWidth="1"/>
    <col min="4585" max="4585" width="14.85546875" style="2" customWidth="1"/>
    <col min="4586" max="4586" width="15" style="2" customWidth="1"/>
    <col min="4587" max="4587" width="14.85546875" style="2" customWidth="1"/>
    <col min="4588" max="4588" width="7.140625" style="2" customWidth="1"/>
    <col min="4589" max="4590" width="20.140625" style="2" customWidth="1"/>
    <col min="4591" max="4591" width="18.42578125" style="2" customWidth="1"/>
    <col min="4592" max="4592" width="9.140625" style="2" customWidth="1"/>
    <col min="4593" max="4593" width="12" style="2" customWidth="1"/>
    <col min="4594" max="4594" width="14.85546875" style="2" customWidth="1"/>
    <col min="4595" max="4595" width="22.42578125" style="2" customWidth="1"/>
    <col min="4596" max="4596" width="14.85546875" style="2" customWidth="1"/>
    <col min="4597" max="4597" width="7.140625" style="2" customWidth="1"/>
    <col min="4598" max="4598" width="20.140625" style="2" customWidth="1"/>
    <col min="4599" max="4830" width="8.85546875" style="2" customWidth="1"/>
    <col min="4831" max="4831" width="8.140625" style="2" customWidth="1"/>
    <col min="4832" max="4832" width="14.42578125" style="2" customWidth="1"/>
    <col min="4833" max="4833" width="37.42578125" style="2" customWidth="1"/>
    <col min="4834" max="4834" width="63.140625" style="2" customWidth="1"/>
    <col min="4835" max="4835" width="20" style="2" customWidth="1"/>
    <col min="4836" max="4836" width="11.140625" style="2" customWidth="1"/>
    <col min="4837" max="4837" width="10.85546875" style="2" customWidth="1"/>
    <col min="4838" max="4838" width="21" style="2" customWidth="1"/>
    <col min="4839" max="4839" width="10.85546875" style="2" customWidth="1"/>
    <col min="4840" max="4840" width="17.42578125" style="2" customWidth="1"/>
    <col min="4841" max="4841" width="14.85546875" style="2" customWidth="1"/>
    <col min="4842" max="4842" width="15" style="2" customWidth="1"/>
    <col min="4843" max="4843" width="14.85546875" style="2" customWidth="1"/>
    <col min="4844" max="4844" width="7.140625" style="2" customWidth="1"/>
    <col min="4845" max="4846" width="20.140625" style="2" customWidth="1"/>
    <col min="4847" max="4847" width="18.42578125" style="2" customWidth="1"/>
    <col min="4848" max="4848" width="9.140625" style="2" customWidth="1"/>
    <col min="4849" max="4849" width="12" style="2" customWidth="1"/>
    <col min="4850" max="4850" width="14.85546875" style="2" customWidth="1"/>
    <col min="4851" max="4851" width="22.42578125" style="2" customWidth="1"/>
    <col min="4852" max="4852" width="14.85546875" style="2" customWidth="1"/>
    <col min="4853" max="4853" width="7.140625" style="2" customWidth="1"/>
    <col min="4854" max="4854" width="20.140625" style="2" customWidth="1"/>
    <col min="4855" max="5086" width="8.85546875" style="2" customWidth="1"/>
    <col min="5087" max="5087" width="8.140625" style="2" customWidth="1"/>
    <col min="5088" max="5088" width="14.42578125" style="2" customWidth="1"/>
    <col min="5089" max="5089" width="37.42578125" style="2" customWidth="1"/>
    <col min="5090" max="5090" width="63.140625" style="2" customWidth="1"/>
    <col min="5091" max="5091" width="20" style="2" customWidth="1"/>
    <col min="5092" max="5092" width="11.140625" style="2" customWidth="1"/>
    <col min="5093" max="5093" width="10.85546875" style="2" customWidth="1"/>
    <col min="5094" max="5094" width="21" style="2" customWidth="1"/>
    <col min="5095" max="5095" width="10.85546875" style="2" customWidth="1"/>
    <col min="5096" max="5096" width="17.42578125" style="2" customWidth="1"/>
    <col min="5097" max="5097" width="14.85546875" style="2" customWidth="1"/>
    <col min="5098" max="5098" width="15" style="2" customWidth="1"/>
    <col min="5099" max="5099" width="14.85546875" style="2" customWidth="1"/>
    <col min="5100" max="5100" width="7.140625" style="2" customWidth="1"/>
    <col min="5101" max="5102" width="20.140625" style="2" customWidth="1"/>
    <col min="5103" max="5103" width="18.42578125" style="2" customWidth="1"/>
    <col min="5104" max="5104" width="9.140625" style="2" customWidth="1"/>
    <col min="5105" max="5105" width="12" style="2" customWidth="1"/>
    <col min="5106" max="5106" width="14.85546875" style="2" customWidth="1"/>
    <col min="5107" max="5107" width="22.42578125" style="2" customWidth="1"/>
    <col min="5108" max="5108" width="14.85546875" style="2" customWidth="1"/>
    <col min="5109" max="5109" width="7.140625" style="2" customWidth="1"/>
    <col min="5110" max="5110" width="20.140625" style="2" customWidth="1"/>
    <col min="5111" max="5342" width="8.85546875" style="2" customWidth="1"/>
    <col min="5343" max="5343" width="8.140625" style="2" customWidth="1"/>
    <col min="5344" max="5344" width="14.42578125" style="2" customWidth="1"/>
    <col min="5345" max="5345" width="37.42578125" style="2" customWidth="1"/>
    <col min="5346" max="5346" width="63.140625" style="2" customWidth="1"/>
    <col min="5347" max="5347" width="20" style="2" customWidth="1"/>
    <col min="5348" max="5348" width="11.140625" style="2" customWidth="1"/>
    <col min="5349" max="5349" width="10.85546875" style="2" customWidth="1"/>
    <col min="5350" max="5350" width="21" style="2" customWidth="1"/>
    <col min="5351" max="5351" width="10.85546875" style="2" customWidth="1"/>
    <col min="5352" max="5352" width="17.42578125" style="2" customWidth="1"/>
    <col min="5353" max="5353" width="14.85546875" style="2" customWidth="1"/>
    <col min="5354" max="5354" width="15" style="2" customWidth="1"/>
    <col min="5355" max="5355" width="14.85546875" style="2" customWidth="1"/>
    <col min="5356" max="5356" width="7.140625" style="2" customWidth="1"/>
    <col min="5357" max="5358" width="20.140625" style="2" customWidth="1"/>
    <col min="5359" max="5359" width="18.42578125" style="2" customWidth="1"/>
    <col min="5360" max="5360" width="9.140625" style="2" customWidth="1"/>
    <col min="5361" max="5361" width="12" style="2" customWidth="1"/>
    <col min="5362" max="5362" width="14.85546875" style="2" customWidth="1"/>
    <col min="5363" max="5363" width="22.42578125" style="2" customWidth="1"/>
    <col min="5364" max="5364" width="14.85546875" style="2" customWidth="1"/>
    <col min="5365" max="5365" width="7.140625" style="2" customWidth="1"/>
    <col min="5366" max="5366" width="20.140625" style="2" customWidth="1"/>
    <col min="5367" max="5598" width="8.85546875" style="2" customWidth="1"/>
    <col min="5599" max="5599" width="8.140625" style="2" customWidth="1"/>
    <col min="5600" max="5600" width="14.42578125" style="2" customWidth="1"/>
    <col min="5601" max="5601" width="37.42578125" style="2" customWidth="1"/>
    <col min="5602" max="5602" width="63.140625" style="2" customWidth="1"/>
    <col min="5603" max="5603" width="20" style="2" customWidth="1"/>
    <col min="5604" max="5604" width="11.140625" style="2" customWidth="1"/>
    <col min="5605" max="5605" width="10.85546875" style="2" customWidth="1"/>
    <col min="5606" max="5606" width="21" style="2" customWidth="1"/>
    <col min="5607" max="5607" width="10.85546875" style="2" customWidth="1"/>
    <col min="5608" max="5608" width="17.42578125" style="2" customWidth="1"/>
    <col min="5609" max="5609" width="14.85546875" style="2" customWidth="1"/>
    <col min="5610" max="5610" width="15" style="2" customWidth="1"/>
    <col min="5611" max="5611" width="14.85546875" style="2" customWidth="1"/>
    <col min="5612" max="5612" width="7.140625" style="2" customWidth="1"/>
    <col min="5613" max="5614" width="20.140625" style="2" customWidth="1"/>
    <col min="5615" max="5615" width="18.42578125" style="2" customWidth="1"/>
    <col min="5616" max="5616" width="9.140625" style="2" customWidth="1"/>
    <col min="5617" max="5617" width="12" style="2" customWidth="1"/>
    <col min="5618" max="5618" width="14.85546875" style="2" customWidth="1"/>
    <col min="5619" max="5619" width="22.42578125" style="2" customWidth="1"/>
    <col min="5620" max="5620" width="14.85546875" style="2" customWidth="1"/>
    <col min="5621" max="5621" width="7.140625" style="2" customWidth="1"/>
    <col min="5622" max="5622" width="20.140625" style="2" customWidth="1"/>
    <col min="5623" max="5854" width="8.85546875" style="2" customWidth="1"/>
    <col min="5855" max="5855" width="8.140625" style="2" customWidth="1"/>
    <col min="5856" max="5856" width="14.42578125" style="2" customWidth="1"/>
    <col min="5857" max="5857" width="37.42578125" style="2" customWidth="1"/>
    <col min="5858" max="5858" width="63.140625" style="2" customWidth="1"/>
    <col min="5859" max="5859" width="20" style="2" customWidth="1"/>
    <col min="5860" max="5860" width="11.140625" style="2" customWidth="1"/>
    <col min="5861" max="5861" width="10.85546875" style="2" customWidth="1"/>
    <col min="5862" max="5862" width="21" style="2" customWidth="1"/>
    <col min="5863" max="5863" width="10.85546875" style="2" customWidth="1"/>
    <col min="5864" max="5864" width="17.42578125" style="2" customWidth="1"/>
    <col min="5865" max="5865" width="14.85546875" style="2" customWidth="1"/>
    <col min="5866" max="5866" width="15" style="2" customWidth="1"/>
    <col min="5867" max="5867" width="14.85546875" style="2" customWidth="1"/>
    <col min="5868" max="5868" width="7.140625" style="2" customWidth="1"/>
    <col min="5869" max="5870" width="20.140625" style="2" customWidth="1"/>
    <col min="5871" max="5871" width="18.42578125" style="2" customWidth="1"/>
    <col min="5872" max="5872" width="9.140625" style="2" customWidth="1"/>
    <col min="5873" max="5873" width="12" style="2" customWidth="1"/>
    <col min="5874" max="5874" width="14.85546875" style="2" customWidth="1"/>
    <col min="5875" max="5875" width="22.42578125" style="2" customWidth="1"/>
    <col min="5876" max="5876" width="14.85546875" style="2" customWidth="1"/>
    <col min="5877" max="5877" width="7.140625" style="2" customWidth="1"/>
    <col min="5878" max="5878" width="20.140625" style="2" customWidth="1"/>
    <col min="5879" max="6110" width="8.85546875" style="2" customWidth="1"/>
    <col min="6111" max="6111" width="8.140625" style="2" customWidth="1"/>
    <col min="6112" max="6112" width="14.42578125" style="2" customWidth="1"/>
    <col min="6113" max="6113" width="37.42578125" style="2" customWidth="1"/>
    <col min="6114" max="6114" width="63.140625" style="2" customWidth="1"/>
    <col min="6115" max="6115" width="20" style="2" customWidth="1"/>
    <col min="6116" max="6116" width="11.140625" style="2" customWidth="1"/>
    <col min="6117" max="6117" width="10.85546875" style="2" customWidth="1"/>
    <col min="6118" max="6118" width="21" style="2" customWidth="1"/>
    <col min="6119" max="6119" width="10.85546875" style="2" customWidth="1"/>
    <col min="6120" max="6120" width="17.42578125" style="2" customWidth="1"/>
    <col min="6121" max="6121" width="14.85546875" style="2" customWidth="1"/>
    <col min="6122" max="6122" width="15" style="2" customWidth="1"/>
    <col min="6123" max="6123" width="14.85546875" style="2" customWidth="1"/>
    <col min="6124" max="6124" width="7.140625" style="2" customWidth="1"/>
    <col min="6125" max="6126" width="20.140625" style="2" customWidth="1"/>
    <col min="6127" max="6127" width="18.42578125" style="2" customWidth="1"/>
    <col min="6128" max="6128" width="9.140625" style="2" customWidth="1"/>
    <col min="6129" max="6129" width="12" style="2" customWidth="1"/>
    <col min="6130" max="6130" width="14.85546875" style="2" customWidth="1"/>
    <col min="6131" max="6131" width="22.42578125" style="2" customWidth="1"/>
    <col min="6132" max="6132" width="14.85546875" style="2" customWidth="1"/>
    <col min="6133" max="6133" width="7.140625" style="2" customWidth="1"/>
    <col min="6134" max="6134" width="20.140625" style="2" customWidth="1"/>
    <col min="6135" max="6366" width="8.85546875" style="2" customWidth="1"/>
    <col min="6367" max="6367" width="8.140625" style="2" customWidth="1"/>
    <col min="6368" max="6368" width="14.42578125" style="2" customWidth="1"/>
    <col min="6369" max="6369" width="37.42578125" style="2" customWidth="1"/>
    <col min="6370" max="6370" width="63.140625" style="2" customWidth="1"/>
    <col min="6371" max="6371" width="20" style="2" customWidth="1"/>
    <col min="6372" max="6372" width="11.140625" style="2" customWidth="1"/>
    <col min="6373" max="6373" width="10.85546875" style="2" customWidth="1"/>
    <col min="6374" max="6374" width="21" style="2" customWidth="1"/>
    <col min="6375" max="6375" width="10.85546875" style="2" customWidth="1"/>
    <col min="6376" max="6376" width="17.42578125" style="2" customWidth="1"/>
    <col min="6377" max="6377" width="14.85546875" style="2" customWidth="1"/>
    <col min="6378" max="6378" width="15" style="2" customWidth="1"/>
    <col min="6379" max="6379" width="14.85546875" style="2" customWidth="1"/>
    <col min="6380" max="6380" width="7.140625" style="2" customWidth="1"/>
    <col min="6381" max="6382" width="20.140625" style="2" customWidth="1"/>
    <col min="6383" max="6383" width="18.42578125" style="2" customWidth="1"/>
    <col min="6384" max="6384" width="9.140625" style="2" customWidth="1"/>
    <col min="6385" max="6385" width="12" style="2" customWidth="1"/>
    <col min="6386" max="6386" width="14.85546875" style="2" customWidth="1"/>
    <col min="6387" max="6387" width="22.42578125" style="2" customWidth="1"/>
    <col min="6388" max="6388" width="14.85546875" style="2" customWidth="1"/>
    <col min="6389" max="6389" width="7.140625" style="2" customWidth="1"/>
    <col min="6390" max="6390" width="20.140625" style="2" customWidth="1"/>
    <col min="6391" max="6622" width="8.85546875" style="2" customWidth="1"/>
    <col min="6623" max="6623" width="8.140625" style="2" customWidth="1"/>
    <col min="6624" max="6624" width="14.42578125" style="2" customWidth="1"/>
    <col min="6625" max="6625" width="37.42578125" style="2" customWidth="1"/>
    <col min="6626" max="6626" width="63.140625" style="2" customWidth="1"/>
    <col min="6627" max="6627" width="20" style="2" customWidth="1"/>
    <col min="6628" max="6628" width="11.140625" style="2" customWidth="1"/>
    <col min="6629" max="6629" width="10.85546875" style="2" customWidth="1"/>
    <col min="6630" max="6630" width="21" style="2" customWidth="1"/>
    <col min="6631" max="6631" width="10.85546875" style="2" customWidth="1"/>
    <col min="6632" max="6632" width="17.42578125" style="2" customWidth="1"/>
    <col min="6633" max="6633" width="14.85546875" style="2" customWidth="1"/>
    <col min="6634" max="6634" width="15" style="2" customWidth="1"/>
    <col min="6635" max="6635" width="14.85546875" style="2" customWidth="1"/>
    <col min="6636" max="6636" width="7.140625" style="2" customWidth="1"/>
    <col min="6637" max="6638" width="20.140625" style="2" customWidth="1"/>
    <col min="6639" max="6639" width="18.42578125" style="2" customWidth="1"/>
    <col min="6640" max="6640" width="9.140625" style="2" customWidth="1"/>
    <col min="6641" max="6641" width="12" style="2" customWidth="1"/>
    <col min="6642" max="6642" width="14.85546875" style="2" customWidth="1"/>
    <col min="6643" max="6643" width="22.42578125" style="2" customWidth="1"/>
    <col min="6644" max="6644" width="14.85546875" style="2" customWidth="1"/>
    <col min="6645" max="6645" width="7.140625" style="2" customWidth="1"/>
    <col min="6646" max="6646" width="20.140625" style="2" customWidth="1"/>
    <col min="6647" max="6878" width="8.85546875" style="2" customWidth="1"/>
    <col min="6879" max="6879" width="8.140625" style="2" customWidth="1"/>
    <col min="6880" max="6880" width="14.42578125" style="2" customWidth="1"/>
    <col min="6881" max="6881" width="37.42578125" style="2" customWidth="1"/>
    <col min="6882" max="6882" width="63.140625" style="2" customWidth="1"/>
    <col min="6883" max="6883" width="20" style="2" customWidth="1"/>
    <col min="6884" max="6884" width="11.140625" style="2" customWidth="1"/>
    <col min="6885" max="6885" width="10.85546875" style="2" customWidth="1"/>
    <col min="6886" max="6886" width="21" style="2" customWidth="1"/>
    <col min="6887" max="6887" width="10.85546875" style="2" customWidth="1"/>
    <col min="6888" max="6888" width="17.42578125" style="2" customWidth="1"/>
    <col min="6889" max="6889" width="14.85546875" style="2" customWidth="1"/>
    <col min="6890" max="6890" width="15" style="2" customWidth="1"/>
    <col min="6891" max="6891" width="14.85546875" style="2" customWidth="1"/>
    <col min="6892" max="6892" width="7.140625" style="2" customWidth="1"/>
    <col min="6893" max="6894" width="20.140625" style="2" customWidth="1"/>
    <col min="6895" max="6895" width="18.42578125" style="2" customWidth="1"/>
    <col min="6896" max="6896" width="9.140625" style="2" customWidth="1"/>
    <col min="6897" max="6897" width="12" style="2" customWidth="1"/>
    <col min="6898" max="6898" width="14.85546875" style="2" customWidth="1"/>
    <col min="6899" max="6899" width="22.42578125" style="2" customWidth="1"/>
    <col min="6900" max="6900" width="14.85546875" style="2" customWidth="1"/>
    <col min="6901" max="6901" width="7.140625" style="2" customWidth="1"/>
    <col min="6902" max="6902" width="20.140625" style="2" customWidth="1"/>
    <col min="6903" max="7134" width="8.85546875" style="2" customWidth="1"/>
    <col min="7135" max="7135" width="8.140625" style="2" customWidth="1"/>
    <col min="7136" max="7136" width="14.42578125" style="2" customWidth="1"/>
    <col min="7137" max="7137" width="37.42578125" style="2" customWidth="1"/>
    <col min="7138" max="7138" width="63.140625" style="2" customWidth="1"/>
    <col min="7139" max="7139" width="20" style="2" customWidth="1"/>
    <col min="7140" max="7140" width="11.140625" style="2" customWidth="1"/>
    <col min="7141" max="7141" width="10.85546875" style="2" customWidth="1"/>
    <col min="7142" max="7142" width="21" style="2" customWidth="1"/>
    <col min="7143" max="7143" width="10.85546875" style="2" customWidth="1"/>
    <col min="7144" max="7144" width="17.42578125" style="2" customWidth="1"/>
    <col min="7145" max="7145" width="14.85546875" style="2" customWidth="1"/>
    <col min="7146" max="7146" width="15" style="2" customWidth="1"/>
    <col min="7147" max="7147" width="14.85546875" style="2" customWidth="1"/>
    <col min="7148" max="7148" width="7.140625" style="2" customWidth="1"/>
    <col min="7149" max="7150" width="20.140625" style="2" customWidth="1"/>
    <col min="7151" max="7151" width="18.42578125" style="2" customWidth="1"/>
    <col min="7152" max="7152" width="9.140625" style="2" customWidth="1"/>
    <col min="7153" max="7153" width="12" style="2" customWidth="1"/>
    <col min="7154" max="7154" width="14.85546875" style="2" customWidth="1"/>
    <col min="7155" max="7155" width="22.42578125" style="2" customWidth="1"/>
    <col min="7156" max="7156" width="14.85546875" style="2" customWidth="1"/>
    <col min="7157" max="7157" width="7.140625" style="2" customWidth="1"/>
    <col min="7158" max="7158" width="20.140625" style="2" customWidth="1"/>
    <col min="7159" max="7390" width="8.85546875" style="2" customWidth="1"/>
    <col min="7391" max="7391" width="8.140625" style="2" customWidth="1"/>
    <col min="7392" max="7392" width="14.42578125" style="2" customWidth="1"/>
    <col min="7393" max="7393" width="37.42578125" style="2" customWidth="1"/>
    <col min="7394" max="7394" width="63.140625" style="2" customWidth="1"/>
    <col min="7395" max="7395" width="20" style="2" customWidth="1"/>
    <col min="7396" max="7396" width="11.140625" style="2" customWidth="1"/>
    <col min="7397" max="7397" width="10.85546875" style="2" customWidth="1"/>
    <col min="7398" max="7398" width="21" style="2" customWidth="1"/>
    <col min="7399" max="7399" width="10.85546875" style="2" customWidth="1"/>
    <col min="7400" max="7400" width="17.42578125" style="2" customWidth="1"/>
    <col min="7401" max="7401" width="14.85546875" style="2" customWidth="1"/>
    <col min="7402" max="7402" width="15" style="2" customWidth="1"/>
    <col min="7403" max="7403" width="14.85546875" style="2" customWidth="1"/>
    <col min="7404" max="7404" width="7.140625" style="2" customWidth="1"/>
    <col min="7405" max="7406" width="20.140625" style="2" customWidth="1"/>
    <col min="7407" max="7407" width="18.42578125" style="2" customWidth="1"/>
    <col min="7408" max="7408" width="9.140625" style="2" customWidth="1"/>
    <col min="7409" max="7409" width="12" style="2" customWidth="1"/>
    <col min="7410" max="7410" width="14.85546875" style="2" customWidth="1"/>
    <col min="7411" max="7411" width="22.42578125" style="2" customWidth="1"/>
    <col min="7412" max="7412" width="14.85546875" style="2" customWidth="1"/>
    <col min="7413" max="7413" width="7.140625" style="2" customWidth="1"/>
    <col min="7414" max="7414" width="20.140625" style="2" customWidth="1"/>
    <col min="7415" max="7646" width="8.85546875" style="2" customWidth="1"/>
    <col min="7647" max="7647" width="8.140625" style="2" customWidth="1"/>
    <col min="7648" max="7648" width="14.42578125" style="2" customWidth="1"/>
    <col min="7649" max="7649" width="37.42578125" style="2" customWidth="1"/>
    <col min="7650" max="7650" width="63.140625" style="2" customWidth="1"/>
    <col min="7651" max="7651" width="20" style="2" customWidth="1"/>
    <col min="7652" max="7652" width="11.140625" style="2" customWidth="1"/>
    <col min="7653" max="7653" width="10.85546875" style="2" customWidth="1"/>
    <col min="7654" max="7654" width="21" style="2" customWidth="1"/>
    <col min="7655" max="7655" width="10.85546875" style="2" customWidth="1"/>
    <col min="7656" max="7656" width="17.42578125" style="2" customWidth="1"/>
    <col min="7657" max="7657" width="14.85546875" style="2" customWidth="1"/>
    <col min="7658" max="7658" width="15" style="2" customWidth="1"/>
    <col min="7659" max="7659" width="14.85546875" style="2" customWidth="1"/>
    <col min="7660" max="7660" width="7.140625" style="2" customWidth="1"/>
    <col min="7661" max="7662" width="20.140625" style="2" customWidth="1"/>
    <col min="7663" max="7663" width="18.42578125" style="2" customWidth="1"/>
    <col min="7664" max="7664" width="9.140625" style="2" customWidth="1"/>
    <col min="7665" max="7665" width="12" style="2" customWidth="1"/>
    <col min="7666" max="7666" width="14.85546875" style="2" customWidth="1"/>
    <col min="7667" max="7667" width="22.42578125" style="2" customWidth="1"/>
    <col min="7668" max="7668" width="14.85546875" style="2" customWidth="1"/>
    <col min="7669" max="7669" width="7.140625" style="2" customWidth="1"/>
    <col min="7670" max="7670" width="20.140625" style="2" customWidth="1"/>
    <col min="7671" max="7902" width="8.85546875" style="2" customWidth="1"/>
    <col min="7903" max="7903" width="8.140625" style="2" customWidth="1"/>
    <col min="7904" max="7904" width="14.42578125" style="2" customWidth="1"/>
    <col min="7905" max="7905" width="37.42578125" style="2" customWidth="1"/>
    <col min="7906" max="7906" width="63.140625" style="2" customWidth="1"/>
    <col min="7907" max="7907" width="20" style="2" customWidth="1"/>
    <col min="7908" max="7908" width="11.140625" style="2" customWidth="1"/>
    <col min="7909" max="7909" width="10.85546875" style="2" customWidth="1"/>
    <col min="7910" max="7910" width="21" style="2" customWidth="1"/>
    <col min="7911" max="7911" width="10.85546875" style="2" customWidth="1"/>
    <col min="7912" max="7912" width="17.42578125" style="2" customWidth="1"/>
    <col min="7913" max="7913" width="14.85546875" style="2" customWidth="1"/>
    <col min="7914" max="7914" width="15" style="2" customWidth="1"/>
    <col min="7915" max="7915" width="14.85546875" style="2" customWidth="1"/>
    <col min="7916" max="7916" width="7.140625" style="2" customWidth="1"/>
    <col min="7917" max="7918" width="20.140625" style="2" customWidth="1"/>
    <col min="7919" max="7919" width="18.42578125" style="2" customWidth="1"/>
    <col min="7920" max="7920" width="9.140625" style="2" customWidth="1"/>
    <col min="7921" max="7921" width="12" style="2" customWidth="1"/>
    <col min="7922" max="7922" width="14.85546875" style="2" customWidth="1"/>
    <col min="7923" max="7923" width="22.42578125" style="2" customWidth="1"/>
    <col min="7924" max="7924" width="14.85546875" style="2" customWidth="1"/>
    <col min="7925" max="7925" width="7.140625" style="2" customWidth="1"/>
    <col min="7926" max="7926" width="20.140625" style="2" customWidth="1"/>
    <col min="7927" max="8158" width="8.85546875" style="2" customWidth="1"/>
    <col min="8159" max="8159" width="8.140625" style="2" customWidth="1"/>
    <col min="8160" max="8160" width="14.42578125" style="2" customWidth="1"/>
    <col min="8161" max="8161" width="37.42578125" style="2" customWidth="1"/>
    <col min="8162" max="8162" width="63.140625" style="2" customWidth="1"/>
    <col min="8163" max="8163" width="20" style="2" customWidth="1"/>
    <col min="8164" max="8164" width="11.140625" style="2" customWidth="1"/>
    <col min="8165" max="8165" width="10.85546875" style="2" customWidth="1"/>
    <col min="8166" max="8166" width="21" style="2" customWidth="1"/>
    <col min="8167" max="8167" width="10.85546875" style="2" customWidth="1"/>
    <col min="8168" max="8168" width="17.42578125" style="2" customWidth="1"/>
    <col min="8169" max="8169" width="14.85546875" style="2" customWidth="1"/>
    <col min="8170" max="8170" width="15" style="2" customWidth="1"/>
    <col min="8171" max="8171" width="14.85546875" style="2" customWidth="1"/>
    <col min="8172" max="8172" width="7.140625" style="2" customWidth="1"/>
    <col min="8173" max="8174" width="20.140625" style="2" customWidth="1"/>
    <col min="8175" max="8175" width="18.42578125" style="2" customWidth="1"/>
    <col min="8176" max="8176" width="9.140625" style="2" customWidth="1"/>
    <col min="8177" max="8177" width="12" style="2" customWidth="1"/>
    <col min="8178" max="8178" width="14.85546875" style="2" customWidth="1"/>
    <col min="8179" max="8179" width="22.42578125" style="2" customWidth="1"/>
    <col min="8180" max="8180" width="14.85546875" style="2" customWidth="1"/>
    <col min="8181" max="8181" width="7.140625" style="2" customWidth="1"/>
    <col min="8182" max="8182" width="20.140625" style="2" customWidth="1"/>
    <col min="8183" max="8414" width="8.85546875" style="2" customWidth="1"/>
    <col min="8415" max="8415" width="8.140625" style="2" customWidth="1"/>
    <col min="8416" max="8416" width="14.42578125" style="2" customWidth="1"/>
    <col min="8417" max="8417" width="37.42578125" style="2" customWidth="1"/>
    <col min="8418" max="8418" width="63.140625" style="2" customWidth="1"/>
    <col min="8419" max="8419" width="20" style="2" customWidth="1"/>
    <col min="8420" max="8420" width="11.140625" style="2" customWidth="1"/>
    <col min="8421" max="8421" width="10.85546875" style="2" customWidth="1"/>
    <col min="8422" max="8422" width="21" style="2" customWidth="1"/>
    <col min="8423" max="8423" width="10.85546875" style="2" customWidth="1"/>
    <col min="8424" max="8424" width="17.42578125" style="2" customWidth="1"/>
    <col min="8425" max="8425" width="14.85546875" style="2" customWidth="1"/>
    <col min="8426" max="8426" width="15" style="2" customWidth="1"/>
    <col min="8427" max="8427" width="14.85546875" style="2" customWidth="1"/>
    <col min="8428" max="8428" width="7.140625" style="2" customWidth="1"/>
    <col min="8429" max="8430" width="20.140625" style="2" customWidth="1"/>
    <col min="8431" max="8431" width="18.42578125" style="2" customWidth="1"/>
    <col min="8432" max="8432" width="9.140625" style="2" customWidth="1"/>
    <col min="8433" max="8433" width="12" style="2" customWidth="1"/>
    <col min="8434" max="8434" width="14.85546875" style="2" customWidth="1"/>
    <col min="8435" max="8435" width="22.42578125" style="2" customWidth="1"/>
    <col min="8436" max="8436" width="14.85546875" style="2" customWidth="1"/>
    <col min="8437" max="8437" width="7.140625" style="2" customWidth="1"/>
    <col min="8438" max="8438" width="20.140625" style="2" customWidth="1"/>
    <col min="8439" max="8670" width="8.85546875" style="2" customWidth="1"/>
    <col min="8671" max="8671" width="8.140625" style="2" customWidth="1"/>
    <col min="8672" max="8672" width="14.42578125" style="2" customWidth="1"/>
    <col min="8673" max="8673" width="37.42578125" style="2" customWidth="1"/>
    <col min="8674" max="8674" width="63.140625" style="2" customWidth="1"/>
    <col min="8675" max="8675" width="20" style="2" customWidth="1"/>
    <col min="8676" max="8676" width="11.140625" style="2" customWidth="1"/>
    <col min="8677" max="8677" width="10.85546875" style="2" customWidth="1"/>
    <col min="8678" max="8678" width="21" style="2" customWidth="1"/>
    <col min="8679" max="8679" width="10.85546875" style="2" customWidth="1"/>
    <col min="8680" max="8680" width="17.42578125" style="2" customWidth="1"/>
    <col min="8681" max="8681" width="14.85546875" style="2" customWidth="1"/>
    <col min="8682" max="8682" width="15" style="2" customWidth="1"/>
    <col min="8683" max="8683" width="14.85546875" style="2" customWidth="1"/>
    <col min="8684" max="8684" width="7.140625" style="2" customWidth="1"/>
    <col min="8685" max="8686" width="20.140625" style="2" customWidth="1"/>
    <col min="8687" max="8687" width="18.42578125" style="2" customWidth="1"/>
    <col min="8688" max="8688" width="9.140625" style="2" customWidth="1"/>
    <col min="8689" max="8689" width="12" style="2" customWidth="1"/>
    <col min="8690" max="8690" width="14.85546875" style="2" customWidth="1"/>
    <col min="8691" max="8691" width="22.42578125" style="2" customWidth="1"/>
    <col min="8692" max="8692" width="14.85546875" style="2" customWidth="1"/>
    <col min="8693" max="8693" width="7.140625" style="2" customWidth="1"/>
    <col min="8694" max="8694" width="20.140625" style="2" customWidth="1"/>
    <col min="8695" max="8926" width="8.85546875" style="2" customWidth="1"/>
    <col min="8927" max="8927" width="8.140625" style="2" customWidth="1"/>
    <col min="8928" max="8928" width="14.42578125" style="2" customWidth="1"/>
    <col min="8929" max="8929" width="37.42578125" style="2" customWidth="1"/>
    <col min="8930" max="8930" width="63.140625" style="2" customWidth="1"/>
    <col min="8931" max="8931" width="20" style="2" customWidth="1"/>
    <col min="8932" max="8932" width="11.140625" style="2" customWidth="1"/>
    <col min="8933" max="8933" width="10.85546875" style="2" customWidth="1"/>
    <col min="8934" max="8934" width="21" style="2" customWidth="1"/>
    <col min="8935" max="8935" width="10.85546875" style="2" customWidth="1"/>
    <col min="8936" max="8936" width="17.42578125" style="2" customWidth="1"/>
    <col min="8937" max="8937" width="14.85546875" style="2" customWidth="1"/>
    <col min="8938" max="8938" width="15" style="2" customWidth="1"/>
    <col min="8939" max="8939" width="14.85546875" style="2" customWidth="1"/>
    <col min="8940" max="8940" width="7.140625" style="2" customWidth="1"/>
    <col min="8941" max="8942" width="20.140625" style="2" customWidth="1"/>
    <col min="8943" max="8943" width="18.42578125" style="2" customWidth="1"/>
    <col min="8944" max="8944" width="9.140625" style="2" customWidth="1"/>
    <col min="8945" max="8945" width="12" style="2" customWidth="1"/>
    <col min="8946" max="8946" width="14.85546875" style="2" customWidth="1"/>
    <col min="8947" max="8947" width="22.42578125" style="2" customWidth="1"/>
    <col min="8948" max="8948" width="14.85546875" style="2" customWidth="1"/>
    <col min="8949" max="8949" width="7.140625" style="2" customWidth="1"/>
    <col min="8950" max="8950" width="20.140625" style="2" customWidth="1"/>
    <col min="8951" max="9182" width="8.85546875" style="2" customWidth="1"/>
    <col min="9183" max="9183" width="8.140625" style="2" customWidth="1"/>
    <col min="9184" max="9184" width="14.42578125" style="2" customWidth="1"/>
    <col min="9185" max="9185" width="37.42578125" style="2" customWidth="1"/>
    <col min="9186" max="9186" width="63.140625" style="2" customWidth="1"/>
    <col min="9187" max="9187" width="20" style="2" customWidth="1"/>
    <col min="9188" max="9188" width="11.140625" style="2" customWidth="1"/>
    <col min="9189" max="9189" width="10.85546875" style="2" customWidth="1"/>
    <col min="9190" max="9190" width="21" style="2" customWidth="1"/>
    <col min="9191" max="9191" width="10.85546875" style="2" customWidth="1"/>
    <col min="9192" max="9192" width="17.42578125" style="2" customWidth="1"/>
    <col min="9193" max="9193" width="14.85546875" style="2" customWidth="1"/>
    <col min="9194" max="9194" width="15" style="2" customWidth="1"/>
    <col min="9195" max="9195" width="14.85546875" style="2" customWidth="1"/>
    <col min="9196" max="9196" width="7.140625" style="2" customWidth="1"/>
    <col min="9197" max="9198" width="20.140625" style="2" customWidth="1"/>
    <col min="9199" max="9199" width="18.42578125" style="2" customWidth="1"/>
    <col min="9200" max="9200" width="9.140625" style="2" customWidth="1"/>
    <col min="9201" max="9201" width="12" style="2" customWidth="1"/>
    <col min="9202" max="9202" width="14.85546875" style="2" customWidth="1"/>
    <col min="9203" max="9203" width="22.42578125" style="2" customWidth="1"/>
    <col min="9204" max="9204" width="14.85546875" style="2" customWidth="1"/>
    <col min="9205" max="9205" width="7.140625" style="2" customWidth="1"/>
    <col min="9206" max="9206" width="20.140625" style="2" customWidth="1"/>
    <col min="9207" max="9438" width="8.85546875" style="2" customWidth="1"/>
    <col min="9439" max="9439" width="8.140625" style="2" customWidth="1"/>
    <col min="9440" max="9440" width="14.42578125" style="2" customWidth="1"/>
    <col min="9441" max="9441" width="37.42578125" style="2" customWidth="1"/>
    <col min="9442" max="9442" width="63.140625" style="2" customWidth="1"/>
    <col min="9443" max="9443" width="20" style="2" customWidth="1"/>
    <col min="9444" max="9444" width="11.140625" style="2" customWidth="1"/>
    <col min="9445" max="9445" width="10.85546875" style="2" customWidth="1"/>
    <col min="9446" max="9446" width="21" style="2" customWidth="1"/>
    <col min="9447" max="9447" width="10.85546875" style="2" customWidth="1"/>
    <col min="9448" max="9448" width="17.42578125" style="2" customWidth="1"/>
    <col min="9449" max="9449" width="14.85546875" style="2" customWidth="1"/>
    <col min="9450" max="9450" width="15" style="2" customWidth="1"/>
    <col min="9451" max="9451" width="14.85546875" style="2" customWidth="1"/>
    <col min="9452" max="9452" width="7.140625" style="2" customWidth="1"/>
    <col min="9453" max="9454" width="20.140625" style="2" customWidth="1"/>
    <col min="9455" max="9455" width="18.42578125" style="2" customWidth="1"/>
    <col min="9456" max="9456" width="9.140625" style="2" customWidth="1"/>
    <col min="9457" max="9457" width="12" style="2" customWidth="1"/>
    <col min="9458" max="9458" width="14.85546875" style="2" customWidth="1"/>
    <col min="9459" max="9459" width="22.42578125" style="2" customWidth="1"/>
    <col min="9460" max="9460" width="14.85546875" style="2" customWidth="1"/>
    <col min="9461" max="9461" width="7.140625" style="2" customWidth="1"/>
    <col min="9462" max="9462" width="20.140625" style="2" customWidth="1"/>
    <col min="9463" max="9694" width="8.85546875" style="2" customWidth="1"/>
    <col min="9695" max="9695" width="8.140625" style="2" customWidth="1"/>
    <col min="9696" max="9696" width="14.42578125" style="2" customWidth="1"/>
    <col min="9697" max="9697" width="37.42578125" style="2" customWidth="1"/>
    <col min="9698" max="9698" width="63.140625" style="2" customWidth="1"/>
    <col min="9699" max="9699" width="20" style="2" customWidth="1"/>
    <col min="9700" max="9700" width="11.140625" style="2" customWidth="1"/>
    <col min="9701" max="9701" width="10.85546875" style="2" customWidth="1"/>
    <col min="9702" max="9702" width="21" style="2" customWidth="1"/>
    <col min="9703" max="9703" width="10.85546875" style="2" customWidth="1"/>
    <col min="9704" max="9704" width="17.42578125" style="2" customWidth="1"/>
    <col min="9705" max="9705" width="14.85546875" style="2" customWidth="1"/>
    <col min="9706" max="9706" width="15" style="2" customWidth="1"/>
    <col min="9707" max="9707" width="14.85546875" style="2" customWidth="1"/>
    <col min="9708" max="9708" width="7.140625" style="2" customWidth="1"/>
    <col min="9709" max="9710" width="20.140625" style="2" customWidth="1"/>
    <col min="9711" max="9711" width="18.42578125" style="2" customWidth="1"/>
    <col min="9712" max="9712" width="9.140625" style="2" customWidth="1"/>
    <col min="9713" max="9713" width="12" style="2" customWidth="1"/>
    <col min="9714" max="9714" width="14.85546875" style="2" customWidth="1"/>
    <col min="9715" max="9715" width="22.42578125" style="2" customWidth="1"/>
    <col min="9716" max="9716" width="14.85546875" style="2" customWidth="1"/>
    <col min="9717" max="9717" width="7.140625" style="2" customWidth="1"/>
    <col min="9718" max="9718" width="20.140625" style="2" customWidth="1"/>
    <col min="9719" max="9950" width="8.85546875" style="2" customWidth="1"/>
    <col min="9951" max="9951" width="8.140625" style="2" customWidth="1"/>
    <col min="9952" max="9952" width="14.42578125" style="2" customWidth="1"/>
    <col min="9953" max="9953" width="37.42578125" style="2" customWidth="1"/>
    <col min="9954" max="9954" width="63.140625" style="2" customWidth="1"/>
    <col min="9955" max="9955" width="20" style="2" customWidth="1"/>
    <col min="9956" max="9956" width="11.140625" style="2" customWidth="1"/>
    <col min="9957" max="9957" width="10.85546875" style="2" customWidth="1"/>
    <col min="9958" max="9958" width="21" style="2" customWidth="1"/>
    <col min="9959" max="9959" width="10.85546875" style="2" customWidth="1"/>
    <col min="9960" max="9960" width="17.42578125" style="2" customWidth="1"/>
    <col min="9961" max="9961" width="14.85546875" style="2" customWidth="1"/>
    <col min="9962" max="9962" width="15" style="2" customWidth="1"/>
    <col min="9963" max="9963" width="14.85546875" style="2" customWidth="1"/>
    <col min="9964" max="9964" width="7.140625" style="2" customWidth="1"/>
    <col min="9965" max="9966" width="20.140625" style="2" customWidth="1"/>
    <col min="9967" max="9967" width="18.42578125" style="2" customWidth="1"/>
    <col min="9968" max="9968" width="9.140625" style="2" customWidth="1"/>
    <col min="9969" max="9969" width="12" style="2" customWidth="1"/>
    <col min="9970" max="9970" width="14.85546875" style="2" customWidth="1"/>
    <col min="9971" max="9971" width="22.42578125" style="2" customWidth="1"/>
    <col min="9972" max="9972" width="14.85546875" style="2" customWidth="1"/>
    <col min="9973" max="9973" width="7.140625" style="2" customWidth="1"/>
    <col min="9974" max="9974" width="20.140625" style="2" customWidth="1"/>
    <col min="9975" max="10206" width="8.85546875" style="2" customWidth="1"/>
    <col min="10207" max="10207" width="8.140625" style="2" customWidth="1"/>
    <col min="10208" max="10208" width="14.42578125" style="2" customWidth="1"/>
    <col min="10209" max="10209" width="37.42578125" style="2" customWidth="1"/>
    <col min="10210" max="10210" width="63.140625" style="2" customWidth="1"/>
    <col min="10211" max="10211" width="20" style="2" customWidth="1"/>
    <col min="10212" max="10212" width="11.140625" style="2" customWidth="1"/>
    <col min="10213" max="10213" width="10.85546875" style="2" customWidth="1"/>
    <col min="10214" max="10214" width="21" style="2" customWidth="1"/>
    <col min="10215" max="10215" width="10.85546875" style="2" customWidth="1"/>
    <col min="10216" max="10216" width="17.42578125" style="2" customWidth="1"/>
    <col min="10217" max="10217" width="14.85546875" style="2" customWidth="1"/>
    <col min="10218" max="10218" width="15" style="2" customWidth="1"/>
    <col min="10219" max="10219" width="14.85546875" style="2" customWidth="1"/>
    <col min="10220" max="10220" width="7.140625" style="2" customWidth="1"/>
    <col min="10221" max="10222" width="20.140625" style="2" customWidth="1"/>
    <col min="10223" max="10223" width="18.42578125" style="2" customWidth="1"/>
    <col min="10224" max="10224" width="9.140625" style="2" customWidth="1"/>
    <col min="10225" max="10225" width="12" style="2" customWidth="1"/>
    <col min="10226" max="10226" width="14.85546875" style="2" customWidth="1"/>
    <col min="10227" max="10227" width="22.42578125" style="2" customWidth="1"/>
    <col min="10228" max="10228" width="14.85546875" style="2" customWidth="1"/>
    <col min="10229" max="10229" width="7.140625" style="2" customWidth="1"/>
    <col min="10230" max="10230" width="20.140625" style="2" customWidth="1"/>
    <col min="10231" max="10462" width="8.85546875" style="2" customWidth="1"/>
    <col min="10463" max="10463" width="8.140625" style="2" customWidth="1"/>
    <col min="10464" max="10464" width="14.42578125" style="2" customWidth="1"/>
    <col min="10465" max="10465" width="37.42578125" style="2" customWidth="1"/>
    <col min="10466" max="10466" width="63.140625" style="2" customWidth="1"/>
    <col min="10467" max="10467" width="20" style="2" customWidth="1"/>
    <col min="10468" max="10468" width="11.140625" style="2" customWidth="1"/>
    <col min="10469" max="10469" width="10.85546875" style="2" customWidth="1"/>
    <col min="10470" max="10470" width="21" style="2" customWidth="1"/>
    <col min="10471" max="10471" width="10.85546875" style="2" customWidth="1"/>
    <col min="10472" max="10472" width="17.42578125" style="2" customWidth="1"/>
    <col min="10473" max="10473" width="14.85546875" style="2" customWidth="1"/>
    <col min="10474" max="10474" width="15" style="2" customWidth="1"/>
    <col min="10475" max="10475" width="14.85546875" style="2" customWidth="1"/>
    <col min="10476" max="10476" width="7.140625" style="2" customWidth="1"/>
    <col min="10477" max="10478" width="20.140625" style="2" customWidth="1"/>
    <col min="10479" max="10479" width="18.42578125" style="2" customWidth="1"/>
    <col min="10480" max="10480" width="9.140625" style="2" customWidth="1"/>
    <col min="10481" max="10481" width="12" style="2" customWidth="1"/>
    <col min="10482" max="10482" width="14.85546875" style="2" customWidth="1"/>
    <col min="10483" max="10483" width="22.42578125" style="2" customWidth="1"/>
    <col min="10484" max="10484" width="14.85546875" style="2" customWidth="1"/>
    <col min="10485" max="10485" width="7.140625" style="2" customWidth="1"/>
    <col min="10486" max="10486" width="20.140625" style="2" customWidth="1"/>
    <col min="10487" max="10718" width="8.85546875" style="2" customWidth="1"/>
    <col min="10719" max="10719" width="8.140625" style="2" customWidth="1"/>
    <col min="10720" max="10720" width="14.42578125" style="2" customWidth="1"/>
    <col min="10721" max="10721" width="37.42578125" style="2" customWidth="1"/>
    <col min="10722" max="10722" width="63.140625" style="2" customWidth="1"/>
    <col min="10723" max="10723" width="20" style="2" customWidth="1"/>
    <col min="10724" max="10724" width="11.140625" style="2" customWidth="1"/>
    <col min="10725" max="10725" width="10.85546875" style="2" customWidth="1"/>
    <col min="10726" max="10726" width="21" style="2" customWidth="1"/>
    <col min="10727" max="10727" width="10.85546875" style="2" customWidth="1"/>
    <col min="10728" max="10728" width="17.42578125" style="2" customWidth="1"/>
    <col min="10729" max="10729" width="14.85546875" style="2" customWidth="1"/>
    <col min="10730" max="10730" width="15" style="2" customWidth="1"/>
    <col min="10731" max="10731" width="14.85546875" style="2" customWidth="1"/>
    <col min="10732" max="10732" width="7.140625" style="2" customWidth="1"/>
    <col min="10733" max="10734" width="20.140625" style="2" customWidth="1"/>
    <col min="10735" max="10735" width="18.42578125" style="2" customWidth="1"/>
    <col min="10736" max="10736" width="9.140625" style="2" customWidth="1"/>
    <col min="10737" max="10737" width="12" style="2" customWidth="1"/>
    <col min="10738" max="10738" width="14.85546875" style="2" customWidth="1"/>
    <col min="10739" max="10739" width="22.42578125" style="2" customWidth="1"/>
    <col min="10740" max="10740" width="14.85546875" style="2" customWidth="1"/>
    <col min="10741" max="10741" width="7.140625" style="2" customWidth="1"/>
    <col min="10742" max="10742" width="20.140625" style="2" customWidth="1"/>
    <col min="10743" max="10974" width="8.85546875" style="2" customWidth="1"/>
    <col min="10975" max="10975" width="8.140625" style="2" customWidth="1"/>
    <col min="10976" max="10976" width="14.42578125" style="2" customWidth="1"/>
    <col min="10977" max="10977" width="37.42578125" style="2" customWidth="1"/>
    <col min="10978" max="10978" width="63.140625" style="2" customWidth="1"/>
    <col min="10979" max="10979" width="20" style="2" customWidth="1"/>
    <col min="10980" max="10980" width="11.140625" style="2" customWidth="1"/>
    <col min="10981" max="10981" width="10.85546875" style="2" customWidth="1"/>
    <col min="10982" max="10982" width="21" style="2" customWidth="1"/>
    <col min="10983" max="10983" width="10.85546875" style="2" customWidth="1"/>
    <col min="10984" max="10984" width="17.42578125" style="2" customWidth="1"/>
    <col min="10985" max="10985" width="14.85546875" style="2" customWidth="1"/>
    <col min="10986" max="10986" width="15" style="2" customWidth="1"/>
    <col min="10987" max="10987" width="14.85546875" style="2" customWidth="1"/>
    <col min="10988" max="10988" width="7.140625" style="2" customWidth="1"/>
    <col min="10989" max="10990" width="20.140625" style="2" customWidth="1"/>
    <col min="10991" max="10991" width="18.42578125" style="2" customWidth="1"/>
    <col min="10992" max="10992" width="9.140625" style="2" customWidth="1"/>
    <col min="10993" max="10993" width="12" style="2" customWidth="1"/>
    <col min="10994" max="10994" width="14.85546875" style="2" customWidth="1"/>
    <col min="10995" max="10995" width="22.42578125" style="2" customWidth="1"/>
    <col min="10996" max="10996" width="14.85546875" style="2" customWidth="1"/>
    <col min="10997" max="10997" width="7.140625" style="2" customWidth="1"/>
    <col min="10998" max="10998" width="20.140625" style="2" customWidth="1"/>
    <col min="10999" max="11230" width="8.85546875" style="2" customWidth="1"/>
    <col min="11231" max="11231" width="8.140625" style="2" customWidth="1"/>
    <col min="11232" max="11232" width="14.42578125" style="2" customWidth="1"/>
    <col min="11233" max="11233" width="37.42578125" style="2" customWidth="1"/>
    <col min="11234" max="11234" width="63.140625" style="2" customWidth="1"/>
    <col min="11235" max="11235" width="20" style="2" customWidth="1"/>
    <col min="11236" max="11236" width="11.140625" style="2" customWidth="1"/>
    <col min="11237" max="11237" width="10.85546875" style="2" customWidth="1"/>
    <col min="11238" max="11238" width="21" style="2" customWidth="1"/>
    <col min="11239" max="11239" width="10.85546875" style="2" customWidth="1"/>
    <col min="11240" max="11240" width="17.42578125" style="2" customWidth="1"/>
    <col min="11241" max="11241" width="14.85546875" style="2" customWidth="1"/>
    <col min="11242" max="11242" width="15" style="2" customWidth="1"/>
    <col min="11243" max="11243" width="14.85546875" style="2" customWidth="1"/>
    <col min="11244" max="11244" width="7.140625" style="2" customWidth="1"/>
    <col min="11245" max="11246" width="20.140625" style="2" customWidth="1"/>
    <col min="11247" max="11247" width="18.42578125" style="2" customWidth="1"/>
    <col min="11248" max="11248" width="9.140625" style="2" customWidth="1"/>
    <col min="11249" max="11249" width="12" style="2" customWidth="1"/>
    <col min="11250" max="11250" width="14.85546875" style="2" customWidth="1"/>
    <col min="11251" max="11251" width="22.42578125" style="2" customWidth="1"/>
    <col min="11252" max="11252" width="14.85546875" style="2" customWidth="1"/>
    <col min="11253" max="11253" width="7.140625" style="2" customWidth="1"/>
    <col min="11254" max="11254" width="20.140625" style="2" customWidth="1"/>
    <col min="11255" max="11486" width="8.85546875" style="2" customWidth="1"/>
    <col min="11487" max="11487" width="8.140625" style="2" customWidth="1"/>
    <col min="11488" max="11488" width="14.42578125" style="2" customWidth="1"/>
    <col min="11489" max="11489" width="37.42578125" style="2" customWidth="1"/>
    <col min="11490" max="11490" width="63.140625" style="2" customWidth="1"/>
    <col min="11491" max="11491" width="20" style="2" customWidth="1"/>
    <col min="11492" max="11492" width="11.140625" style="2" customWidth="1"/>
    <col min="11493" max="11493" width="10.85546875" style="2" customWidth="1"/>
    <col min="11494" max="11494" width="21" style="2" customWidth="1"/>
    <col min="11495" max="11495" width="10.85546875" style="2" customWidth="1"/>
    <col min="11496" max="11496" width="17.42578125" style="2" customWidth="1"/>
    <col min="11497" max="11497" width="14.85546875" style="2" customWidth="1"/>
    <col min="11498" max="11498" width="15" style="2" customWidth="1"/>
    <col min="11499" max="11499" width="14.85546875" style="2" customWidth="1"/>
    <col min="11500" max="11500" width="7.140625" style="2" customWidth="1"/>
    <col min="11501" max="11502" width="20.140625" style="2" customWidth="1"/>
    <col min="11503" max="11503" width="18.42578125" style="2" customWidth="1"/>
    <col min="11504" max="11504" width="9.140625" style="2" customWidth="1"/>
    <col min="11505" max="11505" width="12" style="2" customWidth="1"/>
    <col min="11506" max="11506" width="14.85546875" style="2" customWidth="1"/>
    <col min="11507" max="11507" width="22.42578125" style="2" customWidth="1"/>
    <col min="11508" max="11508" width="14.85546875" style="2" customWidth="1"/>
    <col min="11509" max="11509" width="7.140625" style="2" customWidth="1"/>
    <col min="11510" max="11510" width="20.140625" style="2" customWidth="1"/>
    <col min="11511" max="11742" width="8.85546875" style="2" customWidth="1"/>
    <col min="11743" max="11743" width="8.140625" style="2" customWidth="1"/>
    <col min="11744" max="11744" width="14.42578125" style="2" customWidth="1"/>
    <col min="11745" max="11745" width="37.42578125" style="2" customWidth="1"/>
    <col min="11746" max="11746" width="63.140625" style="2" customWidth="1"/>
    <col min="11747" max="11747" width="20" style="2" customWidth="1"/>
    <col min="11748" max="11748" width="11.140625" style="2" customWidth="1"/>
    <col min="11749" max="11749" width="10.85546875" style="2" customWidth="1"/>
    <col min="11750" max="11750" width="21" style="2" customWidth="1"/>
    <col min="11751" max="11751" width="10.85546875" style="2" customWidth="1"/>
    <col min="11752" max="11752" width="17.42578125" style="2" customWidth="1"/>
    <col min="11753" max="11753" width="14.85546875" style="2" customWidth="1"/>
    <col min="11754" max="11754" width="15" style="2" customWidth="1"/>
    <col min="11755" max="11755" width="14.85546875" style="2" customWidth="1"/>
    <col min="11756" max="11756" width="7.140625" style="2" customWidth="1"/>
    <col min="11757" max="11758" width="20.140625" style="2" customWidth="1"/>
    <col min="11759" max="11759" width="18.42578125" style="2" customWidth="1"/>
    <col min="11760" max="11760" width="9.140625" style="2" customWidth="1"/>
    <col min="11761" max="11761" width="12" style="2" customWidth="1"/>
    <col min="11762" max="11762" width="14.85546875" style="2" customWidth="1"/>
    <col min="11763" max="11763" width="22.42578125" style="2" customWidth="1"/>
    <col min="11764" max="11764" width="14.85546875" style="2" customWidth="1"/>
    <col min="11765" max="11765" width="7.140625" style="2" customWidth="1"/>
    <col min="11766" max="11766" width="20.140625" style="2" customWidth="1"/>
    <col min="11767" max="11998" width="8.85546875" style="2" customWidth="1"/>
    <col min="11999" max="11999" width="8.140625" style="2" customWidth="1"/>
    <col min="12000" max="12000" width="14.42578125" style="2" customWidth="1"/>
    <col min="12001" max="12001" width="37.42578125" style="2" customWidth="1"/>
    <col min="12002" max="12002" width="63.140625" style="2" customWidth="1"/>
    <col min="12003" max="12003" width="20" style="2" customWidth="1"/>
    <col min="12004" max="12004" width="11.140625" style="2" customWidth="1"/>
    <col min="12005" max="12005" width="10.85546875" style="2" customWidth="1"/>
    <col min="12006" max="12006" width="21" style="2" customWidth="1"/>
    <col min="12007" max="12007" width="10.85546875" style="2" customWidth="1"/>
    <col min="12008" max="12008" width="17.42578125" style="2" customWidth="1"/>
    <col min="12009" max="12009" width="14.85546875" style="2" customWidth="1"/>
    <col min="12010" max="12010" width="15" style="2" customWidth="1"/>
    <col min="12011" max="12011" width="14.85546875" style="2" customWidth="1"/>
    <col min="12012" max="12012" width="7.140625" style="2" customWidth="1"/>
    <col min="12013" max="12014" width="20.140625" style="2" customWidth="1"/>
    <col min="12015" max="12015" width="18.42578125" style="2" customWidth="1"/>
    <col min="12016" max="12016" width="9.140625" style="2" customWidth="1"/>
    <col min="12017" max="12017" width="12" style="2" customWidth="1"/>
    <col min="12018" max="12018" width="14.85546875" style="2" customWidth="1"/>
    <col min="12019" max="12019" width="22.42578125" style="2" customWidth="1"/>
    <col min="12020" max="12020" width="14.85546875" style="2" customWidth="1"/>
    <col min="12021" max="12021" width="7.140625" style="2" customWidth="1"/>
    <col min="12022" max="12022" width="20.140625" style="2" customWidth="1"/>
    <col min="12023" max="12254" width="8.85546875" style="2" customWidth="1"/>
    <col min="12255" max="12255" width="8.140625" style="2" customWidth="1"/>
    <col min="12256" max="12256" width="14.42578125" style="2" customWidth="1"/>
    <col min="12257" max="12257" width="37.42578125" style="2" customWidth="1"/>
    <col min="12258" max="12258" width="63.140625" style="2" customWidth="1"/>
    <col min="12259" max="12259" width="20" style="2" customWidth="1"/>
    <col min="12260" max="12260" width="11.140625" style="2" customWidth="1"/>
    <col min="12261" max="12261" width="10.85546875" style="2" customWidth="1"/>
    <col min="12262" max="12262" width="21" style="2" customWidth="1"/>
    <col min="12263" max="12263" width="10.85546875" style="2" customWidth="1"/>
    <col min="12264" max="12264" width="17.42578125" style="2" customWidth="1"/>
    <col min="12265" max="12265" width="14.85546875" style="2" customWidth="1"/>
    <col min="12266" max="12266" width="15" style="2" customWidth="1"/>
    <col min="12267" max="12267" width="14.85546875" style="2" customWidth="1"/>
    <col min="12268" max="12268" width="7.140625" style="2" customWidth="1"/>
    <col min="12269" max="12270" width="20.140625" style="2" customWidth="1"/>
    <col min="12271" max="12271" width="18.42578125" style="2" customWidth="1"/>
    <col min="12272" max="12272" width="9.140625" style="2" customWidth="1"/>
    <col min="12273" max="12273" width="12" style="2" customWidth="1"/>
    <col min="12274" max="12274" width="14.85546875" style="2" customWidth="1"/>
    <col min="12275" max="12275" width="22.42578125" style="2" customWidth="1"/>
    <col min="12276" max="12276" width="14.85546875" style="2" customWidth="1"/>
    <col min="12277" max="12277" width="7.140625" style="2" customWidth="1"/>
    <col min="12278" max="12278" width="20.140625" style="2" customWidth="1"/>
    <col min="12279" max="12510" width="8.85546875" style="2" customWidth="1"/>
    <col min="12511" max="12511" width="8.140625" style="2" customWidth="1"/>
    <col min="12512" max="12512" width="14.42578125" style="2" customWidth="1"/>
    <col min="12513" max="12513" width="37.42578125" style="2" customWidth="1"/>
    <col min="12514" max="12514" width="63.140625" style="2" customWidth="1"/>
    <col min="12515" max="12515" width="20" style="2" customWidth="1"/>
    <col min="12516" max="12516" width="11.140625" style="2" customWidth="1"/>
    <col min="12517" max="12517" width="10.85546875" style="2" customWidth="1"/>
    <col min="12518" max="12518" width="21" style="2" customWidth="1"/>
    <col min="12519" max="12519" width="10.85546875" style="2" customWidth="1"/>
    <col min="12520" max="12520" width="17.42578125" style="2" customWidth="1"/>
    <col min="12521" max="12521" width="14.85546875" style="2" customWidth="1"/>
    <col min="12522" max="12522" width="15" style="2" customWidth="1"/>
    <col min="12523" max="12523" width="14.85546875" style="2" customWidth="1"/>
    <col min="12524" max="12524" width="7.140625" style="2" customWidth="1"/>
    <col min="12525" max="12526" width="20.140625" style="2" customWidth="1"/>
    <col min="12527" max="12527" width="18.42578125" style="2" customWidth="1"/>
    <col min="12528" max="12528" width="9.140625" style="2" customWidth="1"/>
    <col min="12529" max="12529" width="12" style="2" customWidth="1"/>
    <col min="12530" max="12530" width="14.85546875" style="2" customWidth="1"/>
    <col min="12531" max="12531" width="22.42578125" style="2" customWidth="1"/>
    <col min="12532" max="12532" width="14.85546875" style="2" customWidth="1"/>
    <col min="12533" max="12533" width="7.140625" style="2" customWidth="1"/>
    <col min="12534" max="12534" width="20.140625" style="2" customWidth="1"/>
    <col min="12535" max="12766" width="8.85546875" style="2" customWidth="1"/>
    <col min="12767" max="12767" width="8.140625" style="2" customWidth="1"/>
    <col min="12768" max="12768" width="14.42578125" style="2" customWidth="1"/>
    <col min="12769" max="12769" width="37.42578125" style="2" customWidth="1"/>
    <col min="12770" max="12770" width="63.140625" style="2" customWidth="1"/>
    <col min="12771" max="12771" width="20" style="2" customWidth="1"/>
    <col min="12772" max="12772" width="11.140625" style="2" customWidth="1"/>
    <col min="12773" max="12773" width="10.85546875" style="2" customWidth="1"/>
    <col min="12774" max="12774" width="21" style="2" customWidth="1"/>
    <col min="12775" max="12775" width="10.85546875" style="2" customWidth="1"/>
    <col min="12776" max="12776" width="17.42578125" style="2" customWidth="1"/>
    <col min="12777" max="12777" width="14.85546875" style="2" customWidth="1"/>
    <col min="12778" max="12778" width="15" style="2" customWidth="1"/>
    <col min="12779" max="12779" width="14.85546875" style="2" customWidth="1"/>
    <col min="12780" max="12780" width="7.140625" style="2" customWidth="1"/>
    <col min="12781" max="12782" width="20.140625" style="2" customWidth="1"/>
    <col min="12783" max="12783" width="18.42578125" style="2" customWidth="1"/>
    <col min="12784" max="12784" width="9.140625" style="2" customWidth="1"/>
    <col min="12785" max="12785" width="12" style="2" customWidth="1"/>
    <col min="12786" max="12786" width="14.85546875" style="2" customWidth="1"/>
    <col min="12787" max="12787" width="22.42578125" style="2" customWidth="1"/>
    <col min="12788" max="12788" width="14.85546875" style="2" customWidth="1"/>
    <col min="12789" max="12789" width="7.140625" style="2" customWidth="1"/>
    <col min="12790" max="12790" width="20.140625" style="2" customWidth="1"/>
    <col min="12791" max="13022" width="8.85546875" style="2" customWidth="1"/>
    <col min="13023" max="13023" width="8.140625" style="2" customWidth="1"/>
    <col min="13024" max="13024" width="14.42578125" style="2" customWidth="1"/>
    <col min="13025" max="13025" width="37.42578125" style="2" customWidth="1"/>
    <col min="13026" max="13026" width="63.140625" style="2" customWidth="1"/>
    <col min="13027" max="13027" width="20" style="2" customWidth="1"/>
    <col min="13028" max="13028" width="11.140625" style="2" customWidth="1"/>
    <col min="13029" max="13029" width="10.85546875" style="2" customWidth="1"/>
    <col min="13030" max="13030" width="21" style="2" customWidth="1"/>
    <col min="13031" max="13031" width="10.85546875" style="2" customWidth="1"/>
    <col min="13032" max="13032" width="17.42578125" style="2" customWidth="1"/>
    <col min="13033" max="13033" width="14.85546875" style="2" customWidth="1"/>
    <col min="13034" max="13034" width="15" style="2" customWidth="1"/>
    <col min="13035" max="13035" width="14.85546875" style="2" customWidth="1"/>
    <col min="13036" max="13036" width="7.140625" style="2" customWidth="1"/>
    <col min="13037" max="13038" width="20.140625" style="2" customWidth="1"/>
    <col min="13039" max="13039" width="18.42578125" style="2" customWidth="1"/>
    <col min="13040" max="13040" width="9.140625" style="2" customWidth="1"/>
    <col min="13041" max="13041" width="12" style="2" customWidth="1"/>
    <col min="13042" max="13042" width="14.85546875" style="2" customWidth="1"/>
    <col min="13043" max="13043" width="22.42578125" style="2" customWidth="1"/>
    <col min="13044" max="13044" width="14.85546875" style="2" customWidth="1"/>
    <col min="13045" max="13045" width="7.140625" style="2" customWidth="1"/>
    <col min="13046" max="13046" width="20.140625" style="2" customWidth="1"/>
    <col min="13047" max="13278" width="8.85546875" style="2" customWidth="1"/>
    <col min="13279" max="13279" width="8.140625" style="2" customWidth="1"/>
    <col min="13280" max="13280" width="14.42578125" style="2" customWidth="1"/>
    <col min="13281" max="13281" width="37.42578125" style="2" customWidth="1"/>
    <col min="13282" max="13282" width="63.140625" style="2" customWidth="1"/>
    <col min="13283" max="13283" width="20" style="2" customWidth="1"/>
    <col min="13284" max="13284" width="11.140625" style="2" customWidth="1"/>
    <col min="13285" max="13285" width="10.85546875" style="2" customWidth="1"/>
    <col min="13286" max="13286" width="21" style="2" customWidth="1"/>
    <col min="13287" max="13287" width="10.85546875" style="2" customWidth="1"/>
    <col min="13288" max="13288" width="17.42578125" style="2" customWidth="1"/>
    <col min="13289" max="13289" width="14.85546875" style="2" customWidth="1"/>
    <col min="13290" max="13290" width="15" style="2" customWidth="1"/>
    <col min="13291" max="13291" width="14.85546875" style="2" customWidth="1"/>
    <col min="13292" max="13292" width="7.140625" style="2" customWidth="1"/>
    <col min="13293" max="13294" width="20.140625" style="2" customWidth="1"/>
    <col min="13295" max="13295" width="18.42578125" style="2" customWidth="1"/>
    <col min="13296" max="13296" width="9.140625" style="2" customWidth="1"/>
    <col min="13297" max="13297" width="12" style="2" customWidth="1"/>
    <col min="13298" max="13298" width="14.85546875" style="2" customWidth="1"/>
    <col min="13299" max="13299" width="22.42578125" style="2" customWidth="1"/>
    <col min="13300" max="13300" width="14.85546875" style="2" customWidth="1"/>
    <col min="13301" max="13301" width="7.140625" style="2" customWidth="1"/>
    <col min="13302" max="13302" width="20.140625" style="2" customWidth="1"/>
    <col min="13303" max="13534" width="8.85546875" style="2" customWidth="1"/>
    <col min="13535" max="13535" width="8.140625" style="2" customWidth="1"/>
    <col min="13536" max="13536" width="14.42578125" style="2" customWidth="1"/>
    <col min="13537" max="13537" width="37.42578125" style="2" customWidth="1"/>
    <col min="13538" max="13538" width="63.140625" style="2" customWidth="1"/>
    <col min="13539" max="13539" width="20" style="2" customWidth="1"/>
    <col min="13540" max="13540" width="11.140625" style="2" customWidth="1"/>
    <col min="13541" max="13541" width="10.85546875" style="2" customWidth="1"/>
    <col min="13542" max="13542" width="21" style="2" customWidth="1"/>
    <col min="13543" max="13543" width="10.85546875" style="2" customWidth="1"/>
    <col min="13544" max="13544" width="17.42578125" style="2" customWidth="1"/>
    <col min="13545" max="13545" width="14.85546875" style="2" customWidth="1"/>
    <col min="13546" max="13546" width="15" style="2" customWidth="1"/>
    <col min="13547" max="13547" width="14.85546875" style="2" customWidth="1"/>
    <col min="13548" max="13548" width="7.140625" style="2" customWidth="1"/>
    <col min="13549" max="13550" width="20.140625" style="2" customWidth="1"/>
    <col min="13551" max="13551" width="18.42578125" style="2" customWidth="1"/>
    <col min="13552" max="13552" width="9.140625" style="2" customWidth="1"/>
    <col min="13553" max="13553" width="12" style="2" customWidth="1"/>
    <col min="13554" max="13554" width="14.85546875" style="2" customWidth="1"/>
    <col min="13555" max="13555" width="22.42578125" style="2" customWidth="1"/>
    <col min="13556" max="13556" width="14.85546875" style="2" customWidth="1"/>
    <col min="13557" max="13557" width="7.140625" style="2" customWidth="1"/>
    <col min="13558" max="13558" width="20.140625" style="2" customWidth="1"/>
    <col min="13559" max="13790" width="8.85546875" style="2" customWidth="1"/>
    <col min="13791" max="13791" width="8.140625" style="2" customWidth="1"/>
    <col min="13792" max="13792" width="14.42578125" style="2" customWidth="1"/>
    <col min="13793" max="13793" width="37.42578125" style="2" customWidth="1"/>
    <col min="13794" max="13794" width="63.140625" style="2" customWidth="1"/>
    <col min="13795" max="13795" width="20" style="2" customWidth="1"/>
    <col min="13796" max="13796" width="11.140625" style="2" customWidth="1"/>
    <col min="13797" max="13797" width="10.85546875" style="2" customWidth="1"/>
    <col min="13798" max="13798" width="21" style="2" customWidth="1"/>
    <col min="13799" max="13799" width="10.85546875" style="2" customWidth="1"/>
    <col min="13800" max="13800" width="17.42578125" style="2" customWidth="1"/>
    <col min="13801" max="13801" width="14.85546875" style="2" customWidth="1"/>
    <col min="13802" max="13802" width="15" style="2" customWidth="1"/>
    <col min="13803" max="13803" width="14.85546875" style="2" customWidth="1"/>
    <col min="13804" max="13804" width="7.140625" style="2" customWidth="1"/>
    <col min="13805" max="13806" width="20.140625" style="2" customWidth="1"/>
    <col min="13807" max="13807" width="18.42578125" style="2" customWidth="1"/>
    <col min="13808" max="13808" width="9.140625" style="2" customWidth="1"/>
    <col min="13809" max="13809" width="12" style="2" customWidth="1"/>
    <col min="13810" max="13810" width="14.85546875" style="2" customWidth="1"/>
    <col min="13811" max="13811" width="22.42578125" style="2" customWidth="1"/>
    <col min="13812" max="13812" width="14.85546875" style="2" customWidth="1"/>
    <col min="13813" max="13813" width="7.140625" style="2" customWidth="1"/>
    <col min="13814" max="13814" width="20.140625" style="2" customWidth="1"/>
    <col min="13815" max="14046" width="8.85546875" style="2" customWidth="1"/>
    <col min="14047" max="14047" width="8.140625" style="2" customWidth="1"/>
    <col min="14048" max="14048" width="14.42578125" style="2" customWidth="1"/>
    <col min="14049" max="14049" width="37.42578125" style="2" customWidth="1"/>
    <col min="14050" max="14050" width="63.140625" style="2" customWidth="1"/>
    <col min="14051" max="14051" width="20" style="2" customWidth="1"/>
    <col min="14052" max="14052" width="11.140625" style="2" customWidth="1"/>
    <col min="14053" max="14053" width="10.85546875" style="2" customWidth="1"/>
    <col min="14054" max="14054" width="21" style="2" customWidth="1"/>
    <col min="14055" max="14055" width="10.85546875" style="2" customWidth="1"/>
    <col min="14056" max="14056" width="17.42578125" style="2" customWidth="1"/>
    <col min="14057" max="14057" width="14.85546875" style="2" customWidth="1"/>
    <col min="14058" max="14058" width="15" style="2" customWidth="1"/>
    <col min="14059" max="14059" width="14.85546875" style="2" customWidth="1"/>
    <col min="14060" max="14060" width="7.140625" style="2" customWidth="1"/>
    <col min="14061" max="14062" width="20.140625" style="2" customWidth="1"/>
    <col min="14063" max="14063" width="18.42578125" style="2" customWidth="1"/>
    <col min="14064" max="14064" width="9.140625" style="2" customWidth="1"/>
    <col min="14065" max="14065" width="12" style="2" customWidth="1"/>
    <col min="14066" max="14066" width="14.85546875" style="2" customWidth="1"/>
    <col min="14067" max="14067" width="22.42578125" style="2" customWidth="1"/>
    <col min="14068" max="14068" width="14.85546875" style="2" customWidth="1"/>
    <col min="14069" max="14069" width="7.140625" style="2" customWidth="1"/>
    <col min="14070" max="14070" width="20.140625" style="2" customWidth="1"/>
    <col min="14071" max="14302" width="8.85546875" style="2" customWidth="1"/>
    <col min="14303" max="14303" width="8.140625" style="2" customWidth="1"/>
    <col min="14304" max="14304" width="14.42578125" style="2" customWidth="1"/>
    <col min="14305" max="14305" width="37.42578125" style="2" customWidth="1"/>
    <col min="14306" max="14306" width="63.140625" style="2" customWidth="1"/>
    <col min="14307" max="14307" width="20" style="2" customWidth="1"/>
    <col min="14308" max="14308" width="11.140625" style="2" customWidth="1"/>
    <col min="14309" max="14309" width="10.85546875" style="2" customWidth="1"/>
    <col min="14310" max="14310" width="21" style="2" customWidth="1"/>
    <col min="14311" max="14311" width="10.85546875" style="2" customWidth="1"/>
    <col min="14312" max="14312" width="17.42578125" style="2" customWidth="1"/>
    <col min="14313" max="14313" width="14.85546875" style="2" customWidth="1"/>
    <col min="14314" max="14314" width="15" style="2" customWidth="1"/>
    <col min="14315" max="14315" width="14.85546875" style="2" customWidth="1"/>
    <col min="14316" max="14316" width="7.140625" style="2" customWidth="1"/>
    <col min="14317" max="14318" width="20.140625" style="2" customWidth="1"/>
    <col min="14319" max="14319" width="18.42578125" style="2" customWidth="1"/>
    <col min="14320" max="14320" width="9.140625" style="2" customWidth="1"/>
    <col min="14321" max="14321" width="12" style="2" customWidth="1"/>
    <col min="14322" max="14322" width="14.85546875" style="2" customWidth="1"/>
    <col min="14323" max="14323" width="22.42578125" style="2" customWidth="1"/>
    <col min="14324" max="14324" width="14.85546875" style="2" customWidth="1"/>
    <col min="14325" max="14325" width="7.140625" style="2" customWidth="1"/>
    <col min="14326" max="14326" width="20.140625" style="2" customWidth="1"/>
    <col min="14327" max="14558" width="8.85546875" style="2" customWidth="1"/>
    <col min="14559" max="14559" width="8.140625" style="2" customWidth="1"/>
    <col min="14560" max="14560" width="14.42578125" style="2" customWidth="1"/>
    <col min="14561" max="14561" width="37.42578125" style="2" customWidth="1"/>
    <col min="14562" max="14562" width="63.140625" style="2" customWidth="1"/>
    <col min="14563" max="14563" width="20" style="2" customWidth="1"/>
    <col min="14564" max="14564" width="11.140625" style="2" customWidth="1"/>
    <col min="14565" max="14565" width="10.85546875" style="2" customWidth="1"/>
    <col min="14566" max="14566" width="21" style="2" customWidth="1"/>
    <col min="14567" max="14567" width="10.85546875" style="2" customWidth="1"/>
    <col min="14568" max="14568" width="17.42578125" style="2" customWidth="1"/>
    <col min="14569" max="14569" width="14.85546875" style="2" customWidth="1"/>
    <col min="14570" max="14570" width="15" style="2" customWidth="1"/>
    <col min="14571" max="14571" width="14.85546875" style="2" customWidth="1"/>
    <col min="14572" max="14572" width="7.140625" style="2" customWidth="1"/>
    <col min="14573" max="14574" width="20.140625" style="2" customWidth="1"/>
    <col min="14575" max="14575" width="18.42578125" style="2" customWidth="1"/>
    <col min="14576" max="14576" width="9.140625" style="2" customWidth="1"/>
    <col min="14577" max="14577" width="12" style="2" customWidth="1"/>
    <col min="14578" max="14578" width="14.85546875" style="2" customWidth="1"/>
    <col min="14579" max="14579" width="22.42578125" style="2" customWidth="1"/>
    <col min="14580" max="14580" width="14.85546875" style="2" customWidth="1"/>
    <col min="14581" max="14581" width="7.140625" style="2" customWidth="1"/>
    <col min="14582" max="14582" width="20.140625" style="2" customWidth="1"/>
    <col min="14583" max="14814" width="8.85546875" style="2" customWidth="1"/>
    <col min="14815" max="14815" width="8.140625" style="2" customWidth="1"/>
    <col min="14816" max="14816" width="14.42578125" style="2" customWidth="1"/>
    <col min="14817" max="14817" width="37.42578125" style="2" customWidth="1"/>
    <col min="14818" max="14818" width="63.140625" style="2" customWidth="1"/>
    <col min="14819" max="14819" width="20" style="2" customWidth="1"/>
    <col min="14820" max="14820" width="11.140625" style="2" customWidth="1"/>
    <col min="14821" max="14821" width="10.85546875" style="2" customWidth="1"/>
    <col min="14822" max="14822" width="21" style="2" customWidth="1"/>
    <col min="14823" max="14823" width="10.85546875" style="2" customWidth="1"/>
    <col min="14824" max="14824" width="17.42578125" style="2" customWidth="1"/>
    <col min="14825" max="14825" width="14.85546875" style="2" customWidth="1"/>
    <col min="14826" max="14826" width="15" style="2" customWidth="1"/>
    <col min="14827" max="14827" width="14.85546875" style="2" customWidth="1"/>
    <col min="14828" max="14828" width="7.140625" style="2" customWidth="1"/>
    <col min="14829" max="14830" width="20.140625" style="2" customWidth="1"/>
    <col min="14831" max="14831" width="18.42578125" style="2" customWidth="1"/>
    <col min="14832" max="14832" width="9.140625" style="2" customWidth="1"/>
    <col min="14833" max="14833" width="12" style="2" customWidth="1"/>
    <col min="14834" max="14834" width="14.85546875" style="2" customWidth="1"/>
    <col min="14835" max="14835" width="22.42578125" style="2" customWidth="1"/>
    <col min="14836" max="14836" width="14.85546875" style="2" customWidth="1"/>
    <col min="14837" max="14837" width="7.140625" style="2" customWidth="1"/>
    <col min="14838" max="14838" width="20.140625" style="2" customWidth="1"/>
    <col min="14839" max="15070" width="8.85546875" style="2" customWidth="1"/>
    <col min="15071" max="15071" width="8.140625" style="2" customWidth="1"/>
    <col min="15072" max="15072" width="14.42578125" style="2" customWidth="1"/>
    <col min="15073" max="15073" width="37.42578125" style="2" customWidth="1"/>
    <col min="15074" max="15074" width="63.140625" style="2" customWidth="1"/>
    <col min="15075" max="15075" width="20" style="2" customWidth="1"/>
    <col min="15076" max="15076" width="11.140625" style="2" customWidth="1"/>
    <col min="15077" max="15077" width="10.85546875" style="2" customWidth="1"/>
    <col min="15078" max="15078" width="21" style="2" customWidth="1"/>
    <col min="15079" max="15079" width="10.85546875" style="2" customWidth="1"/>
    <col min="15080" max="15080" width="17.42578125" style="2" customWidth="1"/>
    <col min="15081" max="15081" width="14.85546875" style="2" customWidth="1"/>
    <col min="15082" max="15082" width="15" style="2" customWidth="1"/>
    <col min="15083" max="15083" width="14.85546875" style="2" customWidth="1"/>
    <col min="15084" max="15084" width="7.140625" style="2" customWidth="1"/>
    <col min="15085" max="15086" width="20.140625" style="2" customWidth="1"/>
    <col min="15087" max="15087" width="18.42578125" style="2" customWidth="1"/>
    <col min="15088" max="15088" width="9.140625" style="2" customWidth="1"/>
    <col min="15089" max="15089" width="12" style="2" customWidth="1"/>
    <col min="15090" max="15090" width="14.85546875" style="2" customWidth="1"/>
    <col min="15091" max="15091" width="22.42578125" style="2" customWidth="1"/>
    <col min="15092" max="15092" width="14.85546875" style="2" customWidth="1"/>
    <col min="15093" max="15093" width="7.140625" style="2" customWidth="1"/>
    <col min="15094" max="15094" width="20.140625" style="2" customWidth="1"/>
    <col min="15095" max="15326" width="8.85546875" style="2" customWidth="1"/>
    <col min="15327" max="15327" width="8.140625" style="2" customWidth="1"/>
    <col min="15328" max="15328" width="14.42578125" style="2" customWidth="1"/>
    <col min="15329" max="15329" width="37.42578125" style="2" customWidth="1"/>
    <col min="15330" max="15330" width="63.140625" style="2" customWidth="1"/>
    <col min="15331" max="15331" width="20" style="2" customWidth="1"/>
    <col min="15332" max="15332" width="11.140625" style="2" customWidth="1"/>
    <col min="15333" max="15333" width="10.85546875" style="2" customWidth="1"/>
    <col min="15334" max="15334" width="21" style="2" customWidth="1"/>
    <col min="15335" max="15335" width="10.85546875" style="2" customWidth="1"/>
    <col min="15336" max="15336" width="17.42578125" style="2" customWidth="1"/>
    <col min="15337" max="15337" width="14.85546875" style="2" customWidth="1"/>
    <col min="15338" max="15338" width="15" style="2" customWidth="1"/>
    <col min="15339" max="15339" width="14.85546875" style="2" customWidth="1"/>
    <col min="15340" max="15340" width="7.140625" style="2" customWidth="1"/>
    <col min="15341" max="15342" width="20.140625" style="2" customWidth="1"/>
    <col min="15343" max="15343" width="18.42578125" style="2" customWidth="1"/>
    <col min="15344" max="15344" width="9.140625" style="2" customWidth="1"/>
    <col min="15345" max="15345" width="12" style="2" customWidth="1"/>
    <col min="15346" max="15346" width="14.85546875" style="2" customWidth="1"/>
    <col min="15347" max="15347" width="22.42578125" style="2" customWidth="1"/>
    <col min="15348" max="15348" width="14.85546875" style="2" customWidth="1"/>
    <col min="15349" max="15349" width="7.140625" style="2" customWidth="1"/>
    <col min="15350" max="15350" width="20.140625" style="2" customWidth="1"/>
    <col min="15351" max="15582" width="8.85546875" style="2" customWidth="1"/>
    <col min="15583" max="15583" width="8.140625" style="2" customWidth="1"/>
    <col min="15584" max="15584" width="14.42578125" style="2" customWidth="1"/>
    <col min="15585" max="15585" width="37.42578125" style="2" customWidth="1"/>
    <col min="15586" max="15586" width="63.140625" style="2" customWidth="1"/>
    <col min="15587" max="15587" width="20" style="2" customWidth="1"/>
    <col min="15588" max="15588" width="11.140625" style="2" customWidth="1"/>
    <col min="15589" max="15589" width="10.85546875" style="2" customWidth="1"/>
    <col min="15590" max="15590" width="21" style="2" customWidth="1"/>
    <col min="15591" max="15591" width="10.85546875" style="2" customWidth="1"/>
    <col min="15592" max="15592" width="17.42578125" style="2" customWidth="1"/>
    <col min="15593" max="15593" width="14.85546875" style="2" customWidth="1"/>
    <col min="15594" max="15594" width="15" style="2" customWidth="1"/>
    <col min="15595" max="15595" width="14.85546875" style="2" customWidth="1"/>
    <col min="15596" max="15596" width="7.140625" style="2" customWidth="1"/>
    <col min="15597" max="15598" width="20.140625" style="2" customWidth="1"/>
    <col min="15599" max="15599" width="18.42578125" style="2" customWidth="1"/>
    <col min="15600" max="15600" width="9.140625" style="2" customWidth="1"/>
    <col min="15601" max="15601" width="12" style="2" customWidth="1"/>
    <col min="15602" max="15602" width="14.85546875" style="2" customWidth="1"/>
    <col min="15603" max="15603" width="22.42578125" style="2" customWidth="1"/>
    <col min="15604" max="15604" width="14.85546875" style="2" customWidth="1"/>
    <col min="15605" max="15605" width="7.140625" style="2" customWidth="1"/>
    <col min="15606" max="15606" width="20.140625" style="2" customWidth="1"/>
    <col min="15607" max="15838" width="8.85546875" style="2" customWidth="1"/>
    <col min="15839" max="15839" width="8.140625" style="2" customWidth="1"/>
    <col min="15840" max="15840" width="14.42578125" style="2" customWidth="1"/>
    <col min="15841" max="15841" width="37.42578125" style="2" customWidth="1"/>
    <col min="15842" max="15842" width="63.140625" style="2" customWidth="1"/>
    <col min="15843" max="15843" width="20" style="2" customWidth="1"/>
    <col min="15844" max="15844" width="11.140625" style="2" customWidth="1"/>
    <col min="15845" max="15845" width="10.85546875" style="2" customWidth="1"/>
    <col min="15846" max="15846" width="21" style="2" customWidth="1"/>
    <col min="15847" max="15847" width="10.85546875" style="2" customWidth="1"/>
    <col min="15848" max="15848" width="17.42578125" style="2" customWidth="1"/>
    <col min="15849" max="15849" width="14.85546875" style="2" customWidth="1"/>
    <col min="15850" max="15850" width="15" style="2" customWidth="1"/>
    <col min="15851" max="15851" width="14.85546875" style="2" customWidth="1"/>
    <col min="15852" max="15852" width="7.140625" style="2" customWidth="1"/>
    <col min="15853" max="15854" width="20.140625" style="2" customWidth="1"/>
    <col min="15855" max="15855" width="18.42578125" style="2" customWidth="1"/>
    <col min="15856" max="15856" width="9.140625" style="2" customWidth="1"/>
    <col min="15857" max="15857" width="12" style="2" customWidth="1"/>
    <col min="15858" max="15858" width="14.85546875" style="2" customWidth="1"/>
    <col min="15859" max="15859" width="22.42578125" style="2" customWidth="1"/>
    <col min="15860" max="15860" width="14.85546875" style="2" customWidth="1"/>
    <col min="15861" max="15861" width="7.140625" style="2" customWidth="1"/>
    <col min="15862" max="15862" width="20.140625" style="2" customWidth="1"/>
    <col min="15863" max="16094" width="8.85546875" style="2" customWidth="1"/>
    <col min="16095" max="16095" width="8.140625" style="2" customWidth="1"/>
    <col min="16096" max="16096" width="14.42578125" style="2" customWidth="1"/>
    <col min="16097" max="16097" width="37.42578125" style="2" customWidth="1"/>
    <col min="16098" max="16098" width="63.140625" style="2" customWidth="1"/>
    <col min="16099" max="16099" width="20" style="2" customWidth="1"/>
    <col min="16100" max="16100" width="11.140625" style="2" customWidth="1"/>
    <col min="16101" max="16101" width="10.85546875" style="2" customWidth="1"/>
    <col min="16102" max="16102" width="21" style="2" customWidth="1"/>
    <col min="16103" max="16103" width="10.85546875" style="2" customWidth="1"/>
    <col min="16104" max="16104" width="17.42578125" style="2" customWidth="1"/>
    <col min="16105" max="16105" width="14.85546875" style="2" customWidth="1"/>
    <col min="16106" max="16106" width="15" style="2" customWidth="1"/>
    <col min="16107" max="16107" width="14.85546875" style="2" customWidth="1"/>
    <col min="16108" max="16108" width="7.140625" style="2" customWidth="1"/>
    <col min="16109" max="16110" width="20.140625" style="2" customWidth="1"/>
    <col min="16111" max="16111" width="18.42578125" style="2" customWidth="1"/>
    <col min="16112" max="16112" width="9.140625" style="2" customWidth="1"/>
    <col min="16113" max="16113" width="12" style="2" customWidth="1"/>
    <col min="16114" max="16114" width="14.85546875" style="2" customWidth="1"/>
    <col min="16115" max="16115" width="22.42578125" style="2" customWidth="1"/>
    <col min="16116" max="16116" width="14.85546875" style="2" customWidth="1"/>
    <col min="16117" max="16117" width="7.140625" style="2" customWidth="1"/>
    <col min="16118" max="16118" width="20.140625" style="2" customWidth="1"/>
    <col min="16119" max="16384" width="8.85546875" style="2" customWidth="1"/>
  </cols>
  <sheetData>
    <row r="1" spans="1:21" ht="14.1" customHeight="1">
      <c r="A1" s="1" t="s">
        <v>2101</v>
      </c>
      <c r="B1" s="2"/>
      <c r="C1" s="2"/>
      <c r="D1" s="2"/>
      <c r="F1" s="2"/>
      <c r="H1" s="2"/>
      <c r="J1" s="2"/>
      <c r="K1" s="2"/>
      <c r="L1" s="2"/>
      <c r="M1" s="2"/>
      <c r="N1" s="2"/>
      <c r="O1" s="2"/>
      <c r="P1" s="2"/>
      <c r="R1" s="10"/>
    </row>
    <row r="2" spans="1:21" s="4" customFormat="1" ht="14.1" customHeight="1">
      <c r="A2" s="4" t="s">
        <v>2102</v>
      </c>
      <c r="E2" s="69"/>
      <c r="Q2" s="2"/>
      <c r="R2" s="336"/>
    </row>
    <row r="3" spans="1:21" s="6" customFormat="1" ht="14.1" customHeight="1">
      <c r="A3" s="3"/>
      <c r="B3" s="16"/>
      <c r="C3" s="16"/>
      <c r="D3" s="23"/>
      <c r="E3" s="16"/>
      <c r="F3" s="23"/>
      <c r="G3" s="15"/>
      <c r="H3" s="25"/>
      <c r="I3" s="15"/>
      <c r="J3" s="25"/>
      <c r="K3" s="25"/>
      <c r="L3" s="25"/>
      <c r="M3" s="25"/>
      <c r="N3" s="25"/>
      <c r="O3" s="25"/>
      <c r="P3" s="25"/>
      <c r="Q3" s="2"/>
      <c r="R3" s="355" t="s">
        <v>2</v>
      </c>
      <c r="S3" s="2"/>
      <c r="T3" s="2"/>
      <c r="U3" s="2"/>
    </row>
    <row r="4" spans="1:21" s="5" customFormat="1" ht="33" customHeight="1">
      <c r="A4" s="21" t="s">
        <v>3</v>
      </c>
      <c r="B4" s="52" t="s">
        <v>4</v>
      </c>
      <c r="C4" s="52" t="s">
        <v>5</v>
      </c>
      <c r="D4" s="21" t="s">
        <v>6</v>
      </c>
      <c r="E4" s="21" t="s">
        <v>7</v>
      </c>
      <c r="F4" s="21" t="s">
        <v>8</v>
      </c>
      <c r="G4" s="21" t="s">
        <v>9</v>
      </c>
      <c r="H4" s="21" t="s">
        <v>10</v>
      </c>
      <c r="I4" s="21" t="s">
        <v>11</v>
      </c>
      <c r="J4" s="21" t="s">
        <v>12</v>
      </c>
      <c r="K4" s="21" t="s">
        <v>13</v>
      </c>
      <c r="L4" s="21" t="s">
        <v>14</v>
      </c>
      <c r="M4" s="21" t="s">
        <v>15</v>
      </c>
      <c r="N4" s="21" t="s">
        <v>16</v>
      </c>
      <c r="O4" s="21" t="s">
        <v>17</v>
      </c>
      <c r="P4" s="21" t="s">
        <v>18</v>
      </c>
      <c r="Q4" s="3"/>
      <c r="R4" s="41" t="s">
        <v>19</v>
      </c>
      <c r="S4" s="3"/>
      <c r="T4" s="42" t="s">
        <v>20</v>
      </c>
      <c r="U4" s="42" t="s">
        <v>21</v>
      </c>
    </row>
    <row r="5" spans="1:21" ht="14.1" customHeight="1">
      <c r="A5" s="7">
        <v>1</v>
      </c>
      <c r="B5" s="14" t="s">
        <v>124</v>
      </c>
      <c r="C5" s="14" t="s">
        <v>337</v>
      </c>
      <c r="D5" s="7" t="s">
        <v>611</v>
      </c>
      <c r="E5" s="14" t="s">
        <v>355</v>
      </c>
      <c r="F5" s="7" t="s">
        <v>26</v>
      </c>
      <c r="G5" s="8" t="s">
        <v>2103</v>
      </c>
      <c r="H5" s="7" t="s">
        <v>1304</v>
      </c>
      <c r="I5" s="8" t="s">
        <v>2103</v>
      </c>
      <c r="J5" s="7" t="s">
        <v>30</v>
      </c>
      <c r="K5" s="7" t="s">
        <v>152</v>
      </c>
      <c r="L5" s="7" t="s">
        <v>490</v>
      </c>
      <c r="M5" s="137" t="s">
        <v>2104</v>
      </c>
      <c r="N5" s="7" t="s">
        <v>2105</v>
      </c>
      <c r="O5" s="7">
        <v>45</v>
      </c>
      <c r="P5" s="7"/>
      <c r="R5" s="9">
        <v>202.17101407658319</v>
      </c>
      <c r="T5" s="7" t="s">
        <v>34</v>
      </c>
      <c r="U5" s="7"/>
    </row>
    <row r="6" spans="1:21" ht="14.1" customHeight="1">
      <c r="A6" s="7">
        <v>2</v>
      </c>
      <c r="B6" s="14" t="s">
        <v>124</v>
      </c>
      <c r="C6" s="14" t="s">
        <v>337</v>
      </c>
      <c r="D6" s="7" t="s">
        <v>611</v>
      </c>
      <c r="E6" s="14" t="s">
        <v>355</v>
      </c>
      <c r="F6" s="7" t="s">
        <v>26</v>
      </c>
      <c r="G6" s="8" t="s">
        <v>2106</v>
      </c>
      <c r="H6" s="7" t="s">
        <v>1304</v>
      </c>
      <c r="I6" s="8" t="s">
        <v>2106</v>
      </c>
      <c r="J6" s="7" t="s">
        <v>30</v>
      </c>
      <c r="K6" s="7" t="s">
        <v>152</v>
      </c>
      <c r="L6" s="7" t="s">
        <v>490</v>
      </c>
      <c r="M6" s="137" t="s">
        <v>2104</v>
      </c>
      <c r="N6" s="7" t="s">
        <v>2105</v>
      </c>
      <c r="O6" s="7">
        <v>45</v>
      </c>
      <c r="P6" s="7"/>
      <c r="R6" s="9">
        <v>605.38043150663157</v>
      </c>
      <c r="T6" s="7" t="s">
        <v>34</v>
      </c>
      <c r="U6" s="7"/>
    </row>
    <row r="7" spans="1:21" ht="14.1" customHeight="1">
      <c r="A7" s="7">
        <v>3</v>
      </c>
      <c r="B7" s="14" t="s">
        <v>124</v>
      </c>
      <c r="C7" s="14" t="s">
        <v>337</v>
      </c>
      <c r="D7" s="7" t="s">
        <v>804</v>
      </c>
      <c r="E7" s="14" t="s">
        <v>442</v>
      </c>
      <c r="F7" s="7" t="s">
        <v>26</v>
      </c>
      <c r="G7" s="8" t="s">
        <v>2107</v>
      </c>
      <c r="H7" s="7" t="s">
        <v>1304</v>
      </c>
      <c r="I7" s="8" t="s">
        <v>2107</v>
      </c>
      <c r="J7" s="7" t="s">
        <v>30</v>
      </c>
      <c r="K7" s="7" t="s">
        <v>152</v>
      </c>
      <c r="L7" s="7" t="s">
        <v>490</v>
      </c>
      <c r="M7" s="137" t="s">
        <v>2108</v>
      </c>
      <c r="N7" s="7" t="s">
        <v>2105</v>
      </c>
      <c r="O7" s="7">
        <v>45</v>
      </c>
      <c r="P7" s="7"/>
      <c r="R7" s="9">
        <v>1311.751985824628</v>
      </c>
      <c r="T7" s="7" t="s">
        <v>34</v>
      </c>
      <c r="U7" s="7"/>
    </row>
    <row r="8" spans="1:21" ht="14.1" customHeight="1">
      <c r="A8" s="7">
        <v>4</v>
      </c>
      <c r="B8" s="14" t="s">
        <v>124</v>
      </c>
      <c r="C8" s="14" t="s">
        <v>337</v>
      </c>
      <c r="D8" s="7" t="s">
        <v>611</v>
      </c>
      <c r="E8" s="14" t="s">
        <v>355</v>
      </c>
      <c r="F8" s="7" t="s">
        <v>26</v>
      </c>
      <c r="G8" s="8" t="s">
        <v>2109</v>
      </c>
      <c r="H8" s="7" t="s">
        <v>1304</v>
      </c>
      <c r="I8" s="8" t="s">
        <v>2109</v>
      </c>
      <c r="J8" s="7" t="s">
        <v>30</v>
      </c>
      <c r="K8" s="7" t="s">
        <v>152</v>
      </c>
      <c r="L8" s="7" t="s">
        <v>490</v>
      </c>
      <c r="M8" s="137" t="s">
        <v>2104</v>
      </c>
      <c r="N8" s="7" t="s">
        <v>2105</v>
      </c>
      <c r="O8" s="7">
        <v>45</v>
      </c>
      <c r="P8" s="7"/>
      <c r="R8" s="9">
        <v>295.42263027997461</v>
      </c>
      <c r="T8" s="7" t="s">
        <v>34</v>
      </c>
      <c r="U8" s="7"/>
    </row>
    <row r="9" spans="1:21" ht="14.1" customHeight="1">
      <c r="A9" s="7">
        <v>5</v>
      </c>
      <c r="B9" s="14" t="s">
        <v>124</v>
      </c>
      <c r="C9" s="14" t="s">
        <v>337</v>
      </c>
      <c r="D9" s="7" t="s">
        <v>611</v>
      </c>
      <c r="E9" s="14" t="s">
        <v>355</v>
      </c>
      <c r="F9" s="7" t="s">
        <v>26</v>
      </c>
      <c r="G9" s="8" t="s">
        <v>2110</v>
      </c>
      <c r="H9" s="7" t="s">
        <v>1304</v>
      </c>
      <c r="I9" s="8" t="s">
        <v>2111</v>
      </c>
      <c r="J9" s="7" t="s">
        <v>30</v>
      </c>
      <c r="K9" s="7" t="s">
        <v>152</v>
      </c>
      <c r="L9" s="7" t="s">
        <v>490</v>
      </c>
      <c r="M9" s="137" t="s">
        <v>2104</v>
      </c>
      <c r="N9" s="7" t="s">
        <v>2105</v>
      </c>
      <c r="O9" s="7">
        <v>45</v>
      </c>
      <c r="P9" s="7"/>
      <c r="R9" s="9">
        <v>630.10909896137719</v>
      </c>
      <c r="T9" s="7" t="s">
        <v>34</v>
      </c>
      <c r="U9" s="7"/>
    </row>
    <row r="10" spans="1:21" ht="14.1" customHeight="1">
      <c r="A10" s="7">
        <v>6</v>
      </c>
      <c r="B10" s="14" t="s">
        <v>124</v>
      </c>
      <c r="C10" s="14" t="s">
        <v>337</v>
      </c>
      <c r="D10" s="7" t="s">
        <v>611</v>
      </c>
      <c r="E10" s="14" t="s">
        <v>355</v>
      </c>
      <c r="F10" s="7" t="s">
        <v>26</v>
      </c>
      <c r="G10" s="8" t="s">
        <v>2112</v>
      </c>
      <c r="H10" s="7" t="s">
        <v>1304</v>
      </c>
      <c r="I10" s="8" t="s">
        <v>2113</v>
      </c>
      <c r="J10" s="7" t="s">
        <v>30</v>
      </c>
      <c r="K10" s="7" t="s">
        <v>152</v>
      </c>
      <c r="L10" s="7" t="s">
        <v>490</v>
      </c>
      <c r="M10" s="137" t="s">
        <v>2104</v>
      </c>
      <c r="N10" s="7" t="s">
        <v>2105</v>
      </c>
      <c r="O10" s="7">
        <v>45</v>
      </c>
      <c r="P10" s="7"/>
      <c r="R10" s="9">
        <v>514.20526829562334</v>
      </c>
      <c r="T10" s="7" t="s">
        <v>34</v>
      </c>
      <c r="U10" s="7"/>
    </row>
    <row r="11" spans="1:21" ht="14.1" customHeight="1">
      <c r="A11" s="7">
        <v>7</v>
      </c>
      <c r="B11" s="14" t="s">
        <v>124</v>
      </c>
      <c r="C11" s="14" t="s">
        <v>337</v>
      </c>
      <c r="D11" s="7" t="s">
        <v>611</v>
      </c>
      <c r="E11" s="14" t="s">
        <v>355</v>
      </c>
      <c r="F11" s="7" t="s">
        <v>26</v>
      </c>
      <c r="G11" s="8" t="s">
        <v>2114</v>
      </c>
      <c r="H11" s="7" t="s">
        <v>1304</v>
      </c>
      <c r="I11" s="8" t="s">
        <v>2115</v>
      </c>
      <c r="J11" s="7" t="s">
        <v>30</v>
      </c>
      <c r="K11" s="7" t="s">
        <v>152</v>
      </c>
      <c r="L11" s="7" t="s">
        <v>490</v>
      </c>
      <c r="M11" s="137" t="s">
        <v>2104</v>
      </c>
      <c r="N11" s="7" t="s">
        <v>2105</v>
      </c>
      <c r="O11" s="7">
        <v>45</v>
      </c>
      <c r="P11" s="7"/>
      <c r="R11" s="9">
        <v>548.93866380457882</v>
      </c>
      <c r="T11" s="7" t="s">
        <v>34</v>
      </c>
      <c r="U11" s="7"/>
    </row>
    <row r="12" spans="1:21" ht="14.1" customHeight="1">
      <c r="A12" s="7">
        <v>8</v>
      </c>
      <c r="B12" s="14" t="s">
        <v>124</v>
      </c>
      <c r="C12" s="14" t="s">
        <v>337</v>
      </c>
      <c r="D12" s="7" t="s">
        <v>611</v>
      </c>
      <c r="E12" s="14" t="s">
        <v>355</v>
      </c>
      <c r="F12" s="7" t="s">
        <v>26</v>
      </c>
      <c r="G12" s="8" t="s">
        <v>2116</v>
      </c>
      <c r="H12" s="7" t="s">
        <v>1304</v>
      </c>
      <c r="I12" s="8" t="s">
        <v>2117</v>
      </c>
      <c r="J12" s="7" t="s">
        <v>30</v>
      </c>
      <c r="K12" s="7" t="s">
        <v>152</v>
      </c>
      <c r="L12" s="7" t="s">
        <v>490</v>
      </c>
      <c r="M12" s="137" t="s">
        <v>2104</v>
      </c>
      <c r="N12" s="7" t="s">
        <v>2105</v>
      </c>
      <c r="O12" s="7">
        <v>45</v>
      </c>
      <c r="P12" s="7"/>
      <c r="R12" s="9">
        <v>308.25888514197982</v>
      </c>
      <c r="T12" s="7" t="s">
        <v>34</v>
      </c>
      <c r="U12" s="7"/>
    </row>
    <row r="13" spans="1:21" ht="14.1" customHeight="1">
      <c r="A13" s="7">
        <v>9</v>
      </c>
      <c r="B13" s="14" t="s">
        <v>124</v>
      </c>
      <c r="C13" s="14" t="s">
        <v>337</v>
      </c>
      <c r="D13" s="7" t="s">
        <v>611</v>
      </c>
      <c r="E13" s="14" t="s">
        <v>355</v>
      </c>
      <c r="F13" s="7" t="s">
        <v>26</v>
      </c>
      <c r="G13" s="8" t="s">
        <v>2118</v>
      </c>
      <c r="H13" s="7" t="s">
        <v>1304</v>
      </c>
      <c r="I13" s="8" t="s">
        <v>2119</v>
      </c>
      <c r="J13" s="7" t="s">
        <v>30</v>
      </c>
      <c r="K13" s="7" t="s">
        <v>152</v>
      </c>
      <c r="L13" s="7" t="s">
        <v>490</v>
      </c>
      <c r="M13" s="137" t="s">
        <v>2104</v>
      </c>
      <c r="N13" s="7" t="s">
        <v>2105</v>
      </c>
      <c r="O13" s="7">
        <v>45</v>
      </c>
      <c r="P13" s="7"/>
      <c r="R13" s="9">
        <v>554.41294896631643</v>
      </c>
      <c r="T13" s="7" t="s">
        <v>34</v>
      </c>
      <c r="U13" s="7"/>
    </row>
    <row r="14" spans="1:21" ht="14.1" customHeight="1">
      <c r="A14" s="7">
        <v>10</v>
      </c>
      <c r="B14" s="14" t="s">
        <v>124</v>
      </c>
      <c r="C14" s="14" t="s">
        <v>337</v>
      </c>
      <c r="D14" s="7" t="s">
        <v>611</v>
      </c>
      <c r="E14" s="14" t="s">
        <v>355</v>
      </c>
      <c r="F14" s="7" t="s">
        <v>26</v>
      </c>
      <c r="G14" s="8" t="s">
        <v>2120</v>
      </c>
      <c r="H14" s="7" t="s">
        <v>1304</v>
      </c>
      <c r="I14" s="8" t="s">
        <v>2121</v>
      </c>
      <c r="J14" s="7" t="s">
        <v>30</v>
      </c>
      <c r="K14" s="7" t="s">
        <v>152</v>
      </c>
      <c r="L14" s="7" t="s">
        <v>490</v>
      </c>
      <c r="M14" s="137" t="s">
        <v>2104</v>
      </c>
      <c r="N14" s="7" t="s">
        <v>2105</v>
      </c>
      <c r="O14" s="7">
        <v>45</v>
      </c>
      <c r="P14" s="7"/>
      <c r="R14" s="9">
        <v>326.56942516572258</v>
      </c>
      <c r="T14" s="7" t="s">
        <v>34</v>
      </c>
      <c r="U14" s="7"/>
    </row>
    <row r="15" spans="1:21" ht="14.1" customHeight="1">
      <c r="A15" s="7">
        <v>11</v>
      </c>
      <c r="B15" s="14" t="s">
        <v>124</v>
      </c>
      <c r="C15" s="14" t="s">
        <v>337</v>
      </c>
      <c r="D15" s="7" t="s">
        <v>611</v>
      </c>
      <c r="E15" s="14" t="s">
        <v>355</v>
      </c>
      <c r="F15" s="7" t="s">
        <v>26</v>
      </c>
      <c r="G15" s="8" t="s">
        <v>2122</v>
      </c>
      <c r="H15" s="7" t="s">
        <v>1304</v>
      </c>
      <c r="I15" s="8" t="s">
        <v>2123</v>
      </c>
      <c r="J15" s="7" t="s">
        <v>30</v>
      </c>
      <c r="K15" s="7" t="s">
        <v>152</v>
      </c>
      <c r="L15" s="7" t="s">
        <v>490</v>
      </c>
      <c r="M15" s="137" t="s">
        <v>2104</v>
      </c>
      <c r="N15" s="7" t="s">
        <v>2105</v>
      </c>
      <c r="O15" s="7">
        <v>45</v>
      </c>
      <c r="P15" s="7"/>
      <c r="R15" s="9">
        <v>299.57553626474089</v>
      </c>
      <c r="T15" s="7" t="s">
        <v>34</v>
      </c>
      <c r="U15" s="7"/>
    </row>
    <row r="16" spans="1:21" ht="14.1" customHeight="1">
      <c r="A16" s="7">
        <v>12</v>
      </c>
      <c r="B16" s="14" t="s">
        <v>124</v>
      </c>
      <c r="C16" s="14" t="s">
        <v>337</v>
      </c>
      <c r="D16" s="7" t="s">
        <v>611</v>
      </c>
      <c r="E16" s="14" t="s">
        <v>355</v>
      </c>
      <c r="F16" s="7" t="s">
        <v>26</v>
      </c>
      <c r="G16" s="8" t="s">
        <v>2124</v>
      </c>
      <c r="H16" s="7" t="s">
        <v>1304</v>
      </c>
      <c r="I16" s="8" t="s">
        <v>2125</v>
      </c>
      <c r="J16" s="7" t="s">
        <v>30</v>
      </c>
      <c r="K16" s="7" t="s">
        <v>152</v>
      </c>
      <c r="L16" s="7" t="s">
        <v>490</v>
      </c>
      <c r="M16" s="137" t="s">
        <v>2104</v>
      </c>
      <c r="N16" s="7" t="s">
        <v>2105</v>
      </c>
      <c r="O16" s="7">
        <v>45</v>
      </c>
      <c r="P16" s="7"/>
      <c r="R16" s="9">
        <v>388.48547802951288</v>
      </c>
      <c r="T16" s="7" t="s">
        <v>34</v>
      </c>
      <c r="U16" s="7"/>
    </row>
    <row r="17" spans="1:21" ht="14.1" customHeight="1">
      <c r="A17" s="7">
        <v>13</v>
      </c>
      <c r="B17" s="123" t="s">
        <v>124</v>
      </c>
      <c r="C17" s="123" t="s">
        <v>337</v>
      </c>
      <c r="D17" s="7" t="s">
        <v>804</v>
      </c>
      <c r="E17" s="14" t="s">
        <v>442</v>
      </c>
      <c r="F17" s="124" t="s">
        <v>26</v>
      </c>
      <c r="G17" s="18" t="s">
        <v>2126</v>
      </c>
      <c r="H17" s="124" t="s">
        <v>1304</v>
      </c>
      <c r="I17" s="18" t="s">
        <v>2126</v>
      </c>
      <c r="J17" s="124" t="s">
        <v>30</v>
      </c>
      <c r="K17" s="124" t="s">
        <v>152</v>
      </c>
      <c r="L17" s="124" t="s">
        <v>490</v>
      </c>
      <c r="M17" s="139" t="s">
        <v>2108</v>
      </c>
      <c r="N17" s="124" t="s">
        <v>2105</v>
      </c>
      <c r="O17" s="124">
        <v>45</v>
      </c>
      <c r="P17" s="124"/>
      <c r="R17" s="9">
        <v>577.82023724409089</v>
      </c>
      <c r="T17" s="7" t="s">
        <v>34</v>
      </c>
      <c r="U17" s="7"/>
    </row>
    <row r="18" spans="1:21" ht="14.1" customHeight="1">
      <c r="A18" s="7">
        <v>14</v>
      </c>
      <c r="B18" s="14" t="s">
        <v>124</v>
      </c>
      <c r="C18" s="14" t="s">
        <v>337</v>
      </c>
      <c r="D18" s="7" t="s">
        <v>804</v>
      </c>
      <c r="E18" s="14" t="s">
        <v>442</v>
      </c>
      <c r="F18" s="7" t="s">
        <v>26</v>
      </c>
      <c r="G18" s="8" t="s">
        <v>2127</v>
      </c>
      <c r="H18" s="7" t="s">
        <v>1304</v>
      </c>
      <c r="I18" s="8" t="s">
        <v>2127</v>
      </c>
      <c r="J18" s="7" t="s">
        <v>30</v>
      </c>
      <c r="K18" s="7" t="s">
        <v>152</v>
      </c>
      <c r="L18" s="7" t="s">
        <v>490</v>
      </c>
      <c r="M18" s="137" t="s">
        <v>2108</v>
      </c>
      <c r="N18" s="7" t="s">
        <v>2105</v>
      </c>
      <c r="O18" s="7">
        <v>45</v>
      </c>
      <c r="P18" s="7"/>
      <c r="R18" s="9">
        <v>599.90614634489407</v>
      </c>
      <c r="T18" s="7" t="s">
        <v>34</v>
      </c>
      <c r="U18" s="7"/>
    </row>
    <row r="19" spans="1:21" ht="14.1" customHeight="1">
      <c r="A19" s="7">
        <v>15</v>
      </c>
      <c r="B19" s="14" t="s">
        <v>124</v>
      </c>
      <c r="C19" s="14" t="s">
        <v>337</v>
      </c>
      <c r="D19" s="7" t="s">
        <v>804</v>
      </c>
      <c r="E19" s="14" t="s">
        <v>442</v>
      </c>
      <c r="F19" s="7" t="s">
        <v>26</v>
      </c>
      <c r="G19" s="8" t="s">
        <v>2128</v>
      </c>
      <c r="H19" s="7" t="s">
        <v>1304</v>
      </c>
      <c r="I19" s="8" t="s">
        <v>2128</v>
      </c>
      <c r="J19" s="7" t="s">
        <v>30</v>
      </c>
      <c r="K19" s="7" t="s">
        <v>152</v>
      </c>
      <c r="L19" s="7" t="s">
        <v>490</v>
      </c>
      <c r="M19" s="137" t="s">
        <v>2108</v>
      </c>
      <c r="N19" s="7" t="s">
        <v>2105</v>
      </c>
      <c r="O19" s="7">
        <v>45</v>
      </c>
      <c r="P19" s="7"/>
      <c r="R19" s="9">
        <v>619.91560245331414</v>
      </c>
      <c r="T19" s="7" t="s">
        <v>34</v>
      </c>
      <c r="U19" s="7"/>
    </row>
    <row r="20" spans="1:21" ht="14.1" customHeight="1">
      <c r="A20" s="7">
        <v>16</v>
      </c>
      <c r="B20" s="14" t="s">
        <v>124</v>
      </c>
      <c r="C20" s="14" t="s">
        <v>337</v>
      </c>
      <c r="D20" s="7" t="s">
        <v>804</v>
      </c>
      <c r="E20" s="14" t="s">
        <v>442</v>
      </c>
      <c r="F20" s="7" t="s">
        <v>26</v>
      </c>
      <c r="G20" s="8" t="s">
        <v>2129</v>
      </c>
      <c r="H20" s="7" t="s">
        <v>1304</v>
      </c>
      <c r="I20" s="8" t="s">
        <v>2129</v>
      </c>
      <c r="J20" s="7" t="s">
        <v>30</v>
      </c>
      <c r="K20" s="7" t="s">
        <v>152</v>
      </c>
      <c r="L20" s="7" t="s">
        <v>490</v>
      </c>
      <c r="M20" s="137" t="s">
        <v>2108</v>
      </c>
      <c r="N20" s="7" t="s">
        <v>2105</v>
      </c>
      <c r="O20" s="7">
        <v>45</v>
      </c>
      <c r="P20" s="7"/>
      <c r="R20" s="9">
        <v>3311.942522851215</v>
      </c>
      <c r="T20" s="7" t="s">
        <v>34</v>
      </c>
      <c r="U20" s="7"/>
    </row>
    <row r="21" spans="1:21" ht="14.1" customHeight="1">
      <c r="A21" s="7">
        <v>17</v>
      </c>
      <c r="B21" s="14" t="s">
        <v>124</v>
      </c>
      <c r="C21" s="14" t="s">
        <v>337</v>
      </c>
      <c r="D21" s="7" t="s">
        <v>804</v>
      </c>
      <c r="E21" s="14" t="s">
        <v>442</v>
      </c>
      <c r="F21" s="7" t="s">
        <v>26</v>
      </c>
      <c r="G21" s="18" t="s">
        <v>2130</v>
      </c>
      <c r="H21" s="7" t="s">
        <v>1304</v>
      </c>
      <c r="I21" s="18" t="s">
        <v>2130</v>
      </c>
      <c r="J21" s="7" t="s">
        <v>30</v>
      </c>
      <c r="K21" s="7" t="s">
        <v>152</v>
      </c>
      <c r="L21" s="7" t="s">
        <v>490</v>
      </c>
      <c r="M21" s="137" t="s">
        <v>2108</v>
      </c>
      <c r="N21" s="7" t="s">
        <v>2105</v>
      </c>
      <c r="O21" s="7">
        <v>45</v>
      </c>
      <c r="P21" s="7"/>
      <c r="R21" s="9">
        <v>783.01154658232235</v>
      </c>
      <c r="T21" s="7" t="s">
        <v>34</v>
      </c>
      <c r="U21" s="7"/>
    </row>
    <row r="22" spans="1:21" ht="14.1" customHeight="1">
      <c r="A22" s="7">
        <v>18</v>
      </c>
      <c r="B22" s="14" t="s">
        <v>124</v>
      </c>
      <c r="C22" s="14" t="s">
        <v>337</v>
      </c>
      <c r="D22" s="7" t="s">
        <v>804</v>
      </c>
      <c r="E22" s="14" t="s">
        <v>442</v>
      </c>
      <c r="F22" s="7" t="s">
        <v>26</v>
      </c>
      <c r="G22" s="8" t="s">
        <v>2131</v>
      </c>
      <c r="H22" s="7" t="s">
        <v>1304</v>
      </c>
      <c r="I22" s="8" t="s">
        <v>2131</v>
      </c>
      <c r="J22" s="7" t="s">
        <v>30</v>
      </c>
      <c r="K22" s="7" t="s">
        <v>152</v>
      </c>
      <c r="L22" s="7" t="s">
        <v>490</v>
      </c>
      <c r="M22" s="137" t="s">
        <v>2108</v>
      </c>
      <c r="N22" s="7" t="s">
        <v>2105</v>
      </c>
      <c r="O22" s="7">
        <v>45</v>
      </c>
      <c r="P22" s="7"/>
      <c r="R22" s="9">
        <v>807.17390867550876</v>
      </c>
      <c r="T22" s="7" t="s">
        <v>34</v>
      </c>
      <c r="U22" s="7"/>
    </row>
    <row r="23" spans="1:21" ht="14.1" customHeight="1">
      <c r="A23" s="7">
        <v>19</v>
      </c>
      <c r="B23" s="14" t="s">
        <v>124</v>
      </c>
      <c r="C23" s="14" t="s">
        <v>337</v>
      </c>
      <c r="D23" s="7" t="s">
        <v>804</v>
      </c>
      <c r="E23" s="14" t="s">
        <v>442</v>
      </c>
      <c r="F23" s="7" t="s">
        <v>26</v>
      </c>
      <c r="G23" s="8" t="s">
        <v>2132</v>
      </c>
      <c r="H23" s="7" t="s">
        <v>1304</v>
      </c>
      <c r="I23" s="8" t="s">
        <v>2132</v>
      </c>
      <c r="J23" s="7" t="s">
        <v>30</v>
      </c>
      <c r="K23" s="7" t="s">
        <v>152</v>
      </c>
      <c r="L23" s="7" t="s">
        <v>490</v>
      </c>
      <c r="M23" s="137" t="s">
        <v>2108</v>
      </c>
      <c r="N23" s="7" t="s">
        <v>2105</v>
      </c>
      <c r="O23" s="7">
        <v>45</v>
      </c>
      <c r="P23" s="7"/>
      <c r="R23" s="9">
        <v>831.14750231484231</v>
      </c>
      <c r="T23" s="7" t="s">
        <v>34</v>
      </c>
      <c r="U23" s="7"/>
    </row>
    <row r="24" spans="1:21" ht="14.1" customHeight="1"/>
    <row r="25" spans="1:21" ht="14.1" customHeight="1"/>
    <row r="26" spans="1:21" ht="14.1" customHeight="1"/>
    <row r="27" spans="1:21" ht="14.1" customHeight="1"/>
    <row r="28" spans="1:21" ht="14.1" customHeight="1"/>
    <row r="29" spans="1:21" ht="14.1" customHeight="1"/>
    <row r="30" spans="1:21" ht="14.1" customHeight="1"/>
    <row r="31" spans="1:21" ht="14.1" customHeight="1"/>
    <row r="32" spans="1:21" ht="14.1" customHeight="1"/>
    <row r="33" ht="14.1" customHeight="1"/>
    <row r="34" ht="14.1" customHeight="1"/>
    <row r="35" ht="14.1" customHeight="1"/>
    <row r="36" ht="14.1" customHeight="1"/>
    <row r="37" ht="14.1" customHeight="1"/>
    <row r="38" ht="14.1" customHeight="1"/>
    <row r="39" ht="14.1" customHeight="1"/>
    <row r="40" ht="14.1" customHeight="1"/>
    <row r="41" ht="14.1" customHeight="1"/>
    <row r="42" ht="14.1" customHeight="1"/>
    <row r="43" ht="14.1" customHeight="1"/>
    <row r="44" ht="14.1" customHeight="1"/>
    <row r="45" ht="14.1" customHeight="1"/>
    <row r="46" ht="14.1" customHeight="1"/>
    <row r="47" ht="14.1" customHeight="1"/>
    <row r="48" ht="14.1" customHeight="1"/>
    <row r="49" ht="14.1" customHeight="1"/>
    <row r="50" ht="14.1" customHeight="1"/>
    <row r="51" ht="14.1" customHeight="1"/>
    <row r="52" ht="14.1" customHeight="1"/>
    <row r="53" ht="14.1" customHeight="1"/>
    <row r="54" ht="14.1" customHeight="1"/>
    <row r="55" ht="14.1" customHeight="1"/>
    <row r="56" ht="14.1" customHeight="1"/>
    <row r="57" ht="14.1" customHeight="1"/>
    <row r="58" ht="14.1" customHeight="1"/>
    <row r="59" ht="14.1" customHeight="1"/>
    <row r="60" ht="14.1" customHeight="1"/>
    <row r="61" ht="14.1" customHeight="1"/>
    <row r="62" ht="14.1" customHeight="1"/>
    <row r="63" ht="14.1" customHeight="1"/>
    <row r="64" ht="14.1" customHeight="1"/>
    <row r="65" ht="14.1" customHeight="1"/>
    <row r="66" ht="14.1" customHeight="1"/>
    <row r="67" ht="14.1" customHeight="1"/>
    <row r="68" ht="14.1" customHeight="1"/>
    <row r="69" ht="14.1" customHeight="1"/>
    <row r="70" ht="14.1" customHeight="1"/>
    <row r="71" ht="14.1" customHeight="1"/>
    <row r="72" ht="14.1" customHeight="1"/>
    <row r="73" ht="14.1" customHeight="1"/>
    <row r="74" ht="14.1" customHeight="1"/>
    <row r="75" ht="14.1" customHeight="1"/>
    <row r="76" ht="14.1" customHeight="1"/>
    <row r="77" ht="14.1" customHeight="1"/>
    <row r="78" ht="14.1" customHeight="1"/>
    <row r="79" ht="14.1" customHeight="1"/>
    <row r="80" ht="14.1" customHeight="1"/>
    <row r="81" ht="14.1" customHeight="1"/>
    <row r="82" ht="14.1" customHeight="1"/>
    <row r="83" ht="14.1" customHeight="1"/>
    <row r="84" ht="14.1" customHeight="1"/>
    <row r="85" ht="14.1" customHeight="1"/>
    <row r="86" ht="14.1" customHeight="1"/>
    <row r="87" ht="14.1" customHeight="1"/>
    <row r="88" ht="14.1" customHeight="1"/>
    <row r="89" ht="14.1" customHeight="1"/>
    <row r="90" ht="14.1" customHeight="1"/>
    <row r="91" ht="14.1" customHeight="1"/>
    <row r="92" ht="14.1" customHeight="1"/>
    <row r="93" ht="14.1" customHeight="1"/>
    <row r="94" ht="14.1" customHeight="1"/>
    <row r="95" ht="14.1" customHeight="1"/>
    <row r="96" ht="14.1" customHeight="1"/>
    <row r="97" ht="14.1" customHeight="1"/>
    <row r="98" ht="14.1" customHeight="1"/>
    <row r="99" ht="14.1" customHeight="1"/>
    <row r="100" ht="14.1" customHeight="1"/>
    <row r="101" ht="14.1" customHeight="1"/>
    <row r="102" ht="14.1" customHeight="1"/>
    <row r="103" ht="14.1" customHeight="1"/>
    <row r="104" ht="14.1" customHeight="1"/>
    <row r="105" ht="14.1" customHeight="1"/>
    <row r="106" ht="14.1" customHeight="1"/>
    <row r="107" ht="14.1" customHeight="1"/>
    <row r="108" ht="14.1" customHeight="1"/>
    <row r="109" ht="14.1" customHeight="1"/>
    <row r="110" ht="14.1" customHeight="1"/>
    <row r="111" ht="14.1" customHeight="1"/>
    <row r="112" ht="14.1" customHeight="1"/>
    <row r="113" ht="14.1" customHeight="1"/>
    <row r="114" ht="14.1" customHeight="1"/>
    <row r="115" ht="14.1" customHeight="1"/>
    <row r="116" ht="14.1" customHeight="1"/>
    <row r="117" ht="14.1" customHeight="1"/>
    <row r="118" ht="14.1" customHeight="1"/>
    <row r="119" ht="14.1" customHeight="1"/>
    <row r="120" ht="14.1" customHeight="1"/>
    <row r="121" ht="14.1" customHeight="1"/>
    <row r="122" ht="14.1" customHeight="1"/>
    <row r="123" ht="14.1" customHeight="1"/>
    <row r="124" ht="14.1" customHeight="1"/>
    <row r="125" ht="14.1" customHeight="1"/>
    <row r="126" ht="14.1" customHeight="1"/>
    <row r="127" ht="14.1" customHeight="1"/>
    <row r="128" ht="14.1" customHeight="1"/>
    <row r="129" ht="14.1" customHeight="1"/>
    <row r="130" ht="14.1" customHeight="1"/>
    <row r="131" ht="14.1" customHeight="1"/>
    <row r="132" ht="14.1" customHeight="1"/>
    <row r="133" ht="14.1" customHeight="1"/>
    <row r="134" ht="14.1" customHeight="1"/>
    <row r="135" ht="14.1" customHeight="1"/>
    <row r="136" ht="14.1" customHeight="1"/>
    <row r="137" ht="14.1" customHeight="1"/>
    <row r="138" ht="14.1" customHeight="1"/>
    <row r="139" ht="14.1" customHeight="1"/>
    <row r="140" ht="14.1" customHeight="1"/>
    <row r="141" ht="14.1" customHeight="1"/>
    <row r="142" ht="14.1" customHeight="1"/>
    <row r="143" ht="14.1" customHeight="1"/>
    <row r="144" ht="14.1" customHeight="1"/>
    <row r="145" ht="14.1" customHeight="1"/>
    <row r="146" ht="14.1" customHeight="1"/>
    <row r="147" ht="14.1" customHeight="1"/>
    <row r="148" ht="14.1" customHeight="1"/>
    <row r="149" ht="14.1" customHeight="1"/>
    <row r="150" ht="14.1" customHeight="1"/>
    <row r="151" ht="14.1" customHeight="1"/>
    <row r="152" ht="14.1" customHeight="1"/>
    <row r="153" ht="14.1" customHeight="1"/>
    <row r="154" ht="14.1" customHeight="1"/>
    <row r="155" ht="14.1" customHeight="1"/>
    <row r="156" ht="14.1" customHeight="1"/>
    <row r="157" ht="14.1" customHeight="1"/>
    <row r="158" ht="14.1" customHeight="1"/>
    <row r="159" ht="14.1" customHeight="1"/>
    <row r="160" ht="14.1" customHeight="1"/>
    <row r="161" ht="14.1" customHeight="1"/>
    <row r="162" ht="14.1" customHeight="1"/>
    <row r="163" ht="14.1" customHeight="1"/>
    <row r="164" ht="14.1" customHeight="1"/>
    <row r="165" ht="14.1" customHeight="1"/>
    <row r="166" ht="14.1" customHeight="1"/>
    <row r="167" ht="14.1" customHeight="1"/>
    <row r="168" ht="14.1" customHeight="1"/>
    <row r="169" ht="14.1" customHeight="1"/>
    <row r="170" ht="14.1" customHeight="1"/>
    <row r="171" ht="14.1" customHeight="1"/>
    <row r="172" ht="14.1" customHeight="1"/>
    <row r="173" ht="14.1" customHeight="1"/>
    <row r="174" ht="14.1" customHeight="1"/>
    <row r="175" ht="14.1" customHeight="1"/>
    <row r="176" ht="14.1" customHeight="1"/>
    <row r="177" ht="14.1" customHeight="1"/>
    <row r="178" ht="14.1" customHeight="1"/>
    <row r="179" ht="14.1" customHeight="1"/>
    <row r="180" ht="14.1" customHeight="1"/>
    <row r="181" ht="14.1" customHeight="1"/>
    <row r="182" ht="14.1" customHeight="1"/>
    <row r="183" ht="14.1" customHeight="1"/>
    <row r="184" ht="14.1" customHeight="1"/>
    <row r="185" ht="14.1" customHeight="1"/>
    <row r="186" ht="14.1" customHeight="1"/>
    <row r="187" ht="14.1" customHeight="1"/>
    <row r="188" ht="14.1" customHeight="1"/>
    <row r="189" ht="14.1" customHeight="1"/>
    <row r="190" ht="14.1" customHeight="1"/>
    <row r="191" ht="14.1" customHeight="1"/>
    <row r="192" ht="14.1" customHeight="1"/>
    <row r="193" ht="14.1" customHeight="1"/>
    <row r="194" ht="14.1" customHeight="1"/>
    <row r="195" ht="14.1" customHeight="1"/>
    <row r="196" ht="14.1" customHeight="1"/>
    <row r="197" ht="14.1" customHeight="1"/>
    <row r="198" ht="14.1" customHeight="1"/>
    <row r="199" ht="14.1" customHeight="1"/>
    <row r="200" ht="14.1" customHeight="1"/>
    <row r="201" ht="14.1" customHeight="1"/>
    <row r="202" ht="14.1" customHeight="1"/>
    <row r="203" ht="14.1" customHeight="1"/>
    <row r="204" ht="14.1" customHeight="1"/>
    <row r="205" ht="14.1" customHeight="1"/>
    <row r="206" ht="14.1" customHeight="1"/>
    <row r="207" ht="14.1" customHeight="1"/>
    <row r="208" ht="14.1" customHeight="1"/>
    <row r="209" ht="14.1" customHeight="1"/>
    <row r="210" ht="14.1" customHeight="1"/>
    <row r="211" ht="14.1" customHeight="1"/>
    <row r="212" ht="14.1" customHeight="1"/>
    <row r="213" ht="14.1" customHeight="1"/>
    <row r="214" ht="14.1" customHeight="1"/>
    <row r="215" ht="14.1" customHeight="1"/>
    <row r="216" ht="14.1" customHeight="1"/>
    <row r="217" ht="14.1" customHeight="1"/>
    <row r="218" ht="14.1" customHeight="1"/>
    <row r="219" ht="14.1" customHeight="1"/>
    <row r="220" ht="14.1" customHeight="1"/>
    <row r="221" ht="14.1" customHeight="1"/>
    <row r="222" ht="14.1" customHeight="1"/>
    <row r="223" ht="14.1" customHeight="1"/>
    <row r="224" ht="14.1" customHeight="1"/>
    <row r="225" ht="14.1" customHeight="1"/>
    <row r="226" ht="14.1" customHeight="1"/>
    <row r="227" ht="14.1" customHeight="1"/>
    <row r="228" ht="14.1" customHeight="1"/>
    <row r="229" ht="14.1" customHeight="1"/>
    <row r="230" ht="14.1" customHeight="1"/>
    <row r="231" ht="14.1" customHeight="1"/>
    <row r="232" ht="14.1" customHeight="1"/>
    <row r="233" ht="14.1" customHeight="1"/>
    <row r="234" ht="14.1" customHeight="1"/>
    <row r="235" ht="14.1" customHeight="1"/>
    <row r="236" ht="14.1" customHeight="1"/>
    <row r="237" ht="14.1" customHeight="1"/>
    <row r="238" ht="14.1" customHeight="1"/>
    <row r="239" ht="14.1" customHeight="1"/>
    <row r="240" ht="14.1" customHeight="1"/>
    <row r="241" ht="14.1" customHeight="1"/>
    <row r="242" ht="14.1" customHeight="1"/>
    <row r="243" ht="14.1" customHeight="1"/>
    <row r="244" ht="14.1" customHeight="1"/>
    <row r="245" ht="14.1" customHeight="1"/>
    <row r="246" ht="14.1" customHeight="1"/>
    <row r="247" ht="14.1" customHeight="1"/>
    <row r="248" ht="14.1" customHeight="1"/>
    <row r="249" ht="14.1" customHeight="1"/>
    <row r="250" ht="14.1" customHeight="1"/>
    <row r="251" ht="14.1" customHeight="1"/>
    <row r="252" ht="14.1" customHeight="1"/>
    <row r="253" ht="14.1" customHeight="1"/>
    <row r="254" ht="14.1" customHeight="1"/>
    <row r="255" ht="14.1" customHeight="1"/>
    <row r="256" ht="14.1" customHeight="1"/>
    <row r="257" ht="14.1" customHeight="1"/>
    <row r="258" ht="14.1" customHeight="1"/>
    <row r="259" ht="14.1" customHeight="1"/>
    <row r="260" ht="14.1" customHeight="1"/>
    <row r="261" ht="14.1" customHeight="1"/>
    <row r="262" ht="14.1" customHeight="1"/>
    <row r="263" ht="14.1" customHeight="1"/>
    <row r="264" ht="14.1" customHeight="1"/>
    <row r="265" ht="14.1" customHeight="1"/>
    <row r="266" ht="14.1" customHeight="1"/>
    <row r="267" ht="14.1" customHeight="1"/>
    <row r="268" ht="14.1" customHeight="1"/>
    <row r="269" ht="14.1" customHeight="1"/>
    <row r="270" ht="14.1" customHeight="1"/>
    <row r="271" ht="14.1" customHeight="1"/>
    <row r="272" ht="14.1" customHeight="1"/>
    <row r="273" ht="14.1" customHeight="1"/>
    <row r="274" ht="14.1" customHeight="1"/>
    <row r="275" ht="14.1" customHeight="1"/>
    <row r="276" ht="14.1" customHeight="1"/>
    <row r="277" ht="14.1" customHeight="1"/>
    <row r="278" ht="14.1" customHeight="1"/>
    <row r="279" ht="14.1" customHeight="1"/>
    <row r="280" ht="14.1" customHeight="1"/>
    <row r="281" ht="14.1" customHeight="1"/>
    <row r="282" ht="14.1" customHeight="1"/>
    <row r="283" ht="14.1" customHeight="1"/>
    <row r="284" ht="14.1" customHeight="1"/>
    <row r="285" ht="14.1" customHeight="1"/>
    <row r="286" ht="14.1" customHeight="1"/>
    <row r="287" ht="14.1" customHeight="1"/>
    <row r="288" ht="14.1" customHeight="1"/>
    <row r="289" ht="14.1" customHeight="1"/>
    <row r="290" ht="14.1" customHeight="1"/>
    <row r="291" ht="14.1" customHeight="1"/>
    <row r="292" ht="14.1" customHeight="1"/>
    <row r="293" ht="14.1" customHeight="1"/>
    <row r="294" ht="14.1" customHeight="1"/>
    <row r="295" ht="14.1" customHeight="1"/>
    <row r="296" ht="14.1" customHeight="1"/>
    <row r="297" ht="14.1" customHeight="1"/>
    <row r="298" ht="14.1" customHeight="1"/>
    <row r="299" ht="14.1" customHeight="1"/>
    <row r="300" ht="14.1" customHeight="1"/>
    <row r="301" ht="14.1" customHeight="1"/>
    <row r="302" ht="14.1" customHeight="1"/>
    <row r="303" ht="14.1" customHeight="1"/>
    <row r="304" ht="14.1" customHeight="1"/>
    <row r="305" ht="14.1" customHeight="1"/>
    <row r="306" ht="14.1" customHeight="1"/>
    <row r="307" ht="14.1" customHeight="1"/>
    <row r="308" ht="14.1" customHeight="1"/>
    <row r="309" ht="14.1" customHeight="1"/>
    <row r="310" ht="14.1" customHeight="1"/>
    <row r="311" ht="14.1" customHeight="1"/>
    <row r="312" ht="14.1" customHeight="1"/>
    <row r="313" ht="14.1" customHeight="1"/>
    <row r="314" ht="14.1" customHeight="1"/>
    <row r="315" ht="14.1" customHeight="1"/>
    <row r="316" ht="14.1" customHeight="1"/>
    <row r="317" ht="14.1" customHeight="1"/>
    <row r="318" ht="14.1" customHeight="1"/>
    <row r="319" ht="14.1" customHeight="1"/>
    <row r="320" ht="14.1" customHeight="1"/>
    <row r="321" ht="14.1" customHeight="1"/>
    <row r="322" ht="14.1" customHeight="1"/>
    <row r="323" ht="14.1" customHeight="1"/>
    <row r="324" ht="14.1" customHeight="1"/>
    <row r="325" ht="14.1" customHeight="1"/>
    <row r="326" ht="14.1" customHeight="1"/>
    <row r="327" ht="14.1" customHeight="1"/>
    <row r="328" ht="14.1" customHeight="1"/>
    <row r="329" ht="14.1" customHeight="1"/>
    <row r="330" ht="14.1" customHeight="1"/>
    <row r="331" ht="14.1" customHeight="1"/>
    <row r="332" ht="14.1" customHeight="1"/>
    <row r="333" ht="14.1" customHeight="1"/>
    <row r="334" ht="14.1" customHeight="1"/>
    <row r="335" ht="14.1" customHeight="1"/>
    <row r="336" ht="14.1" customHeight="1"/>
    <row r="337" ht="14.1" customHeight="1"/>
    <row r="338" ht="14.1" customHeight="1"/>
    <row r="339" ht="14.1" customHeight="1"/>
    <row r="340" ht="14.1" customHeight="1"/>
    <row r="341" ht="14.1" customHeight="1"/>
    <row r="342" ht="14.1" customHeight="1"/>
    <row r="343" ht="14.1" customHeight="1"/>
    <row r="344" ht="14.1" customHeight="1"/>
    <row r="345" ht="14.1" customHeight="1"/>
    <row r="346" ht="14.1" customHeight="1"/>
    <row r="347" ht="14.1" customHeight="1"/>
    <row r="348" ht="14.1" customHeight="1"/>
    <row r="349" ht="14.1" customHeight="1"/>
    <row r="350" ht="14.1" customHeight="1"/>
    <row r="351" ht="14.1" customHeight="1"/>
    <row r="352" ht="14.1" customHeight="1"/>
    <row r="353" ht="14.1" customHeight="1"/>
    <row r="354" ht="14.1" customHeight="1"/>
    <row r="355" ht="14.1" customHeight="1"/>
    <row r="356" ht="14.1" customHeight="1"/>
    <row r="357" ht="14.1" customHeight="1"/>
    <row r="358" ht="14.1" customHeight="1"/>
    <row r="359" ht="14.1" customHeight="1"/>
    <row r="360" ht="14.1" customHeight="1"/>
    <row r="361" ht="14.1" customHeight="1"/>
    <row r="362" ht="14.1" customHeight="1"/>
    <row r="363" ht="14.1" customHeight="1"/>
    <row r="364" ht="14.1" customHeight="1"/>
    <row r="365" ht="14.1" customHeight="1"/>
    <row r="366" ht="14.1" customHeight="1"/>
    <row r="367" ht="14.1" customHeight="1"/>
    <row r="368" ht="14.1" customHeight="1"/>
    <row r="369" ht="14.1" customHeight="1"/>
    <row r="370" ht="14.1" customHeight="1"/>
    <row r="371" ht="14.1" customHeight="1"/>
    <row r="372" ht="14.1" customHeight="1"/>
    <row r="373" ht="14.1" customHeight="1"/>
    <row r="374" ht="14.1" customHeight="1"/>
    <row r="375" ht="14.1" customHeight="1"/>
    <row r="376" ht="14.1" customHeight="1"/>
    <row r="377" ht="14.1" customHeight="1"/>
    <row r="378" ht="14.1" customHeight="1"/>
    <row r="379" ht="14.1" customHeight="1"/>
    <row r="380" ht="14.1" customHeight="1"/>
    <row r="381" ht="14.1" customHeight="1"/>
    <row r="382" ht="14.1" customHeight="1"/>
    <row r="383" ht="14.1" customHeight="1"/>
    <row r="384" ht="14.1" customHeight="1"/>
    <row r="385" ht="14.1" customHeight="1"/>
    <row r="386" ht="14.1" customHeight="1"/>
    <row r="387" ht="14.1" customHeight="1"/>
    <row r="388" ht="14.1" customHeight="1"/>
    <row r="389" ht="14.1" customHeight="1"/>
    <row r="390" ht="14.1" customHeight="1"/>
    <row r="391" ht="14.1" customHeight="1"/>
    <row r="392" ht="14.1" customHeight="1"/>
    <row r="393" ht="14.1" customHeight="1"/>
    <row r="394" ht="14.1" customHeight="1"/>
    <row r="395" ht="14.1" customHeight="1"/>
    <row r="396" ht="14.1" customHeight="1"/>
    <row r="397" ht="14.1" customHeight="1"/>
    <row r="398" ht="14.1" customHeight="1"/>
    <row r="399" ht="14.1" customHeight="1"/>
    <row r="400" ht="14.1" customHeight="1"/>
    <row r="401" ht="14.1" customHeight="1"/>
    <row r="402" ht="14.1" customHeight="1"/>
    <row r="403" ht="14.1" customHeight="1"/>
    <row r="404" ht="14.1" customHeight="1"/>
    <row r="405" ht="14.1" customHeight="1"/>
    <row r="406" ht="14.1" customHeight="1"/>
    <row r="407" ht="14.1" customHeight="1"/>
    <row r="408" ht="14.1" customHeight="1"/>
    <row r="409" ht="14.1" customHeight="1"/>
    <row r="410" ht="14.1" customHeight="1"/>
    <row r="411" ht="14.1" customHeight="1"/>
    <row r="412" ht="14.1" customHeight="1"/>
    <row r="413" ht="14.1" customHeight="1"/>
    <row r="414" ht="14.1" customHeight="1"/>
    <row r="415" ht="14.1" customHeight="1"/>
    <row r="416" ht="14.1" customHeight="1"/>
    <row r="417" ht="14.1" customHeight="1"/>
    <row r="418" ht="14.1" customHeight="1"/>
    <row r="419" ht="14.1" customHeight="1"/>
    <row r="420" ht="14.1" customHeight="1"/>
    <row r="421" ht="14.1" customHeight="1"/>
    <row r="422" ht="14.1" customHeight="1"/>
    <row r="423" ht="14.1" customHeight="1"/>
    <row r="424" ht="14.1" customHeight="1"/>
    <row r="425" ht="14.1" customHeight="1"/>
    <row r="426" ht="14.1" customHeight="1"/>
    <row r="427" ht="14.1" customHeight="1"/>
    <row r="428" ht="14.1" customHeight="1"/>
    <row r="429" ht="14.1" customHeight="1"/>
    <row r="430" ht="14.1" customHeight="1"/>
    <row r="431" ht="14.1" customHeight="1"/>
    <row r="432" ht="14.1" customHeight="1"/>
    <row r="433" ht="14.1" customHeight="1"/>
    <row r="434" ht="14.1" customHeight="1"/>
    <row r="435" ht="14.1" customHeight="1"/>
    <row r="436" ht="14.1" customHeight="1"/>
    <row r="437" ht="14.1" customHeight="1"/>
    <row r="438" ht="14.1" customHeight="1"/>
    <row r="439" ht="14.1" customHeight="1"/>
    <row r="440" ht="14.1" customHeight="1"/>
    <row r="441" ht="14.1" customHeight="1"/>
    <row r="442" ht="14.1" customHeight="1"/>
    <row r="443" ht="14.1" customHeight="1"/>
    <row r="444" ht="14.1" customHeight="1"/>
    <row r="445" ht="14.1" customHeight="1"/>
    <row r="446" ht="14.1" customHeight="1"/>
    <row r="447" ht="14.1" customHeight="1"/>
    <row r="448" ht="14.1" customHeight="1"/>
    <row r="449" ht="14.1" customHeight="1"/>
    <row r="450" ht="14.1" customHeight="1"/>
    <row r="451" ht="14.1" customHeight="1"/>
    <row r="452" ht="14.1" customHeight="1"/>
    <row r="453" ht="14.1" customHeight="1"/>
    <row r="454" ht="14.1" customHeight="1"/>
    <row r="455" ht="14.1" customHeight="1"/>
    <row r="456" ht="14.1" customHeight="1"/>
    <row r="457" ht="14.1" customHeight="1"/>
    <row r="458" ht="14.1" customHeight="1"/>
    <row r="459" ht="14.1" customHeight="1"/>
    <row r="460" ht="14.1" customHeight="1"/>
    <row r="461" ht="14.1" customHeight="1"/>
    <row r="462" ht="14.1" customHeight="1"/>
    <row r="463" ht="14.1" customHeight="1"/>
    <row r="464" ht="14.1" customHeight="1"/>
    <row r="465" ht="14.1" customHeight="1"/>
    <row r="466" ht="14.1" customHeight="1"/>
    <row r="467" ht="14.1" customHeight="1"/>
    <row r="468" ht="14.1" customHeight="1"/>
    <row r="469" ht="14.1" customHeight="1"/>
    <row r="470" ht="14.1" customHeight="1"/>
    <row r="471" ht="14.1" customHeight="1"/>
    <row r="472" ht="14.1" customHeight="1"/>
    <row r="473" ht="14.1" customHeight="1"/>
    <row r="474" ht="14.1" customHeight="1"/>
    <row r="475" ht="14.1" customHeight="1"/>
    <row r="476" ht="14.1" customHeight="1"/>
    <row r="477" ht="14.1" customHeight="1"/>
    <row r="478" ht="14.1" customHeight="1"/>
    <row r="479" ht="14.1" customHeight="1"/>
    <row r="480" ht="14.1" customHeight="1"/>
    <row r="481" ht="14.1" customHeight="1"/>
    <row r="482" ht="14.1" customHeight="1"/>
    <row r="483" ht="14.1" customHeight="1"/>
    <row r="484" ht="14.1" customHeight="1"/>
    <row r="485" ht="14.1" customHeight="1"/>
    <row r="486" ht="14.1" customHeight="1"/>
    <row r="487" ht="14.1" customHeight="1"/>
    <row r="488" ht="14.1" customHeight="1"/>
    <row r="489" ht="14.1" customHeight="1"/>
    <row r="490" ht="14.1" customHeight="1"/>
    <row r="491" ht="14.1" customHeight="1"/>
    <row r="492" ht="14.1" customHeight="1"/>
    <row r="493" ht="14.1" customHeight="1"/>
    <row r="494" ht="14.1" customHeight="1"/>
    <row r="495" ht="14.1" customHeight="1"/>
    <row r="496" ht="14.1" customHeight="1"/>
    <row r="497" ht="14.1" customHeight="1"/>
    <row r="498" ht="14.1" customHeight="1"/>
    <row r="499" ht="14.1" customHeight="1"/>
    <row r="500" ht="14.1" customHeight="1"/>
    <row r="501" ht="14.1" customHeight="1"/>
    <row r="502" ht="14.1" customHeight="1"/>
    <row r="503" ht="14.1" customHeight="1"/>
    <row r="504" ht="14.1" customHeight="1"/>
    <row r="505" ht="14.1" customHeight="1"/>
    <row r="506" ht="14.1" customHeight="1"/>
    <row r="507" ht="14.1" customHeight="1"/>
    <row r="508" ht="14.1" customHeight="1"/>
    <row r="509" ht="14.1" customHeight="1"/>
    <row r="510" ht="14.1" customHeight="1"/>
    <row r="511" ht="14.1" customHeight="1"/>
    <row r="512" ht="14.1" customHeight="1"/>
    <row r="513" ht="14.1" customHeight="1"/>
    <row r="514" ht="14.1" customHeight="1"/>
    <row r="515" ht="14.1" customHeight="1"/>
    <row r="516" ht="14.1" customHeight="1"/>
    <row r="517" ht="14.1" customHeight="1"/>
    <row r="518" ht="14.1" customHeight="1"/>
    <row r="519" ht="14.1" customHeight="1"/>
    <row r="520" ht="14.1" customHeight="1"/>
    <row r="521" ht="14.1" customHeight="1"/>
    <row r="522" ht="14.1" customHeight="1"/>
    <row r="523" ht="14.1" customHeight="1"/>
    <row r="524" ht="14.1" customHeight="1"/>
    <row r="525" ht="14.1" customHeight="1"/>
    <row r="526" ht="14.1" customHeight="1"/>
    <row r="527" ht="14.1" customHeight="1"/>
    <row r="528" ht="14.1" customHeight="1"/>
    <row r="529" ht="14.1" customHeight="1"/>
    <row r="530" ht="14.1" customHeight="1"/>
    <row r="531" ht="14.1" customHeight="1"/>
    <row r="532" ht="14.1" customHeight="1"/>
    <row r="533" ht="14.1" customHeight="1"/>
    <row r="534" ht="14.1" customHeight="1"/>
    <row r="535" ht="14.1" customHeight="1"/>
    <row r="536" ht="14.1" customHeight="1"/>
    <row r="537" ht="14.1" customHeight="1"/>
    <row r="538" ht="14.1" customHeight="1"/>
    <row r="539" ht="14.1" customHeight="1"/>
    <row r="540" ht="14.1" customHeight="1"/>
    <row r="541" ht="14.1" customHeight="1"/>
    <row r="542" ht="14.1" customHeight="1"/>
    <row r="543" ht="14.1" customHeight="1"/>
    <row r="544" ht="14.1" customHeight="1"/>
    <row r="545" ht="14.1" customHeight="1"/>
    <row r="546" ht="14.1" customHeight="1"/>
    <row r="547" ht="14.1" customHeight="1"/>
    <row r="548" ht="14.1" customHeight="1"/>
    <row r="549" ht="14.1" customHeight="1"/>
    <row r="550" ht="14.1" customHeight="1"/>
    <row r="551" ht="14.1" customHeight="1"/>
    <row r="552" ht="14.1" customHeight="1"/>
    <row r="553" ht="14.1" customHeight="1"/>
    <row r="554" ht="14.1" customHeight="1"/>
    <row r="555" ht="14.1" customHeight="1"/>
    <row r="556" ht="14.1" customHeight="1"/>
    <row r="557" ht="14.1" customHeight="1"/>
    <row r="558" ht="14.1" customHeight="1"/>
    <row r="559" ht="14.1" customHeight="1"/>
    <row r="560" ht="14.1" customHeight="1"/>
    <row r="561" ht="14.1" customHeight="1"/>
    <row r="562" ht="14.1" customHeight="1"/>
    <row r="563" ht="14.1" customHeight="1"/>
    <row r="564" ht="14.1" customHeight="1"/>
    <row r="565" ht="14.1" customHeight="1"/>
    <row r="566" ht="14.1" customHeight="1"/>
    <row r="567" ht="14.1" customHeight="1"/>
    <row r="568" ht="14.1" customHeight="1"/>
    <row r="569" ht="14.1" customHeight="1"/>
    <row r="570" ht="14.1" customHeight="1"/>
    <row r="571" ht="14.1" customHeight="1"/>
    <row r="572" ht="14.1" customHeight="1"/>
    <row r="573" ht="14.1" customHeight="1"/>
    <row r="574" ht="14.1" customHeight="1"/>
    <row r="575" ht="14.1" customHeight="1"/>
    <row r="576" ht="14.1" customHeight="1"/>
    <row r="577" ht="14.1" customHeight="1"/>
    <row r="578" ht="14.1" customHeight="1"/>
    <row r="579" ht="14.1" customHeight="1"/>
    <row r="580" ht="14.1" customHeight="1"/>
    <row r="581" ht="14.1" customHeight="1"/>
    <row r="582" ht="14.1" customHeight="1"/>
    <row r="583" ht="14.1" customHeight="1"/>
    <row r="584" ht="14.1" customHeight="1"/>
    <row r="585" ht="14.1" customHeight="1"/>
    <row r="586" ht="14.1" customHeight="1"/>
    <row r="587" ht="14.1" customHeight="1"/>
    <row r="588" ht="14.1" customHeight="1"/>
    <row r="589" ht="14.1" customHeight="1"/>
    <row r="590" ht="14.1" customHeight="1"/>
    <row r="591" ht="14.1" customHeight="1"/>
    <row r="592" ht="14.1" customHeight="1"/>
    <row r="593" ht="14.1" customHeight="1"/>
    <row r="594" ht="14.1" customHeight="1"/>
    <row r="595" ht="14.1" customHeight="1"/>
    <row r="596" ht="14.1" customHeight="1"/>
    <row r="597" ht="14.1" customHeight="1"/>
    <row r="598" ht="14.1" customHeight="1"/>
    <row r="599" ht="14.1" customHeight="1"/>
    <row r="600" ht="14.1" customHeight="1"/>
    <row r="601" ht="14.1" customHeight="1"/>
    <row r="602" ht="14.1" customHeight="1"/>
    <row r="603" ht="14.1" customHeight="1"/>
    <row r="604" ht="14.1" customHeight="1"/>
    <row r="605" ht="14.1" customHeight="1"/>
    <row r="606" ht="14.1" customHeight="1"/>
    <row r="607" ht="14.1" customHeight="1"/>
    <row r="608" ht="14.1" customHeight="1"/>
    <row r="609" ht="14.1" customHeight="1"/>
    <row r="610" ht="14.1" customHeight="1"/>
    <row r="611" ht="14.1" customHeight="1"/>
    <row r="612" ht="14.1" customHeight="1"/>
    <row r="613" ht="14.1" customHeight="1"/>
    <row r="614" ht="14.1" customHeight="1"/>
    <row r="615" ht="14.1" customHeight="1"/>
    <row r="616" ht="14.1" customHeight="1"/>
    <row r="617" ht="14.1" customHeight="1"/>
    <row r="618" ht="14.1" customHeight="1"/>
    <row r="619" ht="14.1" customHeight="1"/>
    <row r="620" ht="14.1" customHeight="1"/>
    <row r="621" ht="14.1" customHeight="1"/>
    <row r="622" ht="14.1" customHeight="1"/>
    <row r="623" ht="14.1" customHeight="1"/>
    <row r="624" ht="14.1" customHeight="1"/>
    <row r="625" ht="14.1" customHeight="1"/>
    <row r="626" ht="14.1" customHeight="1"/>
    <row r="627" ht="14.1" customHeight="1"/>
    <row r="628" ht="14.1" customHeight="1"/>
    <row r="629" ht="14.1" customHeight="1"/>
    <row r="630" ht="14.1" customHeight="1"/>
    <row r="631" ht="14.1" customHeight="1"/>
    <row r="632" ht="14.1" customHeight="1"/>
    <row r="633" ht="14.1" customHeight="1"/>
    <row r="634" ht="14.1" customHeight="1"/>
    <row r="635" ht="14.1" customHeight="1"/>
    <row r="636" ht="14.1" customHeight="1"/>
    <row r="637" ht="14.1" customHeight="1"/>
    <row r="638" ht="14.1" customHeight="1"/>
    <row r="639" ht="14.1" customHeight="1"/>
    <row r="640" ht="14.1" customHeight="1"/>
    <row r="641" ht="14.1" customHeight="1"/>
    <row r="642" ht="14.1" customHeight="1"/>
    <row r="643" ht="14.1" customHeight="1"/>
    <row r="644" ht="14.1" customHeight="1"/>
    <row r="645" ht="14.1" customHeight="1"/>
    <row r="646" ht="14.1" customHeight="1"/>
    <row r="647" ht="14.1" customHeight="1"/>
    <row r="648" ht="14.1" customHeight="1"/>
    <row r="649" ht="14.1" customHeight="1"/>
    <row r="650" ht="14.1" customHeight="1"/>
    <row r="651" ht="14.1" customHeight="1"/>
    <row r="652" ht="14.1" customHeight="1"/>
    <row r="653" ht="14.1" customHeight="1"/>
    <row r="654" ht="14.1" customHeight="1"/>
    <row r="655" ht="14.1" customHeight="1"/>
    <row r="656" ht="14.1" customHeight="1"/>
    <row r="657" ht="14.1" customHeight="1"/>
    <row r="658" ht="14.1" customHeight="1"/>
    <row r="659" ht="14.1" customHeight="1"/>
    <row r="660" ht="14.1" customHeight="1"/>
    <row r="661" ht="14.1" customHeight="1"/>
    <row r="662" ht="14.1" customHeight="1"/>
    <row r="663" ht="14.1" customHeight="1"/>
    <row r="664" ht="14.1" customHeight="1"/>
    <row r="665" ht="14.1" customHeight="1"/>
    <row r="666" ht="14.1" customHeight="1"/>
    <row r="667" ht="14.1" customHeight="1"/>
    <row r="668" ht="14.1" customHeight="1"/>
    <row r="669" ht="14.1" customHeight="1"/>
    <row r="670" ht="14.1" customHeight="1"/>
    <row r="671" ht="14.1" customHeight="1"/>
    <row r="672" ht="14.1" customHeight="1"/>
    <row r="673" ht="14.1" customHeight="1"/>
    <row r="674" ht="14.1" customHeight="1"/>
    <row r="675" ht="14.1" customHeight="1"/>
    <row r="676" ht="14.1" customHeight="1"/>
    <row r="677" ht="14.1" customHeight="1"/>
    <row r="678" ht="14.1" customHeight="1"/>
    <row r="679" ht="14.1" customHeight="1"/>
    <row r="680" ht="14.1" customHeight="1"/>
    <row r="681" ht="14.1" customHeight="1"/>
    <row r="682" ht="14.1" customHeight="1"/>
    <row r="683" ht="14.1" customHeight="1"/>
    <row r="684" ht="14.1" customHeight="1"/>
    <row r="685" ht="14.1" customHeight="1"/>
    <row r="686" ht="14.1" customHeight="1"/>
    <row r="687" ht="14.1" customHeight="1"/>
    <row r="688" ht="14.1" customHeight="1"/>
    <row r="689" ht="14.1" customHeight="1"/>
    <row r="690" ht="14.1" customHeight="1"/>
    <row r="691" ht="14.1" customHeight="1"/>
    <row r="692" ht="14.1" customHeight="1"/>
    <row r="693" ht="14.1" customHeight="1"/>
    <row r="694" ht="14.1" customHeight="1"/>
    <row r="695" ht="14.1" customHeight="1"/>
    <row r="696" ht="14.1" customHeight="1"/>
    <row r="697" ht="14.1" customHeight="1"/>
    <row r="698" ht="14.1" customHeight="1"/>
    <row r="699" ht="14.1" customHeight="1"/>
    <row r="700" ht="14.1" customHeight="1"/>
    <row r="701" ht="14.1" customHeight="1"/>
    <row r="702" ht="14.1" customHeight="1"/>
    <row r="703" ht="14.1" customHeight="1"/>
    <row r="704" ht="14.1" customHeight="1"/>
    <row r="705" ht="14.1" customHeight="1"/>
    <row r="706" ht="14.1" customHeight="1"/>
    <row r="707" ht="14.1" customHeight="1"/>
    <row r="708" ht="14.1" customHeight="1"/>
    <row r="709" ht="14.1" customHeight="1"/>
    <row r="710" ht="14.1" customHeight="1"/>
    <row r="711" ht="14.1" customHeight="1"/>
    <row r="712" ht="14.1" customHeight="1"/>
    <row r="713" ht="14.1" customHeight="1"/>
    <row r="714" ht="14.1" customHeight="1"/>
    <row r="715" ht="14.1" customHeight="1"/>
    <row r="716" ht="14.1" customHeight="1"/>
    <row r="717" ht="14.1" customHeight="1"/>
    <row r="718" ht="14.1" customHeight="1"/>
    <row r="719" ht="14.1" customHeight="1"/>
    <row r="720" ht="14.1" customHeight="1"/>
    <row r="721" ht="14.1" customHeight="1"/>
    <row r="722" ht="14.1" customHeight="1"/>
    <row r="723" ht="14.1" customHeight="1"/>
    <row r="724" ht="14.1" customHeight="1"/>
    <row r="725" ht="14.1" customHeight="1"/>
    <row r="726" ht="14.1" customHeight="1"/>
    <row r="727" ht="14.1" customHeight="1"/>
    <row r="728" ht="14.1" customHeight="1"/>
    <row r="729" ht="14.1" customHeight="1"/>
    <row r="730" ht="14.1" customHeight="1"/>
    <row r="731" ht="14.1" customHeight="1"/>
    <row r="732" ht="14.1" customHeight="1"/>
    <row r="733" ht="14.1" customHeight="1"/>
    <row r="734" ht="14.1" customHeight="1"/>
    <row r="735" ht="14.1" customHeight="1"/>
    <row r="736" ht="14.1" customHeight="1"/>
    <row r="737" ht="14.1" customHeight="1"/>
    <row r="738" ht="14.1" customHeight="1"/>
    <row r="739" ht="14.1" customHeight="1"/>
    <row r="740" ht="14.1" customHeight="1"/>
    <row r="741" ht="14.1" customHeight="1"/>
    <row r="742" ht="14.1" customHeight="1"/>
    <row r="743" ht="14.1" customHeight="1"/>
    <row r="744" ht="14.1" customHeight="1"/>
    <row r="745" ht="14.1" customHeight="1"/>
    <row r="746" ht="14.1" customHeight="1"/>
    <row r="747" ht="14.1" customHeight="1"/>
    <row r="748" ht="14.1" customHeight="1"/>
    <row r="749" ht="14.1" customHeight="1"/>
    <row r="750" ht="14.1" customHeight="1"/>
    <row r="751" ht="14.1" customHeight="1"/>
    <row r="752" ht="14.1" customHeight="1"/>
    <row r="753" ht="14.1" customHeight="1"/>
    <row r="754" ht="14.1" customHeight="1"/>
    <row r="755" ht="14.1" customHeight="1"/>
    <row r="756" ht="14.1" customHeight="1"/>
    <row r="757" ht="14.1" customHeight="1"/>
    <row r="758" ht="14.1" customHeight="1"/>
    <row r="759" ht="14.1" customHeight="1"/>
    <row r="760" ht="14.1" customHeight="1"/>
    <row r="761" ht="14.1" customHeight="1"/>
    <row r="762" ht="14.1" customHeight="1"/>
    <row r="763" ht="14.1" customHeight="1"/>
    <row r="764" ht="14.1" customHeight="1"/>
    <row r="765" ht="14.1" customHeight="1"/>
    <row r="766" ht="14.1" customHeight="1"/>
    <row r="767" ht="14.1" customHeight="1"/>
    <row r="768" ht="14.1" customHeight="1"/>
    <row r="769" ht="14.1" customHeight="1"/>
    <row r="770" ht="14.1" customHeight="1"/>
    <row r="771" ht="14.1" customHeight="1"/>
    <row r="772" ht="14.1" customHeight="1"/>
    <row r="773" ht="14.1" customHeight="1"/>
    <row r="774" ht="14.1" customHeight="1"/>
    <row r="775" ht="14.1" customHeight="1"/>
    <row r="776" ht="14.1" customHeight="1"/>
    <row r="777" ht="14.1" customHeight="1"/>
    <row r="778" ht="14.1" customHeight="1"/>
    <row r="779" ht="14.1" customHeight="1"/>
    <row r="780" ht="14.1" customHeight="1"/>
    <row r="781" ht="14.1" customHeight="1"/>
    <row r="782" ht="14.1" customHeight="1"/>
    <row r="783" ht="14.1" customHeight="1"/>
    <row r="784" ht="14.1" customHeight="1"/>
    <row r="785" ht="14.1" customHeight="1"/>
    <row r="786" ht="14.1" customHeight="1"/>
    <row r="787" ht="14.1" customHeight="1"/>
    <row r="788" ht="14.1" customHeight="1"/>
    <row r="789" ht="14.1" customHeight="1"/>
    <row r="790" ht="14.1" customHeight="1"/>
    <row r="791" ht="14.1" customHeight="1"/>
    <row r="792" ht="14.1" customHeight="1"/>
    <row r="793" ht="14.1" customHeight="1"/>
  </sheetData>
  <pageMargins left="0.61" right="0.16" top="0.87" bottom="0.21" header="0.16" footer="0.16"/>
  <pageSetup paperSize="8" scale="39" orientation="portrait"/>
  <headerFooter alignWithMargins="0">
    <oddFooter>&amp;L_x000D_&amp;1#&amp;"Arial"&amp;7&amp;KDAD4CE Public&amp;C&amp;"Verdana"&amp;10 &amp;KC1C1C1_x000D_# Restricted</oddFooter>
  </headerFooter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>
    <tabColor rgb="FF92D050"/>
    <pageSetUpPr fitToPage="1"/>
  </sheetPr>
  <dimension ref="A1:U793"/>
  <sheetViews>
    <sheetView zoomScale="80" zoomScaleNormal="80" workbookViewId="0">
      <pane ySplit="4" topLeftCell="A5" activePane="bottomLeft" state="frozen"/>
      <selection activeCell="A16" sqref="A16"/>
      <selection pane="bottomLeft" activeCell="G5" sqref="G5:G56"/>
    </sheetView>
  </sheetViews>
  <sheetFormatPr defaultColWidth="8.85546875" defaultRowHeight="15" customHeight="1"/>
  <cols>
    <col min="1" max="1" width="4.140625" style="3" customWidth="1"/>
    <col min="2" max="3" width="8.5703125" style="20" customWidth="1"/>
    <col min="4" max="4" width="14.5703125" style="3" customWidth="1"/>
    <col min="5" max="5" width="20.5703125" style="20" customWidth="1"/>
    <col min="6" max="6" width="8.5703125" style="3" customWidth="1"/>
    <col min="7" max="7" width="32.5703125" style="2" customWidth="1"/>
    <col min="8" max="8" width="18.5703125" style="3" customWidth="1"/>
    <col min="9" max="9" width="62.5703125" style="2" customWidth="1"/>
    <col min="10" max="12" width="9.5703125" style="3" customWidth="1"/>
    <col min="13" max="13" width="10.5703125" style="3" customWidth="1"/>
    <col min="14" max="14" width="8.5703125" style="3" customWidth="1"/>
    <col min="15" max="15" width="10.5703125" style="3" customWidth="1"/>
    <col min="16" max="16" width="5.5703125" style="3" customWidth="1"/>
    <col min="17" max="17" width="1.5703125" style="2" customWidth="1"/>
    <col min="18" max="18" width="10.5703125" style="30" customWidth="1"/>
    <col min="19" max="19" width="1.5703125" style="2" customWidth="1"/>
    <col min="20" max="21" width="10.5703125" style="2" customWidth="1"/>
    <col min="22" max="218" width="8.85546875" style="2" customWidth="1"/>
    <col min="219" max="219" width="8.140625" style="2" customWidth="1"/>
    <col min="220" max="220" width="14.5703125" style="2" customWidth="1"/>
    <col min="221" max="221" width="37.42578125" style="2" customWidth="1"/>
    <col min="222" max="222" width="63.140625" style="2" customWidth="1"/>
    <col min="223" max="223" width="20" style="2" customWidth="1"/>
    <col min="224" max="224" width="11.140625" style="2" customWidth="1"/>
    <col min="225" max="225" width="10.85546875" style="2" customWidth="1"/>
    <col min="226" max="226" width="21" style="2" customWidth="1"/>
    <col min="227" max="227" width="10.85546875" style="2" customWidth="1"/>
    <col min="228" max="228" width="17.42578125" style="2" customWidth="1"/>
    <col min="229" max="229" width="14.85546875" style="2" customWidth="1"/>
    <col min="230" max="230" width="15" style="2" customWidth="1"/>
    <col min="231" max="231" width="14.85546875" style="2" customWidth="1"/>
    <col min="232" max="232" width="7.140625" style="2" customWidth="1"/>
    <col min="233" max="234" width="20.140625" style="2" customWidth="1"/>
    <col min="235" max="235" width="18.42578125" style="2" customWidth="1"/>
    <col min="236" max="236" width="9.140625" style="2" customWidth="1"/>
    <col min="237" max="237" width="12" style="2" customWidth="1"/>
    <col min="238" max="238" width="14.85546875" style="2" customWidth="1"/>
    <col min="239" max="239" width="22.42578125" style="2" customWidth="1"/>
    <col min="240" max="240" width="14.85546875" style="2" customWidth="1"/>
    <col min="241" max="241" width="7.140625" style="2" customWidth="1"/>
    <col min="242" max="242" width="20.140625" style="2" customWidth="1"/>
    <col min="243" max="474" width="8.85546875" style="2" customWidth="1"/>
    <col min="475" max="475" width="8.140625" style="2" customWidth="1"/>
    <col min="476" max="476" width="14.5703125" style="2" customWidth="1"/>
    <col min="477" max="477" width="37.42578125" style="2" customWidth="1"/>
    <col min="478" max="478" width="63.140625" style="2" customWidth="1"/>
    <col min="479" max="479" width="20" style="2" customWidth="1"/>
    <col min="480" max="480" width="11.140625" style="2" customWidth="1"/>
    <col min="481" max="481" width="10.85546875" style="2" customWidth="1"/>
    <col min="482" max="482" width="21" style="2" customWidth="1"/>
    <col min="483" max="483" width="10.85546875" style="2" customWidth="1"/>
    <col min="484" max="484" width="17.42578125" style="2" customWidth="1"/>
    <col min="485" max="485" width="14.85546875" style="2" customWidth="1"/>
    <col min="486" max="486" width="15" style="2" customWidth="1"/>
    <col min="487" max="487" width="14.85546875" style="2" customWidth="1"/>
    <col min="488" max="488" width="7.140625" style="2" customWidth="1"/>
    <col min="489" max="490" width="20.140625" style="2" customWidth="1"/>
    <col min="491" max="491" width="18.42578125" style="2" customWidth="1"/>
    <col min="492" max="492" width="9.140625" style="2" customWidth="1"/>
    <col min="493" max="493" width="12" style="2" customWidth="1"/>
    <col min="494" max="494" width="14.85546875" style="2" customWidth="1"/>
    <col min="495" max="495" width="22.42578125" style="2" customWidth="1"/>
    <col min="496" max="496" width="14.85546875" style="2" customWidth="1"/>
    <col min="497" max="497" width="7.140625" style="2" customWidth="1"/>
    <col min="498" max="498" width="20.140625" style="2" customWidth="1"/>
    <col min="499" max="730" width="8.85546875" style="2" customWidth="1"/>
    <col min="731" max="731" width="8.140625" style="2" customWidth="1"/>
    <col min="732" max="732" width="14.5703125" style="2" customWidth="1"/>
    <col min="733" max="733" width="37.42578125" style="2" customWidth="1"/>
    <col min="734" max="734" width="63.140625" style="2" customWidth="1"/>
    <col min="735" max="735" width="20" style="2" customWidth="1"/>
    <col min="736" max="736" width="11.140625" style="2" customWidth="1"/>
    <col min="737" max="737" width="10.85546875" style="2" customWidth="1"/>
    <col min="738" max="738" width="21" style="2" customWidth="1"/>
    <col min="739" max="739" width="10.85546875" style="2" customWidth="1"/>
    <col min="740" max="740" width="17.42578125" style="2" customWidth="1"/>
    <col min="741" max="741" width="14.85546875" style="2" customWidth="1"/>
    <col min="742" max="742" width="15" style="2" customWidth="1"/>
    <col min="743" max="743" width="14.85546875" style="2" customWidth="1"/>
    <col min="744" max="744" width="7.140625" style="2" customWidth="1"/>
    <col min="745" max="746" width="20.140625" style="2" customWidth="1"/>
    <col min="747" max="747" width="18.42578125" style="2" customWidth="1"/>
    <col min="748" max="748" width="9.140625" style="2" customWidth="1"/>
    <col min="749" max="749" width="12" style="2" customWidth="1"/>
    <col min="750" max="750" width="14.85546875" style="2" customWidth="1"/>
    <col min="751" max="751" width="22.42578125" style="2" customWidth="1"/>
    <col min="752" max="752" width="14.85546875" style="2" customWidth="1"/>
    <col min="753" max="753" width="7.140625" style="2" customWidth="1"/>
    <col min="754" max="754" width="20.140625" style="2" customWidth="1"/>
    <col min="755" max="986" width="8.85546875" style="2" customWidth="1"/>
    <col min="987" max="987" width="8.140625" style="2" customWidth="1"/>
    <col min="988" max="988" width="14.5703125" style="2" customWidth="1"/>
    <col min="989" max="989" width="37.42578125" style="2" customWidth="1"/>
    <col min="990" max="990" width="63.140625" style="2" customWidth="1"/>
    <col min="991" max="991" width="20" style="2" customWidth="1"/>
    <col min="992" max="992" width="11.140625" style="2" customWidth="1"/>
    <col min="993" max="993" width="10.85546875" style="2" customWidth="1"/>
    <col min="994" max="994" width="21" style="2" customWidth="1"/>
    <col min="995" max="995" width="10.85546875" style="2" customWidth="1"/>
    <col min="996" max="996" width="17.42578125" style="2" customWidth="1"/>
    <col min="997" max="997" width="14.85546875" style="2" customWidth="1"/>
    <col min="998" max="998" width="15" style="2" customWidth="1"/>
    <col min="999" max="999" width="14.85546875" style="2" customWidth="1"/>
    <col min="1000" max="1000" width="7.140625" style="2" customWidth="1"/>
    <col min="1001" max="1002" width="20.140625" style="2" customWidth="1"/>
    <col min="1003" max="1003" width="18.42578125" style="2" customWidth="1"/>
    <col min="1004" max="1004" width="9.140625" style="2" customWidth="1"/>
    <col min="1005" max="1005" width="12" style="2" customWidth="1"/>
    <col min="1006" max="1006" width="14.85546875" style="2" customWidth="1"/>
    <col min="1007" max="1007" width="22.42578125" style="2" customWidth="1"/>
    <col min="1008" max="1008" width="14.85546875" style="2" customWidth="1"/>
    <col min="1009" max="1009" width="7.140625" style="2" customWidth="1"/>
    <col min="1010" max="1010" width="20.140625" style="2" customWidth="1"/>
    <col min="1011" max="1242" width="8.85546875" style="2" customWidth="1"/>
    <col min="1243" max="1243" width="8.140625" style="2" customWidth="1"/>
    <col min="1244" max="1244" width="14.5703125" style="2" customWidth="1"/>
    <col min="1245" max="1245" width="37.42578125" style="2" customWidth="1"/>
    <col min="1246" max="1246" width="63.140625" style="2" customWidth="1"/>
    <col min="1247" max="1247" width="20" style="2" customWidth="1"/>
    <col min="1248" max="1248" width="11.140625" style="2" customWidth="1"/>
    <col min="1249" max="1249" width="10.85546875" style="2" customWidth="1"/>
    <col min="1250" max="1250" width="21" style="2" customWidth="1"/>
    <col min="1251" max="1251" width="10.85546875" style="2" customWidth="1"/>
    <col min="1252" max="1252" width="17.42578125" style="2" customWidth="1"/>
    <col min="1253" max="1253" width="14.85546875" style="2" customWidth="1"/>
    <col min="1254" max="1254" width="15" style="2" customWidth="1"/>
    <col min="1255" max="1255" width="14.85546875" style="2" customWidth="1"/>
    <col min="1256" max="1256" width="7.140625" style="2" customWidth="1"/>
    <col min="1257" max="1258" width="20.140625" style="2" customWidth="1"/>
    <col min="1259" max="1259" width="18.42578125" style="2" customWidth="1"/>
    <col min="1260" max="1260" width="9.140625" style="2" customWidth="1"/>
    <col min="1261" max="1261" width="12" style="2" customWidth="1"/>
    <col min="1262" max="1262" width="14.85546875" style="2" customWidth="1"/>
    <col min="1263" max="1263" width="22.42578125" style="2" customWidth="1"/>
    <col min="1264" max="1264" width="14.85546875" style="2" customWidth="1"/>
    <col min="1265" max="1265" width="7.140625" style="2" customWidth="1"/>
    <col min="1266" max="1266" width="20.140625" style="2" customWidth="1"/>
    <col min="1267" max="1498" width="8.85546875" style="2" customWidth="1"/>
    <col min="1499" max="1499" width="8.140625" style="2" customWidth="1"/>
    <col min="1500" max="1500" width="14.5703125" style="2" customWidth="1"/>
    <col min="1501" max="1501" width="37.42578125" style="2" customWidth="1"/>
    <col min="1502" max="1502" width="63.140625" style="2" customWidth="1"/>
    <col min="1503" max="1503" width="20" style="2" customWidth="1"/>
    <col min="1504" max="1504" width="11.140625" style="2" customWidth="1"/>
    <col min="1505" max="1505" width="10.85546875" style="2" customWidth="1"/>
    <col min="1506" max="1506" width="21" style="2" customWidth="1"/>
    <col min="1507" max="1507" width="10.85546875" style="2" customWidth="1"/>
    <col min="1508" max="1508" width="17.42578125" style="2" customWidth="1"/>
    <col min="1509" max="1509" width="14.85546875" style="2" customWidth="1"/>
    <col min="1510" max="1510" width="15" style="2" customWidth="1"/>
    <col min="1511" max="1511" width="14.85546875" style="2" customWidth="1"/>
    <col min="1512" max="1512" width="7.140625" style="2" customWidth="1"/>
    <col min="1513" max="1514" width="20.140625" style="2" customWidth="1"/>
    <col min="1515" max="1515" width="18.42578125" style="2" customWidth="1"/>
    <col min="1516" max="1516" width="9.140625" style="2" customWidth="1"/>
    <col min="1517" max="1517" width="12" style="2" customWidth="1"/>
    <col min="1518" max="1518" width="14.85546875" style="2" customWidth="1"/>
    <col min="1519" max="1519" width="22.42578125" style="2" customWidth="1"/>
    <col min="1520" max="1520" width="14.85546875" style="2" customWidth="1"/>
    <col min="1521" max="1521" width="7.140625" style="2" customWidth="1"/>
    <col min="1522" max="1522" width="20.140625" style="2" customWidth="1"/>
    <col min="1523" max="1754" width="8.85546875" style="2" customWidth="1"/>
    <col min="1755" max="1755" width="8.140625" style="2" customWidth="1"/>
    <col min="1756" max="1756" width="14.5703125" style="2" customWidth="1"/>
    <col min="1757" max="1757" width="37.42578125" style="2" customWidth="1"/>
    <col min="1758" max="1758" width="63.140625" style="2" customWidth="1"/>
    <col min="1759" max="1759" width="20" style="2" customWidth="1"/>
    <col min="1760" max="1760" width="11.140625" style="2" customWidth="1"/>
    <col min="1761" max="1761" width="10.85546875" style="2" customWidth="1"/>
    <col min="1762" max="1762" width="21" style="2" customWidth="1"/>
    <col min="1763" max="1763" width="10.85546875" style="2" customWidth="1"/>
    <col min="1764" max="1764" width="17.42578125" style="2" customWidth="1"/>
    <col min="1765" max="1765" width="14.85546875" style="2" customWidth="1"/>
    <col min="1766" max="1766" width="15" style="2" customWidth="1"/>
    <col min="1767" max="1767" width="14.85546875" style="2" customWidth="1"/>
    <col min="1768" max="1768" width="7.140625" style="2" customWidth="1"/>
    <col min="1769" max="1770" width="20.140625" style="2" customWidth="1"/>
    <col min="1771" max="1771" width="18.42578125" style="2" customWidth="1"/>
    <col min="1772" max="1772" width="9.140625" style="2" customWidth="1"/>
    <col min="1773" max="1773" width="12" style="2" customWidth="1"/>
    <col min="1774" max="1774" width="14.85546875" style="2" customWidth="1"/>
    <col min="1775" max="1775" width="22.42578125" style="2" customWidth="1"/>
    <col min="1776" max="1776" width="14.85546875" style="2" customWidth="1"/>
    <col min="1777" max="1777" width="7.140625" style="2" customWidth="1"/>
    <col min="1778" max="1778" width="20.140625" style="2" customWidth="1"/>
    <col min="1779" max="2010" width="8.85546875" style="2" customWidth="1"/>
    <col min="2011" max="2011" width="8.140625" style="2" customWidth="1"/>
    <col min="2012" max="2012" width="14.5703125" style="2" customWidth="1"/>
    <col min="2013" max="2013" width="37.42578125" style="2" customWidth="1"/>
    <col min="2014" max="2014" width="63.140625" style="2" customWidth="1"/>
    <col min="2015" max="2015" width="20" style="2" customWidth="1"/>
    <col min="2016" max="2016" width="11.140625" style="2" customWidth="1"/>
    <col min="2017" max="2017" width="10.85546875" style="2" customWidth="1"/>
    <col min="2018" max="2018" width="21" style="2" customWidth="1"/>
    <col min="2019" max="2019" width="10.85546875" style="2" customWidth="1"/>
    <col min="2020" max="2020" width="17.42578125" style="2" customWidth="1"/>
    <col min="2021" max="2021" width="14.85546875" style="2" customWidth="1"/>
    <col min="2022" max="2022" width="15" style="2" customWidth="1"/>
    <col min="2023" max="2023" width="14.85546875" style="2" customWidth="1"/>
    <col min="2024" max="2024" width="7.140625" style="2" customWidth="1"/>
    <col min="2025" max="2026" width="20.140625" style="2" customWidth="1"/>
    <col min="2027" max="2027" width="18.42578125" style="2" customWidth="1"/>
    <col min="2028" max="2028" width="9.140625" style="2" customWidth="1"/>
    <col min="2029" max="2029" width="12" style="2" customWidth="1"/>
    <col min="2030" max="2030" width="14.85546875" style="2" customWidth="1"/>
    <col min="2031" max="2031" width="22.42578125" style="2" customWidth="1"/>
    <col min="2032" max="2032" width="14.85546875" style="2" customWidth="1"/>
    <col min="2033" max="2033" width="7.140625" style="2" customWidth="1"/>
    <col min="2034" max="2034" width="20.140625" style="2" customWidth="1"/>
    <col min="2035" max="2266" width="8.85546875" style="2" customWidth="1"/>
    <col min="2267" max="2267" width="8.140625" style="2" customWidth="1"/>
    <col min="2268" max="2268" width="14.5703125" style="2" customWidth="1"/>
    <col min="2269" max="2269" width="37.42578125" style="2" customWidth="1"/>
    <col min="2270" max="2270" width="63.140625" style="2" customWidth="1"/>
    <col min="2271" max="2271" width="20" style="2" customWidth="1"/>
    <col min="2272" max="2272" width="11.140625" style="2" customWidth="1"/>
    <col min="2273" max="2273" width="10.85546875" style="2" customWidth="1"/>
    <col min="2274" max="2274" width="21" style="2" customWidth="1"/>
    <col min="2275" max="2275" width="10.85546875" style="2" customWidth="1"/>
    <col min="2276" max="2276" width="17.42578125" style="2" customWidth="1"/>
    <col min="2277" max="2277" width="14.85546875" style="2" customWidth="1"/>
    <col min="2278" max="2278" width="15" style="2" customWidth="1"/>
    <col min="2279" max="2279" width="14.85546875" style="2" customWidth="1"/>
    <col min="2280" max="2280" width="7.140625" style="2" customWidth="1"/>
    <col min="2281" max="2282" width="20.140625" style="2" customWidth="1"/>
    <col min="2283" max="2283" width="18.42578125" style="2" customWidth="1"/>
    <col min="2284" max="2284" width="9.140625" style="2" customWidth="1"/>
    <col min="2285" max="2285" width="12" style="2" customWidth="1"/>
    <col min="2286" max="2286" width="14.85546875" style="2" customWidth="1"/>
    <col min="2287" max="2287" width="22.42578125" style="2" customWidth="1"/>
    <col min="2288" max="2288" width="14.85546875" style="2" customWidth="1"/>
    <col min="2289" max="2289" width="7.140625" style="2" customWidth="1"/>
    <col min="2290" max="2290" width="20.140625" style="2" customWidth="1"/>
    <col min="2291" max="2522" width="8.85546875" style="2" customWidth="1"/>
    <col min="2523" max="2523" width="8.140625" style="2" customWidth="1"/>
    <col min="2524" max="2524" width="14.5703125" style="2" customWidth="1"/>
    <col min="2525" max="2525" width="37.42578125" style="2" customWidth="1"/>
    <col min="2526" max="2526" width="63.140625" style="2" customWidth="1"/>
    <col min="2527" max="2527" width="20" style="2" customWidth="1"/>
    <col min="2528" max="2528" width="11.140625" style="2" customWidth="1"/>
    <col min="2529" max="2529" width="10.85546875" style="2" customWidth="1"/>
    <col min="2530" max="2530" width="21" style="2" customWidth="1"/>
    <col min="2531" max="2531" width="10.85546875" style="2" customWidth="1"/>
    <col min="2532" max="2532" width="17.42578125" style="2" customWidth="1"/>
    <col min="2533" max="2533" width="14.85546875" style="2" customWidth="1"/>
    <col min="2534" max="2534" width="15" style="2" customWidth="1"/>
    <col min="2535" max="2535" width="14.85546875" style="2" customWidth="1"/>
    <col min="2536" max="2536" width="7.140625" style="2" customWidth="1"/>
    <col min="2537" max="2538" width="20.140625" style="2" customWidth="1"/>
    <col min="2539" max="2539" width="18.42578125" style="2" customWidth="1"/>
    <col min="2540" max="2540" width="9.140625" style="2" customWidth="1"/>
    <col min="2541" max="2541" width="12" style="2" customWidth="1"/>
    <col min="2542" max="2542" width="14.85546875" style="2" customWidth="1"/>
    <col min="2543" max="2543" width="22.42578125" style="2" customWidth="1"/>
    <col min="2544" max="2544" width="14.85546875" style="2" customWidth="1"/>
    <col min="2545" max="2545" width="7.140625" style="2" customWidth="1"/>
    <col min="2546" max="2546" width="20.140625" style="2" customWidth="1"/>
    <col min="2547" max="2778" width="8.85546875" style="2" customWidth="1"/>
    <col min="2779" max="2779" width="8.140625" style="2" customWidth="1"/>
    <col min="2780" max="2780" width="14.5703125" style="2" customWidth="1"/>
    <col min="2781" max="2781" width="37.42578125" style="2" customWidth="1"/>
    <col min="2782" max="2782" width="63.140625" style="2" customWidth="1"/>
    <col min="2783" max="2783" width="20" style="2" customWidth="1"/>
    <col min="2784" max="2784" width="11.140625" style="2" customWidth="1"/>
    <col min="2785" max="2785" width="10.85546875" style="2" customWidth="1"/>
    <col min="2786" max="2786" width="21" style="2" customWidth="1"/>
    <col min="2787" max="2787" width="10.85546875" style="2" customWidth="1"/>
    <col min="2788" max="2788" width="17.42578125" style="2" customWidth="1"/>
    <col min="2789" max="2789" width="14.85546875" style="2" customWidth="1"/>
    <col min="2790" max="2790" width="15" style="2" customWidth="1"/>
    <col min="2791" max="2791" width="14.85546875" style="2" customWidth="1"/>
    <col min="2792" max="2792" width="7.140625" style="2" customWidth="1"/>
    <col min="2793" max="2794" width="20.140625" style="2" customWidth="1"/>
    <col min="2795" max="2795" width="18.42578125" style="2" customWidth="1"/>
    <col min="2796" max="2796" width="9.140625" style="2" customWidth="1"/>
    <col min="2797" max="2797" width="12" style="2" customWidth="1"/>
    <col min="2798" max="2798" width="14.85546875" style="2" customWidth="1"/>
    <col min="2799" max="2799" width="22.42578125" style="2" customWidth="1"/>
    <col min="2800" max="2800" width="14.85546875" style="2" customWidth="1"/>
    <col min="2801" max="2801" width="7.140625" style="2" customWidth="1"/>
    <col min="2802" max="2802" width="20.140625" style="2" customWidth="1"/>
    <col min="2803" max="3034" width="8.85546875" style="2" customWidth="1"/>
    <col min="3035" max="3035" width="8.140625" style="2" customWidth="1"/>
    <col min="3036" max="3036" width="14.5703125" style="2" customWidth="1"/>
    <col min="3037" max="3037" width="37.42578125" style="2" customWidth="1"/>
    <col min="3038" max="3038" width="63.140625" style="2" customWidth="1"/>
    <col min="3039" max="3039" width="20" style="2" customWidth="1"/>
    <col min="3040" max="3040" width="11.140625" style="2" customWidth="1"/>
    <col min="3041" max="3041" width="10.85546875" style="2" customWidth="1"/>
    <col min="3042" max="3042" width="21" style="2" customWidth="1"/>
    <col min="3043" max="3043" width="10.85546875" style="2" customWidth="1"/>
    <col min="3044" max="3044" width="17.42578125" style="2" customWidth="1"/>
    <col min="3045" max="3045" width="14.85546875" style="2" customWidth="1"/>
    <col min="3046" max="3046" width="15" style="2" customWidth="1"/>
    <col min="3047" max="3047" width="14.85546875" style="2" customWidth="1"/>
    <col min="3048" max="3048" width="7.140625" style="2" customWidth="1"/>
    <col min="3049" max="3050" width="20.140625" style="2" customWidth="1"/>
    <col min="3051" max="3051" width="18.42578125" style="2" customWidth="1"/>
    <col min="3052" max="3052" width="9.140625" style="2" customWidth="1"/>
    <col min="3053" max="3053" width="12" style="2" customWidth="1"/>
    <col min="3054" max="3054" width="14.85546875" style="2" customWidth="1"/>
    <col min="3055" max="3055" width="22.42578125" style="2" customWidth="1"/>
    <col min="3056" max="3056" width="14.85546875" style="2" customWidth="1"/>
    <col min="3057" max="3057" width="7.140625" style="2" customWidth="1"/>
    <col min="3058" max="3058" width="20.140625" style="2" customWidth="1"/>
    <col min="3059" max="3290" width="8.85546875" style="2" customWidth="1"/>
    <col min="3291" max="3291" width="8.140625" style="2" customWidth="1"/>
    <col min="3292" max="3292" width="14.5703125" style="2" customWidth="1"/>
    <col min="3293" max="3293" width="37.42578125" style="2" customWidth="1"/>
    <col min="3294" max="3294" width="63.140625" style="2" customWidth="1"/>
    <col min="3295" max="3295" width="20" style="2" customWidth="1"/>
    <col min="3296" max="3296" width="11.140625" style="2" customWidth="1"/>
    <col min="3297" max="3297" width="10.85546875" style="2" customWidth="1"/>
    <col min="3298" max="3298" width="21" style="2" customWidth="1"/>
    <col min="3299" max="3299" width="10.85546875" style="2" customWidth="1"/>
    <col min="3300" max="3300" width="17.42578125" style="2" customWidth="1"/>
    <col min="3301" max="3301" width="14.85546875" style="2" customWidth="1"/>
    <col min="3302" max="3302" width="15" style="2" customWidth="1"/>
    <col min="3303" max="3303" width="14.85546875" style="2" customWidth="1"/>
    <col min="3304" max="3304" width="7.140625" style="2" customWidth="1"/>
    <col min="3305" max="3306" width="20.140625" style="2" customWidth="1"/>
    <col min="3307" max="3307" width="18.42578125" style="2" customWidth="1"/>
    <col min="3308" max="3308" width="9.140625" style="2" customWidth="1"/>
    <col min="3309" max="3309" width="12" style="2" customWidth="1"/>
    <col min="3310" max="3310" width="14.85546875" style="2" customWidth="1"/>
    <col min="3311" max="3311" width="22.42578125" style="2" customWidth="1"/>
    <col min="3312" max="3312" width="14.85546875" style="2" customWidth="1"/>
    <col min="3313" max="3313" width="7.140625" style="2" customWidth="1"/>
    <col min="3314" max="3314" width="20.140625" style="2" customWidth="1"/>
    <col min="3315" max="3546" width="8.85546875" style="2" customWidth="1"/>
    <col min="3547" max="3547" width="8.140625" style="2" customWidth="1"/>
    <col min="3548" max="3548" width="14.5703125" style="2" customWidth="1"/>
    <col min="3549" max="3549" width="37.42578125" style="2" customWidth="1"/>
    <col min="3550" max="3550" width="63.140625" style="2" customWidth="1"/>
    <col min="3551" max="3551" width="20" style="2" customWidth="1"/>
    <col min="3552" max="3552" width="11.140625" style="2" customWidth="1"/>
    <col min="3553" max="3553" width="10.85546875" style="2" customWidth="1"/>
    <col min="3554" max="3554" width="21" style="2" customWidth="1"/>
    <col min="3555" max="3555" width="10.85546875" style="2" customWidth="1"/>
    <col min="3556" max="3556" width="17.42578125" style="2" customWidth="1"/>
    <col min="3557" max="3557" width="14.85546875" style="2" customWidth="1"/>
    <col min="3558" max="3558" width="15" style="2" customWidth="1"/>
    <col min="3559" max="3559" width="14.85546875" style="2" customWidth="1"/>
    <col min="3560" max="3560" width="7.140625" style="2" customWidth="1"/>
    <col min="3561" max="3562" width="20.140625" style="2" customWidth="1"/>
    <col min="3563" max="3563" width="18.42578125" style="2" customWidth="1"/>
    <col min="3564" max="3564" width="9.140625" style="2" customWidth="1"/>
    <col min="3565" max="3565" width="12" style="2" customWidth="1"/>
    <col min="3566" max="3566" width="14.85546875" style="2" customWidth="1"/>
    <col min="3567" max="3567" width="22.42578125" style="2" customWidth="1"/>
    <col min="3568" max="3568" width="14.85546875" style="2" customWidth="1"/>
    <col min="3569" max="3569" width="7.140625" style="2" customWidth="1"/>
    <col min="3570" max="3570" width="20.140625" style="2" customWidth="1"/>
    <col min="3571" max="3802" width="8.85546875" style="2" customWidth="1"/>
    <col min="3803" max="3803" width="8.140625" style="2" customWidth="1"/>
    <col min="3804" max="3804" width="14.5703125" style="2" customWidth="1"/>
    <col min="3805" max="3805" width="37.42578125" style="2" customWidth="1"/>
    <col min="3806" max="3806" width="63.140625" style="2" customWidth="1"/>
    <col min="3807" max="3807" width="20" style="2" customWidth="1"/>
    <col min="3808" max="3808" width="11.140625" style="2" customWidth="1"/>
    <col min="3809" max="3809" width="10.85546875" style="2" customWidth="1"/>
    <col min="3810" max="3810" width="21" style="2" customWidth="1"/>
    <col min="3811" max="3811" width="10.85546875" style="2" customWidth="1"/>
    <col min="3812" max="3812" width="17.42578125" style="2" customWidth="1"/>
    <col min="3813" max="3813" width="14.85546875" style="2" customWidth="1"/>
    <col min="3814" max="3814" width="15" style="2" customWidth="1"/>
    <col min="3815" max="3815" width="14.85546875" style="2" customWidth="1"/>
    <col min="3816" max="3816" width="7.140625" style="2" customWidth="1"/>
    <col min="3817" max="3818" width="20.140625" style="2" customWidth="1"/>
    <col min="3819" max="3819" width="18.42578125" style="2" customWidth="1"/>
    <col min="3820" max="3820" width="9.140625" style="2" customWidth="1"/>
    <col min="3821" max="3821" width="12" style="2" customWidth="1"/>
    <col min="3822" max="3822" width="14.85546875" style="2" customWidth="1"/>
    <col min="3823" max="3823" width="22.42578125" style="2" customWidth="1"/>
    <col min="3824" max="3824" width="14.85546875" style="2" customWidth="1"/>
    <col min="3825" max="3825" width="7.140625" style="2" customWidth="1"/>
    <col min="3826" max="3826" width="20.140625" style="2" customWidth="1"/>
    <col min="3827" max="4058" width="8.85546875" style="2" customWidth="1"/>
    <col min="4059" max="4059" width="8.140625" style="2" customWidth="1"/>
    <col min="4060" max="4060" width="14.5703125" style="2" customWidth="1"/>
    <col min="4061" max="4061" width="37.42578125" style="2" customWidth="1"/>
    <col min="4062" max="4062" width="63.140625" style="2" customWidth="1"/>
    <col min="4063" max="4063" width="20" style="2" customWidth="1"/>
    <col min="4064" max="4064" width="11.140625" style="2" customWidth="1"/>
    <col min="4065" max="4065" width="10.85546875" style="2" customWidth="1"/>
    <col min="4066" max="4066" width="21" style="2" customWidth="1"/>
    <col min="4067" max="4067" width="10.85546875" style="2" customWidth="1"/>
    <col min="4068" max="4068" width="17.42578125" style="2" customWidth="1"/>
    <col min="4069" max="4069" width="14.85546875" style="2" customWidth="1"/>
    <col min="4070" max="4070" width="15" style="2" customWidth="1"/>
    <col min="4071" max="4071" width="14.85546875" style="2" customWidth="1"/>
    <col min="4072" max="4072" width="7.140625" style="2" customWidth="1"/>
    <col min="4073" max="4074" width="20.140625" style="2" customWidth="1"/>
    <col min="4075" max="4075" width="18.42578125" style="2" customWidth="1"/>
    <col min="4076" max="4076" width="9.140625" style="2" customWidth="1"/>
    <col min="4077" max="4077" width="12" style="2" customWidth="1"/>
    <col min="4078" max="4078" width="14.85546875" style="2" customWidth="1"/>
    <col min="4079" max="4079" width="22.42578125" style="2" customWidth="1"/>
    <col min="4080" max="4080" width="14.85546875" style="2" customWidth="1"/>
    <col min="4081" max="4081" width="7.140625" style="2" customWidth="1"/>
    <col min="4082" max="4082" width="20.140625" style="2" customWidth="1"/>
    <col min="4083" max="4314" width="8.85546875" style="2" customWidth="1"/>
    <col min="4315" max="4315" width="8.140625" style="2" customWidth="1"/>
    <col min="4316" max="4316" width="14.5703125" style="2" customWidth="1"/>
    <col min="4317" max="4317" width="37.42578125" style="2" customWidth="1"/>
    <col min="4318" max="4318" width="63.140625" style="2" customWidth="1"/>
    <col min="4319" max="4319" width="20" style="2" customWidth="1"/>
    <col min="4320" max="4320" width="11.140625" style="2" customWidth="1"/>
    <col min="4321" max="4321" width="10.85546875" style="2" customWidth="1"/>
    <col min="4322" max="4322" width="21" style="2" customWidth="1"/>
    <col min="4323" max="4323" width="10.85546875" style="2" customWidth="1"/>
    <col min="4324" max="4324" width="17.42578125" style="2" customWidth="1"/>
    <col min="4325" max="4325" width="14.85546875" style="2" customWidth="1"/>
    <col min="4326" max="4326" width="15" style="2" customWidth="1"/>
    <col min="4327" max="4327" width="14.85546875" style="2" customWidth="1"/>
    <col min="4328" max="4328" width="7.140625" style="2" customWidth="1"/>
    <col min="4329" max="4330" width="20.140625" style="2" customWidth="1"/>
    <col min="4331" max="4331" width="18.42578125" style="2" customWidth="1"/>
    <col min="4332" max="4332" width="9.140625" style="2" customWidth="1"/>
    <col min="4333" max="4333" width="12" style="2" customWidth="1"/>
    <col min="4334" max="4334" width="14.85546875" style="2" customWidth="1"/>
    <col min="4335" max="4335" width="22.42578125" style="2" customWidth="1"/>
    <col min="4336" max="4336" width="14.85546875" style="2" customWidth="1"/>
    <col min="4337" max="4337" width="7.140625" style="2" customWidth="1"/>
    <col min="4338" max="4338" width="20.140625" style="2" customWidth="1"/>
    <col min="4339" max="4570" width="8.85546875" style="2" customWidth="1"/>
    <col min="4571" max="4571" width="8.140625" style="2" customWidth="1"/>
    <col min="4572" max="4572" width="14.5703125" style="2" customWidth="1"/>
    <col min="4573" max="4573" width="37.42578125" style="2" customWidth="1"/>
    <col min="4574" max="4574" width="63.140625" style="2" customWidth="1"/>
    <col min="4575" max="4575" width="20" style="2" customWidth="1"/>
    <col min="4576" max="4576" width="11.140625" style="2" customWidth="1"/>
    <col min="4577" max="4577" width="10.85546875" style="2" customWidth="1"/>
    <col min="4578" max="4578" width="21" style="2" customWidth="1"/>
    <col min="4579" max="4579" width="10.85546875" style="2" customWidth="1"/>
    <col min="4580" max="4580" width="17.42578125" style="2" customWidth="1"/>
    <col min="4581" max="4581" width="14.85546875" style="2" customWidth="1"/>
    <col min="4582" max="4582" width="15" style="2" customWidth="1"/>
    <col min="4583" max="4583" width="14.85546875" style="2" customWidth="1"/>
    <col min="4584" max="4584" width="7.140625" style="2" customWidth="1"/>
    <col min="4585" max="4586" width="20.140625" style="2" customWidth="1"/>
    <col min="4587" max="4587" width="18.42578125" style="2" customWidth="1"/>
    <col min="4588" max="4588" width="9.140625" style="2" customWidth="1"/>
    <col min="4589" max="4589" width="12" style="2" customWidth="1"/>
    <col min="4590" max="4590" width="14.85546875" style="2" customWidth="1"/>
    <col min="4591" max="4591" width="22.42578125" style="2" customWidth="1"/>
    <col min="4592" max="4592" width="14.85546875" style="2" customWidth="1"/>
    <col min="4593" max="4593" width="7.140625" style="2" customWidth="1"/>
    <col min="4594" max="4594" width="20.140625" style="2" customWidth="1"/>
    <col min="4595" max="4826" width="8.85546875" style="2" customWidth="1"/>
    <col min="4827" max="4827" width="8.140625" style="2" customWidth="1"/>
    <col min="4828" max="4828" width="14.5703125" style="2" customWidth="1"/>
    <col min="4829" max="4829" width="37.42578125" style="2" customWidth="1"/>
    <col min="4830" max="4830" width="63.140625" style="2" customWidth="1"/>
    <col min="4831" max="4831" width="20" style="2" customWidth="1"/>
    <col min="4832" max="4832" width="11.140625" style="2" customWidth="1"/>
    <col min="4833" max="4833" width="10.85546875" style="2" customWidth="1"/>
    <col min="4834" max="4834" width="21" style="2" customWidth="1"/>
    <col min="4835" max="4835" width="10.85546875" style="2" customWidth="1"/>
    <col min="4836" max="4836" width="17.42578125" style="2" customWidth="1"/>
    <col min="4837" max="4837" width="14.85546875" style="2" customWidth="1"/>
    <col min="4838" max="4838" width="15" style="2" customWidth="1"/>
    <col min="4839" max="4839" width="14.85546875" style="2" customWidth="1"/>
    <col min="4840" max="4840" width="7.140625" style="2" customWidth="1"/>
    <col min="4841" max="4842" width="20.140625" style="2" customWidth="1"/>
    <col min="4843" max="4843" width="18.42578125" style="2" customWidth="1"/>
    <col min="4844" max="4844" width="9.140625" style="2" customWidth="1"/>
    <col min="4845" max="4845" width="12" style="2" customWidth="1"/>
    <col min="4846" max="4846" width="14.85546875" style="2" customWidth="1"/>
    <col min="4847" max="4847" width="22.42578125" style="2" customWidth="1"/>
    <col min="4848" max="4848" width="14.85546875" style="2" customWidth="1"/>
    <col min="4849" max="4849" width="7.140625" style="2" customWidth="1"/>
    <col min="4850" max="4850" width="20.140625" style="2" customWidth="1"/>
    <col min="4851" max="5082" width="8.85546875" style="2" customWidth="1"/>
    <col min="5083" max="5083" width="8.140625" style="2" customWidth="1"/>
    <col min="5084" max="5084" width="14.5703125" style="2" customWidth="1"/>
    <col min="5085" max="5085" width="37.42578125" style="2" customWidth="1"/>
    <col min="5086" max="5086" width="63.140625" style="2" customWidth="1"/>
    <col min="5087" max="5087" width="20" style="2" customWidth="1"/>
    <col min="5088" max="5088" width="11.140625" style="2" customWidth="1"/>
    <col min="5089" max="5089" width="10.85546875" style="2" customWidth="1"/>
    <col min="5090" max="5090" width="21" style="2" customWidth="1"/>
    <col min="5091" max="5091" width="10.85546875" style="2" customWidth="1"/>
    <col min="5092" max="5092" width="17.42578125" style="2" customWidth="1"/>
    <col min="5093" max="5093" width="14.85546875" style="2" customWidth="1"/>
    <col min="5094" max="5094" width="15" style="2" customWidth="1"/>
    <col min="5095" max="5095" width="14.85546875" style="2" customWidth="1"/>
    <col min="5096" max="5096" width="7.140625" style="2" customWidth="1"/>
    <col min="5097" max="5098" width="20.140625" style="2" customWidth="1"/>
    <col min="5099" max="5099" width="18.42578125" style="2" customWidth="1"/>
    <col min="5100" max="5100" width="9.140625" style="2" customWidth="1"/>
    <col min="5101" max="5101" width="12" style="2" customWidth="1"/>
    <col min="5102" max="5102" width="14.85546875" style="2" customWidth="1"/>
    <col min="5103" max="5103" width="22.42578125" style="2" customWidth="1"/>
    <col min="5104" max="5104" width="14.85546875" style="2" customWidth="1"/>
    <col min="5105" max="5105" width="7.140625" style="2" customWidth="1"/>
    <col min="5106" max="5106" width="20.140625" style="2" customWidth="1"/>
    <col min="5107" max="5338" width="8.85546875" style="2" customWidth="1"/>
    <col min="5339" max="5339" width="8.140625" style="2" customWidth="1"/>
    <col min="5340" max="5340" width="14.5703125" style="2" customWidth="1"/>
    <col min="5341" max="5341" width="37.42578125" style="2" customWidth="1"/>
    <col min="5342" max="5342" width="63.140625" style="2" customWidth="1"/>
    <col min="5343" max="5343" width="20" style="2" customWidth="1"/>
    <col min="5344" max="5344" width="11.140625" style="2" customWidth="1"/>
    <col min="5345" max="5345" width="10.85546875" style="2" customWidth="1"/>
    <col min="5346" max="5346" width="21" style="2" customWidth="1"/>
    <col min="5347" max="5347" width="10.85546875" style="2" customWidth="1"/>
    <col min="5348" max="5348" width="17.42578125" style="2" customWidth="1"/>
    <col min="5349" max="5349" width="14.85546875" style="2" customWidth="1"/>
    <col min="5350" max="5350" width="15" style="2" customWidth="1"/>
    <col min="5351" max="5351" width="14.85546875" style="2" customWidth="1"/>
    <col min="5352" max="5352" width="7.140625" style="2" customWidth="1"/>
    <col min="5353" max="5354" width="20.140625" style="2" customWidth="1"/>
    <col min="5355" max="5355" width="18.42578125" style="2" customWidth="1"/>
    <col min="5356" max="5356" width="9.140625" style="2" customWidth="1"/>
    <col min="5357" max="5357" width="12" style="2" customWidth="1"/>
    <col min="5358" max="5358" width="14.85546875" style="2" customWidth="1"/>
    <col min="5359" max="5359" width="22.42578125" style="2" customWidth="1"/>
    <col min="5360" max="5360" width="14.85546875" style="2" customWidth="1"/>
    <col min="5361" max="5361" width="7.140625" style="2" customWidth="1"/>
    <col min="5362" max="5362" width="20.140625" style="2" customWidth="1"/>
    <col min="5363" max="5594" width="8.85546875" style="2" customWidth="1"/>
    <col min="5595" max="5595" width="8.140625" style="2" customWidth="1"/>
    <col min="5596" max="5596" width="14.5703125" style="2" customWidth="1"/>
    <col min="5597" max="5597" width="37.42578125" style="2" customWidth="1"/>
    <col min="5598" max="5598" width="63.140625" style="2" customWidth="1"/>
    <col min="5599" max="5599" width="20" style="2" customWidth="1"/>
    <col min="5600" max="5600" width="11.140625" style="2" customWidth="1"/>
    <col min="5601" max="5601" width="10.85546875" style="2" customWidth="1"/>
    <col min="5602" max="5602" width="21" style="2" customWidth="1"/>
    <col min="5603" max="5603" width="10.85546875" style="2" customWidth="1"/>
    <col min="5604" max="5604" width="17.42578125" style="2" customWidth="1"/>
    <col min="5605" max="5605" width="14.85546875" style="2" customWidth="1"/>
    <col min="5606" max="5606" width="15" style="2" customWidth="1"/>
    <col min="5607" max="5607" width="14.85546875" style="2" customWidth="1"/>
    <col min="5608" max="5608" width="7.140625" style="2" customWidth="1"/>
    <col min="5609" max="5610" width="20.140625" style="2" customWidth="1"/>
    <col min="5611" max="5611" width="18.42578125" style="2" customWidth="1"/>
    <col min="5612" max="5612" width="9.140625" style="2" customWidth="1"/>
    <col min="5613" max="5613" width="12" style="2" customWidth="1"/>
    <col min="5614" max="5614" width="14.85546875" style="2" customWidth="1"/>
    <col min="5615" max="5615" width="22.42578125" style="2" customWidth="1"/>
    <col min="5616" max="5616" width="14.85546875" style="2" customWidth="1"/>
    <col min="5617" max="5617" width="7.140625" style="2" customWidth="1"/>
    <col min="5618" max="5618" width="20.140625" style="2" customWidth="1"/>
    <col min="5619" max="5850" width="8.85546875" style="2" customWidth="1"/>
    <col min="5851" max="5851" width="8.140625" style="2" customWidth="1"/>
    <col min="5852" max="5852" width="14.5703125" style="2" customWidth="1"/>
    <col min="5853" max="5853" width="37.42578125" style="2" customWidth="1"/>
    <col min="5854" max="5854" width="63.140625" style="2" customWidth="1"/>
    <col min="5855" max="5855" width="20" style="2" customWidth="1"/>
    <col min="5856" max="5856" width="11.140625" style="2" customWidth="1"/>
    <col min="5857" max="5857" width="10.85546875" style="2" customWidth="1"/>
    <col min="5858" max="5858" width="21" style="2" customWidth="1"/>
    <col min="5859" max="5859" width="10.85546875" style="2" customWidth="1"/>
    <col min="5860" max="5860" width="17.42578125" style="2" customWidth="1"/>
    <col min="5861" max="5861" width="14.85546875" style="2" customWidth="1"/>
    <col min="5862" max="5862" width="15" style="2" customWidth="1"/>
    <col min="5863" max="5863" width="14.85546875" style="2" customWidth="1"/>
    <col min="5864" max="5864" width="7.140625" style="2" customWidth="1"/>
    <col min="5865" max="5866" width="20.140625" style="2" customWidth="1"/>
    <col min="5867" max="5867" width="18.42578125" style="2" customWidth="1"/>
    <col min="5868" max="5868" width="9.140625" style="2" customWidth="1"/>
    <col min="5869" max="5869" width="12" style="2" customWidth="1"/>
    <col min="5870" max="5870" width="14.85546875" style="2" customWidth="1"/>
    <col min="5871" max="5871" width="22.42578125" style="2" customWidth="1"/>
    <col min="5872" max="5872" width="14.85546875" style="2" customWidth="1"/>
    <col min="5873" max="5873" width="7.140625" style="2" customWidth="1"/>
    <col min="5874" max="5874" width="20.140625" style="2" customWidth="1"/>
    <col min="5875" max="6106" width="8.85546875" style="2" customWidth="1"/>
    <col min="6107" max="6107" width="8.140625" style="2" customWidth="1"/>
    <col min="6108" max="6108" width="14.5703125" style="2" customWidth="1"/>
    <col min="6109" max="6109" width="37.42578125" style="2" customWidth="1"/>
    <col min="6110" max="6110" width="63.140625" style="2" customWidth="1"/>
    <col min="6111" max="6111" width="20" style="2" customWidth="1"/>
    <col min="6112" max="6112" width="11.140625" style="2" customWidth="1"/>
    <col min="6113" max="6113" width="10.85546875" style="2" customWidth="1"/>
    <col min="6114" max="6114" width="21" style="2" customWidth="1"/>
    <col min="6115" max="6115" width="10.85546875" style="2" customWidth="1"/>
    <col min="6116" max="6116" width="17.42578125" style="2" customWidth="1"/>
    <col min="6117" max="6117" width="14.85546875" style="2" customWidth="1"/>
    <col min="6118" max="6118" width="15" style="2" customWidth="1"/>
    <col min="6119" max="6119" width="14.85546875" style="2" customWidth="1"/>
    <col min="6120" max="6120" width="7.140625" style="2" customWidth="1"/>
    <col min="6121" max="6122" width="20.140625" style="2" customWidth="1"/>
    <col min="6123" max="6123" width="18.42578125" style="2" customWidth="1"/>
    <col min="6124" max="6124" width="9.140625" style="2" customWidth="1"/>
    <col min="6125" max="6125" width="12" style="2" customWidth="1"/>
    <col min="6126" max="6126" width="14.85546875" style="2" customWidth="1"/>
    <col min="6127" max="6127" width="22.42578125" style="2" customWidth="1"/>
    <col min="6128" max="6128" width="14.85546875" style="2" customWidth="1"/>
    <col min="6129" max="6129" width="7.140625" style="2" customWidth="1"/>
    <col min="6130" max="6130" width="20.140625" style="2" customWidth="1"/>
    <col min="6131" max="6362" width="8.85546875" style="2" customWidth="1"/>
    <col min="6363" max="6363" width="8.140625" style="2" customWidth="1"/>
    <col min="6364" max="6364" width="14.5703125" style="2" customWidth="1"/>
    <col min="6365" max="6365" width="37.42578125" style="2" customWidth="1"/>
    <col min="6366" max="6366" width="63.140625" style="2" customWidth="1"/>
    <col min="6367" max="6367" width="20" style="2" customWidth="1"/>
    <col min="6368" max="6368" width="11.140625" style="2" customWidth="1"/>
    <col min="6369" max="6369" width="10.85546875" style="2" customWidth="1"/>
    <col min="6370" max="6370" width="21" style="2" customWidth="1"/>
    <col min="6371" max="6371" width="10.85546875" style="2" customWidth="1"/>
    <col min="6372" max="6372" width="17.42578125" style="2" customWidth="1"/>
    <col min="6373" max="6373" width="14.85546875" style="2" customWidth="1"/>
    <col min="6374" max="6374" width="15" style="2" customWidth="1"/>
    <col min="6375" max="6375" width="14.85546875" style="2" customWidth="1"/>
    <col min="6376" max="6376" width="7.140625" style="2" customWidth="1"/>
    <col min="6377" max="6378" width="20.140625" style="2" customWidth="1"/>
    <col min="6379" max="6379" width="18.42578125" style="2" customWidth="1"/>
    <col min="6380" max="6380" width="9.140625" style="2" customWidth="1"/>
    <col min="6381" max="6381" width="12" style="2" customWidth="1"/>
    <col min="6382" max="6382" width="14.85546875" style="2" customWidth="1"/>
    <col min="6383" max="6383" width="22.42578125" style="2" customWidth="1"/>
    <col min="6384" max="6384" width="14.85546875" style="2" customWidth="1"/>
    <col min="6385" max="6385" width="7.140625" style="2" customWidth="1"/>
    <col min="6386" max="6386" width="20.140625" style="2" customWidth="1"/>
    <col min="6387" max="6618" width="8.85546875" style="2" customWidth="1"/>
    <col min="6619" max="6619" width="8.140625" style="2" customWidth="1"/>
    <col min="6620" max="6620" width="14.5703125" style="2" customWidth="1"/>
    <col min="6621" max="6621" width="37.42578125" style="2" customWidth="1"/>
    <col min="6622" max="6622" width="63.140625" style="2" customWidth="1"/>
    <col min="6623" max="6623" width="20" style="2" customWidth="1"/>
    <col min="6624" max="6624" width="11.140625" style="2" customWidth="1"/>
    <col min="6625" max="6625" width="10.85546875" style="2" customWidth="1"/>
    <col min="6626" max="6626" width="21" style="2" customWidth="1"/>
    <col min="6627" max="6627" width="10.85546875" style="2" customWidth="1"/>
    <col min="6628" max="6628" width="17.42578125" style="2" customWidth="1"/>
    <col min="6629" max="6629" width="14.85546875" style="2" customWidth="1"/>
    <col min="6630" max="6630" width="15" style="2" customWidth="1"/>
    <col min="6631" max="6631" width="14.85546875" style="2" customWidth="1"/>
    <col min="6632" max="6632" width="7.140625" style="2" customWidth="1"/>
    <col min="6633" max="6634" width="20.140625" style="2" customWidth="1"/>
    <col min="6635" max="6635" width="18.42578125" style="2" customWidth="1"/>
    <col min="6636" max="6636" width="9.140625" style="2" customWidth="1"/>
    <col min="6637" max="6637" width="12" style="2" customWidth="1"/>
    <col min="6638" max="6638" width="14.85546875" style="2" customWidth="1"/>
    <col min="6639" max="6639" width="22.42578125" style="2" customWidth="1"/>
    <col min="6640" max="6640" width="14.85546875" style="2" customWidth="1"/>
    <col min="6641" max="6641" width="7.140625" style="2" customWidth="1"/>
    <col min="6642" max="6642" width="20.140625" style="2" customWidth="1"/>
    <col min="6643" max="6874" width="8.85546875" style="2" customWidth="1"/>
    <col min="6875" max="6875" width="8.140625" style="2" customWidth="1"/>
    <col min="6876" max="6876" width="14.5703125" style="2" customWidth="1"/>
    <col min="6877" max="6877" width="37.42578125" style="2" customWidth="1"/>
    <col min="6878" max="6878" width="63.140625" style="2" customWidth="1"/>
    <col min="6879" max="6879" width="20" style="2" customWidth="1"/>
    <col min="6880" max="6880" width="11.140625" style="2" customWidth="1"/>
    <col min="6881" max="6881" width="10.85546875" style="2" customWidth="1"/>
    <col min="6882" max="6882" width="21" style="2" customWidth="1"/>
    <col min="6883" max="6883" width="10.85546875" style="2" customWidth="1"/>
    <col min="6884" max="6884" width="17.42578125" style="2" customWidth="1"/>
    <col min="6885" max="6885" width="14.85546875" style="2" customWidth="1"/>
    <col min="6886" max="6886" width="15" style="2" customWidth="1"/>
    <col min="6887" max="6887" width="14.85546875" style="2" customWidth="1"/>
    <col min="6888" max="6888" width="7.140625" style="2" customWidth="1"/>
    <col min="6889" max="6890" width="20.140625" style="2" customWidth="1"/>
    <col min="6891" max="6891" width="18.42578125" style="2" customWidth="1"/>
    <col min="6892" max="6892" width="9.140625" style="2" customWidth="1"/>
    <col min="6893" max="6893" width="12" style="2" customWidth="1"/>
    <col min="6894" max="6894" width="14.85546875" style="2" customWidth="1"/>
    <col min="6895" max="6895" width="22.42578125" style="2" customWidth="1"/>
    <col min="6896" max="6896" width="14.85546875" style="2" customWidth="1"/>
    <col min="6897" max="6897" width="7.140625" style="2" customWidth="1"/>
    <col min="6898" max="6898" width="20.140625" style="2" customWidth="1"/>
    <col min="6899" max="7130" width="8.85546875" style="2" customWidth="1"/>
    <col min="7131" max="7131" width="8.140625" style="2" customWidth="1"/>
    <col min="7132" max="7132" width="14.5703125" style="2" customWidth="1"/>
    <col min="7133" max="7133" width="37.42578125" style="2" customWidth="1"/>
    <col min="7134" max="7134" width="63.140625" style="2" customWidth="1"/>
    <col min="7135" max="7135" width="20" style="2" customWidth="1"/>
    <col min="7136" max="7136" width="11.140625" style="2" customWidth="1"/>
    <col min="7137" max="7137" width="10.85546875" style="2" customWidth="1"/>
    <col min="7138" max="7138" width="21" style="2" customWidth="1"/>
    <col min="7139" max="7139" width="10.85546875" style="2" customWidth="1"/>
    <col min="7140" max="7140" width="17.42578125" style="2" customWidth="1"/>
    <col min="7141" max="7141" width="14.85546875" style="2" customWidth="1"/>
    <col min="7142" max="7142" width="15" style="2" customWidth="1"/>
    <col min="7143" max="7143" width="14.85546875" style="2" customWidth="1"/>
    <col min="7144" max="7144" width="7.140625" style="2" customWidth="1"/>
    <col min="7145" max="7146" width="20.140625" style="2" customWidth="1"/>
    <col min="7147" max="7147" width="18.42578125" style="2" customWidth="1"/>
    <col min="7148" max="7148" width="9.140625" style="2" customWidth="1"/>
    <col min="7149" max="7149" width="12" style="2" customWidth="1"/>
    <col min="7150" max="7150" width="14.85546875" style="2" customWidth="1"/>
    <col min="7151" max="7151" width="22.42578125" style="2" customWidth="1"/>
    <col min="7152" max="7152" width="14.85546875" style="2" customWidth="1"/>
    <col min="7153" max="7153" width="7.140625" style="2" customWidth="1"/>
    <col min="7154" max="7154" width="20.140625" style="2" customWidth="1"/>
    <col min="7155" max="7386" width="8.85546875" style="2" customWidth="1"/>
    <col min="7387" max="7387" width="8.140625" style="2" customWidth="1"/>
    <col min="7388" max="7388" width="14.5703125" style="2" customWidth="1"/>
    <col min="7389" max="7389" width="37.42578125" style="2" customWidth="1"/>
    <col min="7390" max="7390" width="63.140625" style="2" customWidth="1"/>
    <col min="7391" max="7391" width="20" style="2" customWidth="1"/>
    <col min="7392" max="7392" width="11.140625" style="2" customWidth="1"/>
    <col min="7393" max="7393" width="10.85546875" style="2" customWidth="1"/>
    <col min="7394" max="7394" width="21" style="2" customWidth="1"/>
    <col min="7395" max="7395" width="10.85546875" style="2" customWidth="1"/>
    <col min="7396" max="7396" width="17.42578125" style="2" customWidth="1"/>
    <col min="7397" max="7397" width="14.85546875" style="2" customWidth="1"/>
    <col min="7398" max="7398" width="15" style="2" customWidth="1"/>
    <col min="7399" max="7399" width="14.85546875" style="2" customWidth="1"/>
    <col min="7400" max="7400" width="7.140625" style="2" customWidth="1"/>
    <col min="7401" max="7402" width="20.140625" style="2" customWidth="1"/>
    <col min="7403" max="7403" width="18.42578125" style="2" customWidth="1"/>
    <col min="7404" max="7404" width="9.140625" style="2" customWidth="1"/>
    <col min="7405" max="7405" width="12" style="2" customWidth="1"/>
    <col min="7406" max="7406" width="14.85546875" style="2" customWidth="1"/>
    <col min="7407" max="7407" width="22.42578125" style="2" customWidth="1"/>
    <col min="7408" max="7408" width="14.85546875" style="2" customWidth="1"/>
    <col min="7409" max="7409" width="7.140625" style="2" customWidth="1"/>
    <col min="7410" max="7410" width="20.140625" style="2" customWidth="1"/>
    <col min="7411" max="7642" width="8.85546875" style="2" customWidth="1"/>
    <col min="7643" max="7643" width="8.140625" style="2" customWidth="1"/>
    <col min="7644" max="7644" width="14.5703125" style="2" customWidth="1"/>
    <col min="7645" max="7645" width="37.42578125" style="2" customWidth="1"/>
    <col min="7646" max="7646" width="63.140625" style="2" customWidth="1"/>
    <col min="7647" max="7647" width="20" style="2" customWidth="1"/>
    <col min="7648" max="7648" width="11.140625" style="2" customWidth="1"/>
    <col min="7649" max="7649" width="10.85546875" style="2" customWidth="1"/>
    <col min="7650" max="7650" width="21" style="2" customWidth="1"/>
    <col min="7651" max="7651" width="10.85546875" style="2" customWidth="1"/>
    <col min="7652" max="7652" width="17.42578125" style="2" customWidth="1"/>
    <col min="7653" max="7653" width="14.85546875" style="2" customWidth="1"/>
    <col min="7654" max="7654" width="15" style="2" customWidth="1"/>
    <col min="7655" max="7655" width="14.85546875" style="2" customWidth="1"/>
    <col min="7656" max="7656" width="7.140625" style="2" customWidth="1"/>
    <col min="7657" max="7658" width="20.140625" style="2" customWidth="1"/>
    <col min="7659" max="7659" width="18.42578125" style="2" customWidth="1"/>
    <col min="7660" max="7660" width="9.140625" style="2" customWidth="1"/>
    <col min="7661" max="7661" width="12" style="2" customWidth="1"/>
    <col min="7662" max="7662" width="14.85546875" style="2" customWidth="1"/>
    <col min="7663" max="7663" width="22.42578125" style="2" customWidth="1"/>
    <col min="7664" max="7664" width="14.85546875" style="2" customWidth="1"/>
    <col min="7665" max="7665" width="7.140625" style="2" customWidth="1"/>
    <col min="7666" max="7666" width="20.140625" style="2" customWidth="1"/>
    <col min="7667" max="7898" width="8.85546875" style="2" customWidth="1"/>
    <col min="7899" max="7899" width="8.140625" style="2" customWidth="1"/>
    <col min="7900" max="7900" width="14.5703125" style="2" customWidth="1"/>
    <col min="7901" max="7901" width="37.42578125" style="2" customWidth="1"/>
    <col min="7902" max="7902" width="63.140625" style="2" customWidth="1"/>
    <col min="7903" max="7903" width="20" style="2" customWidth="1"/>
    <col min="7904" max="7904" width="11.140625" style="2" customWidth="1"/>
    <col min="7905" max="7905" width="10.85546875" style="2" customWidth="1"/>
    <col min="7906" max="7906" width="21" style="2" customWidth="1"/>
    <col min="7907" max="7907" width="10.85546875" style="2" customWidth="1"/>
    <col min="7908" max="7908" width="17.42578125" style="2" customWidth="1"/>
    <col min="7909" max="7909" width="14.85546875" style="2" customWidth="1"/>
    <col min="7910" max="7910" width="15" style="2" customWidth="1"/>
    <col min="7911" max="7911" width="14.85546875" style="2" customWidth="1"/>
    <col min="7912" max="7912" width="7.140625" style="2" customWidth="1"/>
    <col min="7913" max="7914" width="20.140625" style="2" customWidth="1"/>
    <col min="7915" max="7915" width="18.42578125" style="2" customWidth="1"/>
    <col min="7916" max="7916" width="9.140625" style="2" customWidth="1"/>
    <col min="7917" max="7917" width="12" style="2" customWidth="1"/>
    <col min="7918" max="7918" width="14.85546875" style="2" customWidth="1"/>
    <col min="7919" max="7919" width="22.42578125" style="2" customWidth="1"/>
    <col min="7920" max="7920" width="14.85546875" style="2" customWidth="1"/>
    <col min="7921" max="7921" width="7.140625" style="2" customWidth="1"/>
    <col min="7922" max="7922" width="20.140625" style="2" customWidth="1"/>
    <col min="7923" max="8154" width="8.85546875" style="2" customWidth="1"/>
    <col min="8155" max="8155" width="8.140625" style="2" customWidth="1"/>
    <col min="8156" max="8156" width="14.5703125" style="2" customWidth="1"/>
    <col min="8157" max="8157" width="37.42578125" style="2" customWidth="1"/>
    <col min="8158" max="8158" width="63.140625" style="2" customWidth="1"/>
    <col min="8159" max="8159" width="20" style="2" customWidth="1"/>
    <col min="8160" max="8160" width="11.140625" style="2" customWidth="1"/>
    <col min="8161" max="8161" width="10.85546875" style="2" customWidth="1"/>
    <col min="8162" max="8162" width="21" style="2" customWidth="1"/>
    <col min="8163" max="8163" width="10.85546875" style="2" customWidth="1"/>
    <col min="8164" max="8164" width="17.42578125" style="2" customWidth="1"/>
    <col min="8165" max="8165" width="14.85546875" style="2" customWidth="1"/>
    <col min="8166" max="8166" width="15" style="2" customWidth="1"/>
    <col min="8167" max="8167" width="14.85546875" style="2" customWidth="1"/>
    <col min="8168" max="8168" width="7.140625" style="2" customWidth="1"/>
    <col min="8169" max="8170" width="20.140625" style="2" customWidth="1"/>
    <col min="8171" max="8171" width="18.42578125" style="2" customWidth="1"/>
    <col min="8172" max="8172" width="9.140625" style="2" customWidth="1"/>
    <col min="8173" max="8173" width="12" style="2" customWidth="1"/>
    <col min="8174" max="8174" width="14.85546875" style="2" customWidth="1"/>
    <col min="8175" max="8175" width="22.42578125" style="2" customWidth="1"/>
    <col min="8176" max="8176" width="14.85546875" style="2" customWidth="1"/>
    <col min="8177" max="8177" width="7.140625" style="2" customWidth="1"/>
    <col min="8178" max="8178" width="20.140625" style="2" customWidth="1"/>
    <col min="8179" max="8410" width="8.85546875" style="2" customWidth="1"/>
    <col min="8411" max="8411" width="8.140625" style="2" customWidth="1"/>
    <col min="8412" max="8412" width="14.5703125" style="2" customWidth="1"/>
    <col min="8413" max="8413" width="37.42578125" style="2" customWidth="1"/>
    <col min="8414" max="8414" width="63.140625" style="2" customWidth="1"/>
    <col min="8415" max="8415" width="20" style="2" customWidth="1"/>
    <col min="8416" max="8416" width="11.140625" style="2" customWidth="1"/>
    <col min="8417" max="8417" width="10.85546875" style="2" customWidth="1"/>
    <col min="8418" max="8418" width="21" style="2" customWidth="1"/>
    <col min="8419" max="8419" width="10.85546875" style="2" customWidth="1"/>
    <col min="8420" max="8420" width="17.42578125" style="2" customWidth="1"/>
    <col min="8421" max="8421" width="14.85546875" style="2" customWidth="1"/>
    <col min="8422" max="8422" width="15" style="2" customWidth="1"/>
    <col min="8423" max="8423" width="14.85546875" style="2" customWidth="1"/>
    <col min="8424" max="8424" width="7.140625" style="2" customWidth="1"/>
    <col min="8425" max="8426" width="20.140625" style="2" customWidth="1"/>
    <col min="8427" max="8427" width="18.42578125" style="2" customWidth="1"/>
    <col min="8428" max="8428" width="9.140625" style="2" customWidth="1"/>
    <col min="8429" max="8429" width="12" style="2" customWidth="1"/>
    <col min="8430" max="8430" width="14.85546875" style="2" customWidth="1"/>
    <col min="8431" max="8431" width="22.42578125" style="2" customWidth="1"/>
    <col min="8432" max="8432" width="14.85546875" style="2" customWidth="1"/>
    <col min="8433" max="8433" width="7.140625" style="2" customWidth="1"/>
    <col min="8434" max="8434" width="20.140625" style="2" customWidth="1"/>
    <col min="8435" max="8666" width="8.85546875" style="2" customWidth="1"/>
    <col min="8667" max="8667" width="8.140625" style="2" customWidth="1"/>
    <col min="8668" max="8668" width="14.5703125" style="2" customWidth="1"/>
    <col min="8669" max="8669" width="37.42578125" style="2" customWidth="1"/>
    <col min="8670" max="8670" width="63.140625" style="2" customWidth="1"/>
    <col min="8671" max="8671" width="20" style="2" customWidth="1"/>
    <col min="8672" max="8672" width="11.140625" style="2" customWidth="1"/>
    <col min="8673" max="8673" width="10.85546875" style="2" customWidth="1"/>
    <col min="8674" max="8674" width="21" style="2" customWidth="1"/>
    <col min="8675" max="8675" width="10.85546875" style="2" customWidth="1"/>
    <col min="8676" max="8676" width="17.42578125" style="2" customWidth="1"/>
    <col min="8677" max="8677" width="14.85546875" style="2" customWidth="1"/>
    <col min="8678" max="8678" width="15" style="2" customWidth="1"/>
    <col min="8679" max="8679" width="14.85546875" style="2" customWidth="1"/>
    <col min="8680" max="8680" width="7.140625" style="2" customWidth="1"/>
    <col min="8681" max="8682" width="20.140625" style="2" customWidth="1"/>
    <col min="8683" max="8683" width="18.42578125" style="2" customWidth="1"/>
    <col min="8684" max="8684" width="9.140625" style="2" customWidth="1"/>
    <col min="8685" max="8685" width="12" style="2" customWidth="1"/>
    <col min="8686" max="8686" width="14.85546875" style="2" customWidth="1"/>
    <col min="8687" max="8687" width="22.42578125" style="2" customWidth="1"/>
    <col min="8688" max="8688" width="14.85546875" style="2" customWidth="1"/>
    <col min="8689" max="8689" width="7.140625" style="2" customWidth="1"/>
    <col min="8690" max="8690" width="20.140625" style="2" customWidth="1"/>
    <col min="8691" max="8922" width="8.85546875" style="2" customWidth="1"/>
    <col min="8923" max="8923" width="8.140625" style="2" customWidth="1"/>
    <col min="8924" max="8924" width="14.5703125" style="2" customWidth="1"/>
    <col min="8925" max="8925" width="37.42578125" style="2" customWidth="1"/>
    <col min="8926" max="8926" width="63.140625" style="2" customWidth="1"/>
    <col min="8927" max="8927" width="20" style="2" customWidth="1"/>
    <col min="8928" max="8928" width="11.140625" style="2" customWidth="1"/>
    <col min="8929" max="8929" width="10.85546875" style="2" customWidth="1"/>
    <col min="8930" max="8930" width="21" style="2" customWidth="1"/>
    <col min="8931" max="8931" width="10.85546875" style="2" customWidth="1"/>
    <col min="8932" max="8932" width="17.42578125" style="2" customWidth="1"/>
    <col min="8933" max="8933" width="14.85546875" style="2" customWidth="1"/>
    <col min="8934" max="8934" width="15" style="2" customWidth="1"/>
    <col min="8935" max="8935" width="14.85546875" style="2" customWidth="1"/>
    <col min="8936" max="8936" width="7.140625" style="2" customWidth="1"/>
    <col min="8937" max="8938" width="20.140625" style="2" customWidth="1"/>
    <col min="8939" max="8939" width="18.42578125" style="2" customWidth="1"/>
    <col min="8940" max="8940" width="9.140625" style="2" customWidth="1"/>
    <col min="8941" max="8941" width="12" style="2" customWidth="1"/>
    <col min="8942" max="8942" width="14.85546875" style="2" customWidth="1"/>
    <col min="8943" max="8943" width="22.42578125" style="2" customWidth="1"/>
    <col min="8944" max="8944" width="14.85546875" style="2" customWidth="1"/>
    <col min="8945" max="8945" width="7.140625" style="2" customWidth="1"/>
    <col min="8946" max="8946" width="20.140625" style="2" customWidth="1"/>
    <col min="8947" max="9178" width="8.85546875" style="2" customWidth="1"/>
    <col min="9179" max="9179" width="8.140625" style="2" customWidth="1"/>
    <col min="9180" max="9180" width="14.5703125" style="2" customWidth="1"/>
    <col min="9181" max="9181" width="37.42578125" style="2" customWidth="1"/>
    <col min="9182" max="9182" width="63.140625" style="2" customWidth="1"/>
    <col min="9183" max="9183" width="20" style="2" customWidth="1"/>
    <col min="9184" max="9184" width="11.140625" style="2" customWidth="1"/>
    <col min="9185" max="9185" width="10.85546875" style="2" customWidth="1"/>
    <col min="9186" max="9186" width="21" style="2" customWidth="1"/>
    <col min="9187" max="9187" width="10.85546875" style="2" customWidth="1"/>
    <col min="9188" max="9188" width="17.42578125" style="2" customWidth="1"/>
    <col min="9189" max="9189" width="14.85546875" style="2" customWidth="1"/>
    <col min="9190" max="9190" width="15" style="2" customWidth="1"/>
    <col min="9191" max="9191" width="14.85546875" style="2" customWidth="1"/>
    <col min="9192" max="9192" width="7.140625" style="2" customWidth="1"/>
    <col min="9193" max="9194" width="20.140625" style="2" customWidth="1"/>
    <col min="9195" max="9195" width="18.42578125" style="2" customWidth="1"/>
    <col min="9196" max="9196" width="9.140625" style="2" customWidth="1"/>
    <col min="9197" max="9197" width="12" style="2" customWidth="1"/>
    <col min="9198" max="9198" width="14.85546875" style="2" customWidth="1"/>
    <col min="9199" max="9199" width="22.42578125" style="2" customWidth="1"/>
    <col min="9200" max="9200" width="14.85546875" style="2" customWidth="1"/>
    <col min="9201" max="9201" width="7.140625" style="2" customWidth="1"/>
    <col min="9202" max="9202" width="20.140625" style="2" customWidth="1"/>
    <col min="9203" max="9434" width="8.85546875" style="2" customWidth="1"/>
    <col min="9435" max="9435" width="8.140625" style="2" customWidth="1"/>
    <col min="9436" max="9436" width="14.5703125" style="2" customWidth="1"/>
    <col min="9437" max="9437" width="37.42578125" style="2" customWidth="1"/>
    <col min="9438" max="9438" width="63.140625" style="2" customWidth="1"/>
    <col min="9439" max="9439" width="20" style="2" customWidth="1"/>
    <col min="9440" max="9440" width="11.140625" style="2" customWidth="1"/>
    <col min="9441" max="9441" width="10.85546875" style="2" customWidth="1"/>
    <col min="9442" max="9442" width="21" style="2" customWidth="1"/>
    <col min="9443" max="9443" width="10.85546875" style="2" customWidth="1"/>
    <col min="9444" max="9444" width="17.42578125" style="2" customWidth="1"/>
    <col min="9445" max="9445" width="14.85546875" style="2" customWidth="1"/>
    <col min="9446" max="9446" width="15" style="2" customWidth="1"/>
    <col min="9447" max="9447" width="14.85546875" style="2" customWidth="1"/>
    <col min="9448" max="9448" width="7.140625" style="2" customWidth="1"/>
    <col min="9449" max="9450" width="20.140625" style="2" customWidth="1"/>
    <col min="9451" max="9451" width="18.42578125" style="2" customWidth="1"/>
    <col min="9452" max="9452" width="9.140625" style="2" customWidth="1"/>
    <col min="9453" max="9453" width="12" style="2" customWidth="1"/>
    <col min="9454" max="9454" width="14.85546875" style="2" customWidth="1"/>
    <col min="9455" max="9455" width="22.42578125" style="2" customWidth="1"/>
    <col min="9456" max="9456" width="14.85546875" style="2" customWidth="1"/>
    <col min="9457" max="9457" width="7.140625" style="2" customWidth="1"/>
    <col min="9458" max="9458" width="20.140625" style="2" customWidth="1"/>
    <col min="9459" max="9690" width="8.85546875" style="2" customWidth="1"/>
    <col min="9691" max="9691" width="8.140625" style="2" customWidth="1"/>
    <col min="9692" max="9692" width="14.5703125" style="2" customWidth="1"/>
    <col min="9693" max="9693" width="37.42578125" style="2" customWidth="1"/>
    <col min="9694" max="9694" width="63.140625" style="2" customWidth="1"/>
    <col min="9695" max="9695" width="20" style="2" customWidth="1"/>
    <col min="9696" max="9696" width="11.140625" style="2" customWidth="1"/>
    <col min="9697" max="9697" width="10.85546875" style="2" customWidth="1"/>
    <col min="9698" max="9698" width="21" style="2" customWidth="1"/>
    <col min="9699" max="9699" width="10.85546875" style="2" customWidth="1"/>
    <col min="9700" max="9700" width="17.42578125" style="2" customWidth="1"/>
    <col min="9701" max="9701" width="14.85546875" style="2" customWidth="1"/>
    <col min="9702" max="9702" width="15" style="2" customWidth="1"/>
    <col min="9703" max="9703" width="14.85546875" style="2" customWidth="1"/>
    <col min="9704" max="9704" width="7.140625" style="2" customWidth="1"/>
    <col min="9705" max="9706" width="20.140625" style="2" customWidth="1"/>
    <col min="9707" max="9707" width="18.42578125" style="2" customWidth="1"/>
    <col min="9708" max="9708" width="9.140625" style="2" customWidth="1"/>
    <col min="9709" max="9709" width="12" style="2" customWidth="1"/>
    <col min="9710" max="9710" width="14.85546875" style="2" customWidth="1"/>
    <col min="9711" max="9711" width="22.42578125" style="2" customWidth="1"/>
    <col min="9712" max="9712" width="14.85546875" style="2" customWidth="1"/>
    <col min="9713" max="9713" width="7.140625" style="2" customWidth="1"/>
    <col min="9714" max="9714" width="20.140625" style="2" customWidth="1"/>
    <col min="9715" max="9946" width="8.85546875" style="2" customWidth="1"/>
    <col min="9947" max="9947" width="8.140625" style="2" customWidth="1"/>
    <col min="9948" max="9948" width="14.5703125" style="2" customWidth="1"/>
    <col min="9949" max="9949" width="37.42578125" style="2" customWidth="1"/>
    <col min="9950" max="9950" width="63.140625" style="2" customWidth="1"/>
    <col min="9951" max="9951" width="20" style="2" customWidth="1"/>
    <col min="9952" max="9952" width="11.140625" style="2" customWidth="1"/>
    <col min="9953" max="9953" width="10.85546875" style="2" customWidth="1"/>
    <col min="9954" max="9954" width="21" style="2" customWidth="1"/>
    <col min="9955" max="9955" width="10.85546875" style="2" customWidth="1"/>
    <col min="9956" max="9956" width="17.42578125" style="2" customWidth="1"/>
    <col min="9957" max="9957" width="14.85546875" style="2" customWidth="1"/>
    <col min="9958" max="9958" width="15" style="2" customWidth="1"/>
    <col min="9959" max="9959" width="14.85546875" style="2" customWidth="1"/>
    <col min="9960" max="9960" width="7.140625" style="2" customWidth="1"/>
    <col min="9961" max="9962" width="20.140625" style="2" customWidth="1"/>
    <col min="9963" max="9963" width="18.42578125" style="2" customWidth="1"/>
    <col min="9964" max="9964" width="9.140625" style="2" customWidth="1"/>
    <col min="9965" max="9965" width="12" style="2" customWidth="1"/>
    <col min="9966" max="9966" width="14.85546875" style="2" customWidth="1"/>
    <col min="9967" max="9967" width="22.42578125" style="2" customWidth="1"/>
    <col min="9968" max="9968" width="14.85546875" style="2" customWidth="1"/>
    <col min="9969" max="9969" width="7.140625" style="2" customWidth="1"/>
    <col min="9970" max="9970" width="20.140625" style="2" customWidth="1"/>
    <col min="9971" max="10202" width="8.85546875" style="2" customWidth="1"/>
    <col min="10203" max="10203" width="8.140625" style="2" customWidth="1"/>
    <col min="10204" max="10204" width="14.5703125" style="2" customWidth="1"/>
    <col min="10205" max="10205" width="37.42578125" style="2" customWidth="1"/>
    <col min="10206" max="10206" width="63.140625" style="2" customWidth="1"/>
    <col min="10207" max="10207" width="20" style="2" customWidth="1"/>
    <col min="10208" max="10208" width="11.140625" style="2" customWidth="1"/>
    <col min="10209" max="10209" width="10.85546875" style="2" customWidth="1"/>
    <col min="10210" max="10210" width="21" style="2" customWidth="1"/>
    <col min="10211" max="10211" width="10.85546875" style="2" customWidth="1"/>
    <col min="10212" max="10212" width="17.42578125" style="2" customWidth="1"/>
    <col min="10213" max="10213" width="14.85546875" style="2" customWidth="1"/>
    <col min="10214" max="10214" width="15" style="2" customWidth="1"/>
    <col min="10215" max="10215" width="14.85546875" style="2" customWidth="1"/>
    <col min="10216" max="10216" width="7.140625" style="2" customWidth="1"/>
    <col min="10217" max="10218" width="20.140625" style="2" customWidth="1"/>
    <col min="10219" max="10219" width="18.42578125" style="2" customWidth="1"/>
    <col min="10220" max="10220" width="9.140625" style="2" customWidth="1"/>
    <col min="10221" max="10221" width="12" style="2" customWidth="1"/>
    <col min="10222" max="10222" width="14.85546875" style="2" customWidth="1"/>
    <col min="10223" max="10223" width="22.42578125" style="2" customWidth="1"/>
    <col min="10224" max="10224" width="14.85546875" style="2" customWidth="1"/>
    <col min="10225" max="10225" width="7.140625" style="2" customWidth="1"/>
    <col min="10226" max="10226" width="20.140625" style="2" customWidth="1"/>
    <col min="10227" max="10458" width="8.85546875" style="2" customWidth="1"/>
    <col min="10459" max="10459" width="8.140625" style="2" customWidth="1"/>
    <col min="10460" max="10460" width="14.5703125" style="2" customWidth="1"/>
    <col min="10461" max="10461" width="37.42578125" style="2" customWidth="1"/>
    <col min="10462" max="10462" width="63.140625" style="2" customWidth="1"/>
    <col min="10463" max="10463" width="20" style="2" customWidth="1"/>
    <col min="10464" max="10464" width="11.140625" style="2" customWidth="1"/>
    <col min="10465" max="10465" width="10.85546875" style="2" customWidth="1"/>
    <col min="10466" max="10466" width="21" style="2" customWidth="1"/>
    <col min="10467" max="10467" width="10.85546875" style="2" customWidth="1"/>
    <col min="10468" max="10468" width="17.42578125" style="2" customWidth="1"/>
    <col min="10469" max="10469" width="14.85546875" style="2" customWidth="1"/>
    <col min="10470" max="10470" width="15" style="2" customWidth="1"/>
    <col min="10471" max="10471" width="14.85546875" style="2" customWidth="1"/>
    <col min="10472" max="10472" width="7.140625" style="2" customWidth="1"/>
    <col min="10473" max="10474" width="20.140625" style="2" customWidth="1"/>
    <col min="10475" max="10475" width="18.42578125" style="2" customWidth="1"/>
    <col min="10476" max="10476" width="9.140625" style="2" customWidth="1"/>
    <col min="10477" max="10477" width="12" style="2" customWidth="1"/>
    <col min="10478" max="10478" width="14.85546875" style="2" customWidth="1"/>
    <col min="10479" max="10479" width="22.42578125" style="2" customWidth="1"/>
    <col min="10480" max="10480" width="14.85546875" style="2" customWidth="1"/>
    <col min="10481" max="10481" width="7.140625" style="2" customWidth="1"/>
    <col min="10482" max="10482" width="20.140625" style="2" customWidth="1"/>
    <col min="10483" max="10714" width="8.85546875" style="2" customWidth="1"/>
    <col min="10715" max="10715" width="8.140625" style="2" customWidth="1"/>
    <col min="10716" max="10716" width="14.5703125" style="2" customWidth="1"/>
    <col min="10717" max="10717" width="37.42578125" style="2" customWidth="1"/>
    <col min="10718" max="10718" width="63.140625" style="2" customWidth="1"/>
    <col min="10719" max="10719" width="20" style="2" customWidth="1"/>
    <col min="10720" max="10720" width="11.140625" style="2" customWidth="1"/>
    <col min="10721" max="10721" width="10.85546875" style="2" customWidth="1"/>
    <col min="10722" max="10722" width="21" style="2" customWidth="1"/>
    <col min="10723" max="10723" width="10.85546875" style="2" customWidth="1"/>
    <col min="10724" max="10724" width="17.42578125" style="2" customWidth="1"/>
    <col min="10725" max="10725" width="14.85546875" style="2" customWidth="1"/>
    <col min="10726" max="10726" width="15" style="2" customWidth="1"/>
    <col min="10727" max="10727" width="14.85546875" style="2" customWidth="1"/>
    <col min="10728" max="10728" width="7.140625" style="2" customWidth="1"/>
    <col min="10729" max="10730" width="20.140625" style="2" customWidth="1"/>
    <col min="10731" max="10731" width="18.42578125" style="2" customWidth="1"/>
    <col min="10732" max="10732" width="9.140625" style="2" customWidth="1"/>
    <col min="10733" max="10733" width="12" style="2" customWidth="1"/>
    <col min="10734" max="10734" width="14.85546875" style="2" customWidth="1"/>
    <col min="10735" max="10735" width="22.42578125" style="2" customWidth="1"/>
    <col min="10736" max="10736" width="14.85546875" style="2" customWidth="1"/>
    <col min="10737" max="10737" width="7.140625" style="2" customWidth="1"/>
    <col min="10738" max="10738" width="20.140625" style="2" customWidth="1"/>
    <col min="10739" max="10970" width="8.85546875" style="2" customWidth="1"/>
    <col min="10971" max="10971" width="8.140625" style="2" customWidth="1"/>
    <col min="10972" max="10972" width="14.5703125" style="2" customWidth="1"/>
    <col min="10973" max="10973" width="37.42578125" style="2" customWidth="1"/>
    <col min="10974" max="10974" width="63.140625" style="2" customWidth="1"/>
    <col min="10975" max="10975" width="20" style="2" customWidth="1"/>
    <col min="10976" max="10976" width="11.140625" style="2" customWidth="1"/>
    <col min="10977" max="10977" width="10.85546875" style="2" customWidth="1"/>
    <col min="10978" max="10978" width="21" style="2" customWidth="1"/>
    <col min="10979" max="10979" width="10.85546875" style="2" customWidth="1"/>
    <col min="10980" max="10980" width="17.42578125" style="2" customWidth="1"/>
    <col min="10981" max="10981" width="14.85546875" style="2" customWidth="1"/>
    <col min="10982" max="10982" width="15" style="2" customWidth="1"/>
    <col min="10983" max="10983" width="14.85546875" style="2" customWidth="1"/>
    <col min="10984" max="10984" width="7.140625" style="2" customWidth="1"/>
    <col min="10985" max="10986" width="20.140625" style="2" customWidth="1"/>
    <col min="10987" max="10987" width="18.42578125" style="2" customWidth="1"/>
    <col min="10988" max="10988" width="9.140625" style="2" customWidth="1"/>
    <col min="10989" max="10989" width="12" style="2" customWidth="1"/>
    <col min="10990" max="10990" width="14.85546875" style="2" customWidth="1"/>
    <col min="10991" max="10991" width="22.42578125" style="2" customWidth="1"/>
    <col min="10992" max="10992" width="14.85546875" style="2" customWidth="1"/>
    <col min="10993" max="10993" width="7.140625" style="2" customWidth="1"/>
    <col min="10994" max="10994" width="20.140625" style="2" customWidth="1"/>
    <col min="10995" max="11226" width="8.85546875" style="2" customWidth="1"/>
    <col min="11227" max="11227" width="8.140625" style="2" customWidth="1"/>
    <col min="11228" max="11228" width="14.5703125" style="2" customWidth="1"/>
    <col min="11229" max="11229" width="37.42578125" style="2" customWidth="1"/>
    <col min="11230" max="11230" width="63.140625" style="2" customWidth="1"/>
    <col min="11231" max="11231" width="20" style="2" customWidth="1"/>
    <col min="11232" max="11232" width="11.140625" style="2" customWidth="1"/>
    <col min="11233" max="11233" width="10.85546875" style="2" customWidth="1"/>
    <col min="11234" max="11234" width="21" style="2" customWidth="1"/>
    <col min="11235" max="11235" width="10.85546875" style="2" customWidth="1"/>
    <col min="11236" max="11236" width="17.42578125" style="2" customWidth="1"/>
    <col min="11237" max="11237" width="14.85546875" style="2" customWidth="1"/>
    <col min="11238" max="11238" width="15" style="2" customWidth="1"/>
    <col min="11239" max="11239" width="14.85546875" style="2" customWidth="1"/>
    <col min="11240" max="11240" width="7.140625" style="2" customWidth="1"/>
    <col min="11241" max="11242" width="20.140625" style="2" customWidth="1"/>
    <col min="11243" max="11243" width="18.42578125" style="2" customWidth="1"/>
    <col min="11244" max="11244" width="9.140625" style="2" customWidth="1"/>
    <col min="11245" max="11245" width="12" style="2" customWidth="1"/>
    <col min="11246" max="11246" width="14.85546875" style="2" customWidth="1"/>
    <col min="11247" max="11247" width="22.42578125" style="2" customWidth="1"/>
    <col min="11248" max="11248" width="14.85546875" style="2" customWidth="1"/>
    <col min="11249" max="11249" width="7.140625" style="2" customWidth="1"/>
    <col min="11250" max="11250" width="20.140625" style="2" customWidth="1"/>
    <col min="11251" max="11482" width="8.85546875" style="2" customWidth="1"/>
    <col min="11483" max="11483" width="8.140625" style="2" customWidth="1"/>
    <col min="11484" max="11484" width="14.5703125" style="2" customWidth="1"/>
    <col min="11485" max="11485" width="37.42578125" style="2" customWidth="1"/>
    <col min="11486" max="11486" width="63.140625" style="2" customWidth="1"/>
    <col min="11487" max="11487" width="20" style="2" customWidth="1"/>
    <col min="11488" max="11488" width="11.140625" style="2" customWidth="1"/>
    <col min="11489" max="11489" width="10.85546875" style="2" customWidth="1"/>
    <col min="11490" max="11490" width="21" style="2" customWidth="1"/>
    <col min="11491" max="11491" width="10.85546875" style="2" customWidth="1"/>
    <col min="11492" max="11492" width="17.42578125" style="2" customWidth="1"/>
    <col min="11493" max="11493" width="14.85546875" style="2" customWidth="1"/>
    <col min="11494" max="11494" width="15" style="2" customWidth="1"/>
    <col min="11495" max="11495" width="14.85546875" style="2" customWidth="1"/>
    <col min="11496" max="11496" width="7.140625" style="2" customWidth="1"/>
    <col min="11497" max="11498" width="20.140625" style="2" customWidth="1"/>
    <col min="11499" max="11499" width="18.42578125" style="2" customWidth="1"/>
    <col min="11500" max="11500" width="9.140625" style="2" customWidth="1"/>
    <col min="11501" max="11501" width="12" style="2" customWidth="1"/>
    <col min="11502" max="11502" width="14.85546875" style="2" customWidth="1"/>
    <col min="11503" max="11503" width="22.42578125" style="2" customWidth="1"/>
    <col min="11504" max="11504" width="14.85546875" style="2" customWidth="1"/>
    <col min="11505" max="11505" width="7.140625" style="2" customWidth="1"/>
    <col min="11506" max="11506" width="20.140625" style="2" customWidth="1"/>
    <col min="11507" max="11738" width="8.85546875" style="2" customWidth="1"/>
    <col min="11739" max="11739" width="8.140625" style="2" customWidth="1"/>
    <col min="11740" max="11740" width="14.5703125" style="2" customWidth="1"/>
    <col min="11741" max="11741" width="37.42578125" style="2" customWidth="1"/>
    <col min="11742" max="11742" width="63.140625" style="2" customWidth="1"/>
    <col min="11743" max="11743" width="20" style="2" customWidth="1"/>
    <col min="11744" max="11744" width="11.140625" style="2" customWidth="1"/>
    <col min="11745" max="11745" width="10.85546875" style="2" customWidth="1"/>
    <col min="11746" max="11746" width="21" style="2" customWidth="1"/>
    <col min="11747" max="11747" width="10.85546875" style="2" customWidth="1"/>
    <col min="11748" max="11748" width="17.42578125" style="2" customWidth="1"/>
    <col min="11749" max="11749" width="14.85546875" style="2" customWidth="1"/>
    <col min="11750" max="11750" width="15" style="2" customWidth="1"/>
    <col min="11751" max="11751" width="14.85546875" style="2" customWidth="1"/>
    <col min="11752" max="11752" width="7.140625" style="2" customWidth="1"/>
    <col min="11753" max="11754" width="20.140625" style="2" customWidth="1"/>
    <col min="11755" max="11755" width="18.42578125" style="2" customWidth="1"/>
    <col min="11756" max="11756" width="9.140625" style="2" customWidth="1"/>
    <col min="11757" max="11757" width="12" style="2" customWidth="1"/>
    <col min="11758" max="11758" width="14.85546875" style="2" customWidth="1"/>
    <col min="11759" max="11759" width="22.42578125" style="2" customWidth="1"/>
    <col min="11760" max="11760" width="14.85546875" style="2" customWidth="1"/>
    <col min="11761" max="11761" width="7.140625" style="2" customWidth="1"/>
    <col min="11762" max="11762" width="20.140625" style="2" customWidth="1"/>
    <col min="11763" max="11994" width="8.85546875" style="2" customWidth="1"/>
    <col min="11995" max="11995" width="8.140625" style="2" customWidth="1"/>
    <col min="11996" max="11996" width="14.5703125" style="2" customWidth="1"/>
    <col min="11997" max="11997" width="37.42578125" style="2" customWidth="1"/>
    <col min="11998" max="11998" width="63.140625" style="2" customWidth="1"/>
    <col min="11999" max="11999" width="20" style="2" customWidth="1"/>
    <col min="12000" max="12000" width="11.140625" style="2" customWidth="1"/>
    <col min="12001" max="12001" width="10.85546875" style="2" customWidth="1"/>
    <col min="12002" max="12002" width="21" style="2" customWidth="1"/>
    <col min="12003" max="12003" width="10.85546875" style="2" customWidth="1"/>
    <col min="12004" max="12004" width="17.42578125" style="2" customWidth="1"/>
    <col min="12005" max="12005" width="14.85546875" style="2" customWidth="1"/>
    <col min="12006" max="12006" width="15" style="2" customWidth="1"/>
    <col min="12007" max="12007" width="14.85546875" style="2" customWidth="1"/>
    <col min="12008" max="12008" width="7.140625" style="2" customWidth="1"/>
    <col min="12009" max="12010" width="20.140625" style="2" customWidth="1"/>
    <col min="12011" max="12011" width="18.42578125" style="2" customWidth="1"/>
    <col min="12012" max="12012" width="9.140625" style="2" customWidth="1"/>
    <col min="12013" max="12013" width="12" style="2" customWidth="1"/>
    <col min="12014" max="12014" width="14.85546875" style="2" customWidth="1"/>
    <col min="12015" max="12015" width="22.42578125" style="2" customWidth="1"/>
    <col min="12016" max="12016" width="14.85546875" style="2" customWidth="1"/>
    <col min="12017" max="12017" width="7.140625" style="2" customWidth="1"/>
    <col min="12018" max="12018" width="20.140625" style="2" customWidth="1"/>
    <col min="12019" max="12250" width="8.85546875" style="2" customWidth="1"/>
    <col min="12251" max="12251" width="8.140625" style="2" customWidth="1"/>
    <col min="12252" max="12252" width="14.5703125" style="2" customWidth="1"/>
    <col min="12253" max="12253" width="37.42578125" style="2" customWidth="1"/>
    <col min="12254" max="12254" width="63.140625" style="2" customWidth="1"/>
    <col min="12255" max="12255" width="20" style="2" customWidth="1"/>
    <col min="12256" max="12256" width="11.140625" style="2" customWidth="1"/>
    <col min="12257" max="12257" width="10.85546875" style="2" customWidth="1"/>
    <col min="12258" max="12258" width="21" style="2" customWidth="1"/>
    <col min="12259" max="12259" width="10.85546875" style="2" customWidth="1"/>
    <col min="12260" max="12260" width="17.42578125" style="2" customWidth="1"/>
    <col min="12261" max="12261" width="14.85546875" style="2" customWidth="1"/>
    <col min="12262" max="12262" width="15" style="2" customWidth="1"/>
    <col min="12263" max="12263" width="14.85546875" style="2" customWidth="1"/>
    <col min="12264" max="12264" width="7.140625" style="2" customWidth="1"/>
    <col min="12265" max="12266" width="20.140625" style="2" customWidth="1"/>
    <col min="12267" max="12267" width="18.42578125" style="2" customWidth="1"/>
    <col min="12268" max="12268" width="9.140625" style="2" customWidth="1"/>
    <col min="12269" max="12269" width="12" style="2" customWidth="1"/>
    <col min="12270" max="12270" width="14.85546875" style="2" customWidth="1"/>
    <col min="12271" max="12271" width="22.42578125" style="2" customWidth="1"/>
    <col min="12272" max="12272" width="14.85546875" style="2" customWidth="1"/>
    <col min="12273" max="12273" width="7.140625" style="2" customWidth="1"/>
    <col min="12274" max="12274" width="20.140625" style="2" customWidth="1"/>
    <col min="12275" max="12506" width="8.85546875" style="2" customWidth="1"/>
    <col min="12507" max="12507" width="8.140625" style="2" customWidth="1"/>
    <col min="12508" max="12508" width="14.5703125" style="2" customWidth="1"/>
    <col min="12509" max="12509" width="37.42578125" style="2" customWidth="1"/>
    <col min="12510" max="12510" width="63.140625" style="2" customWidth="1"/>
    <col min="12511" max="12511" width="20" style="2" customWidth="1"/>
    <col min="12512" max="12512" width="11.140625" style="2" customWidth="1"/>
    <col min="12513" max="12513" width="10.85546875" style="2" customWidth="1"/>
    <col min="12514" max="12514" width="21" style="2" customWidth="1"/>
    <col min="12515" max="12515" width="10.85546875" style="2" customWidth="1"/>
    <col min="12516" max="12516" width="17.42578125" style="2" customWidth="1"/>
    <col min="12517" max="12517" width="14.85546875" style="2" customWidth="1"/>
    <col min="12518" max="12518" width="15" style="2" customWidth="1"/>
    <col min="12519" max="12519" width="14.85546875" style="2" customWidth="1"/>
    <col min="12520" max="12520" width="7.140625" style="2" customWidth="1"/>
    <col min="12521" max="12522" width="20.140625" style="2" customWidth="1"/>
    <col min="12523" max="12523" width="18.42578125" style="2" customWidth="1"/>
    <col min="12524" max="12524" width="9.140625" style="2" customWidth="1"/>
    <col min="12525" max="12525" width="12" style="2" customWidth="1"/>
    <col min="12526" max="12526" width="14.85546875" style="2" customWidth="1"/>
    <col min="12527" max="12527" width="22.42578125" style="2" customWidth="1"/>
    <col min="12528" max="12528" width="14.85546875" style="2" customWidth="1"/>
    <col min="12529" max="12529" width="7.140625" style="2" customWidth="1"/>
    <col min="12530" max="12530" width="20.140625" style="2" customWidth="1"/>
    <col min="12531" max="12762" width="8.85546875" style="2" customWidth="1"/>
    <col min="12763" max="12763" width="8.140625" style="2" customWidth="1"/>
    <col min="12764" max="12764" width="14.5703125" style="2" customWidth="1"/>
    <col min="12765" max="12765" width="37.42578125" style="2" customWidth="1"/>
    <col min="12766" max="12766" width="63.140625" style="2" customWidth="1"/>
    <col min="12767" max="12767" width="20" style="2" customWidth="1"/>
    <col min="12768" max="12768" width="11.140625" style="2" customWidth="1"/>
    <col min="12769" max="12769" width="10.85546875" style="2" customWidth="1"/>
    <col min="12770" max="12770" width="21" style="2" customWidth="1"/>
    <col min="12771" max="12771" width="10.85546875" style="2" customWidth="1"/>
    <col min="12772" max="12772" width="17.42578125" style="2" customWidth="1"/>
    <col min="12773" max="12773" width="14.85546875" style="2" customWidth="1"/>
    <col min="12774" max="12774" width="15" style="2" customWidth="1"/>
    <col min="12775" max="12775" width="14.85546875" style="2" customWidth="1"/>
    <col min="12776" max="12776" width="7.140625" style="2" customWidth="1"/>
    <col min="12777" max="12778" width="20.140625" style="2" customWidth="1"/>
    <col min="12779" max="12779" width="18.42578125" style="2" customWidth="1"/>
    <col min="12780" max="12780" width="9.140625" style="2" customWidth="1"/>
    <col min="12781" max="12781" width="12" style="2" customWidth="1"/>
    <col min="12782" max="12782" width="14.85546875" style="2" customWidth="1"/>
    <col min="12783" max="12783" width="22.42578125" style="2" customWidth="1"/>
    <col min="12784" max="12784" width="14.85546875" style="2" customWidth="1"/>
    <col min="12785" max="12785" width="7.140625" style="2" customWidth="1"/>
    <col min="12786" max="12786" width="20.140625" style="2" customWidth="1"/>
    <col min="12787" max="13018" width="8.85546875" style="2" customWidth="1"/>
    <col min="13019" max="13019" width="8.140625" style="2" customWidth="1"/>
    <col min="13020" max="13020" width="14.5703125" style="2" customWidth="1"/>
    <col min="13021" max="13021" width="37.42578125" style="2" customWidth="1"/>
    <col min="13022" max="13022" width="63.140625" style="2" customWidth="1"/>
    <col min="13023" max="13023" width="20" style="2" customWidth="1"/>
    <col min="13024" max="13024" width="11.140625" style="2" customWidth="1"/>
    <col min="13025" max="13025" width="10.85546875" style="2" customWidth="1"/>
    <col min="13026" max="13026" width="21" style="2" customWidth="1"/>
    <col min="13027" max="13027" width="10.85546875" style="2" customWidth="1"/>
    <col min="13028" max="13028" width="17.42578125" style="2" customWidth="1"/>
    <col min="13029" max="13029" width="14.85546875" style="2" customWidth="1"/>
    <col min="13030" max="13030" width="15" style="2" customWidth="1"/>
    <col min="13031" max="13031" width="14.85546875" style="2" customWidth="1"/>
    <col min="13032" max="13032" width="7.140625" style="2" customWidth="1"/>
    <col min="13033" max="13034" width="20.140625" style="2" customWidth="1"/>
    <col min="13035" max="13035" width="18.42578125" style="2" customWidth="1"/>
    <col min="13036" max="13036" width="9.140625" style="2" customWidth="1"/>
    <col min="13037" max="13037" width="12" style="2" customWidth="1"/>
    <col min="13038" max="13038" width="14.85546875" style="2" customWidth="1"/>
    <col min="13039" max="13039" width="22.42578125" style="2" customWidth="1"/>
    <col min="13040" max="13040" width="14.85546875" style="2" customWidth="1"/>
    <col min="13041" max="13041" width="7.140625" style="2" customWidth="1"/>
    <col min="13042" max="13042" width="20.140625" style="2" customWidth="1"/>
    <col min="13043" max="13274" width="8.85546875" style="2" customWidth="1"/>
    <col min="13275" max="13275" width="8.140625" style="2" customWidth="1"/>
    <col min="13276" max="13276" width="14.5703125" style="2" customWidth="1"/>
    <col min="13277" max="13277" width="37.42578125" style="2" customWidth="1"/>
    <col min="13278" max="13278" width="63.140625" style="2" customWidth="1"/>
    <col min="13279" max="13279" width="20" style="2" customWidth="1"/>
    <col min="13280" max="13280" width="11.140625" style="2" customWidth="1"/>
    <col min="13281" max="13281" width="10.85546875" style="2" customWidth="1"/>
    <col min="13282" max="13282" width="21" style="2" customWidth="1"/>
    <col min="13283" max="13283" width="10.85546875" style="2" customWidth="1"/>
    <col min="13284" max="13284" width="17.42578125" style="2" customWidth="1"/>
    <col min="13285" max="13285" width="14.85546875" style="2" customWidth="1"/>
    <col min="13286" max="13286" width="15" style="2" customWidth="1"/>
    <col min="13287" max="13287" width="14.85546875" style="2" customWidth="1"/>
    <col min="13288" max="13288" width="7.140625" style="2" customWidth="1"/>
    <col min="13289" max="13290" width="20.140625" style="2" customWidth="1"/>
    <col min="13291" max="13291" width="18.42578125" style="2" customWidth="1"/>
    <col min="13292" max="13292" width="9.140625" style="2" customWidth="1"/>
    <col min="13293" max="13293" width="12" style="2" customWidth="1"/>
    <col min="13294" max="13294" width="14.85546875" style="2" customWidth="1"/>
    <col min="13295" max="13295" width="22.42578125" style="2" customWidth="1"/>
    <col min="13296" max="13296" width="14.85546875" style="2" customWidth="1"/>
    <col min="13297" max="13297" width="7.140625" style="2" customWidth="1"/>
    <col min="13298" max="13298" width="20.140625" style="2" customWidth="1"/>
    <col min="13299" max="13530" width="8.85546875" style="2" customWidth="1"/>
    <col min="13531" max="13531" width="8.140625" style="2" customWidth="1"/>
    <col min="13532" max="13532" width="14.5703125" style="2" customWidth="1"/>
    <col min="13533" max="13533" width="37.42578125" style="2" customWidth="1"/>
    <col min="13534" max="13534" width="63.140625" style="2" customWidth="1"/>
    <col min="13535" max="13535" width="20" style="2" customWidth="1"/>
    <col min="13536" max="13536" width="11.140625" style="2" customWidth="1"/>
    <col min="13537" max="13537" width="10.85546875" style="2" customWidth="1"/>
    <col min="13538" max="13538" width="21" style="2" customWidth="1"/>
    <col min="13539" max="13539" width="10.85546875" style="2" customWidth="1"/>
    <col min="13540" max="13540" width="17.42578125" style="2" customWidth="1"/>
    <col min="13541" max="13541" width="14.85546875" style="2" customWidth="1"/>
    <col min="13542" max="13542" width="15" style="2" customWidth="1"/>
    <col min="13543" max="13543" width="14.85546875" style="2" customWidth="1"/>
    <col min="13544" max="13544" width="7.140625" style="2" customWidth="1"/>
    <col min="13545" max="13546" width="20.140625" style="2" customWidth="1"/>
    <col min="13547" max="13547" width="18.42578125" style="2" customWidth="1"/>
    <col min="13548" max="13548" width="9.140625" style="2" customWidth="1"/>
    <col min="13549" max="13549" width="12" style="2" customWidth="1"/>
    <col min="13550" max="13550" width="14.85546875" style="2" customWidth="1"/>
    <col min="13551" max="13551" width="22.42578125" style="2" customWidth="1"/>
    <col min="13552" max="13552" width="14.85546875" style="2" customWidth="1"/>
    <col min="13553" max="13553" width="7.140625" style="2" customWidth="1"/>
    <col min="13554" max="13554" width="20.140625" style="2" customWidth="1"/>
    <col min="13555" max="13786" width="8.85546875" style="2" customWidth="1"/>
    <col min="13787" max="13787" width="8.140625" style="2" customWidth="1"/>
    <col min="13788" max="13788" width="14.5703125" style="2" customWidth="1"/>
    <col min="13789" max="13789" width="37.42578125" style="2" customWidth="1"/>
    <col min="13790" max="13790" width="63.140625" style="2" customWidth="1"/>
    <col min="13791" max="13791" width="20" style="2" customWidth="1"/>
    <col min="13792" max="13792" width="11.140625" style="2" customWidth="1"/>
    <col min="13793" max="13793" width="10.85546875" style="2" customWidth="1"/>
    <col min="13794" max="13794" width="21" style="2" customWidth="1"/>
    <col min="13795" max="13795" width="10.85546875" style="2" customWidth="1"/>
    <col min="13796" max="13796" width="17.42578125" style="2" customWidth="1"/>
    <col min="13797" max="13797" width="14.85546875" style="2" customWidth="1"/>
    <col min="13798" max="13798" width="15" style="2" customWidth="1"/>
    <col min="13799" max="13799" width="14.85546875" style="2" customWidth="1"/>
    <col min="13800" max="13800" width="7.140625" style="2" customWidth="1"/>
    <col min="13801" max="13802" width="20.140625" style="2" customWidth="1"/>
    <col min="13803" max="13803" width="18.42578125" style="2" customWidth="1"/>
    <col min="13804" max="13804" width="9.140625" style="2" customWidth="1"/>
    <col min="13805" max="13805" width="12" style="2" customWidth="1"/>
    <col min="13806" max="13806" width="14.85546875" style="2" customWidth="1"/>
    <col min="13807" max="13807" width="22.42578125" style="2" customWidth="1"/>
    <col min="13808" max="13808" width="14.85546875" style="2" customWidth="1"/>
    <col min="13809" max="13809" width="7.140625" style="2" customWidth="1"/>
    <col min="13810" max="13810" width="20.140625" style="2" customWidth="1"/>
    <col min="13811" max="14042" width="8.85546875" style="2" customWidth="1"/>
    <col min="14043" max="14043" width="8.140625" style="2" customWidth="1"/>
    <col min="14044" max="14044" width="14.5703125" style="2" customWidth="1"/>
    <col min="14045" max="14045" width="37.42578125" style="2" customWidth="1"/>
    <col min="14046" max="14046" width="63.140625" style="2" customWidth="1"/>
    <col min="14047" max="14047" width="20" style="2" customWidth="1"/>
    <col min="14048" max="14048" width="11.140625" style="2" customWidth="1"/>
    <col min="14049" max="14049" width="10.85546875" style="2" customWidth="1"/>
    <col min="14050" max="14050" width="21" style="2" customWidth="1"/>
    <col min="14051" max="14051" width="10.85546875" style="2" customWidth="1"/>
    <col min="14052" max="14052" width="17.42578125" style="2" customWidth="1"/>
    <col min="14053" max="14053" width="14.85546875" style="2" customWidth="1"/>
    <col min="14054" max="14054" width="15" style="2" customWidth="1"/>
    <col min="14055" max="14055" width="14.85546875" style="2" customWidth="1"/>
    <col min="14056" max="14056" width="7.140625" style="2" customWidth="1"/>
    <col min="14057" max="14058" width="20.140625" style="2" customWidth="1"/>
    <col min="14059" max="14059" width="18.42578125" style="2" customWidth="1"/>
    <col min="14060" max="14060" width="9.140625" style="2" customWidth="1"/>
    <col min="14061" max="14061" width="12" style="2" customWidth="1"/>
    <col min="14062" max="14062" width="14.85546875" style="2" customWidth="1"/>
    <col min="14063" max="14063" width="22.42578125" style="2" customWidth="1"/>
    <col min="14064" max="14064" width="14.85546875" style="2" customWidth="1"/>
    <col min="14065" max="14065" width="7.140625" style="2" customWidth="1"/>
    <col min="14066" max="14066" width="20.140625" style="2" customWidth="1"/>
    <col min="14067" max="14298" width="8.85546875" style="2" customWidth="1"/>
    <col min="14299" max="14299" width="8.140625" style="2" customWidth="1"/>
    <col min="14300" max="14300" width="14.5703125" style="2" customWidth="1"/>
    <col min="14301" max="14301" width="37.42578125" style="2" customWidth="1"/>
    <col min="14302" max="14302" width="63.140625" style="2" customWidth="1"/>
    <col min="14303" max="14303" width="20" style="2" customWidth="1"/>
    <col min="14304" max="14304" width="11.140625" style="2" customWidth="1"/>
    <col min="14305" max="14305" width="10.85546875" style="2" customWidth="1"/>
    <col min="14306" max="14306" width="21" style="2" customWidth="1"/>
    <col min="14307" max="14307" width="10.85546875" style="2" customWidth="1"/>
    <col min="14308" max="14308" width="17.42578125" style="2" customWidth="1"/>
    <col min="14309" max="14309" width="14.85546875" style="2" customWidth="1"/>
    <col min="14310" max="14310" width="15" style="2" customWidth="1"/>
    <col min="14311" max="14311" width="14.85546875" style="2" customWidth="1"/>
    <col min="14312" max="14312" width="7.140625" style="2" customWidth="1"/>
    <col min="14313" max="14314" width="20.140625" style="2" customWidth="1"/>
    <col min="14315" max="14315" width="18.42578125" style="2" customWidth="1"/>
    <col min="14316" max="14316" width="9.140625" style="2" customWidth="1"/>
    <col min="14317" max="14317" width="12" style="2" customWidth="1"/>
    <col min="14318" max="14318" width="14.85546875" style="2" customWidth="1"/>
    <col min="14319" max="14319" width="22.42578125" style="2" customWidth="1"/>
    <col min="14320" max="14320" width="14.85546875" style="2" customWidth="1"/>
    <col min="14321" max="14321" width="7.140625" style="2" customWidth="1"/>
    <col min="14322" max="14322" width="20.140625" style="2" customWidth="1"/>
    <col min="14323" max="14554" width="8.85546875" style="2" customWidth="1"/>
    <col min="14555" max="14555" width="8.140625" style="2" customWidth="1"/>
    <col min="14556" max="14556" width="14.5703125" style="2" customWidth="1"/>
    <col min="14557" max="14557" width="37.42578125" style="2" customWidth="1"/>
    <col min="14558" max="14558" width="63.140625" style="2" customWidth="1"/>
    <col min="14559" max="14559" width="20" style="2" customWidth="1"/>
    <col min="14560" max="14560" width="11.140625" style="2" customWidth="1"/>
    <col min="14561" max="14561" width="10.85546875" style="2" customWidth="1"/>
    <col min="14562" max="14562" width="21" style="2" customWidth="1"/>
    <col min="14563" max="14563" width="10.85546875" style="2" customWidth="1"/>
    <col min="14564" max="14564" width="17.42578125" style="2" customWidth="1"/>
    <col min="14565" max="14565" width="14.85546875" style="2" customWidth="1"/>
    <col min="14566" max="14566" width="15" style="2" customWidth="1"/>
    <col min="14567" max="14567" width="14.85546875" style="2" customWidth="1"/>
    <col min="14568" max="14568" width="7.140625" style="2" customWidth="1"/>
    <col min="14569" max="14570" width="20.140625" style="2" customWidth="1"/>
    <col min="14571" max="14571" width="18.42578125" style="2" customWidth="1"/>
    <col min="14572" max="14572" width="9.140625" style="2" customWidth="1"/>
    <col min="14573" max="14573" width="12" style="2" customWidth="1"/>
    <col min="14574" max="14574" width="14.85546875" style="2" customWidth="1"/>
    <col min="14575" max="14575" width="22.42578125" style="2" customWidth="1"/>
    <col min="14576" max="14576" width="14.85546875" style="2" customWidth="1"/>
    <col min="14577" max="14577" width="7.140625" style="2" customWidth="1"/>
    <col min="14578" max="14578" width="20.140625" style="2" customWidth="1"/>
    <col min="14579" max="14810" width="8.85546875" style="2" customWidth="1"/>
    <col min="14811" max="14811" width="8.140625" style="2" customWidth="1"/>
    <col min="14812" max="14812" width="14.5703125" style="2" customWidth="1"/>
    <col min="14813" max="14813" width="37.42578125" style="2" customWidth="1"/>
    <col min="14814" max="14814" width="63.140625" style="2" customWidth="1"/>
    <col min="14815" max="14815" width="20" style="2" customWidth="1"/>
    <col min="14816" max="14816" width="11.140625" style="2" customWidth="1"/>
    <col min="14817" max="14817" width="10.85546875" style="2" customWidth="1"/>
    <col min="14818" max="14818" width="21" style="2" customWidth="1"/>
    <col min="14819" max="14819" width="10.85546875" style="2" customWidth="1"/>
    <col min="14820" max="14820" width="17.42578125" style="2" customWidth="1"/>
    <col min="14821" max="14821" width="14.85546875" style="2" customWidth="1"/>
    <col min="14822" max="14822" width="15" style="2" customWidth="1"/>
    <col min="14823" max="14823" width="14.85546875" style="2" customWidth="1"/>
    <col min="14824" max="14824" width="7.140625" style="2" customWidth="1"/>
    <col min="14825" max="14826" width="20.140625" style="2" customWidth="1"/>
    <col min="14827" max="14827" width="18.42578125" style="2" customWidth="1"/>
    <col min="14828" max="14828" width="9.140625" style="2" customWidth="1"/>
    <col min="14829" max="14829" width="12" style="2" customWidth="1"/>
    <col min="14830" max="14830" width="14.85546875" style="2" customWidth="1"/>
    <col min="14831" max="14831" width="22.42578125" style="2" customWidth="1"/>
    <col min="14832" max="14832" width="14.85546875" style="2" customWidth="1"/>
    <col min="14833" max="14833" width="7.140625" style="2" customWidth="1"/>
    <col min="14834" max="14834" width="20.140625" style="2" customWidth="1"/>
    <col min="14835" max="15066" width="8.85546875" style="2" customWidth="1"/>
    <col min="15067" max="15067" width="8.140625" style="2" customWidth="1"/>
    <col min="15068" max="15068" width="14.5703125" style="2" customWidth="1"/>
    <col min="15069" max="15069" width="37.42578125" style="2" customWidth="1"/>
    <col min="15070" max="15070" width="63.140625" style="2" customWidth="1"/>
    <col min="15071" max="15071" width="20" style="2" customWidth="1"/>
    <col min="15072" max="15072" width="11.140625" style="2" customWidth="1"/>
    <col min="15073" max="15073" width="10.85546875" style="2" customWidth="1"/>
    <col min="15074" max="15074" width="21" style="2" customWidth="1"/>
    <col min="15075" max="15075" width="10.85546875" style="2" customWidth="1"/>
    <col min="15076" max="15076" width="17.42578125" style="2" customWidth="1"/>
    <col min="15077" max="15077" width="14.85546875" style="2" customWidth="1"/>
    <col min="15078" max="15078" width="15" style="2" customWidth="1"/>
    <col min="15079" max="15079" width="14.85546875" style="2" customWidth="1"/>
    <col min="15080" max="15080" width="7.140625" style="2" customWidth="1"/>
    <col min="15081" max="15082" width="20.140625" style="2" customWidth="1"/>
    <col min="15083" max="15083" width="18.42578125" style="2" customWidth="1"/>
    <col min="15084" max="15084" width="9.140625" style="2" customWidth="1"/>
    <col min="15085" max="15085" width="12" style="2" customWidth="1"/>
    <col min="15086" max="15086" width="14.85546875" style="2" customWidth="1"/>
    <col min="15087" max="15087" width="22.42578125" style="2" customWidth="1"/>
    <col min="15088" max="15088" width="14.85546875" style="2" customWidth="1"/>
    <col min="15089" max="15089" width="7.140625" style="2" customWidth="1"/>
    <col min="15090" max="15090" width="20.140625" style="2" customWidth="1"/>
    <col min="15091" max="15322" width="8.85546875" style="2" customWidth="1"/>
    <col min="15323" max="15323" width="8.140625" style="2" customWidth="1"/>
    <col min="15324" max="15324" width="14.5703125" style="2" customWidth="1"/>
    <col min="15325" max="15325" width="37.42578125" style="2" customWidth="1"/>
    <col min="15326" max="15326" width="63.140625" style="2" customWidth="1"/>
    <col min="15327" max="15327" width="20" style="2" customWidth="1"/>
    <col min="15328" max="15328" width="11.140625" style="2" customWidth="1"/>
    <col min="15329" max="15329" width="10.85546875" style="2" customWidth="1"/>
    <col min="15330" max="15330" width="21" style="2" customWidth="1"/>
    <col min="15331" max="15331" width="10.85546875" style="2" customWidth="1"/>
    <col min="15332" max="15332" width="17.42578125" style="2" customWidth="1"/>
    <col min="15333" max="15333" width="14.85546875" style="2" customWidth="1"/>
    <col min="15334" max="15334" width="15" style="2" customWidth="1"/>
    <col min="15335" max="15335" width="14.85546875" style="2" customWidth="1"/>
    <col min="15336" max="15336" width="7.140625" style="2" customWidth="1"/>
    <col min="15337" max="15338" width="20.140625" style="2" customWidth="1"/>
    <col min="15339" max="15339" width="18.42578125" style="2" customWidth="1"/>
    <col min="15340" max="15340" width="9.140625" style="2" customWidth="1"/>
    <col min="15341" max="15341" width="12" style="2" customWidth="1"/>
    <col min="15342" max="15342" width="14.85546875" style="2" customWidth="1"/>
    <col min="15343" max="15343" width="22.42578125" style="2" customWidth="1"/>
    <col min="15344" max="15344" width="14.85546875" style="2" customWidth="1"/>
    <col min="15345" max="15345" width="7.140625" style="2" customWidth="1"/>
    <col min="15346" max="15346" width="20.140625" style="2" customWidth="1"/>
    <col min="15347" max="15578" width="8.85546875" style="2" customWidth="1"/>
    <col min="15579" max="15579" width="8.140625" style="2" customWidth="1"/>
    <col min="15580" max="15580" width="14.5703125" style="2" customWidth="1"/>
    <col min="15581" max="15581" width="37.42578125" style="2" customWidth="1"/>
    <col min="15582" max="15582" width="63.140625" style="2" customWidth="1"/>
    <col min="15583" max="15583" width="20" style="2" customWidth="1"/>
    <col min="15584" max="15584" width="11.140625" style="2" customWidth="1"/>
    <col min="15585" max="15585" width="10.85546875" style="2" customWidth="1"/>
    <col min="15586" max="15586" width="21" style="2" customWidth="1"/>
    <col min="15587" max="15587" width="10.85546875" style="2" customWidth="1"/>
    <col min="15588" max="15588" width="17.42578125" style="2" customWidth="1"/>
    <col min="15589" max="15589" width="14.85546875" style="2" customWidth="1"/>
    <col min="15590" max="15590" width="15" style="2" customWidth="1"/>
    <col min="15591" max="15591" width="14.85546875" style="2" customWidth="1"/>
    <col min="15592" max="15592" width="7.140625" style="2" customWidth="1"/>
    <col min="15593" max="15594" width="20.140625" style="2" customWidth="1"/>
    <col min="15595" max="15595" width="18.42578125" style="2" customWidth="1"/>
    <col min="15596" max="15596" width="9.140625" style="2" customWidth="1"/>
    <col min="15597" max="15597" width="12" style="2" customWidth="1"/>
    <col min="15598" max="15598" width="14.85546875" style="2" customWidth="1"/>
    <col min="15599" max="15599" width="22.42578125" style="2" customWidth="1"/>
    <col min="15600" max="15600" width="14.85546875" style="2" customWidth="1"/>
    <col min="15601" max="15601" width="7.140625" style="2" customWidth="1"/>
    <col min="15602" max="15602" width="20.140625" style="2" customWidth="1"/>
    <col min="15603" max="15834" width="8.85546875" style="2" customWidth="1"/>
    <col min="15835" max="15835" width="8.140625" style="2" customWidth="1"/>
    <col min="15836" max="15836" width="14.5703125" style="2" customWidth="1"/>
    <col min="15837" max="15837" width="37.42578125" style="2" customWidth="1"/>
    <col min="15838" max="15838" width="63.140625" style="2" customWidth="1"/>
    <col min="15839" max="15839" width="20" style="2" customWidth="1"/>
    <col min="15840" max="15840" width="11.140625" style="2" customWidth="1"/>
    <col min="15841" max="15841" width="10.85546875" style="2" customWidth="1"/>
    <col min="15842" max="15842" width="21" style="2" customWidth="1"/>
    <col min="15843" max="15843" width="10.85546875" style="2" customWidth="1"/>
    <col min="15844" max="15844" width="17.42578125" style="2" customWidth="1"/>
    <col min="15845" max="15845" width="14.85546875" style="2" customWidth="1"/>
    <col min="15846" max="15846" width="15" style="2" customWidth="1"/>
    <col min="15847" max="15847" width="14.85546875" style="2" customWidth="1"/>
    <col min="15848" max="15848" width="7.140625" style="2" customWidth="1"/>
    <col min="15849" max="15850" width="20.140625" style="2" customWidth="1"/>
    <col min="15851" max="15851" width="18.42578125" style="2" customWidth="1"/>
    <col min="15852" max="15852" width="9.140625" style="2" customWidth="1"/>
    <col min="15853" max="15853" width="12" style="2" customWidth="1"/>
    <col min="15854" max="15854" width="14.85546875" style="2" customWidth="1"/>
    <col min="15855" max="15855" width="22.42578125" style="2" customWidth="1"/>
    <col min="15856" max="15856" width="14.85546875" style="2" customWidth="1"/>
    <col min="15857" max="15857" width="7.140625" style="2" customWidth="1"/>
    <col min="15858" max="15858" width="20.140625" style="2" customWidth="1"/>
    <col min="15859" max="16090" width="8.85546875" style="2" customWidth="1"/>
    <col min="16091" max="16091" width="8.140625" style="2" customWidth="1"/>
    <col min="16092" max="16092" width="14.5703125" style="2" customWidth="1"/>
    <col min="16093" max="16093" width="37.42578125" style="2" customWidth="1"/>
    <col min="16094" max="16094" width="63.140625" style="2" customWidth="1"/>
    <col min="16095" max="16095" width="20" style="2" customWidth="1"/>
    <col min="16096" max="16096" width="11.140625" style="2" customWidth="1"/>
    <col min="16097" max="16097" width="10.85546875" style="2" customWidth="1"/>
    <col min="16098" max="16098" width="21" style="2" customWidth="1"/>
    <col min="16099" max="16099" width="10.85546875" style="2" customWidth="1"/>
    <col min="16100" max="16100" width="17.42578125" style="2" customWidth="1"/>
    <col min="16101" max="16101" width="14.85546875" style="2" customWidth="1"/>
    <col min="16102" max="16102" width="15" style="2" customWidth="1"/>
    <col min="16103" max="16103" width="14.85546875" style="2" customWidth="1"/>
    <col min="16104" max="16104" width="7.140625" style="2" customWidth="1"/>
    <col min="16105" max="16106" width="20.140625" style="2" customWidth="1"/>
    <col min="16107" max="16107" width="18.42578125" style="2" customWidth="1"/>
    <col min="16108" max="16108" width="9.140625" style="2" customWidth="1"/>
    <col min="16109" max="16109" width="12" style="2" customWidth="1"/>
    <col min="16110" max="16110" width="14.85546875" style="2" customWidth="1"/>
    <col min="16111" max="16111" width="22.42578125" style="2" customWidth="1"/>
    <col min="16112" max="16112" width="14.85546875" style="2" customWidth="1"/>
    <col min="16113" max="16113" width="7.140625" style="2" customWidth="1"/>
    <col min="16114" max="16114" width="20.140625" style="2" customWidth="1"/>
    <col min="16115" max="16384" width="8.85546875" style="2" customWidth="1"/>
  </cols>
  <sheetData>
    <row r="1" spans="1:21" ht="14.1" customHeight="1">
      <c r="A1" s="1" t="s">
        <v>2133</v>
      </c>
      <c r="B1" s="2"/>
      <c r="C1" s="2"/>
      <c r="D1" s="2"/>
      <c r="F1" s="2"/>
      <c r="H1" s="2"/>
      <c r="J1" s="2"/>
      <c r="K1" s="2"/>
      <c r="L1" s="2"/>
      <c r="M1" s="2"/>
      <c r="N1" s="2"/>
      <c r="O1" s="2"/>
      <c r="P1" s="2"/>
      <c r="R1" s="10"/>
    </row>
    <row r="2" spans="1:21" s="4" customFormat="1" ht="14.1" customHeight="1">
      <c r="A2" s="4" t="s">
        <v>2134</v>
      </c>
      <c r="E2" s="69"/>
      <c r="Q2" s="2"/>
      <c r="R2" s="336"/>
      <c r="S2" s="2"/>
      <c r="T2" s="2"/>
      <c r="U2" s="2"/>
    </row>
    <row r="3" spans="1:21" ht="14.1" customHeight="1">
      <c r="B3" s="16"/>
      <c r="C3" s="16"/>
      <c r="D3" s="23"/>
      <c r="E3" s="16"/>
      <c r="F3" s="23"/>
      <c r="G3" s="15"/>
      <c r="H3" s="25"/>
      <c r="I3" s="15"/>
      <c r="J3" s="25"/>
      <c r="K3" s="25"/>
      <c r="L3" s="25"/>
      <c r="M3" s="25"/>
      <c r="N3" s="25"/>
      <c r="O3" s="25"/>
      <c r="P3" s="25"/>
      <c r="R3" s="355" t="s">
        <v>2</v>
      </c>
    </row>
    <row r="4" spans="1:21" s="3" customFormat="1" ht="33" customHeight="1">
      <c r="A4" s="21" t="s">
        <v>3</v>
      </c>
      <c r="B4" s="52" t="s">
        <v>4</v>
      </c>
      <c r="C4" s="52" t="s">
        <v>5</v>
      </c>
      <c r="D4" s="21" t="s">
        <v>6</v>
      </c>
      <c r="E4" s="21" t="s">
        <v>7</v>
      </c>
      <c r="F4" s="21" t="s">
        <v>8</v>
      </c>
      <c r="G4" s="21" t="s">
        <v>9</v>
      </c>
      <c r="H4" s="21" t="s">
        <v>10</v>
      </c>
      <c r="I4" s="151" t="s">
        <v>11</v>
      </c>
      <c r="J4" s="21" t="s">
        <v>12</v>
      </c>
      <c r="K4" s="21" t="s">
        <v>13</v>
      </c>
      <c r="L4" s="21" t="s">
        <v>14</v>
      </c>
      <c r="M4" s="21" t="s">
        <v>15</v>
      </c>
      <c r="N4" s="21" t="s">
        <v>16</v>
      </c>
      <c r="O4" s="21" t="s">
        <v>682</v>
      </c>
      <c r="P4" s="21" t="s">
        <v>18</v>
      </c>
      <c r="R4" s="41" t="s">
        <v>19</v>
      </c>
      <c r="T4" s="42" t="s">
        <v>20</v>
      </c>
      <c r="U4" s="42" t="s">
        <v>21</v>
      </c>
    </row>
    <row r="5" spans="1:21" ht="14.1" customHeight="1">
      <c r="A5" s="7">
        <v>1</v>
      </c>
      <c r="B5" s="14" t="s">
        <v>340</v>
      </c>
      <c r="C5" s="14" t="s">
        <v>340</v>
      </c>
      <c r="D5" s="7" t="s">
        <v>798</v>
      </c>
      <c r="E5" s="14" t="s">
        <v>2135</v>
      </c>
      <c r="F5" s="7" t="s">
        <v>2136</v>
      </c>
      <c r="G5" s="19" t="s">
        <v>2137</v>
      </c>
      <c r="H5" s="7" t="s">
        <v>459</v>
      </c>
      <c r="I5" s="19" t="s">
        <v>2138</v>
      </c>
      <c r="J5" s="7" t="s">
        <v>30</v>
      </c>
      <c r="K5" s="7" t="s">
        <v>461</v>
      </c>
      <c r="L5" s="7" t="s">
        <v>307</v>
      </c>
      <c r="M5" s="7">
        <v>68069000</v>
      </c>
      <c r="N5" s="7">
        <v>1</v>
      </c>
      <c r="O5" s="7"/>
      <c r="P5" s="7"/>
      <c r="R5" s="9">
        <v>34.67877815902672</v>
      </c>
      <c r="T5" s="7" t="s">
        <v>34</v>
      </c>
      <c r="U5" s="7" t="s">
        <v>34</v>
      </c>
    </row>
    <row r="6" spans="1:21" ht="14.1" customHeight="1">
      <c r="A6" s="7">
        <v>2</v>
      </c>
      <c r="B6" s="14" t="s">
        <v>340</v>
      </c>
      <c r="C6" s="14" t="s">
        <v>340</v>
      </c>
      <c r="D6" s="7" t="s">
        <v>798</v>
      </c>
      <c r="E6" s="14" t="s">
        <v>2135</v>
      </c>
      <c r="F6" s="7" t="s">
        <v>2136</v>
      </c>
      <c r="G6" s="19" t="s">
        <v>2139</v>
      </c>
      <c r="H6" s="7" t="s">
        <v>459</v>
      </c>
      <c r="I6" s="19" t="s">
        <v>2140</v>
      </c>
      <c r="J6" s="7" t="s">
        <v>30</v>
      </c>
      <c r="K6" s="7" t="s">
        <v>461</v>
      </c>
      <c r="L6" s="7" t="s">
        <v>307</v>
      </c>
      <c r="M6" s="7">
        <v>68069000</v>
      </c>
      <c r="N6" s="7">
        <v>1</v>
      </c>
      <c r="O6" s="7"/>
      <c r="P6" s="7"/>
      <c r="R6" s="9">
        <v>45.969543141035423</v>
      </c>
      <c r="T6" s="7" t="s">
        <v>34</v>
      </c>
      <c r="U6" s="7" t="s">
        <v>34</v>
      </c>
    </row>
    <row r="7" spans="1:21" ht="14.1" customHeight="1">
      <c r="A7" s="7">
        <v>3</v>
      </c>
      <c r="B7" s="14" t="s">
        <v>340</v>
      </c>
      <c r="C7" s="14" t="s">
        <v>340</v>
      </c>
      <c r="D7" s="7" t="s">
        <v>798</v>
      </c>
      <c r="E7" s="14" t="s">
        <v>2135</v>
      </c>
      <c r="F7" s="7" t="s">
        <v>2136</v>
      </c>
      <c r="G7" s="19" t="s">
        <v>2141</v>
      </c>
      <c r="H7" s="7" t="s">
        <v>459</v>
      </c>
      <c r="I7" s="19" t="s">
        <v>2142</v>
      </c>
      <c r="J7" s="7" t="s">
        <v>30</v>
      </c>
      <c r="K7" s="7" t="s">
        <v>461</v>
      </c>
      <c r="L7" s="7" t="s">
        <v>307</v>
      </c>
      <c r="M7" s="7">
        <v>68069000</v>
      </c>
      <c r="N7" s="7">
        <v>1</v>
      </c>
      <c r="O7" s="7"/>
      <c r="P7" s="7"/>
      <c r="R7" s="9">
        <v>23.656840914684899</v>
      </c>
      <c r="T7" s="7" t="s">
        <v>34</v>
      </c>
      <c r="U7" s="7" t="s">
        <v>34</v>
      </c>
    </row>
    <row r="8" spans="1:21" ht="14.1" customHeight="1">
      <c r="A8" s="7">
        <v>4</v>
      </c>
      <c r="B8" s="14" t="s">
        <v>340</v>
      </c>
      <c r="C8" s="14" t="s">
        <v>340</v>
      </c>
      <c r="D8" s="7" t="s">
        <v>798</v>
      </c>
      <c r="E8" s="14" t="s">
        <v>2135</v>
      </c>
      <c r="F8" s="7" t="s">
        <v>2136</v>
      </c>
      <c r="G8" s="19" t="s">
        <v>2143</v>
      </c>
      <c r="H8" s="7" t="s">
        <v>459</v>
      </c>
      <c r="I8" s="19" t="s">
        <v>2144</v>
      </c>
      <c r="J8" s="7" t="s">
        <v>30</v>
      </c>
      <c r="K8" s="7" t="s">
        <v>461</v>
      </c>
      <c r="L8" s="7" t="s">
        <v>307</v>
      </c>
      <c r="M8" s="7">
        <v>68069000</v>
      </c>
      <c r="N8" s="7">
        <v>1</v>
      </c>
      <c r="O8" s="7"/>
      <c r="P8" s="7"/>
      <c r="R8" s="9">
        <v>32.515354936850457</v>
      </c>
      <c r="T8" s="7" t="s">
        <v>34</v>
      </c>
      <c r="U8" s="7" t="s">
        <v>34</v>
      </c>
    </row>
    <row r="9" spans="1:21" ht="14.1" customHeight="1">
      <c r="A9" s="7">
        <v>5</v>
      </c>
      <c r="B9" s="14" t="s">
        <v>340</v>
      </c>
      <c r="C9" s="14" t="s">
        <v>340</v>
      </c>
      <c r="D9" s="7" t="s">
        <v>798</v>
      </c>
      <c r="E9" s="14" t="s">
        <v>2135</v>
      </c>
      <c r="F9" s="7" t="s">
        <v>2136</v>
      </c>
      <c r="G9" s="19" t="s">
        <v>2145</v>
      </c>
      <c r="H9" s="7" t="s">
        <v>459</v>
      </c>
      <c r="I9" s="19" t="s">
        <v>2146</v>
      </c>
      <c r="J9" s="7" t="s">
        <v>30</v>
      </c>
      <c r="K9" s="7" t="s">
        <v>461</v>
      </c>
      <c r="L9" s="7" t="s">
        <v>307</v>
      </c>
      <c r="M9" s="7">
        <v>68069000</v>
      </c>
      <c r="N9" s="7">
        <v>1</v>
      </c>
      <c r="O9" s="7"/>
      <c r="P9" s="7"/>
      <c r="R9" s="9">
        <v>41.668299338365443</v>
      </c>
      <c r="T9" s="7" t="s">
        <v>34</v>
      </c>
      <c r="U9" s="7" t="s">
        <v>34</v>
      </c>
    </row>
    <row r="10" spans="1:21" ht="14.1" customHeight="1">
      <c r="A10" s="7">
        <v>6</v>
      </c>
      <c r="B10" s="14" t="s">
        <v>340</v>
      </c>
      <c r="C10" s="14" t="s">
        <v>340</v>
      </c>
      <c r="D10" s="7" t="s">
        <v>798</v>
      </c>
      <c r="E10" s="14" t="s">
        <v>799</v>
      </c>
      <c r="F10" s="7" t="s">
        <v>2136</v>
      </c>
      <c r="G10" s="19" t="s">
        <v>2147</v>
      </c>
      <c r="H10" s="7" t="s">
        <v>2148</v>
      </c>
      <c r="I10" s="19" t="s">
        <v>2149</v>
      </c>
      <c r="J10" s="7" t="s">
        <v>30</v>
      </c>
      <c r="K10" s="7" t="s">
        <v>520</v>
      </c>
      <c r="L10" s="7" t="s">
        <v>307</v>
      </c>
      <c r="M10" s="7">
        <v>76101000</v>
      </c>
      <c r="N10" s="7">
        <v>1</v>
      </c>
      <c r="O10" s="7"/>
      <c r="P10" s="7"/>
      <c r="R10" s="9">
        <v>354.58378598260663</v>
      </c>
      <c r="T10" s="7" t="s">
        <v>34</v>
      </c>
      <c r="U10" s="7" t="s">
        <v>34</v>
      </c>
    </row>
    <row r="11" spans="1:21" ht="14.1" customHeight="1">
      <c r="A11" s="7">
        <v>7</v>
      </c>
      <c r="B11" s="14" t="s">
        <v>340</v>
      </c>
      <c r="C11" s="14" t="s">
        <v>340</v>
      </c>
      <c r="D11" s="7" t="s">
        <v>798</v>
      </c>
      <c r="E11" s="14" t="s">
        <v>799</v>
      </c>
      <c r="F11" s="7" t="s">
        <v>2136</v>
      </c>
      <c r="G11" s="19" t="s">
        <v>2150</v>
      </c>
      <c r="H11" s="7" t="s">
        <v>2148</v>
      </c>
      <c r="I11" s="19" t="s">
        <v>2151</v>
      </c>
      <c r="J11" s="7" t="s">
        <v>30</v>
      </c>
      <c r="K11" s="7" t="s">
        <v>520</v>
      </c>
      <c r="L11" s="7" t="s">
        <v>307</v>
      </c>
      <c r="M11" s="7">
        <v>76101000</v>
      </c>
      <c r="N11" s="7">
        <v>1</v>
      </c>
      <c r="O11" s="7"/>
      <c r="P11" s="7"/>
      <c r="R11" s="9">
        <v>368.67804022885548</v>
      </c>
      <c r="T11" s="7" t="s">
        <v>34</v>
      </c>
      <c r="U11" s="7" t="s">
        <v>34</v>
      </c>
    </row>
    <row r="12" spans="1:21" ht="14.1" customHeight="1">
      <c r="A12" s="7">
        <v>8</v>
      </c>
      <c r="B12" s="14" t="s">
        <v>340</v>
      </c>
      <c r="C12" s="14" t="s">
        <v>340</v>
      </c>
      <c r="D12" s="7" t="s">
        <v>798</v>
      </c>
      <c r="E12" s="14" t="s">
        <v>799</v>
      </c>
      <c r="F12" s="7" t="s">
        <v>2136</v>
      </c>
      <c r="G12" s="19" t="s">
        <v>2152</v>
      </c>
      <c r="H12" s="7" t="s">
        <v>2148</v>
      </c>
      <c r="I12" s="19" t="s">
        <v>2153</v>
      </c>
      <c r="J12" s="7" t="s">
        <v>30</v>
      </c>
      <c r="K12" s="7" t="s">
        <v>520</v>
      </c>
      <c r="L12" s="7" t="s">
        <v>307</v>
      </c>
      <c r="M12" s="7">
        <v>76101000</v>
      </c>
      <c r="N12" s="7">
        <v>1</v>
      </c>
      <c r="O12" s="7"/>
      <c r="P12" s="7"/>
      <c r="R12" s="9">
        <v>391.72041774315898</v>
      </c>
      <c r="T12" s="7" t="s">
        <v>34</v>
      </c>
      <c r="U12" s="7" t="s">
        <v>34</v>
      </c>
    </row>
    <row r="13" spans="1:21" ht="14.1" customHeight="1">
      <c r="A13" s="7">
        <v>9</v>
      </c>
      <c r="B13" s="14" t="s">
        <v>340</v>
      </c>
      <c r="C13" s="14" t="s">
        <v>340</v>
      </c>
      <c r="D13" s="7" t="s">
        <v>798</v>
      </c>
      <c r="E13" s="14" t="s">
        <v>799</v>
      </c>
      <c r="F13" s="7" t="s">
        <v>2136</v>
      </c>
      <c r="G13" s="19" t="s">
        <v>2154</v>
      </c>
      <c r="H13" s="7" t="s">
        <v>2148</v>
      </c>
      <c r="I13" s="19" t="s">
        <v>2155</v>
      </c>
      <c r="J13" s="7" t="s">
        <v>30</v>
      </c>
      <c r="K13" s="7" t="s">
        <v>520</v>
      </c>
      <c r="L13" s="7" t="s">
        <v>307</v>
      </c>
      <c r="M13" s="7">
        <v>76101000</v>
      </c>
      <c r="N13" s="7">
        <v>1</v>
      </c>
      <c r="O13" s="7"/>
      <c r="P13" s="7"/>
      <c r="R13" s="9">
        <v>817.50515024496349</v>
      </c>
      <c r="T13" s="7" t="s">
        <v>34</v>
      </c>
      <c r="U13" s="7" t="s">
        <v>34</v>
      </c>
    </row>
    <row r="14" spans="1:21" ht="14.1" customHeight="1">
      <c r="A14" s="7">
        <v>10</v>
      </c>
      <c r="B14" s="14" t="s">
        <v>340</v>
      </c>
      <c r="C14" s="14" t="s">
        <v>340</v>
      </c>
      <c r="D14" s="7" t="s">
        <v>798</v>
      </c>
      <c r="E14" s="14" t="s">
        <v>799</v>
      </c>
      <c r="F14" s="7" t="s">
        <v>2136</v>
      </c>
      <c r="G14" s="19" t="s">
        <v>2156</v>
      </c>
      <c r="H14" s="7" t="s">
        <v>2148</v>
      </c>
      <c r="I14" s="19" t="s">
        <v>2157</v>
      </c>
      <c r="J14" s="7" t="s">
        <v>30</v>
      </c>
      <c r="K14" s="7" t="s">
        <v>520</v>
      </c>
      <c r="L14" s="7" t="s">
        <v>307</v>
      </c>
      <c r="M14" s="7">
        <v>76101000</v>
      </c>
      <c r="N14" s="7">
        <v>1</v>
      </c>
      <c r="O14" s="7"/>
      <c r="P14" s="7"/>
      <c r="R14" s="9">
        <v>849.49565102732129</v>
      </c>
      <c r="T14" s="7" t="s">
        <v>34</v>
      </c>
      <c r="U14" s="7" t="s">
        <v>34</v>
      </c>
    </row>
    <row r="15" spans="1:21" ht="14.1" customHeight="1">
      <c r="A15" s="7">
        <v>11</v>
      </c>
      <c r="B15" s="14" t="s">
        <v>340</v>
      </c>
      <c r="C15" s="14" t="s">
        <v>340</v>
      </c>
      <c r="D15" s="7" t="s">
        <v>798</v>
      </c>
      <c r="E15" s="14" t="s">
        <v>799</v>
      </c>
      <c r="F15" s="7" t="s">
        <v>2136</v>
      </c>
      <c r="G15" s="19" t="s">
        <v>2158</v>
      </c>
      <c r="H15" s="7" t="s">
        <v>2148</v>
      </c>
      <c r="I15" s="19" t="s">
        <v>2159</v>
      </c>
      <c r="J15" s="7" t="s">
        <v>30</v>
      </c>
      <c r="K15" s="7" t="s">
        <v>520</v>
      </c>
      <c r="L15" s="7" t="s">
        <v>307</v>
      </c>
      <c r="M15" s="7">
        <v>76101000</v>
      </c>
      <c r="N15" s="7">
        <v>1</v>
      </c>
      <c r="O15" s="7"/>
      <c r="P15" s="7"/>
      <c r="R15" s="9">
        <v>883.09911823568052</v>
      </c>
      <c r="T15" s="7" t="s">
        <v>34</v>
      </c>
      <c r="U15" s="7" t="s">
        <v>34</v>
      </c>
    </row>
    <row r="16" spans="1:21" ht="14.1" customHeight="1">
      <c r="A16" s="7">
        <v>12</v>
      </c>
      <c r="B16" s="14" t="s">
        <v>340</v>
      </c>
      <c r="C16" s="14" t="s">
        <v>340</v>
      </c>
      <c r="D16" s="7" t="s">
        <v>798</v>
      </c>
      <c r="E16" s="14" t="s">
        <v>2135</v>
      </c>
      <c r="F16" s="7" t="s">
        <v>2136</v>
      </c>
      <c r="G16" s="19" t="s">
        <v>2160</v>
      </c>
      <c r="H16" s="7" t="s">
        <v>2148</v>
      </c>
      <c r="I16" s="19" t="s">
        <v>2161</v>
      </c>
      <c r="J16" s="7" t="s">
        <v>30</v>
      </c>
      <c r="K16" s="7" t="s">
        <v>520</v>
      </c>
      <c r="L16" s="7" t="s">
        <v>307</v>
      </c>
      <c r="M16" s="7">
        <v>76101000</v>
      </c>
      <c r="N16" s="7">
        <v>1</v>
      </c>
      <c r="O16" s="7"/>
      <c r="P16" s="7"/>
      <c r="R16" s="9">
        <v>346.40374196502881</v>
      </c>
      <c r="T16" s="7" t="s">
        <v>34</v>
      </c>
      <c r="U16" s="7" t="s">
        <v>34</v>
      </c>
    </row>
    <row r="17" spans="1:21" ht="14.1" customHeight="1">
      <c r="A17" s="7">
        <v>13</v>
      </c>
      <c r="B17" s="14" t="s">
        <v>340</v>
      </c>
      <c r="C17" s="14" t="s">
        <v>340</v>
      </c>
      <c r="D17" s="7" t="s">
        <v>798</v>
      </c>
      <c r="E17" s="14" t="s">
        <v>2135</v>
      </c>
      <c r="F17" s="7" t="s">
        <v>2136</v>
      </c>
      <c r="G17" s="19" t="s">
        <v>2162</v>
      </c>
      <c r="H17" s="7" t="s">
        <v>2148</v>
      </c>
      <c r="I17" s="19" t="s">
        <v>2163</v>
      </c>
      <c r="J17" s="7" t="s">
        <v>30</v>
      </c>
      <c r="K17" s="7" t="s">
        <v>520</v>
      </c>
      <c r="L17" s="7" t="s">
        <v>307</v>
      </c>
      <c r="M17" s="7">
        <v>76101000</v>
      </c>
      <c r="N17" s="7">
        <v>1</v>
      </c>
      <c r="O17" s="7"/>
      <c r="P17" s="7"/>
      <c r="R17" s="9">
        <v>461.57722557402229</v>
      </c>
      <c r="T17" s="7" t="s">
        <v>34</v>
      </c>
      <c r="U17" s="7" t="s">
        <v>34</v>
      </c>
    </row>
    <row r="18" spans="1:21" ht="14.1" customHeight="1">
      <c r="A18" s="7">
        <v>14</v>
      </c>
      <c r="B18" s="14" t="s">
        <v>340</v>
      </c>
      <c r="C18" s="14" t="s">
        <v>340</v>
      </c>
      <c r="D18" s="7" t="s">
        <v>798</v>
      </c>
      <c r="E18" s="14" t="s">
        <v>2135</v>
      </c>
      <c r="F18" s="7" t="s">
        <v>2136</v>
      </c>
      <c r="G18" s="19" t="s">
        <v>2164</v>
      </c>
      <c r="H18" s="7" t="s">
        <v>2148</v>
      </c>
      <c r="I18" s="19" t="s">
        <v>2165</v>
      </c>
      <c r="J18" s="7" t="s">
        <v>30</v>
      </c>
      <c r="K18" s="7" t="s">
        <v>520</v>
      </c>
      <c r="L18" s="7" t="s">
        <v>307</v>
      </c>
      <c r="M18" s="7">
        <v>76101000</v>
      </c>
      <c r="N18" s="7">
        <v>1</v>
      </c>
      <c r="O18" s="7"/>
      <c r="P18" s="7"/>
      <c r="R18" s="9">
        <v>427.05206326509102</v>
      </c>
      <c r="T18" s="7" t="s">
        <v>34</v>
      </c>
      <c r="U18" s="7" t="s">
        <v>34</v>
      </c>
    </row>
    <row r="19" spans="1:21" ht="14.1" customHeight="1">
      <c r="A19" s="7">
        <v>15</v>
      </c>
      <c r="B19" s="14" t="s">
        <v>340</v>
      </c>
      <c r="C19" s="14" t="s">
        <v>340</v>
      </c>
      <c r="D19" s="7" t="s">
        <v>798</v>
      </c>
      <c r="E19" s="14" t="s">
        <v>2135</v>
      </c>
      <c r="F19" s="7" t="s">
        <v>2136</v>
      </c>
      <c r="G19" s="19" t="s">
        <v>2166</v>
      </c>
      <c r="H19" s="7" t="s">
        <v>2148</v>
      </c>
      <c r="I19" s="19" t="s">
        <v>2167</v>
      </c>
      <c r="J19" s="7" t="s">
        <v>30</v>
      </c>
      <c r="K19" s="7" t="s">
        <v>520</v>
      </c>
      <c r="L19" s="7" t="s">
        <v>307</v>
      </c>
      <c r="M19" s="7">
        <v>76101000</v>
      </c>
      <c r="N19" s="7">
        <v>1</v>
      </c>
      <c r="O19" s="7"/>
      <c r="P19" s="7"/>
      <c r="R19" s="9">
        <v>569.64597611610566</v>
      </c>
      <c r="T19" s="7" t="s">
        <v>34</v>
      </c>
      <c r="U19" s="7" t="s">
        <v>34</v>
      </c>
    </row>
    <row r="20" spans="1:21" ht="14.1" customHeight="1">
      <c r="A20" s="7">
        <v>16</v>
      </c>
      <c r="B20" s="14" t="s">
        <v>340</v>
      </c>
      <c r="C20" s="152" t="s">
        <v>340</v>
      </c>
      <c r="D20" s="7" t="s">
        <v>798</v>
      </c>
      <c r="E20" s="14" t="s">
        <v>799</v>
      </c>
      <c r="F20" s="7" t="s">
        <v>2136</v>
      </c>
      <c r="G20" s="19" t="s">
        <v>2168</v>
      </c>
      <c r="H20" s="153" t="s">
        <v>2148</v>
      </c>
      <c r="I20" s="8" t="s">
        <v>2169</v>
      </c>
      <c r="J20" s="7" t="s">
        <v>30</v>
      </c>
      <c r="K20" s="7" t="s">
        <v>520</v>
      </c>
      <c r="L20" s="7" t="s">
        <v>307</v>
      </c>
      <c r="M20" s="7">
        <v>76101000</v>
      </c>
      <c r="N20" s="7">
        <v>1</v>
      </c>
      <c r="O20" s="7"/>
      <c r="P20" s="7"/>
      <c r="R20" s="9">
        <v>517.42938840452564</v>
      </c>
      <c r="T20" s="7" t="s">
        <v>34</v>
      </c>
      <c r="U20" s="7" t="s">
        <v>34</v>
      </c>
    </row>
    <row r="21" spans="1:21" ht="14.1" customHeight="1">
      <c r="A21" s="7">
        <v>17</v>
      </c>
      <c r="B21" s="14" t="s">
        <v>340</v>
      </c>
      <c r="C21" s="152" t="s">
        <v>340</v>
      </c>
      <c r="D21" s="7" t="s">
        <v>798</v>
      </c>
      <c r="E21" s="14" t="s">
        <v>799</v>
      </c>
      <c r="F21" s="7" t="s">
        <v>2136</v>
      </c>
      <c r="G21" s="19" t="s">
        <v>2170</v>
      </c>
      <c r="H21" s="153" t="s">
        <v>2148</v>
      </c>
      <c r="I21" s="8" t="s">
        <v>2171</v>
      </c>
      <c r="J21" s="7" t="s">
        <v>30</v>
      </c>
      <c r="K21" s="7" t="s">
        <v>520</v>
      </c>
      <c r="L21" s="7" t="s">
        <v>307</v>
      </c>
      <c r="M21" s="7">
        <v>76101000</v>
      </c>
      <c r="N21" s="7">
        <v>1</v>
      </c>
      <c r="O21" s="7"/>
      <c r="P21" s="7"/>
      <c r="R21" s="9">
        <v>543.56968556241873</v>
      </c>
      <c r="T21" s="7" t="s">
        <v>34</v>
      </c>
      <c r="U21" s="7" t="s">
        <v>34</v>
      </c>
    </row>
    <row r="22" spans="1:21" ht="14.1" customHeight="1">
      <c r="A22" s="7">
        <v>18</v>
      </c>
      <c r="B22" s="14" t="s">
        <v>340</v>
      </c>
      <c r="C22" s="152" t="s">
        <v>340</v>
      </c>
      <c r="D22" s="7" t="s">
        <v>798</v>
      </c>
      <c r="E22" s="14" t="s">
        <v>799</v>
      </c>
      <c r="F22" s="7" t="s">
        <v>2136</v>
      </c>
      <c r="G22" s="19" t="s">
        <v>2172</v>
      </c>
      <c r="H22" s="153" t="s">
        <v>2148</v>
      </c>
      <c r="I22" s="8" t="s">
        <v>2173</v>
      </c>
      <c r="J22" s="7" t="s">
        <v>30</v>
      </c>
      <c r="K22" s="7" t="s">
        <v>520</v>
      </c>
      <c r="L22" s="7" t="s">
        <v>307</v>
      </c>
      <c r="M22" s="7">
        <v>76101000</v>
      </c>
      <c r="N22" s="7">
        <v>1</v>
      </c>
      <c r="O22" s="7"/>
      <c r="P22" s="7"/>
      <c r="R22" s="9">
        <v>568.63467176964457</v>
      </c>
      <c r="T22" s="7" t="s">
        <v>34</v>
      </c>
      <c r="U22" s="7" t="s">
        <v>34</v>
      </c>
    </row>
    <row r="23" spans="1:21" s="22" customFormat="1" ht="14.1" customHeight="1">
      <c r="A23" s="7">
        <v>19</v>
      </c>
      <c r="B23" s="14" t="s">
        <v>340</v>
      </c>
      <c r="C23" s="152" t="s">
        <v>340</v>
      </c>
      <c r="D23" s="29" t="s">
        <v>2174</v>
      </c>
      <c r="E23" s="19" t="s">
        <v>2175</v>
      </c>
      <c r="F23" s="29" t="s">
        <v>2136</v>
      </c>
      <c r="G23" s="19" t="s">
        <v>2176</v>
      </c>
      <c r="H23" s="29" t="s">
        <v>2177</v>
      </c>
      <c r="I23" s="19" t="s">
        <v>2178</v>
      </c>
      <c r="J23" s="29" t="s">
        <v>30</v>
      </c>
      <c r="K23" s="297" t="s">
        <v>520</v>
      </c>
      <c r="L23" s="29" t="s">
        <v>307</v>
      </c>
      <c r="M23" s="29">
        <v>76101000</v>
      </c>
      <c r="N23" s="7">
        <v>1</v>
      </c>
      <c r="O23" s="29"/>
      <c r="P23" s="29"/>
      <c r="R23" s="9">
        <v>233.61130403251329</v>
      </c>
      <c r="T23" s="19"/>
      <c r="U23" s="29" t="s">
        <v>34</v>
      </c>
    </row>
    <row r="24" spans="1:21" s="22" customFormat="1" ht="14.1" customHeight="1">
      <c r="A24" s="7">
        <v>20</v>
      </c>
      <c r="B24" s="14" t="s">
        <v>340</v>
      </c>
      <c r="C24" s="152" t="s">
        <v>340</v>
      </c>
      <c r="D24" s="29" t="s">
        <v>2174</v>
      </c>
      <c r="E24" s="19" t="s">
        <v>2175</v>
      </c>
      <c r="F24" s="29" t="s">
        <v>2136</v>
      </c>
      <c r="G24" s="19" t="s">
        <v>2179</v>
      </c>
      <c r="H24" s="29" t="s">
        <v>2177</v>
      </c>
      <c r="I24" s="19" t="s">
        <v>2180</v>
      </c>
      <c r="J24" s="29" t="s">
        <v>30</v>
      </c>
      <c r="K24" s="297" t="s">
        <v>520</v>
      </c>
      <c r="L24" s="29" t="s">
        <v>307</v>
      </c>
      <c r="M24" s="29">
        <v>76101000</v>
      </c>
      <c r="N24" s="7">
        <v>1</v>
      </c>
      <c r="O24" s="29"/>
      <c r="P24" s="29"/>
      <c r="R24" s="9">
        <v>245.70855222752269</v>
      </c>
      <c r="T24" s="19"/>
      <c r="U24" s="29" t="s">
        <v>34</v>
      </c>
    </row>
    <row r="25" spans="1:21" s="22" customFormat="1" ht="14.1" customHeight="1">
      <c r="A25" s="7">
        <v>21</v>
      </c>
      <c r="B25" s="14" t="s">
        <v>340</v>
      </c>
      <c r="C25" s="152" t="s">
        <v>340</v>
      </c>
      <c r="D25" s="29" t="s">
        <v>2174</v>
      </c>
      <c r="E25" s="19" t="s">
        <v>2175</v>
      </c>
      <c r="F25" s="29" t="s">
        <v>2136</v>
      </c>
      <c r="G25" s="19" t="s">
        <v>2181</v>
      </c>
      <c r="H25" s="29" t="s">
        <v>2177</v>
      </c>
      <c r="I25" s="19" t="s">
        <v>2182</v>
      </c>
      <c r="J25" s="29" t="s">
        <v>30</v>
      </c>
      <c r="K25" s="297" t="s">
        <v>520</v>
      </c>
      <c r="L25" s="29" t="s">
        <v>307</v>
      </c>
      <c r="M25" s="29">
        <v>76101000</v>
      </c>
      <c r="N25" s="7">
        <v>1</v>
      </c>
      <c r="O25" s="29"/>
      <c r="P25" s="29"/>
      <c r="R25" s="9">
        <v>282.80678002555118</v>
      </c>
      <c r="T25" s="19"/>
      <c r="U25" s="29" t="s">
        <v>34</v>
      </c>
    </row>
    <row r="26" spans="1:21" s="22" customFormat="1" ht="14.1" customHeight="1">
      <c r="A26" s="7">
        <v>22</v>
      </c>
      <c r="B26" s="14" t="s">
        <v>340</v>
      </c>
      <c r="C26" s="152" t="s">
        <v>340</v>
      </c>
      <c r="D26" s="29" t="s">
        <v>2174</v>
      </c>
      <c r="E26" s="19" t="s">
        <v>2175</v>
      </c>
      <c r="F26" s="29" t="s">
        <v>2136</v>
      </c>
      <c r="G26" s="19" t="s">
        <v>2183</v>
      </c>
      <c r="H26" s="29" t="s">
        <v>2177</v>
      </c>
      <c r="I26" s="19" t="s">
        <v>2184</v>
      </c>
      <c r="J26" s="29" t="s">
        <v>30</v>
      </c>
      <c r="K26" s="297" t="s">
        <v>520</v>
      </c>
      <c r="L26" s="29" t="s">
        <v>307</v>
      </c>
      <c r="M26" s="29">
        <v>76101000</v>
      </c>
      <c r="N26" s="7">
        <v>1</v>
      </c>
      <c r="O26" s="29"/>
      <c r="P26" s="29"/>
      <c r="R26" s="9">
        <v>314.52845307024239</v>
      </c>
      <c r="T26" s="19"/>
      <c r="U26" s="29" t="s">
        <v>34</v>
      </c>
    </row>
    <row r="27" spans="1:21" s="22" customFormat="1" ht="14.1" customHeight="1">
      <c r="A27" s="7">
        <v>23</v>
      </c>
      <c r="B27" s="14" t="s">
        <v>340</v>
      </c>
      <c r="C27" s="152" t="s">
        <v>340</v>
      </c>
      <c r="D27" s="29" t="s">
        <v>2174</v>
      </c>
      <c r="E27" s="19" t="s">
        <v>2175</v>
      </c>
      <c r="F27" s="29" t="s">
        <v>2136</v>
      </c>
      <c r="G27" s="19" t="s">
        <v>2185</v>
      </c>
      <c r="H27" s="29" t="s">
        <v>2177</v>
      </c>
      <c r="I27" s="19" t="s">
        <v>2186</v>
      </c>
      <c r="J27" s="29" t="s">
        <v>30</v>
      </c>
      <c r="K27" s="297" t="s">
        <v>520</v>
      </c>
      <c r="L27" s="29" t="s">
        <v>307</v>
      </c>
      <c r="M27" s="29">
        <v>76101000</v>
      </c>
      <c r="N27" s="7">
        <v>1</v>
      </c>
      <c r="O27" s="29"/>
      <c r="P27" s="29"/>
      <c r="R27" s="9">
        <v>341.68005457459662</v>
      </c>
      <c r="T27" s="19"/>
      <c r="U27" s="29" t="s">
        <v>34</v>
      </c>
    </row>
    <row r="28" spans="1:21" s="22" customFormat="1" ht="14.1" customHeight="1">
      <c r="A28" s="7">
        <v>24</v>
      </c>
      <c r="B28" s="14" t="s">
        <v>340</v>
      </c>
      <c r="C28" s="152" t="s">
        <v>340</v>
      </c>
      <c r="D28" s="29" t="s">
        <v>2174</v>
      </c>
      <c r="E28" s="19" t="s">
        <v>2175</v>
      </c>
      <c r="F28" s="29" t="s">
        <v>2136</v>
      </c>
      <c r="G28" s="19" t="s">
        <v>2147</v>
      </c>
      <c r="H28" s="29" t="s">
        <v>2177</v>
      </c>
      <c r="I28" s="19" t="s">
        <v>2187</v>
      </c>
      <c r="J28" s="29" t="s">
        <v>30</v>
      </c>
      <c r="K28" s="297" t="s">
        <v>520</v>
      </c>
      <c r="L28" s="29" t="s">
        <v>307</v>
      </c>
      <c r="M28" s="29">
        <v>76101000</v>
      </c>
      <c r="N28" s="7">
        <v>1</v>
      </c>
      <c r="O28" s="29"/>
      <c r="P28" s="29"/>
      <c r="R28" s="9">
        <v>354.58378598260663</v>
      </c>
      <c r="T28" s="19"/>
      <c r="U28" s="29" t="s">
        <v>34</v>
      </c>
    </row>
    <row r="29" spans="1:21" s="22" customFormat="1" ht="14.1" customHeight="1">
      <c r="A29" s="7">
        <v>25</v>
      </c>
      <c r="B29" s="14" t="s">
        <v>340</v>
      </c>
      <c r="C29" s="152" t="s">
        <v>340</v>
      </c>
      <c r="D29" s="29" t="s">
        <v>2174</v>
      </c>
      <c r="E29" s="19" t="s">
        <v>2175</v>
      </c>
      <c r="F29" s="29" t="s">
        <v>2136</v>
      </c>
      <c r="G29" s="19" t="s">
        <v>2150</v>
      </c>
      <c r="H29" s="29" t="s">
        <v>2177</v>
      </c>
      <c r="I29" s="19" t="s">
        <v>2188</v>
      </c>
      <c r="J29" s="29" t="s">
        <v>30</v>
      </c>
      <c r="K29" s="297" t="s">
        <v>520</v>
      </c>
      <c r="L29" s="29" t="s">
        <v>307</v>
      </c>
      <c r="M29" s="29">
        <v>76101000</v>
      </c>
      <c r="N29" s="7">
        <v>1</v>
      </c>
      <c r="O29" s="29"/>
      <c r="P29" s="29"/>
      <c r="R29" s="9">
        <v>368.67804022885548</v>
      </c>
      <c r="T29" s="19"/>
      <c r="U29" s="29" t="s">
        <v>34</v>
      </c>
    </row>
    <row r="30" spans="1:21" s="22" customFormat="1" ht="14.1" customHeight="1">
      <c r="A30" s="7">
        <v>26</v>
      </c>
      <c r="B30" s="14" t="s">
        <v>340</v>
      </c>
      <c r="C30" s="152" t="s">
        <v>340</v>
      </c>
      <c r="D30" s="29" t="s">
        <v>2174</v>
      </c>
      <c r="E30" s="19" t="s">
        <v>2175</v>
      </c>
      <c r="F30" s="29" t="s">
        <v>2136</v>
      </c>
      <c r="G30" s="19" t="s">
        <v>2152</v>
      </c>
      <c r="H30" s="29" t="s">
        <v>2177</v>
      </c>
      <c r="I30" s="19" t="s">
        <v>2189</v>
      </c>
      <c r="J30" s="29" t="s">
        <v>30</v>
      </c>
      <c r="K30" s="297" t="s">
        <v>520</v>
      </c>
      <c r="L30" s="29" t="s">
        <v>307</v>
      </c>
      <c r="M30" s="29">
        <v>76101000</v>
      </c>
      <c r="N30" s="7">
        <v>1</v>
      </c>
      <c r="O30" s="29"/>
      <c r="P30" s="29"/>
      <c r="R30" s="9">
        <v>391.72041774315898</v>
      </c>
      <c r="T30" s="19"/>
      <c r="U30" s="29" t="s">
        <v>34</v>
      </c>
    </row>
    <row r="31" spans="1:21" s="22" customFormat="1" ht="14.1" customHeight="1">
      <c r="A31" s="7">
        <v>27</v>
      </c>
      <c r="B31" s="14" t="s">
        <v>340</v>
      </c>
      <c r="C31" s="152" t="s">
        <v>340</v>
      </c>
      <c r="D31" s="29" t="s">
        <v>2174</v>
      </c>
      <c r="E31" s="19" t="s">
        <v>2175</v>
      </c>
      <c r="F31" s="29" t="s">
        <v>2136</v>
      </c>
      <c r="G31" s="19" t="s">
        <v>2190</v>
      </c>
      <c r="H31" s="29" t="s">
        <v>2177</v>
      </c>
      <c r="I31" s="19" t="s">
        <v>2191</v>
      </c>
      <c r="J31" s="29" t="s">
        <v>30</v>
      </c>
      <c r="K31" s="297" t="s">
        <v>520</v>
      </c>
      <c r="L31" s="29" t="s">
        <v>307</v>
      </c>
      <c r="M31" s="29">
        <v>76101000</v>
      </c>
      <c r="N31" s="7">
        <v>1</v>
      </c>
      <c r="O31" s="29"/>
      <c r="P31" s="29"/>
      <c r="R31" s="9">
        <v>412.38174958098438</v>
      </c>
      <c r="T31" s="19"/>
      <c r="U31" s="29" t="s">
        <v>34</v>
      </c>
    </row>
    <row r="32" spans="1:21" s="22" customFormat="1" ht="14.1" customHeight="1">
      <c r="A32" s="7">
        <v>28</v>
      </c>
      <c r="B32" s="14" t="s">
        <v>340</v>
      </c>
      <c r="C32" s="152" t="s">
        <v>340</v>
      </c>
      <c r="D32" s="29" t="s">
        <v>2174</v>
      </c>
      <c r="E32" s="19" t="s">
        <v>2175</v>
      </c>
      <c r="F32" s="29" t="s">
        <v>2136</v>
      </c>
      <c r="G32" s="19" t="s">
        <v>2192</v>
      </c>
      <c r="H32" s="29" t="s">
        <v>2177</v>
      </c>
      <c r="I32" s="19" t="s">
        <v>2193</v>
      </c>
      <c r="J32" s="29" t="s">
        <v>30</v>
      </c>
      <c r="K32" s="297" t="s">
        <v>520</v>
      </c>
      <c r="L32" s="29" t="s">
        <v>307</v>
      </c>
      <c r="M32" s="29">
        <v>76101000</v>
      </c>
      <c r="N32" s="7">
        <v>1</v>
      </c>
      <c r="O32" s="29"/>
      <c r="P32" s="29"/>
      <c r="R32" s="9">
        <v>468.02909127802729</v>
      </c>
      <c r="T32" s="19"/>
      <c r="U32" s="29" t="s">
        <v>34</v>
      </c>
    </row>
    <row r="33" spans="1:21" s="22" customFormat="1" ht="14.1" customHeight="1">
      <c r="A33" s="7">
        <v>29</v>
      </c>
      <c r="B33" s="14" t="s">
        <v>340</v>
      </c>
      <c r="C33" s="152" t="s">
        <v>340</v>
      </c>
      <c r="D33" s="29" t="s">
        <v>2194</v>
      </c>
      <c r="E33" s="19" t="s">
        <v>2195</v>
      </c>
      <c r="F33" s="29" t="s">
        <v>2136</v>
      </c>
      <c r="G33" s="19" t="s">
        <v>2196</v>
      </c>
      <c r="H33" s="29" t="s">
        <v>2177</v>
      </c>
      <c r="I33" s="19" t="s">
        <v>2197</v>
      </c>
      <c r="J33" s="29" t="s">
        <v>30</v>
      </c>
      <c r="K33" s="297" t="s">
        <v>520</v>
      </c>
      <c r="L33" s="29" t="s">
        <v>307</v>
      </c>
      <c r="M33" s="29">
        <v>76101000</v>
      </c>
      <c r="N33" s="7">
        <v>1</v>
      </c>
      <c r="O33" s="29"/>
      <c r="P33" s="29"/>
      <c r="R33" s="9">
        <v>569.10832064077192</v>
      </c>
      <c r="T33" s="19"/>
      <c r="U33" s="29" t="s">
        <v>34</v>
      </c>
    </row>
    <row r="34" spans="1:21" s="22" customFormat="1" ht="14.1" customHeight="1">
      <c r="A34" s="7">
        <v>30</v>
      </c>
      <c r="B34" s="14" t="s">
        <v>340</v>
      </c>
      <c r="C34" s="152" t="s">
        <v>340</v>
      </c>
      <c r="D34" s="29" t="s">
        <v>2174</v>
      </c>
      <c r="E34" s="19" t="s">
        <v>2175</v>
      </c>
      <c r="F34" s="29" t="s">
        <v>2136</v>
      </c>
      <c r="G34" s="19" t="s">
        <v>2198</v>
      </c>
      <c r="H34" s="29" t="s">
        <v>2177</v>
      </c>
      <c r="I34" s="19" t="s">
        <v>2199</v>
      </c>
      <c r="J34" s="29" t="s">
        <v>30</v>
      </c>
      <c r="K34" s="297" t="s">
        <v>520</v>
      </c>
      <c r="L34" s="29" t="s">
        <v>307</v>
      </c>
      <c r="M34" s="29">
        <v>76101000</v>
      </c>
      <c r="N34" s="7">
        <v>1</v>
      </c>
      <c r="O34" s="29"/>
      <c r="P34" s="29"/>
      <c r="R34" s="9">
        <v>713.46881576788303</v>
      </c>
      <c r="T34" s="19"/>
      <c r="U34" s="29" t="s">
        <v>34</v>
      </c>
    </row>
    <row r="35" spans="1:21" s="22" customFormat="1" ht="14.1" customHeight="1">
      <c r="A35" s="7">
        <v>31</v>
      </c>
      <c r="B35" s="14" t="s">
        <v>340</v>
      </c>
      <c r="C35" s="152" t="s">
        <v>340</v>
      </c>
      <c r="D35" s="29" t="s">
        <v>2174</v>
      </c>
      <c r="E35" s="19" t="s">
        <v>2175</v>
      </c>
      <c r="F35" s="29" t="s">
        <v>2136</v>
      </c>
      <c r="G35" s="19" t="s">
        <v>2200</v>
      </c>
      <c r="H35" s="29" t="s">
        <v>2177</v>
      </c>
      <c r="I35" s="19" t="s">
        <v>2201</v>
      </c>
      <c r="J35" s="29" t="s">
        <v>30</v>
      </c>
      <c r="K35" s="297" t="s">
        <v>520</v>
      </c>
      <c r="L35" s="29" t="s">
        <v>307</v>
      </c>
      <c r="M35" s="29">
        <v>76101000</v>
      </c>
      <c r="N35" s="7">
        <v>1</v>
      </c>
      <c r="O35" s="29"/>
      <c r="P35" s="29"/>
      <c r="R35" s="9">
        <v>406.46753935231322</v>
      </c>
      <c r="T35" s="19"/>
      <c r="U35" s="29" t="s">
        <v>34</v>
      </c>
    </row>
    <row r="36" spans="1:21" s="22" customFormat="1" ht="14.1" customHeight="1">
      <c r="A36" s="7">
        <v>32</v>
      </c>
      <c r="B36" s="14" t="s">
        <v>340</v>
      </c>
      <c r="C36" s="152" t="s">
        <v>340</v>
      </c>
      <c r="D36" s="29" t="s">
        <v>2174</v>
      </c>
      <c r="E36" s="19" t="s">
        <v>2175</v>
      </c>
      <c r="F36" s="29" t="s">
        <v>2136</v>
      </c>
      <c r="G36" s="19" t="s">
        <v>2202</v>
      </c>
      <c r="H36" s="29" t="s">
        <v>2177</v>
      </c>
      <c r="I36" s="19" t="s">
        <v>2203</v>
      </c>
      <c r="J36" s="29" t="s">
        <v>30</v>
      </c>
      <c r="K36" s="297" t="s">
        <v>520</v>
      </c>
      <c r="L36" s="29" t="s">
        <v>307</v>
      </c>
      <c r="M36" s="29">
        <v>76101000</v>
      </c>
      <c r="N36" s="7">
        <v>1</v>
      </c>
      <c r="O36" s="29"/>
      <c r="P36" s="29"/>
      <c r="R36" s="9">
        <v>431.46851895533251</v>
      </c>
      <c r="T36" s="19"/>
      <c r="U36" s="29" t="s">
        <v>34</v>
      </c>
    </row>
    <row r="37" spans="1:21" s="22" customFormat="1" ht="14.1" customHeight="1">
      <c r="A37" s="7">
        <v>33</v>
      </c>
      <c r="B37" s="14" t="s">
        <v>340</v>
      </c>
      <c r="C37" s="152" t="s">
        <v>340</v>
      </c>
      <c r="D37" s="29" t="s">
        <v>2174</v>
      </c>
      <c r="E37" s="19" t="s">
        <v>2175</v>
      </c>
      <c r="F37" s="29" t="s">
        <v>2136</v>
      </c>
      <c r="G37" s="19" t="s">
        <v>2204</v>
      </c>
      <c r="H37" s="29" t="s">
        <v>2177</v>
      </c>
      <c r="I37" s="19" t="s">
        <v>2205</v>
      </c>
      <c r="J37" s="29" t="s">
        <v>30</v>
      </c>
      <c r="K37" s="297" t="s">
        <v>520</v>
      </c>
      <c r="L37" s="29" t="s">
        <v>307</v>
      </c>
      <c r="M37" s="29">
        <v>76101000</v>
      </c>
      <c r="N37" s="7">
        <v>1</v>
      </c>
      <c r="O37" s="29"/>
      <c r="P37" s="29"/>
      <c r="R37" s="9">
        <v>484.14595421719838</v>
      </c>
      <c r="T37" s="19"/>
      <c r="U37" s="29" t="s">
        <v>34</v>
      </c>
    </row>
    <row r="38" spans="1:21" s="22" customFormat="1" ht="14.1" customHeight="1">
      <c r="A38" s="7">
        <v>34</v>
      </c>
      <c r="B38" s="14" t="s">
        <v>340</v>
      </c>
      <c r="C38" s="152" t="s">
        <v>340</v>
      </c>
      <c r="D38" s="29" t="s">
        <v>2174</v>
      </c>
      <c r="E38" s="19" t="s">
        <v>2175</v>
      </c>
      <c r="F38" s="29" t="s">
        <v>2136</v>
      </c>
      <c r="G38" s="19" t="s">
        <v>2206</v>
      </c>
      <c r="H38" s="29" t="s">
        <v>2177</v>
      </c>
      <c r="I38" s="19" t="s">
        <v>2207</v>
      </c>
      <c r="J38" s="29" t="s">
        <v>30</v>
      </c>
      <c r="K38" s="297" t="s">
        <v>520</v>
      </c>
      <c r="L38" s="29" t="s">
        <v>307</v>
      </c>
      <c r="M38" s="29">
        <v>76101000</v>
      </c>
      <c r="N38" s="7">
        <v>1</v>
      </c>
      <c r="O38" s="29"/>
      <c r="P38" s="29"/>
      <c r="R38" s="9">
        <v>509.69739061639291</v>
      </c>
      <c r="T38" s="19"/>
      <c r="U38" s="29" t="s">
        <v>34</v>
      </c>
    </row>
    <row r="39" spans="1:21" s="22" customFormat="1" ht="14.1" customHeight="1">
      <c r="A39" s="7">
        <v>35</v>
      </c>
      <c r="B39" s="14" t="s">
        <v>340</v>
      </c>
      <c r="C39" s="152" t="s">
        <v>340</v>
      </c>
      <c r="D39" s="29" t="s">
        <v>2174</v>
      </c>
      <c r="E39" s="19" t="s">
        <v>2175</v>
      </c>
      <c r="F39" s="29" t="s">
        <v>2136</v>
      </c>
      <c r="G39" s="19" t="s">
        <v>2208</v>
      </c>
      <c r="H39" s="29" t="s">
        <v>2177</v>
      </c>
      <c r="I39" s="19" t="s">
        <v>2209</v>
      </c>
      <c r="J39" s="29" t="s">
        <v>30</v>
      </c>
      <c r="K39" s="297" t="s">
        <v>520</v>
      </c>
      <c r="L39" s="29" t="s">
        <v>307</v>
      </c>
      <c r="M39" s="29">
        <v>76101000</v>
      </c>
      <c r="N39" s="7">
        <v>1</v>
      </c>
      <c r="O39" s="29"/>
      <c r="P39" s="29"/>
      <c r="R39" s="9">
        <v>563.73176588743434</v>
      </c>
      <c r="T39" s="19"/>
      <c r="U39" s="29" t="s">
        <v>34</v>
      </c>
    </row>
    <row r="40" spans="1:21" s="22" customFormat="1" ht="14.1" customHeight="1">
      <c r="A40" s="7">
        <v>36</v>
      </c>
      <c r="B40" s="14" t="s">
        <v>340</v>
      </c>
      <c r="C40" s="152" t="s">
        <v>340</v>
      </c>
      <c r="D40" s="29" t="s">
        <v>1402</v>
      </c>
      <c r="E40" s="19" t="s">
        <v>2210</v>
      </c>
      <c r="F40" s="29" t="s">
        <v>2136</v>
      </c>
      <c r="G40" s="19" t="s">
        <v>2211</v>
      </c>
      <c r="H40" s="29" t="s">
        <v>2177</v>
      </c>
      <c r="I40" s="19" t="s">
        <v>2212</v>
      </c>
      <c r="J40" s="29" t="s">
        <v>30</v>
      </c>
      <c r="K40" s="297" t="s">
        <v>520</v>
      </c>
      <c r="L40" s="29" t="s">
        <v>307</v>
      </c>
      <c r="M40" s="29">
        <v>76101000</v>
      </c>
      <c r="N40" s="7">
        <v>1</v>
      </c>
      <c r="O40" s="29"/>
      <c r="P40" s="29"/>
      <c r="R40" s="9">
        <v>588.46391775278687</v>
      </c>
      <c r="T40" s="19"/>
      <c r="U40" s="29" t="s">
        <v>34</v>
      </c>
    </row>
    <row r="41" spans="1:21" s="22" customFormat="1" ht="14.1" customHeight="1">
      <c r="A41" s="7">
        <v>37</v>
      </c>
      <c r="B41" s="14" t="s">
        <v>340</v>
      </c>
      <c r="C41" s="152" t="s">
        <v>340</v>
      </c>
      <c r="D41" s="29" t="s">
        <v>2174</v>
      </c>
      <c r="E41" s="19" t="s">
        <v>2175</v>
      </c>
      <c r="F41" s="29" t="s">
        <v>2136</v>
      </c>
      <c r="G41" s="19" t="s">
        <v>2213</v>
      </c>
      <c r="H41" s="29" t="s">
        <v>2177</v>
      </c>
      <c r="I41" s="19" t="s">
        <v>2214</v>
      </c>
      <c r="J41" s="29" t="s">
        <v>30</v>
      </c>
      <c r="K41" s="297" t="s">
        <v>520</v>
      </c>
      <c r="L41" s="29" t="s">
        <v>307</v>
      </c>
      <c r="M41" s="29">
        <v>76101000</v>
      </c>
      <c r="N41" s="7">
        <v>1</v>
      </c>
      <c r="O41" s="29"/>
      <c r="P41" s="29"/>
      <c r="R41" s="9">
        <v>614.00255283113972</v>
      </c>
      <c r="T41" s="19"/>
      <c r="U41" s="29" t="s">
        <v>34</v>
      </c>
    </row>
    <row r="42" spans="1:21" s="22" customFormat="1" ht="14.1" customHeight="1">
      <c r="A42" s="7">
        <v>38</v>
      </c>
      <c r="B42" s="14" t="s">
        <v>340</v>
      </c>
      <c r="C42" s="152" t="s">
        <v>340</v>
      </c>
      <c r="D42" s="29" t="s">
        <v>2174</v>
      </c>
      <c r="E42" s="19" t="s">
        <v>2175</v>
      </c>
      <c r="F42" s="29" t="s">
        <v>2136</v>
      </c>
      <c r="G42" s="19" t="s">
        <v>2215</v>
      </c>
      <c r="H42" s="29" t="s">
        <v>2177</v>
      </c>
      <c r="I42" s="19" t="s">
        <v>2216</v>
      </c>
      <c r="J42" s="29" t="s">
        <v>30</v>
      </c>
      <c r="K42" s="297" t="s">
        <v>520</v>
      </c>
      <c r="L42" s="29" t="s">
        <v>307</v>
      </c>
      <c r="M42" s="29">
        <v>76101000</v>
      </c>
      <c r="N42" s="7">
        <v>1</v>
      </c>
      <c r="O42" s="29"/>
      <c r="P42" s="29"/>
      <c r="R42" s="9">
        <v>641.42298207316094</v>
      </c>
      <c r="T42" s="19"/>
      <c r="U42" s="29" t="s">
        <v>34</v>
      </c>
    </row>
    <row r="43" spans="1:21" s="22" customFormat="1" ht="14.1" customHeight="1">
      <c r="A43" s="7">
        <v>39</v>
      </c>
      <c r="B43" s="14" t="s">
        <v>340</v>
      </c>
      <c r="C43" s="152" t="s">
        <v>340</v>
      </c>
      <c r="D43" s="29" t="s">
        <v>2174</v>
      </c>
      <c r="E43" s="19" t="s">
        <v>2175</v>
      </c>
      <c r="F43" s="29" t="s">
        <v>2136</v>
      </c>
      <c r="G43" s="19" t="s">
        <v>2217</v>
      </c>
      <c r="H43" s="29" t="s">
        <v>2177</v>
      </c>
      <c r="I43" s="19" t="s">
        <v>2218</v>
      </c>
      <c r="J43" s="29" t="s">
        <v>30</v>
      </c>
      <c r="K43" s="297" t="s">
        <v>520</v>
      </c>
      <c r="L43" s="29" t="s">
        <v>307</v>
      </c>
      <c r="M43" s="29">
        <v>76101000</v>
      </c>
      <c r="N43" s="7">
        <v>1</v>
      </c>
      <c r="O43" s="29"/>
      <c r="P43" s="29"/>
      <c r="R43" s="9">
        <v>666.96161715151379</v>
      </c>
      <c r="T43" s="19"/>
      <c r="U43" s="29" t="s">
        <v>34</v>
      </c>
    </row>
    <row r="44" spans="1:21" s="22" customFormat="1" ht="14.1" customHeight="1">
      <c r="A44" s="7">
        <v>40</v>
      </c>
      <c r="B44" s="14" t="s">
        <v>340</v>
      </c>
      <c r="C44" s="152" t="s">
        <v>340</v>
      </c>
      <c r="D44" s="29" t="s">
        <v>2174</v>
      </c>
      <c r="E44" s="19" t="s">
        <v>2175</v>
      </c>
      <c r="F44" s="29" t="s">
        <v>2136</v>
      </c>
      <c r="G44" s="19" t="s">
        <v>2219</v>
      </c>
      <c r="H44" s="29" t="s">
        <v>2177</v>
      </c>
      <c r="I44" s="19" t="s">
        <v>2220</v>
      </c>
      <c r="J44" s="29" t="s">
        <v>30</v>
      </c>
      <c r="K44" s="297" t="s">
        <v>520</v>
      </c>
      <c r="L44" s="29" t="s">
        <v>307</v>
      </c>
      <c r="M44" s="29">
        <v>76101000</v>
      </c>
      <c r="N44" s="7">
        <v>1</v>
      </c>
      <c r="O44" s="29"/>
      <c r="P44" s="29"/>
      <c r="R44" s="9">
        <v>716.69474861988567</v>
      </c>
      <c r="T44" s="19"/>
      <c r="U44" s="29" t="s">
        <v>34</v>
      </c>
    </row>
    <row r="45" spans="1:21" s="22" customFormat="1" ht="14.1" customHeight="1">
      <c r="A45" s="7">
        <v>41</v>
      </c>
      <c r="B45" s="14" t="s">
        <v>340</v>
      </c>
      <c r="C45" s="152" t="s">
        <v>340</v>
      </c>
      <c r="D45" s="29" t="s">
        <v>2174</v>
      </c>
      <c r="E45" s="19" t="s">
        <v>2175</v>
      </c>
      <c r="F45" s="29" t="s">
        <v>2136</v>
      </c>
      <c r="G45" s="19" t="s">
        <v>2221</v>
      </c>
      <c r="H45" s="29" t="s">
        <v>2177</v>
      </c>
      <c r="I45" s="19" t="s">
        <v>2222</v>
      </c>
      <c r="J45" s="29" t="s">
        <v>30</v>
      </c>
      <c r="K45" s="297" t="s">
        <v>520</v>
      </c>
      <c r="L45" s="29" t="s">
        <v>307</v>
      </c>
      <c r="M45" s="29">
        <v>76101000</v>
      </c>
      <c r="N45" s="7">
        <v>1</v>
      </c>
      <c r="O45" s="29"/>
      <c r="P45" s="29"/>
      <c r="R45" s="9">
        <v>940.62825409639152</v>
      </c>
      <c r="T45" s="19"/>
      <c r="U45" s="29" t="s">
        <v>34</v>
      </c>
    </row>
    <row r="46" spans="1:21" s="22" customFormat="1" ht="14.1" customHeight="1">
      <c r="A46" s="7">
        <v>42</v>
      </c>
      <c r="B46" s="14" t="s">
        <v>340</v>
      </c>
      <c r="C46" s="152" t="s">
        <v>340</v>
      </c>
      <c r="D46" s="29" t="s">
        <v>2223</v>
      </c>
      <c r="E46" s="19" t="s">
        <v>2224</v>
      </c>
      <c r="F46" s="29" t="s">
        <v>2136</v>
      </c>
      <c r="G46" s="19" t="s">
        <v>2225</v>
      </c>
      <c r="H46" s="29" t="s">
        <v>2226</v>
      </c>
      <c r="I46" s="19" t="s">
        <v>2227</v>
      </c>
      <c r="J46" s="29" t="s">
        <v>30</v>
      </c>
      <c r="K46" s="297" t="s">
        <v>2174</v>
      </c>
      <c r="L46" s="29" t="s">
        <v>307</v>
      </c>
      <c r="M46" s="29">
        <v>68069000</v>
      </c>
      <c r="N46" s="7">
        <v>1</v>
      </c>
      <c r="O46" s="29"/>
      <c r="P46" s="29"/>
      <c r="R46" s="9">
        <v>52.229389032421203</v>
      </c>
      <c r="T46" s="19"/>
      <c r="U46" s="29" t="s">
        <v>34</v>
      </c>
    </row>
    <row r="47" spans="1:21" s="22" customFormat="1" ht="14.1" customHeight="1">
      <c r="A47" s="7">
        <v>43</v>
      </c>
      <c r="B47" s="14" t="s">
        <v>340</v>
      </c>
      <c r="C47" s="152" t="s">
        <v>340</v>
      </c>
      <c r="D47" s="29" t="s">
        <v>260</v>
      </c>
      <c r="E47" s="154" t="s">
        <v>827</v>
      </c>
      <c r="F47" s="155" t="s">
        <v>2136</v>
      </c>
      <c r="G47" s="154" t="s">
        <v>2228</v>
      </c>
      <c r="H47" s="156" t="s">
        <v>2226</v>
      </c>
      <c r="I47" s="154" t="s">
        <v>2229</v>
      </c>
      <c r="J47" s="155" t="s">
        <v>30</v>
      </c>
      <c r="K47" s="298" t="s">
        <v>2174</v>
      </c>
      <c r="L47" s="155" t="s">
        <v>307</v>
      </c>
      <c r="M47" s="155">
        <v>68069000</v>
      </c>
      <c r="N47" s="7">
        <v>1</v>
      </c>
      <c r="O47" s="155"/>
      <c r="P47" s="155"/>
      <c r="R47" s="9">
        <v>41.668299338365443</v>
      </c>
      <c r="T47" s="19"/>
      <c r="U47" s="29" t="s">
        <v>34</v>
      </c>
    </row>
    <row r="48" spans="1:21" ht="14.1" customHeight="1">
      <c r="A48" s="7">
        <v>44</v>
      </c>
      <c r="B48" s="14" t="s">
        <v>340</v>
      </c>
      <c r="C48" s="14" t="s">
        <v>340</v>
      </c>
      <c r="D48" s="7" t="s">
        <v>798</v>
      </c>
      <c r="E48" s="14" t="s">
        <v>2230</v>
      </c>
      <c r="F48" s="29" t="s">
        <v>2136</v>
      </c>
      <c r="G48" s="158" t="s">
        <v>2231</v>
      </c>
      <c r="H48" s="7" t="s">
        <v>2232</v>
      </c>
      <c r="I48" s="158" t="s">
        <v>2233</v>
      </c>
      <c r="J48" s="29" t="s">
        <v>30</v>
      </c>
      <c r="K48" s="297" t="s">
        <v>2234</v>
      </c>
      <c r="L48" s="29" t="s">
        <v>307</v>
      </c>
      <c r="M48" s="29">
        <v>68069000</v>
      </c>
      <c r="N48" s="7">
        <v>1</v>
      </c>
      <c r="O48" s="29"/>
      <c r="P48" s="29"/>
      <c r="Q48" s="157"/>
      <c r="R48" s="9">
        <v>22.043874488683649</v>
      </c>
      <c r="T48" s="19"/>
      <c r="U48" s="29" t="s">
        <v>34</v>
      </c>
    </row>
    <row r="49" spans="1:21" ht="14.1" customHeight="1">
      <c r="A49" s="7">
        <v>45</v>
      </c>
      <c r="B49" s="14" t="s">
        <v>340</v>
      </c>
      <c r="C49" s="14" t="s">
        <v>340</v>
      </c>
      <c r="D49" s="7" t="s">
        <v>798</v>
      </c>
      <c r="E49" s="14" t="s">
        <v>2135</v>
      </c>
      <c r="F49" s="29" t="s">
        <v>2136</v>
      </c>
      <c r="G49" s="158" t="s">
        <v>2235</v>
      </c>
      <c r="H49" s="7" t="s">
        <v>2232</v>
      </c>
      <c r="I49" s="158" t="s">
        <v>2236</v>
      </c>
      <c r="J49" s="29" t="s">
        <v>30</v>
      </c>
      <c r="K49" s="297" t="s">
        <v>2234</v>
      </c>
      <c r="L49" s="29" t="s">
        <v>307</v>
      </c>
      <c r="M49" s="29">
        <v>68069000</v>
      </c>
      <c r="N49" s="7">
        <v>1</v>
      </c>
      <c r="O49" s="29"/>
      <c r="P49" s="29"/>
      <c r="Q49" s="157"/>
      <c r="R49" s="9">
        <v>23.388013177018021</v>
      </c>
      <c r="T49" s="19"/>
      <c r="U49" s="29" t="s">
        <v>34</v>
      </c>
    </row>
    <row r="50" spans="1:21" ht="14.1" customHeight="1">
      <c r="A50" s="7">
        <v>46</v>
      </c>
      <c r="B50" s="14" t="s">
        <v>340</v>
      </c>
      <c r="C50" s="14" t="s">
        <v>340</v>
      </c>
      <c r="D50" s="7" t="s">
        <v>798</v>
      </c>
      <c r="E50" s="14" t="s">
        <v>2135</v>
      </c>
      <c r="F50" s="29" t="s">
        <v>2136</v>
      </c>
      <c r="G50" s="158" t="s">
        <v>2237</v>
      </c>
      <c r="H50" s="7" t="s">
        <v>2232</v>
      </c>
      <c r="I50" s="158" t="s">
        <v>2238</v>
      </c>
      <c r="J50" s="29" t="s">
        <v>30</v>
      </c>
      <c r="K50" s="297" t="s">
        <v>2234</v>
      </c>
      <c r="L50" s="29" t="s">
        <v>307</v>
      </c>
      <c r="M50" s="29">
        <v>68069000</v>
      </c>
      <c r="N50" s="7">
        <v>1</v>
      </c>
      <c r="O50" s="29"/>
      <c r="P50" s="29"/>
      <c r="Q50" s="157"/>
      <c r="R50" s="9">
        <v>30.108706618689869</v>
      </c>
      <c r="T50" s="19"/>
      <c r="U50" s="29" t="s">
        <v>34</v>
      </c>
    </row>
    <row r="51" spans="1:21" ht="14.1" customHeight="1">
      <c r="A51" s="7">
        <v>47</v>
      </c>
      <c r="B51" s="14" t="s">
        <v>340</v>
      </c>
      <c r="C51" s="14" t="s">
        <v>340</v>
      </c>
      <c r="D51" s="7" t="s">
        <v>798</v>
      </c>
      <c r="E51" s="14" t="s">
        <v>2135</v>
      </c>
      <c r="F51" s="29" t="s">
        <v>2136</v>
      </c>
      <c r="G51" s="158" t="s">
        <v>2239</v>
      </c>
      <c r="H51" s="7" t="s">
        <v>2226</v>
      </c>
      <c r="I51" s="158" t="s">
        <v>2240</v>
      </c>
      <c r="J51" s="29" t="s">
        <v>30</v>
      </c>
      <c r="K51" s="297" t="s">
        <v>2174</v>
      </c>
      <c r="L51" s="29" t="s">
        <v>307</v>
      </c>
      <c r="M51" s="29">
        <v>68069000</v>
      </c>
      <c r="N51" s="7">
        <v>1</v>
      </c>
      <c r="O51" s="29"/>
      <c r="P51" s="29"/>
      <c r="Q51" s="157"/>
      <c r="R51" s="9">
        <v>31.99050078235798</v>
      </c>
      <c r="T51" s="19"/>
      <c r="U51" s="29" t="s">
        <v>34</v>
      </c>
    </row>
    <row r="52" spans="1:21" ht="14.1" customHeight="1">
      <c r="A52" s="7">
        <v>48</v>
      </c>
      <c r="B52" s="14" t="s">
        <v>340</v>
      </c>
      <c r="C52" s="14" t="s">
        <v>340</v>
      </c>
      <c r="D52" s="7" t="s">
        <v>798</v>
      </c>
      <c r="E52" s="14" t="s">
        <v>2135</v>
      </c>
      <c r="F52" s="29" t="s">
        <v>2136</v>
      </c>
      <c r="G52" s="158" t="s">
        <v>2241</v>
      </c>
      <c r="H52" s="7" t="s">
        <v>2232</v>
      </c>
      <c r="I52" s="158" t="s">
        <v>2242</v>
      </c>
      <c r="J52" s="29" t="s">
        <v>30</v>
      </c>
      <c r="K52" s="297" t="s">
        <v>2234</v>
      </c>
      <c r="L52" s="29" t="s">
        <v>307</v>
      </c>
      <c r="M52" s="29">
        <v>68069000</v>
      </c>
      <c r="N52" s="7">
        <v>1</v>
      </c>
      <c r="O52" s="29"/>
      <c r="P52" s="29"/>
      <c r="Q52" s="157"/>
      <c r="R52" s="9">
        <v>31.99050078235798</v>
      </c>
      <c r="T52" s="19"/>
      <c r="U52" s="29" t="s">
        <v>34</v>
      </c>
    </row>
    <row r="53" spans="1:21" ht="14.1" customHeight="1">
      <c r="A53" s="7">
        <v>49</v>
      </c>
      <c r="B53" s="14" t="s">
        <v>340</v>
      </c>
      <c r="C53" s="14" t="s">
        <v>340</v>
      </c>
      <c r="D53" s="7" t="s">
        <v>798</v>
      </c>
      <c r="E53" s="14" t="s">
        <v>2135</v>
      </c>
      <c r="F53" s="29" t="s">
        <v>2136</v>
      </c>
      <c r="G53" s="158" t="s">
        <v>2243</v>
      </c>
      <c r="H53" s="7" t="s">
        <v>2226</v>
      </c>
      <c r="I53" s="158" t="s">
        <v>2244</v>
      </c>
      <c r="J53" s="29" t="s">
        <v>30</v>
      </c>
      <c r="K53" s="297" t="s">
        <v>2174</v>
      </c>
      <c r="L53" s="29" t="s">
        <v>307</v>
      </c>
      <c r="M53" s="29">
        <v>68069000</v>
      </c>
      <c r="N53" s="7">
        <v>1</v>
      </c>
      <c r="O53" s="29"/>
      <c r="P53" s="29"/>
      <c r="Q53" s="157"/>
      <c r="R53" s="9">
        <v>39.248849699363568</v>
      </c>
      <c r="T53" s="19"/>
      <c r="U53" s="29" t="s">
        <v>34</v>
      </c>
    </row>
    <row r="54" spans="1:21" ht="14.1" customHeight="1">
      <c r="A54" s="7">
        <v>50</v>
      </c>
      <c r="B54" s="14" t="s">
        <v>340</v>
      </c>
      <c r="C54" s="14" t="s">
        <v>340</v>
      </c>
      <c r="D54" s="7" t="s">
        <v>798</v>
      </c>
      <c r="E54" s="14" t="s">
        <v>2135</v>
      </c>
      <c r="F54" s="29" t="s">
        <v>2136</v>
      </c>
      <c r="G54" s="158" t="s">
        <v>2245</v>
      </c>
      <c r="H54" s="7" t="s">
        <v>2232</v>
      </c>
      <c r="I54" s="158" t="s">
        <v>2246</v>
      </c>
      <c r="J54" s="29" t="s">
        <v>30</v>
      </c>
      <c r="K54" s="297" t="s">
        <v>2234</v>
      </c>
      <c r="L54" s="29" t="s">
        <v>307</v>
      </c>
      <c r="M54" s="29">
        <v>68069000</v>
      </c>
      <c r="N54" s="7">
        <v>1</v>
      </c>
      <c r="O54" s="29"/>
      <c r="P54" s="29"/>
      <c r="Q54" s="157"/>
      <c r="R54" s="9">
        <v>39.248849699363568</v>
      </c>
      <c r="T54" s="19"/>
      <c r="U54" s="29" t="s">
        <v>34</v>
      </c>
    </row>
    <row r="55" spans="1:21" ht="14.1" customHeight="1">
      <c r="A55" s="7">
        <v>51</v>
      </c>
      <c r="B55" s="14" t="s">
        <v>340</v>
      </c>
      <c r="C55" s="14" t="s">
        <v>340</v>
      </c>
      <c r="D55" s="7" t="s">
        <v>798</v>
      </c>
      <c r="E55" s="14" t="s">
        <v>2135</v>
      </c>
      <c r="F55" s="29" t="s">
        <v>2136</v>
      </c>
      <c r="G55" s="158" t="s">
        <v>2247</v>
      </c>
      <c r="H55" s="7" t="s">
        <v>2248</v>
      </c>
      <c r="I55" s="158" t="s">
        <v>2249</v>
      </c>
      <c r="J55" s="29" t="s">
        <v>30</v>
      </c>
      <c r="K55" s="297" t="s">
        <v>633</v>
      </c>
      <c r="L55" s="29" t="s">
        <v>307</v>
      </c>
      <c r="M55" s="29">
        <v>68069000</v>
      </c>
      <c r="N55" s="7">
        <v>1</v>
      </c>
      <c r="O55" s="29"/>
      <c r="P55" s="29"/>
      <c r="Q55" s="157"/>
      <c r="R55" s="9">
        <v>41.399471600698561</v>
      </c>
      <c r="T55" s="19"/>
      <c r="U55" s="29" t="s">
        <v>34</v>
      </c>
    </row>
    <row r="56" spans="1:21" ht="14.1" customHeight="1">
      <c r="A56" s="7">
        <v>52</v>
      </c>
      <c r="B56" s="14" t="s">
        <v>340</v>
      </c>
      <c r="C56" s="14" t="s">
        <v>340</v>
      </c>
      <c r="D56" s="7" t="s">
        <v>798</v>
      </c>
      <c r="E56" s="14" t="s">
        <v>2135</v>
      </c>
      <c r="F56" s="29" t="s">
        <v>2136</v>
      </c>
      <c r="G56" s="158" t="s">
        <v>2250</v>
      </c>
      <c r="H56" s="7" t="s">
        <v>2232</v>
      </c>
      <c r="I56" s="158" t="s">
        <v>2251</v>
      </c>
      <c r="J56" s="29" t="s">
        <v>30</v>
      </c>
      <c r="K56" s="297" t="s">
        <v>2234</v>
      </c>
      <c r="L56" s="29" t="s">
        <v>307</v>
      </c>
      <c r="M56" s="29">
        <v>68069000</v>
      </c>
      <c r="N56" s="7">
        <v>1</v>
      </c>
      <c r="O56" s="29"/>
      <c r="P56" s="29"/>
      <c r="Q56" s="157"/>
      <c r="R56" s="9">
        <v>41.399471600698561</v>
      </c>
      <c r="T56" s="19"/>
      <c r="U56" s="29" t="s">
        <v>34</v>
      </c>
    </row>
    <row r="57" spans="1:21" ht="14.1" customHeight="1">
      <c r="H57" t="s">
        <v>42</v>
      </c>
      <c r="S57" s="30"/>
      <c r="T57" s="30"/>
      <c r="U57" s="30"/>
    </row>
    <row r="58" spans="1:21" ht="14.1" customHeight="1">
      <c r="A58" s="3" t="s">
        <v>271</v>
      </c>
      <c r="H58" t="s">
        <v>42</v>
      </c>
    </row>
    <row r="59" spans="1:21" ht="14.1" customHeight="1">
      <c r="A59" s="2" t="s">
        <v>2252</v>
      </c>
      <c r="H59" t="s">
        <v>42</v>
      </c>
    </row>
    <row r="60" spans="1:21" ht="14.1" customHeight="1">
      <c r="A60" s="2" t="s">
        <v>2253</v>
      </c>
      <c r="H60" t="s">
        <v>42</v>
      </c>
    </row>
    <row r="61" spans="1:21" ht="14.1" customHeight="1"/>
    <row r="62" spans="1:21" ht="14.1" customHeight="1"/>
    <row r="63" spans="1:21" ht="14.1" customHeight="1"/>
    <row r="64" spans="1:21" ht="14.1" customHeight="1"/>
    <row r="65" ht="14.1" customHeight="1"/>
    <row r="66" ht="14.1" customHeight="1"/>
    <row r="67" ht="14.1" customHeight="1"/>
    <row r="68" ht="14.1" customHeight="1"/>
    <row r="69" ht="14.1" customHeight="1"/>
    <row r="70" ht="14.1" customHeight="1"/>
    <row r="71" ht="14.1" customHeight="1"/>
    <row r="72" ht="14.1" customHeight="1"/>
    <row r="73" ht="14.1" customHeight="1"/>
    <row r="74" ht="14.1" customHeight="1"/>
    <row r="75" ht="14.1" customHeight="1"/>
    <row r="76" ht="14.1" customHeight="1"/>
    <row r="77" ht="14.1" customHeight="1"/>
    <row r="78" ht="14.1" customHeight="1"/>
    <row r="79" ht="14.1" customHeight="1"/>
    <row r="80" ht="14.1" customHeight="1"/>
    <row r="81" ht="14.1" customHeight="1"/>
    <row r="82" ht="14.1" customHeight="1"/>
    <row r="83" ht="14.1" customHeight="1"/>
    <row r="84" ht="14.1" customHeight="1"/>
    <row r="85" ht="14.1" customHeight="1"/>
    <row r="86" ht="14.1" customHeight="1"/>
    <row r="87" ht="14.1" customHeight="1"/>
    <row r="88" ht="14.1" customHeight="1"/>
    <row r="89" ht="14.1" customHeight="1"/>
    <row r="90" ht="14.1" customHeight="1"/>
    <row r="91" ht="14.1" customHeight="1"/>
    <row r="92" ht="14.1" customHeight="1"/>
    <row r="93" ht="14.1" customHeight="1"/>
    <row r="94" ht="14.1" customHeight="1"/>
    <row r="95" ht="14.1" customHeight="1"/>
    <row r="96" ht="14.1" customHeight="1"/>
    <row r="97" ht="14.1" customHeight="1"/>
    <row r="98" ht="14.1" customHeight="1"/>
    <row r="99" ht="14.1" customHeight="1"/>
    <row r="100" ht="14.1" customHeight="1"/>
    <row r="101" ht="14.1" customHeight="1"/>
    <row r="102" ht="14.1" customHeight="1"/>
    <row r="103" ht="14.1" customHeight="1"/>
    <row r="104" ht="14.1" customHeight="1"/>
    <row r="105" ht="14.1" customHeight="1"/>
    <row r="106" ht="14.1" customHeight="1"/>
    <row r="107" ht="14.1" customHeight="1"/>
    <row r="108" ht="14.1" customHeight="1"/>
    <row r="109" ht="14.1" customHeight="1"/>
    <row r="110" ht="14.1" customHeight="1"/>
    <row r="111" ht="14.1" customHeight="1"/>
    <row r="112" ht="14.1" customHeight="1"/>
    <row r="113" ht="14.1" customHeight="1"/>
    <row r="114" ht="14.1" customHeight="1"/>
    <row r="115" ht="14.1" customHeight="1"/>
    <row r="116" ht="14.1" customHeight="1"/>
    <row r="117" ht="14.1" customHeight="1"/>
    <row r="118" ht="14.1" customHeight="1"/>
    <row r="119" ht="14.1" customHeight="1"/>
    <row r="120" ht="14.1" customHeight="1"/>
    <row r="121" ht="14.1" customHeight="1"/>
    <row r="122" ht="14.1" customHeight="1"/>
    <row r="123" ht="14.1" customHeight="1"/>
    <row r="124" ht="14.1" customHeight="1"/>
    <row r="125" ht="14.1" customHeight="1"/>
    <row r="126" ht="14.1" customHeight="1"/>
    <row r="127" ht="14.1" customHeight="1"/>
    <row r="128" ht="14.1" customHeight="1"/>
    <row r="129" ht="14.1" customHeight="1"/>
    <row r="130" ht="14.1" customHeight="1"/>
    <row r="131" ht="14.1" customHeight="1"/>
    <row r="132" ht="14.1" customHeight="1"/>
    <row r="133" ht="14.1" customHeight="1"/>
    <row r="134" ht="14.1" customHeight="1"/>
    <row r="135" ht="14.1" customHeight="1"/>
    <row r="136" ht="14.1" customHeight="1"/>
    <row r="137" ht="14.1" customHeight="1"/>
    <row r="138" ht="14.1" customHeight="1"/>
    <row r="139" ht="14.1" customHeight="1"/>
    <row r="140" ht="14.1" customHeight="1"/>
    <row r="141" ht="14.1" customHeight="1"/>
    <row r="142" ht="14.1" customHeight="1"/>
    <row r="143" ht="14.1" customHeight="1"/>
    <row r="144" ht="14.1" customHeight="1"/>
    <row r="145" ht="14.1" customHeight="1"/>
    <row r="146" ht="14.1" customHeight="1"/>
    <row r="147" ht="14.1" customHeight="1"/>
    <row r="148" ht="14.1" customHeight="1"/>
    <row r="149" ht="14.1" customHeight="1"/>
    <row r="150" ht="14.1" customHeight="1"/>
    <row r="151" ht="14.1" customHeight="1"/>
    <row r="152" ht="14.1" customHeight="1"/>
    <row r="153" ht="14.1" customHeight="1"/>
    <row r="154" ht="14.1" customHeight="1"/>
    <row r="155" ht="14.1" customHeight="1"/>
    <row r="156" ht="14.1" customHeight="1"/>
    <row r="157" ht="14.1" customHeight="1"/>
    <row r="158" ht="14.1" customHeight="1"/>
    <row r="159" ht="14.1" customHeight="1"/>
    <row r="160" ht="14.1" customHeight="1"/>
    <row r="161" ht="14.1" customHeight="1"/>
    <row r="162" ht="14.1" customHeight="1"/>
    <row r="163" ht="14.1" customHeight="1"/>
    <row r="164" ht="14.1" customHeight="1"/>
    <row r="165" ht="14.1" customHeight="1"/>
    <row r="166" ht="14.1" customHeight="1"/>
    <row r="167" ht="14.1" customHeight="1"/>
    <row r="168" ht="14.1" customHeight="1"/>
    <row r="169" ht="14.1" customHeight="1"/>
    <row r="170" ht="14.1" customHeight="1"/>
    <row r="171" ht="14.1" customHeight="1"/>
    <row r="172" ht="14.1" customHeight="1"/>
    <row r="173" ht="14.1" customHeight="1"/>
    <row r="174" ht="14.1" customHeight="1"/>
    <row r="175" ht="14.1" customHeight="1"/>
    <row r="176" ht="14.1" customHeight="1"/>
    <row r="177" ht="14.1" customHeight="1"/>
    <row r="178" ht="14.1" customHeight="1"/>
    <row r="179" ht="14.1" customHeight="1"/>
    <row r="180" ht="14.1" customHeight="1"/>
    <row r="181" ht="14.1" customHeight="1"/>
    <row r="182" ht="14.1" customHeight="1"/>
    <row r="183" ht="14.1" customHeight="1"/>
    <row r="184" ht="14.1" customHeight="1"/>
    <row r="185" ht="14.1" customHeight="1"/>
    <row r="186" ht="14.1" customHeight="1"/>
    <row r="187" ht="14.1" customHeight="1"/>
    <row r="188" ht="14.1" customHeight="1"/>
    <row r="189" ht="14.1" customHeight="1"/>
    <row r="190" ht="14.1" customHeight="1"/>
    <row r="191" ht="14.1" customHeight="1"/>
    <row r="192" ht="14.1" customHeight="1"/>
    <row r="193" ht="14.1" customHeight="1"/>
    <row r="194" ht="14.1" customHeight="1"/>
    <row r="195" ht="14.1" customHeight="1"/>
    <row r="196" ht="14.1" customHeight="1"/>
    <row r="197" ht="14.1" customHeight="1"/>
    <row r="198" ht="14.1" customHeight="1"/>
    <row r="199" ht="14.1" customHeight="1"/>
    <row r="200" ht="14.1" customHeight="1"/>
    <row r="201" ht="14.1" customHeight="1"/>
    <row r="202" ht="14.1" customHeight="1"/>
    <row r="203" ht="14.1" customHeight="1"/>
    <row r="204" ht="14.1" customHeight="1"/>
    <row r="205" ht="14.1" customHeight="1"/>
    <row r="206" ht="14.1" customHeight="1"/>
    <row r="207" ht="14.1" customHeight="1"/>
    <row r="208" ht="14.1" customHeight="1"/>
    <row r="209" ht="14.1" customHeight="1"/>
    <row r="210" ht="14.1" customHeight="1"/>
    <row r="211" ht="14.1" customHeight="1"/>
    <row r="212" ht="14.1" customHeight="1"/>
    <row r="213" ht="14.1" customHeight="1"/>
    <row r="214" ht="14.1" customHeight="1"/>
    <row r="215" ht="14.1" customHeight="1"/>
    <row r="216" ht="14.1" customHeight="1"/>
    <row r="217" ht="14.1" customHeight="1"/>
    <row r="218" ht="14.1" customHeight="1"/>
    <row r="219" ht="14.1" customHeight="1"/>
    <row r="220" ht="14.1" customHeight="1"/>
    <row r="221" ht="14.1" customHeight="1"/>
    <row r="222" ht="14.1" customHeight="1"/>
    <row r="223" ht="14.1" customHeight="1"/>
    <row r="224" ht="14.1" customHeight="1"/>
    <row r="225" ht="14.1" customHeight="1"/>
    <row r="226" ht="14.1" customHeight="1"/>
    <row r="227" ht="14.1" customHeight="1"/>
    <row r="228" ht="14.1" customHeight="1"/>
    <row r="229" ht="14.1" customHeight="1"/>
    <row r="230" ht="14.1" customHeight="1"/>
    <row r="231" ht="14.1" customHeight="1"/>
    <row r="232" ht="14.1" customHeight="1"/>
    <row r="233" ht="14.1" customHeight="1"/>
    <row r="234" ht="14.1" customHeight="1"/>
    <row r="235" ht="14.1" customHeight="1"/>
    <row r="236" ht="14.1" customHeight="1"/>
    <row r="237" ht="14.1" customHeight="1"/>
    <row r="238" ht="14.1" customHeight="1"/>
    <row r="239" ht="14.1" customHeight="1"/>
    <row r="240" ht="14.1" customHeight="1"/>
    <row r="241" ht="14.1" customHeight="1"/>
    <row r="242" ht="14.1" customHeight="1"/>
    <row r="243" ht="14.1" customHeight="1"/>
    <row r="244" ht="14.1" customHeight="1"/>
    <row r="245" ht="14.1" customHeight="1"/>
    <row r="246" ht="14.1" customHeight="1"/>
    <row r="247" ht="14.1" customHeight="1"/>
    <row r="248" ht="14.1" customHeight="1"/>
    <row r="249" ht="14.1" customHeight="1"/>
    <row r="250" ht="14.1" customHeight="1"/>
    <row r="251" ht="14.1" customHeight="1"/>
    <row r="252" ht="14.1" customHeight="1"/>
    <row r="253" ht="14.1" customHeight="1"/>
    <row r="254" ht="14.1" customHeight="1"/>
    <row r="255" ht="14.1" customHeight="1"/>
    <row r="256" ht="14.1" customHeight="1"/>
    <row r="257" ht="14.1" customHeight="1"/>
    <row r="258" ht="14.1" customHeight="1"/>
    <row r="259" ht="14.1" customHeight="1"/>
    <row r="260" ht="14.1" customHeight="1"/>
    <row r="261" ht="14.1" customHeight="1"/>
    <row r="262" ht="14.1" customHeight="1"/>
    <row r="263" ht="14.1" customHeight="1"/>
    <row r="264" ht="14.1" customHeight="1"/>
    <row r="265" ht="14.1" customHeight="1"/>
    <row r="266" ht="14.1" customHeight="1"/>
    <row r="267" ht="14.1" customHeight="1"/>
    <row r="268" ht="14.1" customHeight="1"/>
    <row r="269" ht="14.1" customHeight="1"/>
    <row r="270" ht="14.1" customHeight="1"/>
    <row r="271" ht="14.1" customHeight="1"/>
    <row r="272" ht="14.1" customHeight="1"/>
    <row r="273" ht="14.1" customHeight="1"/>
    <row r="274" ht="14.1" customHeight="1"/>
    <row r="275" ht="14.1" customHeight="1"/>
    <row r="276" ht="14.1" customHeight="1"/>
    <row r="277" ht="14.1" customHeight="1"/>
    <row r="278" ht="14.1" customHeight="1"/>
    <row r="279" ht="14.1" customHeight="1"/>
    <row r="280" ht="14.1" customHeight="1"/>
    <row r="281" ht="14.1" customHeight="1"/>
    <row r="282" ht="14.1" customHeight="1"/>
    <row r="283" ht="14.1" customHeight="1"/>
    <row r="284" ht="14.1" customHeight="1"/>
    <row r="285" ht="14.1" customHeight="1"/>
    <row r="286" ht="14.1" customHeight="1"/>
    <row r="287" ht="14.1" customHeight="1"/>
    <row r="288" ht="14.1" customHeight="1"/>
    <row r="289" ht="14.1" customHeight="1"/>
    <row r="290" ht="14.1" customHeight="1"/>
    <row r="291" ht="14.1" customHeight="1"/>
    <row r="292" ht="14.1" customHeight="1"/>
    <row r="293" ht="14.1" customHeight="1"/>
    <row r="294" ht="14.1" customHeight="1"/>
    <row r="295" ht="14.1" customHeight="1"/>
    <row r="296" ht="14.1" customHeight="1"/>
    <row r="297" ht="14.1" customHeight="1"/>
    <row r="298" ht="14.1" customHeight="1"/>
    <row r="299" ht="14.1" customHeight="1"/>
    <row r="300" ht="14.1" customHeight="1"/>
    <row r="301" ht="14.1" customHeight="1"/>
    <row r="302" ht="14.1" customHeight="1"/>
    <row r="303" ht="14.1" customHeight="1"/>
    <row r="304" ht="14.1" customHeight="1"/>
    <row r="305" ht="14.1" customHeight="1"/>
    <row r="306" ht="14.1" customHeight="1"/>
    <row r="307" ht="14.1" customHeight="1"/>
    <row r="308" ht="14.1" customHeight="1"/>
    <row r="309" ht="14.1" customHeight="1"/>
    <row r="310" ht="14.1" customHeight="1"/>
    <row r="311" ht="14.1" customHeight="1"/>
    <row r="312" ht="14.1" customHeight="1"/>
    <row r="313" ht="14.1" customHeight="1"/>
    <row r="314" ht="14.1" customHeight="1"/>
    <row r="315" ht="14.1" customHeight="1"/>
    <row r="316" ht="14.1" customHeight="1"/>
    <row r="317" ht="14.1" customHeight="1"/>
    <row r="318" ht="14.1" customHeight="1"/>
    <row r="319" ht="14.1" customHeight="1"/>
    <row r="320" ht="14.1" customHeight="1"/>
    <row r="321" ht="14.1" customHeight="1"/>
    <row r="322" ht="14.1" customHeight="1"/>
    <row r="323" ht="14.1" customHeight="1"/>
    <row r="324" ht="14.1" customHeight="1"/>
    <row r="325" ht="14.1" customHeight="1"/>
    <row r="326" ht="14.1" customHeight="1"/>
    <row r="327" ht="14.1" customHeight="1"/>
    <row r="328" ht="14.1" customHeight="1"/>
    <row r="329" ht="14.1" customHeight="1"/>
    <row r="330" ht="14.1" customHeight="1"/>
    <row r="331" ht="14.1" customHeight="1"/>
    <row r="332" ht="14.1" customHeight="1"/>
    <row r="333" ht="14.1" customHeight="1"/>
    <row r="334" ht="14.1" customHeight="1"/>
    <row r="335" ht="14.1" customHeight="1"/>
    <row r="336" ht="14.1" customHeight="1"/>
    <row r="337" ht="14.1" customHeight="1"/>
    <row r="338" ht="14.1" customHeight="1"/>
    <row r="339" ht="14.1" customHeight="1"/>
    <row r="340" ht="14.1" customHeight="1"/>
    <row r="341" ht="14.1" customHeight="1"/>
    <row r="342" ht="14.1" customHeight="1"/>
    <row r="343" ht="14.1" customHeight="1"/>
    <row r="344" ht="14.1" customHeight="1"/>
    <row r="345" ht="14.1" customHeight="1"/>
    <row r="346" ht="14.1" customHeight="1"/>
    <row r="347" ht="14.1" customHeight="1"/>
    <row r="348" ht="14.1" customHeight="1"/>
    <row r="349" ht="14.1" customHeight="1"/>
    <row r="350" ht="14.1" customHeight="1"/>
    <row r="351" ht="14.1" customHeight="1"/>
    <row r="352" ht="14.1" customHeight="1"/>
    <row r="353" ht="14.1" customHeight="1"/>
    <row r="354" ht="14.1" customHeight="1"/>
    <row r="355" ht="14.1" customHeight="1"/>
    <row r="356" ht="14.1" customHeight="1"/>
    <row r="357" ht="14.1" customHeight="1"/>
    <row r="358" ht="14.1" customHeight="1"/>
    <row r="359" ht="14.1" customHeight="1"/>
    <row r="360" ht="14.1" customHeight="1"/>
    <row r="361" ht="14.1" customHeight="1"/>
    <row r="362" ht="14.1" customHeight="1"/>
    <row r="363" ht="14.1" customHeight="1"/>
    <row r="364" ht="14.1" customHeight="1"/>
    <row r="365" ht="14.1" customHeight="1"/>
    <row r="366" ht="14.1" customHeight="1"/>
    <row r="367" ht="14.1" customHeight="1"/>
    <row r="368" ht="14.1" customHeight="1"/>
    <row r="369" ht="14.1" customHeight="1"/>
    <row r="370" ht="14.1" customHeight="1"/>
    <row r="371" ht="14.1" customHeight="1"/>
    <row r="372" ht="14.1" customHeight="1"/>
    <row r="373" ht="14.1" customHeight="1"/>
    <row r="374" ht="14.1" customHeight="1"/>
    <row r="375" ht="14.1" customHeight="1"/>
    <row r="376" ht="14.1" customHeight="1"/>
    <row r="377" ht="14.1" customHeight="1"/>
    <row r="378" ht="14.1" customHeight="1"/>
    <row r="379" ht="14.1" customHeight="1"/>
    <row r="380" ht="14.1" customHeight="1"/>
    <row r="381" ht="14.1" customHeight="1"/>
    <row r="382" ht="14.1" customHeight="1"/>
    <row r="383" ht="14.1" customHeight="1"/>
    <row r="384" ht="14.1" customHeight="1"/>
    <row r="385" ht="14.1" customHeight="1"/>
    <row r="386" ht="14.1" customHeight="1"/>
    <row r="387" ht="14.1" customHeight="1"/>
    <row r="388" ht="14.1" customHeight="1"/>
    <row r="389" ht="14.1" customHeight="1"/>
    <row r="390" ht="14.1" customHeight="1"/>
    <row r="391" ht="14.1" customHeight="1"/>
    <row r="392" ht="14.1" customHeight="1"/>
    <row r="393" ht="14.1" customHeight="1"/>
    <row r="394" ht="14.1" customHeight="1"/>
    <row r="395" ht="14.1" customHeight="1"/>
    <row r="396" ht="14.1" customHeight="1"/>
    <row r="397" ht="14.1" customHeight="1"/>
    <row r="398" ht="14.1" customHeight="1"/>
    <row r="399" ht="14.1" customHeight="1"/>
    <row r="400" ht="14.1" customHeight="1"/>
    <row r="401" ht="14.1" customHeight="1"/>
    <row r="402" ht="14.1" customHeight="1"/>
    <row r="403" ht="14.1" customHeight="1"/>
    <row r="404" ht="14.1" customHeight="1"/>
    <row r="405" ht="14.1" customHeight="1"/>
    <row r="406" ht="14.1" customHeight="1"/>
    <row r="407" ht="14.1" customHeight="1"/>
    <row r="408" ht="14.1" customHeight="1"/>
    <row r="409" ht="14.1" customHeight="1"/>
    <row r="410" ht="14.1" customHeight="1"/>
    <row r="411" ht="14.1" customHeight="1"/>
    <row r="412" ht="14.1" customHeight="1"/>
    <row r="413" ht="14.1" customHeight="1"/>
    <row r="414" ht="14.1" customHeight="1"/>
    <row r="415" ht="14.1" customHeight="1"/>
    <row r="416" ht="14.1" customHeight="1"/>
    <row r="417" ht="14.1" customHeight="1"/>
    <row r="418" ht="14.1" customHeight="1"/>
    <row r="419" ht="14.1" customHeight="1"/>
    <row r="420" ht="14.1" customHeight="1"/>
    <row r="421" ht="14.1" customHeight="1"/>
    <row r="422" ht="14.1" customHeight="1"/>
    <row r="423" ht="14.1" customHeight="1"/>
    <row r="424" ht="14.1" customHeight="1"/>
    <row r="425" ht="14.1" customHeight="1"/>
    <row r="426" ht="14.1" customHeight="1"/>
    <row r="427" ht="14.1" customHeight="1"/>
    <row r="428" ht="14.1" customHeight="1"/>
    <row r="429" ht="14.1" customHeight="1"/>
    <row r="430" ht="14.1" customHeight="1"/>
    <row r="431" ht="14.1" customHeight="1"/>
    <row r="432" ht="14.1" customHeight="1"/>
    <row r="433" ht="14.1" customHeight="1"/>
    <row r="434" ht="14.1" customHeight="1"/>
    <row r="435" ht="14.1" customHeight="1"/>
    <row r="436" ht="14.1" customHeight="1"/>
    <row r="437" ht="14.1" customHeight="1"/>
    <row r="438" ht="14.1" customHeight="1"/>
    <row r="439" ht="14.1" customHeight="1"/>
    <row r="440" ht="14.1" customHeight="1"/>
    <row r="441" ht="14.1" customHeight="1"/>
    <row r="442" ht="14.1" customHeight="1"/>
    <row r="443" ht="14.1" customHeight="1"/>
    <row r="444" ht="14.1" customHeight="1"/>
    <row r="445" ht="14.1" customHeight="1"/>
    <row r="446" ht="14.1" customHeight="1"/>
    <row r="447" ht="14.1" customHeight="1"/>
    <row r="448" ht="14.1" customHeight="1"/>
    <row r="449" ht="14.1" customHeight="1"/>
    <row r="450" ht="14.1" customHeight="1"/>
    <row r="451" ht="14.1" customHeight="1"/>
    <row r="452" ht="14.1" customHeight="1"/>
    <row r="453" ht="14.1" customHeight="1"/>
    <row r="454" ht="14.1" customHeight="1"/>
    <row r="455" ht="14.1" customHeight="1"/>
    <row r="456" ht="14.1" customHeight="1"/>
    <row r="457" ht="14.1" customHeight="1"/>
    <row r="458" ht="14.1" customHeight="1"/>
    <row r="459" ht="14.1" customHeight="1"/>
    <row r="460" ht="14.1" customHeight="1"/>
    <row r="461" ht="14.1" customHeight="1"/>
    <row r="462" ht="14.1" customHeight="1"/>
    <row r="463" ht="14.1" customHeight="1"/>
    <row r="464" ht="14.1" customHeight="1"/>
    <row r="465" ht="14.1" customHeight="1"/>
    <row r="466" ht="14.1" customHeight="1"/>
    <row r="467" ht="14.1" customHeight="1"/>
    <row r="468" ht="14.1" customHeight="1"/>
    <row r="469" ht="14.1" customHeight="1"/>
    <row r="470" ht="14.1" customHeight="1"/>
    <row r="471" ht="14.1" customHeight="1"/>
    <row r="472" ht="14.1" customHeight="1"/>
    <row r="473" ht="14.1" customHeight="1"/>
    <row r="474" ht="14.1" customHeight="1"/>
    <row r="475" ht="14.1" customHeight="1"/>
    <row r="476" ht="14.1" customHeight="1"/>
    <row r="477" ht="14.1" customHeight="1"/>
    <row r="478" ht="14.1" customHeight="1"/>
    <row r="479" ht="14.1" customHeight="1"/>
    <row r="480" ht="14.1" customHeight="1"/>
    <row r="481" ht="14.1" customHeight="1"/>
    <row r="482" ht="14.1" customHeight="1"/>
    <row r="483" ht="14.1" customHeight="1"/>
    <row r="484" ht="14.1" customHeight="1"/>
    <row r="485" ht="14.1" customHeight="1"/>
    <row r="486" ht="14.1" customHeight="1"/>
    <row r="487" ht="14.1" customHeight="1"/>
    <row r="488" ht="14.1" customHeight="1"/>
    <row r="489" ht="14.1" customHeight="1"/>
    <row r="490" ht="14.1" customHeight="1"/>
    <row r="491" ht="14.1" customHeight="1"/>
    <row r="492" ht="14.1" customHeight="1"/>
    <row r="493" ht="14.1" customHeight="1"/>
    <row r="494" ht="14.1" customHeight="1"/>
    <row r="495" ht="14.1" customHeight="1"/>
    <row r="496" ht="14.1" customHeight="1"/>
    <row r="497" ht="14.1" customHeight="1"/>
    <row r="498" ht="14.1" customHeight="1"/>
    <row r="499" ht="14.1" customHeight="1"/>
    <row r="500" ht="14.1" customHeight="1"/>
    <row r="501" ht="14.1" customHeight="1"/>
    <row r="502" ht="14.1" customHeight="1"/>
    <row r="503" ht="14.1" customHeight="1"/>
    <row r="504" ht="14.1" customHeight="1"/>
    <row r="505" ht="14.1" customHeight="1"/>
    <row r="506" ht="14.1" customHeight="1"/>
    <row r="507" ht="14.1" customHeight="1"/>
    <row r="508" ht="14.1" customHeight="1"/>
    <row r="509" ht="14.1" customHeight="1"/>
    <row r="510" ht="14.1" customHeight="1"/>
    <row r="511" ht="14.1" customHeight="1"/>
    <row r="512" ht="14.1" customHeight="1"/>
    <row r="513" ht="14.1" customHeight="1"/>
    <row r="514" ht="14.1" customHeight="1"/>
    <row r="515" ht="14.1" customHeight="1"/>
    <row r="516" ht="14.1" customHeight="1"/>
    <row r="517" ht="14.1" customHeight="1"/>
    <row r="518" ht="14.1" customHeight="1"/>
    <row r="519" ht="14.1" customHeight="1"/>
    <row r="520" ht="14.1" customHeight="1"/>
    <row r="521" ht="14.1" customHeight="1"/>
    <row r="522" ht="14.1" customHeight="1"/>
    <row r="523" ht="14.1" customHeight="1"/>
    <row r="524" ht="14.1" customHeight="1"/>
    <row r="525" ht="14.1" customHeight="1"/>
    <row r="526" ht="14.1" customHeight="1"/>
    <row r="527" ht="14.1" customHeight="1"/>
    <row r="528" ht="14.1" customHeight="1"/>
    <row r="529" ht="14.1" customHeight="1"/>
    <row r="530" ht="14.1" customHeight="1"/>
    <row r="531" ht="14.1" customHeight="1"/>
    <row r="532" ht="14.1" customHeight="1"/>
    <row r="533" ht="14.1" customHeight="1"/>
    <row r="534" ht="14.1" customHeight="1"/>
    <row r="535" ht="14.1" customHeight="1"/>
    <row r="536" ht="14.1" customHeight="1"/>
    <row r="537" ht="14.1" customHeight="1"/>
    <row r="538" ht="14.1" customHeight="1"/>
    <row r="539" ht="14.1" customHeight="1"/>
    <row r="540" ht="14.1" customHeight="1"/>
    <row r="541" ht="14.1" customHeight="1"/>
    <row r="542" ht="14.1" customHeight="1"/>
    <row r="543" ht="14.1" customHeight="1"/>
    <row r="544" ht="14.1" customHeight="1"/>
    <row r="545" ht="14.1" customHeight="1"/>
    <row r="546" ht="14.1" customHeight="1"/>
    <row r="547" ht="14.1" customHeight="1"/>
    <row r="548" ht="14.1" customHeight="1"/>
    <row r="549" ht="14.1" customHeight="1"/>
    <row r="550" ht="14.1" customHeight="1"/>
    <row r="551" ht="14.1" customHeight="1"/>
    <row r="552" ht="14.1" customHeight="1"/>
    <row r="553" ht="14.1" customHeight="1"/>
    <row r="554" ht="14.1" customHeight="1"/>
    <row r="555" ht="14.1" customHeight="1"/>
    <row r="556" ht="14.1" customHeight="1"/>
    <row r="557" ht="14.1" customHeight="1"/>
    <row r="558" ht="14.1" customHeight="1"/>
    <row r="559" ht="14.1" customHeight="1"/>
    <row r="560" ht="14.1" customHeight="1"/>
    <row r="561" ht="14.1" customHeight="1"/>
    <row r="562" ht="14.1" customHeight="1"/>
    <row r="563" ht="14.1" customHeight="1"/>
    <row r="564" ht="14.1" customHeight="1"/>
    <row r="565" ht="14.1" customHeight="1"/>
    <row r="566" ht="14.1" customHeight="1"/>
    <row r="567" ht="14.1" customHeight="1"/>
    <row r="568" ht="14.1" customHeight="1"/>
    <row r="569" ht="14.1" customHeight="1"/>
    <row r="570" ht="14.1" customHeight="1"/>
    <row r="571" ht="14.1" customHeight="1"/>
    <row r="572" ht="14.1" customHeight="1"/>
    <row r="573" ht="14.1" customHeight="1"/>
    <row r="574" ht="14.1" customHeight="1"/>
    <row r="575" ht="14.1" customHeight="1"/>
    <row r="576" ht="14.1" customHeight="1"/>
    <row r="577" ht="14.1" customHeight="1"/>
    <row r="578" ht="14.1" customHeight="1"/>
    <row r="579" ht="14.1" customHeight="1"/>
    <row r="580" ht="14.1" customHeight="1"/>
    <row r="581" ht="14.1" customHeight="1"/>
    <row r="582" ht="14.1" customHeight="1"/>
    <row r="583" ht="14.1" customHeight="1"/>
    <row r="584" ht="14.1" customHeight="1"/>
    <row r="585" ht="14.1" customHeight="1"/>
    <row r="586" ht="14.1" customHeight="1"/>
    <row r="587" ht="14.1" customHeight="1"/>
    <row r="588" ht="14.1" customHeight="1"/>
    <row r="589" ht="14.1" customHeight="1"/>
    <row r="590" ht="14.1" customHeight="1"/>
    <row r="591" ht="14.1" customHeight="1"/>
    <row r="592" ht="14.1" customHeight="1"/>
    <row r="593" ht="14.1" customHeight="1"/>
    <row r="594" ht="14.1" customHeight="1"/>
    <row r="595" ht="14.1" customHeight="1"/>
    <row r="596" ht="14.1" customHeight="1"/>
    <row r="597" ht="14.1" customHeight="1"/>
    <row r="598" ht="14.1" customHeight="1"/>
    <row r="599" ht="14.1" customHeight="1"/>
    <row r="600" ht="14.1" customHeight="1"/>
    <row r="601" ht="14.1" customHeight="1"/>
    <row r="602" ht="14.1" customHeight="1"/>
    <row r="603" ht="14.1" customHeight="1"/>
    <row r="604" ht="14.1" customHeight="1"/>
    <row r="605" ht="14.1" customHeight="1"/>
    <row r="606" ht="14.1" customHeight="1"/>
    <row r="607" ht="14.1" customHeight="1"/>
    <row r="608" ht="14.1" customHeight="1"/>
    <row r="609" ht="14.1" customHeight="1"/>
    <row r="610" ht="14.1" customHeight="1"/>
    <row r="611" ht="14.1" customHeight="1"/>
    <row r="612" ht="14.1" customHeight="1"/>
    <row r="613" ht="14.1" customHeight="1"/>
    <row r="614" ht="14.1" customHeight="1"/>
    <row r="615" ht="14.1" customHeight="1"/>
    <row r="616" ht="14.1" customHeight="1"/>
    <row r="617" ht="14.1" customHeight="1"/>
    <row r="618" ht="14.1" customHeight="1"/>
    <row r="619" ht="14.1" customHeight="1"/>
    <row r="620" ht="14.1" customHeight="1"/>
    <row r="621" ht="14.1" customHeight="1"/>
    <row r="622" ht="14.1" customHeight="1"/>
    <row r="623" ht="14.1" customHeight="1"/>
    <row r="624" ht="14.1" customHeight="1"/>
    <row r="625" ht="14.1" customHeight="1"/>
    <row r="626" ht="14.1" customHeight="1"/>
    <row r="627" ht="14.1" customHeight="1"/>
    <row r="628" ht="14.1" customHeight="1"/>
    <row r="629" ht="14.1" customHeight="1"/>
    <row r="630" ht="14.1" customHeight="1"/>
    <row r="631" ht="14.1" customHeight="1"/>
    <row r="632" ht="14.1" customHeight="1"/>
    <row r="633" ht="14.1" customHeight="1"/>
    <row r="634" ht="14.1" customHeight="1"/>
    <row r="635" ht="14.1" customHeight="1"/>
    <row r="636" ht="14.1" customHeight="1"/>
    <row r="637" ht="14.1" customHeight="1"/>
    <row r="638" ht="14.1" customHeight="1"/>
    <row r="639" ht="14.1" customHeight="1"/>
    <row r="640" ht="14.1" customHeight="1"/>
    <row r="641" ht="14.1" customHeight="1"/>
    <row r="642" ht="14.1" customHeight="1"/>
    <row r="643" ht="14.1" customHeight="1"/>
    <row r="644" ht="14.1" customHeight="1"/>
    <row r="645" ht="14.1" customHeight="1"/>
    <row r="646" ht="14.1" customHeight="1"/>
    <row r="647" ht="14.1" customHeight="1"/>
    <row r="648" ht="14.1" customHeight="1"/>
    <row r="649" ht="14.1" customHeight="1"/>
    <row r="650" ht="14.1" customHeight="1"/>
    <row r="651" ht="14.1" customHeight="1"/>
    <row r="652" ht="14.1" customHeight="1"/>
    <row r="653" ht="14.1" customHeight="1"/>
    <row r="654" ht="14.1" customHeight="1"/>
    <row r="655" ht="14.1" customHeight="1"/>
    <row r="656" ht="14.1" customHeight="1"/>
    <row r="657" ht="14.1" customHeight="1"/>
    <row r="658" ht="14.1" customHeight="1"/>
    <row r="659" ht="14.1" customHeight="1"/>
    <row r="660" ht="14.1" customHeight="1"/>
    <row r="661" ht="14.1" customHeight="1"/>
    <row r="662" ht="14.1" customHeight="1"/>
    <row r="663" ht="14.1" customHeight="1"/>
    <row r="664" ht="14.1" customHeight="1"/>
    <row r="665" ht="14.1" customHeight="1"/>
    <row r="666" ht="14.1" customHeight="1"/>
    <row r="667" ht="14.1" customHeight="1"/>
    <row r="668" ht="14.1" customHeight="1"/>
    <row r="669" ht="14.1" customHeight="1"/>
    <row r="670" ht="14.1" customHeight="1"/>
    <row r="671" ht="14.1" customHeight="1"/>
    <row r="672" ht="14.1" customHeight="1"/>
    <row r="673" ht="14.1" customHeight="1"/>
    <row r="674" ht="14.1" customHeight="1"/>
    <row r="675" ht="14.1" customHeight="1"/>
    <row r="676" ht="14.1" customHeight="1"/>
    <row r="677" ht="14.1" customHeight="1"/>
    <row r="678" ht="14.1" customHeight="1"/>
    <row r="679" ht="14.1" customHeight="1"/>
    <row r="680" ht="14.1" customHeight="1"/>
    <row r="681" ht="14.1" customHeight="1"/>
    <row r="682" ht="14.1" customHeight="1"/>
    <row r="683" ht="14.1" customHeight="1"/>
    <row r="684" ht="14.1" customHeight="1"/>
    <row r="685" ht="14.1" customHeight="1"/>
    <row r="686" ht="14.1" customHeight="1"/>
    <row r="687" ht="14.1" customHeight="1"/>
    <row r="688" ht="14.1" customHeight="1"/>
    <row r="689" ht="14.1" customHeight="1"/>
    <row r="690" ht="14.1" customHeight="1"/>
    <row r="691" ht="14.1" customHeight="1"/>
    <row r="692" ht="14.1" customHeight="1"/>
    <row r="693" ht="14.1" customHeight="1"/>
    <row r="694" ht="14.1" customHeight="1"/>
    <row r="695" ht="14.1" customHeight="1"/>
    <row r="696" ht="14.1" customHeight="1"/>
    <row r="697" ht="14.1" customHeight="1"/>
    <row r="698" ht="14.1" customHeight="1"/>
    <row r="699" ht="14.1" customHeight="1"/>
    <row r="700" ht="14.1" customHeight="1"/>
    <row r="701" ht="14.1" customHeight="1"/>
    <row r="702" ht="14.1" customHeight="1"/>
    <row r="703" ht="14.1" customHeight="1"/>
    <row r="704" ht="14.1" customHeight="1"/>
    <row r="705" ht="14.1" customHeight="1"/>
    <row r="706" ht="14.1" customHeight="1"/>
    <row r="707" ht="14.1" customHeight="1"/>
    <row r="708" ht="14.1" customHeight="1"/>
    <row r="709" ht="14.1" customHeight="1"/>
    <row r="710" ht="14.1" customHeight="1"/>
    <row r="711" ht="14.1" customHeight="1"/>
    <row r="712" ht="14.1" customHeight="1"/>
    <row r="713" ht="14.1" customHeight="1"/>
    <row r="714" ht="14.1" customHeight="1"/>
    <row r="715" ht="14.1" customHeight="1"/>
    <row r="716" ht="14.1" customHeight="1"/>
    <row r="717" ht="14.1" customHeight="1"/>
    <row r="718" ht="14.1" customHeight="1"/>
    <row r="719" ht="14.1" customHeight="1"/>
    <row r="720" ht="14.1" customHeight="1"/>
    <row r="721" ht="14.1" customHeight="1"/>
    <row r="722" ht="14.1" customHeight="1"/>
    <row r="723" ht="14.1" customHeight="1"/>
    <row r="724" ht="14.1" customHeight="1"/>
    <row r="725" ht="14.1" customHeight="1"/>
    <row r="726" ht="14.1" customHeight="1"/>
    <row r="727" ht="14.1" customHeight="1"/>
    <row r="728" ht="14.1" customHeight="1"/>
    <row r="729" ht="14.1" customHeight="1"/>
    <row r="730" ht="14.1" customHeight="1"/>
    <row r="731" ht="14.1" customHeight="1"/>
    <row r="732" ht="14.1" customHeight="1"/>
    <row r="733" ht="14.1" customHeight="1"/>
    <row r="734" ht="14.1" customHeight="1"/>
    <row r="735" ht="14.1" customHeight="1"/>
    <row r="736" ht="14.1" customHeight="1"/>
    <row r="737" ht="14.1" customHeight="1"/>
    <row r="738" ht="14.1" customHeight="1"/>
    <row r="739" ht="14.1" customHeight="1"/>
    <row r="740" ht="14.1" customHeight="1"/>
    <row r="741" ht="14.1" customHeight="1"/>
    <row r="742" ht="14.1" customHeight="1"/>
    <row r="743" ht="14.1" customHeight="1"/>
    <row r="744" ht="14.1" customHeight="1"/>
    <row r="745" ht="14.1" customHeight="1"/>
    <row r="746" ht="14.1" customHeight="1"/>
    <row r="747" ht="14.1" customHeight="1"/>
    <row r="748" ht="14.1" customHeight="1"/>
    <row r="749" ht="14.1" customHeight="1"/>
    <row r="750" ht="14.1" customHeight="1"/>
    <row r="751" ht="14.1" customHeight="1"/>
    <row r="752" ht="14.1" customHeight="1"/>
    <row r="753" ht="14.1" customHeight="1"/>
    <row r="754" ht="14.1" customHeight="1"/>
    <row r="755" ht="14.1" customHeight="1"/>
    <row r="756" ht="14.1" customHeight="1"/>
    <row r="757" ht="14.1" customHeight="1"/>
    <row r="758" ht="14.1" customHeight="1"/>
    <row r="759" ht="14.1" customHeight="1"/>
    <row r="760" ht="14.1" customHeight="1"/>
    <row r="761" ht="14.1" customHeight="1"/>
    <row r="762" ht="14.1" customHeight="1"/>
    <row r="763" ht="14.1" customHeight="1"/>
    <row r="764" ht="14.1" customHeight="1"/>
    <row r="765" ht="14.1" customHeight="1"/>
    <row r="766" ht="14.1" customHeight="1"/>
    <row r="767" ht="14.1" customHeight="1"/>
    <row r="768" ht="14.1" customHeight="1"/>
    <row r="769" ht="14.1" customHeight="1"/>
    <row r="770" ht="14.1" customHeight="1"/>
    <row r="771" ht="14.1" customHeight="1"/>
    <row r="772" ht="14.1" customHeight="1"/>
    <row r="773" ht="14.1" customHeight="1"/>
    <row r="774" ht="14.1" customHeight="1"/>
    <row r="775" ht="14.1" customHeight="1"/>
    <row r="776" ht="14.1" customHeight="1"/>
    <row r="777" ht="14.1" customHeight="1"/>
    <row r="778" ht="14.1" customHeight="1"/>
    <row r="779" ht="14.1" customHeight="1"/>
    <row r="780" ht="14.1" customHeight="1"/>
    <row r="781" ht="14.1" customHeight="1"/>
    <row r="782" ht="14.1" customHeight="1"/>
    <row r="783" ht="14.1" customHeight="1"/>
    <row r="784" ht="14.1" customHeight="1"/>
    <row r="785" ht="14.1" customHeight="1"/>
    <row r="786" ht="14.1" customHeight="1"/>
    <row r="787" ht="14.1" customHeight="1"/>
    <row r="788" ht="14.1" customHeight="1"/>
    <row r="789" ht="14.1" customHeight="1"/>
    <row r="790" ht="14.1" customHeight="1"/>
    <row r="791" ht="14.1" customHeight="1"/>
    <row r="792" ht="14.1" customHeight="1"/>
    <row r="793" ht="14.1" customHeight="1"/>
  </sheetData>
  <pageMargins left="0.61" right="0.16" top="0.87" bottom="0.21" header="0.16" footer="0.16"/>
  <pageSetup paperSize="8" scale="51" orientation="portrait"/>
  <headerFooter alignWithMargins="0">
    <oddFooter>&amp;L&amp;"Arial"&amp;7 &amp;KDAD4CE_x000D_# Internal_x000D_&amp;1#&amp;"Arial"&amp;7&amp;KDAD4CE Public</oddFooter>
  </headerFooter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>
    <tabColor rgb="FF92D050"/>
    <pageSetUpPr fitToPage="1"/>
  </sheetPr>
  <dimension ref="A1:U793"/>
  <sheetViews>
    <sheetView tabSelected="1" zoomScale="80" zoomScaleNormal="80" workbookViewId="0">
      <pane ySplit="4" topLeftCell="A38" activePane="bottomLeft" state="frozen"/>
      <selection activeCell="A16" sqref="A16"/>
      <selection pane="bottomLeft" activeCell="G54" sqref="G54"/>
    </sheetView>
  </sheetViews>
  <sheetFormatPr defaultColWidth="8.85546875" defaultRowHeight="15" customHeight="1"/>
  <cols>
    <col min="1" max="1" width="4.140625" style="3" customWidth="1"/>
    <col min="2" max="3" width="8.5703125" style="20" customWidth="1"/>
    <col min="4" max="4" width="14.5703125" style="3" customWidth="1"/>
    <col min="5" max="5" width="20.5703125" style="20" customWidth="1"/>
    <col min="6" max="6" width="8.5703125" style="3" customWidth="1"/>
    <col min="7" max="7" width="32.5703125" style="2" customWidth="1"/>
    <col min="8" max="8" width="18.5703125" style="3" customWidth="1"/>
    <col min="9" max="9" width="62.5703125" style="2" customWidth="1"/>
    <col min="10" max="12" width="9.5703125" style="3" customWidth="1"/>
    <col min="13" max="13" width="15.5703125" style="3" customWidth="1"/>
    <col min="14" max="14" width="8.5703125" style="3" customWidth="1"/>
    <col min="15" max="15" width="10.5703125" style="3" customWidth="1"/>
    <col min="16" max="16" width="5.5703125" style="3" customWidth="1"/>
    <col min="17" max="17" width="1.5703125" style="2" customWidth="1"/>
    <col min="18" max="18" width="10.5703125" style="30" customWidth="1"/>
    <col min="19" max="19" width="1.5703125" style="2" customWidth="1"/>
    <col min="20" max="21" width="10.5703125" style="2" customWidth="1"/>
    <col min="22" max="215" width="8.85546875" style="2" customWidth="1"/>
    <col min="216" max="216" width="8.140625" style="2" customWidth="1"/>
    <col min="217" max="217" width="14.5703125" style="2" customWidth="1"/>
    <col min="218" max="218" width="37.42578125" style="2" customWidth="1"/>
    <col min="219" max="219" width="63.140625" style="2" customWidth="1"/>
    <col min="220" max="220" width="20" style="2" customWidth="1"/>
    <col min="221" max="221" width="11.140625" style="2" customWidth="1"/>
    <col min="222" max="222" width="10.85546875" style="2" customWidth="1"/>
    <col min="223" max="223" width="21" style="2" customWidth="1"/>
    <col min="224" max="224" width="10.85546875" style="2" customWidth="1"/>
    <col min="225" max="225" width="17.42578125" style="2" customWidth="1"/>
    <col min="226" max="226" width="14.85546875" style="2" customWidth="1"/>
    <col min="227" max="227" width="15" style="2" customWidth="1"/>
    <col min="228" max="228" width="14.85546875" style="2" customWidth="1"/>
    <col min="229" max="229" width="7.140625" style="2" customWidth="1"/>
    <col min="230" max="231" width="20.140625" style="2" customWidth="1"/>
    <col min="232" max="232" width="18.42578125" style="2" customWidth="1"/>
    <col min="233" max="233" width="9.140625" style="2" customWidth="1"/>
    <col min="234" max="234" width="12" style="2" customWidth="1"/>
    <col min="235" max="235" width="14.85546875" style="2" customWidth="1"/>
    <col min="236" max="236" width="22.42578125" style="2" customWidth="1"/>
    <col min="237" max="237" width="14.85546875" style="2" customWidth="1"/>
    <col min="238" max="238" width="7.140625" style="2" customWidth="1"/>
    <col min="239" max="239" width="20.140625" style="2" customWidth="1"/>
    <col min="240" max="471" width="8.85546875" style="2" customWidth="1"/>
    <col min="472" max="472" width="8.140625" style="2" customWidth="1"/>
    <col min="473" max="473" width="14.5703125" style="2" customWidth="1"/>
    <col min="474" max="474" width="37.42578125" style="2" customWidth="1"/>
    <col min="475" max="475" width="63.140625" style="2" customWidth="1"/>
    <col min="476" max="476" width="20" style="2" customWidth="1"/>
    <col min="477" max="477" width="11.140625" style="2" customWidth="1"/>
    <col min="478" max="478" width="10.85546875" style="2" customWidth="1"/>
    <col min="479" max="479" width="21" style="2" customWidth="1"/>
    <col min="480" max="480" width="10.85546875" style="2" customWidth="1"/>
    <col min="481" max="481" width="17.42578125" style="2" customWidth="1"/>
    <col min="482" max="482" width="14.85546875" style="2" customWidth="1"/>
    <col min="483" max="483" width="15" style="2" customWidth="1"/>
    <col min="484" max="484" width="14.85546875" style="2" customWidth="1"/>
    <col min="485" max="485" width="7.140625" style="2" customWidth="1"/>
    <col min="486" max="487" width="20.140625" style="2" customWidth="1"/>
    <col min="488" max="488" width="18.42578125" style="2" customWidth="1"/>
    <col min="489" max="489" width="9.140625" style="2" customWidth="1"/>
    <col min="490" max="490" width="12" style="2" customWidth="1"/>
    <col min="491" max="491" width="14.85546875" style="2" customWidth="1"/>
    <col min="492" max="492" width="22.42578125" style="2" customWidth="1"/>
    <col min="493" max="493" width="14.85546875" style="2" customWidth="1"/>
    <col min="494" max="494" width="7.140625" style="2" customWidth="1"/>
    <col min="495" max="495" width="20.140625" style="2" customWidth="1"/>
    <col min="496" max="727" width="8.85546875" style="2" customWidth="1"/>
    <col min="728" max="728" width="8.140625" style="2" customWidth="1"/>
    <col min="729" max="729" width="14.5703125" style="2" customWidth="1"/>
    <col min="730" max="730" width="37.42578125" style="2" customWidth="1"/>
    <col min="731" max="731" width="63.140625" style="2" customWidth="1"/>
    <col min="732" max="732" width="20" style="2" customWidth="1"/>
    <col min="733" max="733" width="11.140625" style="2" customWidth="1"/>
    <col min="734" max="734" width="10.85546875" style="2" customWidth="1"/>
    <col min="735" max="735" width="21" style="2" customWidth="1"/>
    <col min="736" max="736" width="10.85546875" style="2" customWidth="1"/>
    <col min="737" max="737" width="17.42578125" style="2" customWidth="1"/>
    <col min="738" max="738" width="14.85546875" style="2" customWidth="1"/>
    <col min="739" max="739" width="15" style="2" customWidth="1"/>
    <col min="740" max="740" width="14.85546875" style="2" customWidth="1"/>
    <col min="741" max="741" width="7.140625" style="2" customWidth="1"/>
    <col min="742" max="743" width="20.140625" style="2" customWidth="1"/>
    <col min="744" max="744" width="18.42578125" style="2" customWidth="1"/>
    <col min="745" max="745" width="9.140625" style="2" customWidth="1"/>
    <col min="746" max="746" width="12" style="2" customWidth="1"/>
    <col min="747" max="747" width="14.85546875" style="2" customWidth="1"/>
    <col min="748" max="748" width="22.42578125" style="2" customWidth="1"/>
    <col min="749" max="749" width="14.85546875" style="2" customWidth="1"/>
    <col min="750" max="750" width="7.140625" style="2" customWidth="1"/>
    <col min="751" max="751" width="20.140625" style="2" customWidth="1"/>
    <col min="752" max="983" width="8.85546875" style="2" customWidth="1"/>
    <col min="984" max="984" width="8.140625" style="2" customWidth="1"/>
    <col min="985" max="985" width="14.5703125" style="2" customWidth="1"/>
    <col min="986" max="986" width="37.42578125" style="2" customWidth="1"/>
    <col min="987" max="987" width="63.140625" style="2" customWidth="1"/>
    <col min="988" max="988" width="20" style="2" customWidth="1"/>
    <col min="989" max="989" width="11.140625" style="2" customWidth="1"/>
    <col min="990" max="990" width="10.85546875" style="2" customWidth="1"/>
    <col min="991" max="991" width="21" style="2" customWidth="1"/>
    <col min="992" max="992" width="10.85546875" style="2" customWidth="1"/>
    <col min="993" max="993" width="17.42578125" style="2" customWidth="1"/>
    <col min="994" max="994" width="14.85546875" style="2" customWidth="1"/>
    <col min="995" max="995" width="15" style="2" customWidth="1"/>
    <col min="996" max="996" width="14.85546875" style="2" customWidth="1"/>
    <col min="997" max="997" width="7.140625" style="2" customWidth="1"/>
    <col min="998" max="999" width="20.140625" style="2" customWidth="1"/>
    <col min="1000" max="1000" width="18.42578125" style="2" customWidth="1"/>
    <col min="1001" max="1001" width="9.140625" style="2" customWidth="1"/>
    <col min="1002" max="1002" width="12" style="2" customWidth="1"/>
    <col min="1003" max="1003" width="14.85546875" style="2" customWidth="1"/>
    <col min="1004" max="1004" width="22.42578125" style="2" customWidth="1"/>
    <col min="1005" max="1005" width="14.85546875" style="2" customWidth="1"/>
    <col min="1006" max="1006" width="7.140625" style="2" customWidth="1"/>
    <col min="1007" max="1007" width="20.140625" style="2" customWidth="1"/>
    <col min="1008" max="1239" width="8.85546875" style="2" customWidth="1"/>
    <col min="1240" max="1240" width="8.140625" style="2" customWidth="1"/>
    <col min="1241" max="1241" width="14.5703125" style="2" customWidth="1"/>
    <col min="1242" max="1242" width="37.42578125" style="2" customWidth="1"/>
    <col min="1243" max="1243" width="63.140625" style="2" customWidth="1"/>
    <col min="1244" max="1244" width="20" style="2" customWidth="1"/>
    <col min="1245" max="1245" width="11.140625" style="2" customWidth="1"/>
    <col min="1246" max="1246" width="10.85546875" style="2" customWidth="1"/>
    <col min="1247" max="1247" width="21" style="2" customWidth="1"/>
    <col min="1248" max="1248" width="10.85546875" style="2" customWidth="1"/>
    <col min="1249" max="1249" width="17.42578125" style="2" customWidth="1"/>
    <col min="1250" max="1250" width="14.85546875" style="2" customWidth="1"/>
    <col min="1251" max="1251" width="15" style="2" customWidth="1"/>
    <col min="1252" max="1252" width="14.85546875" style="2" customWidth="1"/>
    <col min="1253" max="1253" width="7.140625" style="2" customWidth="1"/>
    <col min="1254" max="1255" width="20.140625" style="2" customWidth="1"/>
    <col min="1256" max="1256" width="18.42578125" style="2" customWidth="1"/>
    <col min="1257" max="1257" width="9.140625" style="2" customWidth="1"/>
    <col min="1258" max="1258" width="12" style="2" customWidth="1"/>
    <col min="1259" max="1259" width="14.85546875" style="2" customWidth="1"/>
    <col min="1260" max="1260" width="22.42578125" style="2" customWidth="1"/>
    <col min="1261" max="1261" width="14.85546875" style="2" customWidth="1"/>
    <col min="1262" max="1262" width="7.140625" style="2" customWidth="1"/>
    <col min="1263" max="1263" width="20.140625" style="2" customWidth="1"/>
    <col min="1264" max="1495" width="8.85546875" style="2" customWidth="1"/>
    <col min="1496" max="1496" width="8.140625" style="2" customWidth="1"/>
    <col min="1497" max="1497" width="14.5703125" style="2" customWidth="1"/>
    <col min="1498" max="1498" width="37.42578125" style="2" customWidth="1"/>
    <col min="1499" max="1499" width="63.140625" style="2" customWidth="1"/>
    <col min="1500" max="1500" width="20" style="2" customWidth="1"/>
    <col min="1501" max="1501" width="11.140625" style="2" customWidth="1"/>
    <col min="1502" max="1502" width="10.85546875" style="2" customWidth="1"/>
    <col min="1503" max="1503" width="21" style="2" customWidth="1"/>
    <col min="1504" max="1504" width="10.85546875" style="2" customWidth="1"/>
    <col min="1505" max="1505" width="17.42578125" style="2" customWidth="1"/>
    <col min="1506" max="1506" width="14.85546875" style="2" customWidth="1"/>
    <col min="1507" max="1507" width="15" style="2" customWidth="1"/>
    <col min="1508" max="1508" width="14.85546875" style="2" customWidth="1"/>
    <col min="1509" max="1509" width="7.140625" style="2" customWidth="1"/>
    <col min="1510" max="1511" width="20.140625" style="2" customWidth="1"/>
    <col min="1512" max="1512" width="18.42578125" style="2" customWidth="1"/>
    <col min="1513" max="1513" width="9.140625" style="2" customWidth="1"/>
    <col min="1514" max="1514" width="12" style="2" customWidth="1"/>
    <col min="1515" max="1515" width="14.85546875" style="2" customWidth="1"/>
    <col min="1516" max="1516" width="22.42578125" style="2" customWidth="1"/>
    <col min="1517" max="1517" width="14.85546875" style="2" customWidth="1"/>
    <col min="1518" max="1518" width="7.140625" style="2" customWidth="1"/>
    <col min="1519" max="1519" width="20.140625" style="2" customWidth="1"/>
    <col min="1520" max="1751" width="8.85546875" style="2" customWidth="1"/>
    <col min="1752" max="1752" width="8.140625" style="2" customWidth="1"/>
    <col min="1753" max="1753" width="14.5703125" style="2" customWidth="1"/>
    <col min="1754" max="1754" width="37.42578125" style="2" customWidth="1"/>
    <col min="1755" max="1755" width="63.140625" style="2" customWidth="1"/>
    <col min="1756" max="1756" width="20" style="2" customWidth="1"/>
    <col min="1757" max="1757" width="11.140625" style="2" customWidth="1"/>
    <col min="1758" max="1758" width="10.85546875" style="2" customWidth="1"/>
    <col min="1759" max="1759" width="21" style="2" customWidth="1"/>
    <col min="1760" max="1760" width="10.85546875" style="2" customWidth="1"/>
    <col min="1761" max="1761" width="17.42578125" style="2" customWidth="1"/>
    <col min="1762" max="1762" width="14.85546875" style="2" customWidth="1"/>
    <col min="1763" max="1763" width="15" style="2" customWidth="1"/>
    <col min="1764" max="1764" width="14.85546875" style="2" customWidth="1"/>
    <col min="1765" max="1765" width="7.140625" style="2" customWidth="1"/>
    <col min="1766" max="1767" width="20.140625" style="2" customWidth="1"/>
    <col min="1768" max="1768" width="18.42578125" style="2" customWidth="1"/>
    <col min="1769" max="1769" width="9.140625" style="2" customWidth="1"/>
    <col min="1770" max="1770" width="12" style="2" customWidth="1"/>
    <col min="1771" max="1771" width="14.85546875" style="2" customWidth="1"/>
    <col min="1772" max="1772" width="22.42578125" style="2" customWidth="1"/>
    <col min="1773" max="1773" width="14.85546875" style="2" customWidth="1"/>
    <col min="1774" max="1774" width="7.140625" style="2" customWidth="1"/>
    <col min="1775" max="1775" width="20.140625" style="2" customWidth="1"/>
    <col min="1776" max="2007" width="8.85546875" style="2" customWidth="1"/>
    <col min="2008" max="2008" width="8.140625" style="2" customWidth="1"/>
    <col min="2009" max="2009" width="14.5703125" style="2" customWidth="1"/>
    <col min="2010" max="2010" width="37.42578125" style="2" customWidth="1"/>
    <col min="2011" max="2011" width="63.140625" style="2" customWidth="1"/>
    <col min="2012" max="2012" width="20" style="2" customWidth="1"/>
    <col min="2013" max="2013" width="11.140625" style="2" customWidth="1"/>
    <col min="2014" max="2014" width="10.85546875" style="2" customWidth="1"/>
    <col min="2015" max="2015" width="21" style="2" customWidth="1"/>
    <col min="2016" max="2016" width="10.85546875" style="2" customWidth="1"/>
    <col min="2017" max="2017" width="17.42578125" style="2" customWidth="1"/>
    <col min="2018" max="2018" width="14.85546875" style="2" customWidth="1"/>
    <col min="2019" max="2019" width="15" style="2" customWidth="1"/>
    <col min="2020" max="2020" width="14.85546875" style="2" customWidth="1"/>
    <col min="2021" max="2021" width="7.140625" style="2" customWidth="1"/>
    <col min="2022" max="2023" width="20.140625" style="2" customWidth="1"/>
    <col min="2024" max="2024" width="18.42578125" style="2" customWidth="1"/>
    <col min="2025" max="2025" width="9.140625" style="2" customWidth="1"/>
    <col min="2026" max="2026" width="12" style="2" customWidth="1"/>
    <col min="2027" max="2027" width="14.85546875" style="2" customWidth="1"/>
    <col min="2028" max="2028" width="22.42578125" style="2" customWidth="1"/>
    <col min="2029" max="2029" width="14.85546875" style="2" customWidth="1"/>
    <col min="2030" max="2030" width="7.140625" style="2" customWidth="1"/>
    <col min="2031" max="2031" width="20.140625" style="2" customWidth="1"/>
    <col min="2032" max="2263" width="8.85546875" style="2" customWidth="1"/>
    <col min="2264" max="2264" width="8.140625" style="2" customWidth="1"/>
    <col min="2265" max="2265" width="14.5703125" style="2" customWidth="1"/>
    <col min="2266" max="2266" width="37.42578125" style="2" customWidth="1"/>
    <col min="2267" max="2267" width="63.140625" style="2" customWidth="1"/>
    <col min="2268" max="2268" width="20" style="2" customWidth="1"/>
    <col min="2269" max="2269" width="11.140625" style="2" customWidth="1"/>
    <col min="2270" max="2270" width="10.85546875" style="2" customWidth="1"/>
    <col min="2271" max="2271" width="21" style="2" customWidth="1"/>
    <col min="2272" max="2272" width="10.85546875" style="2" customWidth="1"/>
    <col min="2273" max="2273" width="17.42578125" style="2" customWidth="1"/>
    <col min="2274" max="2274" width="14.85546875" style="2" customWidth="1"/>
    <col min="2275" max="2275" width="15" style="2" customWidth="1"/>
    <col min="2276" max="2276" width="14.85546875" style="2" customWidth="1"/>
    <col min="2277" max="2277" width="7.140625" style="2" customWidth="1"/>
    <col min="2278" max="2279" width="20.140625" style="2" customWidth="1"/>
    <col min="2280" max="2280" width="18.42578125" style="2" customWidth="1"/>
    <col min="2281" max="2281" width="9.140625" style="2" customWidth="1"/>
    <col min="2282" max="2282" width="12" style="2" customWidth="1"/>
    <col min="2283" max="2283" width="14.85546875" style="2" customWidth="1"/>
    <col min="2284" max="2284" width="22.42578125" style="2" customWidth="1"/>
    <col min="2285" max="2285" width="14.85546875" style="2" customWidth="1"/>
    <col min="2286" max="2286" width="7.140625" style="2" customWidth="1"/>
    <col min="2287" max="2287" width="20.140625" style="2" customWidth="1"/>
    <col min="2288" max="2519" width="8.85546875" style="2" customWidth="1"/>
    <col min="2520" max="2520" width="8.140625" style="2" customWidth="1"/>
    <col min="2521" max="2521" width="14.5703125" style="2" customWidth="1"/>
    <col min="2522" max="2522" width="37.42578125" style="2" customWidth="1"/>
    <col min="2523" max="2523" width="63.140625" style="2" customWidth="1"/>
    <col min="2524" max="2524" width="20" style="2" customWidth="1"/>
    <col min="2525" max="2525" width="11.140625" style="2" customWidth="1"/>
    <col min="2526" max="2526" width="10.85546875" style="2" customWidth="1"/>
    <col min="2527" max="2527" width="21" style="2" customWidth="1"/>
    <col min="2528" max="2528" width="10.85546875" style="2" customWidth="1"/>
    <col min="2529" max="2529" width="17.42578125" style="2" customWidth="1"/>
    <col min="2530" max="2530" width="14.85546875" style="2" customWidth="1"/>
    <col min="2531" max="2531" width="15" style="2" customWidth="1"/>
    <col min="2532" max="2532" width="14.85546875" style="2" customWidth="1"/>
    <col min="2533" max="2533" width="7.140625" style="2" customWidth="1"/>
    <col min="2534" max="2535" width="20.140625" style="2" customWidth="1"/>
    <col min="2536" max="2536" width="18.42578125" style="2" customWidth="1"/>
    <col min="2537" max="2537" width="9.140625" style="2" customWidth="1"/>
    <col min="2538" max="2538" width="12" style="2" customWidth="1"/>
    <col min="2539" max="2539" width="14.85546875" style="2" customWidth="1"/>
    <col min="2540" max="2540" width="22.42578125" style="2" customWidth="1"/>
    <col min="2541" max="2541" width="14.85546875" style="2" customWidth="1"/>
    <col min="2542" max="2542" width="7.140625" style="2" customWidth="1"/>
    <col min="2543" max="2543" width="20.140625" style="2" customWidth="1"/>
    <col min="2544" max="2775" width="8.85546875" style="2" customWidth="1"/>
    <col min="2776" max="2776" width="8.140625" style="2" customWidth="1"/>
    <col min="2777" max="2777" width="14.5703125" style="2" customWidth="1"/>
    <col min="2778" max="2778" width="37.42578125" style="2" customWidth="1"/>
    <col min="2779" max="2779" width="63.140625" style="2" customWidth="1"/>
    <col min="2780" max="2780" width="20" style="2" customWidth="1"/>
    <col min="2781" max="2781" width="11.140625" style="2" customWidth="1"/>
    <col min="2782" max="2782" width="10.85546875" style="2" customWidth="1"/>
    <col min="2783" max="2783" width="21" style="2" customWidth="1"/>
    <col min="2784" max="2784" width="10.85546875" style="2" customWidth="1"/>
    <col min="2785" max="2785" width="17.42578125" style="2" customWidth="1"/>
    <col min="2786" max="2786" width="14.85546875" style="2" customWidth="1"/>
    <col min="2787" max="2787" width="15" style="2" customWidth="1"/>
    <col min="2788" max="2788" width="14.85546875" style="2" customWidth="1"/>
    <col min="2789" max="2789" width="7.140625" style="2" customWidth="1"/>
    <col min="2790" max="2791" width="20.140625" style="2" customWidth="1"/>
    <col min="2792" max="2792" width="18.42578125" style="2" customWidth="1"/>
    <col min="2793" max="2793" width="9.140625" style="2" customWidth="1"/>
    <col min="2794" max="2794" width="12" style="2" customWidth="1"/>
    <col min="2795" max="2795" width="14.85546875" style="2" customWidth="1"/>
    <col min="2796" max="2796" width="22.42578125" style="2" customWidth="1"/>
    <col min="2797" max="2797" width="14.85546875" style="2" customWidth="1"/>
    <col min="2798" max="2798" width="7.140625" style="2" customWidth="1"/>
    <col min="2799" max="2799" width="20.140625" style="2" customWidth="1"/>
    <col min="2800" max="3031" width="8.85546875" style="2" customWidth="1"/>
    <col min="3032" max="3032" width="8.140625" style="2" customWidth="1"/>
    <col min="3033" max="3033" width="14.5703125" style="2" customWidth="1"/>
    <col min="3034" max="3034" width="37.42578125" style="2" customWidth="1"/>
    <col min="3035" max="3035" width="63.140625" style="2" customWidth="1"/>
    <col min="3036" max="3036" width="20" style="2" customWidth="1"/>
    <col min="3037" max="3037" width="11.140625" style="2" customWidth="1"/>
    <col min="3038" max="3038" width="10.85546875" style="2" customWidth="1"/>
    <col min="3039" max="3039" width="21" style="2" customWidth="1"/>
    <col min="3040" max="3040" width="10.85546875" style="2" customWidth="1"/>
    <col min="3041" max="3041" width="17.42578125" style="2" customWidth="1"/>
    <col min="3042" max="3042" width="14.85546875" style="2" customWidth="1"/>
    <col min="3043" max="3043" width="15" style="2" customWidth="1"/>
    <col min="3044" max="3044" width="14.85546875" style="2" customWidth="1"/>
    <col min="3045" max="3045" width="7.140625" style="2" customWidth="1"/>
    <col min="3046" max="3047" width="20.140625" style="2" customWidth="1"/>
    <col min="3048" max="3048" width="18.42578125" style="2" customWidth="1"/>
    <col min="3049" max="3049" width="9.140625" style="2" customWidth="1"/>
    <col min="3050" max="3050" width="12" style="2" customWidth="1"/>
    <col min="3051" max="3051" width="14.85546875" style="2" customWidth="1"/>
    <col min="3052" max="3052" width="22.42578125" style="2" customWidth="1"/>
    <col min="3053" max="3053" width="14.85546875" style="2" customWidth="1"/>
    <col min="3054" max="3054" width="7.140625" style="2" customWidth="1"/>
    <col min="3055" max="3055" width="20.140625" style="2" customWidth="1"/>
    <col min="3056" max="3287" width="8.85546875" style="2" customWidth="1"/>
    <col min="3288" max="3288" width="8.140625" style="2" customWidth="1"/>
    <col min="3289" max="3289" width="14.5703125" style="2" customWidth="1"/>
    <col min="3290" max="3290" width="37.42578125" style="2" customWidth="1"/>
    <col min="3291" max="3291" width="63.140625" style="2" customWidth="1"/>
    <col min="3292" max="3292" width="20" style="2" customWidth="1"/>
    <col min="3293" max="3293" width="11.140625" style="2" customWidth="1"/>
    <col min="3294" max="3294" width="10.85546875" style="2" customWidth="1"/>
    <col min="3295" max="3295" width="21" style="2" customWidth="1"/>
    <col min="3296" max="3296" width="10.85546875" style="2" customWidth="1"/>
    <col min="3297" max="3297" width="17.42578125" style="2" customWidth="1"/>
    <col min="3298" max="3298" width="14.85546875" style="2" customWidth="1"/>
    <col min="3299" max="3299" width="15" style="2" customWidth="1"/>
    <col min="3300" max="3300" width="14.85546875" style="2" customWidth="1"/>
    <col min="3301" max="3301" width="7.140625" style="2" customWidth="1"/>
    <col min="3302" max="3303" width="20.140625" style="2" customWidth="1"/>
    <col min="3304" max="3304" width="18.42578125" style="2" customWidth="1"/>
    <col min="3305" max="3305" width="9.140625" style="2" customWidth="1"/>
    <col min="3306" max="3306" width="12" style="2" customWidth="1"/>
    <col min="3307" max="3307" width="14.85546875" style="2" customWidth="1"/>
    <col min="3308" max="3308" width="22.42578125" style="2" customWidth="1"/>
    <col min="3309" max="3309" width="14.85546875" style="2" customWidth="1"/>
    <col min="3310" max="3310" width="7.140625" style="2" customWidth="1"/>
    <col min="3311" max="3311" width="20.140625" style="2" customWidth="1"/>
    <col min="3312" max="3543" width="8.85546875" style="2" customWidth="1"/>
    <col min="3544" max="3544" width="8.140625" style="2" customWidth="1"/>
    <col min="3545" max="3545" width="14.5703125" style="2" customWidth="1"/>
    <col min="3546" max="3546" width="37.42578125" style="2" customWidth="1"/>
    <col min="3547" max="3547" width="63.140625" style="2" customWidth="1"/>
    <col min="3548" max="3548" width="20" style="2" customWidth="1"/>
    <col min="3549" max="3549" width="11.140625" style="2" customWidth="1"/>
    <col min="3550" max="3550" width="10.85546875" style="2" customWidth="1"/>
    <col min="3551" max="3551" width="21" style="2" customWidth="1"/>
    <col min="3552" max="3552" width="10.85546875" style="2" customWidth="1"/>
    <col min="3553" max="3553" width="17.42578125" style="2" customWidth="1"/>
    <col min="3554" max="3554" width="14.85546875" style="2" customWidth="1"/>
    <col min="3555" max="3555" width="15" style="2" customWidth="1"/>
    <col min="3556" max="3556" width="14.85546875" style="2" customWidth="1"/>
    <col min="3557" max="3557" width="7.140625" style="2" customWidth="1"/>
    <col min="3558" max="3559" width="20.140625" style="2" customWidth="1"/>
    <col min="3560" max="3560" width="18.42578125" style="2" customWidth="1"/>
    <col min="3561" max="3561" width="9.140625" style="2" customWidth="1"/>
    <col min="3562" max="3562" width="12" style="2" customWidth="1"/>
    <col min="3563" max="3563" width="14.85546875" style="2" customWidth="1"/>
    <col min="3564" max="3564" width="22.42578125" style="2" customWidth="1"/>
    <col min="3565" max="3565" width="14.85546875" style="2" customWidth="1"/>
    <col min="3566" max="3566" width="7.140625" style="2" customWidth="1"/>
    <col min="3567" max="3567" width="20.140625" style="2" customWidth="1"/>
    <col min="3568" max="3799" width="8.85546875" style="2" customWidth="1"/>
    <col min="3800" max="3800" width="8.140625" style="2" customWidth="1"/>
    <col min="3801" max="3801" width="14.5703125" style="2" customWidth="1"/>
    <col min="3802" max="3802" width="37.42578125" style="2" customWidth="1"/>
    <col min="3803" max="3803" width="63.140625" style="2" customWidth="1"/>
    <col min="3804" max="3804" width="20" style="2" customWidth="1"/>
    <col min="3805" max="3805" width="11.140625" style="2" customWidth="1"/>
    <col min="3806" max="3806" width="10.85546875" style="2" customWidth="1"/>
    <col min="3807" max="3807" width="21" style="2" customWidth="1"/>
    <col min="3808" max="3808" width="10.85546875" style="2" customWidth="1"/>
    <col min="3809" max="3809" width="17.42578125" style="2" customWidth="1"/>
    <col min="3810" max="3810" width="14.85546875" style="2" customWidth="1"/>
    <col min="3811" max="3811" width="15" style="2" customWidth="1"/>
    <col min="3812" max="3812" width="14.85546875" style="2" customWidth="1"/>
    <col min="3813" max="3813" width="7.140625" style="2" customWidth="1"/>
    <col min="3814" max="3815" width="20.140625" style="2" customWidth="1"/>
    <col min="3816" max="3816" width="18.42578125" style="2" customWidth="1"/>
    <col min="3817" max="3817" width="9.140625" style="2" customWidth="1"/>
    <col min="3818" max="3818" width="12" style="2" customWidth="1"/>
    <col min="3819" max="3819" width="14.85546875" style="2" customWidth="1"/>
    <col min="3820" max="3820" width="22.42578125" style="2" customWidth="1"/>
    <col min="3821" max="3821" width="14.85546875" style="2" customWidth="1"/>
    <col min="3822" max="3822" width="7.140625" style="2" customWidth="1"/>
    <col min="3823" max="3823" width="20.140625" style="2" customWidth="1"/>
    <col min="3824" max="4055" width="8.85546875" style="2" customWidth="1"/>
    <col min="4056" max="4056" width="8.140625" style="2" customWidth="1"/>
    <col min="4057" max="4057" width="14.5703125" style="2" customWidth="1"/>
    <col min="4058" max="4058" width="37.42578125" style="2" customWidth="1"/>
    <col min="4059" max="4059" width="63.140625" style="2" customWidth="1"/>
    <col min="4060" max="4060" width="20" style="2" customWidth="1"/>
    <col min="4061" max="4061" width="11.140625" style="2" customWidth="1"/>
    <col min="4062" max="4062" width="10.85546875" style="2" customWidth="1"/>
    <col min="4063" max="4063" width="21" style="2" customWidth="1"/>
    <col min="4064" max="4064" width="10.85546875" style="2" customWidth="1"/>
    <col min="4065" max="4065" width="17.42578125" style="2" customWidth="1"/>
    <col min="4066" max="4066" width="14.85546875" style="2" customWidth="1"/>
    <col min="4067" max="4067" width="15" style="2" customWidth="1"/>
    <col min="4068" max="4068" width="14.85546875" style="2" customWidth="1"/>
    <col min="4069" max="4069" width="7.140625" style="2" customWidth="1"/>
    <col min="4070" max="4071" width="20.140625" style="2" customWidth="1"/>
    <col min="4072" max="4072" width="18.42578125" style="2" customWidth="1"/>
    <col min="4073" max="4073" width="9.140625" style="2" customWidth="1"/>
    <col min="4074" max="4074" width="12" style="2" customWidth="1"/>
    <col min="4075" max="4075" width="14.85546875" style="2" customWidth="1"/>
    <col min="4076" max="4076" width="22.42578125" style="2" customWidth="1"/>
    <col min="4077" max="4077" width="14.85546875" style="2" customWidth="1"/>
    <col min="4078" max="4078" width="7.140625" style="2" customWidth="1"/>
    <col min="4079" max="4079" width="20.140625" style="2" customWidth="1"/>
    <col min="4080" max="4311" width="8.85546875" style="2" customWidth="1"/>
    <col min="4312" max="4312" width="8.140625" style="2" customWidth="1"/>
    <col min="4313" max="4313" width="14.5703125" style="2" customWidth="1"/>
    <col min="4314" max="4314" width="37.42578125" style="2" customWidth="1"/>
    <col min="4315" max="4315" width="63.140625" style="2" customWidth="1"/>
    <col min="4316" max="4316" width="20" style="2" customWidth="1"/>
    <col min="4317" max="4317" width="11.140625" style="2" customWidth="1"/>
    <col min="4318" max="4318" width="10.85546875" style="2" customWidth="1"/>
    <col min="4319" max="4319" width="21" style="2" customWidth="1"/>
    <col min="4320" max="4320" width="10.85546875" style="2" customWidth="1"/>
    <col min="4321" max="4321" width="17.42578125" style="2" customWidth="1"/>
    <col min="4322" max="4322" width="14.85546875" style="2" customWidth="1"/>
    <col min="4323" max="4323" width="15" style="2" customWidth="1"/>
    <col min="4324" max="4324" width="14.85546875" style="2" customWidth="1"/>
    <col min="4325" max="4325" width="7.140625" style="2" customWidth="1"/>
    <col min="4326" max="4327" width="20.140625" style="2" customWidth="1"/>
    <col min="4328" max="4328" width="18.42578125" style="2" customWidth="1"/>
    <col min="4329" max="4329" width="9.140625" style="2" customWidth="1"/>
    <col min="4330" max="4330" width="12" style="2" customWidth="1"/>
    <col min="4331" max="4331" width="14.85546875" style="2" customWidth="1"/>
    <col min="4332" max="4332" width="22.42578125" style="2" customWidth="1"/>
    <col min="4333" max="4333" width="14.85546875" style="2" customWidth="1"/>
    <col min="4334" max="4334" width="7.140625" style="2" customWidth="1"/>
    <col min="4335" max="4335" width="20.140625" style="2" customWidth="1"/>
    <col min="4336" max="4567" width="8.85546875" style="2" customWidth="1"/>
    <col min="4568" max="4568" width="8.140625" style="2" customWidth="1"/>
    <col min="4569" max="4569" width="14.5703125" style="2" customWidth="1"/>
    <col min="4570" max="4570" width="37.42578125" style="2" customWidth="1"/>
    <col min="4571" max="4571" width="63.140625" style="2" customWidth="1"/>
    <col min="4572" max="4572" width="20" style="2" customWidth="1"/>
    <col min="4573" max="4573" width="11.140625" style="2" customWidth="1"/>
    <col min="4574" max="4574" width="10.85546875" style="2" customWidth="1"/>
    <col min="4575" max="4575" width="21" style="2" customWidth="1"/>
    <col min="4576" max="4576" width="10.85546875" style="2" customWidth="1"/>
    <col min="4577" max="4577" width="17.42578125" style="2" customWidth="1"/>
    <col min="4578" max="4578" width="14.85546875" style="2" customWidth="1"/>
    <col min="4579" max="4579" width="15" style="2" customWidth="1"/>
    <col min="4580" max="4580" width="14.85546875" style="2" customWidth="1"/>
    <col min="4581" max="4581" width="7.140625" style="2" customWidth="1"/>
    <col min="4582" max="4583" width="20.140625" style="2" customWidth="1"/>
    <col min="4584" max="4584" width="18.42578125" style="2" customWidth="1"/>
    <col min="4585" max="4585" width="9.140625" style="2" customWidth="1"/>
    <col min="4586" max="4586" width="12" style="2" customWidth="1"/>
    <col min="4587" max="4587" width="14.85546875" style="2" customWidth="1"/>
    <col min="4588" max="4588" width="22.42578125" style="2" customWidth="1"/>
    <col min="4589" max="4589" width="14.85546875" style="2" customWidth="1"/>
    <col min="4590" max="4590" width="7.140625" style="2" customWidth="1"/>
    <col min="4591" max="4591" width="20.140625" style="2" customWidth="1"/>
    <col min="4592" max="4823" width="8.85546875" style="2" customWidth="1"/>
    <col min="4824" max="4824" width="8.140625" style="2" customWidth="1"/>
    <col min="4825" max="4825" width="14.5703125" style="2" customWidth="1"/>
    <col min="4826" max="4826" width="37.42578125" style="2" customWidth="1"/>
    <col min="4827" max="4827" width="63.140625" style="2" customWidth="1"/>
    <col min="4828" max="4828" width="20" style="2" customWidth="1"/>
    <col min="4829" max="4829" width="11.140625" style="2" customWidth="1"/>
    <col min="4830" max="4830" width="10.85546875" style="2" customWidth="1"/>
    <col min="4831" max="4831" width="21" style="2" customWidth="1"/>
    <col min="4832" max="4832" width="10.85546875" style="2" customWidth="1"/>
    <col min="4833" max="4833" width="17.42578125" style="2" customWidth="1"/>
    <col min="4834" max="4834" width="14.85546875" style="2" customWidth="1"/>
    <col min="4835" max="4835" width="15" style="2" customWidth="1"/>
    <col min="4836" max="4836" width="14.85546875" style="2" customWidth="1"/>
    <col min="4837" max="4837" width="7.140625" style="2" customWidth="1"/>
    <col min="4838" max="4839" width="20.140625" style="2" customWidth="1"/>
    <col min="4840" max="4840" width="18.42578125" style="2" customWidth="1"/>
    <col min="4841" max="4841" width="9.140625" style="2" customWidth="1"/>
    <col min="4842" max="4842" width="12" style="2" customWidth="1"/>
    <col min="4843" max="4843" width="14.85546875" style="2" customWidth="1"/>
    <col min="4844" max="4844" width="22.42578125" style="2" customWidth="1"/>
    <col min="4845" max="4845" width="14.85546875" style="2" customWidth="1"/>
    <col min="4846" max="4846" width="7.140625" style="2" customWidth="1"/>
    <col min="4847" max="4847" width="20.140625" style="2" customWidth="1"/>
    <col min="4848" max="5079" width="8.85546875" style="2" customWidth="1"/>
    <col min="5080" max="5080" width="8.140625" style="2" customWidth="1"/>
    <col min="5081" max="5081" width="14.5703125" style="2" customWidth="1"/>
    <col min="5082" max="5082" width="37.42578125" style="2" customWidth="1"/>
    <col min="5083" max="5083" width="63.140625" style="2" customWidth="1"/>
    <col min="5084" max="5084" width="20" style="2" customWidth="1"/>
    <col min="5085" max="5085" width="11.140625" style="2" customWidth="1"/>
    <col min="5086" max="5086" width="10.85546875" style="2" customWidth="1"/>
    <col min="5087" max="5087" width="21" style="2" customWidth="1"/>
    <col min="5088" max="5088" width="10.85546875" style="2" customWidth="1"/>
    <col min="5089" max="5089" width="17.42578125" style="2" customWidth="1"/>
    <col min="5090" max="5090" width="14.85546875" style="2" customWidth="1"/>
    <col min="5091" max="5091" width="15" style="2" customWidth="1"/>
    <col min="5092" max="5092" width="14.85546875" style="2" customWidth="1"/>
    <col min="5093" max="5093" width="7.140625" style="2" customWidth="1"/>
    <col min="5094" max="5095" width="20.140625" style="2" customWidth="1"/>
    <col min="5096" max="5096" width="18.42578125" style="2" customWidth="1"/>
    <col min="5097" max="5097" width="9.140625" style="2" customWidth="1"/>
    <col min="5098" max="5098" width="12" style="2" customWidth="1"/>
    <col min="5099" max="5099" width="14.85546875" style="2" customWidth="1"/>
    <col min="5100" max="5100" width="22.42578125" style="2" customWidth="1"/>
    <col min="5101" max="5101" width="14.85546875" style="2" customWidth="1"/>
    <col min="5102" max="5102" width="7.140625" style="2" customWidth="1"/>
    <col min="5103" max="5103" width="20.140625" style="2" customWidth="1"/>
    <col min="5104" max="5335" width="8.85546875" style="2" customWidth="1"/>
    <col min="5336" max="5336" width="8.140625" style="2" customWidth="1"/>
    <col min="5337" max="5337" width="14.5703125" style="2" customWidth="1"/>
    <col min="5338" max="5338" width="37.42578125" style="2" customWidth="1"/>
    <col min="5339" max="5339" width="63.140625" style="2" customWidth="1"/>
    <col min="5340" max="5340" width="20" style="2" customWidth="1"/>
    <col min="5341" max="5341" width="11.140625" style="2" customWidth="1"/>
    <col min="5342" max="5342" width="10.85546875" style="2" customWidth="1"/>
    <col min="5343" max="5343" width="21" style="2" customWidth="1"/>
    <col min="5344" max="5344" width="10.85546875" style="2" customWidth="1"/>
    <col min="5345" max="5345" width="17.42578125" style="2" customWidth="1"/>
    <col min="5346" max="5346" width="14.85546875" style="2" customWidth="1"/>
    <col min="5347" max="5347" width="15" style="2" customWidth="1"/>
    <col min="5348" max="5348" width="14.85546875" style="2" customWidth="1"/>
    <col min="5349" max="5349" width="7.140625" style="2" customWidth="1"/>
    <col min="5350" max="5351" width="20.140625" style="2" customWidth="1"/>
    <col min="5352" max="5352" width="18.42578125" style="2" customWidth="1"/>
    <col min="5353" max="5353" width="9.140625" style="2" customWidth="1"/>
    <col min="5354" max="5354" width="12" style="2" customWidth="1"/>
    <col min="5355" max="5355" width="14.85546875" style="2" customWidth="1"/>
    <col min="5356" max="5356" width="22.42578125" style="2" customWidth="1"/>
    <col min="5357" max="5357" width="14.85546875" style="2" customWidth="1"/>
    <col min="5358" max="5358" width="7.140625" style="2" customWidth="1"/>
    <col min="5359" max="5359" width="20.140625" style="2" customWidth="1"/>
    <col min="5360" max="5591" width="8.85546875" style="2" customWidth="1"/>
    <col min="5592" max="5592" width="8.140625" style="2" customWidth="1"/>
    <col min="5593" max="5593" width="14.5703125" style="2" customWidth="1"/>
    <col min="5594" max="5594" width="37.42578125" style="2" customWidth="1"/>
    <col min="5595" max="5595" width="63.140625" style="2" customWidth="1"/>
    <col min="5596" max="5596" width="20" style="2" customWidth="1"/>
    <col min="5597" max="5597" width="11.140625" style="2" customWidth="1"/>
    <col min="5598" max="5598" width="10.85546875" style="2" customWidth="1"/>
    <col min="5599" max="5599" width="21" style="2" customWidth="1"/>
    <col min="5600" max="5600" width="10.85546875" style="2" customWidth="1"/>
    <col min="5601" max="5601" width="17.42578125" style="2" customWidth="1"/>
    <col min="5602" max="5602" width="14.85546875" style="2" customWidth="1"/>
    <col min="5603" max="5603" width="15" style="2" customWidth="1"/>
    <col min="5604" max="5604" width="14.85546875" style="2" customWidth="1"/>
    <col min="5605" max="5605" width="7.140625" style="2" customWidth="1"/>
    <col min="5606" max="5607" width="20.140625" style="2" customWidth="1"/>
    <col min="5608" max="5608" width="18.42578125" style="2" customWidth="1"/>
    <col min="5609" max="5609" width="9.140625" style="2" customWidth="1"/>
    <col min="5610" max="5610" width="12" style="2" customWidth="1"/>
    <col min="5611" max="5611" width="14.85546875" style="2" customWidth="1"/>
    <col min="5612" max="5612" width="22.42578125" style="2" customWidth="1"/>
    <col min="5613" max="5613" width="14.85546875" style="2" customWidth="1"/>
    <col min="5614" max="5614" width="7.140625" style="2" customWidth="1"/>
    <col min="5615" max="5615" width="20.140625" style="2" customWidth="1"/>
    <col min="5616" max="5847" width="8.85546875" style="2" customWidth="1"/>
    <col min="5848" max="5848" width="8.140625" style="2" customWidth="1"/>
    <col min="5849" max="5849" width="14.5703125" style="2" customWidth="1"/>
    <col min="5850" max="5850" width="37.42578125" style="2" customWidth="1"/>
    <col min="5851" max="5851" width="63.140625" style="2" customWidth="1"/>
    <col min="5852" max="5852" width="20" style="2" customWidth="1"/>
    <col min="5853" max="5853" width="11.140625" style="2" customWidth="1"/>
    <col min="5854" max="5854" width="10.85546875" style="2" customWidth="1"/>
    <col min="5855" max="5855" width="21" style="2" customWidth="1"/>
    <col min="5856" max="5856" width="10.85546875" style="2" customWidth="1"/>
    <col min="5857" max="5857" width="17.42578125" style="2" customWidth="1"/>
    <col min="5858" max="5858" width="14.85546875" style="2" customWidth="1"/>
    <col min="5859" max="5859" width="15" style="2" customWidth="1"/>
    <col min="5860" max="5860" width="14.85546875" style="2" customWidth="1"/>
    <col min="5861" max="5861" width="7.140625" style="2" customWidth="1"/>
    <col min="5862" max="5863" width="20.140625" style="2" customWidth="1"/>
    <col min="5864" max="5864" width="18.42578125" style="2" customWidth="1"/>
    <col min="5865" max="5865" width="9.140625" style="2" customWidth="1"/>
    <col min="5866" max="5866" width="12" style="2" customWidth="1"/>
    <col min="5867" max="5867" width="14.85546875" style="2" customWidth="1"/>
    <col min="5868" max="5868" width="22.42578125" style="2" customWidth="1"/>
    <col min="5869" max="5869" width="14.85546875" style="2" customWidth="1"/>
    <col min="5870" max="5870" width="7.140625" style="2" customWidth="1"/>
    <col min="5871" max="5871" width="20.140625" style="2" customWidth="1"/>
    <col min="5872" max="6103" width="8.85546875" style="2" customWidth="1"/>
    <col min="6104" max="6104" width="8.140625" style="2" customWidth="1"/>
    <col min="6105" max="6105" width="14.5703125" style="2" customWidth="1"/>
    <col min="6106" max="6106" width="37.42578125" style="2" customWidth="1"/>
    <col min="6107" max="6107" width="63.140625" style="2" customWidth="1"/>
    <col min="6108" max="6108" width="20" style="2" customWidth="1"/>
    <col min="6109" max="6109" width="11.140625" style="2" customWidth="1"/>
    <col min="6110" max="6110" width="10.85546875" style="2" customWidth="1"/>
    <col min="6111" max="6111" width="21" style="2" customWidth="1"/>
    <col min="6112" max="6112" width="10.85546875" style="2" customWidth="1"/>
    <col min="6113" max="6113" width="17.42578125" style="2" customWidth="1"/>
    <col min="6114" max="6114" width="14.85546875" style="2" customWidth="1"/>
    <col min="6115" max="6115" width="15" style="2" customWidth="1"/>
    <col min="6116" max="6116" width="14.85546875" style="2" customWidth="1"/>
    <col min="6117" max="6117" width="7.140625" style="2" customWidth="1"/>
    <col min="6118" max="6119" width="20.140625" style="2" customWidth="1"/>
    <col min="6120" max="6120" width="18.42578125" style="2" customWidth="1"/>
    <col min="6121" max="6121" width="9.140625" style="2" customWidth="1"/>
    <col min="6122" max="6122" width="12" style="2" customWidth="1"/>
    <col min="6123" max="6123" width="14.85546875" style="2" customWidth="1"/>
    <col min="6124" max="6124" width="22.42578125" style="2" customWidth="1"/>
    <col min="6125" max="6125" width="14.85546875" style="2" customWidth="1"/>
    <col min="6126" max="6126" width="7.140625" style="2" customWidth="1"/>
    <col min="6127" max="6127" width="20.140625" style="2" customWidth="1"/>
    <col min="6128" max="6359" width="8.85546875" style="2" customWidth="1"/>
    <col min="6360" max="6360" width="8.140625" style="2" customWidth="1"/>
    <col min="6361" max="6361" width="14.5703125" style="2" customWidth="1"/>
    <col min="6362" max="6362" width="37.42578125" style="2" customWidth="1"/>
    <col min="6363" max="6363" width="63.140625" style="2" customWidth="1"/>
    <col min="6364" max="6364" width="20" style="2" customWidth="1"/>
    <col min="6365" max="6365" width="11.140625" style="2" customWidth="1"/>
    <col min="6366" max="6366" width="10.85546875" style="2" customWidth="1"/>
    <col min="6367" max="6367" width="21" style="2" customWidth="1"/>
    <col min="6368" max="6368" width="10.85546875" style="2" customWidth="1"/>
    <col min="6369" max="6369" width="17.42578125" style="2" customWidth="1"/>
    <col min="6370" max="6370" width="14.85546875" style="2" customWidth="1"/>
    <col min="6371" max="6371" width="15" style="2" customWidth="1"/>
    <col min="6372" max="6372" width="14.85546875" style="2" customWidth="1"/>
    <col min="6373" max="6373" width="7.140625" style="2" customWidth="1"/>
    <col min="6374" max="6375" width="20.140625" style="2" customWidth="1"/>
    <col min="6376" max="6376" width="18.42578125" style="2" customWidth="1"/>
    <col min="6377" max="6377" width="9.140625" style="2" customWidth="1"/>
    <col min="6378" max="6378" width="12" style="2" customWidth="1"/>
    <col min="6379" max="6379" width="14.85546875" style="2" customWidth="1"/>
    <col min="6380" max="6380" width="22.42578125" style="2" customWidth="1"/>
    <col min="6381" max="6381" width="14.85546875" style="2" customWidth="1"/>
    <col min="6382" max="6382" width="7.140625" style="2" customWidth="1"/>
    <col min="6383" max="6383" width="20.140625" style="2" customWidth="1"/>
    <col min="6384" max="6615" width="8.85546875" style="2" customWidth="1"/>
    <col min="6616" max="6616" width="8.140625" style="2" customWidth="1"/>
    <col min="6617" max="6617" width="14.5703125" style="2" customWidth="1"/>
    <col min="6618" max="6618" width="37.42578125" style="2" customWidth="1"/>
    <col min="6619" max="6619" width="63.140625" style="2" customWidth="1"/>
    <col min="6620" max="6620" width="20" style="2" customWidth="1"/>
    <col min="6621" max="6621" width="11.140625" style="2" customWidth="1"/>
    <col min="6622" max="6622" width="10.85546875" style="2" customWidth="1"/>
    <col min="6623" max="6623" width="21" style="2" customWidth="1"/>
    <col min="6624" max="6624" width="10.85546875" style="2" customWidth="1"/>
    <col min="6625" max="6625" width="17.42578125" style="2" customWidth="1"/>
    <col min="6626" max="6626" width="14.85546875" style="2" customWidth="1"/>
    <col min="6627" max="6627" width="15" style="2" customWidth="1"/>
    <col min="6628" max="6628" width="14.85546875" style="2" customWidth="1"/>
    <col min="6629" max="6629" width="7.140625" style="2" customWidth="1"/>
    <col min="6630" max="6631" width="20.140625" style="2" customWidth="1"/>
    <col min="6632" max="6632" width="18.42578125" style="2" customWidth="1"/>
    <col min="6633" max="6633" width="9.140625" style="2" customWidth="1"/>
    <col min="6634" max="6634" width="12" style="2" customWidth="1"/>
    <col min="6635" max="6635" width="14.85546875" style="2" customWidth="1"/>
    <col min="6636" max="6636" width="22.42578125" style="2" customWidth="1"/>
    <col min="6637" max="6637" width="14.85546875" style="2" customWidth="1"/>
    <col min="6638" max="6638" width="7.140625" style="2" customWidth="1"/>
    <col min="6639" max="6639" width="20.140625" style="2" customWidth="1"/>
    <col min="6640" max="6871" width="8.85546875" style="2" customWidth="1"/>
    <col min="6872" max="6872" width="8.140625" style="2" customWidth="1"/>
    <col min="6873" max="6873" width="14.5703125" style="2" customWidth="1"/>
    <col min="6874" max="6874" width="37.42578125" style="2" customWidth="1"/>
    <col min="6875" max="6875" width="63.140625" style="2" customWidth="1"/>
    <col min="6876" max="6876" width="20" style="2" customWidth="1"/>
    <col min="6877" max="6877" width="11.140625" style="2" customWidth="1"/>
    <col min="6878" max="6878" width="10.85546875" style="2" customWidth="1"/>
    <col min="6879" max="6879" width="21" style="2" customWidth="1"/>
    <col min="6880" max="6880" width="10.85546875" style="2" customWidth="1"/>
    <col min="6881" max="6881" width="17.42578125" style="2" customWidth="1"/>
    <col min="6882" max="6882" width="14.85546875" style="2" customWidth="1"/>
    <col min="6883" max="6883" width="15" style="2" customWidth="1"/>
    <col min="6884" max="6884" width="14.85546875" style="2" customWidth="1"/>
    <col min="6885" max="6885" width="7.140625" style="2" customWidth="1"/>
    <col min="6886" max="6887" width="20.140625" style="2" customWidth="1"/>
    <col min="6888" max="6888" width="18.42578125" style="2" customWidth="1"/>
    <col min="6889" max="6889" width="9.140625" style="2" customWidth="1"/>
    <col min="6890" max="6890" width="12" style="2" customWidth="1"/>
    <col min="6891" max="6891" width="14.85546875" style="2" customWidth="1"/>
    <col min="6892" max="6892" width="22.42578125" style="2" customWidth="1"/>
    <col min="6893" max="6893" width="14.85546875" style="2" customWidth="1"/>
    <col min="6894" max="6894" width="7.140625" style="2" customWidth="1"/>
    <col min="6895" max="6895" width="20.140625" style="2" customWidth="1"/>
    <col min="6896" max="7127" width="8.85546875" style="2" customWidth="1"/>
    <col min="7128" max="7128" width="8.140625" style="2" customWidth="1"/>
    <col min="7129" max="7129" width="14.5703125" style="2" customWidth="1"/>
    <col min="7130" max="7130" width="37.42578125" style="2" customWidth="1"/>
    <col min="7131" max="7131" width="63.140625" style="2" customWidth="1"/>
    <col min="7132" max="7132" width="20" style="2" customWidth="1"/>
    <col min="7133" max="7133" width="11.140625" style="2" customWidth="1"/>
    <col min="7134" max="7134" width="10.85546875" style="2" customWidth="1"/>
    <col min="7135" max="7135" width="21" style="2" customWidth="1"/>
    <col min="7136" max="7136" width="10.85546875" style="2" customWidth="1"/>
    <col min="7137" max="7137" width="17.42578125" style="2" customWidth="1"/>
    <col min="7138" max="7138" width="14.85546875" style="2" customWidth="1"/>
    <col min="7139" max="7139" width="15" style="2" customWidth="1"/>
    <col min="7140" max="7140" width="14.85546875" style="2" customWidth="1"/>
    <col min="7141" max="7141" width="7.140625" style="2" customWidth="1"/>
    <col min="7142" max="7143" width="20.140625" style="2" customWidth="1"/>
    <col min="7144" max="7144" width="18.42578125" style="2" customWidth="1"/>
    <col min="7145" max="7145" width="9.140625" style="2" customWidth="1"/>
    <col min="7146" max="7146" width="12" style="2" customWidth="1"/>
    <col min="7147" max="7147" width="14.85546875" style="2" customWidth="1"/>
    <col min="7148" max="7148" width="22.42578125" style="2" customWidth="1"/>
    <col min="7149" max="7149" width="14.85546875" style="2" customWidth="1"/>
    <col min="7150" max="7150" width="7.140625" style="2" customWidth="1"/>
    <col min="7151" max="7151" width="20.140625" style="2" customWidth="1"/>
    <col min="7152" max="7383" width="8.85546875" style="2" customWidth="1"/>
    <col min="7384" max="7384" width="8.140625" style="2" customWidth="1"/>
    <col min="7385" max="7385" width="14.5703125" style="2" customWidth="1"/>
    <col min="7386" max="7386" width="37.42578125" style="2" customWidth="1"/>
    <col min="7387" max="7387" width="63.140625" style="2" customWidth="1"/>
    <col min="7388" max="7388" width="20" style="2" customWidth="1"/>
    <col min="7389" max="7389" width="11.140625" style="2" customWidth="1"/>
    <col min="7390" max="7390" width="10.85546875" style="2" customWidth="1"/>
    <col min="7391" max="7391" width="21" style="2" customWidth="1"/>
    <col min="7392" max="7392" width="10.85546875" style="2" customWidth="1"/>
    <col min="7393" max="7393" width="17.42578125" style="2" customWidth="1"/>
    <col min="7394" max="7394" width="14.85546875" style="2" customWidth="1"/>
    <col min="7395" max="7395" width="15" style="2" customWidth="1"/>
    <col min="7396" max="7396" width="14.85546875" style="2" customWidth="1"/>
    <col min="7397" max="7397" width="7.140625" style="2" customWidth="1"/>
    <col min="7398" max="7399" width="20.140625" style="2" customWidth="1"/>
    <col min="7400" max="7400" width="18.42578125" style="2" customWidth="1"/>
    <col min="7401" max="7401" width="9.140625" style="2" customWidth="1"/>
    <col min="7402" max="7402" width="12" style="2" customWidth="1"/>
    <col min="7403" max="7403" width="14.85546875" style="2" customWidth="1"/>
    <col min="7404" max="7404" width="22.42578125" style="2" customWidth="1"/>
    <col min="7405" max="7405" width="14.85546875" style="2" customWidth="1"/>
    <col min="7406" max="7406" width="7.140625" style="2" customWidth="1"/>
    <col min="7407" max="7407" width="20.140625" style="2" customWidth="1"/>
    <col min="7408" max="7639" width="8.85546875" style="2" customWidth="1"/>
    <col min="7640" max="7640" width="8.140625" style="2" customWidth="1"/>
    <col min="7641" max="7641" width="14.5703125" style="2" customWidth="1"/>
    <col min="7642" max="7642" width="37.42578125" style="2" customWidth="1"/>
    <col min="7643" max="7643" width="63.140625" style="2" customWidth="1"/>
    <col min="7644" max="7644" width="20" style="2" customWidth="1"/>
    <col min="7645" max="7645" width="11.140625" style="2" customWidth="1"/>
    <col min="7646" max="7646" width="10.85546875" style="2" customWidth="1"/>
    <col min="7647" max="7647" width="21" style="2" customWidth="1"/>
    <col min="7648" max="7648" width="10.85546875" style="2" customWidth="1"/>
    <col min="7649" max="7649" width="17.42578125" style="2" customWidth="1"/>
    <col min="7650" max="7650" width="14.85546875" style="2" customWidth="1"/>
    <col min="7651" max="7651" width="15" style="2" customWidth="1"/>
    <col min="7652" max="7652" width="14.85546875" style="2" customWidth="1"/>
    <col min="7653" max="7653" width="7.140625" style="2" customWidth="1"/>
    <col min="7654" max="7655" width="20.140625" style="2" customWidth="1"/>
    <col min="7656" max="7656" width="18.42578125" style="2" customWidth="1"/>
    <col min="7657" max="7657" width="9.140625" style="2" customWidth="1"/>
    <col min="7658" max="7658" width="12" style="2" customWidth="1"/>
    <col min="7659" max="7659" width="14.85546875" style="2" customWidth="1"/>
    <col min="7660" max="7660" width="22.42578125" style="2" customWidth="1"/>
    <col min="7661" max="7661" width="14.85546875" style="2" customWidth="1"/>
    <col min="7662" max="7662" width="7.140625" style="2" customWidth="1"/>
    <col min="7663" max="7663" width="20.140625" style="2" customWidth="1"/>
    <col min="7664" max="7895" width="8.85546875" style="2" customWidth="1"/>
    <col min="7896" max="7896" width="8.140625" style="2" customWidth="1"/>
    <col min="7897" max="7897" width="14.5703125" style="2" customWidth="1"/>
    <col min="7898" max="7898" width="37.42578125" style="2" customWidth="1"/>
    <col min="7899" max="7899" width="63.140625" style="2" customWidth="1"/>
    <col min="7900" max="7900" width="20" style="2" customWidth="1"/>
    <col min="7901" max="7901" width="11.140625" style="2" customWidth="1"/>
    <col min="7902" max="7902" width="10.85546875" style="2" customWidth="1"/>
    <col min="7903" max="7903" width="21" style="2" customWidth="1"/>
    <col min="7904" max="7904" width="10.85546875" style="2" customWidth="1"/>
    <col min="7905" max="7905" width="17.42578125" style="2" customWidth="1"/>
    <col min="7906" max="7906" width="14.85546875" style="2" customWidth="1"/>
    <col min="7907" max="7907" width="15" style="2" customWidth="1"/>
    <col min="7908" max="7908" width="14.85546875" style="2" customWidth="1"/>
    <col min="7909" max="7909" width="7.140625" style="2" customWidth="1"/>
    <col min="7910" max="7911" width="20.140625" style="2" customWidth="1"/>
    <col min="7912" max="7912" width="18.42578125" style="2" customWidth="1"/>
    <col min="7913" max="7913" width="9.140625" style="2" customWidth="1"/>
    <col min="7914" max="7914" width="12" style="2" customWidth="1"/>
    <col min="7915" max="7915" width="14.85546875" style="2" customWidth="1"/>
    <col min="7916" max="7916" width="22.42578125" style="2" customWidth="1"/>
    <col min="7917" max="7917" width="14.85546875" style="2" customWidth="1"/>
    <col min="7918" max="7918" width="7.140625" style="2" customWidth="1"/>
    <col min="7919" max="7919" width="20.140625" style="2" customWidth="1"/>
    <col min="7920" max="8151" width="8.85546875" style="2" customWidth="1"/>
    <col min="8152" max="8152" width="8.140625" style="2" customWidth="1"/>
    <col min="8153" max="8153" width="14.5703125" style="2" customWidth="1"/>
    <col min="8154" max="8154" width="37.42578125" style="2" customWidth="1"/>
    <col min="8155" max="8155" width="63.140625" style="2" customWidth="1"/>
    <col min="8156" max="8156" width="20" style="2" customWidth="1"/>
    <col min="8157" max="8157" width="11.140625" style="2" customWidth="1"/>
    <col min="8158" max="8158" width="10.85546875" style="2" customWidth="1"/>
    <col min="8159" max="8159" width="21" style="2" customWidth="1"/>
    <col min="8160" max="8160" width="10.85546875" style="2" customWidth="1"/>
    <col min="8161" max="8161" width="17.42578125" style="2" customWidth="1"/>
    <col min="8162" max="8162" width="14.85546875" style="2" customWidth="1"/>
    <col min="8163" max="8163" width="15" style="2" customWidth="1"/>
    <col min="8164" max="8164" width="14.85546875" style="2" customWidth="1"/>
    <col min="8165" max="8165" width="7.140625" style="2" customWidth="1"/>
    <col min="8166" max="8167" width="20.140625" style="2" customWidth="1"/>
    <col min="8168" max="8168" width="18.42578125" style="2" customWidth="1"/>
    <col min="8169" max="8169" width="9.140625" style="2" customWidth="1"/>
    <col min="8170" max="8170" width="12" style="2" customWidth="1"/>
    <col min="8171" max="8171" width="14.85546875" style="2" customWidth="1"/>
    <col min="8172" max="8172" width="22.42578125" style="2" customWidth="1"/>
    <col min="8173" max="8173" width="14.85546875" style="2" customWidth="1"/>
    <col min="8174" max="8174" width="7.140625" style="2" customWidth="1"/>
    <col min="8175" max="8175" width="20.140625" style="2" customWidth="1"/>
    <col min="8176" max="8407" width="8.85546875" style="2" customWidth="1"/>
    <col min="8408" max="8408" width="8.140625" style="2" customWidth="1"/>
    <col min="8409" max="8409" width="14.5703125" style="2" customWidth="1"/>
    <col min="8410" max="8410" width="37.42578125" style="2" customWidth="1"/>
    <col min="8411" max="8411" width="63.140625" style="2" customWidth="1"/>
    <col min="8412" max="8412" width="20" style="2" customWidth="1"/>
    <col min="8413" max="8413" width="11.140625" style="2" customWidth="1"/>
    <col min="8414" max="8414" width="10.85546875" style="2" customWidth="1"/>
    <col min="8415" max="8415" width="21" style="2" customWidth="1"/>
    <col min="8416" max="8416" width="10.85546875" style="2" customWidth="1"/>
    <col min="8417" max="8417" width="17.42578125" style="2" customWidth="1"/>
    <col min="8418" max="8418" width="14.85546875" style="2" customWidth="1"/>
    <col min="8419" max="8419" width="15" style="2" customWidth="1"/>
    <col min="8420" max="8420" width="14.85546875" style="2" customWidth="1"/>
    <col min="8421" max="8421" width="7.140625" style="2" customWidth="1"/>
    <col min="8422" max="8423" width="20.140625" style="2" customWidth="1"/>
    <col min="8424" max="8424" width="18.42578125" style="2" customWidth="1"/>
    <col min="8425" max="8425" width="9.140625" style="2" customWidth="1"/>
    <col min="8426" max="8426" width="12" style="2" customWidth="1"/>
    <col min="8427" max="8427" width="14.85546875" style="2" customWidth="1"/>
    <col min="8428" max="8428" width="22.42578125" style="2" customWidth="1"/>
    <col min="8429" max="8429" width="14.85546875" style="2" customWidth="1"/>
    <col min="8430" max="8430" width="7.140625" style="2" customWidth="1"/>
    <col min="8431" max="8431" width="20.140625" style="2" customWidth="1"/>
    <col min="8432" max="8663" width="8.85546875" style="2" customWidth="1"/>
    <col min="8664" max="8664" width="8.140625" style="2" customWidth="1"/>
    <col min="8665" max="8665" width="14.5703125" style="2" customWidth="1"/>
    <col min="8666" max="8666" width="37.42578125" style="2" customWidth="1"/>
    <col min="8667" max="8667" width="63.140625" style="2" customWidth="1"/>
    <col min="8668" max="8668" width="20" style="2" customWidth="1"/>
    <col min="8669" max="8669" width="11.140625" style="2" customWidth="1"/>
    <col min="8670" max="8670" width="10.85546875" style="2" customWidth="1"/>
    <col min="8671" max="8671" width="21" style="2" customWidth="1"/>
    <col min="8672" max="8672" width="10.85546875" style="2" customWidth="1"/>
    <col min="8673" max="8673" width="17.42578125" style="2" customWidth="1"/>
    <col min="8674" max="8674" width="14.85546875" style="2" customWidth="1"/>
    <col min="8675" max="8675" width="15" style="2" customWidth="1"/>
    <col min="8676" max="8676" width="14.85546875" style="2" customWidth="1"/>
    <col min="8677" max="8677" width="7.140625" style="2" customWidth="1"/>
    <col min="8678" max="8679" width="20.140625" style="2" customWidth="1"/>
    <col min="8680" max="8680" width="18.42578125" style="2" customWidth="1"/>
    <col min="8681" max="8681" width="9.140625" style="2" customWidth="1"/>
    <col min="8682" max="8682" width="12" style="2" customWidth="1"/>
    <col min="8683" max="8683" width="14.85546875" style="2" customWidth="1"/>
    <col min="8684" max="8684" width="22.42578125" style="2" customWidth="1"/>
    <col min="8685" max="8685" width="14.85546875" style="2" customWidth="1"/>
    <col min="8686" max="8686" width="7.140625" style="2" customWidth="1"/>
    <col min="8687" max="8687" width="20.140625" style="2" customWidth="1"/>
    <col min="8688" max="8919" width="8.85546875" style="2" customWidth="1"/>
    <col min="8920" max="8920" width="8.140625" style="2" customWidth="1"/>
    <col min="8921" max="8921" width="14.5703125" style="2" customWidth="1"/>
    <col min="8922" max="8922" width="37.42578125" style="2" customWidth="1"/>
    <col min="8923" max="8923" width="63.140625" style="2" customWidth="1"/>
    <col min="8924" max="8924" width="20" style="2" customWidth="1"/>
    <col min="8925" max="8925" width="11.140625" style="2" customWidth="1"/>
    <col min="8926" max="8926" width="10.85546875" style="2" customWidth="1"/>
    <col min="8927" max="8927" width="21" style="2" customWidth="1"/>
    <col min="8928" max="8928" width="10.85546875" style="2" customWidth="1"/>
    <col min="8929" max="8929" width="17.42578125" style="2" customWidth="1"/>
    <col min="8930" max="8930" width="14.85546875" style="2" customWidth="1"/>
    <col min="8931" max="8931" width="15" style="2" customWidth="1"/>
    <col min="8932" max="8932" width="14.85546875" style="2" customWidth="1"/>
    <col min="8933" max="8933" width="7.140625" style="2" customWidth="1"/>
    <col min="8934" max="8935" width="20.140625" style="2" customWidth="1"/>
    <col min="8936" max="8936" width="18.42578125" style="2" customWidth="1"/>
    <col min="8937" max="8937" width="9.140625" style="2" customWidth="1"/>
    <col min="8938" max="8938" width="12" style="2" customWidth="1"/>
    <col min="8939" max="8939" width="14.85546875" style="2" customWidth="1"/>
    <col min="8940" max="8940" width="22.42578125" style="2" customWidth="1"/>
    <col min="8941" max="8941" width="14.85546875" style="2" customWidth="1"/>
    <col min="8942" max="8942" width="7.140625" style="2" customWidth="1"/>
    <col min="8943" max="8943" width="20.140625" style="2" customWidth="1"/>
    <col min="8944" max="9175" width="8.85546875" style="2" customWidth="1"/>
    <col min="9176" max="9176" width="8.140625" style="2" customWidth="1"/>
    <col min="9177" max="9177" width="14.5703125" style="2" customWidth="1"/>
    <col min="9178" max="9178" width="37.42578125" style="2" customWidth="1"/>
    <col min="9179" max="9179" width="63.140625" style="2" customWidth="1"/>
    <col min="9180" max="9180" width="20" style="2" customWidth="1"/>
    <col min="9181" max="9181" width="11.140625" style="2" customWidth="1"/>
    <col min="9182" max="9182" width="10.85546875" style="2" customWidth="1"/>
    <col min="9183" max="9183" width="21" style="2" customWidth="1"/>
    <col min="9184" max="9184" width="10.85546875" style="2" customWidth="1"/>
    <col min="9185" max="9185" width="17.42578125" style="2" customWidth="1"/>
    <col min="9186" max="9186" width="14.85546875" style="2" customWidth="1"/>
    <col min="9187" max="9187" width="15" style="2" customWidth="1"/>
    <col min="9188" max="9188" width="14.85546875" style="2" customWidth="1"/>
    <col min="9189" max="9189" width="7.140625" style="2" customWidth="1"/>
    <col min="9190" max="9191" width="20.140625" style="2" customWidth="1"/>
    <col min="9192" max="9192" width="18.42578125" style="2" customWidth="1"/>
    <col min="9193" max="9193" width="9.140625" style="2" customWidth="1"/>
    <col min="9194" max="9194" width="12" style="2" customWidth="1"/>
    <col min="9195" max="9195" width="14.85546875" style="2" customWidth="1"/>
    <col min="9196" max="9196" width="22.42578125" style="2" customWidth="1"/>
    <col min="9197" max="9197" width="14.85546875" style="2" customWidth="1"/>
    <col min="9198" max="9198" width="7.140625" style="2" customWidth="1"/>
    <col min="9199" max="9199" width="20.140625" style="2" customWidth="1"/>
    <col min="9200" max="9431" width="8.85546875" style="2" customWidth="1"/>
    <col min="9432" max="9432" width="8.140625" style="2" customWidth="1"/>
    <col min="9433" max="9433" width="14.5703125" style="2" customWidth="1"/>
    <col min="9434" max="9434" width="37.42578125" style="2" customWidth="1"/>
    <col min="9435" max="9435" width="63.140625" style="2" customWidth="1"/>
    <col min="9436" max="9436" width="20" style="2" customWidth="1"/>
    <col min="9437" max="9437" width="11.140625" style="2" customWidth="1"/>
    <col min="9438" max="9438" width="10.85546875" style="2" customWidth="1"/>
    <col min="9439" max="9439" width="21" style="2" customWidth="1"/>
    <col min="9440" max="9440" width="10.85546875" style="2" customWidth="1"/>
    <col min="9441" max="9441" width="17.42578125" style="2" customWidth="1"/>
    <col min="9442" max="9442" width="14.85546875" style="2" customWidth="1"/>
    <col min="9443" max="9443" width="15" style="2" customWidth="1"/>
    <col min="9444" max="9444" width="14.85546875" style="2" customWidth="1"/>
    <col min="9445" max="9445" width="7.140625" style="2" customWidth="1"/>
    <col min="9446" max="9447" width="20.140625" style="2" customWidth="1"/>
    <col min="9448" max="9448" width="18.42578125" style="2" customWidth="1"/>
    <col min="9449" max="9449" width="9.140625" style="2" customWidth="1"/>
    <col min="9450" max="9450" width="12" style="2" customWidth="1"/>
    <col min="9451" max="9451" width="14.85546875" style="2" customWidth="1"/>
    <col min="9452" max="9452" width="22.42578125" style="2" customWidth="1"/>
    <col min="9453" max="9453" width="14.85546875" style="2" customWidth="1"/>
    <col min="9454" max="9454" width="7.140625" style="2" customWidth="1"/>
    <col min="9455" max="9455" width="20.140625" style="2" customWidth="1"/>
    <col min="9456" max="9687" width="8.85546875" style="2" customWidth="1"/>
    <col min="9688" max="9688" width="8.140625" style="2" customWidth="1"/>
    <col min="9689" max="9689" width="14.5703125" style="2" customWidth="1"/>
    <col min="9690" max="9690" width="37.42578125" style="2" customWidth="1"/>
    <col min="9691" max="9691" width="63.140625" style="2" customWidth="1"/>
    <col min="9692" max="9692" width="20" style="2" customWidth="1"/>
    <col min="9693" max="9693" width="11.140625" style="2" customWidth="1"/>
    <col min="9694" max="9694" width="10.85546875" style="2" customWidth="1"/>
    <col min="9695" max="9695" width="21" style="2" customWidth="1"/>
    <col min="9696" max="9696" width="10.85546875" style="2" customWidth="1"/>
    <col min="9697" max="9697" width="17.42578125" style="2" customWidth="1"/>
    <col min="9698" max="9698" width="14.85546875" style="2" customWidth="1"/>
    <col min="9699" max="9699" width="15" style="2" customWidth="1"/>
    <col min="9700" max="9700" width="14.85546875" style="2" customWidth="1"/>
    <col min="9701" max="9701" width="7.140625" style="2" customWidth="1"/>
    <col min="9702" max="9703" width="20.140625" style="2" customWidth="1"/>
    <col min="9704" max="9704" width="18.42578125" style="2" customWidth="1"/>
    <col min="9705" max="9705" width="9.140625" style="2" customWidth="1"/>
    <col min="9706" max="9706" width="12" style="2" customWidth="1"/>
    <col min="9707" max="9707" width="14.85546875" style="2" customWidth="1"/>
    <col min="9708" max="9708" width="22.42578125" style="2" customWidth="1"/>
    <col min="9709" max="9709" width="14.85546875" style="2" customWidth="1"/>
    <col min="9710" max="9710" width="7.140625" style="2" customWidth="1"/>
    <col min="9711" max="9711" width="20.140625" style="2" customWidth="1"/>
    <col min="9712" max="9943" width="8.85546875" style="2" customWidth="1"/>
    <col min="9944" max="9944" width="8.140625" style="2" customWidth="1"/>
    <col min="9945" max="9945" width="14.5703125" style="2" customWidth="1"/>
    <col min="9946" max="9946" width="37.42578125" style="2" customWidth="1"/>
    <col min="9947" max="9947" width="63.140625" style="2" customWidth="1"/>
    <col min="9948" max="9948" width="20" style="2" customWidth="1"/>
    <col min="9949" max="9949" width="11.140625" style="2" customWidth="1"/>
    <col min="9950" max="9950" width="10.85546875" style="2" customWidth="1"/>
    <col min="9951" max="9951" width="21" style="2" customWidth="1"/>
    <col min="9952" max="9952" width="10.85546875" style="2" customWidth="1"/>
    <col min="9953" max="9953" width="17.42578125" style="2" customWidth="1"/>
    <col min="9954" max="9954" width="14.85546875" style="2" customWidth="1"/>
    <col min="9955" max="9955" width="15" style="2" customWidth="1"/>
    <col min="9956" max="9956" width="14.85546875" style="2" customWidth="1"/>
    <col min="9957" max="9957" width="7.140625" style="2" customWidth="1"/>
    <col min="9958" max="9959" width="20.140625" style="2" customWidth="1"/>
    <col min="9960" max="9960" width="18.42578125" style="2" customWidth="1"/>
    <col min="9961" max="9961" width="9.140625" style="2" customWidth="1"/>
    <col min="9962" max="9962" width="12" style="2" customWidth="1"/>
    <col min="9963" max="9963" width="14.85546875" style="2" customWidth="1"/>
    <col min="9964" max="9964" width="22.42578125" style="2" customWidth="1"/>
    <col min="9965" max="9965" width="14.85546875" style="2" customWidth="1"/>
    <col min="9966" max="9966" width="7.140625" style="2" customWidth="1"/>
    <col min="9967" max="9967" width="20.140625" style="2" customWidth="1"/>
    <col min="9968" max="10199" width="8.85546875" style="2" customWidth="1"/>
    <col min="10200" max="10200" width="8.140625" style="2" customWidth="1"/>
    <col min="10201" max="10201" width="14.5703125" style="2" customWidth="1"/>
    <col min="10202" max="10202" width="37.42578125" style="2" customWidth="1"/>
    <col min="10203" max="10203" width="63.140625" style="2" customWidth="1"/>
    <col min="10204" max="10204" width="20" style="2" customWidth="1"/>
    <col min="10205" max="10205" width="11.140625" style="2" customWidth="1"/>
    <col min="10206" max="10206" width="10.85546875" style="2" customWidth="1"/>
    <col min="10207" max="10207" width="21" style="2" customWidth="1"/>
    <col min="10208" max="10208" width="10.85546875" style="2" customWidth="1"/>
    <col min="10209" max="10209" width="17.42578125" style="2" customWidth="1"/>
    <col min="10210" max="10210" width="14.85546875" style="2" customWidth="1"/>
    <col min="10211" max="10211" width="15" style="2" customWidth="1"/>
    <col min="10212" max="10212" width="14.85546875" style="2" customWidth="1"/>
    <col min="10213" max="10213" width="7.140625" style="2" customWidth="1"/>
    <col min="10214" max="10215" width="20.140625" style="2" customWidth="1"/>
    <col min="10216" max="10216" width="18.42578125" style="2" customWidth="1"/>
    <col min="10217" max="10217" width="9.140625" style="2" customWidth="1"/>
    <col min="10218" max="10218" width="12" style="2" customWidth="1"/>
    <col min="10219" max="10219" width="14.85546875" style="2" customWidth="1"/>
    <col min="10220" max="10220" width="22.42578125" style="2" customWidth="1"/>
    <col min="10221" max="10221" width="14.85546875" style="2" customWidth="1"/>
    <col min="10222" max="10222" width="7.140625" style="2" customWidth="1"/>
    <col min="10223" max="10223" width="20.140625" style="2" customWidth="1"/>
    <col min="10224" max="10455" width="8.85546875" style="2" customWidth="1"/>
    <col min="10456" max="10456" width="8.140625" style="2" customWidth="1"/>
    <col min="10457" max="10457" width="14.5703125" style="2" customWidth="1"/>
    <col min="10458" max="10458" width="37.42578125" style="2" customWidth="1"/>
    <col min="10459" max="10459" width="63.140625" style="2" customWidth="1"/>
    <col min="10460" max="10460" width="20" style="2" customWidth="1"/>
    <col min="10461" max="10461" width="11.140625" style="2" customWidth="1"/>
    <col min="10462" max="10462" width="10.85546875" style="2" customWidth="1"/>
    <col min="10463" max="10463" width="21" style="2" customWidth="1"/>
    <col min="10464" max="10464" width="10.85546875" style="2" customWidth="1"/>
    <col min="10465" max="10465" width="17.42578125" style="2" customWidth="1"/>
    <col min="10466" max="10466" width="14.85546875" style="2" customWidth="1"/>
    <col min="10467" max="10467" width="15" style="2" customWidth="1"/>
    <col min="10468" max="10468" width="14.85546875" style="2" customWidth="1"/>
    <col min="10469" max="10469" width="7.140625" style="2" customWidth="1"/>
    <col min="10470" max="10471" width="20.140625" style="2" customWidth="1"/>
    <col min="10472" max="10472" width="18.42578125" style="2" customWidth="1"/>
    <col min="10473" max="10473" width="9.140625" style="2" customWidth="1"/>
    <col min="10474" max="10474" width="12" style="2" customWidth="1"/>
    <col min="10475" max="10475" width="14.85546875" style="2" customWidth="1"/>
    <col min="10476" max="10476" width="22.42578125" style="2" customWidth="1"/>
    <col min="10477" max="10477" width="14.85546875" style="2" customWidth="1"/>
    <col min="10478" max="10478" width="7.140625" style="2" customWidth="1"/>
    <col min="10479" max="10479" width="20.140625" style="2" customWidth="1"/>
    <col min="10480" max="10711" width="8.85546875" style="2" customWidth="1"/>
    <col min="10712" max="10712" width="8.140625" style="2" customWidth="1"/>
    <col min="10713" max="10713" width="14.5703125" style="2" customWidth="1"/>
    <col min="10714" max="10714" width="37.42578125" style="2" customWidth="1"/>
    <col min="10715" max="10715" width="63.140625" style="2" customWidth="1"/>
    <col min="10716" max="10716" width="20" style="2" customWidth="1"/>
    <col min="10717" max="10717" width="11.140625" style="2" customWidth="1"/>
    <col min="10718" max="10718" width="10.85546875" style="2" customWidth="1"/>
    <col min="10719" max="10719" width="21" style="2" customWidth="1"/>
    <col min="10720" max="10720" width="10.85546875" style="2" customWidth="1"/>
    <col min="10721" max="10721" width="17.42578125" style="2" customWidth="1"/>
    <col min="10722" max="10722" width="14.85546875" style="2" customWidth="1"/>
    <col min="10723" max="10723" width="15" style="2" customWidth="1"/>
    <col min="10724" max="10724" width="14.85546875" style="2" customWidth="1"/>
    <col min="10725" max="10725" width="7.140625" style="2" customWidth="1"/>
    <col min="10726" max="10727" width="20.140625" style="2" customWidth="1"/>
    <col min="10728" max="10728" width="18.42578125" style="2" customWidth="1"/>
    <col min="10729" max="10729" width="9.140625" style="2" customWidth="1"/>
    <col min="10730" max="10730" width="12" style="2" customWidth="1"/>
    <col min="10731" max="10731" width="14.85546875" style="2" customWidth="1"/>
    <col min="10732" max="10732" width="22.42578125" style="2" customWidth="1"/>
    <col min="10733" max="10733" width="14.85546875" style="2" customWidth="1"/>
    <col min="10734" max="10734" width="7.140625" style="2" customWidth="1"/>
    <col min="10735" max="10735" width="20.140625" style="2" customWidth="1"/>
    <col min="10736" max="10967" width="8.85546875" style="2" customWidth="1"/>
    <col min="10968" max="10968" width="8.140625" style="2" customWidth="1"/>
    <col min="10969" max="10969" width="14.5703125" style="2" customWidth="1"/>
    <col min="10970" max="10970" width="37.42578125" style="2" customWidth="1"/>
    <col min="10971" max="10971" width="63.140625" style="2" customWidth="1"/>
    <col min="10972" max="10972" width="20" style="2" customWidth="1"/>
    <col min="10973" max="10973" width="11.140625" style="2" customWidth="1"/>
    <col min="10974" max="10974" width="10.85546875" style="2" customWidth="1"/>
    <col min="10975" max="10975" width="21" style="2" customWidth="1"/>
    <col min="10976" max="10976" width="10.85546875" style="2" customWidth="1"/>
    <col min="10977" max="10977" width="17.42578125" style="2" customWidth="1"/>
    <col min="10978" max="10978" width="14.85546875" style="2" customWidth="1"/>
    <col min="10979" max="10979" width="15" style="2" customWidth="1"/>
    <col min="10980" max="10980" width="14.85546875" style="2" customWidth="1"/>
    <col min="10981" max="10981" width="7.140625" style="2" customWidth="1"/>
    <col min="10982" max="10983" width="20.140625" style="2" customWidth="1"/>
    <col min="10984" max="10984" width="18.42578125" style="2" customWidth="1"/>
    <col min="10985" max="10985" width="9.140625" style="2" customWidth="1"/>
    <col min="10986" max="10986" width="12" style="2" customWidth="1"/>
    <col min="10987" max="10987" width="14.85546875" style="2" customWidth="1"/>
    <col min="10988" max="10988" width="22.42578125" style="2" customWidth="1"/>
    <col min="10989" max="10989" width="14.85546875" style="2" customWidth="1"/>
    <col min="10990" max="10990" width="7.140625" style="2" customWidth="1"/>
    <col min="10991" max="10991" width="20.140625" style="2" customWidth="1"/>
    <col min="10992" max="11223" width="8.85546875" style="2" customWidth="1"/>
    <col min="11224" max="11224" width="8.140625" style="2" customWidth="1"/>
    <col min="11225" max="11225" width="14.5703125" style="2" customWidth="1"/>
    <col min="11226" max="11226" width="37.42578125" style="2" customWidth="1"/>
    <col min="11227" max="11227" width="63.140625" style="2" customWidth="1"/>
    <col min="11228" max="11228" width="20" style="2" customWidth="1"/>
    <col min="11229" max="11229" width="11.140625" style="2" customWidth="1"/>
    <col min="11230" max="11230" width="10.85546875" style="2" customWidth="1"/>
    <col min="11231" max="11231" width="21" style="2" customWidth="1"/>
    <col min="11232" max="11232" width="10.85546875" style="2" customWidth="1"/>
    <col min="11233" max="11233" width="17.42578125" style="2" customWidth="1"/>
    <col min="11234" max="11234" width="14.85546875" style="2" customWidth="1"/>
    <col min="11235" max="11235" width="15" style="2" customWidth="1"/>
    <col min="11236" max="11236" width="14.85546875" style="2" customWidth="1"/>
    <col min="11237" max="11237" width="7.140625" style="2" customWidth="1"/>
    <col min="11238" max="11239" width="20.140625" style="2" customWidth="1"/>
    <col min="11240" max="11240" width="18.42578125" style="2" customWidth="1"/>
    <col min="11241" max="11241" width="9.140625" style="2" customWidth="1"/>
    <col min="11242" max="11242" width="12" style="2" customWidth="1"/>
    <col min="11243" max="11243" width="14.85546875" style="2" customWidth="1"/>
    <col min="11244" max="11244" width="22.42578125" style="2" customWidth="1"/>
    <col min="11245" max="11245" width="14.85546875" style="2" customWidth="1"/>
    <col min="11246" max="11246" width="7.140625" style="2" customWidth="1"/>
    <col min="11247" max="11247" width="20.140625" style="2" customWidth="1"/>
    <col min="11248" max="11479" width="8.85546875" style="2" customWidth="1"/>
    <col min="11480" max="11480" width="8.140625" style="2" customWidth="1"/>
    <col min="11481" max="11481" width="14.5703125" style="2" customWidth="1"/>
    <col min="11482" max="11482" width="37.42578125" style="2" customWidth="1"/>
    <col min="11483" max="11483" width="63.140625" style="2" customWidth="1"/>
    <col min="11484" max="11484" width="20" style="2" customWidth="1"/>
    <col min="11485" max="11485" width="11.140625" style="2" customWidth="1"/>
    <col min="11486" max="11486" width="10.85546875" style="2" customWidth="1"/>
    <col min="11487" max="11487" width="21" style="2" customWidth="1"/>
    <col min="11488" max="11488" width="10.85546875" style="2" customWidth="1"/>
    <col min="11489" max="11489" width="17.42578125" style="2" customWidth="1"/>
    <col min="11490" max="11490" width="14.85546875" style="2" customWidth="1"/>
    <col min="11491" max="11491" width="15" style="2" customWidth="1"/>
    <col min="11492" max="11492" width="14.85546875" style="2" customWidth="1"/>
    <col min="11493" max="11493" width="7.140625" style="2" customWidth="1"/>
    <col min="11494" max="11495" width="20.140625" style="2" customWidth="1"/>
    <col min="11496" max="11496" width="18.42578125" style="2" customWidth="1"/>
    <col min="11497" max="11497" width="9.140625" style="2" customWidth="1"/>
    <col min="11498" max="11498" width="12" style="2" customWidth="1"/>
    <col min="11499" max="11499" width="14.85546875" style="2" customWidth="1"/>
    <col min="11500" max="11500" width="22.42578125" style="2" customWidth="1"/>
    <col min="11501" max="11501" width="14.85546875" style="2" customWidth="1"/>
    <col min="11502" max="11502" width="7.140625" style="2" customWidth="1"/>
    <col min="11503" max="11503" width="20.140625" style="2" customWidth="1"/>
    <col min="11504" max="11735" width="8.85546875" style="2" customWidth="1"/>
    <col min="11736" max="11736" width="8.140625" style="2" customWidth="1"/>
    <col min="11737" max="11737" width="14.5703125" style="2" customWidth="1"/>
    <col min="11738" max="11738" width="37.42578125" style="2" customWidth="1"/>
    <col min="11739" max="11739" width="63.140625" style="2" customWidth="1"/>
    <col min="11740" max="11740" width="20" style="2" customWidth="1"/>
    <col min="11741" max="11741" width="11.140625" style="2" customWidth="1"/>
    <col min="11742" max="11742" width="10.85546875" style="2" customWidth="1"/>
    <col min="11743" max="11743" width="21" style="2" customWidth="1"/>
    <col min="11744" max="11744" width="10.85546875" style="2" customWidth="1"/>
    <col min="11745" max="11745" width="17.42578125" style="2" customWidth="1"/>
    <col min="11746" max="11746" width="14.85546875" style="2" customWidth="1"/>
    <col min="11747" max="11747" width="15" style="2" customWidth="1"/>
    <col min="11748" max="11748" width="14.85546875" style="2" customWidth="1"/>
    <col min="11749" max="11749" width="7.140625" style="2" customWidth="1"/>
    <col min="11750" max="11751" width="20.140625" style="2" customWidth="1"/>
    <col min="11752" max="11752" width="18.42578125" style="2" customWidth="1"/>
    <col min="11753" max="11753" width="9.140625" style="2" customWidth="1"/>
    <col min="11754" max="11754" width="12" style="2" customWidth="1"/>
    <col min="11755" max="11755" width="14.85546875" style="2" customWidth="1"/>
    <col min="11756" max="11756" width="22.42578125" style="2" customWidth="1"/>
    <col min="11757" max="11757" width="14.85546875" style="2" customWidth="1"/>
    <col min="11758" max="11758" width="7.140625" style="2" customWidth="1"/>
    <col min="11759" max="11759" width="20.140625" style="2" customWidth="1"/>
    <col min="11760" max="11991" width="8.85546875" style="2" customWidth="1"/>
    <col min="11992" max="11992" width="8.140625" style="2" customWidth="1"/>
    <col min="11993" max="11993" width="14.5703125" style="2" customWidth="1"/>
    <col min="11994" max="11994" width="37.42578125" style="2" customWidth="1"/>
    <col min="11995" max="11995" width="63.140625" style="2" customWidth="1"/>
    <col min="11996" max="11996" width="20" style="2" customWidth="1"/>
    <col min="11997" max="11997" width="11.140625" style="2" customWidth="1"/>
    <col min="11998" max="11998" width="10.85546875" style="2" customWidth="1"/>
    <col min="11999" max="11999" width="21" style="2" customWidth="1"/>
    <col min="12000" max="12000" width="10.85546875" style="2" customWidth="1"/>
    <col min="12001" max="12001" width="17.42578125" style="2" customWidth="1"/>
    <col min="12002" max="12002" width="14.85546875" style="2" customWidth="1"/>
    <col min="12003" max="12003" width="15" style="2" customWidth="1"/>
    <col min="12004" max="12004" width="14.85546875" style="2" customWidth="1"/>
    <col min="12005" max="12005" width="7.140625" style="2" customWidth="1"/>
    <col min="12006" max="12007" width="20.140625" style="2" customWidth="1"/>
    <col min="12008" max="12008" width="18.42578125" style="2" customWidth="1"/>
    <col min="12009" max="12009" width="9.140625" style="2" customWidth="1"/>
    <col min="12010" max="12010" width="12" style="2" customWidth="1"/>
    <col min="12011" max="12011" width="14.85546875" style="2" customWidth="1"/>
    <col min="12012" max="12012" width="22.42578125" style="2" customWidth="1"/>
    <col min="12013" max="12013" width="14.85546875" style="2" customWidth="1"/>
    <col min="12014" max="12014" width="7.140625" style="2" customWidth="1"/>
    <col min="12015" max="12015" width="20.140625" style="2" customWidth="1"/>
    <col min="12016" max="12247" width="8.85546875" style="2" customWidth="1"/>
    <col min="12248" max="12248" width="8.140625" style="2" customWidth="1"/>
    <col min="12249" max="12249" width="14.5703125" style="2" customWidth="1"/>
    <col min="12250" max="12250" width="37.42578125" style="2" customWidth="1"/>
    <col min="12251" max="12251" width="63.140625" style="2" customWidth="1"/>
    <col min="12252" max="12252" width="20" style="2" customWidth="1"/>
    <col min="12253" max="12253" width="11.140625" style="2" customWidth="1"/>
    <col min="12254" max="12254" width="10.85546875" style="2" customWidth="1"/>
    <col min="12255" max="12255" width="21" style="2" customWidth="1"/>
    <col min="12256" max="12256" width="10.85546875" style="2" customWidth="1"/>
    <col min="12257" max="12257" width="17.42578125" style="2" customWidth="1"/>
    <col min="12258" max="12258" width="14.85546875" style="2" customWidth="1"/>
    <col min="12259" max="12259" width="15" style="2" customWidth="1"/>
    <col min="12260" max="12260" width="14.85546875" style="2" customWidth="1"/>
    <col min="12261" max="12261" width="7.140625" style="2" customWidth="1"/>
    <col min="12262" max="12263" width="20.140625" style="2" customWidth="1"/>
    <col min="12264" max="12264" width="18.42578125" style="2" customWidth="1"/>
    <col min="12265" max="12265" width="9.140625" style="2" customWidth="1"/>
    <col min="12266" max="12266" width="12" style="2" customWidth="1"/>
    <col min="12267" max="12267" width="14.85546875" style="2" customWidth="1"/>
    <col min="12268" max="12268" width="22.42578125" style="2" customWidth="1"/>
    <col min="12269" max="12269" width="14.85546875" style="2" customWidth="1"/>
    <col min="12270" max="12270" width="7.140625" style="2" customWidth="1"/>
    <col min="12271" max="12271" width="20.140625" style="2" customWidth="1"/>
    <col min="12272" max="12503" width="8.85546875" style="2" customWidth="1"/>
    <col min="12504" max="12504" width="8.140625" style="2" customWidth="1"/>
    <col min="12505" max="12505" width="14.5703125" style="2" customWidth="1"/>
    <col min="12506" max="12506" width="37.42578125" style="2" customWidth="1"/>
    <col min="12507" max="12507" width="63.140625" style="2" customWidth="1"/>
    <col min="12508" max="12508" width="20" style="2" customWidth="1"/>
    <col min="12509" max="12509" width="11.140625" style="2" customWidth="1"/>
    <col min="12510" max="12510" width="10.85546875" style="2" customWidth="1"/>
    <col min="12511" max="12511" width="21" style="2" customWidth="1"/>
    <col min="12512" max="12512" width="10.85546875" style="2" customWidth="1"/>
    <col min="12513" max="12513" width="17.42578125" style="2" customWidth="1"/>
    <col min="12514" max="12514" width="14.85546875" style="2" customWidth="1"/>
    <col min="12515" max="12515" width="15" style="2" customWidth="1"/>
    <col min="12516" max="12516" width="14.85546875" style="2" customWidth="1"/>
    <col min="12517" max="12517" width="7.140625" style="2" customWidth="1"/>
    <col min="12518" max="12519" width="20.140625" style="2" customWidth="1"/>
    <col min="12520" max="12520" width="18.42578125" style="2" customWidth="1"/>
    <col min="12521" max="12521" width="9.140625" style="2" customWidth="1"/>
    <col min="12522" max="12522" width="12" style="2" customWidth="1"/>
    <col min="12523" max="12523" width="14.85546875" style="2" customWidth="1"/>
    <col min="12524" max="12524" width="22.42578125" style="2" customWidth="1"/>
    <col min="12525" max="12525" width="14.85546875" style="2" customWidth="1"/>
    <col min="12526" max="12526" width="7.140625" style="2" customWidth="1"/>
    <col min="12527" max="12527" width="20.140625" style="2" customWidth="1"/>
    <col min="12528" max="12759" width="8.85546875" style="2" customWidth="1"/>
    <col min="12760" max="12760" width="8.140625" style="2" customWidth="1"/>
    <col min="12761" max="12761" width="14.5703125" style="2" customWidth="1"/>
    <col min="12762" max="12762" width="37.42578125" style="2" customWidth="1"/>
    <col min="12763" max="12763" width="63.140625" style="2" customWidth="1"/>
    <col min="12764" max="12764" width="20" style="2" customWidth="1"/>
    <col min="12765" max="12765" width="11.140625" style="2" customWidth="1"/>
    <col min="12766" max="12766" width="10.85546875" style="2" customWidth="1"/>
    <col min="12767" max="12767" width="21" style="2" customWidth="1"/>
    <col min="12768" max="12768" width="10.85546875" style="2" customWidth="1"/>
    <col min="12769" max="12769" width="17.42578125" style="2" customWidth="1"/>
    <col min="12770" max="12770" width="14.85546875" style="2" customWidth="1"/>
    <col min="12771" max="12771" width="15" style="2" customWidth="1"/>
    <col min="12772" max="12772" width="14.85546875" style="2" customWidth="1"/>
    <col min="12773" max="12773" width="7.140625" style="2" customWidth="1"/>
    <col min="12774" max="12775" width="20.140625" style="2" customWidth="1"/>
    <col min="12776" max="12776" width="18.42578125" style="2" customWidth="1"/>
    <col min="12777" max="12777" width="9.140625" style="2" customWidth="1"/>
    <col min="12778" max="12778" width="12" style="2" customWidth="1"/>
    <col min="12779" max="12779" width="14.85546875" style="2" customWidth="1"/>
    <col min="12780" max="12780" width="22.42578125" style="2" customWidth="1"/>
    <col min="12781" max="12781" width="14.85546875" style="2" customWidth="1"/>
    <col min="12782" max="12782" width="7.140625" style="2" customWidth="1"/>
    <col min="12783" max="12783" width="20.140625" style="2" customWidth="1"/>
    <col min="12784" max="13015" width="8.85546875" style="2" customWidth="1"/>
    <col min="13016" max="13016" width="8.140625" style="2" customWidth="1"/>
    <col min="13017" max="13017" width="14.5703125" style="2" customWidth="1"/>
    <col min="13018" max="13018" width="37.42578125" style="2" customWidth="1"/>
    <col min="13019" max="13019" width="63.140625" style="2" customWidth="1"/>
    <col min="13020" max="13020" width="20" style="2" customWidth="1"/>
    <col min="13021" max="13021" width="11.140625" style="2" customWidth="1"/>
    <col min="13022" max="13022" width="10.85546875" style="2" customWidth="1"/>
    <col min="13023" max="13023" width="21" style="2" customWidth="1"/>
    <col min="13024" max="13024" width="10.85546875" style="2" customWidth="1"/>
    <col min="13025" max="13025" width="17.42578125" style="2" customWidth="1"/>
    <col min="13026" max="13026" width="14.85546875" style="2" customWidth="1"/>
    <col min="13027" max="13027" width="15" style="2" customWidth="1"/>
    <col min="13028" max="13028" width="14.85546875" style="2" customWidth="1"/>
    <col min="13029" max="13029" width="7.140625" style="2" customWidth="1"/>
    <col min="13030" max="13031" width="20.140625" style="2" customWidth="1"/>
    <col min="13032" max="13032" width="18.42578125" style="2" customWidth="1"/>
    <col min="13033" max="13033" width="9.140625" style="2" customWidth="1"/>
    <col min="13034" max="13034" width="12" style="2" customWidth="1"/>
    <col min="13035" max="13035" width="14.85546875" style="2" customWidth="1"/>
    <col min="13036" max="13036" width="22.42578125" style="2" customWidth="1"/>
    <col min="13037" max="13037" width="14.85546875" style="2" customWidth="1"/>
    <col min="13038" max="13038" width="7.140625" style="2" customWidth="1"/>
    <col min="13039" max="13039" width="20.140625" style="2" customWidth="1"/>
    <col min="13040" max="13271" width="8.85546875" style="2" customWidth="1"/>
    <col min="13272" max="13272" width="8.140625" style="2" customWidth="1"/>
    <col min="13273" max="13273" width="14.5703125" style="2" customWidth="1"/>
    <col min="13274" max="13274" width="37.42578125" style="2" customWidth="1"/>
    <col min="13275" max="13275" width="63.140625" style="2" customWidth="1"/>
    <col min="13276" max="13276" width="20" style="2" customWidth="1"/>
    <col min="13277" max="13277" width="11.140625" style="2" customWidth="1"/>
    <col min="13278" max="13278" width="10.85546875" style="2" customWidth="1"/>
    <col min="13279" max="13279" width="21" style="2" customWidth="1"/>
    <col min="13280" max="13280" width="10.85546875" style="2" customWidth="1"/>
    <col min="13281" max="13281" width="17.42578125" style="2" customWidth="1"/>
    <col min="13282" max="13282" width="14.85546875" style="2" customWidth="1"/>
    <col min="13283" max="13283" width="15" style="2" customWidth="1"/>
    <col min="13284" max="13284" width="14.85546875" style="2" customWidth="1"/>
    <col min="13285" max="13285" width="7.140625" style="2" customWidth="1"/>
    <col min="13286" max="13287" width="20.140625" style="2" customWidth="1"/>
    <col min="13288" max="13288" width="18.42578125" style="2" customWidth="1"/>
    <col min="13289" max="13289" width="9.140625" style="2" customWidth="1"/>
    <col min="13290" max="13290" width="12" style="2" customWidth="1"/>
    <col min="13291" max="13291" width="14.85546875" style="2" customWidth="1"/>
    <col min="13292" max="13292" width="22.42578125" style="2" customWidth="1"/>
    <col min="13293" max="13293" width="14.85546875" style="2" customWidth="1"/>
    <col min="13294" max="13294" width="7.140625" style="2" customWidth="1"/>
    <col min="13295" max="13295" width="20.140625" style="2" customWidth="1"/>
    <col min="13296" max="13527" width="8.85546875" style="2" customWidth="1"/>
    <col min="13528" max="13528" width="8.140625" style="2" customWidth="1"/>
    <col min="13529" max="13529" width="14.5703125" style="2" customWidth="1"/>
    <col min="13530" max="13530" width="37.42578125" style="2" customWidth="1"/>
    <col min="13531" max="13531" width="63.140625" style="2" customWidth="1"/>
    <col min="13532" max="13532" width="20" style="2" customWidth="1"/>
    <col min="13533" max="13533" width="11.140625" style="2" customWidth="1"/>
    <col min="13534" max="13534" width="10.85546875" style="2" customWidth="1"/>
    <col min="13535" max="13535" width="21" style="2" customWidth="1"/>
    <col min="13536" max="13536" width="10.85546875" style="2" customWidth="1"/>
    <col min="13537" max="13537" width="17.42578125" style="2" customWidth="1"/>
    <col min="13538" max="13538" width="14.85546875" style="2" customWidth="1"/>
    <col min="13539" max="13539" width="15" style="2" customWidth="1"/>
    <col min="13540" max="13540" width="14.85546875" style="2" customWidth="1"/>
    <col min="13541" max="13541" width="7.140625" style="2" customWidth="1"/>
    <col min="13542" max="13543" width="20.140625" style="2" customWidth="1"/>
    <col min="13544" max="13544" width="18.42578125" style="2" customWidth="1"/>
    <col min="13545" max="13545" width="9.140625" style="2" customWidth="1"/>
    <col min="13546" max="13546" width="12" style="2" customWidth="1"/>
    <col min="13547" max="13547" width="14.85546875" style="2" customWidth="1"/>
    <col min="13548" max="13548" width="22.42578125" style="2" customWidth="1"/>
    <col min="13549" max="13549" width="14.85546875" style="2" customWidth="1"/>
    <col min="13550" max="13550" width="7.140625" style="2" customWidth="1"/>
    <col min="13551" max="13551" width="20.140625" style="2" customWidth="1"/>
    <col min="13552" max="13783" width="8.85546875" style="2" customWidth="1"/>
    <col min="13784" max="13784" width="8.140625" style="2" customWidth="1"/>
    <col min="13785" max="13785" width="14.5703125" style="2" customWidth="1"/>
    <col min="13786" max="13786" width="37.42578125" style="2" customWidth="1"/>
    <col min="13787" max="13787" width="63.140625" style="2" customWidth="1"/>
    <col min="13788" max="13788" width="20" style="2" customWidth="1"/>
    <col min="13789" max="13789" width="11.140625" style="2" customWidth="1"/>
    <col min="13790" max="13790" width="10.85546875" style="2" customWidth="1"/>
    <col min="13791" max="13791" width="21" style="2" customWidth="1"/>
    <col min="13792" max="13792" width="10.85546875" style="2" customWidth="1"/>
    <col min="13793" max="13793" width="17.42578125" style="2" customWidth="1"/>
    <col min="13794" max="13794" width="14.85546875" style="2" customWidth="1"/>
    <col min="13795" max="13795" width="15" style="2" customWidth="1"/>
    <col min="13796" max="13796" width="14.85546875" style="2" customWidth="1"/>
    <col min="13797" max="13797" width="7.140625" style="2" customWidth="1"/>
    <col min="13798" max="13799" width="20.140625" style="2" customWidth="1"/>
    <col min="13800" max="13800" width="18.42578125" style="2" customWidth="1"/>
    <col min="13801" max="13801" width="9.140625" style="2" customWidth="1"/>
    <col min="13802" max="13802" width="12" style="2" customWidth="1"/>
    <col min="13803" max="13803" width="14.85546875" style="2" customWidth="1"/>
    <col min="13804" max="13804" width="22.42578125" style="2" customWidth="1"/>
    <col min="13805" max="13805" width="14.85546875" style="2" customWidth="1"/>
    <col min="13806" max="13806" width="7.140625" style="2" customWidth="1"/>
    <col min="13807" max="13807" width="20.140625" style="2" customWidth="1"/>
    <col min="13808" max="14039" width="8.85546875" style="2" customWidth="1"/>
    <col min="14040" max="14040" width="8.140625" style="2" customWidth="1"/>
    <col min="14041" max="14041" width="14.5703125" style="2" customWidth="1"/>
    <col min="14042" max="14042" width="37.42578125" style="2" customWidth="1"/>
    <col min="14043" max="14043" width="63.140625" style="2" customWidth="1"/>
    <col min="14044" max="14044" width="20" style="2" customWidth="1"/>
    <col min="14045" max="14045" width="11.140625" style="2" customWidth="1"/>
    <col min="14046" max="14046" width="10.85546875" style="2" customWidth="1"/>
    <col min="14047" max="14047" width="21" style="2" customWidth="1"/>
    <col min="14048" max="14048" width="10.85546875" style="2" customWidth="1"/>
    <col min="14049" max="14049" width="17.42578125" style="2" customWidth="1"/>
    <col min="14050" max="14050" width="14.85546875" style="2" customWidth="1"/>
    <col min="14051" max="14051" width="15" style="2" customWidth="1"/>
    <col min="14052" max="14052" width="14.85546875" style="2" customWidth="1"/>
    <col min="14053" max="14053" width="7.140625" style="2" customWidth="1"/>
    <col min="14054" max="14055" width="20.140625" style="2" customWidth="1"/>
    <col min="14056" max="14056" width="18.42578125" style="2" customWidth="1"/>
    <col min="14057" max="14057" width="9.140625" style="2" customWidth="1"/>
    <col min="14058" max="14058" width="12" style="2" customWidth="1"/>
    <col min="14059" max="14059" width="14.85546875" style="2" customWidth="1"/>
    <col min="14060" max="14060" width="22.42578125" style="2" customWidth="1"/>
    <col min="14061" max="14061" width="14.85546875" style="2" customWidth="1"/>
    <col min="14062" max="14062" width="7.140625" style="2" customWidth="1"/>
    <col min="14063" max="14063" width="20.140625" style="2" customWidth="1"/>
    <col min="14064" max="14295" width="8.85546875" style="2" customWidth="1"/>
    <col min="14296" max="14296" width="8.140625" style="2" customWidth="1"/>
    <col min="14297" max="14297" width="14.5703125" style="2" customWidth="1"/>
    <col min="14298" max="14298" width="37.42578125" style="2" customWidth="1"/>
    <col min="14299" max="14299" width="63.140625" style="2" customWidth="1"/>
    <col min="14300" max="14300" width="20" style="2" customWidth="1"/>
    <col min="14301" max="14301" width="11.140625" style="2" customWidth="1"/>
    <col min="14302" max="14302" width="10.85546875" style="2" customWidth="1"/>
    <col min="14303" max="14303" width="21" style="2" customWidth="1"/>
    <col min="14304" max="14304" width="10.85546875" style="2" customWidth="1"/>
    <col min="14305" max="14305" width="17.42578125" style="2" customWidth="1"/>
    <col min="14306" max="14306" width="14.85546875" style="2" customWidth="1"/>
    <col min="14307" max="14307" width="15" style="2" customWidth="1"/>
    <col min="14308" max="14308" width="14.85546875" style="2" customWidth="1"/>
    <col min="14309" max="14309" width="7.140625" style="2" customWidth="1"/>
    <col min="14310" max="14311" width="20.140625" style="2" customWidth="1"/>
    <col min="14312" max="14312" width="18.42578125" style="2" customWidth="1"/>
    <col min="14313" max="14313" width="9.140625" style="2" customWidth="1"/>
    <col min="14314" max="14314" width="12" style="2" customWidth="1"/>
    <col min="14315" max="14315" width="14.85546875" style="2" customWidth="1"/>
    <col min="14316" max="14316" width="22.42578125" style="2" customWidth="1"/>
    <col min="14317" max="14317" width="14.85546875" style="2" customWidth="1"/>
    <col min="14318" max="14318" width="7.140625" style="2" customWidth="1"/>
    <col min="14319" max="14319" width="20.140625" style="2" customWidth="1"/>
    <col min="14320" max="14551" width="8.85546875" style="2" customWidth="1"/>
    <col min="14552" max="14552" width="8.140625" style="2" customWidth="1"/>
    <col min="14553" max="14553" width="14.5703125" style="2" customWidth="1"/>
    <col min="14554" max="14554" width="37.42578125" style="2" customWidth="1"/>
    <col min="14555" max="14555" width="63.140625" style="2" customWidth="1"/>
    <col min="14556" max="14556" width="20" style="2" customWidth="1"/>
    <col min="14557" max="14557" width="11.140625" style="2" customWidth="1"/>
    <col min="14558" max="14558" width="10.85546875" style="2" customWidth="1"/>
    <col min="14559" max="14559" width="21" style="2" customWidth="1"/>
    <col min="14560" max="14560" width="10.85546875" style="2" customWidth="1"/>
    <col min="14561" max="14561" width="17.42578125" style="2" customWidth="1"/>
    <col min="14562" max="14562" width="14.85546875" style="2" customWidth="1"/>
    <col min="14563" max="14563" width="15" style="2" customWidth="1"/>
    <col min="14564" max="14564" width="14.85546875" style="2" customWidth="1"/>
    <col min="14565" max="14565" width="7.140625" style="2" customWidth="1"/>
    <col min="14566" max="14567" width="20.140625" style="2" customWidth="1"/>
    <col min="14568" max="14568" width="18.42578125" style="2" customWidth="1"/>
    <col min="14569" max="14569" width="9.140625" style="2" customWidth="1"/>
    <col min="14570" max="14570" width="12" style="2" customWidth="1"/>
    <col min="14571" max="14571" width="14.85546875" style="2" customWidth="1"/>
    <col min="14572" max="14572" width="22.42578125" style="2" customWidth="1"/>
    <col min="14573" max="14573" width="14.85546875" style="2" customWidth="1"/>
    <col min="14574" max="14574" width="7.140625" style="2" customWidth="1"/>
    <col min="14575" max="14575" width="20.140625" style="2" customWidth="1"/>
    <col min="14576" max="14807" width="8.85546875" style="2" customWidth="1"/>
    <col min="14808" max="14808" width="8.140625" style="2" customWidth="1"/>
    <col min="14809" max="14809" width="14.5703125" style="2" customWidth="1"/>
    <col min="14810" max="14810" width="37.42578125" style="2" customWidth="1"/>
    <col min="14811" max="14811" width="63.140625" style="2" customWidth="1"/>
    <col min="14812" max="14812" width="20" style="2" customWidth="1"/>
    <col min="14813" max="14813" width="11.140625" style="2" customWidth="1"/>
    <col min="14814" max="14814" width="10.85546875" style="2" customWidth="1"/>
    <col min="14815" max="14815" width="21" style="2" customWidth="1"/>
    <col min="14816" max="14816" width="10.85546875" style="2" customWidth="1"/>
    <col min="14817" max="14817" width="17.42578125" style="2" customWidth="1"/>
    <col min="14818" max="14818" width="14.85546875" style="2" customWidth="1"/>
    <col min="14819" max="14819" width="15" style="2" customWidth="1"/>
    <col min="14820" max="14820" width="14.85546875" style="2" customWidth="1"/>
    <col min="14821" max="14821" width="7.140625" style="2" customWidth="1"/>
    <col min="14822" max="14823" width="20.140625" style="2" customWidth="1"/>
    <col min="14824" max="14824" width="18.42578125" style="2" customWidth="1"/>
    <col min="14825" max="14825" width="9.140625" style="2" customWidth="1"/>
    <col min="14826" max="14826" width="12" style="2" customWidth="1"/>
    <col min="14827" max="14827" width="14.85546875" style="2" customWidth="1"/>
    <col min="14828" max="14828" width="22.42578125" style="2" customWidth="1"/>
    <col min="14829" max="14829" width="14.85546875" style="2" customWidth="1"/>
    <col min="14830" max="14830" width="7.140625" style="2" customWidth="1"/>
    <col min="14831" max="14831" width="20.140625" style="2" customWidth="1"/>
    <col min="14832" max="15063" width="8.85546875" style="2" customWidth="1"/>
    <col min="15064" max="15064" width="8.140625" style="2" customWidth="1"/>
    <col min="15065" max="15065" width="14.5703125" style="2" customWidth="1"/>
    <col min="15066" max="15066" width="37.42578125" style="2" customWidth="1"/>
    <col min="15067" max="15067" width="63.140625" style="2" customWidth="1"/>
    <col min="15068" max="15068" width="20" style="2" customWidth="1"/>
    <col min="15069" max="15069" width="11.140625" style="2" customWidth="1"/>
    <col min="15070" max="15070" width="10.85546875" style="2" customWidth="1"/>
    <col min="15071" max="15071" width="21" style="2" customWidth="1"/>
    <col min="15072" max="15072" width="10.85546875" style="2" customWidth="1"/>
    <col min="15073" max="15073" width="17.42578125" style="2" customWidth="1"/>
    <col min="15074" max="15074" width="14.85546875" style="2" customWidth="1"/>
    <col min="15075" max="15075" width="15" style="2" customWidth="1"/>
    <col min="15076" max="15076" width="14.85546875" style="2" customWidth="1"/>
    <col min="15077" max="15077" width="7.140625" style="2" customWidth="1"/>
    <col min="15078" max="15079" width="20.140625" style="2" customWidth="1"/>
    <col min="15080" max="15080" width="18.42578125" style="2" customWidth="1"/>
    <col min="15081" max="15081" width="9.140625" style="2" customWidth="1"/>
    <col min="15082" max="15082" width="12" style="2" customWidth="1"/>
    <col min="15083" max="15083" width="14.85546875" style="2" customWidth="1"/>
    <col min="15084" max="15084" width="22.42578125" style="2" customWidth="1"/>
    <col min="15085" max="15085" width="14.85546875" style="2" customWidth="1"/>
    <col min="15086" max="15086" width="7.140625" style="2" customWidth="1"/>
    <col min="15087" max="15087" width="20.140625" style="2" customWidth="1"/>
    <col min="15088" max="15319" width="8.85546875" style="2" customWidth="1"/>
    <col min="15320" max="15320" width="8.140625" style="2" customWidth="1"/>
    <col min="15321" max="15321" width="14.5703125" style="2" customWidth="1"/>
    <col min="15322" max="15322" width="37.42578125" style="2" customWidth="1"/>
    <col min="15323" max="15323" width="63.140625" style="2" customWidth="1"/>
    <col min="15324" max="15324" width="20" style="2" customWidth="1"/>
    <col min="15325" max="15325" width="11.140625" style="2" customWidth="1"/>
    <col min="15326" max="15326" width="10.85546875" style="2" customWidth="1"/>
    <col min="15327" max="15327" width="21" style="2" customWidth="1"/>
    <col min="15328" max="15328" width="10.85546875" style="2" customWidth="1"/>
    <col min="15329" max="15329" width="17.42578125" style="2" customWidth="1"/>
    <col min="15330" max="15330" width="14.85546875" style="2" customWidth="1"/>
    <col min="15331" max="15331" width="15" style="2" customWidth="1"/>
    <col min="15332" max="15332" width="14.85546875" style="2" customWidth="1"/>
    <col min="15333" max="15333" width="7.140625" style="2" customWidth="1"/>
    <col min="15334" max="15335" width="20.140625" style="2" customWidth="1"/>
    <col min="15336" max="15336" width="18.42578125" style="2" customWidth="1"/>
    <col min="15337" max="15337" width="9.140625" style="2" customWidth="1"/>
    <col min="15338" max="15338" width="12" style="2" customWidth="1"/>
    <col min="15339" max="15339" width="14.85546875" style="2" customWidth="1"/>
    <col min="15340" max="15340" width="22.42578125" style="2" customWidth="1"/>
    <col min="15341" max="15341" width="14.85546875" style="2" customWidth="1"/>
    <col min="15342" max="15342" width="7.140625" style="2" customWidth="1"/>
    <col min="15343" max="15343" width="20.140625" style="2" customWidth="1"/>
    <col min="15344" max="15575" width="8.85546875" style="2" customWidth="1"/>
    <col min="15576" max="15576" width="8.140625" style="2" customWidth="1"/>
    <col min="15577" max="15577" width="14.5703125" style="2" customWidth="1"/>
    <col min="15578" max="15578" width="37.42578125" style="2" customWidth="1"/>
    <col min="15579" max="15579" width="63.140625" style="2" customWidth="1"/>
    <col min="15580" max="15580" width="20" style="2" customWidth="1"/>
    <col min="15581" max="15581" width="11.140625" style="2" customWidth="1"/>
    <col min="15582" max="15582" width="10.85546875" style="2" customWidth="1"/>
    <col min="15583" max="15583" width="21" style="2" customWidth="1"/>
    <col min="15584" max="15584" width="10.85546875" style="2" customWidth="1"/>
    <col min="15585" max="15585" width="17.42578125" style="2" customWidth="1"/>
    <col min="15586" max="15586" width="14.85546875" style="2" customWidth="1"/>
    <col min="15587" max="15587" width="15" style="2" customWidth="1"/>
    <col min="15588" max="15588" width="14.85546875" style="2" customWidth="1"/>
    <col min="15589" max="15589" width="7.140625" style="2" customWidth="1"/>
    <col min="15590" max="15591" width="20.140625" style="2" customWidth="1"/>
    <col min="15592" max="15592" width="18.42578125" style="2" customWidth="1"/>
    <col min="15593" max="15593" width="9.140625" style="2" customWidth="1"/>
    <col min="15594" max="15594" width="12" style="2" customWidth="1"/>
    <col min="15595" max="15595" width="14.85546875" style="2" customWidth="1"/>
    <col min="15596" max="15596" width="22.42578125" style="2" customWidth="1"/>
    <col min="15597" max="15597" width="14.85546875" style="2" customWidth="1"/>
    <col min="15598" max="15598" width="7.140625" style="2" customWidth="1"/>
    <col min="15599" max="15599" width="20.140625" style="2" customWidth="1"/>
    <col min="15600" max="15831" width="8.85546875" style="2" customWidth="1"/>
    <col min="15832" max="15832" width="8.140625" style="2" customWidth="1"/>
    <col min="15833" max="15833" width="14.5703125" style="2" customWidth="1"/>
    <col min="15834" max="15834" width="37.42578125" style="2" customWidth="1"/>
    <col min="15835" max="15835" width="63.140625" style="2" customWidth="1"/>
    <col min="15836" max="15836" width="20" style="2" customWidth="1"/>
    <col min="15837" max="15837" width="11.140625" style="2" customWidth="1"/>
    <col min="15838" max="15838" width="10.85546875" style="2" customWidth="1"/>
    <col min="15839" max="15839" width="21" style="2" customWidth="1"/>
    <col min="15840" max="15840" width="10.85546875" style="2" customWidth="1"/>
    <col min="15841" max="15841" width="17.42578125" style="2" customWidth="1"/>
    <col min="15842" max="15842" width="14.85546875" style="2" customWidth="1"/>
    <col min="15843" max="15843" width="15" style="2" customWidth="1"/>
    <col min="15844" max="15844" width="14.85546875" style="2" customWidth="1"/>
    <col min="15845" max="15845" width="7.140625" style="2" customWidth="1"/>
    <col min="15846" max="15847" width="20.140625" style="2" customWidth="1"/>
    <col min="15848" max="15848" width="18.42578125" style="2" customWidth="1"/>
    <col min="15849" max="15849" width="9.140625" style="2" customWidth="1"/>
    <col min="15850" max="15850" width="12" style="2" customWidth="1"/>
    <col min="15851" max="15851" width="14.85546875" style="2" customWidth="1"/>
    <col min="15852" max="15852" width="22.42578125" style="2" customWidth="1"/>
    <col min="15853" max="15853" width="14.85546875" style="2" customWidth="1"/>
    <col min="15854" max="15854" width="7.140625" style="2" customWidth="1"/>
    <col min="15855" max="15855" width="20.140625" style="2" customWidth="1"/>
    <col min="15856" max="16087" width="8.85546875" style="2" customWidth="1"/>
    <col min="16088" max="16088" width="8.140625" style="2" customWidth="1"/>
    <col min="16089" max="16089" width="14.5703125" style="2" customWidth="1"/>
    <col min="16090" max="16090" width="37.42578125" style="2" customWidth="1"/>
    <col min="16091" max="16091" width="63.140625" style="2" customWidth="1"/>
    <col min="16092" max="16092" width="20" style="2" customWidth="1"/>
    <col min="16093" max="16093" width="11.140625" style="2" customWidth="1"/>
    <col min="16094" max="16094" width="10.85546875" style="2" customWidth="1"/>
    <col min="16095" max="16095" width="21" style="2" customWidth="1"/>
    <col min="16096" max="16096" width="10.85546875" style="2" customWidth="1"/>
    <col min="16097" max="16097" width="17.42578125" style="2" customWidth="1"/>
    <col min="16098" max="16098" width="14.85546875" style="2" customWidth="1"/>
    <col min="16099" max="16099" width="15" style="2" customWidth="1"/>
    <col min="16100" max="16100" width="14.85546875" style="2" customWidth="1"/>
    <col min="16101" max="16101" width="7.140625" style="2" customWidth="1"/>
    <col min="16102" max="16103" width="20.140625" style="2" customWidth="1"/>
    <col min="16104" max="16104" width="18.42578125" style="2" customWidth="1"/>
    <col min="16105" max="16105" width="9.140625" style="2" customWidth="1"/>
    <col min="16106" max="16106" width="12" style="2" customWidth="1"/>
    <col min="16107" max="16107" width="14.85546875" style="2" customWidth="1"/>
    <col min="16108" max="16108" width="22.42578125" style="2" customWidth="1"/>
    <col min="16109" max="16109" width="14.85546875" style="2" customWidth="1"/>
    <col min="16110" max="16110" width="7.140625" style="2" customWidth="1"/>
    <col min="16111" max="16111" width="20.140625" style="2" customWidth="1"/>
    <col min="16112" max="16384" width="8.85546875" style="2" customWidth="1"/>
  </cols>
  <sheetData>
    <row r="1" spans="1:21" ht="14.1" customHeight="1">
      <c r="A1" s="1" t="s">
        <v>2254</v>
      </c>
      <c r="B1" s="2"/>
      <c r="C1" s="2"/>
      <c r="D1" s="2"/>
      <c r="F1" s="2"/>
      <c r="H1" s="2"/>
      <c r="J1" s="2"/>
      <c r="K1" s="2"/>
      <c r="L1" s="2"/>
      <c r="M1" s="2"/>
      <c r="N1" s="2"/>
      <c r="O1" s="2"/>
      <c r="P1" s="2"/>
      <c r="R1" s="10"/>
    </row>
    <row r="2" spans="1:21" s="4" customFormat="1" ht="14.1" customHeight="1">
      <c r="A2" s="4" t="s">
        <v>2255</v>
      </c>
      <c r="E2" s="69"/>
      <c r="R2" s="336"/>
    </row>
    <row r="3" spans="1:21" s="6" customFormat="1" ht="14.1" customHeight="1">
      <c r="A3" s="3"/>
      <c r="B3" s="16"/>
      <c r="C3" s="16"/>
      <c r="D3" s="23"/>
      <c r="E3" s="16"/>
      <c r="F3" s="23"/>
      <c r="G3" s="15"/>
      <c r="H3" s="25"/>
      <c r="I3" s="15"/>
      <c r="J3" s="25"/>
      <c r="K3" s="25"/>
      <c r="L3" s="25"/>
      <c r="M3" s="25"/>
      <c r="N3" s="25"/>
      <c r="O3" s="25"/>
      <c r="P3" s="25"/>
      <c r="Q3" s="2"/>
      <c r="R3" s="355" t="s">
        <v>2</v>
      </c>
      <c r="S3" s="2"/>
      <c r="T3" s="2"/>
      <c r="U3" s="2"/>
    </row>
    <row r="4" spans="1:21" s="299" customFormat="1" ht="33" customHeight="1">
      <c r="A4" s="21" t="s">
        <v>3</v>
      </c>
      <c r="B4" s="52" t="s">
        <v>4</v>
      </c>
      <c r="C4" s="52" t="s">
        <v>5</v>
      </c>
      <c r="D4" s="21" t="s">
        <v>6</v>
      </c>
      <c r="E4" s="21" t="s">
        <v>7</v>
      </c>
      <c r="F4" s="21" t="s">
        <v>8</v>
      </c>
      <c r="G4" s="21" t="s">
        <v>9</v>
      </c>
      <c r="H4" s="21" t="s">
        <v>10</v>
      </c>
      <c r="I4" s="21" t="s">
        <v>11</v>
      </c>
      <c r="J4" s="21" t="s">
        <v>12</v>
      </c>
      <c r="K4" s="21" t="s">
        <v>13</v>
      </c>
      <c r="L4" s="21" t="s">
        <v>14</v>
      </c>
      <c r="M4" s="21" t="s">
        <v>15</v>
      </c>
      <c r="N4" s="21" t="s">
        <v>16</v>
      </c>
      <c r="O4" s="21" t="s">
        <v>17</v>
      </c>
      <c r="P4" s="21" t="s">
        <v>18</v>
      </c>
      <c r="Q4" s="25"/>
      <c r="R4" s="41" t="s">
        <v>19</v>
      </c>
      <c r="S4" s="25"/>
      <c r="T4" s="42" t="s">
        <v>20</v>
      </c>
      <c r="U4" s="42" t="s">
        <v>21</v>
      </c>
    </row>
    <row r="5" spans="1:21" ht="14.1" customHeight="1">
      <c r="A5" s="7">
        <v>1</v>
      </c>
      <c r="B5" s="14" t="s">
        <v>609</v>
      </c>
      <c r="C5" s="14" t="s">
        <v>344</v>
      </c>
      <c r="D5" s="7" t="s">
        <v>804</v>
      </c>
      <c r="E5" s="14" t="s">
        <v>442</v>
      </c>
      <c r="F5" s="7" t="s">
        <v>26</v>
      </c>
      <c r="G5" s="8" t="s">
        <v>2256</v>
      </c>
      <c r="H5" s="135" t="s">
        <v>42</v>
      </c>
      <c r="I5" s="8" t="s">
        <v>2257</v>
      </c>
      <c r="J5" s="7" t="s">
        <v>30</v>
      </c>
      <c r="K5" s="135" t="s">
        <v>42</v>
      </c>
      <c r="L5" s="7" t="s">
        <v>315</v>
      </c>
      <c r="M5" s="135" t="s">
        <v>2258</v>
      </c>
      <c r="N5" s="7">
        <v>1</v>
      </c>
      <c r="O5" s="7">
        <v>40</v>
      </c>
      <c r="P5" s="7" t="s">
        <v>286</v>
      </c>
      <c r="R5" s="9">
        <v>2828.6340412152272</v>
      </c>
      <c r="T5" s="7" t="s">
        <v>34</v>
      </c>
      <c r="U5" s="7" t="s">
        <v>34</v>
      </c>
    </row>
    <row r="6" spans="1:21" ht="14.1" customHeight="1">
      <c r="A6" s="7">
        <v>2</v>
      </c>
      <c r="B6" s="14" t="s">
        <v>609</v>
      </c>
      <c r="C6" s="14" t="s">
        <v>344</v>
      </c>
      <c r="D6" s="7" t="s">
        <v>804</v>
      </c>
      <c r="E6" s="14" t="s">
        <v>442</v>
      </c>
      <c r="F6" s="7" t="s">
        <v>26</v>
      </c>
      <c r="G6" s="8" t="s">
        <v>2259</v>
      </c>
      <c r="H6" s="135" t="s">
        <v>42</v>
      </c>
      <c r="I6" s="8" t="s">
        <v>2260</v>
      </c>
      <c r="J6" s="7" t="s">
        <v>30</v>
      </c>
      <c r="K6" s="135" t="s">
        <v>42</v>
      </c>
      <c r="L6" s="7" t="s">
        <v>315</v>
      </c>
      <c r="M6" s="135" t="s">
        <v>2258</v>
      </c>
      <c r="N6" s="7">
        <v>1</v>
      </c>
      <c r="O6" s="7">
        <v>40</v>
      </c>
      <c r="P6" s="7" t="s">
        <v>286</v>
      </c>
      <c r="R6" s="9">
        <v>2828.6340412152272</v>
      </c>
      <c r="T6" s="7" t="s">
        <v>34</v>
      </c>
      <c r="U6" s="7" t="s">
        <v>34</v>
      </c>
    </row>
    <row r="7" spans="1:21" ht="14.1" customHeight="1">
      <c r="A7" s="7">
        <v>3</v>
      </c>
      <c r="B7" s="14" t="s">
        <v>609</v>
      </c>
      <c r="C7" s="14" t="s">
        <v>344</v>
      </c>
      <c r="D7" s="7" t="s">
        <v>804</v>
      </c>
      <c r="E7" s="14" t="s">
        <v>442</v>
      </c>
      <c r="F7" s="7" t="s">
        <v>26</v>
      </c>
      <c r="G7" s="8" t="s">
        <v>2261</v>
      </c>
      <c r="H7" s="135" t="s">
        <v>42</v>
      </c>
      <c r="I7" s="8" t="s">
        <v>2262</v>
      </c>
      <c r="J7" s="7" t="s">
        <v>30</v>
      </c>
      <c r="K7" s="135" t="s">
        <v>42</v>
      </c>
      <c r="L7" s="7" t="s">
        <v>315</v>
      </c>
      <c r="M7" s="135" t="s">
        <v>2258</v>
      </c>
      <c r="N7" s="7">
        <v>1</v>
      </c>
      <c r="O7" s="7">
        <v>40</v>
      </c>
      <c r="P7" s="7" t="s">
        <v>286</v>
      </c>
      <c r="R7" s="9">
        <v>2828.6340412152272</v>
      </c>
      <c r="T7" s="7" t="s">
        <v>34</v>
      </c>
      <c r="U7" s="7" t="s">
        <v>34</v>
      </c>
    </row>
    <row r="8" spans="1:21" ht="14.1" customHeight="1">
      <c r="A8" s="7">
        <v>7</v>
      </c>
      <c r="B8" s="14" t="s">
        <v>609</v>
      </c>
      <c r="C8" s="14" t="s">
        <v>344</v>
      </c>
      <c r="D8" s="7" t="s">
        <v>804</v>
      </c>
      <c r="E8" s="14" t="s">
        <v>442</v>
      </c>
      <c r="F8" s="7" t="s">
        <v>26</v>
      </c>
      <c r="G8" s="8" t="s">
        <v>2263</v>
      </c>
      <c r="H8" s="7" t="s">
        <v>1424</v>
      </c>
      <c r="I8" s="8" t="s">
        <v>2264</v>
      </c>
      <c r="J8" s="7" t="s">
        <v>30</v>
      </c>
      <c r="K8" s="7" t="s">
        <v>1426</v>
      </c>
      <c r="L8" s="7" t="s">
        <v>315</v>
      </c>
      <c r="M8" s="135" t="s">
        <v>2258</v>
      </c>
      <c r="N8" s="7">
        <v>1</v>
      </c>
      <c r="O8" s="7">
        <v>40</v>
      </c>
      <c r="P8" s="7"/>
      <c r="R8" s="9">
        <v>157.14633562306821</v>
      </c>
      <c r="T8" s="7" t="s">
        <v>34</v>
      </c>
      <c r="U8" s="7" t="s">
        <v>34</v>
      </c>
    </row>
    <row r="9" spans="1:21" ht="14.1" customHeight="1">
      <c r="A9" s="7">
        <v>8</v>
      </c>
      <c r="B9" s="14" t="s">
        <v>609</v>
      </c>
      <c r="C9" s="14" t="s">
        <v>344</v>
      </c>
      <c r="D9" s="7" t="s">
        <v>804</v>
      </c>
      <c r="E9" s="14" t="s">
        <v>442</v>
      </c>
      <c r="F9" s="7" t="s">
        <v>26</v>
      </c>
      <c r="G9" s="8" t="s">
        <v>2263</v>
      </c>
      <c r="H9" s="7" t="s">
        <v>1081</v>
      </c>
      <c r="I9" s="8" t="s">
        <v>2265</v>
      </c>
      <c r="J9" s="7" t="s">
        <v>30</v>
      </c>
      <c r="K9" s="7" t="s">
        <v>1083</v>
      </c>
      <c r="L9" s="7" t="s">
        <v>315</v>
      </c>
      <c r="M9" s="135" t="s">
        <v>2258</v>
      </c>
      <c r="N9" s="7">
        <v>1</v>
      </c>
      <c r="O9" s="7">
        <v>40</v>
      </c>
      <c r="P9" s="7"/>
      <c r="R9" s="9">
        <v>157.14633562306821</v>
      </c>
      <c r="T9" s="7" t="s">
        <v>34</v>
      </c>
      <c r="U9" s="7" t="s">
        <v>34</v>
      </c>
    </row>
    <row r="10" spans="1:21" ht="14.1" customHeight="1">
      <c r="A10" s="7">
        <v>9</v>
      </c>
      <c r="B10" s="14" t="s">
        <v>609</v>
      </c>
      <c r="C10" s="14" t="s">
        <v>344</v>
      </c>
      <c r="D10" s="7" t="s">
        <v>804</v>
      </c>
      <c r="E10" s="14" t="s">
        <v>442</v>
      </c>
      <c r="F10" s="7" t="s">
        <v>26</v>
      </c>
      <c r="G10" s="8" t="s">
        <v>2266</v>
      </c>
      <c r="H10" s="135" t="s">
        <v>42</v>
      </c>
      <c r="I10" s="8" t="s">
        <v>2267</v>
      </c>
      <c r="J10" s="7" t="s">
        <v>30</v>
      </c>
      <c r="K10" s="135" t="s">
        <v>42</v>
      </c>
      <c r="L10" s="7" t="s">
        <v>315</v>
      </c>
      <c r="M10" s="135" t="s">
        <v>2258</v>
      </c>
      <c r="N10" s="7">
        <v>1</v>
      </c>
      <c r="O10" s="7">
        <v>40</v>
      </c>
      <c r="P10" s="7" t="s">
        <v>286</v>
      </c>
      <c r="R10" s="9">
        <v>1535.198817240743</v>
      </c>
      <c r="T10" s="7" t="s">
        <v>34</v>
      </c>
      <c r="U10" s="7" t="s">
        <v>34</v>
      </c>
    </row>
    <row r="11" spans="1:21" ht="14.1" customHeight="1">
      <c r="A11" s="7">
        <v>10</v>
      </c>
      <c r="B11" s="14" t="s">
        <v>609</v>
      </c>
      <c r="C11" s="14" t="s">
        <v>344</v>
      </c>
      <c r="D11" s="7" t="s">
        <v>804</v>
      </c>
      <c r="E11" s="14" t="s">
        <v>442</v>
      </c>
      <c r="F11" s="7" t="s">
        <v>26</v>
      </c>
      <c r="G11" s="8" t="s">
        <v>2268</v>
      </c>
      <c r="H11" s="135" t="s">
        <v>42</v>
      </c>
      <c r="I11" s="8" t="s">
        <v>2269</v>
      </c>
      <c r="J11" s="7" t="s">
        <v>30</v>
      </c>
      <c r="K11" s="135" t="s">
        <v>42</v>
      </c>
      <c r="L11" s="7" t="s">
        <v>315</v>
      </c>
      <c r="M11" s="135" t="s">
        <v>2258</v>
      </c>
      <c r="N11" s="7">
        <v>1</v>
      </c>
      <c r="O11" s="7">
        <v>40</v>
      </c>
      <c r="P11" s="7" t="s">
        <v>286</v>
      </c>
      <c r="R11" s="9">
        <v>1535.198817240743</v>
      </c>
      <c r="T11" s="7" t="s">
        <v>34</v>
      </c>
      <c r="U11" s="7" t="s">
        <v>34</v>
      </c>
    </row>
    <row r="12" spans="1:21" ht="14.1" customHeight="1">
      <c r="A12" s="7">
        <v>11</v>
      </c>
      <c r="B12" s="14" t="s">
        <v>609</v>
      </c>
      <c r="C12" s="14" t="s">
        <v>344</v>
      </c>
      <c r="D12" s="7" t="s">
        <v>804</v>
      </c>
      <c r="E12" s="14" t="s">
        <v>442</v>
      </c>
      <c r="F12" s="7" t="s">
        <v>26</v>
      </c>
      <c r="G12" s="8" t="s">
        <v>2270</v>
      </c>
      <c r="H12" s="135" t="s">
        <v>42</v>
      </c>
      <c r="I12" s="8" t="s">
        <v>2271</v>
      </c>
      <c r="J12" s="7" t="s">
        <v>30</v>
      </c>
      <c r="K12" s="135" t="s">
        <v>42</v>
      </c>
      <c r="L12" s="7" t="s">
        <v>315</v>
      </c>
      <c r="M12" s="135" t="s">
        <v>2258</v>
      </c>
      <c r="N12" s="7">
        <v>1</v>
      </c>
      <c r="O12" s="7">
        <v>40</v>
      </c>
      <c r="P12" s="7" t="s">
        <v>286</v>
      </c>
      <c r="R12" s="9">
        <v>1535.198817240743</v>
      </c>
      <c r="T12" s="7" t="s">
        <v>34</v>
      </c>
      <c r="U12" s="7" t="s">
        <v>34</v>
      </c>
    </row>
    <row r="13" spans="1:21" ht="14.1" customHeight="1">
      <c r="A13" s="7">
        <v>12</v>
      </c>
      <c r="B13" s="14" t="s">
        <v>609</v>
      </c>
      <c r="C13" s="14" t="s">
        <v>344</v>
      </c>
      <c r="D13" s="7" t="s">
        <v>804</v>
      </c>
      <c r="E13" s="14" t="s">
        <v>442</v>
      </c>
      <c r="F13" s="7" t="s">
        <v>26</v>
      </c>
      <c r="G13" s="8" t="s">
        <v>2272</v>
      </c>
      <c r="H13" s="7" t="s">
        <v>1424</v>
      </c>
      <c r="I13" s="8" t="s">
        <v>2273</v>
      </c>
      <c r="J13" s="7" t="s">
        <v>30</v>
      </c>
      <c r="K13" s="7" t="s">
        <v>1426</v>
      </c>
      <c r="L13" s="7" t="s">
        <v>315</v>
      </c>
      <c r="M13" s="135" t="s">
        <v>2258</v>
      </c>
      <c r="N13" s="7">
        <v>1</v>
      </c>
      <c r="O13" s="7">
        <v>40</v>
      </c>
      <c r="P13" s="7"/>
      <c r="R13" s="9">
        <v>120.8817966331294</v>
      </c>
      <c r="T13" s="7" t="s">
        <v>34</v>
      </c>
      <c r="U13" s="7" t="s">
        <v>34</v>
      </c>
    </row>
    <row r="14" spans="1:21" ht="14.1" customHeight="1">
      <c r="A14" s="7">
        <v>13</v>
      </c>
      <c r="B14" s="14" t="s">
        <v>609</v>
      </c>
      <c r="C14" s="14" t="s">
        <v>344</v>
      </c>
      <c r="D14" s="7" t="s">
        <v>804</v>
      </c>
      <c r="E14" s="14" t="s">
        <v>442</v>
      </c>
      <c r="F14" s="7" t="s">
        <v>26</v>
      </c>
      <c r="G14" s="8" t="s">
        <v>2272</v>
      </c>
      <c r="H14" s="7" t="s">
        <v>1081</v>
      </c>
      <c r="I14" s="8" t="s">
        <v>2274</v>
      </c>
      <c r="J14" s="7" t="s">
        <v>30</v>
      </c>
      <c r="K14" s="7" t="s">
        <v>1083</v>
      </c>
      <c r="L14" s="7" t="s">
        <v>315</v>
      </c>
      <c r="M14" s="135" t="s">
        <v>2258</v>
      </c>
      <c r="N14" s="7">
        <v>1</v>
      </c>
      <c r="O14" s="7">
        <v>40</v>
      </c>
      <c r="P14" s="7"/>
      <c r="R14" s="9">
        <v>120.8817966331294</v>
      </c>
      <c r="T14" s="7" t="s">
        <v>34</v>
      </c>
      <c r="U14" s="7" t="s">
        <v>34</v>
      </c>
    </row>
    <row r="15" spans="1:21" ht="14.1" customHeight="1">
      <c r="A15" s="7">
        <v>16</v>
      </c>
      <c r="B15" s="14" t="s">
        <v>609</v>
      </c>
      <c r="C15" s="14" t="s">
        <v>344</v>
      </c>
      <c r="D15" s="7" t="s">
        <v>804</v>
      </c>
      <c r="E15" s="14" t="s">
        <v>442</v>
      </c>
      <c r="F15" s="7" t="s">
        <v>26</v>
      </c>
      <c r="G15" s="8" t="s">
        <v>2275</v>
      </c>
      <c r="H15" s="135" t="s">
        <v>42</v>
      </c>
      <c r="I15" s="8" t="s">
        <v>2276</v>
      </c>
      <c r="J15" s="7" t="s">
        <v>30</v>
      </c>
      <c r="K15" s="135" t="s">
        <v>42</v>
      </c>
      <c r="L15" s="7" t="s">
        <v>315</v>
      </c>
      <c r="M15" s="135" t="s">
        <v>2258</v>
      </c>
      <c r="N15" s="7">
        <v>1</v>
      </c>
      <c r="O15" s="7">
        <v>40</v>
      </c>
      <c r="P15" s="7" t="s">
        <v>286</v>
      </c>
      <c r="R15" s="9">
        <v>1027.470486644241</v>
      </c>
      <c r="T15" s="7" t="s">
        <v>34</v>
      </c>
      <c r="U15" s="7" t="s">
        <v>34</v>
      </c>
    </row>
    <row r="16" spans="1:21" ht="14.1" customHeight="1">
      <c r="A16" s="7">
        <v>17</v>
      </c>
      <c r="B16" s="14" t="s">
        <v>609</v>
      </c>
      <c r="C16" s="14" t="s">
        <v>344</v>
      </c>
      <c r="D16" s="7" t="s">
        <v>804</v>
      </c>
      <c r="E16" s="14" t="s">
        <v>442</v>
      </c>
      <c r="F16" s="7" t="s">
        <v>26</v>
      </c>
      <c r="G16" s="8" t="s">
        <v>2277</v>
      </c>
      <c r="H16" s="135" t="s">
        <v>42</v>
      </c>
      <c r="I16" s="8" t="s">
        <v>2278</v>
      </c>
      <c r="J16" s="7" t="s">
        <v>30</v>
      </c>
      <c r="K16" s="135" t="s">
        <v>42</v>
      </c>
      <c r="L16" s="7" t="s">
        <v>315</v>
      </c>
      <c r="M16" s="135" t="s">
        <v>2258</v>
      </c>
      <c r="N16" s="7">
        <v>1</v>
      </c>
      <c r="O16" s="7">
        <v>40</v>
      </c>
      <c r="P16" s="7" t="s">
        <v>286</v>
      </c>
      <c r="R16" s="9">
        <v>1027.470486644241</v>
      </c>
      <c r="T16" s="7" t="s">
        <v>34</v>
      </c>
      <c r="U16" s="7" t="s">
        <v>34</v>
      </c>
    </row>
    <row r="17" spans="1:21" ht="14.1" customHeight="1">
      <c r="A17" s="7">
        <v>18</v>
      </c>
      <c r="B17" s="14" t="s">
        <v>609</v>
      </c>
      <c r="C17" s="14" t="s">
        <v>344</v>
      </c>
      <c r="D17" s="7" t="s">
        <v>804</v>
      </c>
      <c r="E17" s="14" t="s">
        <v>442</v>
      </c>
      <c r="F17" s="7" t="s">
        <v>26</v>
      </c>
      <c r="G17" s="8" t="s">
        <v>2279</v>
      </c>
      <c r="H17" s="135" t="s">
        <v>42</v>
      </c>
      <c r="I17" s="8" t="s">
        <v>2280</v>
      </c>
      <c r="J17" s="7" t="s">
        <v>30</v>
      </c>
      <c r="K17" s="135" t="s">
        <v>42</v>
      </c>
      <c r="L17" s="7" t="s">
        <v>315</v>
      </c>
      <c r="M17" s="135" t="s">
        <v>2258</v>
      </c>
      <c r="N17" s="7">
        <v>1</v>
      </c>
      <c r="O17" s="7">
        <v>40</v>
      </c>
      <c r="P17" s="7" t="s">
        <v>286</v>
      </c>
      <c r="R17" s="9">
        <v>1039.5347193641351</v>
      </c>
      <c r="T17" s="7" t="s">
        <v>34</v>
      </c>
      <c r="U17" s="7" t="s">
        <v>34</v>
      </c>
    </row>
    <row r="18" spans="1:21" ht="14.1" customHeight="1">
      <c r="A18" s="7">
        <v>19</v>
      </c>
      <c r="B18" s="14" t="s">
        <v>609</v>
      </c>
      <c r="C18" s="14" t="s">
        <v>344</v>
      </c>
      <c r="D18" s="7" t="s">
        <v>804</v>
      </c>
      <c r="E18" s="14" t="s">
        <v>442</v>
      </c>
      <c r="F18" s="7" t="s">
        <v>26</v>
      </c>
      <c r="G18" s="8" t="s">
        <v>2281</v>
      </c>
      <c r="H18" s="135" t="s">
        <v>42</v>
      </c>
      <c r="I18" s="8" t="s">
        <v>2282</v>
      </c>
      <c r="J18" s="7" t="s">
        <v>30</v>
      </c>
      <c r="K18" s="135" t="s">
        <v>42</v>
      </c>
      <c r="L18" s="7" t="s">
        <v>315</v>
      </c>
      <c r="M18" s="135" t="s">
        <v>2258</v>
      </c>
      <c r="N18" s="7">
        <v>1</v>
      </c>
      <c r="O18" s="7">
        <v>40</v>
      </c>
      <c r="P18" s="7" t="s">
        <v>286</v>
      </c>
      <c r="R18" s="9">
        <v>1039.5347193641351</v>
      </c>
      <c r="T18" s="7" t="s">
        <v>34</v>
      </c>
      <c r="U18" s="7" t="s">
        <v>34</v>
      </c>
    </row>
    <row r="19" spans="1:21" ht="14.1" customHeight="1">
      <c r="A19" s="7">
        <v>26</v>
      </c>
      <c r="B19" s="14" t="s">
        <v>609</v>
      </c>
      <c r="C19" s="14" t="s">
        <v>344</v>
      </c>
      <c r="D19" s="7" t="s">
        <v>804</v>
      </c>
      <c r="E19" s="14" t="s">
        <v>442</v>
      </c>
      <c r="F19" s="7" t="s">
        <v>26</v>
      </c>
      <c r="G19" s="8" t="s">
        <v>2283</v>
      </c>
      <c r="H19" s="7" t="s">
        <v>1081</v>
      </c>
      <c r="I19" s="8" t="s">
        <v>2284</v>
      </c>
      <c r="J19" s="7" t="s">
        <v>30</v>
      </c>
      <c r="K19" s="7" t="s">
        <v>1083</v>
      </c>
      <c r="L19" s="7" t="s">
        <v>127</v>
      </c>
      <c r="M19" s="135" t="s">
        <v>2258</v>
      </c>
      <c r="N19" s="7">
        <v>1</v>
      </c>
      <c r="O19" s="7">
        <v>40</v>
      </c>
      <c r="P19" s="7"/>
      <c r="R19" s="9">
        <v>72.529077979877613</v>
      </c>
      <c r="T19" s="7" t="s">
        <v>34</v>
      </c>
      <c r="U19" s="7" t="s">
        <v>34</v>
      </c>
    </row>
    <row r="20" spans="1:21" ht="14.1" customHeight="1">
      <c r="A20" s="7">
        <v>27</v>
      </c>
      <c r="B20" s="14" t="s">
        <v>609</v>
      </c>
      <c r="C20" s="14" t="s">
        <v>344</v>
      </c>
      <c r="D20" s="7" t="s">
        <v>804</v>
      </c>
      <c r="E20" s="14" t="s">
        <v>442</v>
      </c>
      <c r="F20" s="7" t="s">
        <v>26</v>
      </c>
      <c r="G20" s="8" t="s">
        <v>2283</v>
      </c>
      <c r="H20" s="7" t="s">
        <v>1424</v>
      </c>
      <c r="I20" s="8" t="s">
        <v>2285</v>
      </c>
      <c r="J20" s="7" t="s">
        <v>30</v>
      </c>
      <c r="K20" s="7" t="s">
        <v>1426</v>
      </c>
      <c r="L20" s="7" t="s">
        <v>127</v>
      </c>
      <c r="M20" s="135" t="s">
        <v>2258</v>
      </c>
      <c r="N20" s="7">
        <v>1</v>
      </c>
      <c r="O20" s="7">
        <v>40</v>
      </c>
      <c r="P20" s="7"/>
      <c r="R20" s="9">
        <v>72.529077979877613</v>
      </c>
      <c r="T20" s="7" t="s">
        <v>34</v>
      </c>
      <c r="U20" s="7" t="s">
        <v>34</v>
      </c>
    </row>
    <row r="21" spans="1:21" ht="14.1" customHeight="1">
      <c r="A21" s="7">
        <v>29</v>
      </c>
      <c r="B21" s="14" t="s">
        <v>344</v>
      </c>
      <c r="C21" s="14" t="s">
        <v>344</v>
      </c>
      <c r="D21" s="7" t="s">
        <v>804</v>
      </c>
      <c r="E21" s="14" t="s">
        <v>442</v>
      </c>
      <c r="F21" s="7" t="s">
        <v>2286</v>
      </c>
      <c r="G21" s="8" t="s">
        <v>2287</v>
      </c>
      <c r="H21" s="135" t="s">
        <v>42</v>
      </c>
      <c r="I21" s="8" t="s">
        <v>2288</v>
      </c>
      <c r="J21" s="7" t="s">
        <v>30</v>
      </c>
      <c r="K21" s="135" t="s">
        <v>42</v>
      </c>
      <c r="L21" s="7" t="s">
        <v>315</v>
      </c>
      <c r="M21" s="135" t="s">
        <v>2258</v>
      </c>
      <c r="N21" s="7">
        <v>1</v>
      </c>
      <c r="O21" s="7">
        <v>40</v>
      </c>
      <c r="P21" s="7" t="s">
        <v>286</v>
      </c>
      <c r="R21" s="9">
        <v>1160.465247678042</v>
      </c>
      <c r="T21" s="7" t="s">
        <v>34</v>
      </c>
      <c r="U21" s="7"/>
    </row>
    <row r="22" spans="1:21" ht="14.1" customHeight="1">
      <c r="A22" s="7">
        <v>30</v>
      </c>
      <c r="B22" s="14" t="s">
        <v>344</v>
      </c>
      <c r="C22" s="14" t="s">
        <v>344</v>
      </c>
      <c r="D22" s="7" t="s">
        <v>804</v>
      </c>
      <c r="E22" s="14" t="s">
        <v>442</v>
      </c>
      <c r="F22" s="7" t="s">
        <v>2286</v>
      </c>
      <c r="G22" s="8" t="s">
        <v>2289</v>
      </c>
      <c r="H22" s="135" t="s">
        <v>42</v>
      </c>
      <c r="I22" s="8" t="s">
        <v>2290</v>
      </c>
      <c r="J22" s="7" t="s">
        <v>30</v>
      </c>
      <c r="K22" s="135" t="s">
        <v>42</v>
      </c>
      <c r="L22" s="7" t="s">
        <v>315</v>
      </c>
      <c r="M22" s="135" t="s">
        <v>2258</v>
      </c>
      <c r="N22" s="7">
        <v>1</v>
      </c>
      <c r="O22" s="7">
        <v>40</v>
      </c>
      <c r="P22" s="7" t="s">
        <v>286</v>
      </c>
      <c r="R22" s="9">
        <v>1160.465247678042</v>
      </c>
      <c r="T22" s="7" t="s">
        <v>34</v>
      </c>
      <c r="U22" s="7"/>
    </row>
    <row r="23" spans="1:21" ht="14.1" customHeight="1">
      <c r="A23" s="7">
        <v>33</v>
      </c>
      <c r="B23" s="14" t="s">
        <v>344</v>
      </c>
      <c r="C23" s="14" t="s">
        <v>344</v>
      </c>
      <c r="D23" s="7" t="s">
        <v>804</v>
      </c>
      <c r="E23" s="14" t="s">
        <v>442</v>
      </c>
      <c r="F23" s="7" t="s">
        <v>2286</v>
      </c>
      <c r="G23" s="8" t="s">
        <v>2291</v>
      </c>
      <c r="H23" s="135" t="s">
        <v>42</v>
      </c>
      <c r="I23" s="8" t="s">
        <v>2292</v>
      </c>
      <c r="J23" s="7" t="s">
        <v>30</v>
      </c>
      <c r="K23" s="135" t="s">
        <v>42</v>
      </c>
      <c r="L23" s="7" t="s">
        <v>315</v>
      </c>
      <c r="M23" s="135" t="s">
        <v>2258</v>
      </c>
      <c r="N23" s="7">
        <v>1</v>
      </c>
      <c r="O23" s="7">
        <v>40</v>
      </c>
      <c r="P23" s="7" t="s">
        <v>286</v>
      </c>
      <c r="R23" s="9">
        <v>1643.9924342105589</v>
      </c>
      <c r="T23" s="7" t="s">
        <v>34</v>
      </c>
      <c r="U23" s="7"/>
    </row>
    <row r="24" spans="1:21" ht="14.1" customHeight="1">
      <c r="A24" s="7">
        <v>36</v>
      </c>
      <c r="B24" s="14" t="s">
        <v>344</v>
      </c>
      <c r="C24" s="14" t="s">
        <v>344</v>
      </c>
      <c r="D24" s="7" t="s">
        <v>804</v>
      </c>
      <c r="E24" s="14" t="s">
        <v>442</v>
      </c>
      <c r="F24" s="7" t="s">
        <v>2286</v>
      </c>
      <c r="G24" s="8" t="s">
        <v>2293</v>
      </c>
      <c r="H24" s="135" t="s">
        <v>42</v>
      </c>
      <c r="I24" s="8" t="s">
        <v>2294</v>
      </c>
      <c r="J24" s="7" t="s">
        <v>30</v>
      </c>
      <c r="K24" s="135" t="s">
        <v>42</v>
      </c>
      <c r="L24" s="7" t="s">
        <v>315</v>
      </c>
      <c r="M24" s="135" t="s">
        <v>2258</v>
      </c>
      <c r="N24" s="7">
        <v>1</v>
      </c>
      <c r="O24" s="7">
        <v>40</v>
      </c>
      <c r="P24" s="7" t="s">
        <v>286</v>
      </c>
      <c r="R24" s="9">
        <v>1643.9924342105589</v>
      </c>
      <c r="T24" s="7" t="s">
        <v>34</v>
      </c>
      <c r="U24" s="7"/>
    </row>
    <row r="25" spans="1:21" ht="14.1" customHeight="1">
      <c r="A25" s="7">
        <v>39</v>
      </c>
      <c r="B25" s="14" t="s">
        <v>344</v>
      </c>
      <c r="C25" s="14" t="s">
        <v>344</v>
      </c>
      <c r="D25" s="7" t="s">
        <v>804</v>
      </c>
      <c r="E25" s="14" t="s">
        <v>442</v>
      </c>
      <c r="F25" s="7" t="s">
        <v>2286</v>
      </c>
      <c r="G25" s="8" t="s">
        <v>2295</v>
      </c>
      <c r="H25" s="135" t="s">
        <v>42</v>
      </c>
      <c r="I25" s="8" t="s">
        <v>2296</v>
      </c>
      <c r="J25" s="7" t="s">
        <v>30</v>
      </c>
      <c r="K25" s="135" t="s">
        <v>42</v>
      </c>
      <c r="L25" s="7" t="s">
        <v>315</v>
      </c>
      <c r="M25" s="135" t="s">
        <v>2258</v>
      </c>
      <c r="N25" s="7">
        <v>1</v>
      </c>
      <c r="O25" s="7">
        <v>40</v>
      </c>
      <c r="P25" s="7" t="s">
        <v>286</v>
      </c>
      <c r="R25" s="9">
        <v>1643.9924342105589</v>
      </c>
      <c r="T25" s="7" t="s">
        <v>34</v>
      </c>
      <c r="U25" s="7"/>
    </row>
    <row r="26" spans="1:21" ht="14.1" customHeight="1">
      <c r="A26" s="7">
        <v>41</v>
      </c>
      <c r="B26" s="14" t="s">
        <v>344</v>
      </c>
      <c r="C26" s="14" t="s">
        <v>344</v>
      </c>
      <c r="D26" s="7" t="s">
        <v>804</v>
      </c>
      <c r="E26" s="14" t="s">
        <v>442</v>
      </c>
      <c r="F26" s="7" t="s">
        <v>2286</v>
      </c>
      <c r="G26" s="8" t="s">
        <v>2297</v>
      </c>
      <c r="H26" s="7" t="s">
        <v>1081</v>
      </c>
      <c r="I26" s="8" t="s">
        <v>2298</v>
      </c>
      <c r="J26" s="7" t="s">
        <v>30</v>
      </c>
      <c r="K26" s="7" t="s">
        <v>1083</v>
      </c>
      <c r="L26" s="7" t="s">
        <v>315</v>
      </c>
      <c r="M26" s="135" t="s">
        <v>2258</v>
      </c>
      <c r="N26" s="7">
        <v>1</v>
      </c>
      <c r="O26" s="7">
        <v>40</v>
      </c>
      <c r="P26" s="7"/>
      <c r="R26" s="9">
        <v>108.7936169698164</v>
      </c>
      <c r="T26" s="7" t="s">
        <v>34</v>
      </c>
      <c r="U26" s="7"/>
    </row>
    <row r="27" spans="1:21" ht="14.1" customHeight="1">
      <c r="A27" s="7">
        <v>42</v>
      </c>
      <c r="B27" s="14" t="s">
        <v>344</v>
      </c>
      <c r="C27" s="14" t="s">
        <v>344</v>
      </c>
      <c r="D27" s="7" t="s">
        <v>804</v>
      </c>
      <c r="E27" s="14" t="s">
        <v>442</v>
      </c>
      <c r="F27" s="7" t="s">
        <v>2286</v>
      </c>
      <c r="G27" s="8" t="s">
        <v>2297</v>
      </c>
      <c r="H27" s="7" t="s">
        <v>1424</v>
      </c>
      <c r="I27" s="8" t="s">
        <v>2299</v>
      </c>
      <c r="J27" s="7" t="s">
        <v>30</v>
      </c>
      <c r="K27" s="7" t="s">
        <v>1426</v>
      </c>
      <c r="L27" s="7" t="s">
        <v>315</v>
      </c>
      <c r="M27" s="135" t="s">
        <v>2258</v>
      </c>
      <c r="N27" s="7">
        <v>1</v>
      </c>
      <c r="O27" s="7">
        <v>40</v>
      </c>
      <c r="P27" s="7"/>
      <c r="R27" s="9">
        <v>120.8817966331294</v>
      </c>
      <c r="T27" s="7" t="s">
        <v>34</v>
      </c>
      <c r="U27" s="7"/>
    </row>
    <row r="28" spans="1:21" ht="14.1" customHeight="1">
      <c r="A28" s="7">
        <v>43</v>
      </c>
      <c r="B28" s="14" t="s">
        <v>344</v>
      </c>
      <c r="C28" s="14" t="s">
        <v>344</v>
      </c>
      <c r="D28" s="7" t="s">
        <v>804</v>
      </c>
      <c r="E28" s="14" t="s">
        <v>442</v>
      </c>
      <c r="F28" s="7" t="s">
        <v>2286</v>
      </c>
      <c r="G28" s="8" t="s">
        <v>2300</v>
      </c>
      <c r="H28" s="7" t="s">
        <v>1081</v>
      </c>
      <c r="I28" s="8" t="s">
        <v>2301</v>
      </c>
      <c r="J28" s="7" t="s">
        <v>30</v>
      </c>
      <c r="K28" s="7" t="s">
        <v>1083</v>
      </c>
      <c r="L28" s="7" t="s">
        <v>315</v>
      </c>
      <c r="M28" s="135" t="s">
        <v>2258</v>
      </c>
      <c r="N28" s="7">
        <v>1</v>
      </c>
      <c r="O28" s="7">
        <v>20</v>
      </c>
      <c r="P28" s="7" t="s">
        <v>286</v>
      </c>
      <c r="R28" s="9">
        <v>1511.022457914117</v>
      </c>
      <c r="T28" s="7" t="s">
        <v>34</v>
      </c>
      <c r="U28" s="7"/>
    </row>
    <row r="29" spans="1:21" ht="14.1" customHeight="1">
      <c r="A29" s="7">
        <v>44</v>
      </c>
      <c r="B29" s="14" t="s">
        <v>344</v>
      </c>
      <c r="C29" s="14" t="s">
        <v>344</v>
      </c>
      <c r="D29" s="7" t="s">
        <v>804</v>
      </c>
      <c r="E29" s="14" t="s">
        <v>442</v>
      </c>
      <c r="F29" s="7" t="s">
        <v>2286</v>
      </c>
      <c r="G29" s="8" t="s">
        <v>2302</v>
      </c>
      <c r="H29" s="7" t="s">
        <v>2303</v>
      </c>
      <c r="I29" s="8" t="s">
        <v>2304</v>
      </c>
      <c r="J29" s="7" t="s">
        <v>30</v>
      </c>
      <c r="K29" s="7" t="s">
        <v>810</v>
      </c>
      <c r="L29" s="7" t="s">
        <v>315</v>
      </c>
      <c r="M29" s="135" t="s">
        <v>2258</v>
      </c>
      <c r="N29" s="7">
        <v>1</v>
      </c>
      <c r="O29" s="7">
        <v>20</v>
      </c>
      <c r="P29" s="7"/>
      <c r="R29" s="9">
        <v>253.85177292957169</v>
      </c>
      <c r="T29" s="7" t="s">
        <v>34</v>
      </c>
      <c r="U29" s="7"/>
    </row>
    <row r="30" spans="1:21" ht="14.1" customHeight="1">
      <c r="A30" s="7">
        <v>45</v>
      </c>
      <c r="B30" s="14" t="s">
        <v>344</v>
      </c>
      <c r="C30" s="14" t="s">
        <v>344</v>
      </c>
      <c r="D30" s="7" t="s">
        <v>804</v>
      </c>
      <c r="E30" s="14" t="s">
        <v>442</v>
      </c>
      <c r="F30" s="7" t="s">
        <v>2286</v>
      </c>
      <c r="G30" s="8" t="s">
        <v>2305</v>
      </c>
      <c r="H30" s="7" t="s">
        <v>2303</v>
      </c>
      <c r="I30" s="8" t="s">
        <v>2306</v>
      </c>
      <c r="J30" s="7" t="s">
        <v>30</v>
      </c>
      <c r="K30" s="7" t="s">
        <v>810</v>
      </c>
      <c r="L30" s="7" t="s">
        <v>315</v>
      </c>
      <c r="M30" s="135" t="s">
        <v>2258</v>
      </c>
      <c r="N30" s="7">
        <v>1</v>
      </c>
      <c r="O30" s="7">
        <v>20</v>
      </c>
      <c r="P30" s="7"/>
      <c r="R30" s="9">
        <v>253.85177292957169</v>
      </c>
      <c r="T30" s="7" t="s">
        <v>34</v>
      </c>
      <c r="U30" s="7"/>
    </row>
    <row r="31" spans="1:21" ht="14.1" customHeight="1">
      <c r="A31" s="7">
        <v>46</v>
      </c>
      <c r="B31" s="14" t="s">
        <v>344</v>
      </c>
      <c r="C31" s="14" t="s">
        <v>344</v>
      </c>
      <c r="D31" s="7" t="s">
        <v>804</v>
      </c>
      <c r="E31" s="14" t="s">
        <v>442</v>
      </c>
      <c r="F31" s="7" t="s">
        <v>2286</v>
      </c>
      <c r="G31" s="8" t="s">
        <v>2307</v>
      </c>
      <c r="H31" s="7" t="s">
        <v>2308</v>
      </c>
      <c r="I31" s="8" t="s">
        <v>2309</v>
      </c>
      <c r="J31" s="7" t="s">
        <v>30</v>
      </c>
      <c r="K31" s="7" t="s">
        <v>2310</v>
      </c>
      <c r="L31" s="7" t="s">
        <v>148</v>
      </c>
      <c r="M31" s="135" t="s">
        <v>2258</v>
      </c>
      <c r="N31" s="7">
        <v>1</v>
      </c>
      <c r="O31" s="7">
        <v>20</v>
      </c>
      <c r="P31" s="7"/>
      <c r="R31" s="9">
        <v>157.14633562306821</v>
      </c>
      <c r="T31" s="7" t="s">
        <v>34</v>
      </c>
      <c r="U31" s="7"/>
    </row>
    <row r="32" spans="1:21" ht="14.1" customHeight="1">
      <c r="A32" s="7">
        <v>47</v>
      </c>
      <c r="B32" s="14" t="s">
        <v>344</v>
      </c>
      <c r="C32" s="14" t="s">
        <v>344</v>
      </c>
      <c r="D32" s="7" t="s">
        <v>804</v>
      </c>
      <c r="E32" s="14" t="s">
        <v>442</v>
      </c>
      <c r="F32" s="7" t="s">
        <v>2286</v>
      </c>
      <c r="G32" s="8" t="s">
        <v>2311</v>
      </c>
      <c r="H32" s="7" t="s">
        <v>1221</v>
      </c>
      <c r="I32" s="8" t="s">
        <v>2312</v>
      </c>
      <c r="J32" s="7" t="s">
        <v>30</v>
      </c>
      <c r="K32" s="7" t="s">
        <v>536</v>
      </c>
      <c r="L32" s="7" t="s">
        <v>148</v>
      </c>
      <c r="M32" s="135" t="s">
        <v>2258</v>
      </c>
      <c r="N32" s="7">
        <v>1</v>
      </c>
      <c r="O32" s="7">
        <v>20</v>
      </c>
      <c r="P32" s="7"/>
      <c r="R32" s="9">
        <v>157.14633562306821</v>
      </c>
      <c r="T32" s="7" t="s">
        <v>34</v>
      </c>
      <c r="U32" s="7"/>
    </row>
    <row r="33" spans="1:21" ht="14.1" customHeight="1">
      <c r="A33" s="7">
        <v>48</v>
      </c>
      <c r="B33" s="14" t="s">
        <v>344</v>
      </c>
      <c r="C33" s="14" t="s">
        <v>344</v>
      </c>
      <c r="D33" s="7" t="s">
        <v>804</v>
      </c>
      <c r="E33" s="14" t="s">
        <v>442</v>
      </c>
      <c r="F33" s="7" t="s">
        <v>2286</v>
      </c>
      <c r="G33" s="8" t="s">
        <v>2313</v>
      </c>
      <c r="H33" s="7" t="s">
        <v>2303</v>
      </c>
      <c r="I33" s="8" t="s">
        <v>2314</v>
      </c>
      <c r="J33" s="7" t="s">
        <v>30</v>
      </c>
      <c r="K33" s="7" t="s">
        <v>810</v>
      </c>
      <c r="L33" s="7" t="s">
        <v>315</v>
      </c>
      <c r="M33" s="135" t="s">
        <v>2258</v>
      </c>
      <c r="N33" s="7">
        <v>1</v>
      </c>
      <c r="O33" s="7">
        <v>20</v>
      </c>
      <c r="P33" s="7"/>
      <c r="R33" s="9">
        <v>2478.076830979152</v>
      </c>
      <c r="T33" s="7" t="s">
        <v>34</v>
      </c>
      <c r="U33" s="7"/>
    </row>
    <row r="34" spans="1:21" ht="14.1" customHeight="1">
      <c r="A34" s="7">
        <v>49</v>
      </c>
      <c r="B34" s="14" t="s">
        <v>609</v>
      </c>
      <c r="C34" s="14" t="s">
        <v>344</v>
      </c>
      <c r="D34" s="7" t="s">
        <v>804</v>
      </c>
      <c r="E34" s="14" t="s">
        <v>442</v>
      </c>
      <c r="F34" s="7" t="s">
        <v>26</v>
      </c>
      <c r="G34" s="8" t="s">
        <v>2315</v>
      </c>
      <c r="H34" s="7" t="s">
        <v>518</v>
      </c>
      <c r="I34" s="8" t="s">
        <v>2316</v>
      </c>
      <c r="J34" s="7" t="s">
        <v>30</v>
      </c>
      <c r="K34" s="7" t="s">
        <v>520</v>
      </c>
      <c r="L34" s="7" t="s">
        <v>315</v>
      </c>
      <c r="M34" s="135" t="s">
        <v>2258</v>
      </c>
      <c r="N34" s="7">
        <v>1</v>
      </c>
      <c r="O34" s="7">
        <v>20</v>
      </c>
      <c r="P34" s="7"/>
      <c r="R34" s="9">
        <v>374.73356956270112</v>
      </c>
      <c r="T34" s="7" t="s">
        <v>34</v>
      </c>
      <c r="U34" s="7" t="s">
        <v>34</v>
      </c>
    </row>
    <row r="35" spans="1:21" ht="14.1" customHeight="1">
      <c r="A35" s="7">
        <v>50</v>
      </c>
      <c r="B35" s="14" t="s">
        <v>609</v>
      </c>
      <c r="C35" s="14" t="s">
        <v>344</v>
      </c>
      <c r="D35" s="7" t="s">
        <v>804</v>
      </c>
      <c r="E35" s="14" t="s">
        <v>442</v>
      </c>
      <c r="F35" s="7" t="s">
        <v>26</v>
      </c>
      <c r="G35" s="8" t="s">
        <v>2315</v>
      </c>
      <c r="H35" s="7" t="s">
        <v>459</v>
      </c>
      <c r="I35" s="8" t="s">
        <v>2317</v>
      </c>
      <c r="J35" s="7" t="s">
        <v>30</v>
      </c>
      <c r="K35" s="7" t="s">
        <v>1334</v>
      </c>
      <c r="L35" s="7" t="s">
        <v>315</v>
      </c>
      <c r="M35" s="135" t="s">
        <v>2258</v>
      </c>
      <c r="N35" s="7">
        <v>1</v>
      </c>
      <c r="O35" s="7">
        <v>20</v>
      </c>
      <c r="P35" s="7"/>
      <c r="R35" s="9">
        <v>374.73356956270112</v>
      </c>
      <c r="T35" s="7" t="s">
        <v>34</v>
      </c>
      <c r="U35" s="7" t="s">
        <v>34</v>
      </c>
    </row>
    <row r="36" spans="1:21" ht="14.1" customHeight="1">
      <c r="A36" s="7">
        <v>51</v>
      </c>
      <c r="B36" s="14" t="s">
        <v>609</v>
      </c>
      <c r="C36" s="14" t="s">
        <v>344</v>
      </c>
      <c r="D36" s="7" t="s">
        <v>804</v>
      </c>
      <c r="E36" s="14" t="s">
        <v>442</v>
      </c>
      <c r="F36" s="7" t="s">
        <v>26</v>
      </c>
      <c r="G36" s="8" t="s">
        <v>2318</v>
      </c>
      <c r="H36" s="7" t="s">
        <v>518</v>
      </c>
      <c r="I36" s="8" t="s">
        <v>2319</v>
      </c>
      <c r="J36" s="7" t="s">
        <v>30</v>
      </c>
      <c r="K36" s="7" t="s">
        <v>520</v>
      </c>
      <c r="L36" s="7" t="s">
        <v>315</v>
      </c>
      <c r="M36" s="135" t="s">
        <v>2258</v>
      </c>
      <c r="N36" s="7">
        <v>1</v>
      </c>
      <c r="O36" s="7">
        <v>20</v>
      </c>
      <c r="P36" s="7"/>
      <c r="R36" s="9">
        <v>374.73356956270112</v>
      </c>
      <c r="T36" s="7" t="s">
        <v>34</v>
      </c>
      <c r="U36" s="7" t="s">
        <v>34</v>
      </c>
    </row>
    <row r="37" spans="1:21" ht="14.1" customHeight="1">
      <c r="A37" s="7">
        <v>52</v>
      </c>
      <c r="B37" s="14" t="s">
        <v>609</v>
      </c>
      <c r="C37" s="14" t="s">
        <v>344</v>
      </c>
      <c r="D37" s="7" t="s">
        <v>804</v>
      </c>
      <c r="E37" s="14" t="s">
        <v>442</v>
      </c>
      <c r="F37" s="7" t="s">
        <v>26</v>
      </c>
      <c r="G37" s="8" t="s">
        <v>2318</v>
      </c>
      <c r="H37" s="7" t="s">
        <v>459</v>
      </c>
      <c r="I37" s="8" t="s">
        <v>2320</v>
      </c>
      <c r="J37" s="7" t="s">
        <v>30</v>
      </c>
      <c r="K37" s="7" t="s">
        <v>1334</v>
      </c>
      <c r="L37" s="7" t="s">
        <v>315</v>
      </c>
      <c r="M37" s="135" t="s">
        <v>2258</v>
      </c>
      <c r="N37" s="7">
        <v>1</v>
      </c>
      <c r="O37" s="7">
        <v>20</v>
      </c>
      <c r="P37" s="7"/>
      <c r="R37" s="9">
        <v>374.73356956270112</v>
      </c>
      <c r="T37" s="7" t="s">
        <v>34</v>
      </c>
      <c r="U37" s="7" t="s">
        <v>34</v>
      </c>
    </row>
    <row r="38" spans="1:21" ht="14.1" customHeight="1">
      <c r="A38" s="7">
        <v>53</v>
      </c>
      <c r="B38" s="14" t="s">
        <v>609</v>
      </c>
      <c r="C38" s="14" t="s">
        <v>344</v>
      </c>
      <c r="D38" s="7" t="s">
        <v>804</v>
      </c>
      <c r="E38" s="14" t="s">
        <v>442</v>
      </c>
      <c r="F38" s="7" t="s">
        <v>26</v>
      </c>
      <c r="G38" s="8" t="s">
        <v>2321</v>
      </c>
      <c r="H38" s="7" t="s">
        <v>518</v>
      </c>
      <c r="I38" s="8" t="s">
        <v>2322</v>
      </c>
      <c r="J38" s="7" t="s">
        <v>30</v>
      </c>
      <c r="K38" s="7" t="s">
        <v>520</v>
      </c>
      <c r="L38" s="7" t="s">
        <v>315</v>
      </c>
      <c r="M38" s="135" t="s">
        <v>2258</v>
      </c>
      <c r="N38" s="7">
        <v>1</v>
      </c>
      <c r="O38" s="7">
        <v>20</v>
      </c>
      <c r="P38" s="7"/>
      <c r="R38" s="9">
        <v>930.78983407509611</v>
      </c>
      <c r="T38" s="7" t="s">
        <v>34</v>
      </c>
      <c r="U38" s="7" t="s">
        <v>34</v>
      </c>
    </row>
    <row r="39" spans="1:21" ht="14.1" customHeight="1">
      <c r="A39" s="7">
        <v>54</v>
      </c>
      <c r="B39" s="14" t="s">
        <v>609</v>
      </c>
      <c r="C39" s="14" t="s">
        <v>344</v>
      </c>
      <c r="D39" s="7" t="s">
        <v>804</v>
      </c>
      <c r="E39" s="14" t="s">
        <v>442</v>
      </c>
      <c r="F39" s="7" t="s">
        <v>26</v>
      </c>
      <c r="G39" s="8" t="s">
        <v>2321</v>
      </c>
      <c r="H39" s="7" t="s">
        <v>459</v>
      </c>
      <c r="I39" s="8" t="s">
        <v>2323</v>
      </c>
      <c r="J39" s="7" t="s">
        <v>30</v>
      </c>
      <c r="K39" s="7" t="s">
        <v>1334</v>
      </c>
      <c r="L39" s="7" t="s">
        <v>315</v>
      </c>
      <c r="M39" s="135" t="s">
        <v>2258</v>
      </c>
      <c r="N39" s="7">
        <v>1</v>
      </c>
      <c r="O39" s="7">
        <v>20</v>
      </c>
      <c r="P39" s="7"/>
      <c r="R39" s="9">
        <v>930.78983407509611</v>
      </c>
      <c r="T39" s="7" t="s">
        <v>34</v>
      </c>
      <c r="U39" s="7" t="s">
        <v>34</v>
      </c>
    </row>
    <row r="40" spans="1:21" ht="14.1" customHeight="1">
      <c r="A40" s="7">
        <v>55</v>
      </c>
      <c r="B40" s="14" t="s">
        <v>344</v>
      </c>
      <c r="C40" s="14" t="s">
        <v>344</v>
      </c>
      <c r="D40" s="7" t="s">
        <v>804</v>
      </c>
      <c r="E40" s="14" t="s">
        <v>442</v>
      </c>
      <c r="F40" s="7" t="s">
        <v>2286</v>
      </c>
      <c r="G40" s="8" t="s">
        <v>2324</v>
      </c>
      <c r="H40" s="7" t="s">
        <v>42</v>
      </c>
      <c r="I40" s="8" t="s">
        <v>2325</v>
      </c>
      <c r="J40" s="7" t="s">
        <v>30</v>
      </c>
      <c r="K40" s="135" t="s">
        <v>42</v>
      </c>
      <c r="L40" s="7" t="s">
        <v>315</v>
      </c>
      <c r="M40" s="135" t="s">
        <v>2258</v>
      </c>
      <c r="N40" s="7">
        <v>1</v>
      </c>
      <c r="O40" s="7">
        <v>40</v>
      </c>
      <c r="P40" s="7"/>
      <c r="R40" s="9">
        <v>1172.553427341355</v>
      </c>
      <c r="T40" s="7" t="s">
        <v>34</v>
      </c>
      <c r="U40" s="7"/>
    </row>
    <row r="41" spans="1:21" ht="14.1" customHeight="1">
      <c r="A41" s="7">
        <v>56</v>
      </c>
      <c r="B41" s="14" t="s">
        <v>344</v>
      </c>
      <c r="C41" s="14" t="s">
        <v>344</v>
      </c>
      <c r="D41" s="7" t="s">
        <v>804</v>
      </c>
      <c r="E41" s="14" t="s">
        <v>442</v>
      </c>
      <c r="F41" s="7" t="s">
        <v>2286</v>
      </c>
      <c r="G41" s="8" t="s">
        <v>2326</v>
      </c>
      <c r="H41" s="7" t="s">
        <v>2327</v>
      </c>
      <c r="I41" s="8" t="s">
        <v>2328</v>
      </c>
      <c r="J41" s="7" t="s">
        <v>30</v>
      </c>
      <c r="K41" s="7" t="s">
        <v>2329</v>
      </c>
      <c r="L41" s="7" t="s">
        <v>148</v>
      </c>
      <c r="M41" s="135" t="s">
        <v>2258</v>
      </c>
      <c r="N41" s="7">
        <v>1</v>
      </c>
      <c r="O41" s="7">
        <v>20</v>
      </c>
      <c r="P41" s="7"/>
      <c r="R41" s="9">
        <v>60.440898316564692</v>
      </c>
      <c r="T41" s="7" t="s">
        <v>34</v>
      </c>
      <c r="U41" s="7"/>
    </row>
    <row r="42" spans="1:21" ht="14.1" customHeight="1">
      <c r="A42" s="7">
        <v>57</v>
      </c>
      <c r="B42" s="14" t="s">
        <v>344</v>
      </c>
      <c r="C42" s="14" t="s">
        <v>344</v>
      </c>
      <c r="D42" s="7" t="s">
        <v>804</v>
      </c>
      <c r="E42" s="14" t="s">
        <v>442</v>
      </c>
      <c r="F42" s="7" t="s">
        <v>2286</v>
      </c>
      <c r="G42" s="8" t="s">
        <v>2330</v>
      </c>
      <c r="H42" s="7" t="s">
        <v>2327</v>
      </c>
      <c r="I42" s="8" t="s">
        <v>2331</v>
      </c>
      <c r="J42" s="7" t="s">
        <v>30</v>
      </c>
      <c r="K42" s="7" t="s">
        <v>2329</v>
      </c>
      <c r="L42" s="7" t="s">
        <v>148</v>
      </c>
      <c r="M42" s="135" t="s">
        <v>2258</v>
      </c>
      <c r="N42" s="7">
        <v>1</v>
      </c>
      <c r="O42" s="7">
        <v>20</v>
      </c>
      <c r="P42" s="7"/>
      <c r="R42" s="9">
        <v>60.440898316564692</v>
      </c>
      <c r="T42" s="7" t="s">
        <v>34</v>
      </c>
      <c r="U42" s="7"/>
    </row>
    <row r="43" spans="1:21" ht="14.1" customHeight="1">
      <c r="A43" s="7">
        <v>58</v>
      </c>
      <c r="B43" s="14" t="s">
        <v>344</v>
      </c>
      <c r="C43" s="14" t="s">
        <v>344</v>
      </c>
      <c r="D43" s="7" t="s">
        <v>804</v>
      </c>
      <c r="E43" s="14" t="s">
        <v>442</v>
      </c>
      <c r="F43" s="7" t="s">
        <v>2286</v>
      </c>
      <c r="G43" s="8" t="s">
        <v>2332</v>
      </c>
      <c r="H43" s="7" t="s">
        <v>2327</v>
      </c>
      <c r="I43" s="8" t="s">
        <v>2333</v>
      </c>
      <c r="J43" s="7" t="s">
        <v>30</v>
      </c>
      <c r="K43" s="7" t="s">
        <v>2329</v>
      </c>
      <c r="L43" s="7" t="s">
        <v>315</v>
      </c>
      <c r="M43" s="135" t="s">
        <v>2258</v>
      </c>
      <c r="N43" s="7">
        <v>1</v>
      </c>
      <c r="O43" s="7">
        <v>40</v>
      </c>
      <c r="P43" s="7"/>
      <c r="R43" s="9">
        <v>217.58723393963291</v>
      </c>
      <c r="T43" s="7" t="s">
        <v>34</v>
      </c>
      <c r="U43" s="7"/>
    </row>
    <row r="44" spans="1:21" ht="14.1" customHeight="1">
      <c r="A44" s="7">
        <v>59</v>
      </c>
      <c r="B44" s="14" t="s">
        <v>344</v>
      </c>
      <c r="C44" s="14" t="s">
        <v>344</v>
      </c>
      <c r="D44" s="7" t="s">
        <v>804</v>
      </c>
      <c r="E44" s="14" t="s">
        <v>442</v>
      </c>
      <c r="F44" s="7" t="s">
        <v>2286</v>
      </c>
      <c r="G44" s="8" t="s">
        <v>2334</v>
      </c>
      <c r="H44" s="7" t="s">
        <v>2327</v>
      </c>
      <c r="I44" s="8" t="s">
        <v>2335</v>
      </c>
      <c r="J44" s="7" t="s">
        <v>30</v>
      </c>
      <c r="K44" s="7" t="s">
        <v>2329</v>
      </c>
      <c r="L44" s="7" t="s">
        <v>315</v>
      </c>
      <c r="M44" s="135" t="s">
        <v>2258</v>
      </c>
      <c r="N44" s="7">
        <v>1</v>
      </c>
      <c r="O44" s="7">
        <v>40</v>
      </c>
      <c r="P44" s="7"/>
      <c r="R44" s="9">
        <v>217.58723393963291</v>
      </c>
      <c r="T44" s="7" t="s">
        <v>34</v>
      </c>
      <c r="U44" s="7"/>
    </row>
    <row r="45" spans="1:21" ht="14.1" customHeight="1">
      <c r="A45" s="7">
        <v>60</v>
      </c>
      <c r="B45" s="14" t="s">
        <v>344</v>
      </c>
      <c r="C45" s="14" t="s">
        <v>344</v>
      </c>
      <c r="D45" s="7" t="s">
        <v>804</v>
      </c>
      <c r="E45" s="14" t="s">
        <v>442</v>
      </c>
      <c r="F45" s="7" t="s">
        <v>2286</v>
      </c>
      <c r="G45" s="8" t="s">
        <v>2336</v>
      </c>
      <c r="H45" s="7" t="s">
        <v>2327</v>
      </c>
      <c r="I45" s="8" t="s">
        <v>2337</v>
      </c>
      <c r="J45" s="7" t="s">
        <v>30</v>
      </c>
      <c r="K45" s="7" t="s">
        <v>2329</v>
      </c>
      <c r="L45" s="7" t="s">
        <v>315</v>
      </c>
      <c r="M45" s="135" t="s">
        <v>2258</v>
      </c>
      <c r="N45" s="7">
        <v>1</v>
      </c>
      <c r="O45" s="7">
        <v>40</v>
      </c>
      <c r="P45" s="7"/>
      <c r="R45" s="9">
        <v>217.58723393963291</v>
      </c>
      <c r="T45" s="7" t="s">
        <v>34</v>
      </c>
      <c r="U45" s="7"/>
    </row>
    <row r="46" spans="1:21" ht="14.1" customHeight="1">
      <c r="A46" s="7">
        <v>61</v>
      </c>
      <c r="B46" s="14" t="s">
        <v>344</v>
      </c>
      <c r="C46" s="14" t="s">
        <v>344</v>
      </c>
      <c r="D46" s="7" t="s">
        <v>804</v>
      </c>
      <c r="E46" s="14" t="s">
        <v>442</v>
      </c>
      <c r="F46" s="7" t="s">
        <v>2286</v>
      </c>
      <c r="G46" s="8" t="s">
        <v>2338</v>
      </c>
      <c r="H46" s="7" t="s">
        <v>2327</v>
      </c>
      <c r="I46" s="8" t="s">
        <v>2339</v>
      </c>
      <c r="J46" s="7" t="s">
        <v>30</v>
      </c>
      <c r="K46" s="7" t="s">
        <v>2329</v>
      </c>
      <c r="L46" s="7" t="s">
        <v>315</v>
      </c>
      <c r="M46" s="135" t="s">
        <v>2258</v>
      </c>
      <c r="N46" s="7">
        <v>1</v>
      </c>
      <c r="O46" s="7">
        <v>40</v>
      </c>
      <c r="P46" s="7"/>
      <c r="R46" s="9">
        <v>217.58723393963291</v>
      </c>
      <c r="T46" s="7" t="s">
        <v>34</v>
      </c>
      <c r="U46" s="7"/>
    </row>
    <row r="47" spans="1:21" ht="14.1" customHeight="1">
      <c r="A47" s="7">
        <v>62</v>
      </c>
      <c r="B47" s="14" t="s">
        <v>344</v>
      </c>
      <c r="C47" s="14" t="s">
        <v>344</v>
      </c>
      <c r="D47" s="7" t="s">
        <v>804</v>
      </c>
      <c r="E47" s="14" t="s">
        <v>442</v>
      </c>
      <c r="F47" s="7" t="s">
        <v>2286</v>
      </c>
      <c r="G47" s="8" t="s">
        <v>2340</v>
      </c>
      <c r="H47" s="7" t="s">
        <v>2327</v>
      </c>
      <c r="I47" s="8" t="s">
        <v>2341</v>
      </c>
      <c r="J47" s="7" t="s">
        <v>30</v>
      </c>
      <c r="K47" s="7" t="s">
        <v>2329</v>
      </c>
      <c r="L47" s="7" t="s">
        <v>315</v>
      </c>
      <c r="M47" s="135" t="s">
        <v>2258</v>
      </c>
      <c r="N47" s="7">
        <v>1</v>
      </c>
      <c r="O47" s="7">
        <v>40</v>
      </c>
      <c r="P47" s="7"/>
      <c r="R47" s="9">
        <v>217.58723393963291</v>
      </c>
      <c r="T47" s="7" t="s">
        <v>34</v>
      </c>
      <c r="U47" s="7"/>
    </row>
    <row r="48" spans="1:21" ht="14.1" customHeight="1">
      <c r="A48" s="7">
        <v>63</v>
      </c>
      <c r="B48" s="14" t="s">
        <v>344</v>
      </c>
      <c r="C48" s="14" t="s">
        <v>344</v>
      </c>
      <c r="D48" s="7" t="s">
        <v>804</v>
      </c>
      <c r="E48" s="14" t="s">
        <v>442</v>
      </c>
      <c r="F48" s="7" t="s">
        <v>2286</v>
      </c>
      <c r="G48" s="8" t="s">
        <v>2342</v>
      </c>
      <c r="H48" s="7" t="s">
        <v>2327</v>
      </c>
      <c r="I48" s="8" t="s">
        <v>2343</v>
      </c>
      <c r="J48" s="7" t="s">
        <v>30</v>
      </c>
      <c r="K48" s="7" t="s">
        <v>2329</v>
      </c>
      <c r="L48" s="7" t="s">
        <v>315</v>
      </c>
      <c r="M48" s="135" t="s">
        <v>2258</v>
      </c>
      <c r="N48" s="7">
        <v>1</v>
      </c>
      <c r="O48" s="7">
        <v>40</v>
      </c>
      <c r="P48" s="7"/>
      <c r="R48" s="9">
        <v>217.58723393963291</v>
      </c>
      <c r="T48" s="7" t="s">
        <v>34</v>
      </c>
      <c r="U48" s="7"/>
    </row>
    <row r="49" spans="1:21" ht="14.1" customHeight="1">
      <c r="A49" s="7">
        <v>64</v>
      </c>
      <c r="B49" s="14" t="s">
        <v>344</v>
      </c>
      <c r="C49" s="14" t="s">
        <v>344</v>
      </c>
      <c r="D49" s="7" t="s">
        <v>804</v>
      </c>
      <c r="E49" s="14" t="s">
        <v>442</v>
      </c>
      <c r="F49" s="7" t="s">
        <v>2286</v>
      </c>
      <c r="G49" s="8" t="s">
        <v>2344</v>
      </c>
      <c r="H49" s="7" t="s">
        <v>2327</v>
      </c>
      <c r="I49" s="8" t="s">
        <v>2345</v>
      </c>
      <c r="J49" s="7" t="s">
        <v>30</v>
      </c>
      <c r="K49" s="7" t="s">
        <v>2329</v>
      </c>
      <c r="L49" s="7" t="s">
        <v>315</v>
      </c>
      <c r="M49" s="135" t="s">
        <v>2258</v>
      </c>
      <c r="N49" s="7">
        <v>1</v>
      </c>
      <c r="O49" s="7">
        <v>40</v>
      </c>
      <c r="P49" s="7"/>
      <c r="R49" s="9">
        <v>265.93995259288459</v>
      </c>
      <c r="T49" s="7" t="s">
        <v>34</v>
      </c>
      <c r="U49" s="7"/>
    </row>
    <row r="50" spans="1:21" ht="14.1" customHeight="1">
      <c r="A50" s="7">
        <v>65</v>
      </c>
      <c r="B50" s="14" t="s">
        <v>344</v>
      </c>
      <c r="C50" s="14" t="s">
        <v>344</v>
      </c>
      <c r="D50" s="7" t="s">
        <v>804</v>
      </c>
      <c r="E50" s="14" t="s">
        <v>442</v>
      </c>
      <c r="F50" s="7" t="s">
        <v>2286</v>
      </c>
      <c r="G50" s="8" t="s">
        <v>2346</v>
      </c>
      <c r="H50" s="7" t="s">
        <v>2327</v>
      </c>
      <c r="I50" s="8" t="s">
        <v>2347</v>
      </c>
      <c r="J50" s="7" t="s">
        <v>30</v>
      </c>
      <c r="K50" s="7" t="s">
        <v>2329</v>
      </c>
      <c r="L50" s="7" t="s">
        <v>315</v>
      </c>
      <c r="M50" s="135" t="s">
        <v>2258</v>
      </c>
      <c r="N50" s="7">
        <v>1</v>
      </c>
      <c r="O50" s="7">
        <v>40</v>
      </c>
      <c r="P50" s="7"/>
      <c r="R50" s="9">
        <v>253.85177292957169</v>
      </c>
      <c r="T50" s="7" t="s">
        <v>34</v>
      </c>
      <c r="U50" s="7"/>
    </row>
    <row r="51" spans="1:21" ht="14.1" customHeight="1">
      <c r="A51" s="7">
        <v>66</v>
      </c>
      <c r="B51" s="14" t="s">
        <v>344</v>
      </c>
      <c r="C51" s="14" t="s">
        <v>344</v>
      </c>
      <c r="D51" s="7" t="s">
        <v>804</v>
      </c>
      <c r="E51" s="14" t="s">
        <v>442</v>
      </c>
      <c r="F51" s="7" t="s">
        <v>2286</v>
      </c>
      <c r="G51" s="8" t="s">
        <v>2348</v>
      </c>
      <c r="H51" s="7" t="s">
        <v>2327</v>
      </c>
      <c r="I51" s="8" t="s">
        <v>2349</v>
      </c>
      <c r="J51" s="7" t="s">
        <v>30</v>
      </c>
      <c r="K51" s="7" t="s">
        <v>2329</v>
      </c>
      <c r="L51" s="7" t="s">
        <v>315</v>
      </c>
      <c r="M51" s="135" t="s">
        <v>2258</v>
      </c>
      <c r="N51" s="7">
        <v>1</v>
      </c>
      <c r="O51" s="7">
        <v>40</v>
      </c>
      <c r="P51" s="7"/>
      <c r="R51" s="9">
        <v>265.93995259288459</v>
      </c>
      <c r="T51" s="7" t="s">
        <v>34</v>
      </c>
      <c r="U51" s="7"/>
    </row>
    <row r="52" spans="1:21" ht="14.1" customHeight="1">
      <c r="A52" s="7">
        <v>67</v>
      </c>
      <c r="B52" s="14" t="s">
        <v>344</v>
      </c>
      <c r="C52" s="14" t="s">
        <v>344</v>
      </c>
      <c r="D52" s="7" t="s">
        <v>804</v>
      </c>
      <c r="E52" s="14" t="s">
        <v>442</v>
      </c>
      <c r="F52" s="7" t="s">
        <v>2286</v>
      </c>
      <c r="G52" s="8" t="s">
        <v>2350</v>
      </c>
      <c r="H52" s="7" t="s">
        <v>2327</v>
      </c>
      <c r="I52" s="8" t="s">
        <v>2351</v>
      </c>
      <c r="J52" s="7" t="s">
        <v>30</v>
      </c>
      <c r="K52" s="7" t="s">
        <v>2329</v>
      </c>
      <c r="L52" s="7" t="s">
        <v>315</v>
      </c>
      <c r="M52" s="135" t="s">
        <v>2258</v>
      </c>
      <c r="N52" s="7">
        <v>1</v>
      </c>
      <c r="O52" s="7">
        <v>40</v>
      </c>
      <c r="P52" s="7"/>
      <c r="R52" s="9">
        <v>253.85177292957169</v>
      </c>
      <c r="T52" s="7" t="s">
        <v>34</v>
      </c>
      <c r="U52" s="7"/>
    </row>
    <row r="53" spans="1:21" ht="14.1" customHeight="1">
      <c r="A53" s="7">
        <v>68</v>
      </c>
      <c r="B53" s="14" t="s">
        <v>344</v>
      </c>
      <c r="C53" s="14" t="s">
        <v>344</v>
      </c>
      <c r="D53" s="7" t="s">
        <v>804</v>
      </c>
      <c r="E53" s="14" t="s">
        <v>442</v>
      </c>
      <c r="F53" s="7" t="s">
        <v>2286</v>
      </c>
      <c r="G53" s="8" t="s">
        <v>2352</v>
      </c>
      <c r="H53" s="7" t="s">
        <v>2327</v>
      </c>
      <c r="I53" s="8" t="s">
        <v>2353</v>
      </c>
      <c r="J53" s="7" t="s">
        <v>30</v>
      </c>
      <c r="K53" s="7" t="s">
        <v>2329</v>
      </c>
      <c r="L53" s="7" t="s">
        <v>315</v>
      </c>
      <c r="M53" s="135" t="s">
        <v>2258</v>
      </c>
      <c r="N53" s="7">
        <v>1</v>
      </c>
      <c r="O53" s="7">
        <v>40</v>
      </c>
      <c r="P53" s="7"/>
      <c r="R53" s="9">
        <v>290.11631191951051</v>
      </c>
      <c r="T53" s="7" t="s">
        <v>34</v>
      </c>
      <c r="U53" s="7"/>
    </row>
    <row r="54" spans="1:21" s="304" customFormat="1" ht="14.1" customHeight="1">
      <c r="A54" s="300">
        <v>69</v>
      </c>
      <c r="B54" s="301" t="s">
        <v>344</v>
      </c>
      <c r="C54" s="301" t="s">
        <v>344</v>
      </c>
      <c r="D54" s="300" t="s">
        <v>804</v>
      </c>
      <c r="E54" s="301" t="s">
        <v>442</v>
      </c>
      <c r="F54" s="300" t="s">
        <v>2286</v>
      </c>
      <c r="G54" s="302" t="s">
        <v>2354</v>
      </c>
      <c r="H54" s="300" t="s">
        <v>2327</v>
      </c>
      <c r="I54" s="302" t="s">
        <v>2355</v>
      </c>
      <c r="J54" s="300" t="s">
        <v>30</v>
      </c>
      <c r="K54" s="300" t="s">
        <v>2329</v>
      </c>
      <c r="L54" s="300" t="s">
        <v>315</v>
      </c>
      <c r="M54" s="303" t="s">
        <v>2258</v>
      </c>
      <c r="N54" s="300">
        <v>1</v>
      </c>
      <c r="O54" s="300">
        <v>40</v>
      </c>
      <c r="P54" s="300"/>
      <c r="R54" s="337"/>
      <c r="T54" s="300" t="s">
        <v>34</v>
      </c>
      <c r="U54" s="300"/>
    </row>
    <row r="55" spans="1:21" ht="14.1" customHeight="1">
      <c r="A55" s="7">
        <v>94</v>
      </c>
      <c r="B55" s="14" t="s">
        <v>609</v>
      </c>
      <c r="C55" s="14" t="s">
        <v>344</v>
      </c>
      <c r="D55" s="7" t="s">
        <v>611</v>
      </c>
      <c r="E55" s="14" t="s">
        <v>2356</v>
      </c>
      <c r="F55" s="7" t="s">
        <v>26</v>
      </c>
      <c r="G55" s="8" t="s">
        <v>2357</v>
      </c>
      <c r="H55" s="7" t="s">
        <v>518</v>
      </c>
      <c r="I55" s="8" t="s">
        <v>2358</v>
      </c>
      <c r="J55" s="7" t="s">
        <v>30</v>
      </c>
      <c r="K55" s="7" t="s">
        <v>520</v>
      </c>
      <c r="L55" s="7" t="s">
        <v>315</v>
      </c>
      <c r="M55" s="135" t="s">
        <v>2258</v>
      </c>
      <c r="N55" s="7">
        <v>1</v>
      </c>
      <c r="O55" s="7">
        <v>20</v>
      </c>
      <c r="P55" s="7"/>
      <c r="R55" s="9">
        <v>471.43900686920449</v>
      </c>
      <c r="T55" s="7" t="s">
        <v>34</v>
      </c>
      <c r="U55" s="7" t="s">
        <v>34</v>
      </c>
    </row>
    <row r="56" spans="1:21" ht="14.1" customHeight="1">
      <c r="A56" s="7">
        <v>95</v>
      </c>
      <c r="B56" s="14" t="s">
        <v>609</v>
      </c>
      <c r="C56" s="14" t="s">
        <v>344</v>
      </c>
      <c r="D56" s="7" t="s">
        <v>611</v>
      </c>
      <c r="E56" s="14" t="s">
        <v>2356</v>
      </c>
      <c r="F56" s="7" t="s">
        <v>26</v>
      </c>
      <c r="G56" s="8" t="s">
        <v>2357</v>
      </c>
      <c r="H56" s="7" t="s">
        <v>632</v>
      </c>
      <c r="I56" s="8" t="s">
        <v>2359</v>
      </c>
      <c r="J56" s="7" t="s">
        <v>30</v>
      </c>
      <c r="K56" s="7" t="s">
        <v>633</v>
      </c>
      <c r="L56" s="7" t="s">
        <v>315</v>
      </c>
      <c r="M56" s="135" t="s">
        <v>2258</v>
      </c>
      <c r="N56" s="7">
        <v>1</v>
      </c>
      <c r="O56" s="7">
        <v>20</v>
      </c>
      <c r="P56" s="7"/>
      <c r="R56" s="9">
        <v>471.43900686920449</v>
      </c>
      <c r="T56" s="7" t="s">
        <v>34</v>
      </c>
      <c r="U56" s="7" t="s">
        <v>34</v>
      </c>
    </row>
    <row r="57" spans="1:21" ht="14.1" customHeight="1">
      <c r="A57" s="7">
        <v>96</v>
      </c>
      <c r="B57" s="14" t="s">
        <v>609</v>
      </c>
      <c r="C57" s="14" t="s">
        <v>344</v>
      </c>
      <c r="D57" s="7" t="s">
        <v>611</v>
      </c>
      <c r="E57" s="14" t="s">
        <v>2356</v>
      </c>
      <c r="F57" s="7" t="s">
        <v>26</v>
      </c>
      <c r="G57" s="8" t="s">
        <v>2357</v>
      </c>
      <c r="H57" s="7" t="s">
        <v>624</v>
      </c>
      <c r="I57" s="8" t="s">
        <v>2360</v>
      </c>
      <c r="J57" s="7" t="s">
        <v>30</v>
      </c>
      <c r="K57" s="7" t="s">
        <v>536</v>
      </c>
      <c r="L57" s="7" t="s">
        <v>315</v>
      </c>
      <c r="M57" s="135" t="s">
        <v>2258</v>
      </c>
      <c r="N57" s="7">
        <v>1</v>
      </c>
      <c r="O57" s="7">
        <v>20</v>
      </c>
      <c r="P57" s="7"/>
      <c r="R57" s="9">
        <v>471.43900686920449</v>
      </c>
      <c r="T57" s="7" t="s">
        <v>34</v>
      </c>
      <c r="U57" s="7" t="s">
        <v>34</v>
      </c>
    </row>
    <row r="58" spans="1:21" ht="14.1" customHeight="1">
      <c r="A58" s="7">
        <v>97</v>
      </c>
      <c r="B58" s="14" t="s">
        <v>609</v>
      </c>
      <c r="C58" s="14" t="s">
        <v>344</v>
      </c>
      <c r="D58" s="7" t="s">
        <v>611</v>
      </c>
      <c r="E58" s="14" t="s">
        <v>2356</v>
      </c>
      <c r="F58" s="7" t="s">
        <v>26</v>
      </c>
      <c r="G58" s="8" t="s">
        <v>2357</v>
      </c>
      <c r="H58" s="7" t="s">
        <v>459</v>
      </c>
      <c r="I58" s="8" t="s">
        <v>2361</v>
      </c>
      <c r="J58" s="7" t="s">
        <v>30</v>
      </c>
      <c r="K58" s="7" t="s">
        <v>461</v>
      </c>
      <c r="L58" s="7" t="s">
        <v>315</v>
      </c>
      <c r="M58" s="135" t="s">
        <v>2258</v>
      </c>
      <c r="N58" s="7">
        <v>1</v>
      </c>
      <c r="O58" s="7">
        <v>20</v>
      </c>
      <c r="P58" s="7"/>
      <c r="R58" s="9">
        <v>471.43900686920449</v>
      </c>
      <c r="T58" s="7" t="s">
        <v>34</v>
      </c>
      <c r="U58" s="7" t="s">
        <v>34</v>
      </c>
    </row>
    <row r="59" spans="1:21" s="304" customFormat="1" ht="14.1" customHeight="1">
      <c r="A59" s="300">
        <v>98</v>
      </c>
      <c r="B59" s="301" t="s">
        <v>609</v>
      </c>
      <c r="C59" s="301" t="s">
        <v>344</v>
      </c>
      <c r="D59" s="300" t="s">
        <v>611</v>
      </c>
      <c r="E59" s="301" t="s">
        <v>2356</v>
      </c>
      <c r="F59" s="300" t="s">
        <v>26</v>
      </c>
      <c r="G59" s="302" t="s">
        <v>2362</v>
      </c>
      <c r="H59" s="300" t="s">
        <v>2363</v>
      </c>
      <c r="I59" s="302" t="s">
        <v>2364</v>
      </c>
      <c r="J59" s="300" t="s">
        <v>30</v>
      </c>
      <c r="K59" s="300" t="s">
        <v>2365</v>
      </c>
      <c r="L59" s="300" t="s">
        <v>315</v>
      </c>
      <c r="M59" s="303" t="s">
        <v>2258</v>
      </c>
      <c r="N59" s="300">
        <v>1</v>
      </c>
      <c r="O59" s="300">
        <v>20</v>
      </c>
      <c r="P59" s="300"/>
      <c r="R59" s="337"/>
      <c r="T59" s="300"/>
      <c r="U59" s="300" t="s">
        <v>34</v>
      </c>
    </row>
    <row r="60" spans="1:21" ht="14.1" customHeight="1">
      <c r="A60" s="7">
        <v>99</v>
      </c>
      <c r="B60" s="14" t="s">
        <v>609</v>
      </c>
      <c r="C60" s="14" t="s">
        <v>344</v>
      </c>
      <c r="D60" s="7" t="s">
        <v>611</v>
      </c>
      <c r="E60" s="14" t="s">
        <v>2356</v>
      </c>
      <c r="F60" s="7" t="s">
        <v>26</v>
      </c>
      <c r="G60" s="8" t="s">
        <v>2366</v>
      </c>
      <c r="H60" s="7" t="s">
        <v>518</v>
      </c>
      <c r="I60" s="8" t="s">
        <v>2367</v>
      </c>
      <c r="J60" s="7" t="s">
        <v>30</v>
      </c>
      <c r="K60" s="7" t="s">
        <v>520</v>
      </c>
      <c r="L60" s="7" t="s">
        <v>315</v>
      </c>
      <c r="M60" s="135" t="s">
        <v>2258</v>
      </c>
      <c r="N60" s="7">
        <v>1</v>
      </c>
      <c r="O60" s="7">
        <v>20</v>
      </c>
      <c r="P60" s="7"/>
      <c r="R60" s="9">
        <v>519.79172552245632</v>
      </c>
      <c r="T60" s="7" t="s">
        <v>34</v>
      </c>
      <c r="U60" s="7" t="s">
        <v>34</v>
      </c>
    </row>
    <row r="61" spans="1:21" ht="14.1" customHeight="1">
      <c r="A61" s="7">
        <v>100</v>
      </c>
      <c r="B61" s="14" t="s">
        <v>609</v>
      </c>
      <c r="C61" s="14" t="s">
        <v>344</v>
      </c>
      <c r="D61" s="7" t="s">
        <v>611</v>
      </c>
      <c r="E61" s="14" t="s">
        <v>2356</v>
      </c>
      <c r="F61" s="7" t="s">
        <v>26</v>
      </c>
      <c r="G61" s="8" t="s">
        <v>2366</v>
      </c>
      <c r="H61" s="7" t="s">
        <v>632</v>
      </c>
      <c r="I61" s="8" t="s">
        <v>2368</v>
      </c>
      <c r="J61" s="7" t="s">
        <v>30</v>
      </c>
      <c r="K61" s="7" t="s">
        <v>633</v>
      </c>
      <c r="L61" s="7" t="s">
        <v>315</v>
      </c>
      <c r="M61" s="135" t="s">
        <v>2258</v>
      </c>
      <c r="N61" s="7">
        <v>1</v>
      </c>
      <c r="O61" s="7">
        <v>20</v>
      </c>
      <c r="P61" s="7"/>
      <c r="R61" s="9">
        <v>519.79172552245632</v>
      </c>
      <c r="T61" s="7" t="s">
        <v>34</v>
      </c>
      <c r="U61" s="7" t="s">
        <v>34</v>
      </c>
    </row>
    <row r="62" spans="1:21" ht="14.1" customHeight="1">
      <c r="A62" s="7">
        <v>101</v>
      </c>
      <c r="B62" s="14" t="s">
        <v>609</v>
      </c>
      <c r="C62" s="14" t="s">
        <v>344</v>
      </c>
      <c r="D62" s="7" t="s">
        <v>611</v>
      </c>
      <c r="E62" s="14" t="s">
        <v>2356</v>
      </c>
      <c r="F62" s="7" t="s">
        <v>26</v>
      </c>
      <c r="G62" s="8" t="s">
        <v>2366</v>
      </c>
      <c r="H62" s="7" t="s">
        <v>624</v>
      </c>
      <c r="I62" s="8" t="s">
        <v>2369</v>
      </c>
      <c r="J62" s="7" t="s">
        <v>30</v>
      </c>
      <c r="K62" s="7" t="s">
        <v>536</v>
      </c>
      <c r="L62" s="7" t="s">
        <v>315</v>
      </c>
      <c r="M62" s="135" t="s">
        <v>2258</v>
      </c>
      <c r="N62" s="7">
        <v>1</v>
      </c>
      <c r="O62" s="7">
        <v>20</v>
      </c>
      <c r="P62" s="7"/>
      <c r="R62" s="9">
        <v>519.79172552245632</v>
      </c>
      <c r="T62" s="7" t="s">
        <v>34</v>
      </c>
      <c r="U62" s="7" t="s">
        <v>34</v>
      </c>
    </row>
    <row r="63" spans="1:21" ht="14.1" customHeight="1">
      <c r="A63" s="7">
        <v>102</v>
      </c>
      <c r="B63" s="14" t="s">
        <v>609</v>
      </c>
      <c r="C63" s="14" t="s">
        <v>344</v>
      </c>
      <c r="D63" s="7" t="s">
        <v>611</v>
      </c>
      <c r="E63" s="14" t="s">
        <v>2356</v>
      </c>
      <c r="F63" s="7" t="s">
        <v>26</v>
      </c>
      <c r="G63" s="8" t="s">
        <v>2366</v>
      </c>
      <c r="H63" s="7" t="s">
        <v>459</v>
      </c>
      <c r="I63" s="8" t="s">
        <v>2370</v>
      </c>
      <c r="J63" s="7" t="s">
        <v>30</v>
      </c>
      <c r="K63" s="7" t="s">
        <v>461</v>
      </c>
      <c r="L63" s="7" t="s">
        <v>315</v>
      </c>
      <c r="M63" s="135" t="s">
        <v>2258</v>
      </c>
      <c r="N63" s="7">
        <v>1</v>
      </c>
      <c r="O63" s="7">
        <v>20</v>
      </c>
      <c r="P63" s="7"/>
      <c r="R63" s="9">
        <v>519.79172552245632</v>
      </c>
      <c r="T63" s="7" t="s">
        <v>34</v>
      </c>
      <c r="U63" s="7" t="s">
        <v>34</v>
      </c>
    </row>
    <row r="64" spans="1:21" s="304" customFormat="1" ht="14.1" customHeight="1">
      <c r="A64" s="300">
        <v>103</v>
      </c>
      <c r="B64" s="301" t="s">
        <v>609</v>
      </c>
      <c r="C64" s="301" t="s">
        <v>344</v>
      </c>
      <c r="D64" s="300" t="s">
        <v>611</v>
      </c>
      <c r="E64" s="301" t="s">
        <v>2356</v>
      </c>
      <c r="F64" s="300" t="s">
        <v>26</v>
      </c>
      <c r="G64" s="302" t="s">
        <v>2366</v>
      </c>
      <c r="H64" s="300" t="s">
        <v>2363</v>
      </c>
      <c r="I64" s="302" t="s">
        <v>2371</v>
      </c>
      <c r="J64" s="300" t="s">
        <v>30</v>
      </c>
      <c r="K64" s="300" t="s">
        <v>2365</v>
      </c>
      <c r="L64" s="300" t="s">
        <v>315</v>
      </c>
      <c r="M64" s="303" t="s">
        <v>2258</v>
      </c>
      <c r="N64" s="300">
        <v>1</v>
      </c>
      <c r="O64" s="300">
        <v>20</v>
      </c>
      <c r="P64" s="300"/>
      <c r="R64" s="337"/>
      <c r="T64" s="300" t="s">
        <v>34</v>
      </c>
      <c r="U64" s="300" t="s">
        <v>34</v>
      </c>
    </row>
    <row r="65" spans="1:21" ht="14.1" customHeight="1">
      <c r="A65" s="7">
        <v>104</v>
      </c>
      <c r="B65" s="14" t="s">
        <v>609</v>
      </c>
      <c r="C65" s="14" t="s">
        <v>344</v>
      </c>
      <c r="D65" s="7" t="s">
        <v>611</v>
      </c>
      <c r="E65" s="14" t="s">
        <v>2356</v>
      </c>
      <c r="F65" s="7" t="s">
        <v>26</v>
      </c>
      <c r="G65" s="8" t="s">
        <v>2372</v>
      </c>
      <c r="H65" s="7" t="s">
        <v>518</v>
      </c>
      <c r="I65" s="8" t="s">
        <v>2373</v>
      </c>
      <c r="J65" s="7" t="s">
        <v>30</v>
      </c>
      <c r="K65" s="7" t="s">
        <v>520</v>
      </c>
      <c r="L65" s="7" t="s">
        <v>315</v>
      </c>
      <c r="M65" s="135" t="s">
        <v>2258</v>
      </c>
      <c r="N65" s="7">
        <v>1</v>
      </c>
      <c r="O65" s="7">
        <v>20</v>
      </c>
      <c r="P65" s="7"/>
      <c r="R65" s="9">
        <v>519.79172552245632</v>
      </c>
      <c r="T65" s="7" t="s">
        <v>34</v>
      </c>
      <c r="U65" s="7" t="s">
        <v>34</v>
      </c>
    </row>
    <row r="66" spans="1:21" ht="14.1" customHeight="1">
      <c r="A66" s="7">
        <v>105</v>
      </c>
      <c r="B66" s="14" t="s">
        <v>609</v>
      </c>
      <c r="C66" s="14" t="s">
        <v>344</v>
      </c>
      <c r="D66" s="7" t="s">
        <v>611</v>
      </c>
      <c r="E66" s="14" t="s">
        <v>2356</v>
      </c>
      <c r="F66" s="7" t="s">
        <v>26</v>
      </c>
      <c r="G66" s="8" t="s">
        <v>2372</v>
      </c>
      <c r="H66" s="7" t="s">
        <v>632</v>
      </c>
      <c r="I66" s="8" t="s">
        <v>2374</v>
      </c>
      <c r="J66" s="7" t="s">
        <v>30</v>
      </c>
      <c r="K66" s="7" t="s">
        <v>633</v>
      </c>
      <c r="L66" s="7" t="s">
        <v>315</v>
      </c>
      <c r="M66" s="135" t="s">
        <v>2258</v>
      </c>
      <c r="N66" s="7">
        <v>1</v>
      </c>
      <c r="O66" s="7">
        <v>20</v>
      </c>
      <c r="P66" s="7"/>
      <c r="R66" s="9">
        <v>519.79172552245632</v>
      </c>
      <c r="T66" s="7" t="s">
        <v>34</v>
      </c>
      <c r="U66" s="7" t="s">
        <v>34</v>
      </c>
    </row>
    <row r="67" spans="1:21" ht="14.1" customHeight="1">
      <c r="A67" s="7">
        <v>106</v>
      </c>
      <c r="B67" s="14" t="s">
        <v>609</v>
      </c>
      <c r="C67" s="14" t="s">
        <v>344</v>
      </c>
      <c r="D67" s="7" t="s">
        <v>611</v>
      </c>
      <c r="E67" s="14" t="s">
        <v>2356</v>
      </c>
      <c r="F67" s="7" t="s">
        <v>26</v>
      </c>
      <c r="G67" s="8" t="s">
        <v>2372</v>
      </c>
      <c r="H67" s="7" t="s">
        <v>459</v>
      </c>
      <c r="I67" s="8" t="s">
        <v>2375</v>
      </c>
      <c r="J67" s="7" t="s">
        <v>30</v>
      </c>
      <c r="K67" s="7" t="s">
        <v>461</v>
      </c>
      <c r="L67" s="7" t="s">
        <v>315</v>
      </c>
      <c r="M67" s="135" t="s">
        <v>2258</v>
      </c>
      <c r="N67" s="7">
        <v>1</v>
      </c>
      <c r="O67" s="7">
        <v>20</v>
      </c>
      <c r="P67" s="7"/>
      <c r="R67" s="9">
        <v>519.79172552245632</v>
      </c>
      <c r="T67" s="7" t="s">
        <v>34</v>
      </c>
      <c r="U67" s="7" t="s">
        <v>34</v>
      </c>
    </row>
    <row r="68" spans="1:21" s="304" customFormat="1" ht="14.1" customHeight="1">
      <c r="A68" s="300">
        <v>107</v>
      </c>
      <c r="B68" s="301" t="s">
        <v>609</v>
      </c>
      <c r="C68" s="301" t="s">
        <v>344</v>
      </c>
      <c r="D68" s="300" t="s">
        <v>611</v>
      </c>
      <c r="E68" s="301" t="s">
        <v>2356</v>
      </c>
      <c r="F68" s="300" t="s">
        <v>26</v>
      </c>
      <c r="G68" s="302" t="s">
        <v>2372</v>
      </c>
      <c r="H68" s="300" t="s">
        <v>2363</v>
      </c>
      <c r="I68" s="302" t="s">
        <v>2376</v>
      </c>
      <c r="J68" s="300" t="s">
        <v>30</v>
      </c>
      <c r="K68" s="300" t="s">
        <v>2365</v>
      </c>
      <c r="L68" s="300" t="s">
        <v>315</v>
      </c>
      <c r="M68" s="303" t="s">
        <v>2258</v>
      </c>
      <c r="N68" s="300">
        <v>1</v>
      </c>
      <c r="O68" s="300">
        <v>20</v>
      </c>
      <c r="P68" s="300"/>
      <c r="R68" s="337"/>
      <c r="T68" s="300" t="s">
        <v>34</v>
      </c>
      <c r="U68" s="300" t="s">
        <v>34</v>
      </c>
    </row>
    <row r="69" spans="1:21" ht="14.1" customHeight="1">
      <c r="A69" s="7">
        <v>108</v>
      </c>
      <c r="B69" s="14" t="s">
        <v>609</v>
      </c>
      <c r="C69" s="14" t="s">
        <v>344</v>
      </c>
      <c r="D69" s="7" t="s">
        <v>611</v>
      </c>
      <c r="E69" s="14" t="s">
        <v>2377</v>
      </c>
      <c r="F69" s="7" t="s">
        <v>26</v>
      </c>
      <c r="G69" s="8" t="s">
        <v>2378</v>
      </c>
      <c r="H69" s="7" t="s">
        <v>518</v>
      </c>
      <c r="I69" s="8" t="s">
        <v>2379</v>
      </c>
      <c r="J69" s="7" t="s">
        <v>30</v>
      </c>
      <c r="K69" s="7" t="s">
        <v>520</v>
      </c>
      <c r="L69" s="7" t="s">
        <v>315</v>
      </c>
      <c r="M69" s="135" t="s">
        <v>2258</v>
      </c>
      <c r="N69" s="7">
        <v>1</v>
      </c>
      <c r="O69" s="7">
        <v>20</v>
      </c>
      <c r="P69" s="7" t="s">
        <v>286</v>
      </c>
      <c r="R69" s="9">
        <v>3481.3957430341261</v>
      </c>
      <c r="T69" s="7" t="s">
        <v>34</v>
      </c>
      <c r="U69" s="7" t="s">
        <v>34</v>
      </c>
    </row>
    <row r="70" spans="1:21" ht="14.1" customHeight="1">
      <c r="A70" s="7">
        <v>109</v>
      </c>
      <c r="B70" s="14" t="s">
        <v>609</v>
      </c>
      <c r="C70" s="14" t="s">
        <v>344</v>
      </c>
      <c r="D70" s="7" t="s">
        <v>611</v>
      </c>
      <c r="E70" s="14" t="s">
        <v>2377</v>
      </c>
      <c r="F70" s="7" t="s">
        <v>26</v>
      </c>
      <c r="G70" s="8" t="s">
        <v>2378</v>
      </c>
      <c r="H70" s="7" t="s">
        <v>459</v>
      </c>
      <c r="I70" s="8" t="s">
        <v>2380</v>
      </c>
      <c r="J70" s="7" t="s">
        <v>30</v>
      </c>
      <c r="K70" s="7" t="s">
        <v>461</v>
      </c>
      <c r="L70" s="7" t="s">
        <v>315</v>
      </c>
      <c r="M70" s="135" t="s">
        <v>2258</v>
      </c>
      <c r="N70" s="7">
        <v>1</v>
      </c>
      <c r="O70" s="7">
        <v>20</v>
      </c>
      <c r="P70" s="7" t="s">
        <v>286</v>
      </c>
      <c r="R70" s="9">
        <v>3481.3957430341261</v>
      </c>
      <c r="T70" s="7" t="s">
        <v>34</v>
      </c>
      <c r="U70" s="7" t="s">
        <v>34</v>
      </c>
    </row>
    <row r="71" spans="1:21" ht="14.1" customHeight="1">
      <c r="A71" s="7">
        <v>110</v>
      </c>
      <c r="B71" s="14" t="s">
        <v>609</v>
      </c>
      <c r="C71" s="14" t="s">
        <v>344</v>
      </c>
      <c r="D71" s="7" t="s">
        <v>611</v>
      </c>
      <c r="E71" s="14" t="s">
        <v>2377</v>
      </c>
      <c r="F71" s="7" t="s">
        <v>26</v>
      </c>
      <c r="G71" s="8" t="s">
        <v>2378</v>
      </c>
      <c r="H71" s="7" t="s">
        <v>632</v>
      </c>
      <c r="I71" s="8" t="s">
        <v>2381</v>
      </c>
      <c r="J71" s="7" t="s">
        <v>30</v>
      </c>
      <c r="K71" s="7" t="s">
        <v>633</v>
      </c>
      <c r="L71" s="7" t="s">
        <v>315</v>
      </c>
      <c r="M71" s="135" t="s">
        <v>2258</v>
      </c>
      <c r="N71" s="7">
        <v>1</v>
      </c>
      <c r="O71" s="7">
        <v>20</v>
      </c>
      <c r="P71" s="7" t="s">
        <v>286</v>
      </c>
      <c r="R71" s="9">
        <v>3481.3957430341261</v>
      </c>
      <c r="T71" s="7" t="s">
        <v>34</v>
      </c>
      <c r="U71" s="7" t="s">
        <v>34</v>
      </c>
    </row>
    <row r="72" spans="1:21" ht="14.1" customHeight="1">
      <c r="A72" s="7">
        <v>111</v>
      </c>
      <c r="B72" s="14" t="s">
        <v>609</v>
      </c>
      <c r="C72" s="14" t="s">
        <v>344</v>
      </c>
      <c r="D72" s="7" t="s">
        <v>611</v>
      </c>
      <c r="E72" s="14" t="s">
        <v>2377</v>
      </c>
      <c r="F72" s="7" t="s">
        <v>26</v>
      </c>
      <c r="G72" s="8" t="s">
        <v>2382</v>
      </c>
      <c r="H72" s="7" t="s">
        <v>518</v>
      </c>
      <c r="I72" s="8" t="s">
        <v>2383</v>
      </c>
      <c r="J72" s="7" t="s">
        <v>30</v>
      </c>
      <c r="K72" s="7" t="s">
        <v>520</v>
      </c>
      <c r="L72" s="7" t="s">
        <v>315</v>
      </c>
      <c r="M72" s="135" t="s">
        <v>2258</v>
      </c>
      <c r="N72" s="7">
        <v>1</v>
      </c>
      <c r="O72" s="7">
        <v>20</v>
      </c>
      <c r="P72" s="7" t="s">
        <v>286</v>
      </c>
      <c r="R72" s="9">
        <v>2574.7822682856558</v>
      </c>
      <c r="T72" s="7" t="s">
        <v>34</v>
      </c>
      <c r="U72" s="7" t="s">
        <v>34</v>
      </c>
    </row>
    <row r="73" spans="1:21" ht="14.1" customHeight="1">
      <c r="A73" s="7">
        <v>112</v>
      </c>
      <c r="B73" s="14" t="s">
        <v>609</v>
      </c>
      <c r="C73" s="14" t="s">
        <v>344</v>
      </c>
      <c r="D73" s="7" t="s">
        <v>611</v>
      </c>
      <c r="E73" s="14" t="s">
        <v>2377</v>
      </c>
      <c r="F73" s="7" t="s">
        <v>26</v>
      </c>
      <c r="G73" s="8" t="s">
        <v>2382</v>
      </c>
      <c r="H73" s="7" t="s">
        <v>459</v>
      </c>
      <c r="I73" s="8" t="s">
        <v>2384</v>
      </c>
      <c r="J73" s="7" t="s">
        <v>30</v>
      </c>
      <c r="K73" s="7" t="s">
        <v>461</v>
      </c>
      <c r="L73" s="7" t="s">
        <v>315</v>
      </c>
      <c r="M73" s="135" t="s">
        <v>2258</v>
      </c>
      <c r="N73" s="7">
        <v>1</v>
      </c>
      <c r="O73" s="7">
        <v>20</v>
      </c>
      <c r="P73" s="7" t="s">
        <v>286</v>
      </c>
      <c r="R73" s="9">
        <v>2574.7822682856558</v>
      </c>
      <c r="T73" s="7" t="s">
        <v>34</v>
      </c>
      <c r="U73" s="7" t="s">
        <v>34</v>
      </c>
    </row>
    <row r="74" spans="1:21" ht="14.1" customHeight="1">
      <c r="A74" s="7">
        <v>113</v>
      </c>
      <c r="B74" s="14" t="s">
        <v>609</v>
      </c>
      <c r="C74" s="14" t="s">
        <v>344</v>
      </c>
      <c r="D74" s="7" t="s">
        <v>611</v>
      </c>
      <c r="E74" s="14" t="s">
        <v>2377</v>
      </c>
      <c r="F74" s="7" t="s">
        <v>26</v>
      </c>
      <c r="G74" s="8" t="s">
        <v>2382</v>
      </c>
      <c r="H74" s="7" t="s">
        <v>632</v>
      </c>
      <c r="I74" s="8" t="s">
        <v>2385</v>
      </c>
      <c r="J74" s="7" t="s">
        <v>30</v>
      </c>
      <c r="K74" s="7" t="s">
        <v>633</v>
      </c>
      <c r="L74" s="7" t="s">
        <v>315</v>
      </c>
      <c r="M74" s="135" t="s">
        <v>2258</v>
      </c>
      <c r="N74" s="7">
        <v>1</v>
      </c>
      <c r="O74" s="7">
        <v>20</v>
      </c>
      <c r="P74" s="7" t="s">
        <v>286</v>
      </c>
      <c r="R74" s="9">
        <v>2574.7822682856558</v>
      </c>
      <c r="T74" s="7" t="s">
        <v>34</v>
      </c>
      <c r="U74" s="7" t="s">
        <v>34</v>
      </c>
    </row>
    <row r="75" spans="1:21" ht="14.1" customHeight="1">
      <c r="A75" s="7">
        <v>114</v>
      </c>
      <c r="B75" s="14" t="s">
        <v>609</v>
      </c>
      <c r="C75" s="14" t="s">
        <v>344</v>
      </c>
      <c r="D75" s="7" t="s">
        <v>611</v>
      </c>
      <c r="E75" s="14" t="s">
        <v>2377</v>
      </c>
      <c r="F75" s="7" t="s">
        <v>26</v>
      </c>
      <c r="G75" s="8" t="s">
        <v>2386</v>
      </c>
      <c r="H75" s="7" t="s">
        <v>518</v>
      </c>
      <c r="I75" s="8" t="s">
        <v>2387</v>
      </c>
      <c r="J75" s="7" t="s">
        <v>30</v>
      </c>
      <c r="K75" s="7" t="s">
        <v>520</v>
      </c>
      <c r="L75" s="7" t="s">
        <v>315</v>
      </c>
      <c r="M75" s="135" t="s">
        <v>2258</v>
      </c>
      <c r="N75" s="7">
        <v>1</v>
      </c>
      <c r="O75" s="7">
        <v>20</v>
      </c>
      <c r="P75" s="7" t="s">
        <v>286</v>
      </c>
      <c r="R75" s="9">
        <v>2018.7260037732599</v>
      </c>
      <c r="T75" s="7" t="s">
        <v>34</v>
      </c>
      <c r="U75" s="7" t="s">
        <v>34</v>
      </c>
    </row>
    <row r="76" spans="1:21" ht="14.1" customHeight="1">
      <c r="A76" s="7">
        <v>115</v>
      </c>
      <c r="B76" s="14" t="s">
        <v>609</v>
      </c>
      <c r="C76" s="14" t="s">
        <v>344</v>
      </c>
      <c r="D76" s="7" t="s">
        <v>611</v>
      </c>
      <c r="E76" s="14" t="s">
        <v>2377</v>
      </c>
      <c r="F76" s="7" t="s">
        <v>26</v>
      </c>
      <c r="G76" s="8" t="s">
        <v>2386</v>
      </c>
      <c r="H76" s="7" t="s">
        <v>459</v>
      </c>
      <c r="I76" s="8" t="s">
        <v>2388</v>
      </c>
      <c r="J76" s="7" t="s">
        <v>30</v>
      </c>
      <c r="K76" s="7" t="s">
        <v>461</v>
      </c>
      <c r="L76" s="7" t="s">
        <v>315</v>
      </c>
      <c r="M76" s="135" t="s">
        <v>2258</v>
      </c>
      <c r="N76" s="7">
        <v>1</v>
      </c>
      <c r="O76" s="7">
        <v>20</v>
      </c>
      <c r="P76" s="7" t="s">
        <v>286</v>
      </c>
      <c r="R76" s="9">
        <v>2018.7260037732599</v>
      </c>
      <c r="T76" s="7" t="s">
        <v>34</v>
      </c>
      <c r="U76" s="7" t="s">
        <v>34</v>
      </c>
    </row>
    <row r="77" spans="1:21" ht="14.1" customHeight="1">
      <c r="A77" s="7">
        <v>116</v>
      </c>
      <c r="B77" s="14" t="s">
        <v>609</v>
      </c>
      <c r="C77" s="14" t="s">
        <v>344</v>
      </c>
      <c r="D77" s="7" t="s">
        <v>611</v>
      </c>
      <c r="E77" s="14" t="s">
        <v>2377</v>
      </c>
      <c r="F77" s="7" t="s">
        <v>26</v>
      </c>
      <c r="G77" s="8" t="s">
        <v>2386</v>
      </c>
      <c r="H77" s="7" t="s">
        <v>632</v>
      </c>
      <c r="I77" s="8" t="s">
        <v>2389</v>
      </c>
      <c r="J77" s="7" t="s">
        <v>30</v>
      </c>
      <c r="K77" s="7" t="s">
        <v>633</v>
      </c>
      <c r="L77" s="7" t="s">
        <v>315</v>
      </c>
      <c r="M77" s="135" t="s">
        <v>2258</v>
      </c>
      <c r="N77" s="7">
        <v>1</v>
      </c>
      <c r="O77" s="7">
        <v>20</v>
      </c>
      <c r="P77" s="7" t="s">
        <v>286</v>
      </c>
      <c r="R77" s="9">
        <v>2018.7260037732599</v>
      </c>
      <c r="T77" s="7" t="s">
        <v>34</v>
      </c>
      <c r="U77" s="7" t="s">
        <v>34</v>
      </c>
    </row>
    <row r="78" spans="1:21" s="304" customFormat="1" ht="14.1" customHeight="1">
      <c r="A78" s="300">
        <v>117</v>
      </c>
      <c r="B78" s="301" t="s">
        <v>609</v>
      </c>
      <c r="C78" s="301" t="s">
        <v>344</v>
      </c>
      <c r="D78" s="300" t="s">
        <v>611</v>
      </c>
      <c r="E78" s="301" t="s">
        <v>2377</v>
      </c>
      <c r="F78" s="300" t="s">
        <v>26</v>
      </c>
      <c r="G78" s="302" t="s">
        <v>2390</v>
      </c>
      <c r="H78" s="300" t="s">
        <v>518</v>
      </c>
      <c r="I78" s="302" t="s">
        <v>2391</v>
      </c>
      <c r="J78" s="300" t="s">
        <v>30</v>
      </c>
      <c r="K78" s="300" t="s">
        <v>520</v>
      </c>
      <c r="L78" s="300" t="s">
        <v>315</v>
      </c>
      <c r="M78" s="303" t="s">
        <v>2258</v>
      </c>
      <c r="N78" s="300">
        <v>1</v>
      </c>
      <c r="O78" s="300">
        <v>20</v>
      </c>
      <c r="P78" s="300"/>
      <c r="R78" s="337"/>
      <c r="T78" s="300" t="s">
        <v>34</v>
      </c>
      <c r="U78" s="300" t="s">
        <v>34</v>
      </c>
    </row>
    <row r="79" spans="1:21" s="304" customFormat="1" ht="14.1" customHeight="1">
      <c r="A79" s="300">
        <v>118</v>
      </c>
      <c r="B79" s="301" t="s">
        <v>609</v>
      </c>
      <c r="C79" s="301" t="s">
        <v>344</v>
      </c>
      <c r="D79" s="300" t="s">
        <v>611</v>
      </c>
      <c r="E79" s="301" t="s">
        <v>2377</v>
      </c>
      <c r="F79" s="300" t="s">
        <v>26</v>
      </c>
      <c r="G79" s="302" t="s">
        <v>2390</v>
      </c>
      <c r="H79" s="300" t="s">
        <v>459</v>
      </c>
      <c r="I79" s="302" t="s">
        <v>2392</v>
      </c>
      <c r="J79" s="300" t="s">
        <v>30</v>
      </c>
      <c r="K79" s="300" t="s">
        <v>461</v>
      </c>
      <c r="L79" s="300" t="s">
        <v>315</v>
      </c>
      <c r="M79" s="303" t="s">
        <v>2258</v>
      </c>
      <c r="N79" s="300">
        <v>1</v>
      </c>
      <c r="O79" s="300">
        <v>20</v>
      </c>
      <c r="P79" s="300"/>
      <c r="R79" s="337"/>
      <c r="T79" s="300" t="s">
        <v>34</v>
      </c>
      <c r="U79" s="300" t="s">
        <v>34</v>
      </c>
    </row>
    <row r="80" spans="1:21" s="304" customFormat="1" ht="14.1" customHeight="1">
      <c r="A80" s="300">
        <v>119</v>
      </c>
      <c r="B80" s="301" t="s">
        <v>609</v>
      </c>
      <c r="C80" s="301" t="s">
        <v>344</v>
      </c>
      <c r="D80" s="300" t="s">
        <v>611</v>
      </c>
      <c r="E80" s="301" t="s">
        <v>2377</v>
      </c>
      <c r="F80" s="300" t="s">
        <v>26</v>
      </c>
      <c r="G80" s="302" t="s">
        <v>2390</v>
      </c>
      <c r="H80" s="300" t="s">
        <v>632</v>
      </c>
      <c r="I80" s="302" t="s">
        <v>2393</v>
      </c>
      <c r="J80" s="300" t="s">
        <v>30</v>
      </c>
      <c r="K80" s="300" t="s">
        <v>633</v>
      </c>
      <c r="L80" s="300" t="s">
        <v>315</v>
      </c>
      <c r="M80" s="303" t="s">
        <v>2258</v>
      </c>
      <c r="N80" s="300">
        <v>1</v>
      </c>
      <c r="O80" s="300">
        <v>20</v>
      </c>
      <c r="P80" s="300"/>
      <c r="R80" s="337"/>
      <c r="T80" s="300" t="s">
        <v>34</v>
      </c>
      <c r="U80" s="300" t="s">
        <v>34</v>
      </c>
    </row>
    <row r="81" spans="1:21" s="304" customFormat="1" ht="14.1" customHeight="1">
      <c r="A81" s="300">
        <v>120</v>
      </c>
      <c r="B81" s="301" t="s">
        <v>609</v>
      </c>
      <c r="C81" s="301" t="s">
        <v>344</v>
      </c>
      <c r="D81" s="300" t="s">
        <v>611</v>
      </c>
      <c r="E81" s="301" t="s">
        <v>2377</v>
      </c>
      <c r="F81" s="300" t="s">
        <v>26</v>
      </c>
      <c r="G81" s="302" t="s">
        <v>2394</v>
      </c>
      <c r="H81" s="300" t="s">
        <v>518</v>
      </c>
      <c r="I81" s="302" t="s">
        <v>2395</v>
      </c>
      <c r="J81" s="300" t="s">
        <v>30</v>
      </c>
      <c r="K81" s="300" t="s">
        <v>520</v>
      </c>
      <c r="L81" s="300" t="s">
        <v>315</v>
      </c>
      <c r="M81" s="303" t="s">
        <v>2258</v>
      </c>
      <c r="N81" s="300">
        <v>1</v>
      </c>
      <c r="O81" s="300">
        <v>20</v>
      </c>
      <c r="P81" s="300"/>
      <c r="R81" s="337"/>
      <c r="T81" s="300" t="s">
        <v>34</v>
      </c>
      <c r="U81" s="300" t="s">
        <v>34</v>
      </c>
    </row>
    <row r="82" spans="1:21" s="304" customFormat="1" ht="14.1" customHeight="1">
      <c r="A82" s="300">
        <v>121</v>
      </c>
      <c r="B82" s="301" t="s">
        <v>609</v>
      </c>
      <c r="C82" s="301" t="s">
        <v>344</v>
      </c>
      <c r="D82" s="300" t="s">
        <v>611</v>
      </c>
      <c r="E82" s="301" t="s">
        <v>2377</v>
      </c>
      <c r="F82" s="300" t="s">
        <v>26</v>
      </c>
      <c r="G82" s="302" t="s">
        <v>2394</v>
      </c>
      <c r="H82" s="300" t="s">
        <v>459</v>
      </c>
      <c r="I82" s="302" t="s">
        <v>2396</v>
      </c>
      <c r="J82" s="300" t="s">
        <v>30</v>
      </c>
      <c r="K82" s="300" t="s">
        <v>461</v>
      </c>
      <c r="L82" s="300" t="s">
        <v>315</v>
      </c>
      <c r="M82" s="303" t="s">
        <v>2258</v>
      </c>
      <c r="N82" s="300">
        <v>1</v>
      </c>
      <c r="O82" s="300">
        <v>20</v>
      </c>
      <c r="P82" s="300"/>
      <c r="R82" s="337"/>
      <c r="T82" s="300" t="s">
        <v>34</v>
      </c>
      <c r="U82" s="300" t="s">
        <v>34</v>
      </c>
    </row>
    <row r="83" spans="1:21" s="304" customFormat="1" ht="14.1" customHeight="1">
      <c r="A83" s="300">
        <v>122</v>
      </c>
      <c r="B83" s="301" t="s">
        <v>609</v>
      </c>
      <c r="C83" s="301" t="s">
        <v>344</v>
      </c>
      <c r="D83" s="300" t="s">
        <v>611</v>
      </c>
      <c r="E83" s="301" t="s">
        <v>2377</v>
      </c>
      <c r="F83" s="300" t="s">
        <v>26</v>
      </c>
      <c r="G83" s="302" t="s">
        <v>2394</v>
      </c>
      <c r="H83" s="300" t="s">
        <v>632</v>
      </c>
      <c r="I83" s="302" t="s">
        <v>2397</v>
      </c>
      <c r="J83" s="300" t="s">
        <v>30</v>
      </c>
      <c r="K83" s="300" t="s">
        <v>633</v>
      </c>
      <c r="L83" s="300" t="s">
        <v>315</v>
      </c>
      <c r="M83" s="303" t="s">
        <v>2258</v>
      </c>
      <c r="N83" s="300">
        <v>1</v>
      </c>
      <c r="O83" s="300">
        <v>20</v>
      </c>
      <c r="P83" s="300"/>
      <c r="R83" s="337"/>
      <c r="T83" s="300" t="s">
        <v>34</v>
      </c>
      <c r="U83" s="300" t="s">
        <v>34</v>
      </c>
    </row>
    <row r="84" spans="1:21" s="304" customFormat="1" ht="14.1" customHeight="1">
      <c r="A84" s="300">
        <v>123</v>
      </c>
      <c r="B84" s="301" t="s">
        <v>609</v>
      </c>
      <c r="C84" s="301" t="s">
        <v>344</v>
      </c>
      <c r="D84" s="300" t="s">
        <v>611</v>
      </c>
      <c r="E84" s="301" t="s">
        <v>2377</v>
      </c>
      <c r="F84" s="300" t="s">
        <v>26</v>
      </c>
      <c r="G84" s="302" t="s">
        <v>2398</v>
      </c>
      <c r="H84" s="300" t="s">
        <v>518</v>
      </c>
      <c r="I84" s="302" t="s">
        <v>2399</v>
      </c>
      <c r="J84" s="300" t="s">
        <v>30</v>
      </c>
      <c r="K84" s="300" t="s">
        <v>520</v>
      </c>
      <c r="L84" s="300" t="s">
        <v>315</v>
      </c>
      <c r="M84" s="303" t="s">
        <v>2258</v>
      </c>
      <c r="N84" s="300">
        <v>1</v>
      </c>
      <c r="O84" s="300">
        <v>20</v>
      </c>
      <c r="P84" s="300"/>
      <c r="R84" s="337"/>
      <c r="T84" s="300" t="s">
        <v>34</v>
      </c>
      <c r="U84" s="300" t="s">
        <v>34</v>
      </c>
    </row>
    <row r="85" spans="1:21" s="304" customFormat="1" ht="14.1" customHeight="1">
      <c r="A85" s="300">
        <v>124</v>
      </c>
      <c r="B85" s="301" t="s">
        <v>609</v>
      </c>
      <c r="C85" s="301" t="s">
        <v>344</v>
      </c>
      <c r="D85" s="300" t="s">
        <v>611</v>
      </c>
      <c r="E85" s="301" t="s">
        <v>2377</v>
      </c>
      <c r="F85" s="300" t="s">
        <v>26</v>
      </c>
      <c r="G85" s="302" t="s">
        <v>2398</v>
      </c>
      <c r="H85" s="300" t="s">
        <v>459</v>
      </c>
      <c r="I85" s="302" t="s">
        <v>2400</v>
      </c>
      <c r="J85" s="300" t="s">
        <v>30</v>
      </c>
      <c r="K85" s="300" t="s">
        <v>461</v>
      </c>
      <c r="L85" s="300" t="s">
        <v>315</v>
      </c>
      <c r="M85" s="303" t="s">
        <v>2258</v>
      </c>
      <c r="N85" s="300">
        <v>1</v>
      </c>
      <c r="O85" s="300">
        <v>20</v>
      </c>
      <c r="P85" s="300"/>
      <c r="R85" s="337"/>
      <c r="T85" s="300" t="s">
        <v>34</v>
      </c>
      <c r="U85" s="300" t="s">
        <v>34</v>
      </c>
    </row>
    <row r="86" spans="1:21" s="304" customFormat="1" ht="14.1" customHeight="1">
      <c r="A86" s="300">
        <v>125</v>
      </c>
      <c r="B86" s="301" t="s">
        <v>609</v>
      </c>
      <c r="C86" s="301" t="s">
        <v>344</v>
      </c>
      <c r="D86" s="300" t="s">
        <v>611</v>
      </c>
      <c r="E86" s="301" t="s">
        <v>2377</v>
      </c>
      <c r="F86" s="300" t="s">
        <v>26</v>
      </c>
      <c r="G86" s="302" t="s">
        <v>2398</v>
      </c>
      <c r="H86" s="300" t="s">
        <v>632</v>
      </c>
      <c r="I86" s="302" t="s">
        <v>2401</v>
      </c>
      <c r="J86" s="300" t="s">
        <v>30</v>
      </c>
      <c r="K86" s="300" t="s">
        <v>633</v>
      </c>
      <c r="L86" s="300" t="s">
        <v>315</v>
      </c>
      <c r="M86" s="303" t="s">
        <v>2258</v>
      </c>
      <c r="N86" s="300">
        <v>1</v>
      </c>
      <c r="O86" s="300">
        <v>20</v>
      </c>
      <c r="P86" s="300"/>
      <c r="R86" s="337"/>
      <c r="T86" s="300" t="s">
        <v>34</v>
      </c>
      <c r="U86" s="300" t="s">
        <v>34</v>
      </c>
    </row>
    <row r="87" spans="1:21" ht="14.1" customHeight="1">
      <c r="A87" s="7">
        <v>126</v>
      </c>
      <c r="B87" s="14" t="s">
        <v>609</v>
      </c>
      <c r="C87" s="14" t="s">
        <v>344</v>
      </c>
      <c r="D87" s="7" t="s">
        <v>611</v>
      </c>
      <c r="E87" s="14" t="s">
        <v>2377</v>
      </c>
      <c r="F87" s="7" t="s">
        <v>26</v>
      </c>
      <c r="G87" s="8" t="s">
        <v>2402</v>
      </c>
      <c r="H87" s="7" t="s">
        <v>518</v>
      </c>
      <c r="I87" s="8" t="s">
        <v>2403</v>
      </c>
      <c r="J87" s="7" t="s">
        <v>30</v>
      </c>
      <c r="K87" s="7" t="s">
        <v>520</v>
      </c>
      <c r="L87" s="7" t="s">
        <v>315</v>
      </c>
      <c r="M87" s="135" t="s">
        <v>2258</v>
      </c>
      <c r="N87" s="7">
        <v>1</v>
      </c>
      <c r="O87" s="7">
        <v>20</v>
      </c>
      <c r="P87" s="7"/>
      <c r="R87" s="9">
        <v>350.55721023607521</v>
      </c>
      <c r="T87" s="7" t="s">
        <v>34</v>
      </c>
      <c r="U87" s="7" t="s">
        <v>34</v>
      </c>
    </row>
    <row r="88" spans="1:21" ht="14.1" customHeight="1">
      <c r="A88" s="7">
        <v>127</v>
      </c>
      <c r="B88" s="14" t="s">
        <v>609</v>
      </c>
      <c r="C88" s="14" t="s">
        <v>344</v>
      </c>
      <c r="D88" s="7" t="s">
        <v>611</v>
      </c>
      <c r="E88" s="14" t="s">
        <v>2377</v>
      </c>
      <c r="F88" s="7" t="s">
        <v>26</v>
      </c>
      <c r="G88" s="8" t="s">
        <v>2402</v>
      </c>
      <c r="H88" s="7" t="s">
        <v>459</v>
      </c>
      <c r="I88" s="8" t="s">
        <v>2404</v>
      </c>
      <c r="J88" s="7" t="s">
        <v>30</v>
      </c>
      <c r="K88" s="7" t="s">
        <v>461</v>
      </c>
      <c r="L88" s="7" t="s">
        <v>315</v>
      </c>
      <c r="M88" s="135" t="s">
        <v>2258</v>
      </c>
      <c r="N88" s="7">
        <v>1</v>
      </c>
      <c r="O88" s="7">
        <v>20</v>
      </c>
      <c r="P88" s="7"/>
      <c r="R88" s="9">
        <v>120.8817966331294</v>
      </c>
      <c r="T88" s="7" t="s">
        <v>34</v>
      </c>
      <c r="U88" s="7" t="s">
        <v>34</v>
      </c>
    </row>
    <row r="89" spans="1:21" ht="14.1" customHeight="1">
      <c r="A89" s="7">
        <v>128</v>
      </c>
      <c r="B89" s="14" t="s">
        <v>609</v>
      </c>
      <c r="C89" s="14" t="s">
        <v>344</v>
      </c>
      <c r="D89" s="7" t="s">
        <v>611</v>
      </c>
      <c r="E89" s="14" t="s">
        <v>2377</v>
      </c>
      <c r="F89" s="7" t="s">
        <v>26</v>
      </c>
      <c r="G89" s="8" t="s">
        <v>2402</v>
      </c>
      <c r="H89" s="7" t="s">
        <v>632</v>
      </c>
      <c r="I89" s="8" t="s">
        <v>2405</v>
      </c>
      <c r="J89" s="7" t="s">
        <v>30</v>
      </c>
      <c r="K89" s="7" t="s">
        <v>633</v>
      </c>
      <c r="L89" s="7" t="s">
        <v>315</v>
      </c>
      <c r="M89" s="135" t="s">
        <v>2258</v>
      </c>
      <c r="N89" s="7">
        <v>1</v>
      </c>
      <c r="O89" s="7">
        <v>20</v>
      </c>
      <c r="P89" s="7"/>
      <c r="R89" s="9">
        <v>120.8817966331294</v>
      </c>
      <c r="T89" s="7" t="s">
        <v>34</v>
      </c>
      <c r="U89" s="7" t="s">
        <v>34</v>
      </c>
    </row>
    <row r="90" spans="1:21" ht="14.1" customHeight="1">
      <c r="A90" s="7">
        <v>129</v>
      </c>
      <c r="B90" s="14" t="s">
        <v>609</v>
      </c>
      <c r="C90" s="14" t="s">
        <v>344</v>
      </c>
      <c r="D90" s="7" t="s">
        <v>611</v>
      </c>
      <c r="E90" s="14" t="s">
        <v>2377</v>
      </c>
      <c r="F90" s="7" t="s">
        <v>26</v>
      </c>
      <c r="G90" s="8" t="s">
        <v>2406</v>
      </c>
      <c r="H90" s="7" t="s">
        <v>518</v>
      </c>
      <c r="I90" s="8" t="s">
        <v>2407</v>
      </c>
      <c r="J90" s="7" t="s">
        <v>30</v>
      </c>
      <c r="K90" s="7" t="s">
        <v>520</v>
      </c>
      <c r="L90" s="7" t="s">
        <v>315</v>
      </c>
      <c r="M90" s="135" t="s">
        <v>2258</v>
      </c>
      <c r="N90" s="7">
        <v>1</v>
      </c>
      <c r="O90" s="7">
        <v>20</v>
      </c>
      <c r="P90" s="7"/>
      <c r="R90" s="9">
        <v>120.8817966331294</v>
      </c>
      <c r="T90" s="7" t="s">
        <v>34</v>
      </c>
      <c r="U90" s="7" t="s">
        <v>34</v>
      </c>
    </row>
    <row r="91" spans="1:21" ht="14.1" customHeight="1">
      <c r="A91" s="7">
        <v>130</v>
      </c>
      <c r="B91" s="14" t="s">
        <v>609</v>
      </c>
      <c r="C91" s="14" t="s">
        <v>344</v>
      </c>
      <c r="D91" s="7" t="s">
        <v>611</v>
      </c>
      <c r="E91" s="14" t="s">
        <v>2377</v>
      </c>
      <c r="F91" s="7" t="s">
        <v>26</v>
      </c>
      <c r="G91" s="8" t="s">
        <v>2406</v>
      </c>
      <c r="H91" s="7" t="s">
        <v>459</v>
      </c>
      <c r="I91" s="8" t="s">
        <v>2408</v>
      </c>
      <c r="J91" s="7" t="s">
        <v>30</v>
      </c>
      <c r="K91" s="7" t="s">
        <v>461</v>
      </c>
      <c r="L91" s="7" t="s">
        <v>315</v>
      </c>
      <c r="M91" s="135" t="s">
        <v>2258</v>
      </c>
      <c r="N91" s="7">
        <v>1</v>
      </c>
      <c r="O91" s="7">
        <v>20</v>
      </c>
      <c r="P91" s="7"/>
      <c r="R91" s="9">
        <v>157.14633562306821</v>
      </c>
      <c r="T91" s="7" t="s">
        <v>34</v>
      </c>
      <c r="U91" s="7" t="s">
        <v>34</v>
      </c>
    </row>
    <row r="92" spans="1:21" ht="14.1" customHeight="1">
      <c r="A92" s="7">
        <v>131</v>
      </c>
      <c r="B92" s="14" t="s">
        <v>609</v>
      </c>
      <c r="C92" s="14" t="s">
        <v>344</v>
      </c>
      <c r="D92" s="7" t="s">
        <v>611</v>
      </c>
      <c r="E92" s="14" t="s">
        <v>2377</v>
      </c>
      <c r="F92" s="7" t="s">
        <v>26</v>
      </c>
      <c r="G92" s="8" t="s">
        <v>2406</v>
      </c>
      <c r="H92" s="7" t="s">
        <v>632</v>
      </c>
      <c r="I92" s="8" t="s">
        <v>2409</v>
      </c>
      <c r="J92" s="7" t="s">
        <v>30</v>
      </c>
      <c r="K92" s="7" t="s">
        <v>633</v>
      </c>
      <c r="L92" s="7" t="s">
        <v>315</v>
      </c>
      <c r="M92" s="135" t="s">
        <v>2258</v>
      </c>
      <c r="N92" s="7">
        <v>1</v>
      </c>
      <c r="O92" s="7">
        <v>20</v>
      </c>
      <c r="P92" s="7"/>
      <c r="R92" s="9">
        <v>157.14633562306821</v>
      </c>
      <c r="T92" s="7" t="s">
        <v>34</v>
      </c>
      <c r="U92" s="7" t="s">
        <v>34</v>
      </c>
    </row>
    <row r="93" spans="1:21" ht="14.1" customHeight="1">
      <c r="A93" s="7">
        <v>132</v>
      </c>
      <c r="B93" s="14" t="s">
        <v>609</v>
      </c>
      <c r="C93" s="14" t="s">
        <v>344</v>
      </c>
      <c r="D93" s="7" t="s">
        <v>611</v>
      </c>
      <c r="E93" s="14" t="s">
        <v>2377</v>
      </c>
      <c r="F93" s="7" t="s">
        <v>26</v>
      </c>
      <c r="G93" s="8" t="s">
        <v>2410</v>
      </c>
      <c r="H93" s="7" t="s">
        <v>518</v>
      </c>
      <c r="I93" s="8" t="s">
        <v>2411</v>
      </c>
      <c r="J93" s="7" t="s">
        <v>30</v>
      </c>
      <c r="K93" s="7" t="s">
        <v>520</v>
      </c>
      <c r="L93" s="7" t="s">
        <v>315</v>
      </c>
      <c r="M93" s="135" t="s">
        <v>2258</v>
      </c>
      <c r="N93" s="7">
        <v>1</v>
      </c>
      <c r="O93" s="7">
        <v>20</v>
      </c>
      <c r="P93" s="7"/>
      <c r="R93" s="9">
        <v>193.410874613007</v>
      </c>
      <c r="T93" s="7" t="s">
        <v>34</v>
      </c>
      <c r="U93" s="7" t="s">
        <v>34</v>
      </c>
    </row>
    <row r="94" spans="1:21" ht="14.1" customHeight="1">
      <c r="A94" s="7">
        <v>133</v>
      </c>
      <c r="B94" s="14" t="s">
        <v>609</v>
      </c>
      <c r="C94" s="14" t="s">
        <v>344</v>
      </c>
      <c r="D94" s="7" t="s">
        <v>611</v>
      </c>
      <c r="E94" s="14" t="s">
        <v>2377</v>
      </c>
      <c r="F94" s="7" t="s">
        <v>26</v>
      </c>
      <c r="G94" s="8" t="s">
        <v>2410</v>
      </c>
      <c r="H94" s="7" t="s">
        <v>459</v>
      </c>
      <c r="I94" s="8" t="s">
        <v>2412</v>
      </c>
      <c r="J94" s="7" t="s">
        <v>30</v>
      </c>
      <c r="K94" s="7" t="s">
        <v>461</v>
      </c>
      <c r="L94" s="7" t="s">
        <v>315</v>
      </c>
      <c r="M94" s="135" t="s">
        <v>2258</v>
      </c>
      <c r="N94" s="7">
        <v>1</v>
      </c>
      <c r="O94" s="7">
        <v>20</v>
      </c>
      <c r="P94" s="7"/>
      <c r="R94" s="9">
        <v>193.410874613007</v>
      </c>
      <c r="T94" s="7" t="s">
        <v>34</v>
      </c>
      <c r="U94" s="7" t="s">
        <v>34</v>
      </c>
    </row>
    <row r="95" spans="1:21" ht="14.1" customHeight="1">
      <c r="A95" s="7">
        <v>134</v>
      </c>
      <c r="B95" s="14" t="s">
        <v>609</v>
      </c>
      <c r="C95" s="14" t="s">
        <v>344</v>
      </c>
      <c r="D95" s="7" t="s">
        <v>611</v>
      </c>
      <c r="E95" s="14" t="s">
        <v>2377</v>
      </c>
      <c r="F95" s="7" t="s">
        <v>26</v>
      </c>
      <c r="G95" s="8" t="s">
        <v>2410</v>
      </c>
      <c r="H95" s="7" t="s">
        <v>632</v>
      </c>
      <c r="I95" s="8" t="s">
        <v>2413</v>
      </c>
      <c r="J95" s="7" t="s">
        <v>30</v>
      </c>
      <c r="K95" s="7" t="s">
        <v>633</v>
      </c>
      <c r="L95" s="7" t="s">
        <v>315</v>
      </c>
      <c r="M95" s="135" t="s">
        <v>2258</v>
      </c>
      <c r="N95" s="7">
        <v>1</v>
      </c>
      <c r="O95" s="7">
        <v>20</v>
      </c>
      <c r="P95" s="7"/>
      <c r="R95" s="9">
        <v>193.410874613007</v>
      </c>
      <c r="T95" s="7" t="s">
        <v>34</v>
      </c>
      <c r="U95" s="7" t="s">
        <v>34</v>
      </c>
    </row>
    <row r="96" spans="1:21" s="304" customFormat="1" ht="14.1" customHeight="1">
      <c r="A96" s="300">
        <v>135</v>
      </c>
      <c r="B96" s="301" t="s">
        <v>609</v>
      </c>
      <c r="C96" s="301" t="s">
        <v>344</v>
      </c>
      <c r="D96" s="300" t="s">
        <v>611</v>
      </c>
      <c r="E96" s="301" t="s">
        <v>2377</v>
      </c>
      <c r="F96" s="300" t="s">
        <v>26</v>
      </c>
      <c r="G96" s="302" t="s">
        <v>2414</v>
      </c>
      <c r="H96" s="300" t="s">
        <v>518</v>
      </c>
      <c r="I96" s="302" t="s">
        <v>2415</v>
      </c>
      <c r="J96" s="300" t="s">
        <v>30</v>
      </c>
      <c r="K96" s="300" t="s">
        <v>520</v>
      </c>
      <c r="L96" s="300" t="s">
        <v>315</v>
      </c>
      <c r="M96" s="303" t="s">
        <v>2258</v>
      </c>
      <c r="N96" s="300">
        <v>1</v>
      </c>
      <c r="O96" s="300">
        <v>20</v>
      </c>
      <c r="P96" s="300"/>
      <c r="R96" s="337"/>
      <c r="T96" s="300" t="s">
        <v>34</v>
      </c>
      <c r="U96" s="300" t="s">
        <v>34</v>
      </c>
    </row>
    <row r="97" spans="1:21" s="304" customFormat="1" ht="14.1" customHeight="1">
      <c r="A97" s="300">
        <v>136</v>
      </c>
      <c r="B97" s="301" t="s">
        <v>609</v>
      </c>
      <c r="C97" s="301" t="s">
        <v>344</v>
      </c>
      <c r="D97" s="300" t="s">
        <v>611</v>
      </c>
      <c r="E97" s="301" t="s">
        <v>2377</v>
      </c>
      <c r="F97" s="300" t="s">
        <v>26</v>
      </c>
      <c r="G97" s="302" t="s">
        <v>2414</v>
      </c>
      <c r="H97" s="300" t="s">
        <v>459</v>
      </c>
      <c r="I97" s="302" t="s">
        <v>2416</v>
      </c>
      <c r="J97" s="300" t="s">
        <v>30</v>
      </c>
      <c r="K97" s="300" t="s">
        <v>461</v>
      </c>
      <c r="L97" s="300" t="s">
        <v>315</v>
      </c>
      <c r="M97" s="303" t="s">
        <v>2258</v>
      </c>
      <c r="N97" s="300">
        <v>1</v>
      </c>
      <c r="O97" s="300">
        <v>20</v>
      </c>
      <c r="P97" s="300"/>
      <c r="R97" s="337"/>
      <c r="T97" s="300" t="s">
        <v>34</v>
      </c>
      <c r="U97" s="300" t="s">
        <v>34</v>
      </c>
    </row>
    <row r="98" spans="1:21" s="304" customFormat="1" ht="14.1" customHeight="1">
      <c r="A98" s="300">
        <v>137</v>
      </c>
      <c r="B98" s="301" t="s">
        <v>609</v>
      </c>
      <c r="C98" s="301" t="s">
        <v>344</v>
      </c>
      <c r="D98" s="300" t="s">
        <v>611</v>
      </c>
      <c r="E98" s="301" t="s">
        <v>2377</v>
      </c>
      <c r="F98" s="300" t="s">
        <v>26</v>
      </c>
      <c r="G98" s="302" t="s">
        <v>2414</v>
      </c>
      <c r="H98" s="300" t="s">
        <v>632</v>
      </c>
      <c r="I98" s="302" t="s">
        <v>2417</v>
      </c>
      <c r="J98" s="300" t="s">
        <v>30</v>
      </c>
      <c r="K98" s="300" t="s">
        <v>633</v>
      </c>
      <c r="L98" s="300" t="s">
        <v>315</v>
      </c>
      <c r="M98" s="303" t="s">
        <v>2258</v>
      </c>
      <c r="N98" s="300">
        <v>1</v>
      </c>
      <c r="O98" s="300">
        <v>20</v>
      </c>
      <c r="P98" s="300"/>
      <c r="R98" s="337"/>
      <c r="T98" s="300" t="s">
        <v>34</v>
      </c>
      <c r="U98" s="300" t="s">
        <v>34</v>
      </c>
    </row>
    <row r="99" spans="1:21" ht="14.1" customHeight="1">
      <c r="A99" s="7">
        <v>138</v>
      </c>
      <c r="B99" s="14" t="s">
        <v>609</v>
      </c>
      <c r="C99" s="14" t="s">
        <v>344</v>
      </c>
      <c r="D99" s="7" t="s">
        <v>611</v>
      </c>
      <c r="E99" s="14" t="s">
        <v>2377</v>
      </c>
      <c r="F99" s="7" t="s">
        <v>26</v>
      </c>
      <c r="G99" s="8" t="s">
        <v>2418</v>
      </c>
      <c r="H99" s="7" t="s">
        <v>459</v>
      </c>
      <c r="I99" s="8" t="s">
        <v>2419</v>
      </c>
      <c r="J99" s="7" t="s">
        <v>30</v>
      </c>
      <c r="K99" s="7" t="s">
        <v>461</v>
      </c>
      <c r="L99" s="7" t="s">
        <v>315</v>
      </c>
      <c r="M99" s="135" t="s">
        <v>2258</v>
      </c>
      <c r="N99" s="7">
        <v>1</v>
      </c>
      <c r="O99" s="7">
        <v>20</v>
      </c>
      <c r="P99" s="7"/>
      <c r="R99" s="9">
        <v>120.8817966331294</v>
      </c>
      <c r="T99" s="7" t="s">
        <v>34</v>
      </c>
      <c r="U99" s="7" t="s">
        <v>34</v>
      </c>
    </row>
    <row r="100" spans="1:21" ht="14.1" customHeight="1">
      <c r="A100" s="7">
        <v>139</v>
      </c>
      <c r="B100" s="14" t="s">
        <v>609</v>
      </c>
      <c r="C100" s="14" t="s">
        <v>344</v>
      </c>
      <c r="D100" s="7" t="s">
        <v>611</v>
      </c>
      <c r="E100" s="14" t="s">
        <v>2377</v>
      </c>
      <c r="F100" s="7" t="s">
        <v>26</v>
      </c>
      <c r="G100" s="8" t="s">
        <v>2420</v>
      </c>
      <c r="H100" s="7" t="s">
        <v>518</v>
      </c>
      <c r="I100" s="8" t="s">
        <v>2421</v>
      </c>
      <c r="J100" s="7" t="s">
        <v>30</v>
      </c>
      <c r="K100" s="7" t="s">
        <v>520</v>
      </c>
      <c r="L100" s="7" t="s">
        <v>315</v>
      </c>
      <c r="M100" s="135" t="s">
        <v>2258</v>
      </c>
      <c r="N100" s="7">
        <v>1</v>
      </c>
      <c r="O100" s="7">
        <v>20</v>
      </c>
      <c r="P100" s="7" t="s">
        <v>286</v>
      </c>
      <c r="R100" s="9">
        <v>2961.60401751167</v>
      </c>
      <c r="T100" s="7" t="s">
        <v>34</v>
      </c>
      <c r="U100" s="7" t="s">
        <v>34</v>
      </c>
    </row>
    <row r="101" spans="1:21" ht="14.1" customHeight="1">
      <c r="A101" s="7">
        <v>140</v>
      </c>
      <c r="B101" s="14" t="s">
        <v>609</v>
      </c>
      <c r="C101" s="14" t="s">
        <v>344</v>
      </c>
      <c r="D101" s="7" t="s">
        <v>611</v>
      </c>
      <c r="E101" s="14" t="s">
        <v>2377</v>
      </c>
      <c r="F101" s="7" t="s">
        <v>26</v>
      </c>
      <c r="G101" s="8" t="s">
        <v>2422</v>
      </c>
      <c r="H101" s="7" t="s">
        <v>518</v>
      </c>
      <c r="I101" s="8" t="s">
        <v>2423</v>
      </c>
      <c r="J101" s="7" t="s">
        <v>30</v>
      </c>
      <c r="K101" s="7" t="s">
        <v>520</v>
      </c>
      <c r="L101" s="7" t="s">
        <v>315</v>
      </c>
      <c r="M101" s="135" t="s">
        <v>2258</v>
      </c>
      <c r="N101" s="7">
        <v>1</v>
      </c>
      <c r="O101" s="7">
        <v>20</v>
      </c>
      <c r="P101" s="7" t="s">
        <v>286</v>
      </c>
      <c r="R101" s="9">
        <v>2961.60401751167</v>
      </c>
      <c r="T101" s="7" t="s">
        <v>34</v>
      </c>
      <c r="U101" s="7" t="s">
        <v>34</v>
      </c>
    </row>
    <row r="102" spans="1:21" ht="14.1" customHeight="1">
      <c r="A102" s="7">
        <v>141</v>
      </c>
      <c r="B102" s="14" t="s">
        <v>609</v>
      </c>
      <c r="C102" s="14" t="s">
        <v>344</v>
      </c>
      <c r="D102" s="7" t="s">
        <v>611</v>
      </c>
      <c r="E102" s="14" t="s">
        <v>2377</v>
      </c>
      <c r="F102" s="7" t="s">
        <v>26</v>
      </c>
      <c r="G102" s="8" t="s">
        <v>2420</v>
      </c>
      <c r="H102" s="7" t="s">
        <v>459</v>
      </c>
      <c r="I102" s="8" t="s">
        <v>2424</v>
      </c>
      <c r="J102" s="7" t="s">
        <v>30</v>
      </c>
      <c r="K102" s="7" t="s">
        <v>461</v>
      </c>
      <c r="L102" s="7" t="s">
        <v>315</v>
      </c>
      <c r="M102" s="135" t="s">
        <v>2258</v>
      </c>
      <c r="N102" s="7">
        <v>1</v>
      </c>
      <c r="O102" s="7">
        <v>20</v>
      </c>
      <c r="P102" s="7" t="s">
        <v>286</v>
      </c>
      <c r="R102" s="9">
        <v>2961.60401751167</v>
      </c>
      <c r="T102" s="7" t="s">
        <v>34</v>
      </c>
      <c r="U102" s="7" t="s">
        <v>34</v>
      </c>
    </row>
    <row r="103" spans="1:21" ht="14.1" customHeight="1">
      <c r="A103" s="7">
        <v>142</v>
      </c>
      <c r="B103" s="14" t="s">
        <v>609</v>
      </c>
      <c r="C103" s="14" t="s">
        <v>344</v>
      </c>
      <c r="D103" s="7" t="s">
        <v>611</v>
      </c>
      <c r="E103" s="14" t="s">
        <v>2377</v>
      </c>
      <c r="F103" s="7" t="s">
        <v>26</v>
      </c>
      <c r="G103" s="8" t="s">
        <v>2422</v>
      </c>
      <c r="H103" s="7" t="s">
        <v>459</v>
      </c>
      <c r="I103" s="8" t="s">
        <v>2425</v>
      </c>
      <c r="J103" s="7" t="s">
        <v>30</v>
      </c>
      <c r="K103" s="7" t="s">
        <v>461</v>
      </c>
      <c r="L103" s="7" t="s">
        <v>315</v>
      </c>
      <c r="M103" s="135" t="s">
        <v>2258</v>
      </c>
      <c r="N103" s="7">
        <v>1</v>
      </c>
      <c r="O103" s="7">
        <v>20</v>
      </c>
      <c r="P103" s="7" t="s">
        <v>286</v>
      </c>
      <c r="R103" s="9">
        <v>2961.60401751167</v>
      </c>
      <c r="T103" s="7" t="s">
        <v>34</v>
      </c>
      <c r="U103" s="7" t="s">
        <v>34</v>
      </c>
    </row>
    <row r="104" spans="1:21" ht="14.1" customHeight="1">
      <c r="A104" s="7">
        <v>143</v>
      </c>
      <c r="B104" s="14" t="s">
        <v>609</v>
      </c>
      <c r="C104" s="14" t="s">
        <v>344</v>
      </c>
      <c r="D104" s="7" t="s">
        <v>611</v>
      </c>
      <c r="E104" s="14" t="s">
        <v>2377</v>
      </c>
      <c r="F104" s="7" t="s">
        <v>26</v>
      </c>
      <c r="G104" s="8" t="s">
        <v>2426</v>
      </c>
      <c r="H104" s="7" t="s">
        <v>518</v>
      </c>
      <c r="I104" s="8" t="s">
        <v>2427</v>
      </c>
      <c r="J104" s="7" t="s">
        <v>30</v>
      </c>
      <c r="K104" s="7" t="s">
        <v>520</v>
      </c>
      <c r="L104" s="7" t="s">
        <v>148</v>
      </c>
      <c r="M104" s="135" t="s">
        <v>2258</v>
      </c>
      <c r="N104" s="7">
        <v>1</v>
      </c>
      <c r="O104" s="7">
        <v>20</v>
      </c>
      <c r="P104" s="7"/>
      <c r="R104" s="9">
        <v>447.26264754257869</v>
      </c>
      <c r="T104" s="7" t="s">
        <v>34</v>
      </c>
      <c r="U104" s="7" t="s">
        <v>34</v>
      </c>
    </row>
    <row r="105" spans="1:21" ht="14.1" customHeight="1">
      <c r="A105" s="7">
        <v>144</v>
      </c>
      <c r="B105" s="14" t="s">
        <v>609</v>
      </c>
      <c r="C105" s="14" t="s">
        <v>344</v>
      </c>
      <c r="D105" s="7" t="s">
        <v>611</v>
      </c>
      <c r="E105" s="14" t="s">
        <v>2377</v>
      </c>
      <c r="F105" s="7" t="s">
        <v>26</v>
      </c>
      <c r="G105" s="8" t="s">
        <v>2426</v>
      </c>
      <c r="H105" s="7" t="s">
        <v>459</v>
      </c>
      <c r="I105" s="8" t="s">
        <v>2428</v>
      </c>
      <c r="J105" s="7" t="s">
        <v>30</v>
      </c>
      <c r="K105" s="7" t="s">
        <v>461</v>
      </c>
      <c r="L105" s="7" t="s">
        <v>148</v>
      </c>
      <c r="M105" s="135" t="s">
        <v>2258</v>
      </c>
      <c r="N105" s="7">
        <v>1</v>
      </c>
      <c r="O105" s="7">
        <v>20</v>
      </c>
      <c r="P105" s="7"/>
      <c r="R105" s="9">
        <v>447.26264754257869</v>
      </c>
      <c r="T105" s="7" t="s">
        <v>34</v>
      </c>
      <c r="U105" s="7" t="s">
        <v>34</v>
      </c>
    </row>
    <row r="106" spans="1:21" ht="14.1" customHeight="1">
      <c r="A106" s="7">
        <v>145</v>
      </c>
      <c r="B106" s="14" t="s">
        <v>609</v>
      </c>
      <c r="C106" s="14" t="s">
        <v>344</v>
      </c>
      <c r="D106" s="7" t="s">
        <v>611</v>
      </c>
      <c r="E106" s="14" t="s">
        <v>2377</v>
      </c>
      <c r="F106" s="7" t="s">
        <v>26</v>
      </c>
      <c r="G106" s="8" t="s">
        <v>2429</v>
      </c>
      <c r="H106" s="7" t="s">
        <v>518</v>
      </c>
      <c r="I106" s="8" t="s">
        <v>2430</v>
      </c>
      <c r="J106" s="7" t="s">
        <v>30</v>
      </c>
      <c r="K106" s="7" t="s">
        <v>520</v>
      </c>
      <c r="L106" s="7" t="s">
        <v>148</v>
      </c>
      <c r="M106" s="135" t="s">
        <v>2258</v>
      </c>
      <c r="N106" s="7">
        <v>1</v>
      </c>
      <c r="O106" s="7">
        <v>20</v>
      </c>
      <c r="P106" s="7"/>
      <c r="R106" s="9">
        <v>652.76170181889859</v>
      </c>
      <c r="T106" s="7" t="s">
        <v>34</v>
      </c>
      <c r="U106" s="7" t="s">
        <v>34</v>
      </c>
    </row>
    <row r="107" spans="1:21" ht="14.1" customHeight="1">
      <c r="A107" s="7">
        <v>146</v>
      </c>
      <c r="B107" s="14" t="s">
        <v>609</v>
      </c>
      <c r="C107" s="14" t="s">
        <v>344</v>
      </c>
      <c r="D107" s="7" t="s">
        <v>611</v>
      </c>
      <c r="E107" s="14" t="s">
        <v>2377</v>
      </c>
      <c r="F107" s="7" t="s">
        <v>26</v>
      </c>
      <c r="G107" s="8" t="s">
        <v>2429</v>
      </c>
      <c r="H107" s="7" t="s">
        <v>459</v>
      </c>
      <c r="I107" s="8" t="s">
        <v>2431</v>
      </c>
      <c r="J107" s="7" t="s">
        <v>30</v>
      </c>
      <c r="K107" s="7" t="s">
        <v>461</v>
      </c>
      <c r="L107" s="7" t="s">
        <v>148</v>
      </c>
      <c r="M107" s="135" t="s">
        <v>2258</v>
      </c>
      <c r="N107" s="7">
        <v>1</v>
      </c>
      <c r="O107" s="7">
        <v>20</v>
      </c>
      <c r="P107" s="7"/>
      <c r="R107" s="9">
        <v>652.76170181889859</v>
      </c>
      <c r="T107" s="7" t="s">
        <v>34</v>
      </c>
      <c r="U107" s="7" t="s">
        <v>34</v>
      </c>
    </row>
    <row r="108" spans="1:21" ht="14.1" customHeight="1"/>
    <row r="109" spans="1:21" ht="14.1" customHeight="1"/>
    <row r="110" spans="1:21" ht="14.1" customHeight="1"/>
    <row r="111" spans="1:21" ht="14.1" customHeight="1"/>
    <row r="112" spans="1:21" ht="14.1" customHeight="1"/>
    <row r="113" ht="14.1" customHeight="1"/>
    <row r="114" ht="14.1" customHeight="1"/>
    <row r="115" ht="14.1" customHeight="1"/>
    <row r="116" ht="14.1" customHeight="1"/>
    <row r="117" ht="14.1" customHeight="1"/>
    <row r="118" ht="14.1" customHeight="1"/>
    <row r="119" ht="14.1" customHeight="1"/>
    <row r="120" ht="14.1" customHeight="1"/>
    <row r="121" ht="14.1" customHeight="1"/>
    <row r="122" ht="14.1" customHeight="1"/>
    <row r="123" ht="14.1" customHeight="1"/>
    <row r="124" ht="14.1" customHeight="1"/>
    <row r="125" ht="14.1" customHeight="1"/>
    <row r="126" ht="14.1" customHeight="1"/>
    <row r="127" ht="14.1" customHeight="1"/>
    <row r="128" ht="14.1" customHeight="1"/>
    <row r="129" ht="14.1" customHeight="1"/>
    <row r="130" ht="14.1" customHeight="1"/>
    <row r="131" ht="14.1" customHeight="1"/>
    <row r="132" ht="14.1" customHeight="1"/>
    <row r="133" ht="14.1" customHeight="1"/>
    <row r="134" ht="14.1" customHeight="1"/>
    <row r="135" ht="14.1" customHeight="1"/>
    <row r="136" ht="14.1" customHeight="1"/>
    <row r="137" ht="14.1" customHeight="1"/>
    <row r="138" ht="14.1" customHeight="1"/>
    <row r="139" ht="14.1" customHeight="1"/>
    <row r="140" ht="14.1" customHeight="1"/>
    <row r="141" ht="14.1" customHeight="1"/>
    <row r="142" ht="14.1" customHeight="1"/>
    <row r="143" ht="14.1" customHeight="1"/>
    <row r="144" ht="14.1" customHeight="1"/>
    <row r="145" ht="14.1" customHeight="1"/>
    <row r="146" ht="14.1" customHeight="1"/>
    <row r="147" ht="14.1" customHeight="1"/>
    <row r="148" ht="14.1" customHeight="1"/>
    <row r="149" ht="14.1" customHeight="1"/>
    <row r="150" ht="14.1" customHeight="1"/>
    <row r="151" ht="14.1" customHeight="1"/>
    <row r="152" ht="14.1" customHeight="1"/>
    <row r="153" ht="14.1" customHeight="1"/>
    <row r="154" ht="14.1" customHeight="1"/>
    <row r="155" ht="14.1" customHeight="1"/>
    <row r="156" ht="14.1" customHeight="1"/>
    <row r="157" ht="14.1" customHeight="1"/>
    <row r="158" ht="14.1" customHeight="1"/>
    <row r="159" ht="14.1" customHeight="1"/>
    <row r="160" ht="14.1" customHeight="1"/>
    <row r="161" ht="14.1" customHeight="1"/>
    <row r="162" ht="14.1" customHeight="1"/>
    <row r="163" ht="14.1" customHeight="1"/>
    <row r="164" ht="14.1" customHeight="1"/>
    <row r="165" ht="14.1" customHeight="1"/>
    <row r="166" ht="14.1" customHeight="1"/>
    <row r="167" ht="14.1" customHeight="1"/>
    <row r="168" ht="14.1" customHeight="1"/>
    <row r="169" ht="14.1" customHeight="1"/>
    <row r="170" ht="14.1" customHeight="1"/>
    <row r="171" ht="14.1" customHeight="1"/>
    <row r="172" ht="14.1" customHeight="1"/>
    <row r="173" ht="14.1" customHeight="1"/>
    <row r="174" ht="14.1" customHeight="1"/>
    <row r="175" ht="14.1" customHeight="1"/>
    <row r="176" ht="14.1" customHeight="1"/>
    <row r="177" ht="14.1" customHeight="1"/>
    <row r="178" ht="14.1" customHeight="1"/>
    <row r="179" ht="14.1" customHeight="1"/>
    <row r="180" ht="14.1" customHeight="1"/>
    <row r="181" ht="14.1" customHeight="1"/>
    <row r="182" ht="14.1" customHeight="1"/>
    <row r="183" ht="14.1" customHeight="1"/>
    <row r="184" ht="14.1" customHeight="1"/>
    <row r="185" ht="14.1" customHeight="1"/>
    <row r="186" ht="14.1" customHeight="1"/>
    <row r="187" ht="14.1" customHeight="1"/>
    <row r="188" ht="14.1" customHeight="1"/>
    <row r="189" ht="14.1" customHeight="1"/>
    <row r="190" ht="14.1" customHeight="1"/>
    <row r="191" ht="14.1" customHeight="1"/>
    <row r="192" ht="14.1" customHeight="1"/>
    <row r="193" ht="14.1" customHeight="1"/>
    <row r="194" ht="14.1" customHeight="1"/>
    <row r="195" ht="14.1" customHeight="1"/>
    <row r="196" ht="14.1" customHeight="1"/>
    <row r="197" ht="14.1" customHeight="1"/>
    <row r="198" ht="14.1" customHeight="1"/>
    <row r="199" ht="14.1" customHeight="1"/>
    <row r="200" ht="14.1" customHeight="1"/>
    <row r="201" ht="14.1" customHeight="1"/>
    <row r="202" ht="14.1" customHeight="1"/>
    <row r="203" ht="14.1" customHeight="1"/>
    <row r="204" ht="14.1" customHeight="1"/>
    <row r="205" ht="14.1" customHeight="1"/>
    <row r="206" ht="14.1" customHeight="1"/>
    <row r="207" ht="14.1" customHeight="1"/>
    <row r="208" ht="14.1" customHeight="1"/>
    <row r="209" ht="14.1" customHeight="1"/>
    <row r="210" ht="14.1" customHeight="1"/>
    <row r="211" ht="14.1" customHeight="1"/>
    <row r="212" ht="14.1" customHeight="1"/>
    <row r="213" ht="14.1" customHeight="1"/>
    <row r="214" ht="14.1" customHeight="1"/>
    <row r="215" ht="14.1" customHeight="1"/>
    <row r="216" ht="14.1" customHeight="1"/>
    <row r="217" ht="14.1" customHeight="1"/>
    <row r="218" ht="14.1" customHeight="1"/>
    <row r="219" ht="14.1" customHeight="1"/>
    <row r="220" ht="14.1" customHeight="1"/>
    <row r="221" ht="14.1" customHeight="1"/>
    <row r="222" ht="14.1" customHeight="1"/>
    <row r="223" ht="14.1" customHeight="1"/>
    <row r="224" ht="14.1" customHeight="1"/>
    <row r="225" ht="14.1" customHeight="1"/>
    <row r="226" ht="14.1" customHeight="1"/>
    <row r="227" ht="14.1" customHeight="1"/>
    <row r="228" ht="14.1" customHeight="1"/>
    <row r="229" ht="14.1" customHeight="1"/>
    <row r="230" ht="14.1" customHeight="1"/>
    <row r="231" ht="14.1" customHeight="1"/>
    <row r="232" ht="14.1" customHeight="1"/>
    <row r="233" ht="14.1" customHeight="1"/>
    <row r="234" ht="14.1" customHeight="1"/>
    <row r="235" ht="14.1" customHeight="1"/>
    <row r="236" ht="14.1" customHeight="1"/>
    <row r="237" ht="14.1" customHeight="1"/>
    <row r="238" ht="14.1" customHeight="1"/>
    <row r="239" ht="14.1" customHeight="1"/>
    <row r="240" ht="14.1" customHeight="1"/>
    <row r="241" ht="14.1" customHeight="1"/>
    <row r="242" ht="14.1" customHeight="1"/>
    <row r="243" ht="14.1" customHeight="1"/>
    <row r="244" ht="14.1" customHeight="1"/>
    <row r="245" ht="14.1" customHeight="1"/>
    <row r="246" ht="14.1" customHeight="1"/>
    <row r="247" ht="14.1" customHeight="1"/>
    <row r="248" ht="14.1" customHeight="1"/>
    <row r="249" ht="14.1" customHeight="1"/>
    <row r="250" ht="14.1" customHeight="1"/>
    <row r="251" ht="14.1" customHeight="1"/>
    <row r="252" ht="14.1" customHeight="1"/>
    <row r="253" ht="14.1" customHeight="1"/>
    <row r="254" ht="14.1" customHeight="1"/>
    <row r="255" ht="14.1" customHeight="1"/>
    <row r="256" ht="14.1" customHeight="1"/>
    <row r="257" ht="14.1" customHeight="1"/>
    <row r="258" ht="14.1" customHeight="1"/>
    <row r="259" ht="14.1" customHeight="1"/>
    <row r="260" ht="14.1" customHeight="1"/>
    <row r="261" ht="14.1" customHeight="1"/>
    <row r="262" ht="14.1" customHeight="1"/>
    <row r="263" ht="14.1" customHeight="1"/>
    <row r="264" ht="14.1" customHeight="1"/>
    <row r="265" ht="14.1" customHeight="1"/>
    <row r="266" ht="14.1" customHeight="1"/>
    <row r="267" ht="14.1" customHeight="1"/>
    <row r="268" ht="14.1" customHeight="1"/>
    <row r="269" ht="14.1" customHeight="1"/>
    <row r="270" ht="14.1" customHeight="1"/>
    <row r="271" ht="14.1" customHeight="1"/>
    <row r="272" ht="14.1" customHeight="1"/>
    <row r="273" ht="14.1" customHeight="1"/>
    <row r="274" ht="14.1" customHeight="1"/>
    <row r="275" ht="14.1" customHeight="1"/>
    <row r="276" ht="14.1" customHeight="1"/>
    <row r="277" ht="14.1" customHeight="1"/>
    <row r="278" ht="14.1" customHeight="1"/>
    <row r="279" ht="14.1" customHeight="1"/>
    <row r="280" ht="14.1" customHeight="1"/>
    <row r="281" ht="14.1" customHeight="1"/>
    <row r="282" ht="14.1" customHeight="1"/>
    <row r="283" ht="14.1" customHeight="1"/>
    <row r="284" ht="14.1" customHeight="1"/>
    <row r="285" ht="14.1" customHeight="1"/>
    <row r="286" ht="14.1" customHeight="1"/>
    <row r="287" ht="14.1" customHeight="1"/>
    <row r="288" ht="14.1" customHeight="1"/>
    <row r="289" ht="14.1" customHeight="1"/>
    <row r="290" ht="14.1" customHeight="1"/>
    <row r="291" ht="14.1" customHeight="1"/>
    <row r="292" ht="14.1" customHeight="1"/>
    <row r="293" ht="14.1" customHeight="1"/>
    <row r="294" ht="14.1" customHeight="1"/>
    <row r="295" ht="14.1" customHeight="1"/>
    <row r="296" ht="14.1" customHeight="1"/>
    <row r="297" ht="14.1" customHeight="1"/>
    <row r="298" ht="14.1" customHeight="1"/>
    <row r="299" ht="14.1" customHeight="1"/>
    <row r="300" ht="14.1" customHeight="1"/>
    <row r="301" ht="14.1" customHeight="1"/>
    <row r="302" ht="14.1" customHeight="1"/>
    <row r="303" ht="14.1" customHeight="1"/>
    <row r="304" ht="14.1" customHeight="1"/>
    <row r="305" ht="14.1" customHeight="1"/>
    <row r="306" ht="14.1" customHeight="1"/>
    <row r="307" ht="14.1" customHeight="1"/>
    <row r="308" ht="14.1" customHeight="1"/>
    <row r="309" ht="14.1" customHeight="1"/>
    <row r="310" ht="14.1" customHeight="1"/>
    <row r="311" ht="14.1" customHeight="1"/>
    <row r="312" ht="14.1" customHeight="1"/>
    <row r="313" ht="14.1" customHeight="1"/>
    <row r="314" ht="14.1" customHeight="1"/>
    <row r="315" ht="14.1" customHeight="1"/>
    <row r="316" ht="14.1" customHeight="1"/>
    <row r="317" ht="14.1" customHeight="1"/>
    <row r="318" ht="14.1" customHeight="1"/>
    <row r="319" ht="14.1" customHeight="1"/>
    <row r="320" ht="14.1" customHeight="1"/>
    <row r="321" ht="14.1" customHeight="1"/>
    <row r="322" ht="14.1" customHeight="1"/>
    <row r="323" ht="14.1" customHeight="1"/>
    <row r="324" ht="14.1" customHeight="1"/>
    <row r="325" ht="14.1" customHeight="1"/>
    <row r="326" ht="14.1" customHeight="1"/>
    <row r="327" ht="14.1" customHeight="1"/>
    <row r="328" ht="14.1" customHeight="1"/>
    <row r="329" ht="14.1" customHeight="1"/>
    <row r="330" ht="14.1" customHeight="1"/>
    <row r="331" ht="14.1" customHeight="1"/>
    <row r="332" ht="14.1" customHeight="1"/>
    <row r="333" ht="14.1" customHeight="1"/>
    <row r="334" ht="14.1" customHeight="1"/>
    <row r="335" ht="14.1" customHeight="1"/>
    <row r="336" ht="14.1" customHeight="1"/>
    <row r="337" ht="14.1" customHeight="1"/>
    <row r="338" ht="14.1" customHeight="1"/>
    <row r="339" ht="14.1" customHeight="1"/>
    <row r="340" ht="14.1" customHeight="1"/>
    <row r="341" ht="14.1" customHeight="1"/>
    <row r="342" ht="14.1" customHeight="1"/>
    <row r="343" ht="14.1" customHeight="1"/>
    <row r="344" ht="14.1" customHeight="1"/>
    <row r="345" ht="14.1" customHeight="1"/>
    <row r="346" ht="14.1" customHeight="1"/>
    <row r="347" ht="14.1" customHeight="1"/>
    <row r="348" ht="14.1" customHeight="1"/>
    <row r="349" ht="14.1" customHeight="1"/>
    <row r="350" ht="14.1" customHeight="1"/>
    <row r="351" ht="14.1" customHeight="1"/>
    <row r="352" ht="14.1" customHeight="1"/>
    <row r="353" ht="14.1" customHeight="1"/>
    <row r="354" ht="14.1" customHeight="1"/>
    <row r="355" ht="14.1" customHeight="1"/>
    <row r="356" ht="14.1" customHeight="1"/>
    <row r="357" ht="14.1" customHeight="1"/>
    <row r="358" ht="14.1" customHeight="1"/>
    <row r="359" ht="14.1" customHeight="1"/>
    <row r="360" ht="14.1" customHeight="1"/>
    <row r="361" ht="14.1" customHeight="1"/>
    <row r="362" ht="14.1" customHeight="1"/>
    <row r="363" ht="14.1" customHeight="1"/>
    <row r="364" ht="14.1" customHeight="1"/>
    <row r="365" ht="14.1" customHeight="1"/>
    <row r="366" ht="14.1" customHeight="1"/>
    <row r="367" ht="14.1" customHeight="1"/>
    <row r="368" ht="14.1" customHeight="1"/>
    <row r="369" ht="14.1" customHeight="1"/>
    <row r="370" ht="14.1" customHeight="1"/>
    <row r="371" ht="14.1" customHeight="1"/>
    <row r="372" ht="14.1" customHeight="1"/>
    <row r="373" ht="14.1" customHeight="1"/>
    <row r="374" ht="14.1" customHeight="1"/>
    <row r="375" ht="14.1" customHeight="1"/>
    <row r="376" ht="14.1" customHeight="1"/>
    <row r="377" ht="14.1" customHeight="1"/>
    <row r="378" ht="14.1" customHeight="1"/>
    <row r="379" ht="14.1" customHeight="1"/>
    <row r="380" ht="14.1" customHeight="1"/>
    <row r="381" ht="14.1" customHeight="1"/>
    <row r="382" ht="14.1" customHeight="1"/>
    <row r="383" ht="14.1" customHeight="1"/>
    <row r="384" ht="14.1" customHeight="1"/>
    <row r="385" ht="14.1" customHeight="1"/>
    <row r="386" ht="14.1" customHeight="1"/>
    <row r="387" ht="14.1" customHeight="1"/>
    <row r="388" ht="14.1" customHeight="1"/>
    <row r="389" ht="14.1" customHeight="1"/>
    <row r="390" ht="14.1" customHeight="1"/>
    <row r="391" ht="14.1" customHeight="1"/>
    <row r="392" ht="14.1" customHeight="1"/>
    <row r="393" ht="14.1" customHeight="1"/>
    <row r="394" ht="14.1" customHeight="1"/>
    <row r="395" ht="14.1" customHeight="1"/>
    <row r="396" ht="14.1" customHeight="1"/>
    <row r="397" ht="14.1" customHeight="1"/>
    <row r="398" ht="14.1" customHeight="1"/>
    <row r="399" ht="14.1" customHeight="1"/>
    <row r="400" ht="14.1" customHeight="1"/>
    <row r="401" ht="14.1" customHeight="1"/>
    <row r="402" ht="14.1" customHeight="1"/>
    <row r="403" ht="14.1" customHeight="1"/>
    <row r="404" ht="14.1" customHeight="1"/>
    <row r="405" ht="14.1" customHeight="1"/>
    <row r="406" ht="14.1" customHeight="1"/>
    <row r="407" ht="14.1" customHeight="1"/>
    <row r="408" ht="14.1" customHeight="1"/>
    <row r="409" ht="14.1" customHeight="1"/>
    <row r="410" ht="14.1" customHeight="1"/>
    <row r="411" ht="14.1" customHeight="1"/>
    <row r="412" ht="14.1" customHeight="1"/>
    <row r="413" ht="14.1" customHeight="1"/>
    <row r="414" ht="14.1" customHeight="1"/>
    <row r="415" ht="14.1" customHeight="1"/>
    <row r="416" ht="14.1" customHeight="1"/>
    <row r="417" ht="14.1" customHeight="1"/>
    <row r="418" ht="14.1" customHeight="1"/>
    <row r="419" ht="14.1" customHeight="1"/>
    <row r="420" ht="14.1" customHeight="1"/>
    <row r="421" ht="14.1" customHeight="1"/>
    <row r="422" ht="14.1" customHeight="1"/>
    <row r="423" ht="14.1" customHeight="1"/>
    <row r="424" ht="14.1" customHeight="1"/>
    <row r="425" ht="14.1" customHeight="1"/>
    <row r="426" ht="14.1" customHeight="1"/>
    <row r="427" ht="14.1" customHeight="1"/>
    <row r="428" ht="14.1" customHeight="1"/>
    <row r="429" ht="14.1" customHeight="1"/>
    <row r="430" ht="14.1" customHeight="1"/>
    <row r="431" ht="14.1" customHeight="1"/>
    <row r="432" ht="14.1" customHeight="1"/>
    <row r="433" ht="14.1" customHeight="1"/>
    <row r="434" ht="14.1" customHeight="1"/>
    <row r="435" ht="14.1" customHeight="1"/>
    <row r="436" ht="14.1" customHeight="1"/>
    <row r="437" ht="14.1" customHeight="1"/>
    <row r="438" ht="14.1" customHeight="1"/>
    <row r="439" ht="14.1" customHeight="1"/>
    <row r="440" ht="14.1" customHeight="1"/>
    <row r="441" ht="14.1" customHeight="1"/>
    <row r="442" ht="14.1" customHeight="1"/>
    <row r="443" ht="14.1" customHeight="1"/>
    <row r="444" ht="14.1" customHeight="1"/>
    <row r="445" ht="14.1" customHeight="1"/>
    <row r="446" ht="14.1" customHeight="1"/>
    <row r="447" ht="14.1" customHeight="1"/>
    <row r="448" ht="14.1" customHeight="1"/>
    <row r="449" ht="14.1" customHeight="1"/>
    <row r="450" ht="14.1" customHeight="1"/>
    <row r="451" ht="14.1" customHeight="1"/>
    <row r="452" ht="14.1" customHeight="1"/>
    <row r="453" ht="14.1" customHeight="1"/>
    <row r="454" ht="14.1" customHeight="1"/>
    <row r="455" ht="14.1" customHeight="1"/>
    <row r="456" ht="14.1" customHeight="1"/>
    <row r="457" ht="14.1" customHeight="1"/>
    <row r="458" ht="14.1" customHeight="1"/>
    <row r="459" ht="14.1" customHeight="1"/>
    <row r="460" ht="14.1" customHeight="1"/>
    <row r="461" ht="14.1" customHeight="1"/>
    <row r="462" ht="14.1" customHeight="1"/>
    <row r="463" ht="14.1" customHeight="1"/>
    <row r="464" ht="14.1" customHeight="1"/>
    <row r="465" ht="14.1" customHeight="1"/>
    <row r="466" ht="14.1" customHeight="1"/>
    <row r="467" ht="14.1" customHeight="1"/>
    <row r="468" ht="14.1" customHeight="1"/>
    <row r="469" ht="14.1" customHeight="1"/>
    <row r="470" ht="14.1" customHeight="1"/>
    <row r="471" ht="14.1" customHeight="1"/>
    <row r="472" ht="14.1" customHeight="1"/>
    <row r="473" ht="14.1" customHeight="1"/>
    <row r="474" ht="14.1" customHeight="1"/>
    <row r="475" ht="14.1" customHeight="1"/>
    <row r="476" ht="14.1" customHeight="1"/>
    <row r="477" ht="14.1" customHeight="1"/>
    <row r="478" ht="14.1" customHeight="1"/>
    <row r="479" ht="14.1" customHeight="1"/>
    <row r="480" ht="14.1" customHeight="1"/>
    <row r="481" ht="14.1" customHeight="1"/>
    <row r="482" ht="14.1" customHeight="1"/>
    <row r="483" ht="14.1" customHeight="1"/>
    <row r="484" ht="14.1" customHeight="1"/>
    <row r="485" ht="14.1" customHeight="1"/>
    <row r="486" ht="14.1" customHeight="1"/>
    <row r="487" ht="14.1" customHeight="1"/>
    <row r="488" ht="14.1" customHeight="1"/>
    <row r="489" ht="14.1" customHeight="1"/>
    <row r="490" ht="14.1" customHeight="1"/>
    <row r="491" ht="14.1" customHeight="1"/>
    <row r="492" ht="14.1" customHeight="1"/>
    <row r="493" ht="14.1" customHeight="1"/>
    <row r="494" ht="14.1" customHeight="1"/>
    <row r="495" ht="14.1" customHeight="1"/>
    <row r="496" ht="14.1" customHeight="1"/>
    <row r="497" ht="14.1" customHeight="1"/>
    <row r="498" ht="14.1" customHeight="1"/>
    <row r="499" ht="14.1" customHeight="1"/>
    <row r="500" ht="14.1" customHeight="1"/>
    <row r="501" ht="14.1" customHeight="1"/>
    <row r="502" ht="14.1" customHeight="1"/>
    <row r="503" ht="14.1" customHeight="1"/>
    <row r="504" ht="14.1" customHeight="1"/>
    <row r="505" ht="14.1" customHeight="1"/>
    <row r="506" ht="14.1" customHeight="1"/>
    <row r="507" ht="14.1" customHeight="1"/>
    <row r="508" ht="14.1" customHeight="1"/>
    <row r="509" ht="14.1" customHeight="1"/>
    <row r="510" ht="14.1" customHeight="1"/>
    <row r="511" ht="14.1" customHeight="1"/>
    <row r="512" ht="14.1" customHeight="1"/>
    <row r="513" ht="14.1" customHeight="1"/>
    <row r="514" ht="14.1" customHeight="1"/>
    <row r="515" ht="14.1" customHeight="1"/>
    <row r="516" ht="14.1" customHeight="1"/>
    <row r="517" ht="14.1" customHeight="1"/>
    <row r="518" ht="14.1" customHeight="1"/>
    <row r="519" ht="14.1" customHeight="1"/>
    <row r="520" ht="14.1" customHeight="1"/>
    <row r="521" ht="14.1" customHeight="1"/>
    <row r="522" ht="14.1" customHeight="1"/>
    <row r="523" ht="14.1" customHeight="1"/>
    <row r="524" ht="14.1" customHeight="1"/>
    <row r="525" ht="14.1" customHeight="1"/>
    <row r="526" ht="14.1" customHeight="1"/>
    <row r="527" ht="14.1" customHeight="1"/>
    <row r="528" ht="14.1" customHeight="1"/>
    <row r="529" ht="14.1" customHeight="1"/>
    <row r="530" ht="14.1" customHeight="1"/>
    <row r="531" ht="14.1" customHeight="1"/>
    <row r="532" ht="14.1" customHeight="1"/>
    <row r="533" ht="14.1" customHeight="1"/>
    <row r="534" ht="14.1" customHeight="1"/>
    <row r="535" ht="14.1" customHeight="1"/>
    <row r="536" ht="14.1" customHeight="1"/>
    <row r="537" ht="14.1" customHeight="1"/>
    <row r="538" ht="14.1" customHeight="1"/>
    <row r="539" ht="14.1" customHeight="1"/>
    <row r="540" ht="14.1" customHeight="1"/>
    <row r="541" ht="14.1" customHeight="1"/>
    <row r="542" ht="14.1" customHeight="1"/>
    <row r="543" ht="14.1" customHeight="1"/>
    <row r="544" ht="14.1" customHeight="1"/>
    <row r="545" ht="14.1" customHeight="1"/>
    <row r="546" ht="14.1" customHeight="1"/>
    <row r="547" ht="14.1" customHeight="1"/>
    <row r="548" ht="14.1" customHeight="1"/>
    <row r="549" ht="14.1" customHeight="1"/>
    <row r="550" ht="14.1" customHeight="1"/>
    <row r="551" ht="14.1" customHeight="1"/>
    <row r="552" ht="14.1" customHeight="1"/>
    <row r="553" ht="14.1" customHeight="1"/>
    <row r="554" ht="14.1" customHeight="1"/>
    <row r="555" ht="14.1" customHeight="1"/>
    <row r="556" ht="14.1" customHeight="1"/>
    <row r="557" ht="14.1" customHeight="1"/>
    <row r="558" ht="14.1" customHeight="1"/>
    <row r="559" ht="14.1" customHeight="1"/>
    <row r="560" ht="14.1" customHeight="1"/>
    <row r="561" ht="14.1" customHeight="1"/>
    <row r="562" ht="14.1" customHeight="1"/>
    <row r="563" ht="14.1" customHeight="1"/>
    <row r="564" ht="14.1" customHeight="1"/>
    <row r="565" ht="14.1" customHeight="1"/>
    <row r="566" ht="14.1" customHeight="1"/>
    <row r="567" ht="14.1" customHeight="1"/>
    <row r="568" ht="14.1" customHeight="1"/>
    <row r="569" ht="14.1" customHeight="1"/>
    <row r="570" ht="14.1" customHeight="1"/>
    <row r="571" ht="14.1" customHeight="1"/>
    <row r="572" ht="14.1" customHeight="1"/>
    <row r="573" ht="14.1" customHeight="1"/>
    <row r="574" ht="14.1" customHeight="1"/>
    <row r="575" ht="14.1" customHeight="1"/>
    <row r="576" ht="14.1" customHeight="1"/>
    <row r="577" ht="14.1" customHeight="1"/>
    <row r="578" ht="14.1" customHeight="1"/>
    <row r="579" ht="14.1" customHeight="1"/>
    <row r="580" ht="14.1" customHeight="1"/>
    <row r="581" ht="14.1" customHeight="1"/>
    <row r="582" ht="14.1" customHeight="1"/>
    <row r="583" ht="14.1" customHeight="1"/>
    <row r="584" ht="14.1" customHeight="1"/>
    <row r="585" ht="14.1" customHeight="1"/>
    <row r="586" ht="14.1" customHeight="1"/>
    <row r="587" ht="14.1" customHeight="1"/>
    <row r="588" ht="14.1" customHeight="1"/>
    <row r="589" ht="14.1" customHeight="1"/>
    <row r="590" ht="14.1" customHeight="1"/>
    <row r="591" ht="14.1" customHeight="1"/>
    <row r="592" ht="14.1" customHeight="1"/>
    <row r="593" ht="14.1" customHeight="1"/>
    <row r="594" ht="14.1" customHeight="1"/>
    <row r="595" ht="14.1" customHeight="1"/>
    <row r="596" ht="14.1" customHeight="1"/>
    <row r="597" ht="14.1" customHeight="1"/>
    <row r="598" ht="14.1" customHeight="1"/>
    <row r="599" ht="14.1" customHeight="1"/>
    <row r="600" ht="14.1" customHeight="1"/>
    <row r="601" ht="14.1" customHeight="1"/>
    <row r="602" ht="14.1" customHeight="1"/>
    <row r="603" ht="14.1" customHeight="1"/>
    <row r="604" ht="14.1" customHeight="1"/>
    <row r="605" ht="14.1" customHeight="1"/>
    <row r="606" ht="14.1" customHeight="1"/>
    <row r="607" ht="14.1" customHeight="1"/>
    <row r="608" ht="14.1" customHeight="1"/>
    <row r="609" ht="14.1" customHeight="1"/>
    <row r="610" ht="14.1" customHeight="1"/>
    <row r="611" ht="14.1" customHeight="1"/>
    <row r="612" ht="14.1" customHeight="1"/>
    <row r="613" ht="14.1" customHeight="1"/>
    <row r="614" ht="14.1" customHeight="1"/>
    <row r="615" ht="14.1" customHeight="1"/>
    <row r="616" ht="14.1" customHeight="1"/>
    <row r="617" ht="14.1" customHeight="1"/>
    <row r="618" ht="14.1" customHeight="1"/>
    <row r="619" ht="14.1" customHeight="1"/>
    <row r="620" ht="14.1" customHeight="1"/>
    <row r="621" ht="14.1" customHeight="1"/>
    <row r="622" ht="14.1" customHeight="1"/>
    <row r="623" ht="14.1" customHeight="1"/>
    <row r="624" ht="14.1" customHeight="1"/>
    <row r="625" ht="14.1" customHeight="1"/>
    <row r="626" ht="14.1" customHeight="1"/>
    <row r="627" ht="14.1" customHeight="1"/>
    <row r="628" ht="14.1" customHeight="1"/>
    <row r="629" ht="14.1" customHeight="1"/>
    <row r="630" ht="14.1" customHeight="1"/>
    <row r="631" ht="14.1" customHeight="1"/>
    <row r="632" ht="14.1" customHeight="1"/>
    <row r="633" ht="14.1" customHeight="1"/>
    <row r="634" ht="14.1" customHeight="1"/>
    <row r="635" ht="14.1" customHeight="1"/>
    <row r="636" ht="14.1" customHeight="1"/>
    <row r="637" ht="14.1" customHeight="1"/>
    <row r="638" ht="14.1" customHeight="1"/>
    <row r="639" ht="14.1" customHeight="1"/>
    <row r="640" ht="14.1" customHeight="1"/>
    <row r="641" ht="14.1" customHeight="1"/>
    <row r="642" ht="14.1" customHeight="1"/>
    <row r="643" ht="14.1" customHeight="1"/>
    <row r="644" ht="14.1" customHeight="1"/>
    <row r="645" ht="14.1" customHeight="1"/>
    <row r="646" ht="14.1" customHeight="1"/>
    <row r="647" ht="14.1" customHeight="1"/>
    <row r="648" ht="14.1" customHeight="1"/>
    <row r="649" ht="14.1" customHeight="1"/>
    <row r="650" ht="14.1" customHeight="1"/>
    <row r="651" ht="14.1" customHeight="1"/>
    <row r="652" ht="14.1" customHeight="1"/>
    <row r="653" ht="14.1" customHeight="1"/>
    <row r="654" ht="14.1" customHeight="1"/>
    <row r="655" ht="14.1" customHeight="1"/>
    <row r="656" ht="14.1" customHeight="1"/>
    <row r="657" ht="14.1" customHeight="1"/>
    <row r="658" ht="14.1" customHeight="1"/>
    <row r="659" ht="14.1" customHeight="1"/>
    <row r="660" ht="14.1" customHeight="1"/>
    <row r="661" ht="14.1" customHeight="1"/>
    <row r="662" ht="14.1" customHeight="1"/>
    <row r="663" ht="14.1" customHeight="1"/>
    <row r="664" ht="14.1" customHeight="1"/>
    <row r="665" ht="14.1" customHeight="1"/>
    <row r="666" ht="14.1" customHeight="1"/>
    <row r="667" ht="14.1" customHeight="1"/>
    <row r="668" ht="14.1" customHeight="1"/>
    <row r="669" ht="14.1" customHeight="1"/>
    <row r="670" ht="14.1" customHeight="1"/>
    <row r="671" ht="14.1" customHeight="1"/>
    <row r="672" ht="14.1" customHeight="1"/>
    <row r="673" ht="14.1" customHeight="1"/>
    <row r="674" ht="14.1" customHeight="1"/>
    <row r="675" ht="14.1" customHeight="1"/>
    <row r="676" ht="14.1" customHeight="1"/>
    <row r="677" ht="14.1" customHeight="1"/>
    <row r="678" ht="14.1" customHeight="1"/>
    <row r="679" ht="14.1" customHeight="1"/>
    <row r="680" ht="14.1" customHeight="1"/>
    <row r="681" ht="14.1" customHeight="1"/>
    <row r="682" ht="14.1" customHeight="1"/>
    <row r="683" ht="14.1" customHeight="1"/>
    <row r="684" ht="14.1" customHeight="1"/>
    <row r="685" ht="14.1" customHeight="1"/>
    <row r="686" ht="14.1" customHeight="1"/>
    <row r="687" ht="14.1" customHeight="1"/>
    <row r="688" ht="14.1" customHeight="1"/>
    <row r="689" ht="14.1" customHeight="1"/>
    <row r="690" ht="14.1" customHeight="1"/>
    <row r="691" ht="14.1" customHeight="1"/>
    <row r="692" ht="14.1" customHeight="1"/>
    <row r="693" ht="14.1" customHeight="1"/>
    <row r="694" ht="14.1" customHeight="1"/>
    <row r="695" ht="14.1" customHeight="1"/>
    <row r="696" ht="14.1" customHeight="1"/>
    <row r="697" ht="14.1" customHeight="1"/>
    <row r="698" ht="14.1" customHeight="1"/>
    <row r="699" ht="14.1" customHeight="1"/>
    <row r="700" ht="14.1" customHeight="1"/>
    <row r="701" ht="14.1" customHeight="1"/>
    <row r="702" ht="14.1" customHeight="1"/>
    <row r="703" ht="14.1" customHeight="1"/>
    <row r="704" ht="14.1" customHeight="1"/>
    <row r="705" ht="14.1" customHeight="1"/>
    <row r="706" ht="14.1" customHeight="1"/>
    <row r="707" ht="14.1" customHeight="1"/>
    <row r="708" ht="14.1" customHeight="1"/>
    <row r="709" ht="14.1" customHeight="1"/>
    <row r="710" ht="14.1" customHeight="1"/>
    <row r="711" ht="14.1" customHeight="1"/>
    <row r="712" ht="14.1" customHeight="1"/>
    <row r="713" ht="14.1" customHeight="1"/>
    <row r="714" ht="14.1" customHeight="1"/>
    <row r="715" ht="14.1" customHeight="1"/>
    <row r="716" ht="14.1" customHeight="1"/>
    <row r="717" ht="14.1" customHeight="1"/>
    <row r="718" ht="14.1" customHeight="1"/>
    <row r="719" ht="14.1" customHeight="1"/>
    <row r="720" ht="14.1" customHeight="1"/>
    <row r="721" ht="14.1" customHeight="1"/>
    <row r="722" ht="14.1" customHeight="1"/>
    <row r="723" ht="14.1" customHeight="1"/>
    <row r="724" ht="14.1" customHeight="1"/>
    <row r="725" ht="14.1" customHeight="1"/>
    <row r="726" ht="14.1" customHeight="1"/>
    <row r="727" ht="14.1" customHeight="1"/>
    <row r="728" ht="14.1" customHeight="1"/>
    <row r="729" ht="14.1" customHeight="1"/>
    <row r="730" ht="14.1" customHeight="1"/>
    <row r="731" ht="14.1" customHeight="1"/>
    <row r="732" ht="14.1" customHeight="1"/>
    <row r="733" ht="14.1" customHeight="1"/>
    <row r="734" ht="14.1" customHeight="1"/>
    <row r="735" ht="14.1" customHeight="1"/>
    <row r="736" ht="14.1" customHeight="1"/>
    <row r="737" ht="14.1" customHeight="1"/>
    <row r="738" ht="14.1" customHeight="1"/>
    <row r="739" ht="14.1" customHeight="1"/>
    <row r="740" ht="14.1" customHeight="1"/>
    <row r="741" ht="14.1" customHeight="1"/>
    <row r="742" ht="14.1" customHeight="1"/>
    <row r="743" ht="14.1" customHeight="1"/>
    <row r="744" ht="14.1" customHeight="1"/>
    <row r="745" ht="14.1" customHeight="1"/>
    <row r="746" ht="14.1" customHeight="1"/>
    <row r="747" ht="14.1" customHeight="1"/>
    <row r="748" ht="14.1" customHeight="1"/>
    <row r="749" ht="14.1" customHeight="1"/>
    <row r="750" ht="14.1" customHeight="1"/>
    <row r="751" ht="14.1" customHeight="1"/>
    <row r="752" ht="14.1" customHeight="1"/>
    <row r="753" ht="14.1" customHeight="1"/>
    <row r="754" ht="14.1" customHeight="1"/>
    <row r="755" ht="14.1" customHeight="1"/>
    <row r="756" ht="14.1" customHeight="1"/>
    <row r="757" ht="14.1" customHeight="1"/>
    <row r="758" ht="14.1" customHeight="1"/>
    <row r="759" ht="14.1" customHeight="1"/>
    <row r="760" ht="14.1" customHeight="1"/>
    <row r="761" ht="14.1" customHeight="1"/>
    <row r="762" ht="14.1" customHeight="1"/>
    <row r="763" ht="14.1" customHeight="1"/>
    <row r="764" ht="14.1" customHeight="1"/>
    <row r="765" ht="14.1" customHeight="1"/>
    <row r="766" ht="14.1" customHeight="1"/>
    <row r="767" ht="14.1" customHeight="1"/>
    <row r="768" ht="14.1" customHeight="1"/>
    <row r="769" ht="14.1" customHeight="1"/>
    <row r="770" ht="14.1" customHeight="1"/>
    <row r="771" ht="14.1" customHeight="1"/>
    <row r="772" ht="14.1" customHeight="1"/>
    <row r="773" ht="14.1" customHeight="1"/>
    <row r="774" ht="14.1" customHeight="1"/>
    <row r="775" ht="14.1" customHeight="1"/>
    <row r="776" ht="14.1" customHeight="1"/>
    <row r="777" ht="14.1" customHeight="1"/>
    <row r="778" ht="14.1" customHeight="1"/>
    <row r="779" ht="14.1" customHeight="1"/>
    <row r="780" ht="14.1" customHeight="1"/>
    <row r="781" ht="14.1" customHeight="1"/>
    <row r="782" ht="14.1" customHeight="1"/>
    <row r="783" ht="14.1" customHeight="1"/>
    <row r="784" ht="14.1" customHeight="1"/>
    <row r="785" ht="14.1" customHeight="1"/>
    <row r="786" ht="14.1" customHeight="1"/>
    <row r="787" ht="14.1" customHeight="1"/>
    <row r="788" ht="14.1" customHeight="1"/>
    <row r="789" ht="14.1" customHeight="1"/>
    <row r="790" ht="14.1" customHeight="1"/>
    <row r="791" ht="14.1" customHeight="1"/>
    <row r="792" ht="14.1" customHeight="1"/>
    <row r="793" ht="14.1" customHeight="1"/>
  </sheetData>
  <autoFilter ref="A4:U107" xr:uid="{00000000-0009-0000-0000-000011000000}"/>
  <pageMargins left="0.61" right="0.16" top="0.87" bottom="0.21" header="0.16" footer="0.16"/>
  <pageSetup paperSize="8" scale="42" orientation="portrait"/>
  <headerFooter alignWithMargins="0">
    <oddFooter>&amp;L&amp;"Arial"&amp;7 &amp;KDAD4CE_x000D_# Internal_x000D_&amp;1#&amp;"Arial"&amp;7&amp;KDAD4CE Public</oddFooter>
  </headerFooter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sheetPr>
    <tabColor rgb="FF92D050"/>
    <pageSetUpPr fitToPage="1"/>
  </sheetPr>
  <dimension ref="A1:U778"/>
  <sheetViews>
    <sheetView zoomScale="80" zoomScaleNormal="80" workbookViewId="0">
      <pane ySplit="4" topLeftCell="A416" activePane="bottomLeft" state="frozen"/>
      <selection activeCell="A16" sqref="A16"/>
      <selection pane="bottomLeft" activeCell="R5" sqref="R5:R470"/>
    </sheetView>
  </sheetViews>
  <sheetFormatPr defaultColWidth="8.85546875" defaultRowHeight="15" customHeight="1"/>
  <cols>
    <col min="1" max="1" width="4.140625" style="3" customWidth="1"/>
    <col min="2" max="2" width="6.42578125" style="20" bestFit="1" customWidth="1"/>
    <col min="3" max="3" width="8.28515625" style="20" bestFit="1" customWidth="1"/>
    <col min="4" max="4" width="14.5703125" style="3" customWidth="1"/>
    <col min="5" max="5" width="16.42578125" style="3" bestFit="1" customWidth="1"/>
    <col min="6" max="6" width="6.42578125" style="3" bestFit="1" customWidth="1"/>
    <col min="7" max="7" width="16.7109375" style="3" bestFit="1" customWidth="1"/>
    <col min="8" max="8" width="30.5703125" style="3" customWidth="1"/>
    <col min="9" max="9" width="67.140625" style="2" bestFit="1" customWidth="1"/>
    <col min="10" max="10" width="4.5703125" style="3" bestFit="1" customWidth="1"/>
    <col min="11" max="11" width="11.42578125" style="3" bestFit="1" customWidth="1"/>
    <col min="12" max="12" width="16" style="3" bestFit="1" customWidth="1"/>
    <col min="13" max="13" width="14.42578125" style="3" bestFit="1" customWidth="1"/>
    <col min="14" max="14" width="5.28515625" style="3" bestFit="1" customWidth="1"/>
    <col min="15" max="15" width="10" style="3" bestFit="1" customWidth="1"/>
    <col min="16" max="16" width="5.5703125" style="3" customWidth="1"/>
    <col min="17" max="17" width="1.5703125" style="2" customWidth="1"/>
    <col min="18" max="18" width="10.5703125" style="30" customWidth="1"/>
    <col min="19" max="19" width="1.5703125" style="2" customWidth="1"/>
    <col min="20" max="20" width="11.42578125" style="2" bestFit="1" customWidth="1"/>
    <col min="21" max="21" width="10.5703125" style="2" customWidth="1"/>
    <col min="22" max="220" width="8.85546875" style="2" customWidth="1"/>
    <col min="221" max="221" width="8.140625" style="2" customWidth="1"/>
    <col min="222" max="222" width="14.5703125" style="2" customWidth="1"/>
    <col min="223" max="223" width="37.42578125" style="2" customWidth="1"/>
    <col min="224" max="224" width="63.140625" style="2" customWidth="1"/>
    <col min="225" max="225" width="20" style="2" customWidth="1"/>
    <col min="226" max="226" width="11.140625" style="2" customWidth="1"/>
    <col min="227" max="227" width="10.85546875" style="2" customWidth="1"/>
    <col min="228" max="228" width="21" style="2" customWidth="1"/>
    <col min="229" max="229" width="10.85546875" style="2" customWidth="1"/>
    <col min="230" max="230" width="17.42578125" style="2" customWidth="1"/>
    <col min="231" max="231" width="14.85546875" style="2" customWidth="1"/>
    <col min="232" max="232" width="15" style="2" customWidth="1"/>
    <col min="233" max="233" width="14.85546875" style="2" customWidth="1"/>
    <col min="234" max="234" width="7.140625" style="2" customWidth="1"/>
    <col min="235" max="236" width="20.140625" style="2" customWidth="1"/>
    <col min="237" max="237" width="18.42578125" style="2" customWidth="1"/>
    <col min="238" max="238" width="9.140625" style="2" customWidth="1"/>
    <col min="239" max="239" width="12" style="2" customWidth="1"/>
    <col min="240" max="240" width="14.85546875" style="2" customWidth="1"/>
    <col min="241" max="241" width="22.42578125" style="2" customWidth="1"/>
    <col min="242" max="242" width="14.85546875" style="2" customWidth="1"/>
    <col min="243" max="243" width="7.140625" style="2" customWidth="1"/>
    <col min="244" max="244" width="20.140625" style="2" customWidth="1"/>
    <col min="245" max="476" width="8.85546875" style="2" customWidth="1"/>
    <col min="477" max="477" width="8.140625" style="2" customWidth="1"/>
    <col min="478" max="478" width="14.5703125" style="2" customWidth="1"/>
    <col min="479" max="479" width="37.42578125" style="2" customWidth="1"/>
    <col min="480" max="480" width="63.140625" style="2" customWidth="1"/>
    <col min="481" max="481" width="20" style="2" customWidth="1"/>
    <col min="482" max="482" width="11.140625" style="2" customWidth="1"/>
    <col min="483" max="483" width="10.85546875" style="2" customWidth="1"/>
    <col min="484" max="484" width="21" style="2" customWidth="1"/>
    <col min="485" max="485" width="10.85546875" style="2" customWidth="1"/>
    <col min="486" max="486" width="17.42578125" style="2" customWidth="1"/>
    <col min="487" max="487" width="14.85546875" style="2" customWidth="1"/>
    <col min="488" max="488" width="15" style="2" customWidth="1"/>
    <col min="489" max="489" width="14.85546875" style="2" customWidth="1"/>
    <col min="490" max="490" width="7.140625" style="2" customWidth="1"/>
    <col min="491" max="492" width="20.140625" style="2" customWidth="1"/>
    <col min="493" max="493" width="18.42578125" style="2" customWidth="1"/>
    <col min="494" max="494" width="9.140625" style="2" customWidth="1"/>
    <col min="495" max="495" width="12" style="2" customWidth="1"/>
    <col min="496" max="496" width="14.85546875" style="2" customWidth="1"/>
    <col min="497" max="497" width="22.42578125" style="2" customWidth="1"/>
    <col min="498" max="498" width="14.85546875" style="2" customWidth="1"/>
    <col min="499" max="499" width="7.140625" style="2" customWidth="1"/>
    <col min="500" max="500" width="20.140625" style="2" customWidth="1"/>
    <col min="501" max="732" width="8.85546875" style="2" customWidth="1"/>
    <col min="733" max="733" width="8.140625" style="2" customWidth="1"/>
    <col min="734" max="734" width="14.5703125" style="2" customWidth="1"/>
    <col min="735" max="735" width="37.42578125" style="2" customWidth="1"/>
    <col min="736" max="736" width="63.140625" style="2" customWidth="1"/>
    <col min="737" max="737" width="20" style="2" customWidth="1"/>
    <col min="738" max="738" width="11.140625" style="2" customWidth="1"/>
    <col min="739" max="739" width="10.85546875" style="2" customWidth="1"/>
    <col min="740" max="740" width="21" style="2" customWidth="1"/>
    <col min="741" max="741" width="10.85546875" style="2" customWidth="1"/>
    <col min="742" max="742" width="17.42578125" style="2" customWidth="1"/>
    <col min="743" max="743" width="14.85546875" style="2" customWidth="1"/>
    <col min="744" max="744" width="15" style="2" customWidth="1"/>
    <col min="745" max="745" width="14.85546875" style="2" customWidth="1"/>
    <col min="746" max="746" width="7.140625" style="2" customWidth="1"/>
    <col min="747" max="748" width="20.140625" style="2" customWidth="1"/>
    <col min="749" max="749" width="18.42578125" style="2" customWidth="1"/>
    <col min="750" max="750" width="9.140625" style="2" customWidth="1"/>
    <col min="751" max="751" width="12" style="2" customWidth="1"/>
    <col min="752" max="752" width="14.85546875" style="2" customWidth="1"/>
    <col min="753" max="753" width="22.42578125" style="2" customWidth="1"/>
    <col min="754" max="754" width="14.85546875" style="2" customWidth="1"/>
    <col min="755" max="755" width="7.140625" style="2" customWidth="1"/>
    <col min="756" max="756" width="20.140625" style="2" customWidth="1"/>
    <col min="757" max="988" width="8.85546875" style="2" customWidth="1"/>
    <col min="989" max="989" width="8.140625" style="2" customWidth="1"/>
    <col min="990" max="990" width="14.5703125" style="2" customWidth="1"/>
    <col min="991" max="991" width="37.42578125" style="2" customWidth="1"/>
    <col min="992" max="992" width="63.140625" style="2" customWidth="1"/>
    <col min="993" max="993" width="20" style="2" customWidth="1"/>
    <col min="994" max="994" width="11.140625" style="2" customWidth="1"/>
    <col min="995" max="995" width="10.85546875" style="2" customWidth="1"/>
    <col min="996" max="996" width="21" style="2" customWidth="1"/>
    <col min="997" max="997" width="10.85546875" style="2" customWidth="1"/>
    <col min="998" max="998" width="17.42578125" style="2" customWidth="1"/>
    <col min="999" max="999" width="14.85546875" style="2" customWidth="1"/>
    <col min="1000" max="1000" width="15" style="2" customWidth="1"/>
    <col min="1001" max="1001" width="14.85546875" style="2" customWidth="1"/>
    <col min="1002" max="1002" width="7.140625" style="2" customWidth="1"/>
    <col min="1003" max="1004" width="20.140625" style="2" customWidth="1"/>
    <col min="1005" max="1005" width="18.42578125" style="2" customWidth="1"/>
    <col min="1006" max="1006" width="9.140625" style="2" customWidth="1"/>
    <col min="1007" max="1007" width="12" style="2" customWidth="1"/>
    <col min="1008" max="1008" width="14.85546875" style="2" customWidth="1"/>
    <col min="1009" max="1009" width="22.42578125" style="2" customWidth="1"/>
    <col min="1010" max="1010" width="14.85546875" style="2" customWidth="1"/>
    <col min="1011" max="1011" width="7.140625" style="2" customWidth="1"/>
    <col min="1012" max="1012" width="20.140625" style="2" customWidth="1"/>
    <col min="1013" max="1244" width="8.85546875" style="2" customWidth="1"/>
    <col min="1245" max="1245" width="8.140625" style="2" customWidth="1"/>
    <col min="1246" max="1246" width="14.5703125" style="2" customWidth="1"/>
    <col min="1247" max="1247" width="37.42578125" style="2" customWidth="1"/>
    <col min="1248" max="1248" width="63.140625" style="2" customWidth="1"/>
    <col min="1249" max="1249" width="20" style="2" customWidth="1"/>
    <col min="1250" max="1250" width="11.140625" style="2" customWidth="1"/>
    <col min="1251" max="1251" width="10.85546875" style="2" customWidth="1"/>
    <col min="1252" max="1252" width="21" style="2" customWidth="1"/>
    <col min="1253" max="1253" width="10.85546875" style="2" customWidth="1"/>
    <col min="1254" max="1254" width="17.42578125" style="2" customWidth="1"/>
    <col min="1255" max="1255" width="14.85546875" style="2" customWidth="1"/>
    <col min="1256" max="1256" width="15" style="2" customWidth="1"/>
    <col min="1257" max="1257" width="14.85546875" style="2" customWidth="1"/>
    <col min="1258" max="1258" width="7.140625" style="2" customWidth="1"/>
    <col min="1259" max="1260" width="20.140625" style="2" customWidth="1"/>
    <col min="1261" max="1261" width="18.42578125" style="2" customWidth="1"/>
    <col min="1262" max="1262" width="9.140625" style="2" customWidth="1"/>
    <col min="1263" max="1263" width="12" style="2" customWidth="1"/>
    <col min="1264" max="1264" width="14.85546875" style="2" customWidth="1"/>
    <col min="1265" max="1265" width="22.42578125" style="2" customWidth="1"/>
    <col min="1266" max="1266" width="14.85546875" style="2" customWidth="1"/>
    <col min="1267" max="1267" width="7.140625" style="2" customWidth="1"/>
    <col min="1268" max="1268" width="20.140625" style="2" customWidth="1"/>
    <col min="1269" max="1500" width="8.85546875" style="2" customWidth="1"/>
    <col min="1501" max="1501" width="8.140625" style="2" customWidth="1"/>
    <col min="1502" max="1502" width="14.5703125" style="2" customWidth="1"/>
    <col min="1503" max="1503" width="37.42578125" style="2" customWidth="1"/>
    <col min="1504" max="1504" width="63.140625" style="2" customWidth="1"/>
    <col min="1505" max="1505" width="20" style="2" customWidth="1"/>
    <col min="1506" max="1506" width="11.140625" style="2" customWidth="1"/>
    <col min="1507" max="1507" width="10.85546875" style="2" customWidth="1"/>
    <col min="1508" max="1508" width="21" style="2" customWidth="1"/>
    <col min="1509" max="1509" width="10.85546875" style="2" customWidth="1"/>
    <col min="1510" max="1510" width="17.42578125" style="2" customWidth="1"/>
    <col min="1511" max="1511" width="14.85546875" style="2" customWidth="1"/>
    <col min="1512" max="1512" width="15" style="2" customWidth="1"/>
    <col min="1513" max="1513" width="14.85546875" style="2" customWidth="1"/>
    <col min="1514" max="1514" width="7.140625" style="2" customWidth="1"/>
    <col min="1515" max="1516" width="20.140625" style="2" customWidth="1"/>
    <col min="1517" max="1517" width="18.42578125" style="2" customWidth="1"/>
    <col min="1518" max="1518" width="9.140625" style="2" customWidth="1"/>
    <col min="1519" max="1519" width="12" style="2" customWidth="1"/>
    <col min="1520" max="1520" width="14.85546875" style="2" customWidth="1"/>
    <col min="1521" max="1521" width="22.42578125" style="2" customWidth="1"/>
    <col min="1522" max="1522" width="14.85546875" style="2" customWidth="1"/>
    <col min="1523" max="1523" width="7.140625" style="2" customWidth="1"/>
    <col min="1524" max="1524" width="20.140625" style="2" customWidth="1"/>
    <col min="1525" max="1756" width="8.85546875" style="2" customWidth="1"/>
    <col min="1757" max="1757" width="8.140625" style="2" customWidth="1"/>
    <col min="1758" max="1758" width="14.5703125" style="2" customWidth="1"/>
    <col min="1759" max="1759" width="37.42578125" style="2" customWidth="1"/>
    <col min="1760" max="1760" width="63.140625" style="2" customWidth="1"/>
    <col min="1761" max="1761" width="20" style="2" customWidth="1"/>
    <col min="1762" max="1762" width="11.140625" style="2" customWidth="1"/>
    <col min="1763" max="1763" width="10.85546875" style="2" customWidth="1"/>
    <col min="1764" max="1764" width="21" style="2" customWidth="1"/>
    <col min="1765" max="1765" width="10.85546875" style="2" customWidth="1"/>
    <col min="1766" max="1766" width="17.42578125" style="2" customWidth="1"/>
    <col min="1767" max="1767" width="14.85546875" style="2" customWidth="1"/>
    <col min="1768" max="1768" width="15" style="2" customWidth="1"/>
    <col min="1769" max="1769" width="14.85546875" style="2" customWidth="1"/>
    <col min="1770" max="1770" width="7.140625" style="2" customWidth="1"/>
    <col min="1771" max="1772" width="20.140625" style="2" customWidth="1"/>
    <col min="1773" max="1773" width="18.42578125" style="2" customWidth="1"/>
    <col min="1774" max="1774" width="9.140625" style="2" customWidth="1"/>
    <col min="1775" max="1775" width="12" style="2" customWidth="1"/>
    <col min="1776" max="1776" width="14.85546875" style="2" customWidth="1"/>
    <col min="1777" max="1777" width="22.42578125" style="2" customWidth="1"/>
    <col min="1778" max="1778" width="14.85546875" style="2" customWidth="1"/>
    <col min="1779" max="1779" width="7.140625" style="2" customWidth="1"/>
    <col min="1780" max="1780" width="20.140625" style="2" customWidth="1"/>
    <col min="1781" max="2012" width="8.85546875" style="2" customWidth="1"/>
    <col min="2013" max="2013" width="8.140625" style="2" customWidth="1"/>
    <col min="2014" max="2014" width="14.5703125" style="2" customWidth="1"/>
    <col min="2015" max="2015" width="37.42578125" style="2" customWidth="1"/>
    <col min="2016" max="2016" width="63.140625" style="2" customWidth="1"/>
    <col min="2017" max="2017" width="20" style="2" customWidth="1"/>
    <col min="2018" max="2018" width="11.140625" style="2" customWidth="1"/>
    <col min="2019" max="2019" width="10.85546875" style="2" customWidth="1"/>
    <col min="2020" max="2020" width="21" style="2" customWidth="1"/>
    <col min="2021" max="2021" width="10.85546875" style="2" customWidth="1"/>
    <col min="2022" max="2022" width="17.42578125" style="2" customWidth="1"/>
    <col min="2023" max="2023" width="14.85546875" style="2" customWidth="1"/>
    <col min="2024" max="2024" width="15" style="2" customWidth="1"/>
    <col min="2025" max="2025" width="14.85546875" style="2" customWidth="1"/>
    <col min="2026" max="2026" width="7.140625" style="2" customWidth="1"/>
    <col min="2027" max="2028" width="20.140625" style="2" customWidth="1"/>
    <col min="2029" max="2029" width="18.42578125" style="2" customWidth="1"/>
    <col min="2030" max="2030" width="9.140625" style="2" customWidth="1"/>
    <col min="2031" max="2031" width="12" style="2" customWidth="1"/>
    <col min="2032" max="2032" width="14.85546875" style="2" customWidth="1"/>
    <col min="2033" max="2033" width="22.42578125" style="2" customWidth="1"/>
    <col min="2034" max="2034" width="14.85546875" style="2" customWidth="1"/>
    <col min="2035" max="2035" width="7.140625" style="2" customWidth="1"/>
    <col min="2036" max="2036" width="20.140625" style="2" customWidth="1"/>
    <col min="2037" max="2268" width="8.85546875" style="2" customWidth="1"/>
    <col min="2269" max="2269" width="8.140625" style="2" customWidth="1"/>
    <col min="2270" max="2270" width="14.5703125" style="2" customWidth="1"/>
    <col min="2271" max="2271" width="37.42578125" style="2" customWidth="1"/>
    <col min="2272" max="2272" width="63.140625" style="2" customWidth="1"/>
    <col min="2273" max="2273" width="20" style="2" customWidth="1"/>
    <col min="2274" max="2274" width="11.140625" style="2" customWidth="1"/>
    <col min="2275" max="2275" width="10.85546875" style="2" customWidth="1"/>
    <col min="2276" max="2276" width="21" style="2" customWidth="1"/>
    <col min="2277" max="2277" width="10.85546875" style="2" customWidth="1"/>
    <col min="2278" max="2278" width="17.42578125" style="2" customWidth="1"/>
    <col min="2279" max="2279" width="14.85546875" style="2" customWidth="1"/>
    <col min="2280" max="2280" width="15" style="2" customWidth="1"/>
    <col min="2281" max="2281" width="14.85546875" style="2" customWidth="1"/>
    <col min="2282" max="2282" width="7.140625" style="2" customWidth="1"/>
    <col min="2283" max="2284" width="20.140625" style="2" customWidth="1"/>
    <col min="2285" max="2285" width="18.42578125" style="2" customWidth="1"/>
    <col min="2286" max="2286" width="9.140625" style="2" customWidth="1"/>
    <col min="2287" max="2287" width="12" style="2" customWidth="1"/>
    <col min="2288" max="2288" width="14.85546875" style="2" customWidth="1"/>
    <col min="2289" max="2289" width="22.42578125" style="2" customWidth="1"/>
    <col min="2290" max="2290" width="14.85546875" style="2" customWidth="1"/>
    <col min="2291" max="2291" width="7.140625" style="2" customWidth="1"/>
    <col min="2292" max="2292" width="20.140625" style="2" customWidth="1"/>
    <col min="2293" max="2524" width="8.85546875" style="2" customWidth="1"/>
    <col min="2525" max="2525" width="8.140625" style="2" customWidth="1"/>
    <col min="2526" max="2526" width="14.5703125" style="2" customWidth="1"/>
    <col min="2527" max="2527" width="37.42578125" style="2" customWidth="1"/>
    <col min="2528" max="2528" width="63.140625" style="2" customWidth="1"/>
    <col min="2529" max="2529" width="20" style="2" customWidth="1"/>
    <col min="2530" max="2530" width="11.140625" style="2" customWidth="1"/>
    <col min="2531" max="2531" width="10.85546875" style="2" customWidth="1"/>
    <col min="2532" max="2532" width="21" style="2" customWidth="1"/>
    <col min="2533" max="2533" width="10.85546875" style="2" customWidth="1"/>
    <col min="2534" max="2534" width="17.42578125" style="2" customWidth="1"/>
    <col min="2535" max="2535" width="14.85546875" style="2" customWidth="1"/>
    <col min="2536" max="2536" width="15" style="2" customWidth="1"/>
    <col min="2537" max="2537" width="14.85546875" style="2" customWidth="1"/>
    <col min="2538" max="2538" width="7.140625" style="2" customWidth="1"/>
    <col min="2539" max="2540" width="20.140625" style="2" customWidth="1"/>
    <col min="2541" max="2541" width="18.42578125" style="2" customWidth="1"/>
    <col min="2542" max="2542" width="9.140625" style="2" customWidth="1"/>
    <col min="2543" max="2543" width="12" style="2" customWidth="1"/>
    <col min="2544" max="2544" width="14.85546875" style="2" customWidth="1"/>
    <col min="2545" max="2545" width="22.42578125" style="2" customWidth="1"/>
    <col min="2546" max="2546" width="14.85546875" style="2" customWidth="1"/>
    <col min="2547" max="2547" width="7.140625" style="2" customWidth="1"/>
    <col min="2548" max="2548" width="20.140625" style="2" customWidth="1"/>
    <col min="2549" max="2780" width="8.85546875" style="2" customWidth="1"/>
    <col min="2781" max="2781" width="8.140625" style="2" customWidth="1"/>
    <col min="2782" max="2782" width="14.5703125" style="2" customWidth="1"/>
    <col min="2783" max="2783" width="37.42578125" style="2" customWidth="1"/>
    <col min="2784" max="2784" width="63.140625" style="2" customWidth="1"/>
    <col min="2785" max="2785" width="20" style="2" customWidth="1"/>
    <col min="2786" max="2786" width="11.140625" style="2" customWidth="1"/>
    <col min="2787" max="2787" width="10.85546875" style="2" customWidth="1"/>
    <col min="2788" max="2788" width="21" style="2" customWidth="1"/>
    <col min="2789" max="2789" width="10.85546875" style="2" customWidth="1"/>
    <col min="2790" max="2790" width="17.42578125" style="2" customWidth="1"/>
    <col min="2791" max="2791" width="14.85546875" style="2" customWidth="1"/>
    <col min="2792" max="2792" width="15" style="2" customWidth="1"/>
    <col min="2793" max="2793" width="14.85546875" style="2" customWidth="1"/>
    <col min="2794" max="2794" width="7.140625" style="2" customWidth="1"/>
    <col min="2795" max="2796" width="20.140625" style="2" customWidth="1"/>
    <col min="2797" max="2797" width="18.42578125" style="2" customWidth="1"/>
    <col min="2798" max="2798" width="9.140625" style="2" customWidth="1"/>
    <col min="2799" max="2799" width="12" style="2" customWidth="1"/>
    <col min="2800" max="2800" width="14.85546875" style="2" customWidth="1"/>
    <col min="2801" max="2801" width="22.42578125" style="2" customWidth="1"/>
    <col min="2802" max="2802" width="14.85546875" style="2" customWidth="1"/>
    <col min="2803" max="2803" width="7.140625" style="2" customWidth="1"/>
    <col min="2804" max="2804" width="20.140625" style="2" customWidth="1"/>
    <col min="2805" max="3036" width="8.85546875" style="2" customWidth="1"/>
    <col min="3037" max="3037" width="8.140625" style="2" customWidth="1"/>
    <col min="3038" max="3038" width="14.5703125" style="2" customWidth="1"/>
    <col min="3039" max="3039" width="37.42578125" style="2" customWidth="1"/>
    <col min="3040" max="3040" width="63.140625" style="2" customWidth="1"/>
    <col min="3041" max="3041" width="20" style="2" customWidth="1"/>
    <col min="3042" max="3042" width="11.140625" style="2" customWidth="1"/>
    <col min="3043" max="3043" width="10.85546875" style="2" customWidth="1"/>
    <col min="3044" max="3044" width="21" style="2" customWidth="1"/>
    <col min="3045" max="3045" width="10.85546875" style="2" customWidth="1"/>
    <col min="3046" max="3046" width="17.42578125" style="2" customWidth="1"/>
    <col min="3047" max="3047" width="14.85546875" style="2" customWidth="1"/>
    <col min="3048" max="3048" width="15" style="2" customWidth="1"/>
    <col min="3049" max="3049" width="14.85546875" style="2" customWidth="1"/>
    <col min="3050" max="3050" width="7.140625" style="2" customWidth="1"/>
    <col min="3051" max="3052" width="20.140625" style="2" customWidth="1"/>
    <col min="3053" max="3053" width="18.42578125" style="2" customWidth="1"/>
    <col min="3054" max="3054" width="9.140625" style="2" customWidth="1"/>
    <col min="3055" max="3055" width="12" style="2" customWidth="1"/>
    <col min="3056" max="3056" width="14.85546875" style="2" customWidth="1"/>
    <col min="3057" max="3057" width="22.42578125" style="2" customWidth="1"/>
    <col min="3058" max="3058" width="14.85546875" style="2" customWidth="1"/>
    <col min="3059" max="3059" width="7.140625" style="2" customWidth="1"/>
    <col min="3060" max="3060" width="20.140625" style="2" customWidth="1"/>
    <col min="3061" max="3292" width="8.85546875" style="2" customWidth="1"/>
    <col min="3293" max="3293" width="8.140625" style="2" customWidth="1"/>
    <col min="3294" max="3294" width="14.5703125" style="2" customWidth="1"/>
    <col min="3295" max="3295" width="37.42578125" style="2" customWidth="1"/>
    <col min="3296" max="3296" width="63.140625" style="2" customWidth="1"/>
    <col min="3297" max="3297" width="20" style="2" customWidth="1"/>
    <col min="3298" max="3298" width="11.140625" style="2" customWidth="1"/>
    <col min="3299" max="3299" width="10.85546875" style="2" customWidth="1"/>
    <col min="3300" max="3300" width="21" style="2" customWidth="1"/>
    <col min="3301" max="3301" width="10.85546875" style="2" customWidth="1"/>
    <col min="3302" max="3302" width="17.42578125" style="2" customWidth="1"/>
    <col min="3303" max="3303" width="14.85546875" style="2" customWidth="1"/>
    <col min="3304" max="3304" width="15" style="2" customWidth="1"/>
    <col min="3305" max="3305" width="14.85546875" style="2" customWidth="1"/>
    <col min="3306" max="3306" width="7.140625" style="2" customWidth="1"/>
    <col min="3307" max="3308" width="20.140625" style="2" customWidth="1"/>
    <col min="3309" max="3309" width="18.42578125" style="2" customWidth="1"/>
    <col min="3310" max="3310" width="9.140625" style="2" customWidth="1"/>
    <col min="3311" max="3311" width="12" style="2" customWidth="1"/>
    <col min="3312" max="3312" width="14.85546875" style="2" customWidth="1"/>
    <col min="3313" max="3313" width="22.42578125" style="2" customWidth="1"/>
    <col min="3314" max="3314" width="14.85546875" style="2" customWidth="1"/>
    <col min="3315" max="3315" width="7.140625" style="2" customWidth="1"/>
    <col min="3316" max="3316" width="20.140625" style="2" customWidth="1"/>
    <col min="3317" max="3548" width="8.85546875" style="2" customWidth="1"/>
    <col min="3549" max="3549" width="8.140625" style="2" customWidth="1"/>
    <col min="3550" max="3550" width="14.5703125" style="2" customWidth="1"/>
    <col min="3551" max="3551" width="37.42578125" style="2" customWidth="1"/>
    <col min="3552" max="3552" width="63.140625" style="2" customWidth="1"/>
    <col min="3553" max="3553" width="20" style="2" customWidth="1"/>
    <col min="3554" max="3554" width="11.140625" style="2" customWidth="1"/>
    <col min="3555" max="3555" width="10.85546875" style="2" customWidth="1"/>
    <col min="3556" max="3556" width="21" style="2" customWidth="1"/>
    <col min="3557" max="3557" width="10.85546875" style="2" customWidth="1"/>
    <col min="3558" max="3558" width="17.42578125" style="2" customWidth="1"/>
    <col min="3559" max="3559" width="14.85546875" style="2" customWidth="1"/>
    <col min="3560" max="3560" width="15" style="2" customWidth="1"/>
    <col min="3561" max="3561" width="14.85546875" style="2" customWidth="1"/>
    <col min="3562" max="3562" width="7.140625" style="2" customWidth="1"/>
    <col min="3563" max="3564" width="20.140625" style="2" customWidth="1"/>
    <col min="3565" max="3565" width="18.42578125" style="2" customWidth="1"/>
    <col min="3566" max="3566" width="9.140625" style="2" customWidth="1"/>
    <col min="3567" max="3567" width="12" style="2" customWidth="1"/>
    <col min="3568" max="3568" width="14.85546875" style="2" customWidth="1"/>
    <col min="3569" max="3569" width="22.42578125" style="2" customWidth="1"/>
    <col min="3570" max="3570" width="14.85546875" style="2" customWidth="1"/>
    <col min="3571" max="3571" width="7.140625" style="2" customWidth="1"/>
    <col min="3572" max="3572" width="20.140625" style="2" customWidth="1"/>
    <col min="3573" max="3804" width="8.85546875" style="2" customWidth="1"/>
    <col min="3805" max="3805" width="8.140625" style="2" customWidth="1"/>
    <col min="3806" max="3806" width="14.5703125" style="2" customWidth="1"/>
    <col min="3807" max="3807" width="37.42578125" style="2" customWidth="1"/>
    <col min="3808" max="3808" width="63.140625" style="2" customWidth="1"/>
    <col min="3809" max="3809" width="20" style="2" customWidth="1"/>
    <col min="3810" max="3810" width="11.140625" style="2" customWidth="1"/>
    <col min="3811" max="3811" width="10.85546875" style="2" customWidth="1"/>
    <col min="3812" max="3812" width="21" style="2" customWidth="1"/>
    <col min="3813" max="3813" width="10.85546875" style="2" customWidth="1"/>
    <col min="3814" max="3814" width="17.42578125" style="2" customWidth="1"/>
    <col min="3815" max="3815" width="14.85546875" style="2" customWidth="1"/>
    <col min="3816" max="3816" width="15" style="2" customWidth="1"/>
    <col min="3817" max="3817" width="14.85546875" style="2" customWidth="1"/>
    <col min="3818" max="3818" width="7.140625" style="2" customWidth="1"/>
    <col min="3819" max="3820" width="20.140625" style="2" customWidth="1"/>
    <col min="3821" max="3821" width="18.42578125" style="2" customWidth="1"/>
    <col min="3822" max="3822" width="9.140625" style="2" customWidth="1"/>
    <col min="3823" max="3823" width="12" style="2" customWidth="1"/>
    <col min="3824" max="3824" width="14.85546875" style="2" customWidth="1"/>
    <col min="3825" max="3825" width="22.42578125" style="2" customWidth="1"/>
    <col min="3826" max="3826" width="14.85546875" style="2" customWidth="1"/>
    <col min="3827" max="3827" width="7.140625" style="2" customWidth="1"/>
    <col min="3828" max="3828" width="20.140625" style="2" customWidth="1"/>
    <col min="3829" max="4060" width="8.85546875" style="2" customWidth="1"/>
    <col min="4061" max="4061" width="8.140625" style="2" customWidth="1"/>
    <col min="4062" max="4062" width="14.5703125" style="2" customWidth="1"/>
    <col min="4063" max="4063" width="37.42578125" style="2" customWidth="1"/>
    <col min="4064" max="4064" width="63.140625" style="2" customWidth="1"/>
    <col min="4065" max="4065" width="20" style="2" customWidth="1"/>
    <col min="4066" max="4066" width="11.140625" style="2" customWidth="1"/>
    <col min="4067" max="4067" width="10.85546875" style="2" customWidth="1"/>
    <col min="4068" max="4068" width="21" style="2" customWidth="1"/>
    <col min="4069" max="4069" width="10.85546875" style="2" customWidth="1"/>
    <col min="4070" max="4070" width="17.42578125" style="2" customWidth="1"/>
    <col min="4071" max="4071" width="14.85546875" style="2" customWidth="1"/>
    <col min="4072" max="4072" width="15" style="2" customWidth="1"/>
    <col min="4073" max="4073" width="14.85546875" style="2" customWidth="1"/>
    <col min="4074" max="4074" width="7.140625" style="2" customWidth="1"/>
    <col min="4075" max="4076" width="20.140625" style="2" customWidth="1"/>
    <col min="4077" max="4077" width="18.42578125" style="2" customWidth="1"/>
    <col min="4078" max="4078" width="9.140625" style="2" customWidth="1"/>
    <col min="4079" max="4079" width="12" style="2" customWidth="1"/>
    <col min="4080" max="4080" width="14.85546875" style="2" customWidth="1"/>
    <col min="4081" max="4081" width="22.42578125" style="2" customWidth="1"/>
    <col min="4082" max="4082" width="14.85546875" style="2" customWidth="1"/>
    <col min="4083" max="4083" width="7.140625" style="2" customWidth="1"/>
    <col min="4084" max="4084" width="20.140625" style="2" customWidth="1"/>
    <col min="4085" max="4316" width="8.85546875" style="2" customWidth="1"/>
    <col min="4317" max="4317" width="8.140625" style="2" customWidth="1"/>
    <col min="4318" max="4318" width="14.5703125" style="2" customWidth="1"/>
    <col min="4319" max="4319" width="37.42578125" style="2" customWidth="1"/>
    <col min="4320" max="4320" width="63.140625" style="2" customWidth="1"/>
    <col min="4321" max="4321" width="20" style="2" customWidth="1"/>
    <col min="4322" max="4322" width="11.140625" style="2" customWidth="1"/>
    <col min="4323" max="4323" width="10.85546875" style="2" customWidth="1"/>
    <col min="4324" max="4324" width="21" style="2" customWidth="1"/>
    <col min="4325" max="4325" width="10.85546875" style="2" customWidth="1"/>
    <col min="4326" max="4326" width="17.42578125" style="2" customWidth="1"/>
    <col min="4327" max="4327" width="14.85546875" style="2" customWidth="1"/>
    <col min="4328" max="4328" width="15" style="2" customWidth="1"/>
    <col min="4329" max="4329" width="14.85546875" style="2" customWidth="1"/>
    <col min="4330" max="4330" width="7.140625" style="2" customWidth="1"/>
    <col min="4331" max="4332" width="20.140625" style="2" customWidth="1"/>
    <col min="4333" max="4333" width="18.42578125" style="2" customWidth="1"/>
    <col min="4334" max="4334" width="9.140625" style="2" customWidth="1"/>
    <col min="4335" max="4335" width="12" style="2" customWidth="1"/>
    <col min="4336" max="4336" width="14.85546875" style="2" customWidth="1"/>
    <col min="4337" max="4337" width="22.42578125" style="2" customWidth="1"/>
    <col min="4338" max="4338" width="14.85546875" style="2" customWidth="1"/>
    <col min="4339" max="4339" width="7.140625" style="2" customWidth="1"/>
    <col min="4340" max="4340" width="20.140625" style="2" customWidth="1"/>
    <col min="4341" max="4572" width="8.85546875" style="2" customWidth="1"/>
    <col min="4573" max="4573" width="8.140625" style="2" customWidth="1"/>
    <col min="4574" max="4574" width="14.5703125" style="2" customWidth="1"/>
    <col min="4575" max="4575" width="37.42578125" style="2" customWidth="1"/>
    <col min="4576" max="4576" width="63.140625" style="2" customWidth="1"/>
    <col min="4577" max="4577" width="20" style="2" customWidth="1"/>
    <col min="4578" max="4578" width="11.140625" style="2" customWidth="1"/>
    <col min="4579" max="4579" width="10.85546875" style="2" customWidth="1"/>
    <col min="4580" max="4580" width="21" style="2" customWidth="1"/>
    <col min="4581" max="4581" width="10.85546875" style="2" customWidth="1"/>
    <col min="4582" max="4582" width="17.42578125" style="2" customWidth="1"/>
    <col min="4583" max="4583" width="14.85546875" style="2" customWidth="1"/>
    <col min="4584" max="4584" width="15" style="2" customWidth="1"/>
    <col min="4585" max="4585" width="14.85546875" style="2" customWidth="1"/>
    <col min="4586" max="4586" width="7.140625" style="2" customWidth="1"/>
    <col min="4587" max="4588" width="20.140625" style="2" customWidth="1"/>
    <col min="4589" max="4589" width="18.42578125" style="2" customWidth="1"/>
    <col min="4590" max="4590" width="9.140625" style="2" customWidth="1"/>
    <col min="4591" max="4591" width="12" style="2" customWidth="1"/>
    <col min="4592" max="4592" width="14.85546875" style="2" customWidth="1"/>
    <col min="4593" max="4593" width="22.42578125" style="2" customWidth="1"/>
    <col min="4594" max="4594" width="14.85546875" style="2" customWidth="1"/>
    <col min="4595" max="4595" width="7.140625" style="2" customWidth="1"/>
    <col min="4596" max="4596" width="20.140625" style="2" customWidth="1"/>
    <col min="4597" max="4828" width="8.85546875" style="2" customWidth="1"/>
    <col min="4829" max="4829" width="8.140625" style="2" customWidth="1"/>
    <col min="4830" max="4830" width="14.5703125" style="2" customWidth="1"/>
    <col min="4831" max="4831" width="37.42578125" style="2" customWidth="1"/>
    <col min="4832" max="4832" width="63.140625" style="2" customWidth="1"/>
    <col min="4833" max="4833" width="20" style="2" customWidth="1"/>
    <col min="4834" max="4834" width="11.140625" style="2" customWidth="1"/>
    <col min="4835" max="4835" width="10.85546875" style="2" customWidth="1"/>
    <col min="4836" max="4836" width="21" style="2" customWidth="1"/>
    <col min="4837" max="4837" width="10.85546875" style="2" customWidth="1"/>
    <col min="4838" max="4838" width="17.42578125" style="2" customWidth="1"/>
    <col min="4839" max="4839" width="14.85546875" style="2" customWidth="1"/>
    <col min="4840" max="4840" width="15" style="2" customWidth="1"/>
    <col min="4841" max="4841" width="14.85546875" style="2" customWidth="1"/>
    <col min="4842" max="4842" width="7.140625" style="2" customWidth="1"/>
    <col min="4843" max="4844" width="20.140625" style="2" customWidth="1"/>
    <col min="4845" max="4845" width="18.42578125" style="2" customWidth="1"/>
    <col min="4846" max="4846" width="9.140625" style="2" customWidth="1"/>
    <col min="4847" max="4847" width="12" style="2" customWidth="1"/>
    <col min="4848" max="4848" width="14.85546875" style="2" customWidth="1"/>
    <col min="4849" max="4849" width="22.42578125" style="2" customWidth="1"/>
    <col min="4850" max="4850" width="14.85546875" style="2" customWidth="1"/>
    <col min="4851" max="4851" width="7.140625" style="2" customWidth="1"/>
    <col min="4852" max="4852" width="20.140625" style="2" customWidth="1"/>
    <col min="4853" max="5084" width="8.85546875" style="2" customWidth="1"/>
    <col min="5085" max="5085" width="8.140625" style="2" customWidth="1"/>
    <col min="5086" max="5086" width="14.5703125" style="2" customWidth="1"/>
    <col min="5087" max="5087" width="37.42578125" style="2" customWidth="1"/>
    <col min="5088" max="5088" width="63.140625" style="2" customWidth="1"/>
    <col min="5089" max="5089" width="20" style="2" customWidth="1"/>
    <col min="5090" max="5090" width="11.140625" style="2" customWidth="1"/>
    <col min="5091" max="5091" width="10.85546875" style="2" customWidth="1"/>
    <col min="5092" max="5092" width="21" style="2" customWidth="1"/>
    <col min="5093" max="5093" width="10.85546875" style="2" customWidth="1"/>
    <col min="5094" max="5094" width="17.42578125" style="2" customWidth="1"/>
    <col min="5095" max="5095" width="14.85546875" style="2" customWidth="1"/>
    <col min="5096" max="5096" width="15" style="2" customWidth="1"/>
    <col min="5097" max="5097" width="14.85546875" style="2" customWidth="1"/>
    <col min="5098" max="5098" width="7.140625" style="2" customWidth="1"/>
    <col min="5099" max="5100" width="20.140625" style="2" customWidth="1"/>
    <col min="5101" max="5101" width="18.42578125" style="2" customWidth="1"/>
    <col min="5102" max="5102" width="9.140625" style="2" customWidth="1"/>
    <col min="5103" max="5103" width="12" style="2" customWidth="1"/>
    <col min="5104" max="5104" width="14.85546875" style="2" customWidth="1"/>
    <col min="5105" max="5105" width="22.42578125" style="2" customWidth="1"/>
    <col min="5106" max="5106" width="14.85546875" style="2" customWidth="1"/>
    <col min="5107" max="5107" width="7.140625" style="2" customWidth="1"/>
    <col min="5108" max="5108" width="20.140625" style="2" customWidth="1"/>
    <col min="5109" max="5340" width="8.85546875" style="2" customWidth="1"/>
    <col min="5341" max="5341" width="8.140625" style="2" customWidth="1"/>
    <col min="5342" max="5342" width="14.5703125" style="2" customWidth="1"/>
    <col min="5343" max="5343" width="37.42578125" style="2" customWidth="1"/>
    <col min="5344" max="5344" width="63.140625" style="2" customWidth="1"/>
    <col min="5345" max="5345" width="20" style="2" customWidth="1"/>
    <col min="5346" max="5346" width="11.140625" style="2" customWidth="1"/>
    <col min="5347" max="5347" width="10.85546875" style="2" customWidth="1"/>
    <col min="5348" max="5348" width="21" style="2" customWidth="1"/>
    <col min="5349" max="5349" width="10.85546875" style="2" customWidth="1"/>
    <col min="5350" max="5350" width="17.42578125" style="2" customWidth="1"/>
    <col min="5351" max="5351" width="14.85546875" style="2" customWidth="1"/>
    <col min="5352" max="5352" width="15" style="2" customWidth="1"/>
    <col min="5353" max="5353" width="14.85546875" style="2" customWidth="1"/>
    <col min="5354" max="5354" width="7.140625" style="2" customWidth="1"/>
    <col min="5355" max="5356" width="20.140625" style="2" customWidth="1"/>
    <col min="5357" max="5357" width="18.42578125" style="2" customWidth="1"/>
    <col min="5358" max="5358" width="9.140625" style="2" customWidth="1"/>
    <col min="5359" max="5359" width="12" style="2" customWidth="1"/>
    <col min="5360" max="5360" width="14.85546875" style="2" customWidth="1"/>
    <col min="5361" max="5361" width="22.42578125" style="2" customWidth="1"/>
    <col min="5362" max="5362" width="14.85546875" style="2" customWidth="1"/>
    <col min="5363" max="5363" width="7.140625" style="2" customWidth="1"/>
    <col min="5364" max="5364" width="20.140625" style="2" customWidth="1"/>
    <col min="5365" max="5596" width="8.85546875" style="2" customWidth="1"/>
    <col min="5597" max="5597" width="8.140625" style="2" customWidth="1"/>
    <col min="5598" max="5598" width="14.5703125" style="2" customWidth="1"/>
    <col min="5599" max="5599" width="37.42578125" style="2" customWidth="1"/>
    <col min="5600" max="5600" width="63.140625" style="2" customWidth="1"/>
    <col min="5601" max="5601" width="20" style="2" customWidth="1"/>
    <col min="5602" max="5602" width="11.140625" style="2" customWidth="1"/>
    <col min="5603" max="5603" width="10.85546875" style="2" customWidth="1"/>
    <col min="5604" max="5604" width="21" style="2" customWidth="1"/>
    <col min="5605" max="5605" width="10.85546875" style="2" customWidth="1"/>
    <col min="5606" max="5606" width="17.42578125" style="2" customWidth="1"/>
    <col min="5607" max="5607" width="14.85546875" style="2" customWidth="1"/>
    <col min="5608" max="5608" width="15" style="2" customWidth="1"/>
    <col min="5609" max="5609" width="14.85546875" style="2" customWidth="1"/>
    <col min="5610" max="5610" width="7.140625" style="2" customWidth="1"/>
    <col min="5611" max="5612" width="20.140625" style="2" customWidth="1"/>
    <col min="5613" max="5613" width="18.42578125" style="2" customWidth="1"/>
    <col min="5614" max="5614" width="9.140625" style="2" customWidth="1"/>
    <col min="5615" max="5615" width="12" style="2" customWidth="1"/>
    <col min="5616" max="5616" width="14.85546875" style="2" customWidth="1"/>
    <col min="5617" max="5617" width="22.42578125" style="2" customWidth="1"/>
    <col min="5618" max="5618" width="14.85546875" style="2" customWidth="1"/>
    <col min="5619" max="5619" width="7.140625" style="2" customWidth="1"/>
    <col min="5620" max="5620" width="20.140625" style="2" customWidth="1"/>
    <col min="5621" max="5852" width="8.85546875" style="2" customWidth="1"/>
    <col min="5853" max="5853" width="8.140625" style="2" customWidth="1"/>
    <col min="5854" max="5854" width="14.5703125" style="2" customWidth="1"/>
    <col min="5855" max="5855" width="37.42578125" style="2" customWidth="1"/>
    <col min="5856" max="5856" width="63.140625" style="2" customWidth="1"/>
    <col min="5857" max="5857" width="20" style="2" customWidth="1"/>
    <col min="5858" max="5858" width="11.140625" style="2" customWidth="1"/>
    <col min="5859" max="5859" width="10.85546875" style="2" customWidth="1"/>
    <col min="5860" max="5860" width="21" style="2" customWidth="1"/>
    <col min="5861" max="5861" width="10.85546875" style="2" customWidth="1"/>
    <col min="5862" max="5862" width="17.42578125" style="2" customWidth="1"/>
    <col min="5863" max="5863" width="14.85546875" style="2" customWidth="1"/>
    <col min="5864" max="5864" width="15" style="2" customWidth="1"/>
    <col min="5865" max="5865" width="14.85546875" style="2" customWidth="1"/>
    <col min="5866" max="5866" width="7.140625" style="2" customWidth="1"/>
    <col min="5867" max="5868" width="20.140625" style="2" customWidth="1"/>
    <col min="5869" max="5869" width="18.42578125" style="2" customWidth="1"/>
    <col min="5870" max="5870" width="9.140625" style="2" customWidth="1"/>
    <col min="5871" max="5871" width="12" style="2" customWidth="1"/>
    <col min="5872" max="5872" width="14.85546875" style="2" customWidth="1"/>
    <col min="5873" max="5873" width="22.42578125" style="2" customWidth="1"/>
    <col min="5874" max="5874" width="14.85546875" style="2" customWidth="1"/>
    <col min="5875" max="5875" width="7.140625" style="2" customWidth="1"/>
    <col min="5876" max="5876" width="20.140625" style="2" customWidth="1"/>
    <col min="5877" max="6108" width="8.85546875" style="2" customWidth="1"/>
    <col min="6109" max="6109" width="8.140625" style="2" customWidth="1"/>
    <col min="6110" max="6110" width="14.5703125" style="2" customWidth="1"/>
    <col min="6111" max="6111" width="37.42578125" style="2" customWidth="1"/>
    <col min="6112" max="6112" width="63.140625" style="2" customWidth="1"/>
    <col min="6113" max="6113" width="20" style="2" customWidth="1"/>
    <col min="6114" max="6114" width="11.140625" style="2" customWidth="1"/>
    <col min="6115" max="6115" width="10.85546875" style="2" customWidth="1"/>
    <col min="6116" max="6116" width="21" style="2" customWidth="1"/>
    <col min="6117" max="6117" width="10.85546875" style="2" customWidth="1"/>
    <col min="6118" max="6118" width="17.42578125" style="2" customWidth="1"/>
    <col min="6119" max="6119" width="14.85546875" style="2" customWidth="1"/>
    <col min="6120" max="6120" width="15" style="2" customWidth="1"/>
    <col min="6121" max="6121" width="14.85546875" style="2" customWidth="1"/>
    <col min="6122" max="6122" width="7.140625" style="2" customWidth="1"/>
    <col min="6123" max="6124" width="20.140625" style="2" customWidth="1"/>
    <col min="6125" max="6125" width="18.42578125" style="2" customWidth="1"/>
    <col min="6126" max="6126" width="9.140625" style="2" customWidth="1"/>
    <col min="6127" max="6127" width="12" style="2" customWidth="1"/>
    <col min="6128" max="6128" width="14.85546875" style="2" customWidth="1"/>
    <col min="6129" max="6129" width="22.42578125" style="2" customWidth="1"/>
    <col min="6130" max="6130" width="14.85546875" style="2" customWidth="1"/>
    <col min="6131" max="6131" width="7.140625" style="2" customWidth="1"/>
    <col min="6132" max="6132" width="20.140625" style="2" customWidth="1"/>
    <col min="6133" max="6364" width="8.85546875" style="2" customWidth="1"/>
    <col min="6365" max="6365" width="8.140625" style="2" customWidth="1"/>
    <col min="6366" max="6366" width="14.5703125" style="2" customWidth="1"/>
    <col min="6367" max="6367" width="37.42578125" style="2" customWidth="1"/>
    <col min="6368" max="6368" width="63.140625" style="2" customWidth="1"/>
    <col min="6369" max="6369" width="20" style="2" customWidth="1"/>
    <col min="6370" max="6370" width="11.140625" style="2" customWidth="1"/>
    <col min="6371" max="6371" width="10.85546875" style="2" customWidth="1"/>
    <col min="6372" max="6372" width="21" style="2" customWidth="1"/>
    <col min="6373" max="6373" width="10.85546875" style="2" customWidth="1"/>
    <col min="6374" max="6374" width="17.42578125" style="2" customWidth="1"/>
    <col min="6375" max="6375" width="14.85546875" style="2" customWidth="1"/>
    <col min="6376" max="6376" width="15" style="2" customWidth="1"/>
    <col min="6377" max="6377" width="14.85546875" style="2" customWidth="1"/>
    <col min="6378" max="6378" width="7.140625" style="2" customWidth="1"/>
    <col min="6379" max="6380" width="20.140625" style="2" customWidth="1"/>
    <col min="6381" max="6381" width="18.42578125" style="2" customWidth="1"/>
    <col min="6382" max="6382" width="9.140625" style="2" customWidth="1"/>
    <col min="6383" max="6383" width="12" style="2" customWidth="1"/>
    <col min="6384" max="6384" width="14.85546875" style="2" customWidth="1"/>
    <col min="6385" max="6385" width="22.42578125" style="2" customWidth="1"/>
    <col min="6386" max="6386" width="14.85546875" style="2" customWidth="1"/>
    <col min="6387" max="6387" width="7.140625" style="2" customWidth="1"/>
    <col min="6388" max="6388" width="20.140625" style="2" customWidth="1"/>
    <col min="6389" max="6620" width="8.85546875" style="2" customWidth="1"/>
    <col min="6621" max="6621" width="8.140625" style="2" customWidth="1"/>
    <col min="6622" max="6622" width="14.5703125" style="2" customWidth="1"/>
    <col min="6623" max="6623" width="37.42578125" style="2" customWidth="1"/>
    <col min="6624" max="6624" width="63.140625" style="2" customWidth="1"/>
    <col min="6625" max="6625" width="20" style="2" customWidth="1"/>
    <col min="6626" max="6626" width="11.140625" style="2" customWidth="1"/>
    <col min="6627" max="6627" width="10.85546875" style="2" customWidth="1"/>
    <col min="6628" max="6628" width="21" style="2" customWidth="1"/>
    <col min="6629" max="6629" width="10.85546875" style="2" customWidth="1"/>
    <col min="6630" max="6630" width="17.42578125" style="2" customWidth="1"/>
    <col min="6631" max="6631" width="14.85546875" style="2" customWidth="1"/>
    <col min="6632" max="6632" width="15" style="2" customWidth="1"/>
    <col min="6633" max="6633" width="14.85546875" style="2" customWidth="1"/>
    <col min="6634" max="6634" width="7.140625" style="2" customWidth="1"/>
    <col min="6635" max="6636" width="20.140625" style="2" customWidth="1"/>
    <col min="6637" max="6637" width="18.42578125" style="2" customWidth="1"/>
    <col min="6638" max="6638" width="9.140625" style="2" customWidth="1"/>
    <col min="6639" max="6639" width="12" style="2" customWidth="1"/>
    <col min="6640" max="6640" width="14.85546875" style="2" customWidth="1"/>
    <col min="6641" max="6641" width="22.42578125" style="2" customWidth="1"/>
    <col min="6642" max="6642" width="14.85546875" style="2" customWidth="1"/>
    <col min="6643" max="6643" width="7.140625" style="2" customWidth="1"/>
    <col min="6644" max="6644" width="20.140625" style="2" customWidth="1"/>
    <col min="6645" max="6876" width="8.85546875" style="2" customWidth="1"/>
    <col min="6877" max="6877" width="8.140625" style="2" customWidth="1"/>
    <col min="6878" max="6878" width="14.5703125" style="2" customWidth="1"/>
    <col min="6879" max="6879" width="37.42578125" style="2" customWidth="1"/>
    <col min="6880" max="6880" width="63.140625" style="2" customWidth="1"/>
    <col min="6881" max="6881" width="20" style="2" customWidth="1"/>
    <col min="6882" max="6882" width="11.140625" style="2" customWidth="1"/>
    <col min="6883" max="6883" width="10.85546875" style="2" customWidth="1"/>
    <col min="6884" max="6884" width="21" style="2" customWidth="1"/>
    <col min="6885" max="6885" width="10.85546875" style="2" customWidth="1"/>
    <col min="6886" max="6886" width="17.42578125" style="2" customWidth="1"/>
    <col min="6887" max="6887" width="14.85546875" style="2" customWidth="1"/>
    <col min="6888" max="6888" width="15" style="2" customWidth="1"/>
    <col min="6889" max="6889" width="14.85546875" style="2" customWidth="1"/>
    <col min="6890" max="6890" width="7.140625" style="2" customWidth="1"/>
    <col min="6891" max="6892" width="20.140625" style="2" customWidth="1"/>
    <col min="6893" max="6893" width="18.42578125" style="2" customWidth="1"/>
    <col min="6894" max="6894" width="9.140625" style="2" customWidth="1"/>
    <col min="6895" max="6895" width="12" style="2" customWidth="1"/>
    <col min="6896" max="6896" width="14.85546875" style="2" customWidth="1"/>
    <col min="6897" max="6897" width="22.42578125" style="2" customWidth="1"/>
    <col min="6898" max="6898" width="14.85546875" style="2" customWidth="1"/>
    <col min="6899" max="6899" width="7.140625" style="2" customWidth="1"/>
    <col min="6900" max="6900" width="20.140625" style="2" customWidth="1"/>
    <col min="6901" max="7132" width="8.85546875" style="2" customWidth="1"/>
    <col min="7133" max="7133" width="8.140625" style="2" customWidth="1"/>
    <col min="7134" max="7134" width="14.5703125" style="2" customWidth="1"/>
    <col min="7135" max="7135" width="37.42578125" style="2" customWidth="1"/>
    <col min="7136" max="7136" width="63.140625" style="2" customWidth="1"/>
    <col min="7137" max="7137" width="20" style="2" customWidth="1"/>
    <col min="7138" max="7138" width="11.140625" style="2" customWidth="1"/>
    <col min="7139" max="7139" width="10.85546875" style="2" customWidth="1"/>
    <col min="7140" max="7140" width="21" style="2" customWidth="1"/>
    <col min="7141" max="7141" width="10.85546875" style="2" customWidth="1"/>
    <col min="7142" max="7142" width="17.42578125" style="2" customWidth="1"/>
    <col min="7143" max="7143" width="14.85546875" style="2" customWidth="1"/>
    <col min="7144" max="7144" width="15" style="2" customWidth="1"/>
    <col min="7145" max="7145" width="14.85546875" style="2" customWidth="1"/>
    <col min="7146" max="7146" width="7.140625" style="2" customWidth="1"/>
    <col min="7147" max="7148" width="20.140625" style="2" customWidth="1"/>
    <col min="7149" max="7149" width="18.42578125" style="2" customWidth="1"/>
    <col min="7150" max="7150" width="9.140625" style="2" customWidth="1"/>
    <col min="7151" max="7151" width="12" style="2" customWidth="1"/>
    <col min="7152" max="7152" width="14.85546875" style="2" customWidth="1"/>
    <col min="7153" max="7153" width="22.42578125" style="2" customWidth="1"/>
    <col min="7154" max="7154" width="14.85546875" style="2" customWidth="1"/>
    <col min="7155" max="7155" width="7.140625" style="2" customWidth="1"/>
    <col min="7156" max="7156" width="20.140625" style="2" customWidth="1"/>
    <col min="7157" max="7388" width="8.85546875" style="2" customWidth="1"/>
    <col min="7389" max="7389" width="8.140625" style="2" customWidth="1"/>
    <col min="7390" max="7390" width="14.5703125" style="2" customWidth="1"/>
    <col min="7391" max="7391" width="37.42578125" style="2" customWidth="1"/>
    <col min="7392" max="7392" width="63.140625" style="2" customWidth="1"/>
    <col min="7393" max="7393" width="20" style="2" customWidth="1"/>
    <col min="7394" max="7394" width="11.140625" style="2" customWidth="1"/>
    <col min="7395" max="7395" width="10.85546875" style="2" customWidth="1"/>
    <col min="7396" max="7396" width="21" style="2" customWidth="1"/>
    <col min="7397" max="7397" width="10.85546875" style="2" customWidth="1"/>
    <col min="7398" max="7398" width="17.42578125" style="2" customWidth="1"/>
    <col min="7399" max="7399" width="14.85546875" style="2" customWidth="1"/>
    <col min="7400" max="7400" width="15" style="2" customWidth="1"/>
    <col min="7401" max="7401" width="14.85546875" style="2" customWidth="1"/>
    <col min="7402" max="7402" width="7.140625" style="2" customWidth="1"/>
    <col min="7403" max="7404" width="20.140625" style="2" customWidth="1"/>
    <col min="7405" max="7405" width="18.42578125" style="2" customWidth="1"/>
    <col min="7406" max="7406" width="9.140625" style="2" customWidth="1"/>
    <col min="7407" max="7407" width="12" style="2" customWidth="1"/>
    <col min="7408" max="7408" width="14.85546875" style="2" customWidth="1"/>
    <col min="7409" max="7409" width="22.42578125" style="2" customWidth="1"/>
    <col min="7410" max="7410" width="14.85546875" style="2" customWidth="1"/>
    <col min="7411" max="7411" width="7.140625" style="2" customWidth="1"/>
    <col min="7412" max="7412" width="20.140625" style="2" customWidth="1"/>
    <col min="7413" max="7644" width="8.85546875" style="2" customWidth="1"/>
    <col min="7645" max="7645" width="8.140625" style="2" customWidth="1"/>
    <col min="7646" max="7646" width="14.5703125" style="2" customWidth="1"/>
    <col min="7647" max="7647" width="37.42578125" style="2" customWidth="1"/>
    <col min="7648" max="7648" width="63.140625" style="2" customWidth="1"/>
    <col min="7649" max="7649" width="20" style="2" customWidth="1"/>
    <col min="7650" max="7650" width="11.140625" style="2" customWidth="1"/>
    <col min="7651" max="7651" width="10.85546875" style="2" customWidth="1"/>
    <col min="7652" max="7652" width="21" style="2" customWidth="1"/>
    <col min="7653" max="7653" width="10.85546875" style="2" customWidth="1"/>
    <col min="7654" max="7654" width="17.42578125" style="2" customWidth="1"/>
    <col min="7655" max="7655" width="14.85546875" style="2" customWidth="1"/>
    <col min="7656" max="7656" width="15" style="2" customWidth="1"/>
    <col min="7657" max="7657" width="14.85546875" style="2" customWidth="1"/>
    <col min="7658" max="7658" width="7.140625" style="2" customWidth="1"/>
    <col min="7659" max="7660" width="20.140625" style="2" customWidth="1"/>
    <col min="7661" max="7661" width="18.42578125" style="2" customWidth="1"/>
    <col min="7662" max="7662" width="9.140625" style="2" customWidth="1"/>
    <col min="7663" max="7663" width="12" style="2" customWidth="1"/>
    <col min="7664" max="7664" width="14.85546875" style="2" customWidth="1"/>
    <col min="7665" max="7665" width="22.42578125" style="2" customWidth="1"/>
    <col min="7666" max="7666" width="14.85546875" style="2" customWidth="1"/>
    <col min="7667" max="7667" width="7.140625" style="2" customWidth="1"/>
    <col min="7668" max="7668" width="20.140625" style="2" customWidth="1"/>
    <col min="7669" max="7900" width="8.85546875" style="2" customWidth="1"/>
    <col min="7901" max="7901" width="8.140625" style="2" customWidth="1"/>
    <col min="7902" max="7902" width="14.5703125" style="2" customWidth="1"/>
    <col min="7903" max="7903" width="37.42578125" style="2" customWidth="1"/>
    <col min="7904" max="7904" width="63.140625" style="2" customWidth="1"/>
    <col min="7905" max="7905" width="20" style="2" customWidth="1"/>
    <col min="7906" max="7906" width="11.140625" style="2" customWidth="1"/>
    <col min="7907" max="7907" width="10.85546875" style="2" customWidth="1"/>
    <col min="7908" max="7908" width="21" style="2" customWidth="1"/>
    <col min="7909" max="7909" width="10.85546875" style="2" customWidth="1"/>
    <col min="7910" max="7910" width="17.42578125" style="2" customWidth="1"/>
    <col min="7911" max="7911" width="14.85546875" style="2" customWidth="1"/>
    <col min="7912" max="7912" width="15" style="2" customWidth="1"/>
    <col min="7913" max="7913" width="14.85546875" style="2" customWidth="1"/>
    <col min="7914" max="7914" width="7.140625" style="2" customWidth="1"/>
    <col min="7915" max="7916" width="20.140625" style="2" customWidth="1"/>
    <col min="7917" max="7917" width="18.42578125" style="2" customWidth="1"/>
    <col min="7918" max="7918" width="9.140625" style="2" customWidth="1"/>
    <col min="7919" max="7919" width="12" style="2" customWidth="1"/>
    <col min="7920" max="7920" width="14.85546875" style="2" customWidth="1"/>
    <col min="7921" max="7921" width="22.42578125" style="2" customWidth="1"/>
    <col min="7922" max="7922" width="14.85546875" style="2" customWidth="1"/>
    <col min="7923" max="7923" width="7.140625" style="2" customWidth="1"/>
    <col min="7924" max="7924" width="20.140625" style="2" customWidth="1"/>
    <col min="7925" max="8156" width="8.85546875" style="2" customWidth="1"/>
    <col min="8157" max="8157" width="8.140625" style="2" customWidth="1"/>
    <col min="8158" max="8158" width="14.5703125" style="2" customWidth="1"/>
    <col min="8159" max="8159" width="37.42578125" style="2" customWidth="1"/>
    <col min="8160" max="8160" width="63.140625" style="2" customWidth="1"/>
    <col min="8161" max="8161" width="20" style="2" customWidth="1"/>
    <col min="8162" max="8162" width="11.140625" style="2" customWidth="1"/>
    <col min="8163" max="8163" width="10.85546875" style="2" customWidth="1"/>
    <col min="8164" max="8164" width="21" style="2" customWidth="1"/>
    <col min="8165" max="8165" width="10.85546875" style="2" customWidth="1"/>
    <col min="8166" max="8166" width="17.42578125" style="2" customWidth="1"/>
    <col min="8167" max="8167" width="14.85546875" style="2" customWidth="1"/>
    <col min="8168" max="8168" width="15" style="2" customWidth="1"/>
    <col min="8169" max="8169" width="14.85546875" style="2" customWidth="1"/>
    <col min="8170" max="8170" width="7.140625" style="2" customWidth="1"/>
    <col min="8171" max="8172" width="20.140625" style="2" customWidth="1"/>
    <col min="8173" max="8173" width="18.42578125" style="2" customWidth="1"/>
    <col min="8174" max="8174" width="9.140625" style="2" customWidth="1"/>
    <col min="8175" max="8175" width="12" style="2" customWidth="1"/>
    <col min="8176" max="8176" width="14.85546875" style="2" customWidth="1"/>
    <col min="8177" max="8177" width="22.42578125" style="2" customWidth="1"/>
    <col min="8178" max="8178" width="14.85546875" style="2" customWidth="1"/>
    <col min="8179" max="8179" width="7.140625" style="2" customWidth="1"/>
    <col min="8180" max="8180" width="20.140625" style="2" customWidth="1"/>
    <col min="8181" max="8412" width="8.85546875" style="2" customWidth="1"/>
    <col min="8413" max="8413" width="8.140625" style="2" customWidth="1"/>
    <col min="8414" max="8414" width="14.5703125" style="2" customWidth="1"/>
    <col min="8415" max="8415" width="37.42578125" style="2" customWidth="1"/>
    <col min="8416" max="8416" width="63.140625" style="2" customWidth="1"/>
    <col min="8417" max="8417" width="20" style="2" customWidth="1"/>
    <col min="8418" max="8418" width="11.140625" style="2" customWidth="1"/>
    <col min="8419" max="8419" width="10.85546875" style="2" customWidth="1"/>
    <col min="8420" max="8420" width="21" style="2" customWidth="1"/>
    <col min="8421" max="8421" width="10.85546875" style="2" customWidth="1"/>
    <col min="8422" max="8422" width="17.42578125" style="2" customWidth="1"/>
    <col min="8423" max="8423" width="14.85546875" style="2" customWidth="1"/>
    <col min="8424" max="8424" width="15" style="2" customWidth="1"/>
    <col min="8425" max="8425" width="14.85546875" style="2" customWidth="1"/>
    <col min="8426" max="8426" width="7.140625" style="2" customWidth="1"/>
    <col min="8427" max="8428" width="20.140625" style="2" customWidth="1"/>
    <col min="8429" max="8429" width="18.42578125" style="2" customWidth="1"/>
    <col min="8430" max="8430" width="9.140625" style="2" customWidth="1"/>
    <col min="8431" max="8431" width="12" style="2" customWidth="1"/>
    <col min="8432" max="8432" width="14.85546875" style="2" customWidth="1"/>
    <col min="8433" max="8433" width="22.42578125" style="2" customWidth="1"/>
    <col min="8434" max="8434" width="14.85546875" style="2" customWidth="1"/>
    <col min="8435" max="8435" width="7.140625" style="2" customWidth="1"/>
    <col min="8436" max="8436" width="20.140625" style="2" customWidth="1"/>
    <col min="8437" max="8668" width="8.85546875" style="2" customWidth="1"/>
    <col min="8669" max="8669" width="8.140625" style="2" customWidth="1"/>
    <col min="8670" max="8670" width="14.5703125" style="2" customWidth="1"/>
    <col min="8671" max="8671" width="37.42578125" style="2" customWidth="1"/>
    <col min="8672" max="8672" width="63.140625" style="2" customWidth="1"/>
    <col min="8673" max="8673" width="20" style="2" customWidth="1"/>
    <col min="8674" max="8674" width="11.140625" style="2" customWidth="1"/>
    <col min="8675" max="8675" width="10.85546875" style="2" customWidth="1"/>
    <col min="8676" max="8676" width="21" style="2" customWidth="1"/>
    <col min="8677" max="8677" width="10.85546875" style="2" customWidth="1"/>
    <col min="8678" max="8678" width="17.42578125" style="2" customWidth="1"/>
    <col min="8679" max="8679" width="14.85546875" style="2" customWidth="1"/>
    <col min="8680" max="8680" width="15" style="2" customWidth="1"/>
    <col min="8681" max="8681" width="14.85546875" style="2" customWidth="1"/>
    <col min="8682" max="8682" width="7.140625" style="2" customWidth="1"/>
    <col min="8683" max="8684" width="20.140625" style="2" customWidth="1"/>
    <col min="8685" max="8685" width="18.42578125" style="2" customWidth="1"/>
    <col min="8686" max="8686" width="9.140625" style="2" customWidth="1"/>
    <col min="8687" max="8687" width="12" style="2" customWidth="1"/>
    <col min="8688" max="8688" width="14.85546875" style="2" customWidth="1"/>
    <col min="8689" max="8689" width="22.42578125" style="2" customWidth="1"/>
    <col min="8690" max="8690" width="14.85546875" style="2" customWidth="1"/>
    <col min="8691" max="8691" width="7.140625" style="2" customWidth="1"/>
    <col min="8692" max="8692" width="20.140625" style="2" customWidth="1"/>
    <col min="8693" max="8924" width="8.85546875" style="2" customWidth="1"/>
    <col min="8925" max="8925" width="8.140625" style="2" customWidth="1"/>
    <col min="8926" max="8926" width="14.5703125" style="2" customWidth="1"/>
    <col min="8927" max="8927" width="37.42578125" style="2" customWidth="1"/>
    <col min="8928" max="8928" width="63.140625" style="2" customWidth="1"/>
    <col min="8929" max="8929" width="20" style="2" customWidth="1"/>
    <col min="8930" max="8930" width="11.140625" style="2" customWidth="1"/>
    <col min="8931" max="8931" width="10.85546875" style="2" customWidth="1"/>
    <col min="8932" max="8932" width="21" style="2" customWidth="1"/>
    <col min="8933" max="8933" width="10.85546875" style="2" customWidth="1"/>
    <col min="8934" max="8934" width="17.42578125" style="2" customWidth="1"/>
    <col min="8935" max="8935" width="14.85546875" style="2" customWidth="1"/>
    <col min="8936" max="8936" width="15" style="2" customWidth="1"/>
    <col min="8937" max="8937" width="14.85546875" style="2" customWidth="1"/>
    <col min="8938" max="8938" width="7.140625" style="2" customWidth="1"/>
    <col min="8939" max="8940" width="20.140625" style="2" customWidth="1"/>
    <col min="8941" max="8941" width="18.42578125" style="2" customWidth="1"/>
    <col min="8942" max="8942" width="9.140625" style="2" customWidth="1"/>
    <col min="8943" max="8943" width="12" style="2" customWidth="1"/>
    <col min="8944" max="8944" width="14.85546875" style="2" customWidth="1"/>
    <col min="8945" max="8945" width="22.42578125" style="2" customWidth="1"/>
    <col min="8946" max="8946" width="14.85546875" style="2" customWidth="1"/>
    <col min="8947" max="8947" width="7.140625" style="2" customWidth="1"/>
    <col min="8948" max="8948" width="20.140625" style="2" customWidth="1"/>
    <col min="8949" max="9180" width="8.85546875" style="2" customWidth="1"/>
    <col min="9181" max="9181" width="8.140625" style="2" customWidth="1"/>
    <col min="9182" max="9182" width="14.5703125" style="2" customWidth="1"/>
    <col min="9183" max="9183" width="37.42578125" style="2" customWidth="1"/>
    <col min="9184" max="9184" width="63.140625" style="2" customWidth="1"/>
    <col min="9185" max="9185" width="20" style="2" customWidth="1"/>
    <col min="9186" max="9186" width="11.140625" style="2" customWidth="1"/>
    <col min="9187" max="9187" width="10.85546875" style="2" customWidth="1"/>
    <col min="9188" max="9188" width="21" style="2" customWidth="1"/>
    <col min="9189" max="9189" width="10.85546875" style="2" customWidth="1"/>
    <col min="9190" max="9190" width="17.42578125" style="2" customWidth="1"/>
    <col min="9191" max="9191" width="14.85546875" style="2" customWidth="1"/>
    <col min="9192" max="9192" width="15" style="2" customWidth="1"/>
    <col min="9193" max="9193" width="14.85546875" style="2" customWidth="1"/>
    <col min="9194" max="9194" width="7.140625" style="2" customWidth="1"/>
    <col min="9195" max="9196" width="20.140625" style="2" customWidth="1"/>
    <col min="9197" max="9197" width="18.42578125" style="2" customWidth="1"/>
    <col min="9198" max="9198" width="9.140625" style="2" customWidth="1"/>
    <col min="9199" max="9199" width="12" style="2" customWidth="1"/>
    <col min="9200" max="9200" width="14.85546875" style="2" customWidth="1"/>
    <col min="9201" max="9201" width="22.42578125" style="2" customWidth="1"/>
    <col min="9202" max="9202" width="14.85546875" style="2" customWidth="1"/>
    <col min="9203" max="9203" width="7.140625" style="2" customWidth="1"/>
    <col min="9204" max="9204" width="20.140625" style="2" customWidth="1"/>
    <col min="9205" max="9436" width="8.85546875" style="2" customWidth="1"/>
    <col min="9437" max="9437" width="8.140625" style="2" customWidth="1"/>
    <col min="9438" max="9438" width="14.5703125" style="2" customWidth="1"/>
    <col min="9439" max="9439" width="37.42578125" style="2" customWidth="1"/>
    <col min="9440" max="9440" width="63.140625" style="2" customWidth="1"/>
    <col min="9441" max="9441" width="20" style="2" customWidth="1"/>
    <col min="9442" max="9442" width="11.140625" style="2" customWidth="1"/>
    <col min="9443" max="9443" width="10.85546875" style="2" customWidth="1"/>
    <col min="9444" max="9444" width="21" style="2" customWidth="1"/>
    <col min="9445" max="9445" width="10.85546875" style="2" customWidth="1"/>
    <col min="9446" max="9446" width="17.42578125" style="2" customWidth="1"/>
    <col min="9447" max="9447" width="14.85546875" style="2" customWidth="1"/>
    <col min="9448" max="9448" width="15" style="2" customWidth="1"/>
    <col min="9449" max="9449" width="14.85546875" style="2" customWidth="1"/>
    <col min="9450" max="9450" width="7.140625" style="2" customWidth="1"/>
    <col min="9451" max="9452" width="20.140625" style="2" customWidth="1"/>
    <col min="9453" max="9453" width="18.42578125" style="2" customWidth="1"/>
    <col min="9454" max="9454" width="9.140625" style="2" customWidth="1"/>
    <col min="9455" max="9455" width="12" style="2" customWidth="1"/>
    <col min="9456" max="9456" width="14.85546875" style="2" customWidth="1"/>
    <col min="9457" max="9457" width="22.42578125" style="2" customWidth="1"/>
    <col min="9458" max="9458" width="14.85546875" style="2" customWidth="1"/>
    <col min="9459" max="9459" width="7.140625" style="2" customWidth="1"/>
    <col min="9460" max="9460" width="20.140625" style="2" customWidth="1"/>
    <col min="9461" max="9692" width="8.85546875" style="2" customWidth="1"/>
    <col min="9693" max="9693" width="8.140625" style="2" customWidth="1"/>
    <col min="9694" max="9694" width="14.5703125" style="2" customWidth="1"/>
    <col min="9695" max="9695" width="37.42578125" style="2" customWidth="1"/>
    <col min="9696" max="9696" width="63.140625" style="2" customWidth="1"/>
    <col min="9697" max="9697" width="20" style="2" customWidth="1"/>
    <col min="9698" max="9698" width="11.140625" style="2" customWidth="1"/>
    <col min="9699" max="9699" width="10.85546875" style="2" customWidth="1"/>
    <col min="9700" max="9700" width="21" style="2" customWidth="1"/>
    <col min="9701" max="9701" width="10.85546875" style="2" customWidth="1"/>
    <col min="9702" max="9702" width="17.42578125" style="2" customWidth="1"/>
    <col min="9703" max="9703" width="14.85546875" style="2" customWidth="1"/>
    <col min="9704" max="9704" width="15" style="2" customWidth="1"/>
    <col min="9705" max="9705" width="14.85546875" style="2" customWidth="1"/>
    <col min="9706" max="9706" width="7.140625" style="2" customWidth="1"/>
    <col min="9707" max="9708" width="20.140625" style="2" customWidth="1"/>
    <col min="9709" max="9709" width="18.42578125" style="2" customWidth="1"/>
    <col min="9710" max="9710" width="9.140625" style="2" customWidth="1"/>
    <col min="9711" max="9711" width="12" style="2" customWidth="1"/>
    <col min="9712" max="9712" width="14.85546875" style="2" customWidth="1"/>
    <col min="9713" max="9713" width="22.42578125" style="2" customWidth="1"/>
    <col min="9714" max="9714" width="14.85546875" style="2" customWidth="1"/>
    <col min="9715" max="9715" width="7.140625" style="2" customWidth="1"/>
    <col min="9716" max="9716" width="20.140625" style="2" customWidth="1"/>
    <col min="9717" max="9948" width="8.85546875" style="2" customWidth="1"/>
    <col min="9949" max="9949" width="8.140625" style="2" customWidth="1"/>
    <col min="9950" max="9950" width="14.5703125" style="2" customWidth="1"/>
    <col min="9951" max="9951" width="37.42578125" style="2" customWidth="1"/>
    <col min="9952" max="9952" width="63.140625" style="2" customWidth="1"/>
    <col min="9953" max="9953" width="20" style="2" customWidth="1"/>
    <col min="9954" max="9954" width="11.140625" style="2" customWidth="1"/>
    <col min="9955" max="9955" width="10.85546875" style="2" customWidth="1"/>
    <col min="9956" max="9956" width="21" style="2" customWidth="1"/>
    <col min="9957" max="9957" width="10.85546875" style="2" customWidth="1"/>
    <col min="9958" max="9958" width="17.42578125" style="2" customWidth="1"/>
    <col min="9959" max="9959" width="14.85546875" style="2" customWidth="1"/>
    <col min="9960" max="9960" width="15" style="2" customWidth="1"/>
    <col min="9961" max="9961" width="14.85546875" style="2" customWidth="1"/>
    <col min="9962" max="9962" width="7.140625" style="2" customWidth="1"/>
    <col min="9963" max="9964" width="20.140625" style="2" customWidth="1"/>
    <col min="9965" max="9965" width="18.42578125" style="2" customWidth="1"/>
    <col min="9966" max="9966" width="9.140625" style="2" customWidth="1"/>
    <col min="9967" max="9967" width="12" style="2" customWidth="1"/>
    <col min="9968" max="9968" width="14.85546875" style="2" customWidth="1"/>
    <col min="9969" max="9969" width="22.42578125" style="2" customWidth="1"/>
    <col min="9970" max="9970" width="14.85546875" style="2" customWidth="1"/>
    <col min="9971" max="9971" width="7.140625" style="2" customWidth="1"/>
    <col min="9972" max="9972" width="20.140625" style="2" customWidth="1"/>
    <col min="9973" max="10204" width="8.85546875" style="2" customWidth="1"/>
    <col min="10205" max="10205" width="8.140625" style="2" customWidth="1"/>
    <col min="10206" max="10206" width="14.5703125" style="2" customWidth="1"/>
    <col min="10207" max="10207" width="37.42578125" style="2" customWidth="1"/>
    <col min="10208" max="10208" width="63.140625" style="2" customWidth="1"/>
    <col min="10209" max="10209" width="20" style="2" customWidth="1"/>
    <col min="10210" max="10210" width="11.140625" style="2" customWidth="1"/>
    <col min="10211" max="10211" width="10.85546875" style="2" customWidth="1"/>
    <col min="10212" max="10212" width="21" style="2" customWidth="1"/>
    <col min="10213" max="10213" width="10.85546875" style="2" customWidth="1"/>
    <col min="10214" max="10214" width="17.42578125" style="2" customWidth="1"/>
    <col min="10215" max="10215" width="14.85546875" style="2" customWidth="1"/>
    <col min="10216" max="10216" width="15" style="2" customWidth="1"/>
    <col min="10217" max="10217" width="14.85546875" style="2" customWidth="1"/>
    <col min="10218" max="10218" width="7.140625" style="2" customWidth="1"/>
    <col min="10219" max="10220" width="20.140625" style="2" customWidth="1"/>
    <col min="10221" max="10221" width="18.42578125" style="2" customWidth="1"/>
    <col min="10222" max="10222" width="9.140625" style="2" customWidth="1"/>
    <col min="10223" max="10223" width="12" style="2" customWidth="1"/>
    <col min="10224" max="10224" width="14.85546875" style="2" customWidth="1"/>
    <col min="10225" max="10225" width="22.42578125" style="2" customWidth="1"/>
    <col min="10226" max="10226" width="14.85546875" style="2" customWidth="1"/>
    <col min="10227" max="10227" width="7.140625" style="2" customWidth="1"/>
    <col min="10228" max="10228" width="20.140625" style="2" customWidth="1"/>
    <col min="10229" max="10460" width="8.85546875" style="2" customWidth="1"/>
    <col min="10461" max="10461" width="8.140625" style="2" customWidth="1"/>
    <col min="10462" max="10462" width="14.5703125" style="2" customWidth="1"/>
    <col min="10463" max="10463" width="37.42578125" style="2" customWidth="1"/>
    <col min="10464" max="10464" width="63.140625" style="2" customWidth="1"/>
    <col min="10465" max="10465" width="20" style="2" customWidth="1"/>
    <col min="10466" max="10466" width="11.140625" style="2" customWidth="1"/>
    <col min="10467" max="10467" width="10.85546875" style="2" customWidth="1"/>
    <col min="10468" max="10468" width="21" style="2" customWidth="1"/>
    <col min="10469" max="10469" width="10.85546875" style="2" customWidth="1"/>
    <col min="10470" max="10470" width="17.42578125" style="2" customWidth="1"/>
    <col min="10471" max="10471" width="14.85546875" style="2" customWidth="1"/>
    <col min="10472" max="10472" width="15" style="2" customWidth="1"/>
    <col min="10473" max="10473" width="14.85546875" style="2" customWidth="1"/>
    <col min="10474" max="10474" width="7.140625" style="2" customWidth="1"/>
    <col min="10475" max="10476" width="20.140625" style="2" customWidth="1"/>
    <col min="10477" max="10477" width="18.42578125" style="2" customWidth="1"/>
    <col min="10478" max="10478" width="9.140625" style="2" customWidth="1"/>
    <col min="10479" max="10479" width="12" style="2" customWidth="1"/>
    <col min="10480" max="10480" width="14.85546875" style="2" customWidth="1"/>
    <col min="10481" max="10481" width="22.42578125" style="2" customWidth="1"/>
    <col min="10482" max="10482" width="14.85546875" style="2" customWidth="1"/>
    <col min="10483" max="10483" width="7.140625" style="2" customWidth="1"/>
    <col min="10484" max="10484" width="20.140625" style="2" customWidth="1"/>
    <col min="10485" max="10716" width="8.85546875" style="2" customWidth="1"/>
    <col min="10717" max="10717" width="8.140625" style="2" customWidth="1"/>
    <col min="10718" max="10718" width="14.5703125" style="2" customWidth="1"/>
    <col min="10719" max="10719" width="37.42578125" style="2" customWidth="1"/>
    <col min="10720" max="10720" width="63.140625" style="2" customWidth="1"/>
    <col min="10721" max="10721" width="20" style="2" customWidth="1"/>
    <col min="10722" max="10722" width="11.140625" style="2" customWidth="1"/>
    <col min="10723" max="10723" width="10.85546875" style="2" customWidth="1"/>
    <col min="10724" max="10724" width="21" style="2" customWidth="1"/>
    <col min="10725" max="10725" width="10.85546875" style="2" customWidth="1"/>
    <col min="10726" max="10726" width="17.42578125" style="2" customWidth="1"/>
    <col min="10727" max="10727" width="14.85546875" style="2" customWidth="1"/>
    <col min="10728" max="10728" width="15" style="2" customWidth="1"/>
    <col min="10729" max="10729" width="14.85546875" style="2" customWidth="1"/>
    <col min="10730" max="10730" width="7.140625" style="2" customWidth="1"/>
    <col min="10731" max="10732" width="20.140625" style="2" customWidth="1"/>
    <col min="10733" max="10733" width="18.42578125" style="2" customWidth="1"/>
    <col min="10734" max="10734" width="9.140625" style="2" customWidth="1"/>
    <col min="10735" max="10735" width="12" style="2" customWidth="1"/>
    <col min="10736" max="10736" width="14.85546875" style="2" customWidth="1"/>
    <col min="10737" max="10737" width="22.42578125" style="2" customWidth="1"/>
    <col min="10738" max="10738" width="14.85546875" style="2" customWidth="1"/>
    <col min="10739" max="10739" width="7.140625" style="2" customWidth="1"/>
    <col min="10740" max="10740" width="20.140625" style="2" customWidth="1"/>
    <col min="10741" max="10972" width="8.85546875" style="2" customWidth="1"/>
    <col min="10973" max="10973" width="8.140625" style="2" customWidth="1"/>
    <col min="10974" max="10974" width="14.5703125" style="2" customWidth="1"/>
    <col min="10975" max="10975" width="37.42578125" style="2" customWidth="1"/>
    <col min="10976" max="10976" width="63.140625" style="2" customWidth="1"/>
    <col min="10977" max="10977" width="20" style="2" customWidth="1"/>
    <col min="10978" max="10978" width="11.140625" style="2" customWidth="1"/>
    <col min="10979" max="10979" width="10.85546875" style="2" customWidth="1"/>
    <col min="10980" max="10980" width="21" style="2" customWidth="1"/>
    <col min="10981" max="10981" width="10.85546875" style="2" customWidth="1"/>
    <col min="10982" max="10982" width="17.42578125" style="2" customWidth="1"/>
    <col min="10983" max="10983" width="14.85546875" style="2" customWidth="1"/>
    <col min="10984" max="10984" width="15" style="2" customWidth="1"/>
    <col min="10985" max="10985" width="14.85546875" style="2" customWidth="1"/>
    <col min="10986" max="10986" width="7.140625" style="2" customWidth="1"/>
    <col min="10987" max="10988" width="20.140625" style="2" customWidth="1"/>
    <col min="10989" max="10989" width="18.42578125" style="2" customWidth="1"/>
    <col min="10990" max="10990" width="9.140625" style="2" customWidth="1"/>
    <col min="10991" max="10991" width="12" style="2" customWidth="1"/>
    <col min="10992" max="10992" width="14.85546875" style="2" customWidth="1"/>
    <col min="10993" max="10993" width="22.42578125" style="2" customWidth="1"/>
    <col min="10994" max="10994" width="14.85546875" style="2" customWidth="1"/>
    <col min="10995" max="10995" width="7.140625" style="2" customWidth="1"/>
    <col min="10996" max="10996" width="20.140625" style="2" customWidth="1"/>
    <col min="10997" max="11228" width="8.85546875" style="2" customWidth="1"/>
    <col min="11229" max="11229" width="8.140625" style="2" customWidth="1"/>
    <col min="11230" max="11230" width="14.5703125" style="2" customWidth="1"/>
    <col min="11231" max="11231" width="37.42578125" style="2" customWidth="1"/>
    <col min="11232" max="11232" width="63.140625" style="2" customWidth="1"/>
    <col min="11233" max="11233" width="20" style="2" customWidth="1"/>
    <col min="11234" max="11234" width="11.140625" style="2" customWidth="1"/>
    <col min="11235" max="11235" width="10.85546875" style="2" customWidth="1"/>
    <col min="11236" max="11236" width="21" style="2" customWidth="1"/>
    <col min="11237" max="11237" width="10.85546875" style="2" customWidth="1"/>
    <col min="11238" max="11238" width="17.42578125" style="2" customWidth="1"/>
    <col min="11239" max="11239" width="14.85546875" style="2" customWidth="1"/>
    <col min="11240" max="11240" width="15" style="2" customWidth="1"/>
    <col min="11241" max="11241" width="14.85546875" style="2" customWidth="1"/>
    <col min="11242" max="11242" width="7.140625" style="2" customWidth="1"/>
    <col min="11243" max="11244" width="20.140625" style="2" customWidth="1"/>
    <col min="11245" max="11245" width="18.42578125" style="2" customWidth="1"/>
    <col min="11246" max="11246" width="9.140625" style="2" customWidth="1"/>
    <col min="11247" max="11247" width="12" style="2" customWidth="1"/>
    <col min="11248" max="11248" width="14.85546875" style="2" customWidth="1"/>
    <col min="11249" max="11249" width="22.42578125" style="2" customWidth="1"/>
    <col min="11250" max="11250" width="14.85546875" style="2" customWidth="1"/>
    <col min="11251" max="11251" width="7.140625" style="2" customWidth="1"/>
    <col min="11252" max="11252" width="20.140625" style="2" customWidth="1"/>
    <col min="11253" max="11484" width="8.85546875" style="2" customWidth="1"/>
    <col min="11485" max="11485" width="8.140625" style="2" customWidth="1"/>
    <col min="11486" max="11486" width="14.5703125" style="2" customWidth="1"/>
    <col min="11487" max="11487" width="37.42578125" style="2" customWidth="1"/>
    <col min="11488" max="11488" width="63.140625" style="2" customWidth="1"/>
    <col min="11489" max="11489" width="20" style="2" customWidth="1"/>
    <col min="11490" max="11490" width="11.140625" style="2" customWidth="1"/>
    <col min="11491" max="11491" width="10.85546875" style="2" customWidth="1"/>
    <col min="11492" max="11492" width="21" style="2" customWidth="1"/>
    <col min="11493" max="11493" width="10.85546875" style="2" customWidth="1"/>
    <col min="11494" max="11494" width="17.42578125" style="2" customWidth="1"/>
    <col min="11495" max="11495" width="14.85546875" style="2" customWidth="1"/>
    <col min="11496" max="11496" width="15" style="2" customWidth="1"/>
    <col min="11497" max="11497" width="14.85546875" style="2" customWidth="1"/>
    <col min="11498" max="11498" width="7.140625" style="2" customWidth="1"/>
    <col min="11499" max="11500" width="20.140625" style="2" customWidth="1"/>
    <col min="11501" max="11501" width="18.42578125" style="2" customWidth="1"/>
    <col min="11502" max="11502" width="9.140625" style="2" customWidth="1"/>
    <col min="11503" max="11503" width="12" style="2" customWidth="1"/>
    <col min="11504" max="11504" width="14.85546875" style="2" customWidth="1"/>
    <col min="11505" max="11505" width="22.42578125" style="2" customWidth="1"/>
    <col min="11506" max="11506" width="14.85546875" style="2" customWidth="1"/>
    <col min="11507" max="11507" width="7.140625" style="2" customWidth="1"/>
    <col min="11508" max="11508" width="20.140625" style="2" customWidth="1"/>
    <col min="11509" max="11740" width="8.85546875" style="2" customWidth="1"/>
    <col min="11741" max="11741" width="8.140625" style="2" customWidth="1"/>
    <col min="11742" max="11742" width="14.5703125" style="2" customWidth="1"/>
    <col min="11743" max="11743" width="37.42578125" style="2" customWidth="1"/>
    <col min="11744" max="11744" width="63.140625" style="2" customWidth="1"/>
    <col min="11745" max="11745" width="20" style="2" customWidth="1"/>
    <col min="11746" max="11746" width="11.140625" style="2" customWidth="1"/>
    <col min="11747" max="11747" width="10.85546875" style="2" customWidth="1"/>
    <col min="11748" max="11748" width="21" style="2" customWidth="1"/>
    <col min="11749" max="11749" width="10.85546875" style="2" customWidth="1"/>
    <col min="11750" max="11750" width="17.42578125" style="2" customWidth="1"/>
    <col min="11751" max="11751" width="14.85546875" style="2" customWidth="1"/>
    <col min="11752" max="11752" width="15" style="2" customWidth="1"/>
    <col min="11753" max="11753" width="14.85546875" style="2" customWidth="1"/>
    <col min="11754" max="11754" width="7.140625" style="2" customWidth="1"/>
    <col min="11755" max="11756" width="20.140625" style="2" customWidth="1"/>
    <col min="11757" max="11757" width="18.42578125" style="2" customWidth="1"/>
    <col min="11758" max="11758" width="9.140625" style="2" customWidth="1"/>
    <col min="11759" max="11759" width="12" style="2" customWidth="1"/>
    <col min="11760" max="11760" width="14.85546875" style="2" customWidth="1"/>
    <col min="11761" max="11761" width="22.42578125" style="2" customWidth="1"/>
    <col min="11762" max="11762" width="14.85546875" style="2" customWidth="1"/>
    <col min="11763" max="11763" width="7.140625" style="2" customWidth="1"/>
    <col min="11764" max="11764" width="20.140625" style="2" customWidth="1"/>
    <col min="11765" max="11996" width="8.85546875" style="2" customWidth="1"/>
    <col min="11997" max="11997" width="8.140625" style="2" customWidth="1"/>
    <col min="11998" max="11998" width="14.5703125" style="2" customWidth="1"/>
    <col min="11999" max="11999" width="37.42578125" style="2" customWidth="1"/>
    <col min="12000" max="12000" width="63.140625" style="2" customWidth="1"/>
    <col min="12001" max="12001" width="20" style="2" customWidth="1"/>
    <col min="12002" max="12002" width="11.140625" style="2" customWidth="1"/>
    <col min="12003" max="12003" width="10.85546875" style="2" customWidth="1"/>
    <col min="12004" max="12004" width="21" style="2" customWidth="1"/>
    <col min="12005" max="12005" width="10.85546875" style="2" customWidth="1"/>
    <col min="12006" max="12006" width="17.42578125" style="2" customWidth="1"/>
    <col min="12007" max="12007" width="14.85546875" style="2" customWidth="1"/>
    <col min="12008" max="12008" width="15" style="2" customWidth="1"/>
    <col min="12009" max="12009" width="14.85546875" style="2" customWidth="1"/>
    <col min="12010" max="12010" width="7.140625" style="2" customWidth="1"/>
    <col min="12011" max="12012" width="20.140625" style="2" customWidth="1"/>
    <col min="12013" max="12013" width="18.42578125" style="2" customWidth="1"/>
    <col min="12014" max="12014" width="9.140625" style="2" customWidth="1"/>
    <col min="12015" max="12015" width="12" style="2" customWidth="1"/>
    <col min="12016" max="12016" width="14.85546875" style="2" customWidth="1"/>
    <col min="12017" max="12017" width="22.42578125" style="2" customWidth="1"/>
    <col min="12018" max="12018" width="14.85546875" style="2" customWidth="1"/>
    <col min="12019" max="12019" width="7.140625" style="2" customWidth="1"/>
    <col min="12020" max="12020" width="20.140625" style="2" customWidth="1"/>
    <col min="12021" max="12252" width="8.85546875" style="2" customWidth="1"/>
    <col min="12253" max="12253" width="8.140625" style="2" customWidth="1"/>
    <col min="12254" max="12254" width="14.5703125" style="2" customWidth="1"/>
    <col min="12255" max="12255" width="37.42578125" style="2" customWidth="1"/>
    <col min="12256" max="12256" width="63.140625" style="2" customWidth="1"/>
    <col min="12257" max="12257" width="20" style="2" customWidth="1"/>
    <col min="12258" max="12258" width="11.140625" style="2" customWidth="1"/>
    <col min="12259" max="12259" width="10.85546875" style="2" customWidth="1"/>
    <col min="12260" max="12260" width="21" style="2" customWidth="1"/>
    <col min="12261" max="12261" width="10.85546875" style="2" customWidth="1"/>
    <col min="12262" max="12262" width="17.42578125" style="2" customWidth="1"/>
    <col min="12263" max="12263" width="14.85546875" style="2" customWidth="1"/>
    <col min="12264" max="12264" width="15" style="2" customWidth="1"/>
    <col min="12265" max="12265" width="14.85546875" style="2" customWidth="1"/>
    <col min="12266" max="12266" width="7.140625" style="2" customWidth="1"/>
    <col min="12267" max="12268" width="20.140625" style="2" customWidth="1"/>
    <col min="12269" max="12269" width="18.42578125" style="2" customWidth="1"/>
    <col min="12270" max="12270" width="9.140625" style="2" customWidth="1"/>
    <col min="12271" max="12271" width="12" style="2" customWidth="1"/>
    <col min="12272" max="12272" width="14.85546875" style="2" customWidth="1"/>
    <col min="12273" max="12273" width="22.42578125" style="2" customWidth="1"/>
    <col min="12274" max="12274" width="14.85546875" style="2" customWidth="1"/>
    <col min="12275" max="12275" width="7.140625" style="2" customWidth="1"/>
    <col min="12276" max="12276" width="20.140625" style="2" customWidth="1"/>
    <col min="12277" max="12508" width="8.85546875" style="2" customWidth="1"/>
    <col min="12509" max="12509" width="8.140625" style="2" customWidth="1"/>
    <col min="12510" max="12510" width="14.5703125" style="2" customWidth="1"/>
    <col min="12511" max="12511" width="37.42578125" style="2" customWidth="1"/>
    <col min="12512" max="12512" width="63.140625" style="2" customWidth="1"/>
    <col min="12513" max="12513" width="20" style="2" customWidth="1"/>
    <col min="12514" max="12514" width="11.140625" style="2" customWidth="1"/>
    <col min="12515" max="12515" width="10.85546875" style="2" customWidth="1"/>
    <col min="12516" max="12516" width="21" style="2" customWidth="1"/>
    <col min="12517" max="12517" width="10.85546875" style="2" customWidth="1"/>
    <col min="12518" max="12518" width="17.42578125" style="2" customWidth="1"/>
    <col min="12519" max="12519" width="14.85546875" style="2" customWidth="1"/>
    <col min="12520" max="12520" width="15" style="2" customWidth="1"/>
    <col min="12521" max="12521" width="14.85546875" style="2" customWidth="1"/>
    <col min="12522" max="12522" width="7.140625" style="2" customWidth="1"/>
    <col min="12523" max="12524" width="20.140625" style="2" customWidth="1"/>
    <col min="12525" max="12525" width="18.42578125" style="2" customWidth="1"/>
    <col min="12526" max="12526" width="9.140625" style="2" customWidth="1"/>
    <col min="12527" max="12527" width="12" style="2" customWidth="1"/>
    <col min="12528" max="12528" width="14.85546875" style="2" customWidth="1"/>
    <col min="12529" max="12529" width="22.42578125" style="2" customWidth="1"/>
    <col min="12530" max="12530" width="14.85546875" style="2" customWidth="1"/>
    <col min="12531" max="12531" width="7.140625" style="2" customWidth="1"/>
    <col min="12532" max="12532" width="20.140625" style="2" customWidth="1"/>
    <col min="12533" max="12764" width="8.85546875" style="2" customWidth="1"/>
    <col min="12765" max="12765" width="8.140625" style="2" customWidth="1"/>
    <col min="12766" max="12766" width="14.5703125" style="2" customWidth="1"/>
    <col min="12767" max="12767" width="37.42578125" style="2" customWidth="1"/>
    <col min="12768" max="12768" width="63.140625" style="2" customWidth="1"/>
    <col min="12769" max="12769" width="20" style="2" customWidth="1"/>
    <col min="12770" max="12770" width="11.140625" style="2" customWidth="1"/>
    <col min="12771" max="12771" width="10.85546875" style="2" customWidth="1"/>
    <col min="12772" max="12772" width="21" style="2" customWidth="1"/>
    <col min="12773" max="12773" width="10.85546875" style="2" customWidth="1"/>
    <col min="12774" max="12774" width="17.42578125" style="2" customWidth="1"/>
    <col min="12775" max="12775" width="14.85546875" style="2" customWidth="1"/>
    <col min="12776" max="12776" width="15" style="2" customWidth="1"/>
    <col min="12777" max="12777" width="14.85546875" style="2" customWidth="1"/>
    <col min="12778" max="12778" width="7.140625" style="2" customWidth="1"/>
    <col min="12779" max="12780" width="20.140625" style="2" customWidth="1"/>
    <col min="12781" max="12781" width="18.42578125" style="2" customWidth="1"/>
    <col min="12782" max="12782" width="9.140625" style="2" customWidth="1"/>
    <col min="12783" max="12783" width="12" style="2" customWidth="1"/>
    <col min="12784" max="12784" width="14.85546875" style="2" customWidth="1"/>
    <col min="12785" max="12785" width="22.42578125" style="2" customWidth="1"/>
    <col min="12786" max="12786" width="14.85546875" style="2" customWidth="1"/>
    <col min="12787" max="12787" width="7.140625" style="2" customWidth="1"/>
    <col min="12788" max="12788" width="20.140625" style="2" customWidth="1"/>
    <col min="12789" max="13020" width="8.85546875" style="2" customWidth="1"/>
    <col min="13021" max="13021" width="8.140625" style="2" customWidth="1"/>
    <col min="13022" max="13022" width="14.5703125" style="2" customWidth="1"/>
    <col min="13023" max="13023" width="37.42578125" style="2" customWidth="1"/>
    <col min="13024" max="13024" width="63.140625" style="2" customWidth="1"/>
    <col min="13025" max="13025" width="20" style="2" customWidth="1"/>
    <col min="13026" max="13026" width="11.140625" style="2" customWidth="1"/>
    <col min="13027" max="13027" width="10.85546875" style="2" customWidth="1"/>
    <col min="13028" max="13028" width="21" style="2" customWidth="1"/>
    <col min="13029" max="13029" width="10.85546875" style="2" customWidth="1"/>
    <col min="13030" max="13030" width="17.42578125" style="2" customWidth="1"/>
    <col min="13031" max="13031" width="14.85546875" style="2" customWidth="1"/>
    <col min="13032" max="13032" width="15" style="2" customWidth="1"/>
    <col min="13033" max="13033" width="14.85546875" style="2" customWidth="1"/>
    <col min="13034" max="13034" width="7.140625" style="2" customWidth="1"/>
    <col min="13035" max="13036" width="20.140625" style="2" customWidth="1"/>
    <col min="13037" max="13037" width="18.42578125" style="2" customWidth="1"/>
    <col min="13038" max="13038" width="9.140625" style="2" customWidth="1"/>
    <col min="13039" max="13039" width="12" style="2" customWidth="1"/>
    <col min="13040" max="13040" width="14.85546875" style="2" customWidth="1"/>
    <col min="13041" max="13041" width="22.42578125" style="2" customWidth="1"/>
    <col min="13042" max="13042" width="14.85546875" style="2" customWidth="1"/>
    <col min="13043" max="13043" width="7.140625" style="2" customWidth="1"/>
    <col min="13044" max="13044" width="20.140625" style="2" customWidth="1"/>
    <col min="13045" max="13276" width="8.85546875" style="2" customWidth="1"/>
    <col min="13277" max="13277" width="8.140625" style="2" customWidth="1"/>
    <col min="13278" max="13278" width="14.5703125" style="2" customWidth="1"/>
    <col min="13279" max="13279" width="37.42578125" style="2" customWidth="1"/>
    <col min="13280" max="13280" width="63.140625" style="2" customWidth="1"/>
    <col min="13281" max="13281" width="20" style="2" customWidth="1"/>
    <col min="13282" max="13282" width="11.140625" style="2" customWidth="1"/>
    <col min="13283" max="13283" width="10.85546875" style="2" customWidth="1"/>
    <col min="13284" max="13284" width="21" style="2" customWidth="1"/>
    <col min="13285" max="13285" width="10.85546875" style="2" customWidth="1"/>
    <col min="13286" max="13286" width="17.42578125" style="2" customWidth="1"/>
    <col min="13287" max="13287" width="14.85546875" style="2" customWidth="1"/>
    <col min="13288" max="13288" width="15" style="2" customWidth="1"/>
    <col min="13289" max="13289" width="14.85546875" style="2" customWidth="1"/>
    <col min="13290" max="13290" width="7.140625" style="2" customWidth="1"/>
    <col min="13291" max="13292" width="20.140625" style="2" customWidth="1"/>
    <col min="13293" max="13293" width="18.42578125" style="2" customWidth="1"/>
    <col min="13294" max="13294" width="9.140625" style="2" customWidth="1"/>
    <col min="13295" max="13295" width="12" style="2" customWidth="1"/>
    <col min="13296" max="13296" width="14.85546875" style="2" customWidth="1"/>
    <col min="13297" max="13297" width="22.42578125" style="2" customWidth="1"/>
    <col min="13298" max="13298" width="14.85546875" style="2" customWidth="1"/>
    <col min="13299" max="13299" width="7.140625" style="2" customWidth="1"/>
    <col min="13300" max="13300" width="20.140625" style="2" customWidth="1"/>
    <col min="13301" max="13532" width="8.85546875" style="2" customWidth="1"/>
    <col min="13533" max="13533" width="8.140625" style="2" customWidth="1"/>
    <col min="13534" max="13534" width="14.5703125" style="2" customWidth="1"/>
    <col min="13535" max="13535" width="37.42578125" style="2" customWidth="1"/>
    <col min="13536" max="13536" width="63.140625" style="2" customWidth="1"/>
    <col min="13537" max="13537" width="20" style="2" customWidth="1"/>
    <col min="13538" max="13538" width="11.140625" style="2" customWidth="1"/>
    <col min="13539" max="13539" width="10.85546875" style="2" customWidth="1"/>
    <col min="13540" max="13540" width="21" style="2" customWidth="1"/>
    <col min="13541" max="13541" width="10.85546875" style="2" customWidth="1"/>
    <col min="13542" max="13542" width="17.42578125" style="2" customWidth="1"/>
    <col min="13543" max="13543" width="14.85546875" style="2" customWidth="1"/>
    <col min="13544" max="13544" width="15" style="2" customWidth="1"/>
    <col min="13545" max="13545" width="14.85546875" style="2" customWidth="1"/>
    <col min="13546" max="13546" width="7.140625" style="2" customWidth="1"/>
    <col min="13547" max="13548" width="20.140625" style="2" customWidth="1"/>
    <col min="13549" max="13549" width="18.42578125" style="2" customWidth="1"/>
    <col min="13550" max="13550" width="9.140625" style="2" customWidth="1"/>
    <col min="13551" max="13551" width="12" style="2" customWidth="1"/>
    <col min="13552" max="13552" width="14.85546875" style="2" customWidth="1"/>
    <col min="13553" max="13553" width="22.42578125" style="2" customWidth="1"/>
    <col min="13554" max="13554" width="14.85546875" style="2" customWidth="1"/>
    <col min="13555" max="13555" width="7.140625" style="2" customWidth="1"/>
    <col min="13556" max="13556" width="20.140625" style="2" customWidth="1"/>
    <col min="13557" max="13788" width="8.85546875" style="2" customWidth="1"/>
    <col min="13789" max="13789" width="8.140625" style="2" customWidth="1"/>
    <col min="13790" max="13790" width="14.5703125" style="2" customWidth="1"/>
    <col min="13791" max="13791" width="37.42578125" style="2" customWidth="1"/>
    <col min="13792" max="13792" width="63.140625" style="2" customWidth="1"/>
    <col min="13793" max="13793" width="20" style="2" customWidth="1"/>
    <col min="13794" max="13794" width="11.140625" style="2" customWidth="1"/>
    <col min="13795" max="13795" width="10.85546875" style="2" customWidth="1"/>
    <col min="13796" max="13796" width="21" style="2" customWidth="1"/>
    <col min="13797" max="13797" width="10.85546875" style="2" customWidth="1"/>
    <col min="13798" max="13798" width="17.42578125" style="2" customWidth="1"/>
    <col min="13799" max="13799" width="14.85546875" style="2" customWidth="1"/>
    <col min="13800" max="13800" width="15" style="2" customWidth="1"/>
    <col min="13801" max="13801" width="14.85546875" style="2" customWidth="1"/>
    <col min="13802" max="13802" width="7.140625" style="2" customWidth="1"/>
    <col min="13803" max="13804" width="20.140625" style="2" customWidth="1"/>
    <col min="13805" max="13805" width="18.42578125" style="2" customWidth="1"/>
    <col min="13806" max="13806" width="9.140625" style="2" customWidth="1"/>
    <col min="13807" max="13807" width="12" style="2" customWidth="1"/>
    <col min="13808" max="13808" width="14.85546875" style="2" customWidth="1"/>
    <col min="13809" max="13809" width="22.42578125" style="2" customWidth="1"/>
    <col min="13810" max="13810" width="14.85546875" style="2" customWidth="1"/>
    <col min="13811" max="13811" width="7.140625" style="2" customWidth="1"/>
    <col min="13812" max="13812" width="20.140625" style="2" customWidth="1"/>
    <col min="13813" max="14044" width="8.85546875" style="2" customWidth="1"/>
    <col min="14045" max="14045" width="8.140625" style="2" customWidth="1"/>
    <col min="14046" max="14046" width="14.5703125" style="2" customWidth="1"/>
    <col min="14047" max="14047" width="37.42578125" style="2" customWidth="1"/>
    <col min="14048" max="14048" width="63.140625" style="2" customWidth="1"/>
    <col min="14049" max="14049" width="20" style="2" customWidth="1"/>
    <col min="14050" max="14050" width="11.140625" style="2" customWidth="1"/>
    <col min="14051" max="14051" width="10.85546875" style="2" customWidth="1"/>
    <col min="14052" max="14052" width="21" style="2" customWidth="1"/>
    <col min="14053" max="14053" width="10.85546875" style="2" customWidth="1"/>
    <col min="14054" max="14054" width="17.42578125" style="2" customWidth="1"/>
    <col min="14055" max="14055" width="14.85546875" style="2" customWidth="1"/>
    <col min="14056" max="14056" width="15" style="2" customWidth="1"/>
    <col min="14057" max="14057" width="14.85546875" style="2" customWidth="1"/>
    <col min="14058" max="14058" width="7.140625" style="2" customWidth="1"/>
    <col min="14059" max="14060" width="20.140625" style="2" customWidth="1"/>
    <col min="14061" max="14061" width="18.42578125" style="2" customWidth="1"/>
    <col min="14062" max="14062" width="9.140625" style="2" customWidth="1"/>
    <col min="14063" max="14063" width="12" style="2" customWidth="1"/>
    <col min="14064" max="14064" width="14.85546875" style="2" customWidth="1"/>
    <col min="14065" max="14065" width="22.42578125" style="2" customWidth="1"/>
    <col min="14066" max="14066" width="14.85546875" style="2" customWidth="1"/>
    <col min="14067" max="14067" width="7.140625" style="2" customWidth="1"/>
    <col min="14068" max="14068" width="20.140625" style="2" customWidth="1"/>
    <col min="14069" max="14300" width="8.85546875" style="2" customWidth="1"/>
    <col min="14301" max="14301" width="8.140625" style="2" customWidth="1"/>
    <col min="14302" max="14302" width="14.5703125" style="2" customWidth="1"/>
    <col min="14303" max="14303" width="37.42578125" style="2" customWidth="1"/>
    <col min="14304" max="14304" width="63.140625" style="2" customWidth="1"/>
    <col min="14305" max="14305" width="20" style="2" customWidth="1"/>
    <col min="14306" max="14306" width="11.140625" style="2" customWidth="1"/>
    <col min="14307" max="14307" width="10.85546875" style="2" customWidth="1"/>
    <col min="14308" max="14308" width="21" style="2" customWidth="1"/>
    <col min="14309" max="14309" width="10.85546875" style="2" customWidth="1"/>
    <col min="14310" max="14310" width="17.42578125" style="2" customWidth="1"/>
    <col min="14311" max="14311" width="14.85546875" style="2" customWidth="1"/>
    <col min="14312" max="14312" width="15" style="2" customWidth="1"/>
    <col min="14313" max="14313" width="14.85546875" style="2" customWidth="1"/>
    <col min="14314" max="14314" width="7.140625" style="2" customWidth="1"/>
    <col min="14315" max="14316" width="20.140625" style="2" customWidth="1"/>
    <col min="14317" max="14317" width="18.42578125" style="2" customWidth="1"/>
    <col min="14318" max="14318" width="9.140625" style="2" customWidth="1"/>
    <col min="14319" max="14319" width="12" style="2" customWidth="1"/>
    <col min="14320" max="14320" width="14.85546875" style="2" customWidth="1"/>
    <col min="14321" max="14321" width="22.42578125" style="2" customWidth="1"/>
    <col min="14322" max="14322" width="14.85546875" style="2" customWidth="1"/>
    <col min="14323" max="14323" width="7.140625" style="2" customWidth="1"/>
    <col min="14324" max="14324" width="20.140625" style="2" customWidth="1"/>
    <col min="14325" max="14556" width="8.85546875" style="2" customWidth="1"/>
    <col min="14557" max="14557" width="8.140625" style="2" customWidth="1"/>
    <col min="14558" max="14558" width="14.5703125" style="2" customWidth="1"/>
    <col min="14559" max="14559" width="37.42578125" style="2" customWidth="1"/>
    <col min="14560" max="14560" width="63.140625" style="2" customWidth="1"/>
    <col min="14561" max="14561" width="20" style="2" customWidth="1"/>
    <col min="14562" max="14562" width="11.140625" style="2" customWidth="1"/>
    <col min="14563" max="14563" width="10.85546875" style="2" customWidth="1"/>
    <col min="14564" max="14564" width="21" style="2" customWidth="1"/>
    <col min="14565" max="14565" width="10.85546875" style="2" customWidth="1"/>
    <col min="14566" max="14566" width="17.42578125" style="2" customWidth="1"/>
    <col min="14567" max="14567" width="14.85546875" style="2" customWidth="1"/>
    <col min="14568" max="14568" width="15" style="2" customWidth="1"/>
    <col min="14569" max="14569" width="14.85546875" style="2" customWidth="1"/>
    <col min="14570" max="14570" width="7.140625" style="2" customWidth="1"/>
    <col min="14571" max="14572" width="20.140625" style="2" customWidth="1"/>
    <col min="14573" max="14573" width="18.42578125" style="2" customWidth="1"/>
    <col min="14574" max="14574" width="9.140625" style="2" customWidth="1"/>
    <col min="14575" max="14575" width="12" style="2" customWidth="1"/>
    <col min="14576" max="14576" width="14.85546875" style="2" customWidth="1"/>
    <col min="14577" max="14577" width="22.42578125" style="2" customWidth="1"/>
    <col min="14578" max="14578" width="14.85546875" style="2" customWidth="1"/>
    <col min="14579" max="14579" width="7.140625" style="2" customWidth="1"/>
    <col min="14580" max="14580" width="20.140625" style="2" customWidth="1"/>
    <col min="14581" max="14812" width="8.85546875" style="2" customWidth="1"/>
    <col min="14813" max="14813" width="8.140625" style="2" customWidth="1"/>
    <col min="14814" max="14814" width="14.5703125" style="2" customWidth="1"/>
    <col min="14815" max="14815" width="37.42578125" style="2" customWidth="1"/>
    <col min="14816" max="14816" width="63.140625" style="2" customWidth="1"/>
    <col min="14817" max="14817" width="20" style="2" customWidth="1"/>
    <col min="14818" max="14818" width="11.140625" style="2" customWidth="1"/>
    <col min="14819" max="14819" width="10.85546875" style="2" customWidth="1"/>
    <col min="14820" max="14820" width="21" style="2" customWidth="1"/>
    <col min="14821" max="14821" width="10.85546875" style="2" customWidth="1"/>
    <col min="14822" max="14822" width="17.42578125" style="2" customWidth="1"/>
    <col min="14823" max="14823" width="14.85546875" style="2" customWidth="1"/>
    <col min="14824" max="14824" width="15" style="2" customWidth="1"/>
    <col min="14825" max="14825" width="14.85546875" style="2" customWidth="1"/>
    <col min="14826" max="14826" width="7.140625" style="2" customWidth="1"/>
    <col min="14827" max="14828" width="20.140625" style="2" customWidth="1"/>
    <col min="14829" max="14829" width="18.42578125" style="2" customWidth="1"/>
    <col min="14830" max="14830" width="9.140625" style="2" customWidth="1"/>
    <col min="14831" max="14831" width="12" style="2" customWidth="1"/>
    <col min="14832" max="14832" width="14.85546875" style="2" customWidth="1"/>
    <col min="14833" max="14833" width="22.42578125" style="2" customWidth="1"/>
    <col min="14834" max="14834" width="14.85546875" style="2" customWidth="1"/>
    <col min="14835" max="14835" width="7.140625" style="2" customWidth="1"/>
    <col min="14836" max="14836" width="20.140625" style="2" customWidth="1"/>
    <col min="14837" max="15068" width="8.85546875" style="2" customWidth="1"/>
    <col min="15069" max="15069" width="8.140625" style="2" customWidth="1"/>
    <col min="15070" max="15070" width="14.5703125" style="2" customWidth="1"/>
    <col min="15071" max="15071" width="37.42578125" style="2" customWidth="1"/>
    <col min="15072" max="15072" width="63.140625" style="2" customWidth="1"/>
    <col min="15073" max="15073" width="20" style="2" customWidth="1"/>
    <col min="15074" max="15074" width="11.140625" style="2" customWidth="1"/>
    <col min="15075" max="15075" width="10.85546875" style="2" customWidth="1"/>
    <col min="15076" max="15076" width="21" style="2" customWidth="1"/>
    <col min="15077" max="15077" width="10.85546875" style="2" customWidth="1"/>
    <col min="15078" max="15078" width="17.42578125" style="2" customWidth="1"/>
    <col min="15079" max="15079" width="14.85546875" style="2" customWidth="1"/>
    <col min="15080" max="15080" width="15" style="2" customWidth="1"/>
    <col min="15081" max="15081" width="14.85546875" style="2" customWidth="1"/>
    <col min="15082" max="15082" width="7.140625" style="2" customWidth="1"/>
    <col min="15083" max="15084" width="20.140625" style="2" customWidth="1"/>
    <col min="15085" max="15085" width="18.42578125" style="2" customWidth="1"/>
    <col min="15086" max="15086" width="9.140625" style="2" customWidth="1"/>
    <col min="15087" max="15087" width="12" style="2" customWidth="1"/>
    <col min="15088" max="15088" width="14.85546875" style="2" customWidth="1"/>
    <col min="15089" max="15089" width="22.42578125" style="2" customWidth="1"/>
    <col min="15090" max="15090" width="14.85546875" style="2" customWidth="1"/>
    <col min="15091" max="15091" width="7.140625" style="2" customWidth="1"/>
    <col min="15092" max="15092" width="20.140625" style="2" customWidth="1"/>
    <col min="15093" max="15324" width="8.85546875" style="2" customWidth="1"/>
    <col min="15325" max="15325" width="8.140625" style="2" customWidth="1"/>
    <col min="15326" max="15326" width="14.5703125" style="2" customWidth="1"/>
    <col min="15327" max="15327" width="37.42578125" style="2" customWidth="1"/>
    <col min="15328" max="15328" width="63.140625" style="2" customWidth="1"/>
    <col min="15329" max="15329" width="20" style="2" customWidth="1"/>
    <col min="15330" max="15330" width="11.140625" style="2" customWidth="1"/>
    <col min="15331" max="15331" width="10.85546875" style="2" customWidth="1"/>
    <col min="15332" max="15332" width="21" style="2" customWidth="1"/>
    <col min="15333" max="15333" width="10.85546875" style="2" customWidth="1"/>
    <col min="15334" max="15334" width="17.42578125" style="2" customWidth="1"/>
    <col min="15335" max="15335" width="14.85546875" style="2" customWidth="1"/>
    <col min="15336" max="15336" width="15" style="2" customWidth="1"/>
    <col min="15337" max="15337" width="14.85546875" style="2" customWidth="1"/>
    <col min="15338" max="15338" width="7.140625" style="2" customWidth="1"/>
    <col min="15339" max="15340" width="20.140625" style="2" customWidth="1"/>
    <col min="15341" max="15341" width="18.42578125" style="2" customWidth="1"/>
    <col min="15342" max="15342" width="9.140625" style="2" customWidth="1"/>
    <col min="15343" max="15343" width="12" style="2" customWidth="1"/>
    <col min="15344" max="15344" width="14.85546875" style="2" customWidth="1"/>
    <col min="15345" max="15345" width="22.42578125" style="2" customWidth="1"/>
    <col min="15346" max="15346" width="14.85546875" style="2" customWidth="1"/>
    <col min="15347" max="15347" width="7.140625" style="2" customWidth="1"/>
    <col min="15348" max="15348" width="20.140625" style="2" customWidth="1"/>
    <col min="15349" max="15580" width="8.85546875" style="2" customWidth="1"/>
    <col min="15581" max="15581" width="8.140625" style="2" customWidth="1"/>
    <col min="15582" max="15582" width="14.5703125" style="2" customWidth="1"/>
    <col min="15583" max="15583" width="37.42578125" style="2" customWidth="1"/>
    <col min="15584" max="15584" width="63.140625" style="2" customWidth="1"/>
    <col min="15585" max="15585" width="20" style="2" customWidth="1"/>
    <col min="15586" max="15586" width="11.140625" style="2" customWidth="1"/>
    <col min="15587" max="15587" width="10.85546875" style="2" customWidth="1"/>
    <col min="15588" max="15588" width="21" style="2" customWidth="1"/>
    <col min="15589" max="15589" width="10.85546875" style="2" customWidth="1"/>
    <col min="15590" max="15590" width="17.42578125" style="2" customWidth="1"/>
    <col min="15591" max="15591" width="14.85546875" style="2" customWidth="1"/>
    <col min="15592" max="15592" width="15" style="2" customWidth="1"/>
    <col min="15593" max="15593" width="14.85546875" style="2" customWidth="1"/>
    <col min="15594" max="15594" width="7.140625" style="2" customWidth="1"/>
    <col min="15595" max="15596" width="20.140625" style="2" customWidth="1"/>
    <col min="15597" max="15597" width="18.42578125" style="2" customWidth="1"/>
    <col min="15598" max="15598" width="9.140625" style="2" customWidth="1"/>
    <col min="15599" max="15599" width="12" style="2" customWidth="1"/>
    <col min="15600" max="15600" width="14.85546875" style="2" customWidth="1"/>
    <col min="15601" max="15601" width="22.42578125" style="2" customWidth="1"/>
    <col min="15602" max="15602" width="14.85546875" style="2" customWidth="1"/>
    <col min="15603" max="15603" width="7.140625" style="2" customWidth="1"/>
    <col min="15604" max="15604" width="20.140625" style="2" customWidth="1"/>
    <col min="15605" max="15836" width="8.85546875" style="2" customWidth="1"/>
    <col min="15837" max="15837" width="8.140625" style="2" customWidth="1"/>
    <col min="15838" max="15838" width="14.5703125" style="2" customWidth="1"/>
    <col min="15839" max="15839" width="37.42578125" style="2" customWidth="1"/>
    <col min="15840" max="15840" width="63.140625" style="2" customWidth="1"/>
    <col min="15841" max="15841" width="20" style="2" customWidth="1"/>
    <col min="15842" max="15842" width="11.140625" style="2" customWidth="1"/>
    <col min="15843" max="15843" width="10.85546875" style="2" customWidth="1"/>
    <col min="15844" max="15844" width="21" style="2" customWidth="1"/>
    <col min="15845" max="15845" width="10.85546875" style="2" customWidth="1"/>
    <col min="15846" max="15846" width="17.42578125" style="2" customWidth="1"/>
    <col min="15847" max="15847" width="14.85546875" style="2" customWidth="1"/>
    <col min="15848" max="15848" width="15" style="2" customWidth="1"/>
    <col min="15849" max="15849" width="14.85546875" style="2" customWidth="1"/>
    <col min="15850" max="15850" width="7.140625" style="2" customWidth="1"/>
    <col min="15851" max="15852" width="20.140625" style="2" customWidth="1"/>
    <col min="15853" max="15853" width="18.42578125" style="2" customWidth="1"/>
    <col min="15854" max="15854" width="9.140625" style="2" customWidth="1"/>
    <col min="15855" max="15855" width="12" style="2" customWidth="1"/>
    <col min="15856" max="15856" width="14.85546875" style="2" customWidth="1"/>
    <col min="15857" max="15857" width="22.42578125" style="2" customWidth="1"/>
    <col min="15858" max="15858" width="14.85546875" style="2" customWidth="1"/>
    <col min="15859" max="15859" width="7.140625" style="2" customWidth="1"/>
    <col min="15860" max="15860" width="20.140625" style="2" customWidth="1"/>
    <col min="15861" max="16092" width="8.85546875" style="2" customWidth="1"/>
    <col min="16093" max="16093" width="8.140625" style="2" customWidth="1"/>
    <col min="16094" max="16094" width="14.5703125" style="2" customWidth="1"/>
    <col min="16095" max="16095" width="37.42578125" style="2" customWidth="1"/>
    <col min="16096" max="16096" width="63.140625" style="2" customWidth="1"/>
    <col min="16097" max="16097" width="20" style="2" customWidth="1"/>
    <col min="16098" max="16098" width="11.140625" style="2" customWidth="1"/>
    <col min="16099" max="16099" width="10.85546875" style="2" customWidth="1"/>
    <col min="16100" max="16100" width="21" style="2" customWidth="1"/>
    <col min="16101" max="16101" width="10.85546875" style="2" customWidth="1"/>
    <col min="16102" max="16102" width="17.42578125" style="2" customWidth="1"/>
    <col min="16103" max="16103" width="14.85546875" style="2" customWidth="1"/>
    <col min="16104" max="16104" width="15" style="2" customWidth="1"/>
    <col min="16105" max="16105" width="14.85546875" style="2" customWidth="1"/>
    <col min="16106" max="16106" width="7.140625" style="2" customWidth="1"/>
    <col min="16107" max="16108" width="20.140625" style="2" customWidth="1"/>
    <col min="16109" max="16109" width="18.42578125" style="2" customWidth="1"/>
    <col min="16110" max="16110" width="9.140625" style="2" customWidth="1"/>
    <col min="16111" max="16111" width="12" style="2" customWidth="1"/>
    <col min="16112" max="16112" width="14.85546875" style="2" customWidth="1"/>
    <col min="16113" max="16113" width="22.42578125" style="2" customWidth="1"/>
    <col min="16114" max="16114" width="14.85546875" style="2" customWidth="1"/>
    <col min="16115" max="16115" width="7.140625" style="2" customWidth="1"/>
    <col min="16116" max="16116" width="20.140625" style="2" customWidth="1"/>
    <col min="16117" max="16384" width="8.85546875" style="2" customWidth="1"/>
  </cols>
  <sheetData>
    <row r="1" spans="1:21" ht="14.1" customHeight="1">
      <c r="A1" s="1" t="s">
        <v>2432</v>
      </c>
      <c r="B1" s="2"/>
      <c r="C1" s="2"/>
      <c r="D1" s="2"/>
      <c r="F1" s="2"/>
      <c r="H1" s="2"/>
      <c r="J1" s="2"/>
      <c r="K1" s="2"/>
      <c r="L1" s="2"/>
      <c r="N1" s="2"/>
      <c r="O1" s="2"/>
      <c r="P1" s="2"/>
      <c r="R1" s="10"/>
    </row>
    <row r="2" spans="1:21" s="4" customFormat="1" ht="14.1" customHeight="1">
      <c r="A2" s="4" t="s">
        <v>2134</v>
      </c>
      <c r="E2" s="324"/>
      <c r="G2" s="324"/>
      <c r="M2" s="324"/>
      <c r="R2" s="336"/>
    </row>
    <row r="3" spans="1:21" ht="14.1" customHeight="1">
      <c r="B3" s="16"/>
      <c r="C3" s="16"/>
      <c r="D3" s="23"/>
      <c r="E3" s="23"/>
      <c r="F3" s="23"/>
      <c r="G3" s="25"/>
      <c r="H3" s="25"/>
      <c r="I3" s="15"/>
      <c r="J3" s="25"/>
      <c r="K3" s="25"/>
      <c r="L3" s="25"/>
      <c r="M3" s="25"/>
      <c r="N3" s="25"/>
      <c r="O3" s="25"/>
      <c r="P3" s="25"/>
      <c r="R3" s="355" t="s">
        <v>2</v>
      </c>
    </row>
    <row r="4" spans="1:21" s="3" customFormat="1" ht="33" customHeight="1">
      <c r="A4" s="21" t="s">
        <v>3</v>
      </c>
      <c r="B4" s="52" t="s">
        <v>4</v>
      </c>
      <c r="C4" s="52" t="s">
        <v>5</v>
      </c>
      <c r="D4" s="21" t="s">
        <v>6</v>
      </c>
      <c r="E4" s="21" t="s">
        <v>7</v>
      </c>
      <c r="F4" s="21" t="s">
        <v>8</v>
      </c>
      <c r="G4" s="21" t="s">
        <v>9</v>
      </c>
      <c r="H4" s="21" t="s">
        <v>10</v>
      </c>
      <c r="I4" s="21" t="s">
        <v>11</v>
      </c>
      <c r="J4" s="21" t="s">
        <v>12</v>
      </c>
      <c r="K4" s="21" t="s">
        <v>13</v>
      </c>
      <c r="L4" s="21" t="s">
        <v>14</v>
      </c>
      <c r="M4" s="21" t="s">
        <v>15</v>
      </c>
      <c r="N4" s="21" t="s">
        <v>16</v>
      </c>
      <c r="O4" s="21" t="s">
        <v>17</v>
      </c>
      <c r="P4" s="21" t="s">
        <v>18</v>
      </c>
      <c r="R4" s="41" t="s">
        <v>19</v>
      </c>
      <c r="S4" s="20"/>
      <c r="T4" s="42" t="s">
        <v>20</v>
      </c>
      <c r="U4" s="42" t="s">
        <v>21</v>
      </c>
    </row>
    <row r="5" spans="1:21" s="318" customFormat="1" ht="14.1" customHeight="1">
      <c r="A5" s="311">
        <v>1</v>
      </c>
      <c r="B5" s="247" t="s">
        <v>348</v>
      </c>
      <c r="C5" s="247" t="s">
        <v>348</v>
      </c>
      <c r="D5" s="311" t="s">
        <v>2174</v>
      </c>
      <c r="E5" s="311" t="s">
        <v>2433</v>
      </c>
      <c r="F5" s="311" t="s">
        <v>2434</v>
      </c>
      <c r="G5" s="311" t="s">
        <v>2435</v>
      </c>
      <c r="H5" s="311" t="s">
        <v>42</v>
      </c>
      <c r="I5" s="317" t="s">
        <v>2436</v>
      </c>
      <c r="J5" s="311" t="s">
        <v>30</v>
      </c>
      <c r="K5" s="311"/>
      <c r="L5" s="311" t="s">
        <v>336</v>
      </c>
      <c r="M5" s="308">
        <v>830241</v>
      </c>
      <c r="N5" s="311"/>
      <c r="O5" s="311" t="s">
        <v>2437</v>
      </c>
      <c r="P5" s="311" t="s">
        <v>34</v>
      </c>
      <c r="R5" s="319">
        <v>623.31869052781758</v>
      </c>
      <c r="S5" s="310"/>
      <c r="T5" s="311" t="s">
        <v>34</v>
      </c>
      <c r="U5" s="317"/>
    </row>
    <row r="6" spans="1:21" s="318" customFormat="1" ht="14.1" customHeight="1">
      <c r="A6" s="311">
        <v>2</v>
      </c>
      <c r="B6" s="247" t="s">
        <v>348</v>
      </c>
      <c r="C6" s="247" t="s">
        <v>348</v>
      </c>
      <c r="D6" s="311" t="s">
        <v>2174</v>
      </c>
      <c r="E6" s="311" t="s">
        <v>2433</v>
      </c>
      <c r="F6" s="311" t="s">
        <v>2434</v>
      </c>
      <c r="G6" s="311" t="s">
        <v>2438</v>
      </c>
      <c r="H6" s="311" t="s">
        <v>42</v>
      </c>
      <c r="I6" s="317" t="s">
        <v>2439</v>
      </c>
      <c r="J6" s="311" t="s">
        <v>30</v>
      </c>
      <c r="K6" s="311"/>
      <c r="L6" s="311" t="s">
        <v>336</v>
      </c>
      <c r="M6" s="308">
        <v>830241</v>
      </c>
      <c r="N6" s="311"/>
      <c r="O6" s="311" t="s">
        <v>2437</v>
      </c>
      <c r="P6" s="311" t="s">
        <v>34</v>
      </c>
      <c r="R6" s="319">
        <v>567.46576126905256</v>
      </c>
      <c r="T6" s="311" t="s">
        <v>34</v>
      </c>
      <c r="U6" s="317"/>
    </row>
    <row r="7" spans="1:21" s="318" customFormat="1" ht="14.1" customHeight="1">
      <c r="A7" s="311">
        <v>3</v>
      </c>
      <c r="B7" s="247" t="s">
        <v>348</v>
      </c>
      <c r="C7" s="247" t="s">
        <v>348</v>
      </c>
      <c r="D7" s="311" t="s">
        <v>2174</v>
      </c>
      <c r="E7" s="311" t="s">
        <v>2433</v>
      </c>
      <c r="F7" s="311" t="s">
        <v>2434</v>
      </c>
      <c r="G7" s="311" t="s">
        <v>2440</v>
      </c>
      <c r="H7" s="311" t="s">
        <v>42</v>
      </c>
      <c r="I7" s="317" t="s">
        <v>2441</v>
      </c>
      <c r="J7" s="311" t="s">
        <v>30</v>
      </c>
      <c r="K7" s="311"/>
      <c r="L7" s="311" t="s">
        <v>336</v>
      </c>
      <c r="M7" s="308">
        <v>830241</v>
      </c>
      <c r="N7" s="311"/>
      <c r="O7" s="311" t="s">
        <v>2437</v>
      </c>
      <c r="P7" s="311" t="s">
        <v>34</v>
      </c>
      <c r="R7" s="319">
        <v>1514.731441497707</v>
      </c>
      <c r="T7" s="311" t="s">
        <v>34</v>
      </c>
      <c r="U7" s="317"/>
    </row>
    <row r="8" spans="1:21" s="318" customFormat="1" ht="14.1" customHeight="1">
      <c r="A8" s="311">
        <v>4</v>
      </c>
      <c r="B8" s="247" t="s">
        <v>348</v>
      </c>
      <c r="C8" s="247" t="s">
        <v>348</v>
      </c>
      <c r="D8" s="311" t="s">
        <v>2174</v>
      </c>
      <c r="E8" s="311" t="s">
        <v>2433</v>
      </c>
      <c r="F8" s="311" t="s">
        <v>2434</v>
      </c>
      <c r="G8" s="311" t="s">
        <v>2442</v>
      </c>
      <c r="H8" s="311" t="s">
        <v>42</v>
      </c>
      <c r="I8" s="317" t="s">
        <v>2443</v>
      </c>
      <c r="J8" s="311" t="s">
        <v>30</v>
      </c>
      <c r="K8" s="311"/>
      <c r="L8" s="311" t="s">
        <v>336</v>
      </c>
      <c r="M8" s="308">
        <v>830241</v>
      </c>
      <c r="N8" s="311"/>
      <c r="O8" s="311" t="s">
        <v>2437</v>
      </c>
      <c r="P8" s="311" t="s">
        <v>34</v>
      </c>
      <c r="R8" s="319">
        <v>1389.6208799580741</v>
      </c>
      <c r="T8" s="311" t="s">
        <v>34</v>
      </c>
      <c r="U8" s="317"/>
    </row>
    <row r="9" spans="1:21" s="318" customFormat="1" ht="14.1" customHeight="1">
      <c r="A9" s="311">
        <v>5</v>
      </c>
      <c r="B9" s="247" t="s">
        <v>348</v>
      </c>
      <c r="C9" s="247" t="s">
        <v>348</v>
      </c>
      <c r="D9" s="311" t="s">
        <v>2174</v>
      </c>
      <c r="E9" s="311" t="s">
        <v>2433</v>
      </c>
      <c r="F9" s="311" t="s">
        <v>2434</v>
      </c>
      <c r="G9" s="311" t="s">
        <v>2444</v>
      </c>
      <c r="H9" s="311" t="s">
        <v>42</v>
      </c>
      <c r="I9" s="317" t="s">
        <v>2445</v>
      </c>
      <c r="J9" s="311" t="s">
        <v>30</v>
      </c>
      <c r="K9" s="311"/>
      <c r="L9" s="311" t="s">
        <v>336</v>
      </c>
      <c r="M9" s="308">
        <v>830241</v>
      </c>
      <c r="N9" s="311"/>
      <c r="O9" s="311" t="s">
        <v>2437</v>
      </c>
      <c r="P9" s="311" t="s">
        <v>34</v>
      </c>
      <c r="R9" s="319">
        <v>1168.4432800933639</v>
      </c>
      <c r="T9" s="311" t="s">
        <v>34</v>
      </c>
      <c r="U9" s="317"/>
    </row>
    <row r="10" spans="1:21" s="318" customFormat="1" ht="14.1" customHeight="1">
      <c r="A10" s="311">
        <v>6</v>
      </c>
      <c r="B10" s="247" t="s">
        <v>348</v>
      </c>
      <c r="C10" s="247" t="s">
        <v>348</v>
      </c>
      <c r="D10" s="311" t="s">
        <v>2174</v>
      </c>
      <c r="E10" s="311" t="s">
        <v>2433</v>
      </c>
      <c r="F10" s="311" t="s">
        <v>2434</v>
      </c>
      <c r="G10" s="311" t="s">
        <v>2446</v>
      </c>
      <c r="H10" s="311" t="s">
        <v>42</v>
      </c>
      <c r="I10" s="317" t="s">
        <v>2447</v>
      </c>
      <c r="J10" s="311" t="s">
        <v>30</v>
      </c>
      <c r="K10" s="311"/>
      <c r="L10" s="311" t="s">
        <v>336</v>
      </c>
      <c r="M10" s="308">
        <v>830241</v>
      </c>
      <c r="N10" s="311"/>
      <c r="O10" s="311" t="s">
        <v>2437</v>
      </c>
      <c r="P10" s="311" t="s">
        <v>34</v>
      </c>
      <c r="R10" s="319">
        <v>1047.800952894431</v>
      </c>
      <c r="T10" s="311" t="s">
        <v>34</v>
      </c>
      <c r="U10" s="317"/>
    </row>
    <row r="11" spans="1:21" s="318" customFormat="1" ht="14.1" customHeight="1">
      <c r="A11" s="311">
        <v>7</v>
      </c>
      <c r="B11" s="247" t="s">
        <v>348</v>
      </c>
      <c r="C11" s="247" t="s">
        <v>348</v>
      </c>
      <c r="D11" s="311" t="s">
        <v>2174</v>
      </c>
      <c r="E11" s="311" t="s">
        <v>2433</v>
      </c>
      <c r="F11" s="311" t="s">
        <v>2434</v>
      </c>
      <c r="G11" s="311" t="s">
        <v>2448</v>
      </c>
      <c r="H11" s="311" t="s">
        <v>42</v>
      </c>
      <c r="I11" s="317" t="s">
        <v>2449</v>
      </c>
      <c r="J11" s="311" t="s">
        <v>30</v>
      </c>
      <c r="K11" s="311"/>
      <c r="L11" s="311" t="s">
        <v>336</v>
      </c>
      <c r="M11" s="308">
        <v>830241</v>
      </c>
      <c r="N11" s="311"/>
      <c r="O11" s="311" t="s">
        <v>2437</v>
      </c>
      <c r="P11" s="311" t="s">
        <v>34</v>
      </c>
      <c r="R11" s="319">
        <v>1186.3162174561689</v>
      </c>
      <c r="T11" s="311" t="s">
        <v>34</v>
      </c>
      <c r="U11" s="317"/>
    </row>
    <row r="12" spans="1:21" s="318" customFormat="1" ht="14.1" customHeight="1">
      <c r="A12" s="311">
        <v>8</v>
      </c>
      <c r="B12" s="247" t="s">
        <v>348</v>
      </c>
      <c r="C12" s="247" t="s">
        <v>348</v>
      </c>
      <c r="D12" s="311" t="s">
        <v>2174</v>
      </c>
      <c r="E12" s="311" t="s">
        <v>2433</v>
      </c>
      <c r="F12" s="311" t="s">
        <v>2434</v>
      </c>
      <c r="G12" s="311" t="s">
        <v>2450</v>
      </c>
      <c r="H12" s="311" t="s">
        <v>42</v>
      </c>
      <c r="I12" s="317" t="s">
        <v>2451</v>
      </c>
      <c r="J12" s="311" t="s">
        <v>30</v>
      </c>
      <c r="K12" s="311"/>
      <c r="L12" s="311" t="s">
        <v>336</v>
      </c>
      <c r="M12" s="308">
        <v>830241</v>
      </c>
      <c r="N12" s="311"/>
      <c r="O12" s="311" t="s">
        <v>2437</v>
      </c>
      <c r="P12" s="311" t="s">
        <v>34</v>
      </c>
      <c r="R12" s="319">
        <v>1074.6103589386389</v>
      </c>
      <c r="T12" s="311" t="s">
        <v>34</v>
      </c>
      <c r="U12" s="317"/>
    </row>
    <row r="13" spans="1:21" s="318" customFormat="1" ht="14.1" customHeight="1">
      <c r="A13" s="311">
        <v>9</v>
      </c>
      <c r="B13" s="247" t="s">
        <v>348</v>
      </c>
      <c r="C13" s="247" t="s">
        <v>348</v>
      </c>
      <c r="D13" s="311" t="s">
        <v>2174</v>
      </c>
      <c r="E13" s="311" t="s">
        <v>2433</v>
      </c>
      <c r="F13" s="311" t="s">
        <v>2434</v>
      </c>
      <c r="G13" s="311" t="s">
        <v>2452</v>
      </c>
      <c r="H13" s="311" t="s">
        <v>42</v>
      </c>
      <c r="I13" s="317" t="s">
        <v>2453</v>
      </c>
      <c r="J13" s="311" t="s">
        <v>30</v>
      </c>
      <c r="K13" s="311"/>
      <c r="L13" s="311" t="s">
        <v>336</v>
      </c>
      <c r="M13" s="308">
        <v>830241</v>
      </c>
      <c r="N13" s="311"/>
      <c r="O13" s="311" t="s">
        <v>2437</v>
      </c>
      <c r="P13" s="311" t="s">
        <v>34</v>
      </c>
      <c r="R13" s="319">
        <v>1226.53032652248</v>
      </c>
      <c r="T13" s="311" t="s">
        <v>34</v>
      </c>
      <c r="U13" s="311"/>
    </row>
    <row r="14" spans="1:21" s="318" customFormat="1" ht="14.1" customHeight="1">
      <c r="A14" s="311">
        <v>10</v>
      </c>
      <c r="B14" s="247" t="s">
        <v>348</v>
      </c>
      <c r="C14" s="247" t="s">
        <v>348</v>
      </c>
      <c r="D14" s="311" t="s">
        <v>2174</v>
      </c>
      <c r="E14" s="311" t="s">
        <v>2433</v>
      </c>
      <c r="F14" s="311" t="s">
        <v>2434</v>
      </c>
      <c r="G14" s="311" t="s">
        <v>2454</v>
      </c>
      <c r="H14" s="311" t="s">
        <v>42</v>
      </c>
      <c r="I14" s="317" t="s">
        <v>2455</v>
      </c>
      <c r="J14" s="311" t="s">
        <v>30</v>
      </c>
      <c r="K14" s="311"/>
      <c r="L14" s="311" t="s">
        <v>336</v>
      </c>
      <c r="M14" s="308">
        <v>830241</v>
      </c>
      <c r="N14" s="311"/>
      <c r="O14" s="311" t="s">
        <v>2437</v>
      </c>
      <c r="P14" s="311" t="s">
        <v>34</v>
      </c>
      <c r="R14" s="319">
        <v>1108.1221164938979</v>
      </c>
      <c r="T14" s="311" t="s">
        <v>34</v>
      </c>
      <c r="U14" s="317"/>
    </row>
    <row r="15" spans="1:21" s="318" customFormat="1" ht="14.1" customHeight="1">
      <c r="A15" s="311">
        <v>11</v>
      </c>
      <c r="B15" s="247" t="s">
        <v>348</v>
      </c>
      <c r="C15" s="247" t="s">
        <v>348</v>
      </c>
      <c r="D15" s="311" t="s">
        <v>2174</v>
      </c>
      <c r="E15" s="311" t="s">
        <v>2433</v>
      </c>
      <c r="F15" s="311" t="s">
        <v>2434</v>
      </c>
      <c r="G15" s="311" t="s">
        <v>2456</v>
      </c>
      <c r="H15" s="311" t="s">
        <v>42</v>
      </c>
      <c r="I15" s="317" t="s">
        <v>2457</v>
      </c>
      <c r="J15" s="311" t="s">
        <v>30</v>
      </c>
      <c r="K15" s="311"/>
      <c r="L15" s="311" t="s">
        <v>336</v>
      </c>
      <c r="M15" s="308">
        <v>830241</v>
      </c>
      <c r="N15" s="311"/>
      <c r="O15" s="311" t="s">
        <v>2437</v>
      </c>
      <c r="P15" s="311" t="s">
        <v>34</v>
      </c>
      <c r="R15" s="319">
        <v>1251.105615396337</v>
      </c>
      <c r="T15" s="311" t="s">
        <v>34</v>
      </c>
      <c r="U15" s="317"/>
    </row>
    <row r="16" spans="1:21" s="318" customFormat="1" ht="14.1" customHeight="1">
      <c r="A16" s="311">
        <v>12</v>
      </c>
      <c r="B16" s="247" t="s">
        <v>348</v>
      </c>
      <c r="C16" s="247" t="s">
        <v>348</v>
      </c>
      <c r="D16" s="311" t="s">
        <v>2174</v>
      </c>
      <c r="E16" s="311" t="s">
        <v>2433</v>
      </c>
      <c r="F16" s="311" t="s">
        <v>2434</v>
      </c>
      <c r="G16" s="311" t="s">
        <v>2458</v>
      </c>
      <c r="H16" s="311" t="s">
        <v>42</v>
      </c>
      <c r="I16" s="317" t="s">
        <v>2459</v>
      </c>
      <c r="J16" s="311" t="s">
        <v>30</v>
      </c>
      <c r="K16" s="311"/>
      <c r="L16" s="311" t="s">
        <v>336</v>
      </c>
      <c r="M16" s="308">
        <v>830241</v>
      </c>
      <c r="N16" s="311"/>
      <c r="O16" s="311" t="s">
        <v>2437</v>
      </c>
      <c r="P16" s="311" t="s">
        <v>34</v>
      </c>
      <c r="R16" s="319">
        <v>1134.9315225381049</v>
      </c>
      <c r="T16" s="311" t="s">
        <v>34</v>
      </c>
      <c r="U16" s="317"/>
    </row>
    <row r="17" spans="1:21" s="318" customFormat="1" ht="14.1" customHeight="1">
      <c r="A17" s="311">
        <v>13</v>
      </c>
      <c r="B17" s="247" t="s">
        <v>348</v>
      </c>
      <c r="C17" s="247" t="s">
        <v>348</v>
      </c>
      <c r="D17" s="311" t="s">
        <v>2174</v>
      </c>
      <c r="E17" s="311" t="s">
        <v>2433</v>
      </c>
      <c r="F17" s="311" t="s">
        <v>2434</v>
      </c>
      <c r="G17" s="311" t="s">
        <v>2460</v>
      </c>
      <c r="H17" s="311" t="s">
        <v>42</v>
      </c>
      <c r="I17" s="317" t="s">
        <v>2461</v>
      </c>
      <c r="J17" s="311" t="s">
        <v>30</v>
      </c>
      <c r="K17" s="311"/>
      <c r="L17" s="311" t="s">
        <v>336</v>
      </c>
      <c r="M17" s="308">
        <v>830241</v>
      </c>
      <c r="N17" s="311"/>
      <c r="O17" s="311" t="s">
        <v>2437</v>
      </c>
      <c r="P17" s="311" t="s">
        <v>34</v>
      </c>
      <c r="R17" s="319">
        <v>1298.022075973699</v>
      </c>
      <c r="T17" s="311" t="s">
        <v>34</v>
      </c>
      <c r="U17" s="317"/>
    </row>
    <row r="18" spans="1:21" s="318" customFormat="1" ht="14.1" customHeight="1">
      <c r="A18" s="311">
        <v>14</v>
      </c>
      <c r="B18" s="247" t="s">
        <v>348</v>
      </c>
      <c r="C18" s="247" t="s">
        <v>348</v>
      </c>
      <c r="D18" s="311" t="s">
        <v>2174</v>
      </c>
      <c r="E18" s="311" t="s">
        <v>2433</v>
      </c>
      <c r="F18" s="311" t="s">
        <v>2434</v>
      </c>
      <c r="G18" s="311" t="s">
        <v>2462</v>
      </c>
      <c r="H18" s="311" t="s">
        <v>42</v>
      </c>
      <c r="I18" s="317" t="s">
        <v>2463</v>
      </c>
      <c r="J18" s="311" t="s">
        <v>30</v>
      </c>
      <c r="K18" s="311"/>
      <c r="L18" s="311" t="s">
        <v>336</v>
      </c>
      <c r="M18" s="308">
        <v>830241</v>
      </c>
      <c r="N18" s="311"/>
      <c r="O18" s="311" t="s">
        <v>2437</v>
      </c>
      <c r="P18" s="311" t="s">
        <v>34</v>
      </c>
      <c r="R18" s="319">
        <v>1201.9550376486229</v>
      </c>
      <c r="T18" s="311" t="s">
        <v>34</v>
      </c>
      <c r="U18" s="317"/>
    </row>
    <row r="19" spans="1:21" s="318" customFormat="1" ht="14.1" customHeight="1">
      <c r="A19" s="311">
        <v>15</v>
      </c>
      <c r="B19" s="247" t="s">
        <v>348</v>
      </c>
      <c r="C19" s="247" t="s">
        <v>348</v>
      </c>
      <c r="D19" s="311" t="s">
        <v>2174</v>
      </c>
      <c r="E19" s="311" t="s">
        <v>2433</v>
      </c>
      <c r="F19" s="311" t="s">
        <v>2434</v>
      </c>
      <c r="G19" s="311" t="s">
        <v>2464</v>
      </c>
      <c r="H19" s="311" t="s">
        <v>42</v>
      </c>
      <c r="I19" s="317" t="s">
        <v>2465</v>
      </c>
      <c r="J19" s="311" t="s">
        <v>30</v>
      </c>
      <c r="K19" s="311"/>
      <c r="L19" s="311" t="s">
        <v>336</v>
      </c>
      <c r="M19" s="308">
        <v>830241</v>
      </c>
      <c r="N19" s="311"/>
      <c r="O19" s="311" t="s">
        <v>2437</v>
      </c>
      <c r="P19" s="311" t="s">
        <v>34</v>
      </c>
      <c r="R19" s="319">
        <v>1347.172653721412</v>
      </c>
      <c r="T19" s="311" t="s">
        <v>34</v>
      </c>
      <c r="U19" s="317"/>
    </row>
    <row r="20" spans="1:21" s="318" customFormat="1" ht="14.1" customHeight="1">
      <c r="A20" s="311">
        <v>16</v>
      </c>
      <c r="B20" s="247" t="s">
        <v>348</v>
      </c>
      <c r="C20" s="247" t="s">
        <v>348</v>
      </c>
      <c r="D20" s="311" t="s">
        <v>2174</v>
      </c>
      <c r="E20" s="311" t="s">
        <v>2433</v>
      </c>
      <c r="F20" s="311" t="s">
        <v>2434</v>
      </c>
      <c r="G20" s="311" t="s">
        <v>2466</v>
      </c>
      <c r="H20" s="311" t="s">
        <v>42</v>
      </c>
      <c r="I20" s="317" t="s">
        <v>2467</v>
      </c>
      <c r="J20" s="311" t="s">
        <v>30</v>
      </c>
      <c r="K20" s="311"/>
      <c r="L20" s="311" t="s">
        <v>336</v>
      </c>
      <c r="M20" s="308">
        <v>830241</v>
      </c>
      <c r="N20" s="311"/>
      <c r="O20" s="311" t="s">
        <v>2437</v>
      </c>
      <c r="P20" s="311" t="s">
        <v>34</v>
      </c>
      <c r="R20" s="319">
        <v>1244.403263885285</v>
      </c>
      <c r="T20" s="311" t="s">
        <v>34</v>
      </c>
      <c r="U20" s="317"/>
    </row>
    <row r="21" spans="1:21" s="318" customFormat="1" ht="14.1" customHeight="1">
      <c r="A21" s="311">
        <v>17</v>
      </c>
      <c r="B21" s="247" t="s">
        <v>348</v>
      </c>
      <c r="C21" s="247" t="s">
        <v>348</v>
      </c>
      <c r="D21" s="311" t="s">
        <v>2174</v>
      </c>
      <c r="E21" s="311" t="s">
        <v>2433</v>
      </c>
      <c r="F21" s="311" t="s">
        <v>2434</v>
      </c>
      <c r="G21" s="311" t="s">
        <v>2468</v>
      </c>
      <c r="H21" s="311" t="s">
        <v>42</v>
      </c>
      <c r="I21" s="317" t="s">
        <v>2469</v>
      </c>
      <c r="J21" s="311" t="s">
        <v>30</v>
      </c>
      <c r="K21" s="311"/>
      <c r="L21" s="311" t="s">
        <v>336</v>
      </c>
      <c r="M21" s="308">
        <v>830241</v>
      </c>
      <c r="N21" s="311"/>
      <c r="O21" s="311" t="s">
        <v>2437</v>
      </c>
      <c r="P21" s="311" t="s">
        <v>34</v>
      </c>
      <c r="R21" s="319">
        <v>1385.1526456173719</v>
      </c>
      <c r="T21" s="311" t="s">
        <v>34</v>
      </c>
      <c r="U21" s="317"/>
    </row>
    <row r="22" spans="1:21" s="318" customFormat="1" ht="14.1" customHeight="1">
      <c r="A22" s="311">
        <v>18</v>
      </c>
      <c r="B22" s="247" t="s">
        <v>348</v>
      </c>
      <c r="C22" s="247" t="s">
        <v>348</v>
      </c>
      <c r="D22" s="311" t="s">
        <v>2174</v>
      </c>
      <c r="E22" s="311" t="s">
        <v>2433</v>
      </c>
      <c r="F22" s="311" t="s">
        <v>2434</v>
      </c>
      <c r="G22" s="311" t="s">
        <v>2470</v>
      </c>
      <c r="H22" s="311" t="s">
        <v>42</v>
      </c>
      <c r="I22" s="317" t="s">
        <v>2471</v>
      </c>
      <c r="J22" s="311" t="s">
        <v>30</v>
      </c>
      <c r="K22" s="311"/>
      <c r="L22" s="311" t="s">
        <v>336</v>
      </c>
      <c r="M22" s="308">
        <v>830241</v>
      </c>
      <c r="N22" s="311"/>
      <c r="O22" s="311" t="s">
        <v>2437</v>
      </c>
      <c r="P22" s="311" t="s">
        <v>34</v>
      </c>
      <c r="R22" s="319">
        <v>1286.851490121946</v>
      </c>
      <c r="T22" s="311" t="s">
        <v>34</v>
      </c>
      <c r="U22" s="317"/>
    </row>
    <row r="23" spans="1:21" s="318" customFormat="1" ht="14.1" customHeight="1">
      <c r="A23" s="311">
        <v>19</v>
      </c>
      <c r="B23" s="247" t="s">
        <v>348</v>
      </c>
      <c r="C23" s="247" t="s">
        <v>348</v>
      </c>
      <c r="D23" s="311" t="s">
        <v>2174</v>
      </c>
      <c r="E23" s="311" t="s">
        <v>2433</v>
      </c>
      <c r="F23" s="311" t="s">
        <v>2434</v>
      </c>
      <c r="G23" s="311" t="s">
        <v>2472</v>
      </c>
      <c r="H23" s="311" t="s">
        <v>42</v>
      </c>
      <c r="I23" s="317" t="s">
        <v>2473</v>
      </c>
      <c r="J23" s="311" t="s">
        <v>30</v>
      </c>
      <c r="K23" s="311"/>
      <c r="L23" s="311" t="s">
        <v>336</v>
      </c>
      <c r="M23" s="308">
        <v>830241</v>
      </c>
      <c r="N23" s="311"/>
      <c r="O23" s="311" t="s">
        <v>2437</v>
      </c>
      <c r="P23" s="311" t="s">
        <v>34</v>
      </c>
      <c r="R23" s="319">
        <v>1528.1361445198111</v>
      </c>
      <c r="T23" s="311" t="s">
        <v>34</v>
      </c>
      <c r="U23" s="317"/>
    </row>
    <row r="24" spans="1:21" s="310" customFormat="1" ht="14.1" customHeight="1">
      <c r="A24" s="311">
        <v>20</v>
      </c>
      <c r="B24" s="247" t="s">
        <v>348</v>
      </c>
      <c r="C24" s="247" t="s">
        <v>348</v>
      </c>
      <c r="D24" s="311" t="s">
        <v>2174</v>
      </c>
      <c r="E24" s="311" t="s">
        <v>2433</v>
      </c>
      <c r="F24" s="311" t="s">
        <v>2434</v>
      </c>
      <c r="G24" s="308" t="s">
        <v>2474</v>
      </c>
      <c r="H24" s="308" t="s">
        <v>42</v>
      </c>
      <c r="I24" s="317" t="s">
        <v>2475</v>
      </c>
      <c r="J24" s="311" t="s">
        <v>30</v>
      </c>
      <c r="K24" s="311"/>
      <c r="L24" s="311" t="s">
        <v>336</v>
      </c>
      <c r="M24" s="308">
        <v>830241</v>
      </c>
      <c r="N24" s="311"/>
      <c r="O24" s="311" t="s">
        <v>2437</v>
      </c>
      <c r="P24" s="311" t="s">
        <v>34</v>
      </c>
      <c r="R24" s="319">
        <v>1429.834989024384</v>
      </c>
      <c r="T24" s="308" t="s">
        <v>34</v>
      </c>
      <c r="U24" s="308"/>
    </row>
    <row r="25" spans="1:21" s="318" customFormat="1" ht="14.1" customHeight="1">
      <c r="A25" s="311">
        <v>21</v>
      </c>
      <c r="B25" s="247" t="s">
        <v>348</v>
      </c>
      <c r="C25" s="247" t="s">
        <v>348</v>
      </c>
      <c r="D25" s="311" t="s">
        <v>2174</v>
      </c>
      <c r="E25" s="311" t="s">
        <v>2433</v>
      </c>
      <c r="F25" s="311" t="s">
        <v>2434</v>
      </c>
      <c r="G25" s="311" t="s">
        <v>2476</v>
      </c>
      <c r="H25" s="311" t="s">
        <v>42</v>
      </c>
      <c r="I25" s="317" t="s">
        <v>2477</v>
      </c>
      <c r="J25" s="311" t="s">
        <v>30</v>
      </c>
      <c r="K25" s="311"/>
      <c r="L25" s="311" t="s">
        <v>336</v>
      </c>
      <c r="M25" s="308">
        <v>830241</v>
      </c>
      <c r="N25" s="311"/>
      <c r="O25" s="311" t="s">
        <v>2437</v>
      </c>
      <c r="P25" s="311" t="s">
        <v>34</v>
      </c>
      <c r="Q25" s="325"/>
      <c r="R25" s="319">
        <v>1720.270221169962</v>
      </c>
      <c r="S25" s="325"/>
      <c r="T25" s="311" t="s">
        <v>34</v>
      </c>
      <c r="U25" s="317"/>
    </row>
    <row r="26" spans="1:21" s="318" customFormat="1" ht="14.1" customHeight="1">
      <c r="A26" s="311">
        <v>22</v>
      </c>
      <c r="B26" s="247" t="s">
        <v>348</v>
      </c>
      <c r="C26" s="247" t="s">
        <v>348</v>
      </c>
      <c r="D26" s="311" t="s">
        <v>2174</v>
      </c>
      <c r="E26" s="311" t="s">
        <v>2433</v>
      </c>
      <c r="F26" s="311" t="s">
        <v>2434</v>
      </c>
      <c r="G26" s="311" t="s">
        <v>2478</v>
      </c>
      <c r="H26" s="311" t="s">
        <v>42</v>
      </c>
      <c r="I26" s="317" t="s">
        <v>2479</v>
      </c>
      <c r="J26" s="311" t="s">
        <v>30</v>
      </c>
      <c r="K26" s="311"/>
      <c r="L26" s="311" t="s">
        <v>336</v>
      </c>
      <c r="M26" s="308">
        <v>830241</v>
      </c>
      <c r="N26" s="311"/>
      <c r="O26" s="311" t="s">
        <v>2437</v>
      </c>
      <c r="P26" s="311" t="s">
        <v>34</v>
      </c>
      <c r="Q26" s="325"/>
      <c r="R26" s="319">
        <v>1619.734948504185</v>
      </c>
      <c r="S26" s="325"/>
      <c r="T26" s="311" t="s">
        <v>34</v>
      </c>
      <c r="U26" s="317"/>
    </row>
    <row r="27" spans="1:21" s="318" customFormat="1" ht="14.1" customHeight="1">
      <c r="A27" s="311">
        <v>23</v>
      </c>
      <c r="B27" s="247" t="s">
        <v>348</v>
      </c>
      <c r="C27" s="247" t="s">
        <v>348</v>
      </c>
      <c r="D27" s="311" t="s">
        <v>2174</v>
      </c>
      <c r="E27" s="311" t="s">
        <v>2433</v>
      </c>
      <c r="F27" s="311" t="s">
        <v>2434</v>
      </c>
      <c r="G27" s="311" t="s">
        <v>2480</v>
      </c>
      <c r="H27" s="311" t="s">
        <v>42</v>
      </c>
      <c r="I27" s="317" t="s">
        <v>2481</v>
      </c>
      <c r="J27" s="311" t="s">
        <v>30</v>
      </c>
      <c r="K27" s="311"/>
      <c r="L27" s="311" t="s">
        <v>336</v>
      </c>
      <c r="M27" s="308">
        <v>830241</v>
      </c>
      <c r="N27" s="311"/>
      <c r="O27" s="311" t="s">
        <v>2437</v>
      </c>
      <c r="P27" s="311" t="s">
        <v>34</v>
      </c>
      <c r="Q27" s="325"/>
      <c r="R27" s="319">
        <v>2294.4383339500669</v>
      </c>
      <c r="S27" s="325"/>
      <c r="T27" s="311" t="s">
        <v>34</v>
      </c>
      <c r="U27" s="317"/>
    </row>
    <row r="28" spans="1:21" s="318" customFormat="1" ht="14.1" customHeight="1">
      <c r="A28" s="311">
        <v>24</v>
      </c>
      <c r="B28" s="247" t="s">
        <v>348</v>
      </c>
      <c r="C28" s="247" t="s">
        <v>348</v>
      </c>
      <c r="D28" s="311" t="s">
        <v>2174</v>
      </c>
      <c r="E28" s="311" t="s">
        <v>2433</v>
      </c>
      <c r="F28" s="311" t="s">
        <v>2434</v>
      </c>
      <c r="G28" s="311" t="s">
        <v>2482</v>
      </c>
      <c r="H28" s="311" t="s">
        <v>42</v>
      </c>
      <c r="I28" s="317" t="s">
        <v>2483</v>
      </c>
      <c r="J28" s="311" t="s">
        <v>30</v>
      </c>
      <c r="K28" s="311"/>
      <c r="L28" s="311" t="s">
        <v>336</v>
      </c>
      <c r="M28" s="308">
        <v>830241</v>
      </c>
      <c r="N28" s="311"/>
      <c r="O28" s="311" t="s">
        <v>2437</v>
      </c>
      <c r="P28" s="311" t="s">
        <v>34</v>
      </c>
      <c r="Q28" s="325"/>
      <c r="R28" s="319">
        <v>2104.5383744702658</v>
      </c>
      <c r="S28" s="325"/>
      <c r="T28" s="311" t="s">
        <v>34</v>
      </c>
      <c r="U28" s="317"/>
    </row>
    <row r="29" spans="1:21" s="318" customFormat="1" ht="14.1" customHeight="1">
      <c r="A29" s="311">
        <v>25</v>
      </c>
      <c r="B29" s="247" t="s">
        <v>348</v>
      </c>
      <c r="C29" s="247" t="s">
        <v>348</v>
      </c>
      <c r="D29" s="311" t="s">
        <v>2174</v>
      </c>
      <c r="E29" s="311" t="s">
        <v>2433</v>
      </c>
      <c r="F29" s="311" t="s">
        <v>2434</v>
      </c>
      <c r="G29" s="311" t="s">
        <v>2484</v>
      </c>
      <c r="H29" s="311" t="s">
        <v>28</v>
      </c>
      <c r="I29" s="317" t="s">
        <v>2485</v>
      </c>
      <c r="J29" s="311" t="s">
        <v>30</v>
      </c>
      <c r="K29" s="311"/>
      <c r="L29" s="311" t="s">
        <v>336</v>
      </c>
      <c r="M29" s="308">
        <v>761090</v>
      </c>
      <c r="N29" s="311"/>
      <c r="O29" s="311" t="s">
        <v>2437</v>
      </c>
      <c r="P29" s="311" t="s">
        <v>34</v>
      </c>
      <c r="Q29" s="325"/>
      <c r="R29" s="319">
        <v>681.40573695693308</v>
      </c>
      <c r="S29" s="325"/>
      <c r="T29" s="311" t="s">
        <v>34</v>
      </c>
      <c r="U29" s="317"/>
    </row>
    <row r="30" spans="1:21" s="318" customFormat="1" ht="14.1" customHeight="1">
      <c r="A30" s="311">
        <v>26</v>
      </c>
      <c r="B30" s="247" t="s">
        <v>348</v>
      </c>
      <c r="C30" s="247" t="s">
        <v>348</v>
      </c>
      <c r="D30" s="311" t="s">
        <v>2174</v>
      </c>
      <c r="E30" s="311" t="s">
        <v>2433</v>
      </c>
      <c r="F30" s="311" t="s">
        <v>2434</v>
      </c>
      <c r="G30" s="311" t="s">
        <v>2486</v>
      </c>
      <c r="H30" s="311" t="s">
        <v>2487</v>
      </c>
      <c r="I30" s="317" t="s">
        <v>2488</v>
      </c>
      <c r="J30" s="311" t="s">
        <v>30</v>
      </c>
      <c r="K30" s="311"/>
      <c r="L30" s="311" t="s">
        <v>336</v>
      </c>
      <c r="M30" s="308">
        <v>761090</v>
      </c>
      <c r="N30" s="311"/>
      <c r="O30" s="311" t="s">
        <v>2437</v>
      </c>
      <c r="P30" s="311" t="s">
        <v>34</v>
      </c>
      <c r="Q30" s="325"/>
      <c r="R30" s="319">
        <v>681.40573695693308</v>
      </c>
      <c r="S30" s="325"/>
      <c r="T30" s="311" t="s">
        <v>34</v>
      </c>
      <c r="U30" s="317"/>
    </row>
    <row r="31" spans="1:21" s="318" customFormat="1" ht="14.1" customHeight="1">
      <c r="A31" s="311">
        <v>27</v>
      </c>
      <c r="B31" s="247" t="s">
        <v>348</v>
      </c>
      <c r="C31" s="247" t="s">
        <v>348</v>
      </c>
      <c r="D31" s="311" t="s">
        <v>2174</v>
      </c>
      <c r="E31" s="311" t="s">
        <v>2433</v>
      </c>
      <c r="F31" s="311" t="s">
        <v>2434</v>
      </c>
      <c r="G31" s="311" t="s">
        <v>2489</v>
      </c>
      <c r="H31" s="311" t="s">
        <v>28</v>
      </c>
      <c r="I31" s="317" t="s">
        <v>2490</v>
      </c>
      <c r="J31" s="311" t="s">
        <v>30</v>
      </c>
      <c r="K31" s="311"/>
      <c r="L31" s="311" t="s">
        <v>336</v>
      </c>
      <c r="M31" s="308">
        <v>830241</v>
      </c>
      <c r="N31" s="311"/>
      <c r="O31" s="311" t="s">
        <v>2491</v>
      </c>
      <c r="P31" s="311" t="s">
        <v>34</v>
      </c>
      <c r="Q31" s="325"/>
      <c r="R31" s="319">
        <v>1999.534867463788</v>
      </c>
      <c r="S31" s="325"/>
      <c r="T31" s="311" t="s">
        <v>34</v>
      </c>
      <c r="U31" s="317"/>
    </row>
    <row r="32" spans="1:21" s="318" customFormat="1" ht="14.1" customHeight="1">
      <c r="A32" s="311">
        <v>28</v>
      </c>
      <c r="B32" s="247" t="s">
        <v>348</v>
      </c>
      <c r="C32" s="247" t="s">
        <v>348</v>
      </c>
      <c r="D32" s="311" t="s">
        <v>2174</v>
      </c>
      <c r="E32" s="311" t="s">
        <v>2433</v>
      </c>
      <c r="F32" s="311" t="s">
        <v>2434</v>
      </c>
      <c r="G32" s="311" t="s">
        <v>2492</v>
      </c>
      <c r="H32" s="311" t="s">
        <v>28</v>
      </c>
      <c r="I32" s="317" t="s">
        <v>2493</v>
      </c>
      <c r="J32" s="311" t="s">
        <v>30</v>
      </c>
      <c r="K32" s="311"/>
      <c r="L32" s="311" t="s">
        <v>336</v>
      </c>
      <c r="M32" s="308">
        <v>830241</v>
      </c>
      <c r="N32" s="311"/>
      <c r="O32" s="311" t="s">
        <v>2491</v>
      </c>
      <c r="P32" s="311" t="s">
        <v>34</v>
      </c>
      <c r="Q32" s="325"/>
      <c r="R32" s="319">
        <v>1881.126657435206</v>
      </c>
      <c r="S32" s="325"/>
      <c r="T32" s="311" t="s">
        <v>34</v>
      </c>
      <c r="U32" s="317"/>
    </row>
    <row r="33" spans="1:21" s="320" customFormat="1" ht="14.1" customHeight="1">
      <c r="A33" s="311">
        <v>29</v>
      </c>
      <c r="B33" s="247" t="s">
        <v>348</v>
      </c>
      <c r="C33" s="247" t="s">
        <v>348</v>
      </c>
      <c r="D33" s="311" t="s">
        <v>2174</v>
      </c>
      <c r="E33" s="311" t="s">
        <v>2433</v>
      </c>
      <c r="F33" s="311" t="s">
        <v>2434</v>
      </c>
      <c r="G33" s="311" t="s">
        <v>2494</v>
      </c>
      <c r="H33" s="311" t="s">
        <v>28</v>
      </c>
      <c r="I33" s="317" t="s">
        <v>2495</v>
      </c>
      <c r="J33" s="311" t="s">
        <v>30</v>
      </c>
      <c r="K33" s="311"/>
      <c r="L33" s="311" t="s">
        <v>336</v>
      </c>
      <c r="M33" s="308">
        <v>830241</v>
      </c>
      <c r="N33" s="311"/>
      <c r="O33" s="311" t="s">
        <v>2491</v>
      </c>
      <c r="P33" s="311" t="s">
        <v>34</v>
      </c>
      <c r="Q33" s="325"/>
      <c r="R33" s="319">
        <v>2024.110156337644</v>
      </c>
      <c r="S33" s="325"/>
      <c r="T33" s="311" t="s">
        <v>34</v>
      </c>
      <c r="U33" s="317"/>
    </row>
    <row r="34" spans="1:21" s="318" customFormat="1" ht="14.1" customHeight="1">
      <c r="A34" s="311">
        <v>30</v>
      </c>
      <c r="B34" s="247" t="s">
        <v>348</v>
      </c>
      <c r="C34" s="247" t="s">
        <v>348</v>
      </c>
      <c r="D34" s="311" t="s">
        <v>2174</v>
      </c>
      <c r="E34" s="311" t="s">
        <v>2433</v>
      </c>
      <c r="F34" s="311" t="s">
        <v>2434</v>
      </c>
      <c r="G34" s="311" t="s">
        <v>2496</v>
      </c>
      <c r="H34" s="311" t="s">
        <v>28</v>
      </c>
      <c r="I34" s="317" t="s">
        <v>2497</v>
      </c>
      <c r="J34" s="311" t="s">
        <v>30</v>
      </c>
      <c r="K34" s="311"/>
      <c r="L34" s="311" t="s">
        <v>336</v>
      </c>
      <c r="M34" s="308">
        <v>830241</v>
      </c>
      <c r="N34" s="311"/>
      <c r="O34" s="311" t="s">
        <v>2491</v>
      </c>
      <c r="P34" s="311" t="s">
        <v>34</v>
      </c>
      <c r="Q34" s="325"/>
      <c r="R34" s="319">
        <v>1907.936063479413</v>
      </c>
      <c r="S34" s="325"/>
      <c r="T34" s="311" t="s">
        <v>34</v>
      </c>
      <c r="U34" s="317"/>
    </row>
    <row r="35" spans="1:21" s="318" customFormat="1" ht="14.1" customHeight="1">
      <c r="A35" s="311">
        <v>31</v>
      </c>
      <c r="B35" s="247" t="s">
        <v>348</v>
      </c>
      <c r="C35" s="247" t="s">
        <v>348</v>
      </c>
      <c r="D35" s="311" t="s">
        <v>2174</v>
      </c>
      <c r="E35" s="311" t="s">
        <v>2433</v>
      </c>
      <c r="F35" s="311" t="s">
        <v>2434</v>
      </c>
      <c r="G35" s="311" t="s">
        <v>2498</v>
      </c>
      <c r="H35" s="311" t="s">
        <v>28</v>
      </c>
      <c r="I35" s="317" t="s">
        <v>2499</v>
      </c>
      <c r="J35" s="311" t="s">
        <v>30</v>
      </c>
      <c r="K35" s="311"/>
      <c r="L35" s="311" t="s">
        <v>336</v>
      </c>
      <c r="M35" s="308">
        <v>830241</v>
      </c>
      <c r="N35" s="311"/>
      <c r="O35" s="311" t="s">
        <v>2491</v>
      </c>
      <c r="P35" s="311" t="s">
        <v>34</v>
      </c>
      <c r="Q35" s="325"/>
      <c r="R35" s="319">
        <v>2071.0266169150068</v>
      </c>
      <c r="S35" s="325"/>
      <c r="T35" s="311" t="s">
        <v>34</v>
      </c>
      <c r="U35" s="317"/>
    </row>
    <row r="36" spans="1:21" s="318" customFormat="1" ht="14.1" customHeight="1">
      <c r="A36" s="311">
        <v>32</v>
      </c>
      <c r="B36" s="247" t="s">
        <v>348</v>
      </c>
      <c r="C36" s="247" t="s">
        <v>348</v>
      </c>
      <c r="D36" s="311" t="s">
        <v>2174</v>
      </c>
      <c r="E36" s="311" t="s">
        <v>2433</v>
      </c>
      <c r="F36" s="311" t="s">
        <v>2434</v>
      </c>
      <c r="G36" s="311" t="s">
        <v>2500</v>
      </c>
      <c r="H36" s="311" t="s">
        <v>28</v>
      </c>
      <c r="I36" s="317" t="s">
        <v>2501</v>
      </c>
      <c r="J36" s="311" t="s">
        <v>30</v>
      </c>
      <c r="K36" s="311"/>
      <c r="L36" s="311" t="s">
        <v>336</v>
      </c>
      <c r="M36" s="308">
        <v>830241</v>
      </c>
      <c r="N36" s="311"/>
      <c r="O36" s="311" t="s">
        <v>2491</v>
      </c>
      <c r="P36" s="311" t="s">
        <v>34</v>
      </c>
      <c r="Q36" s="325"/>
      <c r="R36" s="319">
        <v>1972.7254614195799</v>
      </c>
      <c r="S36" s="325"/>
      <c r="T36" s="311" t="s">
        <v>34</v>
      </c>
      <c r="U36" s="317"/>
    </row>
    <row r="37" spans="1:21" s="318" customFormat="1" ht="14.1" customHeight="1">
      <c r="A37" s="311">
        <v>33</v>
      </c>
      <c r="B37" s="247" t="s">
        <v>348</v>
      </c>
      <c r="C37" s="247" t="s">
        <v>348</v>
      </c>
      <c r="D37" s="311" t="s">
        <v>2174</v>
      </c>
      <c r="E37" s="311" t="s">
        <v>2433</v>
      </c>
      <c r="F37" s="311" t="s">
        <v>2434</v>
      </c>
      <c r="G37" s="311" t="s">
        <v>2502</v>
      </c>
      <c r="H37" s="311" t="s">
        <v>28</v>
      </c>
      <c r="I37" s="317" t="s">
        <v>2503</v>
      </c>
      <c r="J37" s="311" t="s">
        <v>30</v>
      </c>
      <c r="K37" s="311"/>
      <c r="L37" s="311" t="s">
        <v>336</v>
      </c>
      <c r="M37" s="308">
        <v>830241</v>
      </c>
      <c r="N37" s="311"/>
      <c r="O37" s="311" t="s">
        <v>2491</v>
      </c>
      <c r="P37" s="311" t="s">
        <v>34</v>
      </c>
      <c r="Q37" s="325"/>
      <c r="R37" s="319">
        <v>2120.17719466272</v>
      </c>
      <c r="S37" s="325"/>
      <c r="T37" s="311" t="s">
        <v>34</v>
      </c>
      <c r="U37" s="317"/>
    </row>
    <row r="38" spans="1:21" s="318" customFormat="1" ht="14.1" customHeight="1">
      <c r="A38" s="311">
        <v>34</v>
      </c>
      <c r="B38" s="247" t="s">
        <v>348</v>
      </c>
      <c r="C38" s="247" t="s">
        <v>348</v>
      </c>
      <c r="D38" s="311" t="s">
        <v>2174</v>
      </c>
      <c r="E38" s="311" t="s">
        <v>2433</v>
      </c>
      <c r="F38" s="311" t="s">
        <v>2434</v>
      </c>
      <c r="G38" s="311" t="s">
        <v>2504</v>
      </c>
      <c r="H38" s="311" t="s">
        <v>28</v>
      </c>
      <c r="I38" s="317" t="s">
        <v>2505</v>
      </c>
      <c r="J38" s="311" t="s">
        <v>30</v>
      </c>
      <c r="K38" s="311"/>
      <c r="L38" s="311" t="s">
        <v>336</v>
      </c>
      <c r="M38" s="308">
        <v>830241</v>
      </c>
      <c r="N38" s="311"/>
      <c r="O38" s="311" t="s">
        <v>2491</v>
      </c>
      <c r="P38" s="311" t="s">
        <v>34</v>
      </c>
      <c r="Q38" s="325"/>
      <c r="R38" s="319">
        <v>2017.4078048265919</v>
      </c>
      <c r="S38" s="325"/>
      <c r="T38" s="311" t="s">
        <v>34</v>
      </c>
      <c r="U38" s="317"/>
    </row>
    <row r="39" spans="1:21" s="318" customFormat="1" ht="14.1" customHeight="1">
      <c r="A39" s="311">
        <v>35</v>
      </c>
      <c r="B39" s="247" t="s">
        <v>348</v>
      </c>
      <c r="C39" s="247" t="s">
        <v>348</v>
      </c>
      <c r="D39" s="311" t="s">
        <v>2174</v>
      </c>
      <c r="E39" s="311" t="s">
        <v>2433</v>
      </c>
      <c r="F39" s="311" t="s">
        <v>2434</v>
      </c>
      <c r="G39" s="311" t="s">
        <v>2506</v>
      </c>
      <c r="H39" s="311" t="s">
        <v>28</v>
      </c>
      <c r="I39" s="317" t="s">
        <v>2507</v>
      </c>
      <c r="J39" s="311" t="s">
        <v>30</v>
      </c>
      <c r="K39" s="311"/>
      <c r="L39" s="311" t="s">
        <v>336</v>
      </c>
      <c r="M39" s="308">
        <v>830241</v>
      </c>
      <c r="N39" s="311"/>
      <c r="O39" s="311" t="s">
        <v>2491</v>
      </c>
      <c r="P39" s="311" t="s">
        <v>34</v>
      </c>
      <c r="Q39" s="325"/>
      <c r="R39" s="319">
        <v>2158.1571865586802</v>
      </c>
      <c r="S39" s="325"/>
      <c r="T39" s="311" t="s">
        <v>34</v>
      </c>
      <c r="U39" s="317"/>
    </row>
    <row r="40" spans="1:21" s="318" customFormat="1" ht="14.1" customHeight="1">
      <c r="A40" s="311">
        <v>36</v>
      </c>
      <c r="B40" s="247" t="s">
        <v>348</v>
      </c>
      <c r="C40" s="247" t="s">
        <v>348</v>
      </c>
      <c r="D40" s="311" t="s">
        <v>2174</v>
      </c>
      <c r="E40" s="311" t="s">
        <v>2433</v>
      </c>
      <c r="F40" s="311" t="s">
        <v>2434</v>
      </c>
      <c r="G40" s="311" t="s">
        <v>2508</v>
      </c>
      <c r="H40" s="311" t="s">
        <v>28</v>
      </c>
      <c r="I40" s="317" t="s">
        <v>2509</v>
      </c>
      <c r="J40" s="311" t="s">
        <v>30</v>
      </c>
      <c r="K40" s="311"/>
      <c r="L40" s="311" t="s">
        <v>336</v>
      </c>
      <c r="M40" s="308">
        <v>830241</v>
      </c>
      <c r="N40" s="311"/>
      <c r="O40" s="311" t="s">
        <v>2491</v>
      </c>
      <c r="P40" s="311" t="s">
        <v>34</v>
      </c>
      <c r="Q40" s="325"/>
      <c r="R40" s="319">
        <v>2059.8560310632538</v>
      </c>
      <c r="S40" s="325"/>
      <c r="T40" s="311" t="s">
        <v>34</v>
      </c>
      <c r="U40" s="317"/>
    </row>
    <row r="41" spans="1:21" s="318" customFormat="1" ht="14.1" customHeight="1">
      <c r="A41" s="311">
        <v>37</v>
      </c>
      <c r="B41" s="247" t="s">
        <v>348</v>
      </c>
      <c r="C41" s="247" t="s">
        <v>348</v>
      </c>
      <c r="D41" s="311" t="s">
        <v>2174</v>
      </c>
      <c r="E41" s="311" t="s">
        <v>2433</v>
      </c>
      <c r="F41" s="311" t="s">
        <v>2434</v>
      </c>
      <c r="G41" s="311" t="s">
        <v>2510</v>
      </c>
      <c r="H41" s="311" t="s">
        <v>28</v>
      </c>
      <c r="I41" s="317" t="s">
        <v>2511</v>
      </c>
      <c r="J41" s="311" t="s">
        <v>30</v>
      </c>
      <c r="K41" s="311"/>
      <c r="L41" s="311" t="s">
        <v>336</v>
      </c>
      <c r="M41" s="308">
        <v>830241</v>
      </c>
      <c r="N41" s="311"/>
      <c r="O41" s="311" t="s">
        <v>2491</v>
      </c>
      <c r="P41" s="311" t="s">
        <v>34</v>
      </c>
      <c r="Q41" s="325"/>
      <c r="R41" s="319">
        <v>2301.1406854611182</v>
      </c>
      <c r="S41" s="325"/>
      <c r="T41" s="311" t="s">
        <v>34</v>
      </c>
      <c r="U41" s="317"/>
    </row>
    <row r="42" spans="1:21" s="318" customFormat="1" ht="14.1" customHeight="1">
      <c r="A42" s="311">
        <v>38</v>
      </c>
      <c r="B42" s="247" t="s">
        <v>348</v>
      </c>
      <c r="C42" s="247" t="s">
        <v>348</v>
      </c>
      <c r="D42" s="311" t="s">
        <v>2174</v>
      </c>
      <c r="E42" s="311" t="s">
        <v>2433</v>
      </c>
      <c r="F42" s="311" t="s">
        <v>2434</v>
      </c>
      <c r="G42" s="311" t="s">
        <v>2512</v>
      </c>
      <c r="H42" s="311" t="s">
        <v>28</v>
      </c>
      <c r="I42" s="317" t="s">
        <v>2513</v>
      </c>
      <c r="J42" s="311" t="s">
        <v>30</v>
      </c>
      <c r="K42" s="311"/>
      <c r="L42" s="311" t="s">
        <v>336</v>
      </c>
      <c r="M42" s="308">
        <v>830241</v>
      </c>
      <c r="N42" s="311"/>
      <c r="O42" s="311" t="s">
        <v>2491</v>
      </c>
      <c r="P42" s="311" t="s">
        <v>34</v>
      </c>
      <c r="Q42" s="325"/>
      <c r="R42" s="319">
        <v>2200.6054127953412</v>
      </c>
      <c r="S42" s="325"/>
      <c r="T42" s="311" t="s">
        <v>34</v>
      </c>
      <c r="U42" s="317"/>
    </row>
    <row r="43" spans="1:21" s="318" customFormat="1" ht="14.1" customHeight="1">
      <c r="A43" s="311">
        <v>39</v>
      </c>
      <c r="B43" s="247" t="s">
        <v>348</v>
      </c>
      <c r="C43" s="247" t="s">
        <v>348</v>
      </c>
      <c r="D43" s="311" t="s">
        <v>2174</v>
      </c>
      <c r="E43" s="311" t="s">
        <v>2433</v>
      </c>
      <c r="F43" s="311" t="s">
        <v>2434</v>
      </c>
      <c r="G43" s="311" t="s">
        <v>2514</v>
      </c>
      <c r="H43" s="311" t="s">
        <v>28</v>
      </c>
      <c r="I43" s="317" t="s">
        <v>2515</v>
      </c>
      <c r="J43" s="311" t="s">
        <v>30</v>
      </c>
      <c r="K43" s="311"/>
      <c r="L43" s="311" t="s">
        <v>336</v>
      </c>
      <c r="M43" s="308">
        <v>830241</v>
      </c>
      <c r="N43" s="311"/>
      <c r="O43" s="311" t="s">
        <v>2491</v>
      </c>
      <c r="P43" s="311" t="s">
        <v>34</v>
      </c>
      <c r="Q43" s="325"/>
      <c r="R43" s="319">
        <v>2392.7394894454928</v>
      </c>
      <c r="S43" s="325"/>
      <c r="T43" s="311" t="s">
        <v>34</v>
      </c>
      <c r="U43" s="317"/>
    </row>
    <row r="44" spans="1:21" s="318" customFormat="1" ht="14.1" customHeight="1">
      <c r="A44" s="311">
        <v>40</v>
      </c>
      <c r="B44" s="247" t="s">
        <v>348</v>
      </c>
      <c r="C44" s="247" t="s">
        <v>348</v>
      </c>
      <c r="D44" s="311" t="s">
        <v>2174</v>
      </c>
      <c r="E44" s="311" t="s">
        <v>2433</v>
      </c>
      <c r="F44" s="311" t="s">
        <v>2434</v>
      </c>
      <c r="G44" s="311" t="s">
        <v>2516</v>
      </c>
      <c r="H44" s="311" t="s">
        <v>28</v>
      </c>
      <c r="I44" s="317" t="s">
        <v>2517</v>
      </c>
      <c r="J44" s="311" t="s">
        <v>30</v>
      </c>
      <c r="K44" s="311"/>
      <c r="L44" s="311" t="s">
        <v>336</v>
      </c>
      <c r="M44" s="308">
        <v>830241</v>
      </c>
      <c r="N44" s="311"/>
      <c r="O44" s="311" t="s">
        <v>2491</v>
      </c>
      <c r="P44" s="311" t="s">
        <v>34</v>
      </c>
      <c r="Q44" s="325"/>
      <c r="R44" s="319">
        <v>2493.2747621112699</v>
      </c>
      <c r="S44" s="325"/>
      <c r="T44" s="311" t="s">
        <v>34</v>
      </c>
      <c r="U44" s="317"/>
    </row>
    <row r="45" spans="1:21" s="318" customFormat="1" ht="14.1" customHeight="1">
      <c r="A45" s="311">
        <v>41</v>
      </c>
      <c r="B45" s="247" t="s">
        <v>348</v>
      </c>
      <c r="C45" s="247" t="s">
        <v>348</v>
      </c>
      <c r="D45" s="311" t="s">
        <v>2174</v>
      </c>
      <c r="E45" s="311" t="s">
        <v>2433</v>
      </c>
      <c r="F45" s="311" t="s">
        <v>2434</v>
      </c>
      <c r="G45" s="311" t="s">
        <v>2518</v>
      </c>
      <c r="H45" s="311" t="s">
        <v>28</v>
      </c>
      <c r="I45" s="317" t="s">
        <v>2519</v>
      </c>
      <c r="J45" s="311" t="s">
        <v>30</v>
      </c>
      <c r="K45" s="311"/>
      <c r="L45" s="311" t="s">
        <v>336</v>
      </c>
      <c r="M45" s="308">
        <v>830241</v>
      </c>
      <c r="N45" s="311"/>
      <c r="O45" s="311" t="s">
        <v>2491</v>
      </c>
      <c r="P45" s="311" t="s">
        <v>34</v>
      </c>
      <c r="Q45" s="325"/>
      <c r="R45" s="319">
        <v>4901.6530717492187</v>
      </c>
      <c r="S45" s="325"/>
      <c r="T45" s="311" t="s">
        <v>34</v>
      </c>
      <c r="U45" s="317"/>
    </row>
    <row r="46" spans="1:21" s="318" customFormat="1" ht="14.1" customHeight="1">
      <c r="A46" s="311">
        <v>42</v>
      </c>
      <c r="B46" s="247" t="s">
        <v>348</v>
      </c>
      <c r="C46" s="247" t="s">
        <v>348</v>
      </c>
      <c r="D46" s="311" t="s">
        <v>2174</v>
      </c>
      <c r="E46" s="311" t="s">
        <v>2433</v>
      </c>
      <c r="F46" s="311" t="s">
        <v>2434</v>
      </c>
      <c r="G46" s="311" t="s">
        <v>2520</v>
      </c>
      <c r="H46" s="311" t="s">
        <v>28</v>
      </c>
      <c r="I46" s="317" t="s">
        <v>2521</v>
      </c>
      <c r="J46" s="311" t="s">
        <v>30</v>
      </c>
      <c r="K46" s="311"/>
      <c r="L46" s="311" t="s">
        <v>336</v>
      </c>
      <c r="M46" s="308">
        <v>830241</v>
      </c>
      <c r="N46" s="311"/>
      <c r="O46" s="311" t="s">
        <v>2491</v>
      </c>
      <c r="P46" s="311" t="s">
        <v>34</v>
      </c>
      <c r="Q46" s="325"/>
      <c r="R46" s="319">
        <v>4562.0672618559274</v>
      </c>
      <c r="S46" s="325"/>
      <c r="T46" s="311" t="s">
        <v>34</v>
      </c>
      <c r="U46" s="317"/>
    </row>
    <row r="47" spans="1:21" s="318" customFormat="1" ht="14.1" customHeight="1">
      <c r="A47" s="311">
        <v>43</v>
      </c>
      <c r="B47" s="247" t="s">
        <v>348</v>
      </c>
      <c r="C47" s="247" t="s">
        <v>348</v>
      </c>
      <c r="D47" s="311" t="s">
        <v>2174</v>
      </c>
      <c r="E47" s="311" t="s">
        <v>2433</v>
      </c>
      <c r="F47" s="311" t="s">
        <v>2434</v>
      </c>
      <c r="G47" s="311" t="s">
        <v>2522</v>
      </c>
      <c r="H47" s="311" t="s">
        <v>28</v>
      </c>
      <c r="I47" s="317" t="s">
        <v>2523</v>
      </c>
      <c r="J47" s="311" t="s">
        <v>30</v>
      </c>
      <c r="K47" s="311"/>
      <c r="L47" s="311" t="s">
        <v>336</v>
      </c>
      <c r="M47" s="308">
        <v>830241</v>
      </c>
      <c r="N47" s="311"/>
      <c r="O47" s="311" t="s">
        <v>2491</v>
      </c>
      <c r="P47" s="311" t="s">
        <v>34</v>
      </c>
      <c r="Q47" s="325"/>
      <c r="R47" s="319">
        <v>5933.8152044511953</v>
      </c>
      <c r="S47" s="325"/>
      <c r="T47" s="311" t="s">
        <v>34</v>
      </c>
      <c r="U47" s="317"/>
    </row>
    <row r="48" spans="1:21" s="318" customFormat="1" ht="14.1" customHeight="1">
      <c r="A48" s="311">
        <v>44</v>
      </c>
      <c r="B48" s="247" t="s">
        <v>348</v>
      </c>
      <c r="C48" s="247" t="s">
        <v>348</v>
      </c>
      <c r="D48" s="311" t="s">
        <v>2174</v>
      </c>
      <c r="E48" s="311" t="s">
        <v>2433</v>
      </c>
      <c r="F48" s="311" t="s">
        <v>2434</v>
      </c>
      <c r="G48" s="311" t="s">
        <v>2524</v>
      </c>
      <c r="H48" s="311" t="s">
        <v>28</v>
      </c>
      <c r="I48" s="317" t="s">
        <v>2525</v>
      </c>
      <c r="J48" s="311" t="s">
        <v>30</v>
      </c>
      <c r="K48" s="311"/>
      <c r="L48" s="311" t="s">
        <v>336</v>
      </c>
      <c r="M48" s="308">
        <v>830241</v>
      </c>
      <c r="N48" s="311"/>
      <c r="O48" s="311" t="s">
        <v>2491</v>
      </c>
      <c r="P48" s="311" t="s">
        <v>34</v>
      </c>
      <c r="Q48" s="325"/>
      <c r="R48" s="319">
        <v>5509.3329420845803</v>
      </c>
      <c r="S48" s="325"/>
      <c r="T48" s="311" t="s">
        <v>34</v>
      </c>
      <c r="U48" s="317"/>
    </row>
    <row r="49" spans="1:21" s="318" customFormat="1" ht="14.1" customHeight="1">
      <c r="A49" s="311">
        <v>45</v>
      </c>
      <c r="B49" s="247" t="s">
        <v>348</v>
      </c>
      <c r="C49" s="247" t="s">
        <v>348</v>
      </c>
      <c r="D49" s="311" t="s">
        <v>2174</v>
      </c>
      <c r="E49" s="311" t="s">
        <v>2433</v>
      </c>
      <c r="F49" s="311" t="s">
        <v>2434</v>
      </c>
      <c r="G49" s="311" t="s">
        <v>2526</v>
      </c>
      <c r="H49" s="311" t="s">
        <v>28</v>
      </c>
      <c r="I49" s="317" t="s">
        <v>2527</v>
      </c>
      <c r="J49" s="311" t="s">
        <v>30</v>
      </c>
      <c r="K49" s="311"/>
      <c r="L49" s="311" t="s">
        <v>336</v>
      </c>
      <c r="M49" s="308">
        <v>830241</v>
      </c>
      <c r="N49" s="311"/>
      <c r="O49" s="311" t="s">
        <v>2491</v>
      </c>
      <c r="P49" s="311" t="s">
        <v>34</v>
      </c>
      <c r="Q49" s="325"/>
      <c r="R49" s="319">
        <v>7082.1514300114031</v>
      </c>
      <c r="S49" s="325"/>
      <c r="T49" s="311" t="s">
        <v>34</v>
      </c>
      <c r="U49" s="317"/>
    </row>
    <row r="50" spans="1:21" s="318" customFormat="1" ht="14.1" customHeight="1">
      <c r="A50" s="311">
        <v>46</v>
      </c>
      <c r="B50" s="247" t="s">
        <v>348</v>
      </c>
      <c r="C50" s="247" t="s">
        <v>348</v>
      </c>
      <c r="D50" s="311" t="s">
        <v>2174</v>
      </c>
      <c r="E50" s="311" t="s">
        <v>2433</v>
      </c>
      <c r="F50" s="311" t="s">
        <v>2434</v>
      </c>
      <c r="G50" s="311" t="s">
        <v>2528</v>
      </c>
      <c r="H50" s="311" t="s">
        <v>28</v>
      </c>
      <c r="I50" s="317" t="s">
        <v>2529</v>
      </c>
      <c r="J50" s="311" t="s">
        <v>30</v>
      </c>
      <c r="K50" s="311"/>
      <c r="L50" s="311" t="s">
        <v>336</v>
      </c>
      <c r="M50" s="308">
        <v>830241</v>
      </c>
      <c r="N50" s="311"/>
      <c r="O50" s="311" t="s">
        <v>2491</v>
      </c>
      <c r="P50" s="311" t="s">
        <v>34</v>
      </c>
      <c r="Q50" s="325"/>
      <c r="R50" s="319">
        <v>6563.8362464900647</v>
      </c>
      <c r="S50" s="325"/>
      <c r="T50" s="311" t="s">
        <v>34</v>
      </c>
      <c r="U50" s="317"/>
    </row>
    <row r="51" spans="1:21" s="318" customFormat="1" ht="14.1" customHeight="1">
      <c r="A51" s="311">
        <v>47</v>
      </c>
      <c r="B51" s="247" t="s">
        <v>348</v>
      </c>
      <c r="C51" s="247" t="s">
        <v>348</v>
      </c>
      <c r="D51" s="311" t="s">
        <v>2174</v>
      </c>
      <c r="E51" s="311" t="s">
        <v>2433</v>
      </c>
      <c r="F51" s="311" t="s">
        <v>2434</v>
      </c>
      <c r="G51" s="311" t="s">
        <v>2530</v>
      </c>
      <c r="H51" s="311" t="s">
        <v>2487</v>
      </c>
      <c r="I51" s="317" t="s">
        <v>2531</v>
      </c>
      <c r="J51" s="311" t="s">
        <v>30</v>
      </c>
      <c r="K51" s="311"/>
      <c r="L51" s="311" t="s">
        <v>336</v>
      </c>
      <c r="M51" s="308">
        <v>830241</v>
      </c>
      <c r="N51" s="311"/>
      <c r="O51" s="311" t="s">
        <v>2491</v>
      </c>
      <c r="P51" s="311" t="s">
        <v>34</v>
      </c>
      <c r="Q51" s="325"/>
      <c r="R51" s="319">
        <v>1999.534867463788</v>
      </c>
      <c r="S51" s="325"/>
      <c r="T51" s="311" t="s">
        <v>34</v>
      </c>
      <c r="U51" s="317"/>
    </row>
    <row r="52" spans="1:21" s="318" customFormat="1" ht="14.1" customHeight="1">
      <c r="A52" s="311">
        <v>48</v>
      </c>
      <c r="B52" s="247" t="s">
        <v>348</v>
      </c>
      <c r="C52" s="247" t="s">
        <v>348</v>
      </c>
      <c r="D52" s="311" t="s">
        <v>2174</v>
      </c>
      <c r="E52" s="311" t="s">
        <v>2433</v>
      </c>
      <c r="F52" s="311" t="s">
        <v>2434</v>
      </c>
      <c r="G52" s="311" t="s">
        <v>2532</v>
      </c>
      <c r="H52" s="311" t="s">
        <v>2487</v>
      </c>
      <c r="I52" s="317" t="s">
        <v>2533</v>
      </c>
      <c r="J52" s="311" t="s">
        <v>30</v>
      </c>
      <c r="K52" s="311"/>
      <c r="L52" s="311" t="s">
        <v>336</v>
      </c>
      <c r="M52" s="308">
        <v>830241</v>
      </c>
      <c r="N52" s="311"/>
      <c r="O52" s="311" t="s">
        <v>2491</v>
      </c>
      <c r="P52" s="311" t="s">
        <v>34</v>
      </c>
      <c r="Q52" s="325"/>
      <c r="R52" s="319">
        <v>1881.126657435206</v>
      </c>
      <c r="S52" s="325"/>
      <c r="T52" s="311" t="s">
        <v>34</v>
      </c>
      <c r="U52" s="317"/>
    </row>
    <row r="53" spans="1:21" s="318" customFormat="1" ht="14.1" customHeight="1">
      <c r="A53" s="311">
        <v>49</v>
      </c>
      <c r="B53" s="247" t="s">
        <v>348</v>
      </c>
      <c r="C53" s="247" t="s">
        <v>348</v>
      </c>
      <c r="D53" s="311" t="s">
        <v>2174</v>
      </c>
      <c r="E53" s="311" t="s">
        <v>2433</v>
      </c>
      <c r="F53" s="311" t="s">
        <v>2434</v>
      </c>
      <c r="G53" s="311" t="s">
        <v>2534</v>
      </c>
      <c r="H53" s="311" t="s">
        <v>2487</v>
      </c>
      <c r="I53" s="317" t="s">
        <v>2535</v>
      </c>
      <c r="J53" s="311" t="s">
        <v>30</v>
      </c>
      <c r="K53" s="311"/>
      <c r="L53" s="311" t="s">
        <v>336</v>
      </c>
      <c r="M53" s="308">
        <v>830241</v>
      </c>
      <c r="N53" s="311"/>
      <c r="O53" s="311" t="s">
        <v>2491</v>
      </c>
      <c r="P53" s="311" t="s">
        <v>34</v>
      </c>
      <c r="Q53" s="325"/>
      <c r="R53" s="319">
        <v>2024.110156337644</v>
      </c>
      <c r="S53" s="325"/>
      <c r="T53" s="311" t="s">
        <v>34</v>
      </c>
      <c r="U53" s="317"/>
    </row>
    <row r="54" spans="1:21" s="318" customFormat="1" ht="14.1" customHeight="1">
      <c r="A54" s="311">
        <v>50</v>
      </c>
      <c r="B54" s="247" t="s">
        <v>348</v>
      </c>
      <c r="C54" s="247" t="s">
        <v>348</v>
      </c>
      <c r="D54" s="311" t="s">
        <v>2174</v>
      </c>
      <c r="E54" s="311" t="s">
        <v>2433</v>
      </c>
      <c r="F54" s="311" t="s">
        <v>2434</v>
      </c>
      <c r="G54" s="311" t="s">
        <v>2536</v>
      </c>
      <c r="H54" s="311" t="s">
        <v>2487</v>
      </c>
      <c r="I54" s="317" t="s">
        <v>2537</v>
      </c>
      <c r="J54" s="311" t="s">
        <v>30</v>
      </c>
      <c r="K54" s="311"/>
      <c r="L54" s="311" t="s">
        <v>336</v>
      </c>
      <c r="M54" s="308">
        <v>830241</v>
      </c>
      <c r="N54" s="311"/>
      <c r="O54" s="311" t="s">
        <v>2491</v>
      </c>
      <c r="P54" s="311" t="s">
        <v>34</v>
      </c>
      <c r="Q54" s="325"/>
      <c r="R54" s="319">
        <v>1907.936063479413</v>
      </c>
      <c r="S54" s="325"/>
      <c r="T54" s="311" t="s">
        <v>34</v>
      </c>
      <c r="U54" s="317"/>
    </row>
    <row r="55" spans="1:21" s="318" customFormat="1" ht="14.1" customHeight="1">
      <c r="A55" s="311">
        <v>51</v>
      </c>
      <c r="B55" s="247" t="s">
        <v>348</v>
      </c>
      <c r="C55" s="247" t="s">
        <v>348</v>
      </c>
      <c r="D55" s="311" t="s">
        <v>2174</v>
      </c>
      <c r="E55" s="311" t="s">
        <v>2433</v>
      </c>
      <c r="F55" s="311" t="s">
        <v>2434</v>
      </c>
      <c r="G55" s="311" t="s">
        <v>2538</v>
      </c>
      <c r="H55" s="311" t="s">
        <v>2487</v>
      </c>
      <c r="I55" s="317" t="s">
        <v>2539</v>
      </c>
      <c r="J55" s="311" t="s">
        <v>30</v>
      </c>
      <c r="K55" s="311"/>
      <c r="L55" s="311" t="s">
        <v>336</v>
      </c>
      <c r="M55" s="308">
        <v>830241</v>
      </c>
      <c r="N55" s="311"/>
      <c r="O55" s="311" t="s">
        <v>2491</v>
      </c>
      <c r="P55" s="311" t="s">
        <v>34</v>
      </c>
      <c r="Q55" s="325"/>
      <c r="R55" s="319">
        <v>2071.0266169150068</v>
      </c>
      <c r="S55" s="325"/>
      <c r="T55" s="311" t="s">
        <v>34</v>
      </c>
      <c r="U55" s="317"/>
    </row>
    <row r="56" spans="1:21" s="318" customFormat="1" ht="14.1" customHeight="1">
      <c r="A56" s="311">
        <v>52</v>
      </c>
      <c r="B56" s="247" t="s">
        <v>348</v>
      </c>
      <c r="C56" s="247" t="s">
        <v>348</v>
      </c>
      <c r="D56" s="311" t="s">
        <v>2174</v>
      </c>
      <c r="E56" s="311" t="s">
        <v>2433</v>
      </c>
      <c r="F56" s="311" t="s">
        <v>2434</v>
      </c>
      <c r="G56" s="311" t="s">
        <v>2540</v>
      </c>
      <c r="H56" s="311" t="s">
        <v>2487</v>
      </c>
      <c r="I56" s="317" t="s">
        <v>2541</v>
      </c>
      <c r="J56" s="311" t="s">
        <v>30</v>
      </c>
      <c r="K56" s="311"/>
      <c r="L56" s="311" t="s">
        <v>336</v>
      </c>
      <c r="M56" s="308">
        <v>830241</v>
      </c>
      <c r="N56" s="311"/>
      <c r="O56" s="311" t="s">
        <v>2491</v>
      </c>
      <c r="P56" s="311" t="s">
        <v>34</v>
      </c>
      <c r="Q56" s="325"/>
      <c r="R56" s="319">
        <v>1972.7254614195799</v>
      </c>
      <c r="S56" s="325"/>
      <c r="T56" s="311" t="s">
        <v>34</v>
      </c>
      <c r="U56" s="317"/>
    </row>
    <row r="57" spans="1:21" s="318" customFormat="1" ht="14.1" customHeight="1">
      <c r="A57" s="311">
        <v>53</v>
      </c>
      <c r="B57" s="247" t="s">
        <v>348</v>
      </c>
      <c r="C57" s="247" t="s">
        <v>348</v>
      </c>
      <c r="D57" s="311" t="s">
        <v>2174</v>
      </c>
      <c r="E57" s="311" t="s">
        <v>2433</v>
      </c>
      <c r="F57" s="311" t="s">
        <v>2434</v>
      </c>
      <c r="G57" s="311" t="s">
        <v>2542</v>
      </c>
      <c r="H57" s="311" t="s">
        <v>2487</v>
      </c>
      <c r="I57" s="317" t="s">
        <v>2543</v>
      </c>
      <c r="J57" s="311" t="s">
        <v>30</v>
      </c>
      <c r="K57" s="311"/>
      <c r="L57" s="311" t="s">
        <v>336</v>
      </c>
      <c r="M57" s="308">
        <v>830241</v>
      </c>
      <c r="N57" s="311"/>
      <c r="O57" s="311" t="s">
        <v>2491</v>
      </c>
      <c r="P57" s="311" t="s">
        <v>34</v>
      </c>
      <c r="Q57" s="325"/>
      <c r="R57" s="319">
        <v>2120.17719466272</v>
      </c>
      <c r="S57" s="325"/>
      <c r="T57" s="311" t="s">
        <v>34</v>
      </c>
      <c r="U57" s="317"/>
    </row>
    <row r="58" spans="1:21" s="318" customFormat="1" ht="14.1" customHeight="1">
      <c r="A58" s="311">
        <v>54</v>
      </c>
      <c r="B58" s="247" t="s">
        <v>348</v>
      </c>
      <c r="C58" s="247" t="s">
        <v>348</v>
      </c>
      <c r="D58" s="311" t="s">
        <v>2174</v>
      </c>
      <c r="E58" s="311" t="s">
        <v>2433</v>
      </c>
      <c r="F58" s="311" t="s">
        <v>2434</v>
      </c>
      <c r="G58" s="311" t="s">
        <v>2544</v>
      </c>
      <c r="H58" s="311" t="s">
        <v>2487</v>
      </c>
      <c r="I58" s="317" t="s">
        <v>2545</v>
      </c>
      <c r="J58" s="311" t="s">
        <v>30</v>
      </c>
      <c r="K58" s="311"/>
      <c r="L58" s="311" t="s">
        <v>336</v>
      </c>
      <c r="M58" s="308">
        <v>830241</v>
      </c>
      <c r="N58" s="311"/>
      <c r="O58" s="311" t="s">
        <v>2491</v>
      </c>
      <c r="P58" s="311" t="s">
        <v>34</v>
      </c>
      <c r="Q58" s="325"/>
      <c r="R58" s="319">
        <v>2017.4078048265919</v>
      </c>
      <c r="S58" s="325"/>
      <c r="T58" s="311" t="s">
        <v>34</v>
      </c>
      <c r="U58" s="317"/>
    </row>
    <row r="59" spans="1:21" s="318" customFormat="1" ht="14.1" customHeight="1">
      <c r="A59" s="311">
        <v>55</v>
      </c>
      <c r="B59" s="247" t="s">
        <v>348</v>
      </c>
      <c r="C59" s="247" t="s">
        <v>348</v>
      </c>
      <c r="D59" s="311" t="s">
        <v>2174</v>
      </c>
      <c r="E59" s="311" t="s">
        <v>2433</v>
      </c>
      <c r="F59" s="311" t="s">
        <v>2434</v>
      </c>
      <c r="G59" s="311" t="s">
        <v>2546</v>
      </c>
      <c r="H59" s="311" t="s">
        <v>2487</v>
      </c>
      <c r="I59" s="317" t="s">
        <v>2547</v>
      </c>
      <c r="J59" s="311" t="s">
        <v>30</v>
      </c>
      <c r="K59" s="311"/>
      <c r="L59" s="311" t="s">
        <v>336</v>
      </c>
      <c r="M59" s="308">
        <v>830241</v>
      </c>
      <c r="N59" s="311"/>
      <c r="O59" s="311" t="s">
        <v>2491</v>
      </c>
      <c r="P59" s="311" t="s">
        <v>34</v>
      </c>
      <c r="Q59" s="325"/>
      <c r="R59" s="319">
        <v>2158.1571865586802</v>
      </c>
      <c r="S59" s="325"/>
      <c r="T59" s="311" t="s">
        <v>34</v>
      </c>
      <c r="U59" s="317"/>
    </row>
    <row r="60" spans="1:21" s="318" customFormat="1" ht="14.1" customHeight="1">
      <c r="A60" s="311">
        <v>56</v>
      </c>
      <c r="B60" s="247" t="s">
        <v>348</v>
      </c>
      <c r="C60" s="247" t="s">
        <v>348</v>
      </c>
      <c r="D60" s="311" t="s">
        <v>2174</v>
      </c>
      <c r="E60" s="311" t="s">
        <v>2433</v>
      </c>
      <c r="F60" s="311" t="s">
        <v>2434</v>
      </c>
      <c r="G60" s="311" t="s">
        <v>2548</v>
      </c>
      <c r="H60" s="311" t="s">
        <v>2487</v>
      </c>
      <c r="I60" s="317" t="s">
        <v>2549</v>
      </c>
      <c r="J60" s="311" t="s">
        <v>30</v>
      </c>
      <c r="K60" s="311"/>
      <c r="L60" s="311" t="s">
        <v>336</v>
      </c>
      <c r="M60" s="308">
        <v>830241</v>
      </c>
      <c r="N60" s="311"/>
      <c r="O60" s="311" t="s">
        <v>2491</v>
      </c>
      <c r="P60" s="311" t="s">
        <v>34</v>
      </c>
      <c r="Q60" s="325"/>
      <c r="R60" s="319">
        <v>2059.8560310632538</v>
      </c>
      <c r="S60" s="325"/>
      <c r="T60" s="311" t="s">
        <v>34</v>
      </c>
      <c r="U60" s="317"/>
    </row>
    <row r="61" spans="1:21" s="318" customFormat="1" ht="14.1" customHeight="1">
      <c r="A61" s="311">
        <v>57</v>
      </c>
      <c r="B61" s="247" t="s">
        <v>348</v>
      </c>
      <c r="C61" s="247" t="s">
        <v>348</v>
      </c>
      <c r="D61" s="311" t="s">
        <v>2174</v>
      </c>
      <c r="E61" s="311" t="s">
        <v>2433</v>
      </c>
      <c r="F61" s="311" t="s">
        <v>2434</v>
      </c>
      <c r="G61" s="311" t="s">
        <v>2550</v>
      </c>
      <c r="H61" s="311" t="s">
        <v>2487</v>
      </c>
      <c r="I61" s="317" t="s">
        <v>2551</v>
      </c>
      <c r="J61" s="311" t="s">
        <v>30</v>
      </c>
      <c r="K61" s="311"/>
      <c r="L61" s="311" t="s">
        <v>336</v>
      </c>
      <c r="M61" s="308">
        <v>830241</v>
      </c>
      <c r="N61" s="311"/>
      <c r="O61" s="311" t="s">
        <v>2491</v>
      </c>
      <c r="P61" s="311" t="s">
        <v>34</v>
      </c>
      <c r="Q61" s="325"/>
      <c r="R61" s="319">
        <v>2301.1406854611182</v>
      </c>
      <c r="S61" s="325"/>
      <c r="T61" s="311" t="s">
        <v>34</v>
      </c>
      <c r="U61" s="317"/>
    </row>
    <row r="62" spans="1:21" s="318" customFormat="1" ht="14.1" customHeight="1">
      <c r="A62" s="311">
        <v>58</v>
      </c>
      <c r="B62" s="247" t="s">
        <v>348</v>
      </c>
      <c r="C62" s="247" t="s">
        <v>348</v>
      </c>
      <c r="D62" s="311" t="s">
        <v>2174</v>
      </c>
      <c r="E62" s="311" t="s">
        <v>2433</v>
      </c>
      <c r="F62" s="311" t="s">
        <v>2434</v>
      </c>
      <c r="G62" s="311" t="s">
        <v>2552</v>
      </c>
      <c r="H62" s="311" t="s">
        <v>2487</v>
      </c>
      <c r="I62" s="317" t="s">
        <v>2553</v>
      </c>
      <c r="J62" s="311" t="s">
        <v>30</v>
      </c>
      <c r="K62" s="311"/>
      <c r="L62" s="311" t="s">
        <v>336</v>
      </c>
      <c r="M62" s="308">
        <v>830241</v>
      </c>
      <c r="N62" s="311"/>
      <c r="O62" s="311" t="s">
        <v>2491</v>
      </c>
      <c r="P62" s="311" t="s">
        <v>34</v>
      </c>
      <c r="Q62" s="325"/>
      <c r="R62" s="319">
        <v>2200.6054127953412</v>
      </c>
      <c r="S62" s="325"/>
      <c r="T62" s="311" t="s">
        <v>34</v>
      </c>
      <c r="U62" s="317"/>
    </row>
    <row r="63" spans="1:21" s="318" customFormat="1" ht="14.1" customHeight="1">
      <c r="A63" s="311">
        <v>59</v>
      </c>
      <c r="B63" s="247" t="s">
        <v>348</v>
      </c>
      <c r="C63" s="247" t="s">
        <v>348</v>
      </c>
      <c r="D63" s="311" t="s">
        <v>2174</v>
      </c>
      <c r="E63" s="311" t="s">
        <v>2433</v>
      </c>
      <c r="F63" s="311" t="s">
        <v>2434</v>
      </c>
      <c r="G63" s="311" t="s">
        <v>2554</v>
      </c>
      <c r="H63" s="311" t="s">
        <v>2487</v>
      </c>
      <c r="I63" s="317" t="s">
        <v>2555</v>
      </c>
      <c r="J63" s="311" t="s">
        <v>30</v>
      </c>
      <c r="K63" s="311"/>
      <c r="L63" s="311" t="s">
        <v>336</v>
      </c>
      <c r="M63" s="308">
        <v>830241</v>
      </c>
      <c r="N63" s="311"/>
      <c r="O63" s="311" t="s">
        <v>2491</v>
      </c>
      <c r="P63" s="311" t="s">
        <v>34</v>
      </c>
      <c r="Q63" s="325"/>
      <c r="R63" s="319">
        <v>2493.2747621112699</v>
      </c>
      <c r="S63" s="325"/>
      <c r="T63" s="311" t="s">
        <v>34</v>
      </c>
      <c r="U63" s="317"/>
    </row>
    <row r="64" spans="1:21" s="318" customFormat="1" ht="14.1" customHeight="1">
      <c r="A64" s="311">
        <v>60</v>
      </c>
      <c r="B64" s="247" t="s">
        <v>348</v>
      </c>
      <c r="C64" s="247" t="s">
        <v>348</v>
      </c>
      <c r="D64" s="311" t="s">
        <v>2174</v>
      </c>
      <c r="E64" s="311" t="s">
        <v>2433</v>
      </c>
      <c r="F64" s="311" t="s">
        <v>2434</v>
      </c>
      <c r="G64" s="311" t="s">
        <v>2556</v>
      </c>
      <c r="H64" s="311" t="s">
        <v>2487</v>
      </c>
      <c r="I64" s="317" t="s">
        <v>2557</v>
      </c>
      <c r="J64" s="311" t="s">
        <v>30</v>
      </c>
      <c r="K64" s="311"/>
      <c r="L64" s="311" t="s">
        <v>336</v>
      </c>
      <c r="M64" s="308">
        <v>830241</v>
      </c>
      <c r="N64" s="311"/>
      <c r="O64" s="311" t="s">
        <v>2491</v>
      </c>
      <c r="P64" s="311" t="s">
        <v>34</v>
      </c>
      <c r="Q64" s="325"/>
      <c r="R64" s="319">
        <v>2392.7394894454928</v>
      </c>
      <c r="S64" s="325"/>
      <c r="T64" s="311" t="s">
        <v>34</v>
      </c>
      <c r="U64" s="317"/>
    </row>
    <row r="65" spans="1:21" s="318" customFormat="1" ht="14.1" customHeight="1">
      <c r="A65" s="311">
        <v>61</v>
      </c>
      <c r="B65" s="247" t="s">
        <v>348</v>
      </c>
      <c r="C65" s="247" t="s">
        <v>348</v>
      </c>
      <c r="D65" s="311" t="s">
        <v>2174</v>
      </c>
      <c r="E65" s="311" t="s">
        <v>2433</v>
      </c>
      <c r="F65" s="311" t="s">
        <v>2434</v>
      </c>
      <c r="G65" s="311" t="s">
        <v>2558</v>
      </c>
      <c r="H65" s="311" t="s">
        <v>2487</v>
      </c>
      <c r="I65" s="317" t="s">
        <v>2559</v>
      </c>
      <c r="J65" s="311" t="s">
        <v>30</v>
      </c>
      <c r="K65" s="311"/>
      <c r="L65" s="311" t="s">
        <v>336</v>
      </c>
      <c r="M65" s="308">
        <v>830241</v>
      </c>
      <c r="N65" s="311"/>
      <c r="O65" s="311" t="s">
        <v>2491</v>
      </c>
      <c r="P65" s="311" t="s">
        <v>34</v>
      </c>
      <c r="Q65" s="325"/>
      <c r="R65" s="319">
        <v>4901.6530717492187</v>
      </c>
      <c r="S65" s="325"/>
      <c r="T65" s="311" t="s">
        <v>34</v>
      </c>
      <c r="U65" s="317"/>
    </row>
    <row r="66" spans="1:21" s="318" customFormat="1" ht="14.1" customHeight="1">
      <c r="A66" s="311">
        <v>62</v>
      </c>
      <c r="B66" s="247" t="s">
        <v>348</v>
      </c>
      <c r="C66" s="247" t="s">
        <v>348</v>
      </c>
      <c r="D66" s="311" t="s">
        <v>2174</v>
      </c>
      <c r="E66" s="311" t="s">
        <v>2433</v>
      </c>
      <c r="F66" s="311" t="s">
        <v>2434</v>
      </c>
      <c r="G66" s="311" t="s">
        <v>2560</v>
      </c>
      <c r="H66" s="311" t="s">
        <v>2487</v>
      </c>
      <c r="I66" s="317" t="s">
        <v>2561</v>
      </c>
      <c r="J66" s="311" t="s">
        <v>30</v>
      </c>
      <c r="K66" s="311"/>
      <c r="L66" s="311" t="s">
        <v>336</v>
      </c>
      <c r="M66" s="308">
        <v>830241</v>
      </c>
      <c r="N66" s="311"/>
      <c r="O66" s="311" t="s">
        <v>2491</v>
      </c>
      <c r="P66" s="311" t="s">
        <v>34</v>
      </c>
      <c r="Q66" s="325"/>
      <c r="R66" s="319">
        <v>4562.0672618559274</v>
      </c>
      <c r="S66" s="325"/>
      <c r="T66" s="311" t="s">
        <v>34</v>
      </c>
      <c r="U66" s="317"/>
    </row>
    <row r="67" spans="1:21" s="318" customFormat="1" ht="14.1" customHeight="1">
      <c r="A67" s="311">
        <v>63</v>
      </c>
      <c r="B67" s="247" t="s">
        <v>348</v>
      </c>
      <c r="C67" s="247" t="s">
        <v>348</v>
      </c>
      <c r="D67" s="311" t="s">
        <v>2174</v>
      </c>
      <c r="E67" s="311" t="s">
        <v>2433</v>
      </c>
      <c r="F67" s="311" t="s">
        <v>2434</v>
      </c>
      <c r="G67" s="311" t="s">
        <v>2562</v>
      </c>
      <c r="H67" s="311" t="s">
        <v>2487</v>
      </c>
      <c r="I67" s="317" t="s">
        <v>2563</v>
      </c>
      <c r="J67" s="311" t="s">
        <v>30</v>
      </c>
      <c r="K67" s="311"/>
      <c r="L67" s="311" t="s">
        <v>336</v>
      </c>
      <c r="M67" s="308">
        <v>830241</v>
      </c>
      <c r="N67" s="311"/>
      <c r="O67" s="311" t="s">
        <v>2491</v>
      </c>
      <c r="P67" s="311" t="s">
        <v>34</v>
      </c>
      <c r="Q67" s="325"/>
      <c r="R67" s="319">
        <v>5933.8152044511953</v>
      </c>
      <c r="S67" s="325"/>
      <c r="T67" s="311" t="s">
        <v>34</v>
      </c>
      <c r="U67" s="317"/>
    </row>
    <row r="68" spans="1:21" s="318" customFormat="1" ht="14.1" customHeight="1">
      <c r="A68" s="311">
        <v>64</v>
      </c>
      <c r="B68" s="247" t="s">
        <v>348</v>
      </c>
      <c r="C68" s="247" t="s">
        <v>348</v>
      </c>
      <c r="D68" s="311" t="s">
        <v>2174</v>
      </c>
      <c r="E68" s="311" t="s">
        <v>2433</v>
      </c>
      <c r="F68" s="311" t="s">
        <v>2434</v>
      </c>
      <c r="G68" s="311" t="s">
        <v>2564</v>
      </c>
      <c r="H68" s="311" t="s">
        <v>2487</v>
      </c>
      <c r="I68" s="317" t="s">
        <v>2565</v>
      </c>
      <c r="J68" s="311" t="s">
        <v>30</v>
      </c>
      <c r="K68" s="311"/>
      <c r="L68" s="311" t="s">
        <v>336</v>
      </c>
      <c r="M68" s="308">
        <v>830241</v>
      </c>
      <c r="N68" s="311"/>
      <c r="O68" s="311" t="s">
        <v>2491</v>
      </c>
      <c r="P68" s="311" t="s">
        <v>34</v>
      </c>
      <c r="Q68" s="325"/>
      <c r="R68" s="319">
        <v>5509.3329420845803</v>
      </c>
      <c r="S68" s="325"/>
      <c r="T68" s="311" t="s">
        <v>34</v>
      </c>
      <c r="U68" s="317"/>
    </row>
    <row r="69" spans="1:21" s="318" customFormat="1" ht="14.1" customHeight="1">
      <c r="A69" s="311">
        <v>65</v>
      </c>
      <c r="B69" s="247" t="s">
        <v>348</v>
      </c>
      <c r="C69" s="247" t="s">
        <v>348</v>
      </c>
      <c r="D69" s="311" t="s">
        <v>2174</v>
      </c>
      <c r="E69" s="311" t="s">
        <v>2433</v>
      </c>
      <c r="F69" s="311" t="s">
        <v>2434</v>
      </c>
      <c r="G69" s="311" t="s">
        <v>2566</v>
      </c>
      <c r="H69" s="311" t="s">
        <v>2487</v>
      </c>
      <c r="I69" s="317" t="s">
        <v>2567</v>
      </c>
      <c r="J69" s="311" t="s">
        <v>30</v>
      </c>
      <c r="K69" s="311"/>
      <c r="L69" s="311" t="s">
        <v>336</v>
      </c>
      <c r="M69" s="308">
        <v>830241</v>
      </c>
      <c r="N69" s="311"/>
      <c r="O69" s="311" t="s">
        <v>2491</v>
      </c>
      <c r="P69" s="311" t="s">
        <v>34</v>
      </c>
      <c r="Q69" s="325"/>
      <c r="R69" s="319">
        <v>7082.1514300114031</v>
      </c>
      <c r="S69" s="325"/>
      <c r="T69" s="311" t="s">
        <v>34</v>
      </c>
      <c r="U69" s="317"/>
    </row>
    <row r="70" spans="1:21" s="318" customFormat="1" ht="14.1" customHeight="1">
      <c r="A70" s="311">
        <v>66</v>
      </c>
      <c r="B70" s="247" t="s">
        <v>348</v>
      </c>
      <c r="C70" s="247" t="s">
        <v>348</v>
      </c>
      <c r="D70" s="311" t="s">
        <v>2174</v>
      </c>
      <c r="E70" s="311" t="s">
        <v>2433</v>
      </c>
      <c r="F70" s="311" t="s">
        <v>2434</v>
      </c>
      <c r="G70" s="311" t="s">
        <v>2568</v>
      </c>
      <c r="H70" s="311" t="s">
        <v>2487</v>
      </c>
      <c r="I70" s="317" t="s">
        <v>2569</v>
      </c>
      <c r="J70" s="311" t="s">
        <v>30</v>
      </c>
      <c r="K70" s="311"/>
      <c r="L70" s="311" t="s">
        <v>336</v>
      </c>
      <c r="M70" s="308">
        <v>830241</v>
      </c>
      <c r="N70" s="311"/>
      <c r="O70" s="311" t="s">
        <v>2491</v>
      </c>
      <c r="P70" s="311" t="s">
        <v>34</v>
      </c>
      <c r="Q70" s="325"/>
      <c r="R70" s="319">
        <v>6563.8362464900647</v>
      </c>
      <c r="S70" s="325"/>
      <c r="T70" s="311" t="s">
        <v>34</v>
      </c>
      <c r="U70" s="317"/>
    </row>
    <row r="71" spans="1:21" s="318" customFormat="1" ht="14.1" customHeight="1">
      <c r="A71" s="311">
        <v>67</v>
      </c>
      <c r="B71" s="247" t="s">
        <v>348</v>
      </c>
      <c r="C71" s="247" t="s">
        <v>348</v>
      </c>
      <c r="D71" s="311" t="s">
        <v>2174</v>
      </c>
      <c r="E71" s="311" t="s">
        <v>2433</v>
      </c>
      <c r="F71" s="311" t="s">
        <v>2434</v>
      </c>
      <c r="G71" s="311" t="s">
        <v>2570</v>
      </c>
      <c r="H71" s="311" t="s">
        <v>42</v>
      </c>
      <c r="I71" s="317" t="s">
        <v>2571</v>
      </c>
      <c r="J71" s="311" t="s">
        <v>30</v>
      </c>
      <c r="K71" s="311"/>
      <c r="L71" s="311" t="s">
        <v>336</v>
      </c>
      <c r="M71" s="308">
        <v>830241</v>
      </c>
      <c r="N71" s="311"/>
      <c r="O71" s="311" t="s">
        <v>2572</v>
      </c>
      <c r="P71" s="311" t="s">
        <v>34</v>
      </c>
      <c r="Q71" s="325"/>
      <c r="R71" s="319">
        <v>589.80693297255846</v>
      </c>
      <c r="S71" s="325"/>
      <c r="T71" s="311" t="s">
        <v>34</v>
      </c>
      <c r="U71" s="317"/>
    </row>
    <row r="72" spans="1:21" s="318" customFormat="1" ht="14.1" customHeight="1">
      <c r="A72" s="311">
        <v>68</v>
      </c>
      <c r="B72" s="247" t="s">
        <v>348</v>
      </c>
      <c r="C72" s="247" t="s">
        <v>348</v>
      </c>
      <c r="D72" s="311" t="s">
        <v>2174</v>
      </c>
      <c r="E72" s="311" t="s">
        <v>2433</v>
      </c>
      <c r="F72" s="311" t="s">
        <v>2434</v>
      </c>
      <c r="G72" s="311" t="s">
        <v>2573</v>
      </c>
      <c r="H72" s="311" t="s">
        <v>42</v>
      </c>
      <c r="I72" s="317" t="s">
        <v>2574</v>
      </c>
      <c r="J72" s="311" t="s">
        <v>30</v>
      </c>
      <c r="K72" s="311"/>
      <c r="L72" s="311" t="s">
        <v>336</v>
      </c>
      <c r="M72" s="308">
        <v>830241</v>
      </c>
      <c r="N72" s="311"/>
      <c r="O72" s="311" t="s">
        <v>2572</v>
      </c>
      <c r="P72" s="311" t="s">
        <v>34</v>
      </c>
      <c r="Q72" s="325"/>
      <c r="R72" s="319">
        <v>533.95400371379355</v>
      </c>
      <c r="S72" s="325"/>
      <c r="T72" s="311" t="s">
        <v>34</v>
      </c>
      <c r="U72" s="317"/>
    </row>
    <row r="73" spans="1:21" s="318" customFormat="1" ht="14.1" customHeight="1">
      <c r="A73" s="311">
        <v>69</v>
      </c>
      <c r="B73" s="247" t="s">
        <v>348</v>
      </c>
      <c r="C73" s="247" t="s">
        <v>348</v>
      </c>
      <c r="D73" s="311" t="s">
        <v>2174</v>
      </c>
      <c r="E73" s="311" t="s">
        <v>2433</v>
      </c>
      <c r="F73" s="311" t="s">
        <v>2434</v>
      </c>
      <c r="G73" s="311" t="s">
        <v>2575</v>
      </c>
      <c r="H73" s="311" t="s">
        <v>42</v>
      </c>
      <c r="I73" s="317" t="s">
        <v>2576</v>
      </c>
      <c r="J73" s="311" t="s">
        <v>30</v>
      </c>
      <c r="K73" s="311"/>
      <c r="L73" s="311" t="s">
        <v>336</v>
      </c>
      <c r="M73" s="308">
        <v>830241</v>
      </c>
      <c r="N73" s="311"/>
      <c r="O73" s="311" t="s">
        <v>2572</v>
      </c>
      <c r="P73" s="311" t="s">
        <v>34</v>
      </c>
      <c r="Q73" s="325"/>
      <c r="R73" s="319">
        <v>1646.5443545483929</v>
      </c>
      <c r="S73" s="325"/>
      <c r="T73" s="311" t="s">
        <v>34</v>
      </c>
      <c r="U73" s="317"/>
    </row>
    <row r="74" spans="1:21" s="318" customFormat="1" ht="14.1" customHeight="1">
      <c r="A74" s="311">
        <v>70</v>
      </c>
      <c r="B74" s="247" t="s">
        <v>348</v>
      </c>
      <c r="C74" s="247" t="s">
        <v>348</v>
      </c>
      <c r="D74" s="311" t="s">
        <v>2174</v>
      </c>
      <c r="E74" s="311" t="s">
        <v>2433</v>
      </c>
      <c r="F74" s="311" t="s">
        <v>2434</v>
      </c>
      <c r="G74" s="311" t="s">
        <v>2577</v>
      </c>
      <c r="H74" s="311" t="s">
        <v>42</v>
      </c>
      <c r="I74" s="317" t="s">
        <v>2578</v>
      </c>
      <c r="J74" s="311" t="s">
        <v>30</v>
      </c>
      <c r="K74" s="311"/>
      <c r="L74" s="311" t="s">
        <v>336</v>
      </c>
      <c r="M74" s="308">
        <v>830241</v>
      </c>
      <c r="N74" s="311"/>
      <c r="O74" s="311" t="s">
        <v>2572</v>
      </c>
      <c r="P74" s="311" t="s">
        <v>34</v>
      </c>
      <c r="Q74" s="325"/>
      <c r="R74" s="319">
        <v>1539.3067303715641</v>
      </c>
      <c r="S74" s="325"/>
      <c r="T74" s="311" t="s">
        <v>34</v>
      </c>
      <c r="U74" s="317"/>
    </row>
    <row r="75" spans="1:21" s="318" customFormat="1" ht="14.1" customHeight="1">
      <c r="A75" s="311">
        <v>71</v>
      </c>
      <c r="B75" s="247" t="s">
        <v>348</v>
      </c>
      <c r="C75" s="247" t="s">
        <v>348</v>
      </c>
      <c r="D75" s="311" t="s">
        <v>2174</v>
      </c>
      <c r="E75" s="311" t="s">
        <v>2433</v>
      </c>
      <c r="F75" s="311" t="s">
        <v>2434</v>
      </c>
      <c r="G75" s="311" t="s">
        <v>2579</v>
      </c>
      <c r="H75" s="311" t="s">
        <v>42</v>
      </c>
      <c r="I75" s="317" t="s">
        <v>2580</v>
      </c>
      <c r="J75" s="311" t="s">
        <v>30</v>
      </c>
      <c r="K75" s="311"/>
      <c r="L75" s="311" t="s">
        <v>336</v>
      </c>
      <c r="M75" s="308">
        <v>830241</v>
      </c>
      <c r="N75" s="311"/>
      <c r="O75" s="311" t="s">
        <v>2572</v>
      </c>
      <c r="P75" s="311" t="s">
        <v>34</v>
      </c>
      <c r="Q75" s="325"/>
      <c r="R75" s="319">
        <v>1425.366754683683</v>
      </c>
      <c r="S75" s="325"/>
      <c r="T75" s="311" t="s">
        <v>34</v>
      </c>
      <c r="U75" s="317"/>
    </row>
    <row r="76" spans="1:21" s="318" customFormat="1" ht="14.1" customHeight="1">
      <c r="A76" s="311">
        <v>72</v>
      </c>
      <c r="B76" s="247" t="s">
        <v>348</v>
      </c>
      <c r="C76" s="247" t="s">
        <v>348</v>
      </c>
      <c r="D76" s="311" t="s">
        <v>2174</v>
      </c>
      <c r="E76" s="311" t="s">
        <v>2433</v>
      </c>
      <c r="F76" s="311" t="s">
        <v>2434</v>
      </c>
      <c r="G76" s="311" t="s">
        <v>2581</v>
      </c>
      <c r="H76" s="311" t="s">
        <v>42</v>
      </c>
      <c r="I76" s="317" t="s">
        <v>2582</v>
      </c>
      <c r="J76" s="311" t="s">
        <v>30</v>
      </c>
      <c r="K76" s="311"/>
      <c r="L76" s="311" t="s">
        <v>336</v>
      </c>
      <c r="M76" s="308">
        <v>830241</v>
      </c>
      <c r="N76" s="311"/>
      <c r="O76" s="311" t="s">
        <v>2572</v>
      </c>
      <c r="P76" s="311" t="s">
        <v>34</v>
      </c>
      <c r="Q76" s="325"/>
      <c r="R76" s="319">
        <v>1304.724427484751</v>
      </c>
      <c r="S76" s="325"/>
      <c r="T76" s="311" t="s">
        <v>34</v>
      </c>
      <c r="U76" s="317"/>
    </row>
    <row r="77" spans="1:21" s="318" customFormat="1" ht="14.1" customHeight="1">
      <c r="A77" s="311">
        <v>73</v>
      </c>
      <c r="B77" s="247" t="s">
        <v>348</v>
      </c>
      <c r="C77" s="247" t="s">
        <v>348</v>
      </c>
      <c r="D77" s="311" t="s">
        <v>2174</v>
      </c>
      <c r="E77" s="311" t="s">
        <v>2433</v>
      </c>
      <c r="F77" s="311" t="s">
        <v>2434</v>
      </c>
      <c r="G77" s="311" t="s">
        <v>2583</v>
      </c>
      <c r="H77" s="311" t="s">
        <v>42</v>
      </c>
      <c r="I77" s="317" t="s">
        <v>2584</v>
      </c>
      <c r="J77" s="311" t="s">
        <v>30</v>
      </c>
      <c r="K77" s="311"/>
      <c r="L77" s="311" t="s">
        <v>336</v>
      </c>
      <c r="M77" s="308">
        <v>830241</v>
      </c>
      <c r="N77" s="311"/>
      <c r="O77" s="311" t="s">
        <v>2572</v>
      </c>
      <c r="P77" s="311" t="s">
        <v>34</v>
      </c>
      <c r="Q77" s="325"/>
      <c r="R77" s="319">
        <v>1094.7174134717941</v>
      </c>
      <c r="S77" s="325"/>
      <c r="T77" s="311" t="s">
        <v>34</v>
      </c>
      <c r="U77" s="317"/>
    </row>
    <row r="78" spans="1:21" s="318" customFormat="1" ht="14.1" customHeight="1">
      <c r="A78" s="311">
        <v>74</v>
      </c>
      <c r="B78" s="247" t="s">
        <v>348</v>
      </c>
      <c r="C78" s="247" t="s">
        <v>348</v>
      </c>
      <c r="D78" s="311" t="s">
        <v>2174</v>
      </c>
      <c r="E78" s="311" t="s">
        <v>2433</v>
      </c>
      <c r="F78" s="311" t="s">
        <v>2434</v>
      </c>
      <c r="G78" s="311" t="s">
        <v>2585</v>
      </c>
      <c r="H78" s="311" t="s">
        <v>42</v>
      </c>
      <c r="I78" s="317" t="s">
        <v>2586</v>
      </c>
      <c r="J78" s="311" t="s">
        <v>30</v>
      </c>
      <c r="K78" s="311"/>
      <c r="L78" s="311" t="s">
        <v>336</v>
      </c>
      <c r="M78" s="308">
        <v>830241</v>
      </c>
      <c r="N78" s="311"/>
      <c r="O78" s="311" t="s">
        <v>2572</v>
      </c>
      <c r="P78" s="311" t="s">
        <v>34</v>
      </c>
      <c r="Q78" s="325"/>
      <c r="R78" s="319">
        <v>985.24567212461477</v>
      </c>
      <c r="S78" s="325"/>
      <c r="T78" s="311" t="s">
        <v>34</v>
      </c>
      <c r="U78" s="317"/>
    </row>
    <row r="79" spans="1:21" s="318" customFormat="1" ht="14.1" customHeight="1">
      <c r="A79" s="311">
        <v>75</v>
      </c>
      <c r="B79" s="247" t="s">
        <v>348</v>
      </c>
      <c r="C79" s="247" t="s">
        <v>348</v>
      </c>
      <c r="D79" s="311" t="s">
        <v>2174</v>
      </c>
      <c r="E79" s="311" t="s">
        <v>2433</v>
      </c>
      <c r="F79" s="311" t="s">
        <v>2434</v>
      </c>
      <c r="G79" s="311" t="s">
        <v>2587</v>
      </c>
      <c r="H79" s="311" t="s">
        <v>42</v>
      </c>
      <c r="I79" s="317" t="s">
        <v>2588</v>
      </c>
      <c r="J79" s="311" t="s">
        <v>30</v>
      </c>
      <c r="K79" s="311"/>
      <c r="L79" s="311" t="s">
        <v>336</v>
      </c>
      <c r="M79" s="308">
        <v>830241</v>
      </c>
      <c r="N79" s="311"/>
      <c r="O79" s="311" t="s">
        <v>2572</v>
      </c>
      <c r="P79" s="311" t="s">
        <v>34</v>
      </c>
      <c r="Q79" s="325"/>
      <c r="R79" s="319">
        <v>1117.0585851753001</v>
      </c>
      <c r="S79" s="325"/>
      <c r="T79" s="311" t="s">
        <v>34</v>
      </c>
      <c r="U79" s="317"/>
    </row>
    <row r="80" spans="1:21" s="318" customFormat="1" ht="14.1" customHeight="1">
      <c r="A80" s="311">
        <v>76</v>
      </c>
      <c r="B80" s="247" t="s">
        <v>348</v>
      </c>
      <c r="C80" s="247" t="s">
        <v>348</v>
      </c>
      <c r="D80" s="311" t="s">
        <v>2174</v>
      </c>
      <c r="E80" s="311" t="s">
        <v>2433</v>
      </c>
      <c r="F80" s="311" t="s">
        <v>2434</v>
      </c>
      <c r="G80" s="311" t="s">
        <v>2589</v>
      </c>
      <c r="H80" s="311" t="s">
        <v>42</v>
      </c>
      <c r="I80" s="317" t="s">
        <v>2590</v>
      </c>
      <c r="J80" s="311" t="s">
        <v>30</v>
      </c>
      <c r="K80" s="311"/>
      <c r="L80" s="311" t="s">
        <v>336</v>
      </c>
      <c r="M80" s="308">
        <v>830241</v>
      </c>
      <c r="N80" s="311"/>
      <c r="O80" s="311" t="s">
        <v>2572</v>
      </c>
      <c r="P80" s="311" t="s">
        <v>34</v>
      </c>
      <c r="Q80" s="325"/>
      <c r="R80" s="319">
        <v>1009.820960998471</v>
      </c>
      <c r="S80" s="325"/>
      <c r="T80" s="311" t="s">
        <v>34</v>
      </c>
      <c r="U80" s="317"/>
    </row>
    <row r="81" spans="1:21" s="318" customFormat="1" ht="14.1" customHeight="1">
      <c r="A81" s="311">
        <v>77</v>
      </c>
      <c r="B81" s="247" t="s">
        <v>348</v>
      </c>
      <c r="C81" s="247" t="s">
        <v>348</v>
      </c>
      <c r="D81" s="311" t="s">
        <v>2174</v>
      </c>
      <c r="E81" s="311" t="s">
        <v>2433</v>
      </c>
      <c r="F81" s="311" t="s">
        <v>2434</v>
      </c>
      <c r="G81" s="311" t="s">
        <v>2591</v>
      </c>
      <c r="H81" s="311" t="s">
        <v>42</v>
      </c>
      <c r="I81" s="317" t="s">
        <v>2592</v>
      </c>
      <c r="J81" s="311" t="s">
        <v>30</v>
      </c>
      <c r="K81" s="311"/>
      <c r="L81" s="311" t="s">
        <v>336</v>
      </c>
      <c r="M81" s="308">
        <v>830241</v>
      </c>
      <c r="N81" s="311"/>
      <c r="O81" s="311" t="s">
        <v>2572</v>
      </c>
      <c r="P81" s="311" t="s">
        <v>34</v>
      </c>
      <c r="Q81" s="325"/>
      <c r="R81" s="319">
        <v>1155.038577071261</v>
      </c>
      <c r="S81" s="325"/>
      <c r="T81" s="311" t="s">
        <v>34</v>
      </c>
      <c r="U81" s="317"/>
    </row>
    <row r="82" spans="1:21" s="318" customFormat="1" ht="14.1" customHeight="1">
      <c r="A82" s="311">
        <v>78</v>
      </c>
      <c r="B82" s="247" t="s">
        <v>348</v>
      </c>
      <c r="C82" s="247" t="s">
        <v>348</v>
      </c>
      <c r="D82" s="311" t="s">
        <v>2174</v>
      </c>
      <c r="E82" s="311" t="s">
        <v>2433</v>
      </c>
      <c r="F82" s="311" t="s">
        <v>2434</v>
      </c>
      <c r="G82" s="311" t="s">
        <v>2593</v>
      </c>
      <c r="H82" s="311" t="s">
        <v>42</v>
      </c>
      <c r="I82" s="317" t="s">
        <v>2594</v>
      </c>
      <c r="J82" s="311" t="s">
        <v>30</v>
      </c>
      <c r="K82" s="311"/>
      <c r="L82" s="311" t="s">
        <v>336</v>
      </c>
      <c r="M82" s="308">
        <v>830241</v>
      </c>
      <c r="N82" s="311"/>
      <c r="O82" s="311" t="s">
        <v>2572</v>
      </c>
      <c r="P82" s="311" t="s">
        <v>34</v>
      </c>
      <c r="Q82" s="325"/>
      <c r="R82" s="319">
        <v>1036.630367042678</v>
      </c>
      <c r="S82" s="325"/>
      <c r="T82" s="311" t="s">
        <v>34</v>
      </c>
      <c r="U82" s="317"/>
    </row>
    <row r="83" spans="1:21" s="318" customFormat="1" ht="14.1" customHeight="1">
      <c r="A83" s="311">
        <v>79</v>
      </c>
      <c r="B83" s="247" t="s">
        <v>348</v>
      </c>
      <c r="C83" s="247" t="s">
        <v>348</v>
      </c>
      <c r="D83" s="311" t="s">
        <v>2174</v>
      </c>
      <c r="E83" s="311" t="s">
        <v>2433</v>
      </c>
      <c r="F83" s="311" t="s">
        <v>2434</v>
      </c>
      <c r="G83" s="311" t="s">
        <v>2595</v>
      </c>
      <c r="H83" s="311" t="s">
        <v>42</v>
      </c>
      <c r="I83" s="317" t="s">
        <v>2596</v>
      </c>
      <c r="J83" s="311" t="s">
        <v>30</v>
      </c>
      <c r="K83" s="311"/>
      <c r="L83" s="311" t="s">
        <v>336</v>
      </c>
      <c r="M83" s="308">
        <v>830241</v>
      </c>
      <c r="N83" s="311"/>
      <c r="O83" s="311" t="s">
        <v>2572</v>
      </c>
      <c r="P83" s="311" t="s">
        <v>34</v>
      </c>
      <c r="Q83" s="325"/>
      <c r="R83" s="319">
        <v>1177.379748774767</v>
      </c>
      <c r="S83" s="325"/>
      <c r="T83" s="311" t="s">
        <v>34</v>
      </c>
      <c r="U83" s="317"/>
    </row>
    <row r="84" spans="1:21" s="318" customFormat="1" ht="14.1" customHeight="1">
      <c r="A84" s="311">
        <v>80</v>
      </c>
      <c r="B84" s="247" t="s">
        <v>348</v>
      </c>
      <c r="C84" s="247" t="s">
        <v>348</v>
      </c>
      <c r="D84" s="311" t="s">
        <v>2174</v>
      </c>
      <c r="E84" s="311" t="s">
        <v>2433</v>
      </c>
      <c r="F84" s="311" t="s">
        <v>2434</v>
      </c>
      <c r="G84" s="311" t="s">
        <v>2597</v>
      </c>
      <c r="H84" s="311" t="s">
        <v>42</v>
      </c>
      <c r="I84" s="317" t="s">
        <v>2598</v>
      </c>
      <c r="J84" s="311" t="s">
        <v>30</v>
      </c>
      <c r="K84" s="311"/>
      <c r="L84" s="311" t="s">
        <v>336</v>
      </c>
      <c r="M84" s="308">
        <v>830241</v>
      </c>
      <c r="N84" s="311"/>
      <c r="O84" s="311" t="s">
        <v>2572</v>
      </c>
      <c r="P84" s="311" t="s">
        <v>34</v>
      </c>
      <c r="Q84" s="325"/>
      <c r="R84" s="319">
        <v>1063.4397730868859</v>
      </c>
      <c r="S84" s="325"/>
      <c r="T84" s="311" t="s">
        <v>34</v>
      </c>
      <c r="U84" s="317"/>
    </row>
    <row r="85" spans="1:21" s="318" customFormat="1" ht="14.1" customHeight="1">
      <c r="A85" s="311">
        <v>81</v>
      </c>
      <c r="B85" s="247" t="s">
        <v>348</v>
      </c>
      <c r="C85" s="247" t="s">
        <v>348</v>
      </c>
      <c r="D85" s="311" t="s">
        <v>2174</v>
      </c>
      <c r="E85" s="311" t="s">
        <v>2433</v>
      </c>
      <c r="F85" s="311" t="s">
        <v>2434</v>
      </c>
      <c r="G85" s="311" t="s">
        <v>2599</v>
      </c>
      <c r="H85" s="311" t="s">
        <v>42</v>
      </c>
      <c r="I85" s="317" t="s">
        <v>2600</v>
      </c>
      <c r="J85" s="311" t="s">
        <v>30</v>
      </c>
      <c r="K85" s="311"/>
      <c r="L85" s="311" t="s">
        <v>336</v>
      </c>
      <c r="M85" s="308">
        <v>830241</v>
      </c>
      <c r="N85" s="311"/>
      <c r="O85" s="311" t="s">
        <v>2572</v>
      </c>
      <c r="P85" s="311" t="s">
        <v>34</v>
      </c>
      <c r="Q85" s="325"/>
      <c r="R85" s="319">
        <v>1224.2962093521289</v>
      </c>
      <c r="S85" s="325"/>
      <c r="T85" s="311" t="s">
        <v>34</v>
      </c>
      <c r="U85" s="317"/>
    </row>
    <row r="86" spans="1:21" s="318" customFormat="1" ht="14.1" customHeight="1">
      <c r="A86" s="311">
        <v>82</v>
      </c>
      <c r="B86" s="247" t="s">
        <v>348</v>
      </c>
      <c r="C86" s="247" t="s">
        <v>348</v>
      </c>
      <c r="D86" s="311" t="s">
        <v>2174</v>
      </c>
      <c r="E86" s="311" t="s">
        <v>2433</v>
      </c>
      <c r="F86" s="311" t="s">
        <v>2434</v>
      </c>
      <c r="G86" s="311" t="s">
        <v>2601</v>
      </c>
      <c r="H86" s="311" t="s">
        <v>42</v>
      </c>
      <c r="I86" s="317" t="s">
        <v>2602</v>
      </c>
      <c r="J86" s="311" t="s">
        <v>30</v>
      </c>
      <c r="K86" s="311"/>
      <c r="L86" s="311" t="s">
        <v>336</v>
      </c>
      <c r="M86" s="308">
        <v>830241</v>
      </c>
      <c r="N86" s="311"/>
      <c r="O86" s="311" t="s">
        <v>2572</v>
      </c>
      <c r="P86" s="311" t="s">
        <v>34</v>
      </c>
      <c r="Q86" s="325"/>
      <c r="R86" s="319">
        <v>1130.4632881974039</v>
      </c>
      <c r="S86" s="325"/>
      <c r="T86" s="311" t="s">
        <v>34</v>
      </c>
      <c r="U86" s="317"/>
    </row>
    <row r="87" spans="1:21" s="318" customFormat="1" ht="14.1" customHeight="1">
      <c r="A87" s="311">
        <v>83</v>
      </c>
      <c r="B87" s="247" t="s">
        <v>348</v>
      </c>
      <c r="C87" s="247" t="s">
        <v>348</v>
      </c>
      <c r="D87" s="311" t="s">
        <v>2174</v>
      </c>
      <c r="E87" s="311" t="s">
        <v>2433</v>
      </c>
      <c r="F87" s="311" t="s">
        <v>2434</v>
      </c>
      <c r="G87" s="311" t="s">
        <v>2603</v>
      </c>
      <c r="H87" s="311" t="s">
        <v>42</v>
      </c>
      <c r="I87" s="317" t="s">
        <v>2604</v>
      </c>
      <c r="J87" s="311" t="s">
        <v>30</v>
      </c>
      <c r="K87" s="311"/>
      <c r="L87" s="311" t="s">
        <v>336</v>
      </c>
      <c r="M87" s="308">
        <v>830241</v>
      </c>
      <c r="N87" s="311"/>
      <c r="O87" s="311" t="s">
        <v>2572</v>
      </c>
      <c r="P87" s="311" t="s">
        <v>34</v>
      </c>
      <c r="Q87" s="325"/>
      <c r="R87" s="319">
        <v>1262.2762012480889</v>
      </c>
      <c r="S87" s="325"/>
      <c r="T87" s="311" t="s">
        <v>34</v>
      </c>
      <c r="U87" s="317"/>
    </row>
    <row r="88" spans="1:21" s="318" customFormat="1" ht="14.1" customHeight="1">
      <c r="A88" s="311">
        <v>84</v>
      </c>
      <c r="B88" s="247" t="s">
        <v>348</v>
      </c>
      <c r="C88" s="247" t="s">
        <v>348</v>
      </c>
      <c r="D88" s="311" t="s">
        <v>2174</v>
      </c>
      <c r="E88" s="311" t="s">
        <v>2433</v>
      </c>
      <c r="F88" s="311" t="s">
        <v>2434</v>
      </c>
      <c r="G88" s="311" t="s">
        <v>2605</v>
      </c>
      <c r="H88" s="311" t="s">
        <v>42</v>
      </c>
      <c r="I88" s="317" t="s">
        <v>2606</v>
      </c>
      <c r="J88" s="311" t="s">
        <v>30</v>
      </c>
      <c r="K88" s="311"/>
      <c r="L88" s="311" t="s">
        <v>336</v>
      </c>
      <c r="M88" s="308">
        <v>830241</v>
      </c>
      <c r="N88" s="311"/>
      <c r="O88" s="311" t="s">
        <v>2572</v>
      </c>
      <c r="P88" s="311" t="s">
        <v>34</v>
      </c>
      <c r="Q88" s="325"/>
      <c r="R88" s="319">
        <v>1170.677397263715</v>
      </c>
      <c r="S88" s="325"/>
      <c r="T88" s="311" t="s">
        <v>34</v>
      </c>
      <c r="U88" s="317"/>
    </row>
    <row r="89" spans="1:21" s="318" customFormat="1" ht="14.1" customHeight="1">
      <c r="A89" s="311">
        <v>85</v>
      </c>
      <c r="B89" s="247" t="s">
        <v>348</v>
      </c>
      <c r="C89" s="247" t="s">
        <v>348</v>
      </c>
      <c r="D89" s="311" t="s">
        <v>2174</v>
      </c>
      <c r="E89" s="311" t="s">
        <v>2433</v>
      </c>
      <c r="F89" s="311" t="s">
        <v>2434</v>
      </c>
      <c r="G89" s="311" t="s">
        <v>2607</v>
      </c>
      <c r="H89" s="311" t="s">
        <v>42</v>
      </c>
      <c r="I89" s="317" t="s">
        <v>2608</v>
      </c>
      <c r="J89" s="311" t="s">
        <v>30</v>
      </c>
      <c r="K89" s="311"/>
      <c r="L89" s="311" t="s">
        <v>336</v>
      </c>
      <c r="M89" s="308">
        <v>830241</v>
      </c>
      <c r="N89" s="311"/>
      <c r="O89" s="311" t="s">
        <v>2572</v>
      </c>
      <c r="P89" s="311" t="s">
        <v>34</v>
      </c>
      <c r="Q89" s="325"/>
      <c r="R89" s="319">
        <v>1300.25619314405</v>
      </c>
      <c r="S89" s="325"/>
      <c r="T89" s="311" t="s">
        <v>34</v>
      </c>
      <c r="U89" s="317"/>
    </row>
    <row r="90" spans="1:21" s="318" customFormat="1" ht="14.1" customHeight="1">
      <c r="A90" s="311">
        <v>86</v>
      </c>
      <c r="B90" s="247" t="s">
        <v>348</v>
      </c>
      <c r="C90" s="247" t="s">
        <v>348</v>
      </c>
      <c r="D90" s="311" t="s">
        <v>2174</v>
      </c>
      <c r="E90" s="311" t="s">
        <v>2433</v>
      </c>
      <c r="F90" s="311" t="s">
        <v>2434</v>
      </c>
      <c r="G90" s="311" t="s">
        <v>2609</v>
      </c>
      <c r="H90" s="311" t="s">
        <v>42</v>
      </c>
      <c r="I90" s="317" t="s">
        <v>2610</v>
      </c>
      <c r="J90" s="311" t="s">
        <v>30</v>
      </c>
      <c r="K90" s="311"/>
      <c r="L90" s="311" t="s">
        <v>336</v>
      </c>
      <c r="M90" s="308">
        <v>830241</v>
      </c>
      <c r="N90" s="311"/>
      <c r="O90" s="311" t="s">
        <v>2572</v>
      </c>
      <c r="P90" s="311" t="s">
        <v>34</v>
      </c>
      <c r="Q90" s="325"/>
      <c r="R90" s="319">
        <v>1210.891506330026</v>
      </c>
      <c r="S90" s="325"/>
      <c r="T90" s="311" t="s">
        <v>34</v>
      </c>
      <c r="U90" s="317"/>
    </row>
    <row r="91" spans="1:21" s="318" customFormat="1" ht="14.1" customHeight="1">
      <c r="A91" s="311">
        <v>87</v>
      </c>
      <c r="B91" s="247" t="s">
        <v>348</v>
      </c>
      <c r="C91" s="247" t="s">
        <v>348</v>
      </c>
      <c r="D91" s="311" t="s">
        <v>2174</v>
      </c>
      <c r="E91" s="311" t="s">
        <v>2433</v>
      </c>
      <c r="F91" s="311" t="s">
        <v>2434</v>
      </c>
      <c r="G91" s="311" t="s">
        <v>2611</v>
      </c>
      <c r="H91" s="311" t="s">
        <v>42</v>
      </c>
      <c r="I91" s="317" t="s">
        <v>2612</v>
      </c>
      <c r="J91" s="311" t="s">
        <v>30</v>
      </c>
      <c r="K91" s="311"/>
      <c r="L91" s="311" t="s">
        <v>336</v>
      </c>
      <c r="M91" s="308">
        <v>830241</v>
      </c>
      <c r="N91" s="311"/>
      <c r="O91" s="311" t="s">
        <v>2572</v>
      </c>
      <c r="P91" s="311" t="s">
        <v>34</v>
      </c>
      <c r="Q91" s="325"/>
      <c r="R91" s="319">
        <v>1441.005574876137</v>
      </c>
      <c r="S91" s="325"/>
      <c r="T91" s="311" t="s">
        <v>34</v>
      </c>
      <c r="U91" s="317"/>
    </row>
    <row r="92" spans="1:21" s="318" customFormat="1" ht="14.1" customHeight="1">
      <c r="A92" s="311">
        <v>88</v>
      </c>
      <c r="B92" s="247" t="s">
        <v>348</v>
      </c>
      <c r="C92" s="247" t="s">
        <v>348</v>
      </c>
      <c r="D92" s="311" t="s">
        <v>2174</v>
      </c>
      <c r="E92" s="311" t="s">
        <v>2433</v>
      </c>
      <c r="F92" s="311" t="s">
        <v>2434</v>
      </c>
      <c r="G92" s="311" t="s">
        <v>2613</v>
      </c>
      <c r="H92" s="311" t="s">
        <v>42</v>
      </c>
      <c r="I92" s="317" t="s">
        <v>2614</v>
      </c>
      <c r="J92" s="311" t="s">
        <v>30</v>
      </c>
      <c r="K92" s="311"/>
      <c r="L92" s="311" t="s">
        <v>336</v>
      </c>
      <c r="M92" s="308">
        <v>830241</v>
      </c>
      <c r="N92" s="311"/>
      <c r="O92" s="311" t="s">
        <v>2572</v>
      </c>
      <c r="P92" s="311" t="s">
        <v>34</v>
      </c>
      <c r="Q92" s="325"/>
      <c r="R92" s="319">
        <v>1347.172653721412</v>
      </c>
      <c r="S92" s="325"/>
      <c r="T92" s="311" t="s">
        <v>34</v>
      </c>
      <c r="U92" s="317"/>
    </row>
    <row r="93" spans="1:21" s="318" customFormat="1" ht="14.1" customHeight="1">
      <c r="A93" s="311">
        <v>89</v>
      </c>
      <c r="B93" s="247" t="s">
        <v>348</v>
      </c>
      <c r="C93" s="247" t="s">
        <v>348</v>
      </c>
      <c r="D93" s="311" t="s">
        <v>2174</v>
      </c>
      <c r="E93" s="311" t="s">
        <v>2433</v>
      </c>
      <c r="F93" s="311" t="s">
        <v>2434</v>
      </c>
      <c r="G93" s="311" t="s">
        <v>2615</v>
      </c>
      <c r="H93" s="311" t="s">
        <v>42</v>
      </c>
      <c r="I93" s="317" t="s">
        <v>2616</v>
      </c>
      <c r="J93" s="311" t="s">
        <v>30</v>
      </c>
      <c r="K93" s="311"/>
      <c r="L93" s="311" t="s">
        <v>336</v>
      </c>
      <c r="M93" s="308">
        <v>830241</v>
      </c>
      <c r="N93" s="311"/>
      <c r="O93" s="311" t="s">
        <v>2572</v>
      </c>
      <c r="P93" s="311" t="s">
        <v>34</v>
      </c>
      <c r="Q93" s="325"/>
      <c r="R93" s="319">
        <v>2160.3913037290308</v>
      </c>
      <c r="S93" s="325"/>
      <c r="T93" s="311" t="s">
        <v>34</v>
      </c>
      <c r="U93" s="317"/>
    </row>
    <row r="94" spans="1:21" s="318" customFormat="1" ht="14.1" customHeight="1">
      <c r="A94" s="311">
        <v>90</v>
      </c>
      <c r="B94" s="247" t="s">
        <v>348</v>
      </c>
      <c r="C94" s="247" t="s">
        <v>348</v>
      </c>
      <c r="D94" s="311" t="s">
        <v>2174</v>
      </c>
      <c r="E94" s="311" t="s">
        <v>2433</v>
      </c>
      <c r="F94" s="311" t="s">
        <v>2434</v>
      </c>
      <c r="G94" s="311" t="s">
        <v>2617</v>
      </c>
      <c r="H94" s="311" t="s">
        <v>42</v>
      </c>
      <c r="I94" s="317" t="s">
        <v>2618</v>
      </c>
      <c r="J94" s="311" t="s">
        <v>30</v>
      </c>
      <c r="K94" s="311"/>
      <c r="L94" s="311" t="s">
        <v>336</v>
      </c>
      <c r="M94" s="308">
        <v>830241</v>
      </c>
      <c r="N94" s="311"/>
      <c r="O94" s="311" t="s">
        <v>2572</v>
      </c>
      <c r="P94" s="311" t="s">
        <v>34</v>
      </c>
      <c r="Q94" s="325"/>
      <c r="R94" s="319">
        <v>1979.4278129306319</v>
      </c>
      <c r="S94" s="325"/>
      <c r="T94" s="311" t="s">
        <v>34</v>
      </c>
      <c r="U94" s="317"/>
    </row>
    <row r="95" spans="1:21" s="318" customFormat="1" ht="14.1" customHeight="1">
      <c r="A95" s="311">
        <v>91</v>
      </c>
      <c r="B95" s="247" t="s">
        <v>348</v>
      </c>
      <c r="C95" s="247" t="s">
        <v>348</v>
      </c>
      <c r="D95" s="311" t="s">
        <v>2174</v>
      </c>
      <c r="E95" s="311" t="s">
        <v>2433</v>
      </c>
      <c r="F95" s="311" t="s">
        <v>2434</v>
      </c>
      <c r="G95" s="311" t="s">
        <v>2619</v>
      </c>
      <c r="H95" s="311" t="s">
        <v>42</v>
      </c>
      <c r="I95" s="317" t="s">
        <v>2620</v>
      </c>
      <c r="J95" s="311" t="s">
        <v>30</v>
      </c>
      <c r="K95" s="311"/>
      <c r="L95" s="311" t="s">
        <v>336</v>
      </c>
      <c r="M95" s="308">
        <v>830241</v>
      </c>
      <c r="N95" s="311"/>
      <c r="O95" s="311" t="s">
        <v>2572</v>
      </c>
      <c r="P95" s="311" t="s">
        <v>34</v>
      </c>
      <c r="Q95" s="325"/>
      <c r="R95" s="319">
        <v>578.63634712080545</v>
      </c>
      <c r="S95" s="325"/>
      <c r="T95" s="311" t="s">
        <v>34</v>
      </c>
      <c r="U95" s="317"/>
    </row>
    <row r="96" spans="1:21" s="318" customFormat="1" ht="14.1" customHeight="1">
      <c r="A96" s="311">
        <v>92</v>
      </c>
      <c r="B96" s="247" t="s">
        <v>348</v>
      </c>
      <c r="C96" s="247" t="s">
        <v>348</v>
      </c>
      <c r="D96" s="311" t="s">
        <v>2174</v>
      </c>
      <c r="E96" s="311" t="s">
        <v>2433</v>
      </c>
      <c r="F96" s="311" t="s">
        <v>2434</v>
      </c>
      <c r="G96" s="311" t="s">
        <v>2621</v>
      </c>
      <c r="H96" s="311" t="s">
        <v>42</v>
      </c>
      <c r="I96" s="317" t="s">
        <v>2622</v>
      </c>
      <c r="J96" s="311" t="s">
        <v>30</v>
      </c>
      <c r="K96" s="311"/>
      <c r="L96" s="311" t="s">
        <v>336</v>
      </c>
      <c r="M96" s="308">
        <v>830241</v>
      </c>
      <c r="N96" s="311"/>
      <c r="O96" s="311" t="s">
        <v>2572</v>
      </c>
      <c r="P96" s="311" t="s">
        <v>34</v>
      </c>
      <c r="Q96" s="325"/>
      <c r="R96" s="319">
        <v>520.54930069168995</v>
      </c>
      <c r="S96" s="325"/>
      <c r="T96" s="311" t="s">
        <v>34</v>
      </c>
      <c r="U96" s="317"/>
    </row>
    <row r="97" spans="1:21" s="318" customFormat="1" ht="14.1" customHeight="1">
      <c r="A97" s="311">
        <v>93</v>
      </c>
      <c r="B97" s="247" t="s">
        <v>348</v>
      </c>
      <c r="C97" s="247" t="s">
        <v>348</v>
      </c>
      <c r="D97" s="311" t="s">
        <v>2174</v>
      </c>
      <c r="E97" s="311" t="s">
        <v>2433</v>
      </c>
      <c r="F97" s="311" t="s">
        <v>2434</v>
      </c>
      <c r="G97" s="311" t="s">
        <v>2623</v>
      </c>
      <c r="H97" s="311" t="s">
        <v>42</v>
      </c>
      <c r="I97" s="317" t="s">
        <v>2624</v>
      </c>
      <c r="J97" s="311" t="s">
        <v>30</v>
      </c>
      <c r="K97" s="311"/>
      <c r="L97" s="311" t="s">
        <v>336</v>
      </c>
      <c r="M97" s="308">
        <v>830241</v>
      </c>
      <c r="N97" s="311"/>
      <c r="O97" s="311" t="s">
        <v>2572</v>
      </c>
      <c r="P97" s="311" t="s">
        <v>34</v>
      </c>
      <c r="Q97" s="325"/>
      <c r="R97" s="319">
        <v>1624.203182844886</v>
      </c>
      <c r="S97" s="325"/>
      <c r="T97" s="311" t="s">
        <v>34</v>
      </c>
      <c r="U97" s="317"/>
    </row>
    <row r="98" spans="1:21" s="318" customFormat="1" ht="14.1" customHeight="1">
      <c r="A98" s="311">
        <v>94</v>
      </c>
      <c r="B98" s="247" t="s">
        <v>348</v>
      </c>
      <c r="C98" s="247" t="s">
        <v>348</v>
      </c>
      <c r="D98" s="311" t="s">
        <v>2174</v>
      </c>
      <c r="E98" s="311" t="s">
        <v>2433</v>
      </c>
      <c r="F98" s="311" t="s">
        <v>2434</v>
      </c>
      <c r="G98" s="311" t="s">
        <v>2625</v>
      </c>
      <c r="H98" s="311" t="s">
        <v>42</v>
      </c>
      <c r="I98" s="317" t="s">
        <v>2626</v>
      </c>
      <c r="J98" s="311" t="s">
        <v>30</v>
      </c>
      <c r="K98" s="311"/>
      <c r="L98" s="311" t="s">
        <v>336</v>
      </c>
      <c r="M98" s="308">
        <v>830241</v>
      </c>
      <c r="N98" s="311"/>
      <c r="O98" s="311" t="s">
        <v>2572</v>
      </c>
      <c r="P98" s="311" t="s">
        <v>34</v>
      </c>
      <c r="Q98" s="325"/>
      <c r="R98" s="319">
        <v>1516.9655586680581</v>
      </c>
      <c r="S98" s="325"/>
      <c r="T98" s="311" t="s">
        <v>34</v>
      </c>
      <c r="U98" s="317"/>
    </row>
    <row r="99" spans="1:21" s="318" customFormat="1" ht="14.1" customHeight="1">
      <c r="A99" s="311">
        <v>95</v>
      </c>
      <c r="B99" s="247" t="s">
        <v>348</v>
      </c>
      <c r="C99" s="247" t="s">
        <v>348</v>
      </c>
      <c r="D99" s="311" t="s">
        <v>2174</v>
      </c>
      <c r="E99" s="311" t="s">
        <v>2433</v>
      </c>
      <c r="F99" s="311" t="s">
        <v>2434</v>
      </c>
      <c r="G99" s="311" t="s">
        <v>2627</v>
      </c>
      <c r="H99" s="311" t="s">
        <v>42</v>
      </c>
      <c r="I99" s="317" t="s">
        <v>2628</v>
      </c>
      <c r="J99" s="311" t="s">
        <v>30</v>
      </c>
      <c r="K99" s="311"/>
      <c r="L99" s="311" t="s">
        <v>336</v>
      </c>
      <c r="M99" s="308">
        <v>830241</v>
      </c>
      <c r="N99" s="311"/>
      <c r="O99" s="311" t="s">
        <v>2572</v>
      </c>
      <c r="P99" s="311" t="s">
        <v>34</v>
      </c>
      <c r="Q99" s="325"/>
      <c r="R99" s="319">
        <v>1403.025582980177</v>
      </c>
      <c r="S99" s="325"/>
      <c r="T99" s="311" t="s">
        <v>34</v>
      </c>
      <c r="U99" s="317"/>
    </row>
    <row r="100" spans="1:21" s="318" customFormat="1" ht="14.1" customHeight="1">
      <c r="A100" s="311">
        <v>96</v>
      </c>
      <c r="B100" s="247" t="s">
        <v>348</v>
      </c>
      <c r="C100" s="247" t="s">
        <v>348</v>
      </c>
      <c r="D100" s="311" t="s">
        <v>2174</v>
      </c>
      <c r="E100" s="311" t="s">
        <v>2433</v>
      </c>
      <c r="F100" s="311" t="s">
        <v>2434</v>
      </c>
      <c r="G100" s="311" t="s">
        <v>2629</v>
      </c>
      <c r="H100" s="311" t="s">
        <v>42</v>
      </c>
      <c r="I100" s="317" t="s">
        <v>2630</v>
      </c>
      <c r="J100" s="311" t="s">
        <v>30</v>
      </c>
      <c r="K100" s="311"/>
      <c r="L100" s="311" t="s">
        <v>336</v>
      </c>
      <c r="M100" s="308">
        <v>830241</v>
      </c>
      <c r="N100" s="311"/>
      <c r="O100" s="311" t="s">
        <v>2572</v>
      </c>
      <c r="P100" s="311" t="s">
        <v>34</v>
      </c>
      <c r="Q100" s="325"/>
      <c r="R100" s="319">
        <v>1284.6173729515961</v>
      </c>
      <c r="S100" s="325"/>
      <c r="T100" s="311" t="s">
        <v>34</v>
      </c>
      <c r="U100" s="317"/>
    </row>
    <row r="101" spans="1:21" s="318" customFormat="1" ht="14.1" customHeight="1">
      <c r="A101" s="311">
        <v>97</v>
      </c>
      <c r="B101" s="247" t="s">
        <v>348</v>
      </c>
      <c r="C101" s="247" t="s">
        <v>348</v>
      </c>
      <c r="D101" s="311" t="s">
        <v>2174</v>
      </c>
      <c r="E101" s="311" t="s">
        <v>2433</v>
      </c>
      <c r="F101" s="311" t="s">
        <v>2434</v>
      </c>
      <c r="G101" s="311" t="s">
        <v>2631</v>
      </c>
      <c r="H101" s="311" t="s">
        <v>42</v>
      </c>
      <c r="I101" s="317" t="s">
        <v>2632</v>
      </c>
      <c r="J101" s="311" t="s">
        <v>30</v>
      </c>
      <c r="K101" s="311"/>
      <c r="L101" s="311" t="s">
        <v>336</v>
      </c>
      <c r="M101" s="308">
        <v>830241</v>
      </c>
      <c r="N101" s="311"/>
      <c r="O101" s="311" t="s">
        <v>2572</v>
      </c>
      <c r="P101" s="311" t="s">
        <v>34</v>
      </c>
      <c r="Q101" s="325"/>
      <c r="R101" s="319">
        <v>1067.9080074275871</v>
      </c>
      <c r="S101" s="325"/>
      <c r="T101" s="311" t="s">
        <v>34</v>
      </c>
      <c r="U101" s="317"/>
    </row>
    <row r="102" spans="1:21" s="318" customFormat="1" ht="14.1" customHeight="1">
      <c r="A102" s="311">
        <v>98</v>
      </c>
      <c r="B102" s="247" t="s">
        <v>348</v>
      </c>
      <c r="C102" s="247" t="s">
        <v>348</v>
      </c>
      <c r="D102" s="311" t="s">
        <v>2174</v>
      </c>
      <c r="E102" s="311" t="s">
        <v>2433</v>
      </c>
      <c r="F102" s="311" t="s">
        <v>2434</v>
      </c>
      <c r="G102" s="311" t="s">
        <v>2633</v>
      </c>
      <c r="H102" s="311" t="s">
        <v>42</v>
      </c>
      <c r="I102" s="317" t="s">
        <v>2634</v>
      </c>
      <c r="J102" s="311" t="s">
        <v>30</v>
      </c>
      <c r="K102" s="311"/>
      <c r="L102" s="311" t="s">
        <v>336</v>
      </c>
      <c r="M102" s="308">
        <v>830241</v>
      </c>
      <c r="N102" s="311"/>
      <c r="O102" s="311" t="s">
        <v>2572</v>
      </c>
      <c r="P102" s="311" t="s">
        <v>34</v>
      </c>
      <c r="Q102" s="325"/>
      <c r="R102" s="319">
        <v>956.20214891005685</v>
      </c>
      <c r="S102" s="325"/>
      <c r="T102" s="311" t="s">
        <v>34</v>
      </c>
      <c r="U102" s="317"/>
    </row>
    <row r="103" spans="1:21" s="318" customFormat="1" ht="14.1" customHeight="1">
      <c r="A103" s="311">
        <v>99</v>
      </c>
      <c r="B103" s="247" t="s">
        <v>348</v>
      </c>
      <c r="C103" s="247" t="s">
        <v>348</v>
      </c>
      <c r="D103" s="311" t="s">
        <v>2174</v>
      </c>
      <c r="E103" s="311" t="s">
        <v>2433</v>
      </c>
      <c r="F103" s="311" t="s">
        <v>2434</v>
      </c>
      <c r="G103" s="311" t="s">
        <v>2635</v>
      </c>
      <c r="H103" s="311" t="s">
        <v>42</v>
      </c>
      <c r="I103" s="317" t="s">
        <v>2636</v>
      </c>
      <c r="J103" s="311" t="s">
        <v>30</v>
      </c>
      <c r="K103" s="311"/>
      <c r="L103" s="311" t="s">
        <v>336</v>
      </c>
      <c r="M103" s="308">
        <v>830241</v>
      </c>
      <c r="N103" s="311"/>
      <c r="O103" s="311" t="s">
        <v>2572</v>
      </c>
      <c r="P103" s="311" t="s">
        <v>34</v>
      </c>
      <c r="Q103" s="325"/>
      <c r="R103" s="319">
        <v>1088.015061960743</v>
      </c>
      <c r="S103" s="325"/>
      <c r="T103" s="311" t="s">
        <v>34</v>
      </c>
      <c r="U103" s="317"/>
    </row>
    <row r="104" spans="1:21" s="318" customFormat="1" ht="14.1" customHeight="1">
      <c r="A104" s="311">
        <v>100</v>
      </c>
      <c r="B104" s="247" t="s">
        <v>348</v>
      </c>
      <c r="C104" s="247" t="s">
        <v>348</v>
      </c>
      <c r="D104" s="311" t="s">
        <v>2174</v>
      </c>
      <c r="E104" s="311" t="s">
        <v>2433</v>
      </c>
      <c r="F104" s="311" t="s">
        <v>2434</v>
      </c>
      <c r="G104" s="311" t="s">
        <v>2637</v>
      </c>
      <c r="H104" s="311" t="s">
        <v>42</v>
      </c>
      <c r="I104" s="317" t="s">
        <v>2638</v>
      </c>
      <c r="J104" s="311" t="s">
        <v>30</v>
      </c>
      <c r="K104" s="311"/>
      <c r="L104" s="311" t="s">
        <v>336</v>
      </c>
      <c r="M104" s="308">
        <v>830241</v>
      </c>
      <c r="N104" s="311"/>
      <c r="O104" s="311" t="s">
        <v>2572</v>
      </c>
      <c r="P104" s="311" t="s">
        <v>34</v>
      </c>
      <c r="Q104" s="325"/>
      <c r="R104" s="319">
        <v>974.07508627286199</v>
      </c>
      <c r="S104" s="325"/>
      <c r="T104" s="311" t="s">
        <v>34</v>
      </c>
      <c r="U104" s="317"/>
    </row>
    <row r="105" spans="1:21" s="318" customFormat="1" ht="14.1" customHeight="1">
      <c r="A105" s="311">
        <v>101</v>
      </c>
      <c r="B105" s="247" t="s">
        <v>348</v>
      </c>
      <c r="C105" s="247" t="s">
        <v>348</v>
      </c>
      <c r="D105" s="311" t="s">
        <v>2174</v>
      </c>
      <c r="E105" s="311" t="s">
        <v>2433</v>
      </c>
      <c r="F105" s="311" t="s">
        <v>2434</v>
      </c>
      <c r="G105" s="311" t="s">
        <v>2639</v>
      </c>
      <c r="H105" s="311" t="s">
        <v>42</v>
      </c>
      <c r="I105" s="317" t="s">
        <v>2640</v>
      </c>
      <c r="J105" s="311" t="s">
        <v>30</v>
      </c>
      <c r="K105" s="311"/>
      <c r="L105" s="311" t="s">
        <v>336</v>
      </c>
      <c r="M105" s="308">
        <v>830241</v>
      </c>
      <c r="N105" s="311"/>
      <c r="O105" s="311" t="s">
        <v>2572</v>
      </c>
      <c r="P105" s="311" t="s">
        <v>34</v>
      </c>
      <c r="Q105" s="325"/>
      <c r="R105" s="319">
        <v>1094.7174134717941</v>
      </c>
      <c r="S105" s="325"/>
      <c r="T105" s="311" t="s">
        <v>34</v>
      </c>
      <c r="U105" s="317"/>
    </row>
    <row r="106" spans="1:21" s="318" customFormat="1" ht="14.1" customHeight="1">
      <c r="A106" s="311">
        <v>102</v>
      </c>
      <c r="B106" s="247" t="s">
        <v>348</v>
      </c>
      <c r="C106" s="247" t="s">
        <v>348</v>
      </c>
      <c r="D106" s="311" t="s">
        <v>2174</v>
      </c>
      <c r="E106" s="311" t="s">
        <v>2433</v>
      </c>
      <c r="F106" s="311" t="s">
        <v>2434</v>
      </c>
      <c r="G106" s="311" t="s">
        <v>2641</v>
      </c>
      <c r="H106" s="311" t="s">
        <v>42</v>
      </c>
      <c r="I106" s="317" t="s">
        <v>2642</v>
      </c>
      <c r="J106" s="311" t="s">
        <v>30</v>
      </c>
      <c r="K106" s="311"/>
      <c r="L106" s="311" t="s">
        <v>336</v>
      </c>
      <c r="M106" s="308">
        <v>830241</v>
      </c>
      <c r="N106" s="311"/>
      <c r="O106" s="311" t="s">
        <v>2572</v>
      </c>
      <c r="P106" s="311" t="s">
        <v>34</v>
      </c>
      <c r="Q106" s="325"/>
      <c r="R106" s="319">
        <v>985.24567212461477</v>
      </c>
      <c r="S106" s="325"/>
      <c r="T106" s="311" t="s">
        <v>34</v>
      </c>
      <c r="U106" s="317"/>
    </row>
    <row r="107" spans="1:21" s="318" customFormat="1" ht="14.1" customHeight="1">
      <c r="A107" s="311">
        <v>103</v>
      </c>
      <c r="B107" s="247" t="s">
        <v>348</v>
      </c>
      <c r="C107" s="247" t="s">
        <v>348</v>
      </c>
      <c r="D107" s="311" t="s">
        <v>2174</v>
      </c>
      <c r="E107" s="311" t="s">
        <v>2433</v>
      </c>
      <c r="F107" s="311" t="s">
        <v>2434</v>
      </c>
      <c r="G107" s="311" t="s">
        <v>2643</v>
      </c>
      <c r="H107" s="311" t="s">
        <v>42</v>
      </c>
      <c r="I107" s="317" t="s">
        <v>2644</v>
      </c>
      <c r="J107" s="311" t="s">
        <v>30</v>
      </c>
      <c r="K107" s="311"/>
      <c r="L107" s="311" t="s">
        <v>336</v>
      </c>
      <c r="M107" s="308">
        <v>830241</v>
      </c>
      <c r="N107" s="311"/>
      <c r="O107" s="311" t="s">
        <v>2572</v>
      </c>
      <c r="P107" s="311" t="s">
        <v>34</v>
      </c>
      <c r="Q107" s="325"/>
      <c r="R107" s="319">
        <v>1123.7609366863519</v>
      </c>
      <c r="S107" s="325"/>
      <c r="T107" s="311" t="s">
        <v>34</v>
      </c>
      <c r="U107" s="317"/>
    </row>
    <row r="108" spans="1:21" s="318" customFormat="1" ht="14.1" customHeight="1">
      <c r="A108" s="311">
        <v>104</v>
      </c>
      <c r="B108" s="247" t="s">
        <v>348</v>
      </c>
      <c r="C108" s="247" t="s">
        <v>348</v>
      </c>
      <c r="D108" s="311" t="s">
        <v>2174</v>
      </c>
      <c r="E108" s="311" t="s">
        <v>2433</v>
      </c>
      <c r="F108" s="311" t="s">
        <v>2434</v>
      </c>
      <c r="G108" s="311" t="s">
        <v>2645</v>
      </c>
      <c r="H108" s="311" t="s">
        <v>42</v>
      </c>
      <c r="I108" s="317" t="s">
        <v>2646</v>
      </c>
      <c r="J108" s="311" t="s">
        <v>30</v>
      </c>
      <c r="K108" s="311"/>
      <c r="L108" s="311" t="s">
        <v>336</v>
      </c>
      <c r="M108" s="308">
        <v>830241</v>
      </c>
      <c r="N108" s="311"/>
      <c r="O108" s="311" t="s">
        <v>2572</v>
      </c>
      <c r="P108" s="311" t="s">
        <v>34</v>
      </c>
      <c r="Q108" s="325"/>
      <c r="R108" s="319">
        <v>1012.055078168822</v>
      </c>
      <c r="S108" s="325"/>
      <c r="T108" s="311" t="s">
        <v>34</v>
      </c>
      <c r="U108" s="317"/>
    </row>
    <row r="109" spans="1:21" s="318" customFormat="1" ht="14.1" customHeight="1">
      <c r="A109" s="311">
        <v>105</v>
      </c>
      <c r="B109" s="247" t="s">
        <v>348</v>
      </c>
      <c r="C109" s="247" t="s">
        <v>348</v>
      </c>
      <c r="D109" s="311" t="s">
        <v>2174</v>
      </c>
      <c r="E109" s="311" t="s">
        <v>2433</v>
      </c>
      <c r="F109" s="311" t="s">
        <v>2434</v>
      </c>
      <c r="G109" s="311" t="s">
        <v>2647</v>
      </c>
      <c r="H109" s="311" t="s">
        <v>42</v>
      </c>
      <c r="I109" s="317" t="s">
        <v>2648</v>
      </c>
      <c r="J109" s="311" t="s">
        <v>30</v>
      </c>
      <c r="K109" s="311"/>
      <c r="L109" s="311" t="s">
        <v>336</v>
      </c>
      <c r="M109" s="308">
        <v>830241</v>
      </c>
      <c r="N109" s="311"/>
      <c r="O109" s="311" t="s">
        <v>2572</v>
      </c>
      <c r="P109" s="311" t="s">
        <v>34</v>
      </c>
      <c r="Q109" s="325"/>
      <c r="R109" s="319">
        <v>1155.038577071261</v>
      </c>
      <c r="S109" s="325"/>
      <c r="T109" s="311" t="s">
        <v>34</v>
      </c>
      <c r="U109" s="317"/>
    </row>
    <row r="110" spans="1:21" s="318" customFormat="1" ht="14.1" customHeight="1">
      <c r="A110" s="311">
        <v>106</v>
      </c>
      <c r="B110" s="247" t="s">
        <v>348</v>
      </c>
      <c r="C110" s="247" t="s">
        <v>348</v>
      </c>
      <c r="D110" s="311" t="s">
        <v>2174</v>
      </c>
      <c r="E110" s="311" t="s">
        <v>2433</v>
      </c>
      <c r="F110" s="311" t="s">
        <v>2434</v>
      </c>
      <c r="G110" s="311" t="s">
        <v>2649</v>
      </c>
      <c r="H110" s="311" t="s">
        <v>42</v>
      </c>
      <c r="I110" s="317" t="s">
        <v>2650</v>
      </c>
      <c r="J110" s="311" t="s">
        <v>30</v>
      </c>
      <c r="K110" s="311"/>
      <c r="L110" s="311" t="s">
        <v>336</v>
      </c>
      <c r="M110" s="308">
        <v>830241</v>
      </c>
      <c r="N110" s="311"/>
      <c r="O110" s="311" t="s">
        <v>2572</v>
      </c>
      <c r="P110" s="311" t="s">
        <v>34</v>
      </c>
      <c r="Q110" s="325"/>
      <c r="R110" s="319">
        <v>1036.630367042678</v>
      </c>
      <c r="S110" s="325"/>
      <c r="T110" s="311" t="s">
        <v>34</v>
      </c>
      <c r="U110" s="317"/>
    </row>
    <row r="111" spans="1:21" s="318" customFormat="1" ht="14.1" customHeight="1">
      <c r="A111" s="311">
        <v>107</v>
      </c>
      <c r="B111" s="247" t="s">
        <v>348</v>
      </c>
      <c r="C111" s="247" t="s">
        <v>348</v>
      </c>
      <c r="D111" s="311" t="s">
        <v>2174</v>
      </c>
      <c r="E111" s="311" t="s">
        <v>2433</v>
      </c>
      <c r="F111" s="311" t="s">
        <v>2434</v>
      </c>
      <c r="G111" s="311" t="s">
        <v>2651</v>
      </c>
      <c r="H111" s="311" t="s">
        <v>42</v>
      </c>
      <c r="I111" s="317" t="s">
        <v>2652</v>
      </c>
      <c r="J111" s="311" t="s">
        <v>30</v>
      </c>
      <c r="K111" s="311"/>
      <c r="L111" s="311" t="s">
        <v>336</v>
      </c>
      <c r="M111" s="308">
        <v>830241</v>
      </c>
      <c r="N111" s="311"/>
      <c r="O111" s="311" t="s">
        <v>2572</v>
      </c>
      <c r="P111" s="311" t="s">
        <v>34</v>
      </c>
      <c r="Q111" s="325"/>
      <c r="R111" s="319">
        <v>1177.379748774767</v>
      </c>
      <c r="S111" s="325"/>
      <c r="T111" s="311" t="s">
        <v>34</v>
      </c>
      <c r="U111" s="317"/>
    </row>
    <row r="112" spans="1:21" s="318" customFormat="1" ht="14.1" customHeight="1">
      <c r="A112" s="311">
        <v>108</v>
      </c>
      <c r="B112" s="247" t="s">
        <v>348</v>
      </c>
      <c r="C112" s="247" t="s">
        <v>348</v>
      </c>
      <c r="D112" s="311" t="s">
        <v>2174</v>
      </c>
      <c r="E112" s="311" t="s">
        <v>2433</v>
      </c>
      <c r="F112" s="311" t="s">
        <v>2434</v>
      </c>
      <c r="G112" s="311" t="s">
        <v>2653</v>
      </c>
      <c r="H112" s="311" t="s">
        <v>42</v>
      </c>
      <c r="I112" s="317" t="s">
        <v>2654</v>
      </c>
      <c r="J112" s="311" t="s">
        <v>30</v>
      </c>
      <c r="K112" s="311"/>
      <c r="L112" s="311" t="s">
        <v>336</v>
      </c>
      <c r="M112" s="308">
        <v>830241</v>
      </c>
      <c r="N112" s="311"/>
      <c r="O112" s="311" t="s">
        <v>2572</v>
      </c>
      <c r="P112" s="311" t="s">
        <v>34</v>
      </c>
      <c r="Q112" s="325"/>
      <c r="R112" s="319">
        <v>1067.9080074275871</v>
      </c>
      <c r="S112" s="325"/>
      <c r="T112" s="311" t="s">
        <v>34</v>
      </c>
      <c r="U112" s="317"/>
    </row>
    <row r="113" spans="1:21" s="318" customFormat="1" ht="14.1" customHeight="1">
      <c r="A113" s="311">
        <v>109</v>
      </c>
      <c r="B113" s="247" t="s">
        <v>348</v>
      </c>
      <c r="C113" s="247" t="s">
        <v>348</v>
      </c>
      <c r="D113" s="311" t="s">
        <v>2174</v>
      </c>
      <c r="E113" s="311" t="s">
        <v>2433</v>
      </c>
      <c r="F113" s="311" t="s">
        <v>2434</v>
      </c>
      <c r="G113" s="311" t="s">
        <v>2655</v>
      </c>
      <c r="H113" s="311" t="s">
        <v>42</v>
      </c>
      <c r="I113" s="317" t="s">
        <v>2656</v>
      </c>
      <c r="J113" s="311" t="s">
        <v>30</v>
      </c>
      <c r="K113" s="311"/>
      <c r="L113" s="311" t="s">
        <v>336</v>
      </c>
      <c r="M113" s="308">
        <v>830241</v>
      </c>
      <c r="N113" s="311"/>
      <c r="O113" s="311" t="s">
        <v>2572</v>
      </c>
      <c r="P113" s="311" t="s">
        <v>34</v>
      </c>
      <c r="Q113" s="325"/>
      <c r="R113" s="319">
        <v>1208.6573891596749</v>
      </c>
      <c r="S113" s="325"/>
      <c r="T113" s="311" t="s">
        <v>34</v>
      </c>
      <c r="U113" s="317"/>
    </row>
    <row r="114" spans="1:21" s="318" customFormat="1" ht="14.1" customHeight="1">
      <c r="A114" s="311">
        <v>110</v>
      </c>
      <c r="B114" s="247" t="s">
        <v>348</v>
      </c>
      <c r="C114" s="247" t="s">
        <v>348</v>
      </c>
      <c r="D114" s="311" t="s">
        <v>2174</v>
      </c>
      <c r="E114" s="311" t="s">
        <v>2433</v>
      </c>
      <c r="F114" s="311" t="s">
        <v>2434</v>
      </c>
      <c r="G114" s="311" t="s">
        <v>2657</v>
      </c>
      <c r="H114" s="311" t="s">
        <v>42</v>
      </c>
      <c r="I114" s="317" t="s">
        <v>2658</v>
      </c>
      <c r="J114" s="311" t="s">
        <v>30</v>
      </c>
      <c r="K114" s="311"/>
      <c r="L114" s="311" t="s">
        <v>336</v>
      </c>
      <c r="M114" s="308">
        <v>830241</v>
      </c>
      <c r="N114" s="311"/>
      <c r="O114" s="311" t="s">
        <v>2572</v>
      </c>
      <c r="P114" s="311" t="s">
        <v>34</v>
      </c>
      <c r="Q114" s="325"/>
      <c r="R114" s="319">
        <v>1094.7174134717941</v>
      </c>
      <c r="S114" s="325"/>
      <c r="T114" s="311" t="s">
        <v>34</v>
      </c>
      <c r="U114" s="317"/>
    </row>
    <row r="115" spans="1:21" s="318" customFormat="1" ht="14.1" customHeight="1">
      <c r="A115" s="311">
        <v>111</v>
      </c>
      <c r="B115" s="247" t="s">
        <v>348</v>
      </c>
      <c r="C115" s="247" t="s">
        <v>348</v>
      </c>
      <c r="D115" s="311" t="s">
        <v>2174</v>
      </c>
      <c r="E115" s="311" t="s">
        <v>2433</v>
      </c>
      <c r="F115" s="311" t="s">
        <v>2434</v>
      </c>
      <c r="G115" s="311" t="s">
        <v>2659</v>
      </c>
      <c r="H115" s="311" t="s">
        <v>42</v>
      </c>
      <c r="I115" s="317" t="s">
        <v>2660</v>
      </c>
      <c r="J115" s="311" t="s">
        <v>30</v>
      </c>
      <c r="K115" s="311"/>
      <c r="L115" s="311" t="s">
        <v>336</v>
      </c>
      <c r="M115" s="308">
        <v>830241</v>
      </c>
      <c r="N115" s="311"/>
      <c r="O115" s="311" t="s">
        <v>2572</v>
      </c>
      <c r="P115" s="311" t="s">
        <v>34</v>
      </c>
      <c r="Q115" s="325"/>
      <c r="R115" s="319">
        <v>1235.4667952038819</v>
      </c>
      <c r="S115" s="325"/>
      <c r="T115" s="311" t="s">
        <v>34</v>
      </c>
      <c r="U115" s="317"/>
    </row>
    <row r="116" spans="1:21" s="318" customFormat="1" ht="14.1" customHeight="1">
      <c r="A116" s="311">
        <v>112</v>
      </c>
      <c r="B116" s="247" t="s">
        <v>348</v>
      </c>
      <c r="C116" s="247" t="s">
        <v>348</v>
      </c>
      <c r="D116" s="311" t="s">
        <v>2174</v>
      </c>
      <c r="E116" s="311" t="s">
        <v>2433</v>
      </c>
      <c r="F116" s="311" t="s">
        <v>2434</v>
      </c>
      <c r="G116" s="311" t="s">
        <v>2661</v>
      </c>
      <c r="H116" s="311" t="s">
        <v>42</v>
      </c>
      <c r="I116" s="317" t="s">
        <v>2662</v>
      </c>
      <c r="J116" s="311" t="s">
        <v>30</v>
      </c>
      <c r="K116" s="311"/>
      <c r="L116" s="311" t="s">
        <v>336</v>
      </c>
      <c r="M116" s="308">
        <v>830241</v>
      </c>
      <c r="N116" s="311"/>
      <c r="O116" s="311" t="s">
        <v>2572</v>
      </c>
      <c r="P116" s="311" t="s">
        <v>34</v>
      </c>
      <c r="Q116" s="325"/>
      <c r="R116" s="319">
        <v>1123.7609366863519</v>
      </c>
      <c r="S116" s="325"/>
      <c r="T116" s="311" t="s">
        <v>34</v>
      </c>
      <c r="U116" s="317"/>
    </row>
    <row r="117" spans="1:21" s="318" customFormat="1" ht="14.1" customHeight="1">
      <c r="A117" s="311">
        <v>113</v>
      </c>
      <c r="B117" s="247" t="s">
        <v>348</v>
      </c>
      <c r="C117" s="247" t="s">
        <v>348</v>
      </c>
      <c r="D117" s="311" t="s">
        <v>2174</v>
      </c>
      <c r="E117" s="311" t="s">
        <v>2433</v>
      </c>
      <c r="F117" s="311" t="s">
        <v>2434</v>
      </c>
      <c r="G117" s="311" t="s">
        <v>2663</v>
      </c>
      <c r="H117" s="311" t="s">
        <v>42</v>
      </c>
      <c r="I117" s="317" t="s">
        <v>2664</v>
      </c>
      <c r="J117" s="311" t="s">
        <v>30</v>
      </c>
      <c r="K117" s="311"/>
      <c r="L117" s="311" t="s">
        <v>336</v>
      </c>
      <c r="M117" s="308">
        <v>830241</v>
      </c>
      <c r="N117" s="311"/>
      <c r="O117" s="311" t="s">
        <v>2572</v>
      </c>
      <c r="P117" s="311" t="s">
        <v>34</v>
      </c>
      <c r="Q117" s="325"/>
      <c r="R117" s="319">
        <v>1273.4467870998419</v>
      </c>
      <c r="S117" s="325"/>
      <c r="T117" s="311" t="s">
        <v>34</v>
      </c>
      <c r="U117" s="317"/>
    </row>
    <row r="118" spans="1:21" s="318" customFormat="1" ht="14.1" customHeight="1">
      <c r="A118" s="311">
        <v>114</v>
      </c>
      <c r="B118" s="247" t="s">
        <v>348</v>
      </c>
      <c r="C118" s="247" t="s">
        <v>348</v>
      </c>
      <c r="D118" s="311" t="s">
        <v>2174</v>
      </c>
      <c r="E118" s="311" t="s">
        <v>2433</v>
      </c>
      <c r="F118" s="311" t="s">
        <v>2434</v>
      </c>
      <c r="G118" s="311" t="s">
        <v>2665</v>
      </c>
      <c r="H118" s="311" t="s">
        <v>42</v>
      </c>
      <c r="I118" s="317" t="s">
        <v>2666</v>
      </c>
      <c r="J118" s="311" t="s">
        <v>30</v>
      </c>
      <c r="K118" s="311"/>
      <c r="L118" s="311" t="s">
        <v>336</v>
      </c>
      <c r="M118" s="308">
        <v>830241</v>
      </c>
      <c r="N118" s="311"/>
      <c r="O118" s="311" t="s">
        <v>2572</v>
      </c>
      <c r="P118" s="311" t="s">
        <v>34</v>
      </c>
      <c r="Q118" s="325"/>
      <c r="R118" s="319">
        <v>1161.7409285823121</v>
      </c>
      <c r="S118" s="325"/>
      <c r="T118" s="311" t="s">
        <v>34</v>
      </c>
      <c r="U118" s="317"/>
    </row>
    <row r="119" spans="1:21" s="318" customFormat="1" ht="14.1" customHeight="1">
      <c r="A119" s="311">
        <v>115</v>
      </c>
      <c r="B119" s="247" t="s">
        <v>348</v>
      </c>
      <c r="C119" s="247" t="s">
        <v>348</v>
      </c>
      <c r="D119" s="311" t="s">
        <v>2174</v>
      </c>
      <c r="E119" s="311" t="s">
        <v>2433</v>
      </c>
      <c r="F119" s="311" t="s">
        <v>2434</v>
      </c>
      <c r="G119" s="311" t="s">
        <v>2667</v>
      </c>
      <c r="H119" s="311" t="s">
        <v>42</v>
      </c>
      <c r="I119" s="317" t="s">
        <v>2668</v>
      </c>
      <c r="J119" s="311" t="s">
        <v>30</v>
      </c>
      <c r="K119" s="311"/>
      <c r="L119" s="311" t="s">
        <v>336</v>
      </c>
      <c r="M119" s="308">
        <v>830241</v>
      </c>
      <c r="N119" s="311"/>
      <c r="O119" s="311" t="s">
        <v>2572</v>
      </c>
      <c r="P119" s="311" t="s">
        <v>34</v>
      </c>
      <c r="Q119" s="325"/>
      <c r="R119" s="319">
        <v>1382.918528447022</v>
      </c>
      <c r="S119" s="325"/>
      <c r="T119" s="311" t="s">
        <v>34</v>
      </c>
      <c r="U119" s="317"/>
    </row>
    <row r="120" spans="1:21" s="318" customFormat="1" ht="14.1" customHeight="1">
      <c r="A120" s="311">
        <v>116</v>
      </c>
      <c r="B120" s="247" t="s">
        <v>348</v>
      </c>
      <c r="C120" s="247" t="s">
        <v>348</v>
      </c>
      <c r="D120" s="311" t="s">
        <v>2174</v>
      </c>
      <c r="E120" s="311" t="s">
        <v>2433</v>
      </c>
      <c r="F120" s="311" t="s">
        <v>2434</v>
      </c>
      <c r="G120" s="311" t="s">
        <v>2669</v>
      </c>
      <c r="H120" s="311" t="s">
        <v>42</v>
      </c>
      <c r="I120" s="317" t="s">
        <v>2670</v>
      </c>
      <c r="J120" s="311" t="s">
        <v>30</v>
      </c>
      <c r="K120" s="311"/>
      <c r="L120" s="311" t="s">
        <v>336</v>
      </c>
      <c r="M120" s="308">
        <v>830241</v>
      </c>
      <c r="N120" s="311"/>
      <c r="O120" s="311" t="s">
        <v>2572</v>
      </c>
      <c r="P120" s="311" t="s">
        <v>34</v>
      </c>
      <c r="Q120" s="325"/>
      <c r="R120" s="319">
        <v>1271.212669929492</v>
      </c>
      <c r="S120" s="325"/>
      <c r="T120" s="311" t="s">
        <v>34</v>
      </c>
      <c r="U120" s="317"/>
    </row>
    <row r="121" spans="1:21" s="318" customFormat="1" ht="14.1" customHeight="1">
      <c r="A121" s="311">
        <v>117</v>
      </c>
      <c r="B121" s="247" t="s">
        <v>348</v>
      </c>
      <c r="C121" s="247" t="s">
        <v>348</v>
      </c>
      <c r="D121" s="311" t="s">
        <v>2174</v>
      </c>
      <c r="E121" s="311" t="s">
        <v>2433</v>
      </c>
      <c r="F121" s="311" t="s">
        <v>2434</v>
      </c>
      <c r="G121" s="311" t="s">
        <v>2671</v>
      </c>
      <c r="H121" s="311" t="s">
        <v>42</v>
      </c>
      <c r="I121" s="317" t="s">
        <v>2672</v>
      </c>
      <c r="J121" s="311" t="s">
        <v>30</v>
      </c>
      <c r="K121" s="311"/>
      <c r="L121" s="311" t="s">
        <v>336</v>
      </c>
      <c r="M121" s="308">
        <v>830241</v>
      </c>
      <c r="N121" s="311"/>
      <c r="O121" s="311" t="s">
        <v>2572</v>
      </c>
      <c r="P121" s="311" t="s">
        <v>34</v>
      </c>
      <c r="Q121" s="325"/>
      <c r="R121" s="319">
        <v>2068.7924997446562</v>
      </c>
      <c r="S121" s="325"/>
      <c r="T121" s="311" t="s">
        <v>34</v>
      </c>
      <c r="U121" s="317"/>
    </row>
    <row r="122" spans="1:21" s="318" customFormat="1" ht="14.1" customHeight="1">
      <c r="A122" s="311">
        <v>118</v>
      </c>
      <c r="B122" s="247" t="s">
        <v>348</v>
      </c>
      <c r="C122" s="247" t="s">
        <v>348</v>
      </c>
      <c r="D122" s="311" t="s">
        <v>2174</v>
      </c>
      <c r="E122" s="311" t="s">
        <v>2433</v>
      </c>
      <c r="F122" s="311" t="s">
        <v>2434</v>
      </c>
      <c r="G122" s="311" t="s">
        <v>2673</v>
      </c>
      <c r="H122" s="311" t="s">
        <v>42</v>
      </c>
      <c r="I122" s="317" t="s">
        <v>2674</v>
      </c>
      <c r="J122" s="311" t="s">
        <v>30</v>
      </c>
      <c r="K122" s="311"/>
      <c r="L122" s="311" t="s">
        <v>336</v>
      </c>
      <c r="M122" s="308">
        <v>830241</v>
      </c>
      <c r="N122" s="311"/>
      <c r="O122" s="311" t="s">
        <v>2572</v>
      </c>
      <c r="P122" s="311" t="s">
        <v>34</v>
      </c>
      <c r="Q122" s="325"/>
      <c r="R122" s="319">
        <v>1867.7219544131019</v>
      </c>
      <c r="S122" s="325"/>
      <c r="T122" s="311" t="s">
        <v>34</v>
      </c>
      <c r="U122" s="317"/>
    </row>
    <row r="123" spans="1:21" s="318" customFormat="1" ht="14.1" customHeight="1">
      <c r="A123" s="311">
        <v>119</v>
      </c>
      <c r="B123" s="247" t="s">
        <v>348</v>
      </c>
      <c r="C123" s="247" t="s">
        <v>348</v>
      </c>
      <c r="D123" s="311" t="s">
        <v>2174</v>
      </c>
      <c r="E123" s="311" t="s">
        <v>2433</v>
      </c>
      <c r="F123" s="311" t="s">
        <v>2434</v>
      </c>
      <c r="G123" s="311" t="s">
        <v>2675</v>
      </c>
      <c r="H123" s="311" t="s">
        <v>42</v>
      </c>
      <c r="I123" s="317" t="s">
        <v>2676</v>
      </c>
      <c r="J123" s="311" t="s">
        <v>30</v>
      </c>
      <c r="K123" s="311"/>
      <c r="L123" s="311" t="s">
        <v>336</v>
      </c>
      <c r="M123" s="308">
        <v>830241</v>
      </c>
      <c r="N123" s="311"/>
      <c r="O123" s="311" t="s">
        <v>2572</v>
      </c>
      <c r="P123" s="311" t="s">
        <v>34</v>
      </c>
      <c r="Q123" s="325"/>
      <c r="R123" s="319">
        <v>623.31869052781758</v>
      </c>
      <c r="S123" s="325"/>
      <c r="T123" s="311" t="s">
        <v>34</v>
      </c>
      <c r="U123" s="317"/>
    </row>
    <row r="124" spans="1:21" s="318" customFormat="1" ht="14.1" customHeight="1">
      <c r="A124" s="311">
        <v>120</v>
      </c>
      <c r="B124" s="247" t="s">
        <v>348</v>
      </c>
      <c r="C124" s="247" t="s">
        <v>348</v>
      </c>
      <c r="D124" s="311" t="s">
        <v>2174</v>
      </c>
      <c r="E124" s="311" t="s">
        <v>2433</v>
      </c>
      <c r="F124" s="311" t="s">
        <v>2434</v>
      </c>
      <c r="G124" s="311" t="s">
        <v>2677</v>
      </c>
      <c r="H124" s="311" t="s">
        <v>42</v>
      </c>
      <c r="I124" s="317" t="s">
        <v>2678</v>
      </c>
      <c r="J124" s="311" t="s">
        <v>30</v>
      </c>
      <c r="K124" s="311"/>
      <c r="L124" s="311" t="s">
        <v>336</v>
      </c>
      <c r="M124" s="308">
        <v>830241</v>
      </c>
      <c r="N124" s="311"/>
      <c r="O124" s="311" t="s">
        <v>2572</v>
      </c>
      <c r="P124" s="311" t="s">
        <v>34</v>
      </c>
      <c r="Q124" s="325"/>
      <c r="R124" s="319">
        <v>1724.7384555106639</v>
      </c>
      <c r="S124" s="325"/>
      <c r="T124" s="311" t="s">
        <v>34</v>
      </c>
      <c r="U124" s="317"/>
    </row>
    <row r="125" spans="1:21" s="318" customFormat="1" ht="14.1" customHeight="1">
      <c r="A125" s="311">
        <v>121</v>
      </c>
      <c r="B125" s="247" t="s">
        <v>348</v>
      </c>
      <c r="C125" s="247" t="s">
        <v>348</v>
      </c>
      <c r="D125" s="311" t="s">
        <v>2174</v>
      </c>
      <c r="E125" s="311" t="s">
        <v>2433</v>
      </c>
      <c r="F125" s="311" t="s">
        <v>2434</v>
      </c>
      <c r="G125" s="311" t="s">
        <v>2679</v>
      </c>
      <c r="H125" s="311" t="s">
        <v>42</v>
      </c>
      <c r="I125" s="317" t="s">
        <v>2680</v>
      </c>
      <c r="J125" s="311" t="s">
        <v>30</v>
      </c>
      <c r="K125" s="311"/>
      <c r="L125" s="311" t="s">
        <v>336</v>
      </c>
      <c r="M125" s="308">
        <v>830241</v>
      </c>
      <c r="N125" s="311"/>
      <c r="O125" s="311" t="s">
        <v>2572</v>
      </c>
      <c r="P125" s="311" t="s">
        <v>34</v>
      </c>
      <c r="Q125" s="325"/>
      <c r="R125" s="319">
        <v>1499.092621305253</v>
      </c>
      <c r="S125" s="325"/>
      <c r="T125" s="311" t="s">
        <v>34</v>
      </c>
      <c r="U125" s="317"/>
    </row>
    <row r="126" spans="1:21" s="318" customFormat="1" ht="14.1" customHeight="1">
      <c r="A126" s="311">
        <v>122</v>
      </c>
      <c r="B126" s="247" t="s">
        <v>348</v>
      </c>
      <c r="C126" s="247" t="s">
        <v>348</v>
      </c>
      <c r="D126" s="311" t="s">
        <v>2174</v>
      </c>
      <c r="E126" s="311" t="s">
        <v>2433</v>
      </c>
      <c r="F126" s="311" t="s">
        <v>2434</v>
      </c>
      <c r="G126" s="311" t="s">
        <v>2681</v>
      </c>
      <c r="H126" s="311" t="s">
        <v>42</v>
      </c>
      <c r="I126" s="317" t="s">
        <v>2682</v>
      </c>
      <c r="J126" s="311" t="s">
        <v>30</v>
      </c>
      <c r="K126" s="311"/>
      <c r="L126" s="311" t="s">
        <v>336</v>
      </c>
      <c r="M126" s="308">
        <v>830241</v>
      </c>
      <c r="N126" s="311"/>
      <c r="O126" s="311" t="s">
        <v>2572</v>
      </c>
      <c r="P126" s="311" t="s">
        <v>34</v>
      </c>
      <c r="Q126" s="325"/>
      <c r="R126" s="319">
        <v>1170.677397263715</v>
      </c>
      <c r="S126" s="325"/>
      <c r="T126" s="311" t="s">
        <v>34</v>
      </c>
      <c r="U126" s="317"/>
    </row>
    <row r="127" spans="1:21" s="318" customFormat="1" ht="14.1" customHeight="1">
      <c r="A127" s="311">
        <v>123</v>
      </c>
      <c r="B127" s="247" t="s">
        <v>348</v>
      </c>
      <c r="C127" s="247" t="s">
        <v>348</v>
      </c>
      <c r="D127" s="311" t="s">
        <v>2174</v>
      </c>
      <c r="E127" s="311" t="s">
        <v>2433</v>
      </c>
      <c r="F127" s="311" t="s">
        <v>2434</v>
      </c>
      <c r="G127" s="311" t="s">
        <v>2683</v>
      </c>
      <c r="H127" s="311" t="s">
        <v>42</v>
      </c>
      <c r="I127" s="317" t="s">
        <v>2684</v>
      </c>
      <c r="J127" s="311" t="s">
        <v>30</v>
      </c>
      <c r="K127" s="311"/>
      <c r="L127" s="311" t="s">
        <v>336</v>
      </c>
      <c r="M127" s="308">
        <v>830241</v>
      </c>
      <c r="N127" s="311"/>
      <c r="O127" s="311" t="s">
        <v>2572</v>
      </c>
      <c r="P127" s="311" t="s">
        <v>34</v>
      </c>
      <c r="Q127" s="325"/>
      <c r="R127" s="319">
        <v>1184.0821002858179</v>
      </c>
      <c r="S127" s="325"/>
      <c r="T127" s="311" t="s">
        <v>34</v>
      </c>
      <c r="U127" s="317"/>
    </row>
    <row r="128" spans="1:21" s="318" customFormat="1" ht="14.1" customHeight="1">
      <c r="A128" s="311">
        <v>124</v>
      </c>
      <c r="B128" s="247" t="s">
        <v>348</v>
      </c>
      <c r="C128" s="247" t="s">
        <v>348</v>
      </c>
      <c r="D128" s="311" t="s">
        <v>2174</v>
      </c>
      <c r="E128" s="311" t="s">
        <v>2433</v>
      </c>
      <c r="F128" s="311" t="s">
        <v>2434</v>
      </c>
      <c r="G128" s="311" t="s">
        <v>2685</v>
      </c>
      <c r="H128" s="311" t="s">
        <v>42</v>
      </c>
      <c r="I128" s="317" t="s">
        <v>2686</v>
      </c>
      <c r="J128" s="311" t="s">
        <v>30</v>
      </c>
      <c r="K128" s="311"/>
      <c r="L128" s="311" t="s">
        <v>336</v>
      </c>
      <c r="M128" s="308">
        <v>830241</v>
      </c>
      <c r="N128" s="311"/>
      <c r="O128" s="311" t="s">
        <v>2572</v>
      </c>
      <c r="P128" s="311" t="s">
        <v>34</v>
      </c>
      <c r="Q128" s="325"/>
      <c r="R128" s="319">
        <v>1197.4868033079219</v>
      </c>
      <c r="S128" s="325"/>
      <c r="T128" s="311" t="s">
        <v>34</v>
      </c>
      <c r="U128" s="317"/>
    </row>
    <row r="129" spans="1:21" s="318" customFormat="1" ht="14.1" customHeight="1">
      <c r="A129" s="311">
        <v>125</v>
      </c>
      <c r="B129" s="247" t="s">
        <v>348</v>
      </c>
      <c r="C129" s="247" t="s">
        <v>348</v>
      </c>
      <c r="D129" s="311" t="s">
        <v>2174</v>
      </c>
      <c r="E129" s="311" t="s">
        <v>2433</v>
      </c>
      <c r="F129" s="311" t="s">
        <v>2434</v>
      </c>
      <c r="G129" s="311" t="s">
        <v>2687</v>
      </c>
      <c r="H129" s="311" t="s">
        <v>42</v>
      </c>
      <c r="I129" s="317" t="s">
        <v>2688</v>
      </c>
      <c r="J129" s="311" t="s">
        <v>30</v>
      </c>
      <c r="K129" s="311"/>
      <c r="L129" s="311" t="s">
        <v>336</v>
      </c>
      <c r="M129" s="308">
        <v>830241</v>
      </c>
      <c r="N129" s="311"/>
      <c r="O129" s="311" t="s">
        <v>2572</v>
      </c>
      <c r="P129" s="311" t="s">
        <v>34</v>
      </c>
      <c r="Q129" s="325"/>
      <c r="R129" s="319">
        <v>1224.2962093521289</v>
      </c>
      <c r="S129" s="325"/>
      <c r="T129" s="311" t="s">
        <v>34</v>
      </c>
      <c r="U129" s="317"/>
    </row>
    <row r="130" spans="1:21" s="318" customFormat="1" ht="14.1" customHeight="1">
      <c r="A130" s="311">
        <v>126</v>
      </c>
      <c r="B130" s="247" t="s">
        <v>348</v>
      </c>
      <c r="C130" s="247" t="s">
        <v>348</v>
      </c>
      <c r="D130" s="311" t="s">
        <v>2174</v>
      </c>
      <c r="E130" s="311" t="s">
        <v>2433</v>
      </c>
      <c r="F130" s="311" t="s">
        <v>2434</v>
      </c>
      <c r="G130" s="311" t="s">
        <v>2689</v>
      </c>
      <c r="H130" s="311" t="s">
        <v>42</v>
      </c>
      <c r="I130" s="317" t="s">
        <v>2690</v>
      </c>
      <c r="J130" s="311" t="s">
        <v>30</v>
      </c>
      <c r="K130" s="311"/>
      <c r="L130" s="311" t="s">
        <v>336</v>
      </c>
      <c r="M130" s="308">
        <v>830241</v>
      </c>
      <c r="N130" s="311"/>
      <c r="O130" s="311" t="s">
        <v>2572</v>
      </c>
      <c r="P130" s="311" t="s">
        <v>34</v>
      </c>
      <c r="Q130" s="325"/>
      <c r="R130" s="319">
        <v>1253.339732566687</v>
      </c>
      <c r="S130" s="325"/>
      <c r="T130" s="311" t="s">
        <v>34</v>
      </c>
      <c r="U130" s="317"/>
    </row>
    <row r="131" spans="1:21" s="318" customFormat="1" ht="14.1" customHeight="1">
      <c r="A131" s="311">
        <v>127</v>
      </c>
      <c r="B131" s="247" t="s">
        <v>348</v>
      </c>
      <c r="C131" s="247" t="s">
        <v>348</v>
      </c>
      <c r="D131" s="311" t="s">
        <v>2174</v>
      </c>
      <c r="E131" s="311" t="s">
        <v>2433</v>
      </c>
      <c r="F131" s="311" t="s">
        <v>2434</v>
      </c>
      <c r="G131" s="311" t="s">
        <v>2691</v>
      </c>
      <c r="H131" s="311" t="s">
        <v>42</v>
      </c>
      <c r="I131" s="317" t="s">
        <v>2692</v>
      </c>
      <c r="J131" s="311" t="s">
        <v>30</v>
      </c>
      <c r="K131" s="311"/>
      <c r="L131" s="311" t="s">
        <v>336</v>
      </c>
      <c r="M131" s="308">
        <v>830241</v>
      </c>
      <c r="N131" s="311"/>
      <c r="O131" s="311" t="s">
        <v>2572</v>
      </c>
      <c r="P131" s="311" t="s">
        <v>34</v>
      </c>
      <c r="Q131" s="325"/>
      <c r="R131" s="319">
        <v>1275.680904270193</v>
      </c>
      <c r="S131" s="325"/>
      <c r="T131" s="311" t="s">
        <v>34</v>
      </c>
      <c r="U131" s="317"/>
    </row>
    <row r="132" spans="1:21" s="318" customFormat="1" ht="14.1" customHeight="1">
      <c r="A132" s="311">
        <v>128</v>
      </c>
      <c r="B132" s="247" t="s">
        <v>348</v>
      </c>
      <c r="C132" s="247" t="s">
        <v>348</v>
      </c>
      <c r="D132" s="311" t="s">
        <v>2174</v>
      </c>
      <c r="E132" s="311" t="s">
        <v>2433</v>
      </c>
      <c r="F132" s="311" t="s">
        <v>2434</v>
      </c>
      <c r="G132" s="311" t="s">
        <v>2693</v>
      </c>
      <c r="H132" s="311" t="s">
        <v>42</v>
      </c>
      <c r="I132" s="317" t="s">
        <v>2694</v>
      </c>
      <c r="J132" s="311" t="s">
        <v>30</v>
      </c>
      <c r="K132" s="311"/>
      <c r="L132" s="311" t="s">
        <v>336</v>
      </c>
      <c r="M132" s="308">
        <v>830241</v>
      </c>
      <c r="N132" s="311"/>
      <c r="O132" s="311" t="s">
        <v>2572</v>
      </c>
      <c r="P132" s="311" t="s">
        <v>34</v>
      </c>
      <c r="Q132" s="325"/>
      <c r="R132" s="319">
        <v>1304.724427484751</v>
      </c>
      <c r="S132" s="325"/>
      <c r="T132" s="311" t="s">
        <v>34</v>
      </c>
      <c r="U132" s="317"/>
    </row>
    <row r="133" spans="1:21" s="318" customFormat="1" ht="14.1" customHeight="1">
      <c r="A133" s="311">
        <v>129</v>
      </c>
      <c r="B133" s="247" t="s">
        <v>348</v>
      </c>
      <c r="C133" s="247" t="s">
        <v>348</v>
      </c>
      <c r="D133" s="311" t="s">
        <v>2174</v>
      </c>
      <c r="E133" s="311" t="s">
        <v>2433</v>
      </c>
      <c r="F133" s="311" t="s">
        <v>2434</v>
      </c>
      <c r="G133" s="311" t="s">
        <v>2695</v>
      </c>
      <c r="H133" s="311" t="s">
        <v>42</v>
      </c>
      <c r="I133" s="317" t="s">
        <v>2696</v>
      </c>
      <c r="J133" s="311" t="s">
        <v>30</v>
      </c>
      <c r="K133" s="311"/>
      <c r="L133" s="311" t="s">
        <v>336</v>
      </c>
      <c r="M133" s="308">
        <v>830241</v>
      </c>
      <c r="N133" s="311"/>
      <c r="O133" s="311" t="s">
        <v>2572</v>
      </c>
      <c r="P133" s="311" t="s">
        <v>34</v>
      </c>
      <c r="Q133" s="325"/>
      <c r="R133" s="319">
        <v>1333.7679506993079</v>
      </c>
      <c r="S133" s="325"/>
      <c r="T133" s="311" t="s">
        <v>34</v>
      </c>
      <c r="U133" s="317"/>
    </row>
    <row r="134" spans="1:21" s="318" customFormat="1" ht="14.1" customHeight="1">
      <c r="A134" s="311">
        <v>130</v>
      </c>
      <c r="B134" s="247" t="s">
        <v>348</v>
      </c>
      <c r="C134" s="247" t="s">
        <v>348</v>
      </c>
      <c r="D134" s="311" t="s">
        <v>2174</v>
      </c>
      <c r="E134" s="311" t="s">
        <v>2433</v>
      </c>
      <c r="F134" s="311" t="s">
        <v>2434</v>
      </c>
      <c r="G134" s="311" t="s">
        <v>2697</v>
      </c>
      <c r="H134" s="311" t="s">
        <v>42</v>
      </c>
      <c r="I134" s="317" t="s">
        <v>2698</v>
      </c>
      <c r="J134" s="311" t="s">
        <v>30</v>
      </c>
      <c r="K134" s="311"/>
      <c r="L134" s="311" t="s">
        <v>336</v>
      </c>
      <c r="M134" s="308">
        <v>830241</v>
      </c>
      <c r="N134" s="311"/>
      <c r="O134" s="311" t="s">
        <v>2572</v>
      </c>
      <c r="P134" s="311" t="s">
        <v>34</v>
      </c>
      <c r="Q134" s="325"/>
      <c r="R134" s="319">
        <v>1373.9820597656201</v>
      </c>
      <c r="S134" s="325"/>
      <c r="T134" s="311" t="s">
        <v>34</v>
      </c>
      <c r="U134" s="317"/>
    </row>
    <row r="135" spans="1:21" s="318" customFormat="1" ht="14.1" customHeight="1">
      <c r="A135" s="311">
        <v>131</v>
      </c>
      <c r="B135" s="247" t="s">
        <v>348</v>
      </c>
      <c r="C135" s="247" t="s">
        <v>348</v>
      </c>
      <c r="D135" s="311" t="s">
        <v>2174</v>
      </c>
      <c r="E135" s="311" t="s">
        <v>2433</v>
      </c>
      <c r="F135" s="311" t="s">
        <v>2434</v>
      </c>
      <c r="G135" s="311" t="s">
        <v>2699</v>
      </c>
      <c r="H135" s="311" t="s">
        <v>42</v>
      </c>
      <c r="I135" s="317" t="s">
        <v>2700</v>
      </c>
      <c r="J135" s="311" t="s">
        <v>30</v>
      </c>
      <c r="K135" s="311"/>
      <c r="L135" s="311" t="s">
        <v>336</v>
      </c>
      <c r="M135" s="308">
        <v>830241</v>
      </c>
      <c r="N135" s="311"/>
      <c r="O135" s="311" t="s">
        <v>2572</v>
      </c>
      <c r="P135" s="311" t="s">
        <v>34</v>
      </c>
      <c r="Q135" s="325"/>
      <c r="R135" s="319">
        <v>1483.4538011127991</v>
      </c>
      <c r="S135" s="325"/>
      <c r="T135" s="311" t="s">
        <v>34</v>
      </c>
      <c r="U135" s="317"/>
    </row>
    <row r="136" spans="1:21" s="318" customFormat="1" ht="14.1" customHeight="1">
      <c r="A136" s="311">
        <v>132</v>
      </c>
      <c r="B136" s="247" t="s">
        <v>348</v>
      </c>
      <c r="C136" s="247" t="s">
        <v>348</v>
      </c>
      <c r="D136" s="311" t="s">
        <v>2174</v>
      </c>
      <c r="E136" s="311" t="s">
        <v>2433</v>
      </c>
      <c r="F136" s="311" t="s">
        <v>2434</v>
      </c>
      <c r="G136" s="311" t="s">
        <v>2701</v>
      </c>
      <c r="H136" s="311" t="s">
        <v>42</v>
      </c>
      <c r="I136" s="317" t="s">
        <v>2702</v>
      </c>
      <c r="J136" s="311" t="s">
        <v>30</v>
      </c>
      <c r="K136" s="311"/>
      <c r="L136" s="311" t="s">
        <v>336</v>
      </c>
      <c r="M136" s="308">
        <v>830241</v>
      </c>
      <c r="N136" s="311"/>
      <c r="O136" s="311" t="s">
        <v>2572</v>
      </c>
      <c r="P136" s="311" t="s">
        <v>34</v>
      </c>
      <c r="Q136" s="325"/>
      <c r="R136" s="319">
        <v>2169.3277724104332</v>
      </c>
      <c r="S136" s="325"/>
      <c r="T136" s="311" t="s">
        <v>34</v>
      </c>
      <c r="U136" s="317"/>
    </row>
    <row r="137" spans="1:21" s="318" customFormat="1" ht="14.1" customHeight="1">
      <c r="A137" s="311">
        <v>133</v>
      </c>
      <c r="B137" s="247" t="s">
        <v>348</v>
      </c>
      <c r="C137" s="247" t="s">
        <v>348</v>
      </c>
      <c r="D137" s="311" t="s">
        <v>2174</v>
      </c>
      <c r="E137" s="311" t="s">
        <v>2433</v>
      </c>
      <c r="F137" s="311" t="s">
        <v>2434</v>
      </c>
      <c r="G137" s="311" t="s">
        <v>2703</v>
      </c>
      <c r="H137" s="311" t="s">
        <v>42</v>
      </c>
      <c r="I137" s="317" t="s">
        <v>2704</v>
      </c>
      <c r="J137" s="311" t="s">
        <v>30</v>
      </c>
      <c r="K137" s="311"/>
      <c r="L137" s="311" t="s">
        <v>336</v>
      </c>
      <c r="M137" s="308">
        <v>830241</v>
      </c>
      <c r="N137" s="311"/>
      <c r="O137" s="311" t="s">
        <v>2572</v>
      </c>
      <c r="P137" s="311" t="s">
        <v>34</v>
      </c>
      <c r="Q137" s="325"/>
      <c r="R137" s="319">
        <v>1898.999594798011</v>
      </c>
      <c r="S137" s="325"/>
      <c r="T137" s="311" t="s">
        <v>34</v>
      </c>
      <c r="U137" s="317"/>
    </row>
    <row r="138" spans="1:21" s="318" customFormat="1" ht="14.1" customHeight="1">
      <c r="A138" s="311">
        <v>134</v>
      </c>
      <c r="B138" s="247" t="s">
        <v>348</v>
      </c>
      <c r="C138" s="247" t="s">
        <v>348</v>
      </c>
      <c r="D138" s="311" t="s">
        <v>2174</v>
      </c>
      <c r="E138" s="311" t="s">
        <v>2433</v>
      </c>
      <c r="F138" s="311" t="s">
        <v>2434</v>
      </c>
      <c r="G138" s="311" t="s">
        <v>2705</v>
      </c>
      <c r="H138" s="311" t="s">
        <v>42</v>
      </c>
      <c r="I138" s="317" t="s">
        <v>2706</v>
      </c>
      <c r="J138" s="311" t="s">
        <v>30</v>
      </c>
      <c r="K138" s="311"/>
      <c r="L138" s="311" t="s">
        <v>336</v>
      </c>
      <c r="M138" s="308">
        <v>830241</v>
      </c>
      <c r="N138" s="311"/>
      <c r="O138" s="311" t="s">
        <v>2572</v>
      </c>
      <c r="P138" s="311" t="s">
        <v>34</v>
      </c>
      <c r="Q138" s="325"/>
      <c r="R138" s="319">
        <v>600.97751882431157</v>
      </c>
      <c r="S138" s="325"/>
      <c r="T138" s="311" t="s">
        <v>34</v>
      </c>
      <c r="U138" s="317"/>
    </row>
    <row r="139" spans="1:21" s="318" customFormat="1" ht="14.1" customHeight="1">
      <c r="A139" s="311">
        <v>135</v>
      </c>
      <c r="B139" s="247" t="s">
        <v>348</v>
      </c>
      <c r="C139" s="247" t="s">
        <v>348</v>
      </c>
      <c r="D139" s="311" t="s">
        <v>2174</v>
      </c>
      <c r="E139" s="311" t="s">
        <v>2433</v>
      </c>
      <c r="F139" s="311" t="s">
        <v>2434</v>
      </c>
      <c r="G139" s="311" t="s">
        <v>2707</v>
      </c>
      <c r="H139" s="311" t="s">
        <v>42</v>
      </c>
      <c r="I139" s="317" t="s">
        <v>2708</v>
      </c>
      <c r="J139" s="311" t="s">
        <v>30</v>
      </c>
      <c r="K139" s="311"/>
      <c r="L139" s="311" t="s">
        <v>336</v>
      </c>
      <c r="M139" s="308">
        <v>830241</v>
      </c>
      <c r="N139" s="311"/>
      <c r="O139" s="311" t="s">
        <v>2572</v>
      </c>
      <c r="P139" s="311" t="s">
        <v>34</v>
      </c>
      <c r="Q139" s="325"/>
      <c r="R139" s="319">
        <v>542.89047239519596</v>
      </c>
      <c r="S139" s="325"/>
      <c r="T139" s="311" t="s">
        <v>34</v>
      </c>
      <c r="U139" s="317"/>
    </row>
    <row r="140" spans="1:21" s="318" customFormat="1" ht="14.1" customHeight="1">
      <c r="A140" s="311">
        <v>136</v>
      </c>
      <c r="B140" s="247" t="s">
        <v>348</v>
      </c>
      <c r="C140" s="247" t="s">
        <v>348</v>
      </c>
      <c r="D140" s="311" t="s">
        <v>2174</v>
      </c>
      <c r="E140" s="311" t="s">
        <v>2433</v>
      </c>
      <c r="F140" s="311" t="s">
        <v>2434</v>
      </c>
      <c r="G140" s="311" t="s">
        <v>2709</v>
      </c>
      <c r="H140" s="311" t="s">
        <v>42</v>
      </c>
      <c r="I140" s="317" t="s">
        <v>2710</v>
      </c>
      <c r="J140" s="311" t="s">
        <v>30</v>
      </c>
      <c r="K140" s="311"/>
      <c r="L140" s="311" t="s">
        <v>336</v>
      </c>
      <c r="M140" s="308">
        <v>830241</v>
      </c>
      <c r="N140" s="311"/>
      <c r="O140" s="311" t="s">
        <v>2572</v>
      </c>
      <c r="P140" s="311" t="s">
        <v>34</v>
      </c>
      <c r="Q140" s="325"/>
      <c r="R140" s="319">
        <v>1677.8219949333011</v>
      </c>
      <c r="S140" s="325"/>
      <c r="T140" s="311" t="s">
        <v>34</v>
      </c>
      <c r="U140" s="317"/>
    </row>
    <row r="141" spans="1:21" s="318" customFormat="1" ht="14.1" customHeight="1">
      <c r="A141" s="311">
        <v>137</v>
      </c>
      <c r="B141" s="247" t="s">
        <v>348</v>
      </c>
      <c r="C141" s="247" t="s">
        <v>348</v>
      </c>
      <c r="D141" s="311" t="s">
        <v>2174</v>
      </c>
      <c r="E141" s="311" t="s">
        <v>2433</v>
      </c>
      <c r="F141" s="311" t="s">
        <v>2434</v>
      </c>
      <c r="G141" s="311" t="s">
        <v>2711</v>
      </c>
      <c r="H141" s="311" t="s">
        <v>42</v>
      </c>
      <c r="I141" s="317" t="s">
        <v>2712</v>
      </c>
      <c r="J141" s="311" t="s">
        <v>30</v>
      </c>
      <c r="K141" s="311"/>
      <c r="L141" s="311" t="s">
        <v>336</v>
      </c>
      <c r="M141" s="308">
        <v>830241</v>
      </c>
      <c r="N141" s="311"/>
      <c r="O141" s="311" t="s">
        <v>2572</v>
      </c>
      <c r="P141" s="311" t="s">
        <v>34</v>
      </c>
      <c r="Q141" s="325"/>
      <c r="R141" s="319">
        <v>1566.1161364157711</v>
      </c>
      <c r="S141" s="325"/>
      <c r="T141" s="311" t="s">
        <v>34</v>
      </c>
      <c r="U141" s="317"/>
    </row>
    <row r="142" spans="1:21" s="318" customFormat="1" ht="14.1" customHeight="1">
      <c r="A142" s="311">
        <v>138</v>
      </c>
      <c r="B142" s="247" t="s">
        <v>348</v>
      </c>
      <c r="C142" s="247" t="s">
        <v>348</v>
      </c>
      <c r="D142" s="311" t="s">
        <v>2174</v>
      </c>
      <c r="E142" s="311" t="s">
        <v>2433</v>
      </c>
      <c r="F142" s="311" t="s">
        <v>2434</v>
      </c>
      <c r="G142" s="311" t="s">
        <v>2713</v>
      </c>
      <c r="H142" s="311" t="s">
        <v>42</v>
      </c>
      <c r="I142" s="317" t="s">
        <v>2714</v>
      </c>
      <c r="J142" s="311" t="s">
        <v>30</v>
      </c>
      <c r="K142" s="311"/>
      <c r="L142" s="311" t="s">
        <v>336</v>
      </c>
      <c r="M142" s="308">
        <v>830241</v>
      </c>
      <c r="N142" s="311"/>
      <c r="O142" s="311" t="s">
        <v>2572</v>
      </c>
      <c r="P142" s="311" t="s">
        <v>34</v>
      </c>
      <c r="Q142" s="325"/>
      <c r="R142" s="319">
        <v>1454.410277898241</v>
      </c>
      <c r="S142" s="325"/>
      <c r="T142" s="311" t="s">
        <v>34</v>
      </c>
      <c r="U142" s="317"/>
    </row>
    <row r="143" spans="1:21" s="318" customFormat="1" ht="14.1" customHeight="1">
      <c r="A143" s="311">
        <v>139</v>
      </c>
      <c r="B143" s="247" t="s">
        <v>348</v>
      </c>
      <c r="C143" s="247" t="s">
        <v>348</v>
      </c>
      <c r="D143" s="311" t="s">
        <v>2174</v>
      </c>
      <c r="E143" s="311" t="s">
        <v>2433</v>
      </c>
      <c r="F143" s="311" t="s">
        <v>2434</v>
      </c>
      <c r="G143" s="311" t="s">
        <v>2715</v>
      </c>
      <c r="H143" s="311" t="s">
        <v>42</v>
      </c>
      <c r="I143" s="317" t="s">
        <v>2716</v>
      </c>
      <c r="J143" s="311" t="s">
        <v>30</v>
      </c>
      <c r="K143" s="311"/>
      <c r="L143" s="311" t="s">
        <v>336</v>
      </c>
      <c r="M143" s="308">
        <v>830241</v>
      </c>
      <c r="N143" s="311"/>
      <c r="O143" s="311" t="s">
        <v>2572</v>
      </c>
      <c r="P143" s="311" t="s">
        <v>34</v>
      </c>
      <c r="Q143" s="325"/>
      <c r="R143" s="319">
        <v>1329.2997163586069</v>
      </c>
      <c r="S143" s="325"/>
      <c r="T143" s="311" t="s">
        <v>34</v>
      </c>
      <c r="U143" s="317"/>
    </row>
    <row r="144" spans="1:21" s="318" customFormat="1" ht="14.1" customHeight="1">
      <c r="A144" s="311">
        <v>140</v>
      </c>
      <c r="B144" s="247" t="s">
        <v>348</v>
      </c>
      <c r="C144" s="247" t="s">
        <v>348</v>
      </c>
      <c r="D144" s="311" t="s">
        <v>2174</v>
      </c>
      <c r="E144" s="311" t="s">
        <v>2433</v>
      </c>
      <c r="F144" s="311" t="s">
        <v>2434</v>
      </c>
      <c r="G144" s="311" t="s">
        <v>2717</v>
      </c>
      <c r="H144" s="311" t="s">
        <v>42</v>
      </c>
      <c r="I144" s="317" t="s">
        <v>2718</v>
      </c>
      <c r="J144" s="311" t="s">
        <v>30</v>
      </c>
      <c r="K144" s="311"/>
      <c r="L144" s="311" t="s">
        <v>336</v>
      </c>
      <c r="M144" s="308">
        <v>830241</v>
      </c>
      <c r="N144" s="311"/>
      <c r="O144" s="311" t="s">
        <v>2572</v>
      </c>
      <c r="P144" s="311" t="s">
        <v>34</v>
      </c>
      <c r="Q144" s="325"/>
      <c r="R144" s="319">
        <v>1117.0585851753001</v>
      </c>
      <c r="S144" s="325"/>
      <c r="T144" s="311" t="s">
        <v>34</v>
      </c>
      <c r="U144" s="317"/>
    </row>
    <row r="145" spans="1:21" s="318" customFormat="1" ht="14.1" customHeight="1">
      <c r="A145" s="311">
        <v>141</v>
      </c>
      <c r="B145" s="247" t="s">
        <v>348</v>
      </c>
      <c r="C145" s="247" t="s">
        <v>348</v>
      </c>
      <c r="D145" s="311" t="s">
        <v>2174</v>
      </c>
      <c r="E145" s="311" t="s">
        <v>2433</v>
      </c>
      <c r="F145" s="311" t="s">
        <v>2434</v>
      </c>
      <c r="G145" s="311" t="s">
        <v>2719</v>
      </c>
      <c r="H145" s="311" t="s">
        <v>42</v>
      </c>
      <c r="I145" s="317" t="s">
        <v>2720</v>
      </c>
      <c r="J145" s="311" t="s">
        <v>30</v>
      </c>
      <c r="K145" s="311"/>
      <c r="L145" s="311" t="s">
        <v>336</v>
      </c>
      <c r="M145" s="308">
        <v>830241</v>
      </c>
      <c r="N145" s="311"/>
      <c r="O145" s="311" t="s">
        <v>2572</v>
      </c>
      <c r="P145" s="311" t="s">
        <v>34</v>
      </c>
      <c r="Q145" s="325"/>
      <c r="R145" s="319">
        <v>1005.3527266577699</v>
      </c>
      <c r="S145" s="325"/>
      <c r="T145" s="311" t="s">
        <v>34</v>
      </c>
      <c r="U145" s="317"/>
    </row>
    <row r="146" spans="1:21" s="318" customFormat="1" ht="14.1" customHeight="1">
      <c r="A146" s="311">
        <v>142</v>
      </c>
      <c r="B146" s="247" t="s">
        <v>348</v>
      </c>
      <c r="C146" s="247" t="s">
        <v>348</v>
      </c>
      <c r="D146" s="311" t="s">
        <v>2174</v>
      </c>
      <c r="E146" s="311" t="s">
        <v>2433</v>
      </c>
      <c r="F146" s="311" t="s">
        <v>2434</v>
      </c>
      <c r="G146" s="311" t="s">
        <v>2721</v>
      </c>
      <c r="H146" s="311" t="s">
        <v>42</v>
      </c>
      <c r="I146" s="317" t="s">
        <v>2722</v>
      </c>
      <c r="J146" s="311" t="s">
        <v>30</v>
      </c>
      <c r="K146" s="311"/>
      <c r="L146" s="311" t="s">
        <v>336</v>
      </c>
      <c r="M146" s="308">
        <v>830241</v>
      </c>
      <c r="N146" s="311"/>
      <c r="O146" s="311" t="s">
        <v>2572</v>
      </c>
      <c r="P146" s="311" t="s">
        <v>34</v>
      </c>
      <c r="Q146" s="325"/>
      <c r="R146" s="319">
        <v>1137.165639708456</v>
      </c>
      <c r="S146" s="325"/>
      <c r="T146" s="311" t="s">
        <v>34</v>
      </c>
      <c r="U146" s="317"/>
    </row>
    <row r="147" spans="1:21" s="318" customFormat="1" ht="14.1" customHeight="1">
      <c r="A147" s="311">
        <v>143</v>
      </c>
      <c r="B147" s="247" t="s">
        <v>348</v>
      </c>
      <c r="C147" s="247" t="s">
        <v>348</v>
      </c>
      <c r="D147" s="311" t="s">
        <v>2174</v>
      </c>
      <c r="E147" s="311" t="s">
        <v>2433</v>
      </c>
      <c r="F147" s="311" t="s">
        <v>2434</v>
      </c>
      <c r="G147" s="311" t="s">
        <v>2723</v>
      </c>
      <c r="H147" s="311" t="s">
        <v>42</v>
      </c>
      <c r="I147" s="317" t="s">
        <v>2724</v>
      </c>
      <c r="J147" s="311" t="s">
        <v>30</v>
      </c>
      <c r="K147" s="311"/>
      <c r="L147" s="311" t="s">
        <v>336</v>
      </c>
      <c r="M147" s="308">
        <v>830241</v>
      </c>
      <c r="N147" s="311"/>
      <c r="O147" s="311" t="s">
        <v>2572</v>
      </c>
      <c r="P147" s="311" t="s">
        <v>34</v>
      </c>
      <c r="Q147" s="325"/>
      <c r="R147" s="319">
        <v>1027.6938983612761</v>
      </c>
      <c r="S147" s="325"/>
      <c r="T147" s="311" t="s">
        <v>34</v>
      </c>
      <c r="U147" s="317"/>
    </row>
    <row r="148" spans="1:21" s="318" customFormat="1" ht="14.1" customHeight="1">
      <c r="A148" s="311">
        <v>144</v>
      </c>
      <c r="B148" s="247" t="s">
        <v>348</v>
      </c>
      <c r="C148" s="247" t="s">
        <v>348</v>
      </c>
      <c r="D148" s="311" t="s">
        <v>2174</v>
      </c>
      <c r="E148" s="311" t="s">
        <v>2433</v>
      </c>
      <c r="F148" s="311" t="s">
        <v>2434</v>
      </c>
      <c r="G148" s="311" t="s">
        <v>2725</v>
      </c>
      <c r="H148" s="311" t="s">
        <v>42</v>
      </c>
      <c r="I148" s="317" t="s">
        <v>2726</v>
      </c>
      <c r="J148" s="311" t="s">
        <v>30</v>
      </c>
      <c r="K148" s="311"/>
      <c r="L148" s="311" t="s">
        <v>336</v>
      </c>
      <c r="M148" s="308">
        <v>830241</v>
      </c>
      <c r="N148" s="311"/>
      <c r="O148" s="311" t="s">
        <v>2572</v>
      </c>
      <c r="P148" s="311" t="s">
        <v>34</v>
      </c>
      <c r="Q148" s="325"/>
      <c r="R148" s="319">
        <v>1175.1456316044159</v>
      </c>
      <c r="S148" s="325"/>
      <c r="T148" s="311" t="s">
        <v>34</v>
      </c>
      <c r="U148" s="317"/>
    </row>
    <row r="149" spans="1:21" s="318" customFormat="1" ht="14.1" customHeight="1">
      <c r="A149" s="311">
        <v>145</v>
      </c>
      <c r="B149" s="247" t="s">
        <v>348</v>
      </c>
      <c r="C149" s="247" t="s">
        <v>348</v>
      </c>
      <c r="D149" s="311" t="s">
        <v>2174</v>
      </c>
      <c r="E149" s="311" t="s">
        <v>2433</v>
      </c>
      <c r="F149" s="311" t="s">
        <v>2434</v>
      </c>
      <c r="G149" s="311" t="s">
        <v>2727</v>
      </c>
      <c r="H149" s="311" t="s">
        <v>42</v>
      </c>
      <c r="I149" s="317" t="s">
        <v>2728</v>
      </c>
      <c r="J149" s="311" t="s">
        <v>30</v>
      </c>
      <c r="K149" s="311"/>
      <c r="L149" s="311" t="s">
        <v>336</v>
      </c>
      <c r="M149" s="308">
        <v>830241</v>
      </c>
      <c r="N149" s="311"/>
      <c r="O149" s="311" t="s">
        <v>2572</v>
      </c>
      <c r="P149" s="311" t="s">
        <v>34</v>
      </c>
      <c r="Q149" s="325"/>
      <c r="R149" s="319">
        <v>1056.7374215758341</v>
      </c>
      <c r="S149" s="325"/>
      <c r="T149" s="311" t="s">
        <v>34</v>
      </c>
      <c r="U149" s="317"/>
    </row>
    <row r="150" spans="1:21" s="318" customFormat="1" ht="14.1" customHeight="1">
      <c r="A150" s="311">
        <v>146</v>
      </c>
      <c r="B150" s="247" t="s">
        <v>348</v>
      </c>
      <c r="C150" s="247" t="s">
        <v>348</v>
      </c>
      <c r="D150" s="311" t="s">
        <v>2174</v>
      </c>
      <c r="E150" s="311" t="s">
        <v>2433</v>
      </c>
      <c r="F150" s="311" t="s">
        <v>2434</v>
      </c>
      <c r="G150" s="311" t="s">
        <v>2729</v>
      </c>
      <c r="H150" s="311" t="s">
        <v>42</v>
      </c>
      <c r="I150" s="317" t="s">
        <v>2730</v>
      </c>
      <c r="J150" s="311" t="s">
        <v>30</v>
      </c>
      <c r="K150" s="311"/>
      <c r="L150" s="311" t="s">
        <v>336</v>
      </c>
      <c r="M150" s="308">
        <v>830241</v>
      </c>
      <c r="N150" s="311"/>
      <c r="O150" s="311" t="s">
        <v>2572</v>
      </c>
      <c r="P150" s="311" t="s">
        <v>34</v>
      </c>
      <c r="Q150" s="325"/>
      <c r="R150" s="319">
        <v>1201.9550376486229</v>
      </c>
      <c r="S150" s="325"/>
      <c r="T150" s="311" t="s">
        <v>34</v>
      </c>
      <c r="U150" s="317"/>
    </row>
    <row r="151" spans="1:21" s="318" customFormat="1" ht="14.1" customHeight="1">
      <c r="A151" s="311">
        <v>147</v>
      </c>
      <c r="B151" s="247" t="s">
        <v>348</v>
      </c>
      <c r="C151" s="247" t="s">
        <v>348</v>
      </c>
      <c r="D151" s="311" t="s">
        <v>2174</v>
      </c>
      <c r="E151" s="311" t="s">
        <v>2433</v>
      </c>
      <c r="F151" s="311" t="s">
        <v>2434</v>
      </c>
      <c r="G151" s="311" t="s">
        <v>2731</v>
      </c>
      <c r="H151" s="311" t="s">
        <v>42</v>
      </c>
      <c r="I151" s="317" t="s">
        <v>2732</v>
      </c>
      <c r="J151" s="311" t="s">
        <v>30</v>
      </c>
      <c r="K151" s="311"/>
      <c r="L151" s="311" t="s">
        <v>336</v>
      </c>
      <c r="M151" s="308">
        <v>830241</v>
      </c>
      <c r="N151" s="311"/>
      <c r="O151" s="311" t="s">
        <v>2572</v>
      </c>
      <c r="P151" s="311" t="s">
        <v>34</v>
      </c>
      <c r="Q151" s="325"/>
      <c r="R151" s="319">
        <v>1085.7809447903919</v>
      </c>
      <c r="S151" s="325"/>
      <c r="T151" s="311" t="s">
        <v>34</v>
      </c>
      <c r="U151" s="317"/>
    </row>
    <row r="152" spans="1:21" s="318" customFormat="1" ht="14.1" customHeight="1">
      <c r="A152" s="311">
        <v>148</v>
      </c>
      <c r="B152" s="247" t="s">
        <v>348</v>
      </c>
      <c r="C152" s="247" t="s">
        <v>348</v>
      </c>
      <c r="D152" s="311" t="s">
        <v>2174</v>
      </c>
      <c r="E152" s="311" t="s">
        <v>2433</v>
      </c>
      <c r="F152" s="311" t="s">
        <v>2434</v>
      </c>
      <c r="G152" s="311" t="s">
        <v>2733</v>
      </c>
      <c r="H152" s="311" t="s">
        <v>42</v>
      </c>
      <c r="I152" s="317" t="s">
        <v>2734</v>
      </c>
      <c r="J152" s="311" t="s">
        <v>30</v>
      </c>
      <c r="K152" s="311"/>
      <c r="L152" s="311" t="s">
        <v>336</v>
      </c>
      <c r="M152" s="308">
        <v>830241</v>
      </c>
      <c r="N152" s="311"/>
      <c r="O152" s="311" t="s">
        <v>2572</v>
      </c>
      <c r="P152" s="311" t="s">
        <v>34</v>
      </c>
      <c r="Q152" s="325"/>
      <c r="R152" s="319">
        <v>1246.6373810556349</v>
      </c>
      <c r="S152" s="325"/>
      <c r="T152" s="311" t="s">
        <v>34</v>
      </c>
      <c r="U152" s="317"/>
    </row>
    <row r="153" spans="1:21" s="318" customFormat="1" ht="14.1" customHeight="1">
      <c r="A153" s="311">
        <v>149</v>
      </c>
      <c r="B153" s="247" t="s">
        <v>348</v>
      </c>
      <c r="C153" s="247" t="s">
        <v>348</v>
      </c>
      <c r="D153" s="311" t="s">
        <v>2174</v>
      </c>
      <c r="E153" s="311" t="s">
        <v>2433</v>
      </c>
      <c r="F153" s="311" t="s">
        <v>2434</v>
      </c>
      <c r="G153" s="311" t="s">
        <v>2735</v>
      </c>
      <c r="H153" s="311" t="s">
        <v>42</v>
      </c>
      <c r="I153" s="317" t="s">
        <v>2736</v>
      </c>
      <c r="J153" s="311" t="s">
        <v>30</v>
      </c>
      <c r="K153" s="311"/>
      <c r="L153" s="311" t="s">
        <v>336</v>
      </c>
      <c r="M153" s="308">
        <v>830241</v>
      </c>
      <c r="N153" s="311"/>
      <c r="O153" s="311" t="s">
        <v>2572</v>
      </c>
      <c r="P153" s="311" t="s">
        <v>34</v>
      </c>
      <c r="Q153" s="325"/>
      <c r="R153" s="319">
        <v>1150.5703427305591</v>
      </c>
      <c r="S153" s="325"/>
      <c r="T153" s="311" t="s">
        <v>34</v>
      </c>
      <c r="U153" s="317"/>
    </row>
    <row r="154" spans="1:21" s="318" customFormat="1" ht="14.1" customHeight="1">
      <c r="A154" s="311">
        <v>150</v>
      </c>
      <c r="B154" s="247" t="s">
        <v>348</v>
      </c>
      <c r="C154" s="247" t="s">
        <v>348</v>
      </c>
      <c r="D154" s="311" t="s">
        <v>2174</v>
      </c>
      <c r="E154" s="311" t="s">
        <v>2433</v>
      </c>
      <c r="F154" s="311" t="s">
        <v>2434</v>
      </c>
      <c r="G154" s="311" t="s">
        <v>2737</v>
      </c>
      <c r="H154" s="311" t="s">
        <v>42</v>
      </c>
      <c r="I154" s="317" t="s">
        <v>2738</v>
      </c>
      <c r="J154" s="311" t="s">
        <v>30</v>
      </c>
      <c r="K154" s="311"/>
      <c r="L154" s="311" t="s">
        <v>336</v>
      </c>
      <c r="M154" s="308">
        <v>830241</v>
      </c>
      <c r="N154" s="311"/>
      <c r="O154" s="311" t="s">
        <v>2572</v>
      </c>
      <c r="P154" s="311" t="s">
        <v>34</v>
      </c>
      <c r="Q154" s="325"/>
      <c r="R154" s="319">
        <v>1284.6173729515961</v>
      </c>
      <c r="S154" s="325"/>
      <c r="T154" s="311" t="s">
        <v>34</v>
      </c>
      <c r="U154" s="317"/>
    </row>
    <row r="155" spans="1:21" s="318" customFormat="1" ht="14.1" customHeight="1">
      <c r="A155" s="311">
        <v>151</v>
      </c>
      <c r="B155" s="247" t="s">
        <v>348</v>
      </c>
      <c r="C155" s="247" t="s">
        <v>348</v>
      </c>
      <c r="D155" s="311" t="s">
        <v>2174</v>
      </c>
      <c r="E155" s="311" t="s">
        <v>2433</v>
      </c>
      <c r="F155" s="311" t="s">
        <v>2434</v>
      </c>
      <c r="G155" s="311" t="s">
        <v>2739</v>
      </c>
      <c r="H155" s="311" t="s">
        <v>42</v>
      </c>
      <c r="I155" s="317" t="s">
        <v>2740</v>
      </c>
      <c r="J155" s="311" t="s">
        <v>30</v>
      </c>
      <c r="K155" s="311"/>
      <c r="L155" s="311" t="s">
        <v>336</v>
      </c>
      <c r="M155" s="308">
        <v>830241</v>
      </c>
      <c r="N155" s="311"/>
      <c r="O155" s="311" t="s">
        <v>2572</v>
      </c>
      <c r="P155" s="311" t="s">
        <v>34</v>
      </c>
      <c r="Q155" s="325"/>
      <c r="R155" s="319">
        <v>1193.018568967221</v>
      </c>
      <c r="S155" s="325"/>
      <c r="T155" s="311" t="s">
        <v>34</v>
      </c>
      <c r="U155" s="317"/>
    </row>
    <row r="156" spans="1:21" s="318" customFormat="1" ht="14.1" customHeight="1">
      <c r="A156" s="311">
        <v>152</v>
      </c>
      <c r="B156" s="247" t="s">
        <v>348</v>
      </c>
      <c r="C156" s="247" t="s">
        <v>348</v>
      </c>
      <c r="D156" s="311" t="s">
        <v>2174</v>
      </c>
      <c r="E156" s="311" t="s">
        <v>2433</v>
      </c>
      <c r="F156" s="311" t="s">
        <v>2434</v>
      </c>
      <c r="G156" s="311" t="s">
        <v>2741</v>
      </c>
      <c r="H156" s="311" t="s">
        <v>42</v>
      </c>
      <c r="I156" s="317" t="s">
        <v>2742</v>
      </c>
      <c r="J156" s="311" t="s">
        <v>30</v>
      </c>
      <c r="K156" s="311"/>
      <c r="L156" s="311" t="s">
        <v>336</v>
      </c>
      <c r="M156" s="308">
        <v>830241</v>
      </c>
      <c r="N156" s="311"/>
      <c r="O156" s="311" t="s">
        <v>2572</v>
      </c>
      <c r="P156" s="311" t="s">
        <v>34</v>
      </c>
      <c r="Q156" s="325"/>
      <c r="R156" s="319">
        <v>1324.831482017906</v>
      </c>
      <c r="S156" s="325"/>
      <c r="T156" s="311" t="s">
        <v>34</v>
      </c>
      <c r="U156" s="317"/>
    </row>
    <row r="157" spans="1:21" s="318" customFormat="1" ht="14.1" customHeight="1">
      <c r="A157" s="311">
        <v>153</v>
      </c>
      <c r="B157" s="247" t="s">
        <v>348</v>
      </c>
      <c r="C157" s="247" t="s">
        <v>348</v>
      </c>
      <c r="D157" s="311" t="s">
        <v>2174</v>
      </c>
      <c r="E157" s="311" t="s">
        <v>2433</v>
      </c>
      <c r="F157" s="311" t="s">
        <v>2434</v>
      </c>
      <c r="G157" s="311" t="s">
        <v>2743</v>
      </c>
      <c r="H157" s="311" t="s">
        <v>42</v>
      </c>
      <c r="I157" s="317" t="s">
        <v>2744</v>
      </c>
      <c r="J157" s="311" t="s">
        <v>30</v>
      </c>
      <c r="K157" s="311"/>
      <c r="L157" s="311" t="s">
        <v>336</v>
      </c>
      <c r="M157" s="308">
        <v>830241</v>
      </c>
      <c r="N157" s="311"/>
      <c r="O157" s="311" t="s">
        <v>2572</v>
      </c>
      <c r="P157" s="311" t="s">
        <v>34</v>
      </c>
      <c r="Q157" s="325"/>
      <c r="R157" s="319">
        <v>1235.4667952038819</v>
      </c>
      <c r="S157" s="325"/>
      <c r="T157" s="311" t="s">
        <v>34</v>
      </c>
      <c r="U157" s="317"/>
    </row>
    <row r="158" spans="1:21" s="318" customFormat="1" ht="14.1" customHeight="1">
      <c r="A158" s="311">
        <v>154</v>
      </c>
      <c r="B158" s="247" t="s">
        <v>348</v>
      </c>
      <c r="C158" s="247" t="s">
        <v>348</v>
      </c>
      <c r="D158" s="311" t="s">
        <v>2174</v>
      </c>
      <c r="E158" s="311" t="s">
        <v>2433</v>
      </c>
      <c r="F158" s="311" t="s">
        <v>2434</v>
      </c>
      <c r="G158" s="311" t="s">
        <v>2745</v>
      </c>
      <c r="H158" s="311" t="s">
        <v>42</v>
      </c>
      <c r="I158" s="317" t="s">
        <v>2746</v>
      </c>
      <c r="J158" s="311" t="s">
        <v>30</v>
      </c>
      <c r="K158" s="311"/>
      <c r="L158" s="311" t="s">
        <v>336</v>
      </c>
      <c r="M158" s="308">
        <v>830241</v>
      </c>
      <c r="N158" s="311"/>
      <c r="O158" s="311" t="s">
        <v>2572</v>
      </c>
      <c r="P158" s="311" t="s">
        <v>34</v>
      </c>
      <c r="Q158" s="325"/>
      <c r="R158" s="319">
        <v>1467.8149809203451</v>
      </c>
      <c r="S158" s="325"/>
      <c r="T158" s="311" t="s">
        <v>34</v>
      </c>
      <c r="U158" s="317"/>
    </row>
    <row r="159" spans="1:21" s="318" customFormat="1" ht="14.1" customHeight="1">
      <c r="A159" s="311">
        <v>155</v>
      </c>
      <c r="B159" s="247" t="s">
        <v>348</v>
      </c>
      <c r="C159" s="247" t="s">
        <v>348</v>
      </c>
      <c r="D159" s="311" t="s">
        <v>2174</v>
      </c>
      <c r="E159" s="311" t="s">
        <v>2433</v>
      </c>
      <c r="F159" s="311" t="s">
        <v>2434</v>
      </c>
      <c r="G159" s="311" t="s">
        <v>2747</v>
      </c>
      <c r="H159" s="311" t="s">
        <v>42</v>
      </c>
      <c r="I159" s="317" t="s">
        <v>2748</v>
      </c>
      <c r="J159" s="311" t="s">
        <v>30</v>
      </c>
      <c r="K159" s="311"/>
      <c r="L159" s="311" t="s">
        <v>336</v>
      </c>
      <c r="M159" s="308">
        <v>830241</v>
      </c>
      <c r="N159" s="311"/>
      <c r="O159" s="311" t="s">
        <v>2572</v>
      </c>
      <c r="P159" s="311" t="s">
        <v>34</v>
      </c>
      <c r="Q159" s="325"/>
      <c r="R159" s="319">
        <v>1371.747942595269</v>
      </c>
      <c r="S159" s="325"/>
      <c r="T159" s="311" t="s">
        <v>34</v>
      </c>
      <c r="U159" s="317"/>
    </row>
    <row r="160" spans="1:21" s="318" customFormat="1" ht="14.1" customHeight="1">
      <c r="A160" s="311">
        <v>156</v>
      </c>
      <c r="B160" s="247" t="s">
        <v>348</v>
      </c>
      <c r="C160" s="247" t="s">
        <v>348</v>
      </c>
      <c r="D160" s="311" t="s">
        <v>2174</v>
      </c>
      <c r="E160" s="311" t="s">
        <v>2433</v>
      </c>
      <c r="F160" s="311" t="s">
        <v>2434</v>
      </c>
      <c r="G160" s="311" t="s">
        <v>2749</v>
      </c>
      <c r="H160" s="311" t="s">
        <v>42</v>
      </c>
      <c r="I160" s="317" t="s">
        <v>2750</v>
      </c>
      <c r="J160" s="311" t="s">
        <v>30</v>
      </c>
      <c r="K160" s="311"/>
      <c r="L160" s="311" t="s">
        <v>336</v>
      </c>
      <c r="M160" s="308">
        <v>830241</v>
      </c>
      <c r="N160" s="311"/>
      <c r="O160" s="311" t="s">
        <v>2572</v>
      </c>
      <c r="P160" s="311" t="s">
        <v>34</v>
      </c>
      <c r="Q160" s="325"/>
      <c r="R160" s="319">
        <v>1644.3102373780421</v>
      </c>
      <c r="S160" s="325"/>
      <c r="T160" s="311" t="s">
        <v>34</v>
      </c>
      <c r="U160" s="317"/>
    </row>
    <row r="161" spans="1:21" s="318" customFormat="1" ht="14.1" customHeight="1">
      <c r="A161" s="311">
        <v>157</v>
      </c>
      <c r="B161" s="247" t="s">
        <v>348</v>
      </c>
      <c r="C161" s="247" t="s">
        <v>348</v>
      </c>
      <c r="D161" s="311" t="s">
        <v>2174</v>
      </c>
      <c r="E161" s="311" t="s">
        <v>2433</v>
      </c>
      <c r="F161" s="311" t="s">
        <v>2434</v>
      </c>
      <c r="G161" s="311" t="s">
        <v>2751</v>
      </c>
      <c r="H161" s="311" t="s">
        <v>42</v>
      </c>
      <c r="I161" s="317" t="s">
        <v>2752</v>
      </c>
      <c r="J161" s="311" t="s">
        <v>30</v>
      </c>
      <c r="K161" s="311"/>
      <c r="L161" s="311" t="s">
        <v>336</v>
      </c>
      <c r="M161" s="308">
        <v>830241</v>
      </c>
      <c r="N161" s="311"/>
      <c r="O161" s="311" t="s">
        <v>2572</v>
      </c>
      <c r="P161" s="311" t="s">
        <v>34</v>
      </c>
      <c r="Q161" s="325"/>
      <c r="R161" s="319">
        <v>1552.711433393667</v>
      </c>
      <c r="S161" s="325"/>
      <c r="T161" s="311" t="s">
        <v>34</v>
      </c>
      <c r="U161" s="317"/>
    </row>
    <row r="162" spans="1:21" s="318" customFormat="1" ht="14.1" customHeight="1">
      <c r="A162" s="311">
        <v>158</v>
      </c>
      <c r="B162" s="247" t="s">
        <v>348</v>
      </c>
      <c r="C162" s="247" t="s">
        <v>348</v>
      </c>
      <c r="D162" s="311" t="s">
        <v>2174</v>
      </c>
      <c r="E162" s="311" t="s">
        <v>2433</v>
      </c>
      <c r="F162" s="311" t="s">
        <v>2434</v>
      </c>
      <c r="G162" s="311" t="s">
        <v>2753</v>
      </c>
      <c r="H162" s="311" t="s">
        <v>42</v>
      </c>
      <c r="I162" s="317" t="s">
        <v>2754</v>
      </c>
      <c r="J162" s="311" t="s">
        <v>30</v>
      </c>
      <c r="K162" s="311"/>
      <c r="L162" s="311" t="s">
        <v>336</v>
      </c>
      <c r="M162" s="308">
        <v>830241</v>
      </c>
      <c r="N162" s="311"/>
      <c r="O162" s="311" t="s">
        <v>2572</v>
      </c>
      <c r="P162" s="311" t="s">
        <v>34</v>
      </c>
      <c r="Q162" s="325"/>
      <c r="R162" s="319">
        <v>2200.6054127953412</v>
      </c>
      <c r="S162" s="325"/>
      <c r="T162" s="311" t="s">
        <v>34</v>
      </c>
      <c r="U162" s="317"/>
    </row>
    <row r="163" spans="1:21" s="318" customFormat="1" ht="14.1" customHeight="1">
      <c r="A163" s="311">
        <v>159</v>
      </c>
      <c r="B163" s="247" t="s">
        <v>348</v>
      </c>
      <c r="C163" s="247" t="s">
        <v>348</v>
      </c>
      <c r="D163" s="311" t="s">
        <v>2174</v>
      </c>
      <c r="E163" s="311" t="s">
        <v>2433</v>
      </c>
      <c r="F163" s="311" t="s">
        <v>2434</v>
      </c>
      <c r="G163" s="311" t="s">
        <v>2755</v>
      </c>
      <c r="H163" s="311" t="s">
        <v>42</v>
      </c>
      <c r="I163" s="317" t="s">
        <v>2756</v>
      </c>
      <c r="J163" s="311" t="s">
        <v>30</v>
      </c>
      <c r="K163" s="311"/>
      <c r="L163" s="311" t="s">
        <v>336</v>
      </c>
      <c r="M163" s="308">
        <v>830241</v>
      </c>
      <c r="N163" s="311"/>
      <c r="O163" s="311" t="s">
        <v>2572</v>
      </c>
      <c r="P163" s="311" t="s">
        <v>34</v>
      </c>
      <c r="Q163" s="325"/>
      <c r="R163" s="319">
        <v>2017.4078048265919</v>
      </c>
      <c r="S163" s="325"/>
      <c r="T163" s="311" t="s">
        <v>34</v>
      </c>
      <c r="U163" s="317"/>
    </row>
    <row r="164" spans="1:21" s="318" customFormat="1" ht="14.1" customHeight="1">
      <c r="A164" s="311">
        <v>160</v>
      </c>
      <c r="B164" s="247" t="s">
        <v>348</v>
      </c>
      <c r="C164" s="247" t="s">
        <v>348</v>
      </c>
      <c r="D164" s="311" t="s">
        <v>2174</v>
      </c>
      <c r="E164" s="311" t="s">
        <v>2433</v>
      </c>
      <c r="F164" s="311" t="s">
        <v>2434</v>
      </c>
      <c r="G164" s="311" t="s">
        <v>2757</v>
      </c>
      <c r="H164" s="311" t="s">
        <v>42</v>
      </c>
      <c r="I164" s="317" t="s">
        <v>2758</v>
      </c>
      <c r="J164" s="311" t="s">
        <v>30</v>
      </c>
      <c r="K164" s="311"/>
      <c r="L164" s="311" t="s">
        <v>336</v>
      </c>
      <c r="M164" s="308">
        <v>830241</v>
      </c>
      <c r="N164" s="311"/>
      <c r="O164" s="311" t="s">
        <v>2572</v>
      </c>
      <c r="P164" s="311" t="s">
        <v>34</v>
      </c>
      <c r="Q164" s="325"/>
      <c r="R164" s="319">
        <v>578.63634712080545</v>
      </c>
      <c r="S164" s="325"/>
      <c r="T164" s="311" t="s">
        <v>34</v>
      </c>
      <c r="U164" s="317"/>
    </row>
    <row r="165" spans="1:21" s="318" customFormat="1" ht="14.1" customHeight="1">
      <c r="A165" s="311">
        <v>161</v>
      </c>
      <c r="B165" s="247" t="s">
        <v>348</v>
      </c>
      <c r="C165" s="247" t="s">
        <v>348</v>
      </c>
      <c r="D165" s="311" t="s">
        <v>2174</v>
      </c>
      <c r="E165" s="311" t="s">
        <v>2433</v>
      </c>
      <c r="F165" s="311" t="s">
        <v>2434</v>
      </c>
      <c r="G165" s="311" t="s">
        <v>2759</v>
      </c>
      <c r="H165" s="311" t="s">
        <v>42</v>
      </c>
      <c r="I165" s="317" t="s">
        <v>2760</v>
      </c>
      <c r="J165" s="311" t="s">
        <v>30</v>
      </c>
      <c r="K165" s="311"/>
      <c r="L165" s="311" t="s">
        <v>336</v>
      </c>
      <c r="M165" s="308">
        <v>830241</v>
      </c>
      <c r="N165" s="311"/>
      <c r="O165" s="311" t="s">
        <v>2572</v>
      </c>
      <c r="P165" s="311" t="s">
        <v>34</v>
      </c>
      <c r="Q165" s="325"/>
      <c r="R165" s="319">
        <v>520.54930069168995</v>
      </c>
      <c r="S165" s="325"/>
      <c r="T165" s="311" t="s">
        <v>34</v>
      </c>
      <c r="U165" s="317"/>
    </row>
    <row r="166" spans="1:21" s="318" customFormat="1" ht="14.1" customHeight="1">
      <c r="A166" s="311">
        <v>162</v>
      </c>
      <c r="B166" s="247" t="s">
        <v>348</v>
      </c>
      <c r="C166" s="247" t="s">
        <v>348</v>
      </c>
      <c r="D166" s="311" t="s">
        <v>2174</v>
      </c>
      <c r="E166" s="311" t="s">
        <v>2433</v>
      </c>
      <c r="F166" s="311" t="s">
        <v>2434</v>
      </c>
      <c r="G166" s="311" t="s">
        <v>2761</v>
      </c>
      <c r="H166" s="311" t="s">
        <v>42</v>
      </c>
      <c r="I166" s="317" t="s">
        <v>2762</v>
      </c>
      <c r="J166" s="311" t="s">
        <v>30</v>
      </c>
      <c r="K166" s="311"/>
      <c r="L166" s="311" t="s">
        <v>336</v>
      </c>
      <c r="M166" s="308">
        <v>830241</v>
      </c>
      <c r="N166" s="311"/>
      <c r="O166" s="311" t="s">
        <v>2572</v>
      </c>
      <c r="P166" s="311" t="s">
        <v>34</v>
      </c>
      <c r="Q166" s="325"/>
      <c r="R166" s="319">
        <v>1619.734948504185</v>
      </c>
      <c r="S166" s="325"/>
      <c r="T166" s="311" t="s">
        <v>34</v>
      </c>
      <c r="U166" s="317"/>
    </row>
    <row r="167" spans="1:21" s="318" customFormat="1" ht="14.1" customHeight="1">
      <c r="A167" s="311">
        <v>163</v>
      </c>
      <c r="B167" s="247" t="s">
        <v>348</v>
      </c>
      <c r="C167" s="247" t="s">
        <v>348</v>
      </c>
      <c r="D167" s="311" t="s">
        <v>2174</v>
      </c>
      <c r="E167" s="311" t="s">
        <v>2433</v>
      </c>
      <c r="F167" s="311" t="s">
        <v>2434</v>
      </c>
      <c r="G167" s="311" t="s">
        <v>2763</v>
      </c>
      <c r="H167" s="311" t="s">
        <v>42</v>
      </c>
      <c r="I167" s="317" t="s">
        <v>2764</v>
      </c>
      <c r="J167" s="311" t="s">
        <v>30</v>
      </c>
      <c r="K167" s="311"/>
      <c r="L167" s="311" t="s">
        <v>336</v>
      </c>
      <c r="M167" s="308">
        <v>830241</v>
      </c>
      <c r="N167" s="311"/>
      <c r="O167" s="311" t="s">
        <v>2572</v>
      </c>
      <c r="P167" s="311" t="s">
        <v>34</v>
      </c>
      <c r="Q167" s="325"/>
      <c r="R167" s="319">
        <v>1512.4973243273571</v>
      </c>
      <c r="S167" s="325"/>
      <c r="T167" s="311" t="s">
        <v>34</v>
      </c>
      <c r="U167" s="317"/>
    </row>
    <row r="168" spans="1:21" s="318" customFormat="1" ht="14.1" customHeight="1">
      <c r="A168" s="311">
        <v>164</v>
      </c>
      <c r="B168" s="247" t="s">
        <v>348</v>
      </c>
      <c r="C168" s="247" t="s">
        <v>348</v>
      </c>
      <c r="D168" s="311" t="s">
        <v>2174</v>
      </c>
      <c r="E168" s="311" t="s">
        <v>2433</v>
      </c>
      <c r="F168" s="311" t="s">
        <v>2434</v>
      </c>
      <c r="G168" s="311" t="s">
        <v>2765</v>
      </c>
      <c r="H168" s="311" t="s">
        <v>42</v>
      </c>
      <c r="I168" s="317" t="s">
        <v>2766</v>
      </c>
      <c r="J168" s="311" t="s">
        <v>30</v>
      </c>
      <c r="K168" s="311"/>
      <c r="L168" s="311" t="s">
        <v>336</v>
      </c>
      <c r="M168" s="308">
        <v>830241</v>
      </c>
      <c r="N168" s="311"/>
      <c r="O168" s="311" t="s">
        <v>2572</v>
      </c>
      <c r="P168" s="311" t="s">
        <v>34</v>
      </c>
      <c r="Q168" s="325"/>
      <c r="R168" s="319">
        <v>1396.3232314691249</v>
      </c>
      <c r="S168" s="325"/>
      <c r="T168" s="311" t="s">
        <v>34</v>
      </c>
      <c r="U168" s="317"/>
    </row>
    <row r="169" spans="1:21" s="318" customFormat="1" ht="14.1" customHeight="1">
      <c r="A169" s="311">
        <v>165</v>
      </c>
      <c r="B169" s="247" t="s">
        <v>348</v>
      </c>
      <c r="C169" s="247" t="s">
        <v>348</v>
      </c>
      <c r="D169" s="311" t="s">
        <v>2174</v>
      </c>
      <c r="E169" s="311" t="s">
        <v>2433</v>
      </c>
      <c r="F169" s="311" t="s">
        <v>2434</v>
      </c>
      <c r="G169" s="311" t="s">
        <v>2767</v>
      </c>
      <c r="H169" s="311" t="s">
        <v>42</v>
      </c>
      <c r="I169" s="317" t="s">
        <v>2768</v>
      </c>
      <c r="J169" s="311" t="s">
        <v>30</v>
      </c>
      <c r="K169" s="311"/>
      <c r="L169" s="311" t="s">
        <v>336</v>
      </c>
      <c r="M169" s="308">
        <v>830241</v>
      </c>
      <c r="N169" s="311"/>
      <c r="O169" s="311" t="s">
        <v>2572</v>
      </c>
      <c r="P169" s="311" t="s">
        <v>34</v>
      </c>
      <c r="Q169" s="325"/>
      <c r="R169" s="319">
        <v>1277.915021440544</v>
      </c>
      <c r="S169" s="325"/>
      <c r="T169" s="311" t="s">
        <v>34</v>
      </c>
      <c r="U169" s="317"/>
    </row>
    <row r="170" spans="1:21" s="318" customFormat="1" ht="14.1" customHeight="1">
      <c r="A170" s="311">
        <v>166</v>
      </c>
      <c r="B170" s="247" t="s">
        <v>348</v>
      </c>
      <c r="C170" s="247" t="s">
        <v>348</v>
      </c>
      <c r="D170" s="311" t="s">
        <v>2174</v>
      </c>
      <c r="E170" s="311" t="s">
        <v>2433</v>
      </c>
      <c r="F170" s="311" t="s">
        <v>2434</v>
      </c>
      <c r="G170" s="311" t="s">
        <v>2769</v>
      </c>
      <c r="H170" s="311" t="s">
        <v>42</v>
      </c>
      <c r="I170" s="317" t="s">
        <v>2770</v>
      </c>
      <c r="J170" s="311" t="s">
        <v>30</v>
      </c>
      <c r="K170" s="311"/>
      <c r="L170" s="311" t="s">
        <v>336</v>
      </c>
      <c r="M170" s="308">
        <v>830241</v>
      </c>
      <c r="N170" s="311"/>
      <c r="O170" s="311" t="s">
        <v>2572</v>
      </c>
      <c r="P170" s="311" t="s">
        <v>34</v>
      </c>
      <c r="Q170" s="325"/>
      <c r="R170" s="319">
        <v>1074.6103589386389</v>
      </c>
      <c r="S170" s="325"/>
      <c r="T170" s="311" t="s">
        <v>34</v>
      </c>
      <c r="U170" s="317"/>
    </row>
    <row r="171" spans="1:21" s="318" customFormat="1" ht="14.1" customHeight="1">
      <c r="A171" s="311">
        <v>167</v>
      </c>
      <c r="B171" s="247" t="s">
        <v>348</v>
      </c>
      <c r="C171" s="247" t="s">
        <v>348</v>
      </c>
      <c r="D171" s="311" t="s">
        <v>2174</v>
      </c>
      <c r="E171" s="311" t="s">
        <v>2433</v>
      </c>
      <c r="F171" s="311" t="s">
        <v>2434</v>
      </c>
      <c r="G171" s="311" t="s">
        <v>2771</v>
      </c>
      <c r="H171" s="311" t="s">
        <v>42</v>
      </c>
      <c r="I171" s="317" t="s">
        <v>2772</v>
      </c>
      <c r="J171" s="311" t="s">
        <v>30</v>
      </c>
      <c r="K171" s="311"/>
      <c r="L171" s="311" t="s">
        <v>336</v>
      </c>
      <c r="M171" s="308">
        <v>830241</v>
      </c>
      <c r="N171" s="311"/>
      <c r="O171" s="311" t="s">
        <v>2572</v>
      </c>
      <c r="P171" s="311" t="s">
        <v>34</v>
      </c>
      <c r="Q171" s="325"/>
      <c r="R171" s="319">
        <v>960.67038325075828</v>
      </c>
      <c r="S171" s="325"/>
      <c r="T171" s="311" t="s">
        <v>34</v>
      </c>
      <c r="U171" s="317"/>
    </row>
    <row r="172" spans="1:21" s="318" customFormat="1" ht="14.1" customHeight="1">
      <c r="A172" s="311">
        <v>168</v>
      </c>
      <c r="B172" s="247" t="s">
        <v>348</v>
      </c>
      <c r="C172" s="247" t="s">
        <v>348</v>
      </c>
      <c r="D172" s="311" t="s">
        <v>2174</v>
      </c>
      <c r="E172" s="311" t="s">
        <v>2433</v>
      </c>
      <c r="F172" s="311" t="s">
        <v>2434</v>
      </c>
      <c r="G172" s="311" t="s">
        <v>2773</v>
      </c>
      <c r="H172" s="311" t="s">
        <v>42</v>
      </c>
      <c r="I172" s="317" t="s">
        <v>2774</v>
      </c>
      <c r="J172" s="311" t="s">
        <v>30</v>
      </c>
      <c r="K172" s="311"/>
      <c r="L172" s="311" t="s">
        <v>336</v>
      </c>
      <c r="M172" s="308">
        <v>830241</v>
      </c>
      <c r="N172" s="311"/>
      <c r="O172" s="311" t="s">
        <v>2572</v>
      </c>
      <c r="P172" s="311" t="s">
        <v>34</v>
      </c>
      <c r="Q172" s="325"/>
      <c r="R172" s="319">
        <v>1092.483296301443</v>
      </c>
      <c r="S172" s="325"/>
      <c r="T172" s="311" t="s">
        <v>34</v>
      </c>
      <c r="U172" s="317"/>
    </row>
    <row r="173" spans="1:21" s="318" customFormat="1" ht="14.1" customHeight="1">
      <c r="A173" s="311">
        <v>169</v>
      </c>
      <c r="B173" s="247" t="s">
        <v>348</v>
      </c>
      <c r="C173" s="247" t="s">
        <v>348</v>
      </c>
      <c r="D173" s="311" t="s">
        <v>2174</v>
      </c>
      <c r="E173" s="311" t="s">
        <v>2433</v>
      </c>
      <c r="F173" s="311" t="s">
        <v>2434</v>
      </c>
      <c r="G173" s="311" t="s">
        <v>2775</v>
      </c>
      <c r="H173" s="311" t="s">
        <v>42</v>
      </c>
      <c r="I173" s="317" t="s">
        <v>2776</v>
      </c>
      <c r="J173" s="311" t="s">
        <v>30</v>
      </c>
      <c r="K173" s="311"/>
      <c r="L173" s="311" t="s">
        <v>336</v>
      </c>
      <c r="M173" s="308">
        <v>830241</v>
      </c>
      <c r="N173" s="311"/>
      <c r="O173" s="311" t="s">
        <v>2572</v>
      </c>
      <c r="P173" s="311" t="s">
        <v>34</v>
      </c>
      <c r="Q173" s="325"/>
      <c r="R173" s="319">
        <v>978.54332061356297</v>
      </c>
      <c r="S173" s="325"/>
      <c r="T173" s="311" t="s">
        <v>34</v>
      </c>
      <c r="U173" s="317"/>
    </row>
    <row r="174" spans="1:21" s="318" customFormat="1" ht="14.1" customHeight="1">
      <c r="A174" s="311">
        <v>170</v>
      </c>
      <c r="B174" s="247" t="s">
        <v>348</v>
      </c>
      <c r="C174" s="247" t="s">
        <v>348</v>
      </c>
      <c r="D174" s="311" t="s">
        <v>2174</v>
      </c>
      <c r="E174" s="311" t="s">
        <v>2433</v>
      </c>
      <c r="F174" s="311" t="s">
        <v>2434</v>
      </c>
      <c r="G174" s="311" t="s">
        <v>2777</v>
      </c>
      <c r="H174" s="311" t="s">
        <v>42</v>
      </c>
      <c r="I174" s="317" t="s">
        <v>2778</v>
      </c>
      <c r="J174" s="311" t="s">
        <v>30</v>
      </c>
      <c r="K174" s="311"/>
      <c r="L174" s="311" t="s">
        <v>336</v>
      </c>
      <c r="M174" s="308">
        <v>830241</v>
      </c>
      <c r="N174" s="311"/>
      <c r="O174" s="311" t="s">
        <v>2572</v>
      </c>
      <c r="P174" s="311" t="s">
        <v>34</v>
      </c>
      <c r="Q174" s="325"/>
      <c r="R174" s="319">
        <v>1121.526819516002</v>
      </c>
      <c r="S174" s="325"/>
      <c r="T174" s="311" t="s">
        <v>34</v>
      </c>
      <c r="U174" s="317"/>
    </row>
    <row r="175" spans="1:21" s="318" customFormat="1" ht="14.1" customHeight="1">
      <c r="A175" s="311">
        <v>171</v>
      </c>
      <c r="B175" s="247" t="s">
        <v>348</v>
      </c>
      <c r="C175" s="247" t="s">
        <v>348</v>
      </c>
      <c r="D175" s="311" t="s">
        <v>2174</v>
      </c>
      <c r="E175" s="311" t="s">
        <v>2433</v>
      </c>
      <c r="F175" s="311" t="s">
        <v>2434</v>
      </c>
      <c r="G175" s="311" t="s">
        <v>2779</v>
      </c>
      <c r="H175" s="311" t="s">
        <v>42</v>
      </c>
      <c r="I175" s="317" t="s">
        <v>2780</v>
      </c>
      <c r="J175" s="311" t="s">
        <v>30</v>
      </c>
      <c r="K175" s="311"/>
      <c r="L175" s="311" t="s">
        <v>336</v>
      </c>
      <c r="M175" s="308">
        <v>830241</v>
      </c>
      <c r="N175" s="311"/>
      <c r="O175" s="311" t="s">
        <v>2572</v>
      </c>
      <c r="P175" s="311" t="s">
        <v>34</v>
      </c>
      <c r="Q175" s="325"/>
      <c r="R175" s="319">
        <v>1009.820960998471</v>
      </c>
      <c r="S175" s="325"/>
      <c r="T175" s="311" t="s">
        <v>34</v>
      </c>
      <c r="U175" s="317"/>
    </row>
    <row r="176" spans="1:21" s="318" customFormat="1" ht="14.1" customHeight="1">
      <c r="A176" s="311">
        <v>172</v>
      </c>
      <c r="B176" s="247" t="s">
        <v>348</v>
      </c>
      <c r="C176" s="247" t="s">
        <v>348</v>
      </c>
      <c r="D176" s="311" t="s">
        <v>2174</v>
      </c>
      <c r="E176" s="311" t="s">
        <v>2433</v>
      </c>
      <c r="F176" s="311" t="s">
        <v>2434</v>
      </c>
      <c r="G176" s="311" t="s">
        <v>2781</v>
      </c>
      <c r="H176" s="311" t="s">
        <v>42</v>
      </c>
      <c r="I176" s="317" t="s">
        <v>2782</v>
      </c>
      <c r="J176" s="311" t="s">
        <v>30</v>
      </c>
      <c r="K176" s="311"/>
      <c r="L176" s="311" t="s">
        <v>336</v>
      </c>
      <c r="M176" s="308">
        <v>830241</v>
      </c>
      <c r="N176" s="311"/>
      <c r="O176" s="311" t="s">
        <v>2572</v>
      </c>
      <c r="P176" s="311" t="s">
        <v>34</v>
      </c>
      <c r="Q176" s="325"/>
      <c r="R176" s="319">
        <v>1155.038577071261</v>
      </c>
      <c r="S176" s="325"/>
      <c r="T176" s="311" t="s">
        <v>34</v>
      </c>
      <c r="U176" s="317"/>
    </row>
    <row r="177" spans="1:21" s="318" customFormat="1" ht="14.1" customHeight="1">
      <c r="A177" s="311">
        <v>173</v>
      </c>
      <c r="B177" s="247" t="s">
        <v>348</v>
      </c>
      <c r="C177" s="247" t="s">
        <v>348</v>
      </c>
      <c r="D177" s="311" t="s">
        <v>2174</v>
      </c>
      <c r="E177" s="311" t="s">
        <v>2433</v>
      </c>
      <c r="F177" s="311" t="s">
        <v>2434</v>
      </c>
      <c r="G177" s="311" t="s">
        <v>2783</v>
      </c>
      <c r="H177" s="311" t="s">
        <v>42</v>
      </c>
      <c r="I177" s="317" t="s">
        <v>2784</v>
      </c>
      <c r="J177" s="311" t="s">
        <v>30</v>
      </c>
      <c r="K177" s="311"/>
      <c r="L177" s="311" t="s">
        <v>336</v>
      </c>
      <c r="M177" s="308">
        <v>830241</v>
      </c>
      <c r="N177" s="311"/>
      <c r="O177" s="311" t="s">
        <v>2572</v>
      </c>
      <c r="P177" s="311" t="s">
        <v>34</v>
      </c>
      <c r="Q177" s="325"/>
      <c r="R177" s="319">
        <v>1038.8644842130291</v>
      </c>
      <c r="S177" s="325"/>
      <c r="T177" s="311" t="s">
        <v>34</v>
      </c>
      <c r="U177" s="317"/>
    </row>
    <row r="178" spans="1:21" s="318" customFormat="1" ht="14.1" customHeight="1">
      <c r="A178" s="311">
        <v>174</v>
      </c>
      <c r="B178" s="247" t="s">
        <v>348</v>
      </c>
      <c r="C178" s="247" t="s">
        <v>348</v>
      </c>
      <c r="D178" s="311" t="s">
        <v>2174</v>
      </c>
      <c r="E178" s="311" t="s">
        <v>2433</v>
      </c>
      <c r="F178" s="311" t="s">
        <v>2434</v>
      </c>
      <c r="G178" s="311" t="s">
        <v>2785</v>
      </c>
      <c r="H178" s="311" t="s">
        <v>42</v>
      </c>
      <c r="I178" s="317" t="s">
        <v>2786</v>
      </c>
      <c r="J178" s="311" t="s">
        <v>30</v>
      </c>
      <c r="K178" s="311"/>
      <c r="L178" s="311" t="s">
        <v>336</v>
      </c>
      <c r="M178" s="308">
        <v>830241</v>
      </c>
      <c r="N178" s="311"/>
      <c r="O178" s="311" t="s">
        <v>2572</v>
      </c>
      <c r="P178" s="311" t="s">
        <v>34</v>
      </c>
      <c r="Q178" s="325"/>
      <c r="R178" s="319">
        <v>1184.0821002858179</v>
      </c>
      <c r="S178" s="325"/>
      <c r="T178" s="311" t="s">
        <v>34</v>
      </c>
      <c r="U178" s="317"/>
    </row>
    <row r="179" spans="1:21" s="318" customFormat="1" ht="14.1" customHeight="1">
      <c r="A179" s="311">
        <v>175</v>
      </c>
      <c r="B179" s="247" t="s">
        <v>348</v>
      </c>
      <c r="C179" s="247" t="s">
        <v>348</v>
      </c>
      <c r="D179" s="311" t="s">
        <v>2174</v>
      </c>
      <c r="E179" s="311" t="s">
        <v>2433</v>
      </c>
      <c r="F179" s="311" t="s">
        <v>2434</v>
      </c>
      <c r="G179" s="311" t="s">
        <v>2787</v>
      </c>
      <c r="H179" s="311" t="s">
        <v>42</v>
      </c>
      <c r="I179" s="317" t="s">
        <v>2788</v>
      </c>
      <c r="J179" s="311" t="s">
        <v>30</v>
      </c>
      <c r="K179" s="311"/>
      <c r="L179" s="311" t="s">
        <v>336</v>
      </c>
      <c r="M179" s="308">
        <v>830241</v>
      </c>
      <c r="N179" s="311"/>
      <c r="O179" s="311" t="s">
        <v>2572</v>
      </c>
      <c r="P179" s="311" t="s">
        <v>34</v>
      </c>
      <c r="Q179" s="325"/>
      <c r="R179" s="319">
        <v>1076.84447610899</v>
      </c>
      <c r="S179" s="325"/>
      <c r="T179" s="311" t="s">
        <v>34</v>
      </c>
      <c r="U179" s="317"/>
    </row>
    <row r="180" spans="1:21" s="318" customFormat="1" ht="14.1" customHeight="1">
      <c r="A180" s="311">
        <v>176</v>
      </c>
      <c r="B180" s="247" t="s">
        <v>348</v>
      </c>
      <c r="C180" s="247" t="s">
        <v>348</v>
      </c>
      <c r="D180" s="311" t="s">
        <v>2174</v>
      </c>
      <c r="E180" s="311" t="s">
        <v>2433</v>
      </c>
      <c r="F180" s="311" t="s">
        <v>2434</v>
      </c>
      <c r="G180" s="311" t="s">
        <v>2789</v>
      </c>
      <c r="H180" s="311" t="s">
        <v>42</v>
      </c>
      <c r="I180" s="317" t="s">
        <v>2790</v>
      </c>
      <c r="J180" s="311" t="s">
        <v>30</v>
      </c>
      <c r="K180" s="311"/>
      <c r="L180" s="311" t="s">
        <v>336</v>
      </c>
      <c r="M180" s="308">
        <v>830241</v>
      </c>
      <c r="N180" s="311"/>
      <c r="O180" s="311" t="s">
        <v>2572</v>
      </c>
      <c r="P180" s="311" t="s">
        <v>34</v>
      </c>
      <c r="Q180" s="325"/>
      <c r="R180" s="319">
        <v>1226.53032652248</v>
      </c>
      <c r="S180" s="325"/>
      <c r="T180" s="311" t="s">
        <v>34</v>
      </c>
      <c r="U180" s="317"/>
    </row>
    <row r="181" spans="1:21" s="318" customFormat="1" ht="14.1" customHeight="1">
      <c r="A181" s="311">
        <v>177</v>
      </c>
      <c r="B181" s="247" t="s">
        <v>348</v>
      </c>
      <c r="C181" s="247" t="s">
        <v>348</v>
      </c>
      <c r="D181" s="311" t="s">
        <v>2174</v>
      </c>
      <c r="E181" s="311" t="s">
        <v>2433</v>
      </c>
      <c r="F181" s="311" t="s">
        <v>2434</v>
      </c>
      <c r="G181" s="311" t="s">
        <v>2791</v>
      </c>
      <c r="H181" s="311" t="s">
        <v>42</v>
      </c>
      <c r="I181" s="317" t="s">
        <v>2792</v>
      </c>
      <c r="J181" s="311" t="s">
        <v>30</v>
      </c>
      <c r="K181" s="311"/>
      <c r="L181" s="311" t="s">
        <v>336</v>
      </c>
      <c r="M181" s="308">
        <v>830241</v>
      </c>
      <c r="N181" s="311"/>
      <c r="O181" s="311" t="s">
        <v>2572</v>
      </c>
      <c r="P181" s="311" t="s">
        <v>34</v>
      </c>
      <c r="Q181" s="325"/>
      <c r="R181" s="319">
        <v>1112.5903508345989</v>
      </c>
      <c r="S181" s="325"/>
      <c r="T181" s="311" t="s">
        <v>34</v>
      </c>
      <c r="U181" s="317"/>
    </row>
    <row r="182" spans="1:21" s="318" customFormat="1" ht="14.1" customHeight="1">
      <c r="A182" s="311">
        <v>178</v>
      </c>
      <c r="B182" s="247" t="s">
        <v>348</v>
      </c>
      <c r="C182" s="247" t="s">
        <v>348</v>
      </c>
      <c r="D182" s="311" t="s">
        <v>2174</v>
      </c>
      <c r="E182" s="311" t="s">
        <v>2433</v>
      </c>
      <c r="F182" s="311" t="s">
        <v>2434</v>
      </c>
      <c r="G182" s="311" t="s">
        <v>2793</v>
      </c>
      <c r="H182" s="311" t="s">
        <v>42</v>
      </c>
      <c r="I182" s="317" t="s">
        <v>2794</v>
      </c>
      <c r="J182" s="311" t="s">
        <v>30</v>
      </c>
      <c r="K182" s="311"/>
      <c r="L182" s="311" t="s">
        <v>336</v>
      </c>
      <c r="M182" s="308">
        <v>830241</v>
      </c>
      <c r="N182" s="311"/>
      <c r="O182" s="311" t="s">
        <v>2572</v>
      </c>
      <c r="P182" s="311" t="s">
        <v>34</v>
      </c>
      <c r="Q182" s="325"/>
      <c r="R182" s="319">
        <v>1266.744435588791</v>
      </c>
      <c r="S182" s="325"/>
      <c r="T182" s="311" t="s">
        <v>34</v>
      </c>
      <c r="U182" s="317"/>
    </row>
    <row r="183" spans="1:21" s="318" customFormat="1" ht="14.1" customHeight="1">
      <c r="A183" s="311">
        <v>179</v>
      </c>
      <c r="B183" s="247" t="s">
        <v>348</v>
      </c>
      <c r="C183" s="247" t="s">
        <v>348</v>
      </c>
      <c r="D183" s="311" t="s">
        <v>2174</v>
      </c>
      <c r="E183" s="311" t="s">
        <v>2433</v>
      </c>
      <c r="F183" s="311" t="s">
        <v>2434</v>
      </c>
      <c r="G183" s="311" t="s">
        <v>2795</v>
      </c>
      <c r="H183" s="311" t="s">
        <v>42</v>
      </c>
      <c r="I183" s="317" t="s">
        <v>2796</v>
      </c>
      <c r="J183" s="311" t="s">
        <v>30</v>
      </c>
      <c r="K183" s="311"/>
      <c r="L183" s="311" t="s">
        <v>336</v>
      </c>
      <c r="M183" s="308">
        <v>830241</v>
      </c>
      <c r="N183" s="311"/>
      <c r="O183" s="311" t="s">
        <v>2572</v>
      </c>
      <c r="P183" s="311" t="s">
        <v>34</v>
      </c>
      <c r="Q183" s="325"/>
      <c r="R183" s="319">
        <v>1157.2726942416109</v>
      </c>
      <c r="S183" s="325"/>
      <c r="T183" s="311" t="s">
        <v>34</v>
      </c>
      <c r="U183" s="317"/>
    </row>
    <row r="184" spans="1:21" s="318" customFormat="1" ht="14.1" customHeight="1">
      <c r="A184" s="311">
        <v>180</v>
      </c>
      <c r="B184" s="247" t="s">
        <v>348</v>
      </c>
      <c r="C184" s="247" t="s">
        <v>348</v>
      </c>
      <c r="D184" s="311" t="s">
        <v>2174</v>
      </c>
      <c r="E184" s="311" t="s">
        <v>2433</v>
      </c>
      <c r="F184" s="311" t="s">
        <v>2434</v>
      </c>
      <c r="G184" s="311" t="s">
        <v>2797</v>
      </c>
      <c r="H184" s="311" t="s">
        <v>42</v>
      </c>
      <c r="I184" s="317" t="s">
        <v>2798</v>
      </c>
      <c r="J184" s="311" t="s">
        <v>30</v>
      </c>
      <c r="K184" s="311"/>
      <c r="L184" s="311" t="s">
        <v>336</v>
      </c>
      <c r="M184" s="308">
        <v>830241</v>
      </c>
      <c r="N184" s="311"/>
      <c r="O184" s="311" t="s">
        <v>2572</v>
      </c>
      <c r="P184" s="311" t="s">
        <v>34</v>
      </c>
      <c r="Q184" s="325"/>
      <c r="R184" s="319">
        <v>1403.025582980177</v>
      </c>
      <c r="S184" s="325"/>
      <c r="T184" s="311" t="s">
        <v>34</v>
      </c>
      <c r="U184" s="317"/>
    </row>
    <row r="185" spans="1:21" s="318" customFormat="1" ht="14.1" customHeight="1">
      <c r="A185" s="311">
        <v>181</v>
      </c>
      <c r="B185" s="247" t="s">
        <v>348</v>
      </c>
      <c r="C185" s="247" t="s">
        <v>348</v>
      </c>
      <c r="D185" s="311" t="s">
        <v>2174</v>
      </c>
      <c r="E185" s="311" t="s">
        <v>2433</v>
      </c>
      <c r="F185" s="311" t="s">
        <v>2434</v>
      </c>
      <c r="G185" s="311" t="s">
        <v>2799</v>
      </c>
      <c r="H185" s="311" t="s">
        <v>42</v>
      </c>
      <c r="I185" s="317" t="s">
        <v>2800</v>
      </c>
      <c r="J185" s="311" t="s">
        <v>30</v>
      </c>
      <c r="K185" s="311"/>
      <c r="L185" s="311" t="s">
        <v>336</v>
      </c>
      <c r="M185" s="308">
        <v>830241</v>
      </c>
      <c r="N185" s="311"/>
      <c r="O185" s="311" t="s">
        <v>2572</v>
      </c>
      <c r="P185" s="311" t="s">
        <v>34</v>
      </c>
      <c r="Q185" s="325"/>
      <c r="R185" s="319">
        <v>1304.724427484751</v>
      </c>
      <c r="S185" s="325"/>
      <c r="T185" s="311" t="s">
        <v>34</v>
      </c>
      <c r="U185" s="317"/>
    </row>
    <row r="186" spans="1:21" s="318" customFormat="1" ht="14.1" customHeight="1">
      <c r="A186" s="311">
        <v>182</v>
      </c>
      <c r="B186" s="247" t="s">
        <v>348</v>
      </c>
      <c r="C186" s="247" t="s">
        <v>348</v>
      </c>
      <c r="D186" s="311" t="s">
        <v>2174</v>
      </c>
      <c r="E186" s="311" t="s">
        <v>2433</v>
      </c>
      <c r="F186" s="311" t="s">
        <v>2434</v>
      </c>
      <c r="G186" s="311" t="s">
        <v>2801</v>
      </c>
      <c r="H186" s="311" t="s">
        <v>42</v>
      </c>
      <c r="I186" s="317" t="s">
        <v>2802</v>
      </c>
      <c r="J186" s="311" t="s">
        <v>30</v>
      </c>
      <c r="K186" s="311"/>
      <c r="L186" s="311" t="s">
        <v>336</v>
      </c>
      <c r="M186" s="308">
        <v>830241</v>
      </c>
      <c r="N186" s="311"/>
      <c r="O186" s="311" t="s">
        <v>2572</v>
      </c>
      <c r="P186" s="311" t="s">
        <v>34</v>
      </c>
      <c r="Q186" s="325"/>
      <c r="R186" s="319">
        <v>1575.052605097173</v>
      </c>
      <c r="S186" s="325"/>
      <c r="T186" s="311" t="s">
        <v>34</v>
      </c>
      <c r="U186" s="317"/>
    </row>
    <row r="187" spans="1:21" s="318" customFormat="1" ht="14.1" customHeight="1">
      <c r="A187" s="311">
        <v>183</v>
      </c>
      <c r="B187" s="247" t="s">
        <v>348</v>
      </c>
      <c r="C187" s="247" t="s">
        <v>348</v>
      </c>
      <c r="D187" s="311" t="s">
        <v>2174</v>
      </c>
      <c r="E187" s="311" t="s">
        <v>2433</v>
      </c>
      <c r="F187" s="311" t="s">
        <v>2434</v>
      </c>
      <c r="G187" s="311" t="s">
        <v>2803</v>
      </c>
      <c r="H187" s="311" t="s">
        <v>42</v>
      </c>
      <c r="I187" s="317" t="s">
        <v>2804</v>
      </c>
      <c r="J187" s="311" t="s">
        <v>30</v>
      </c>
      <c r="K187" s="311"/>
      <c r="L187" s="311" t="s">
        <v>336</v>
      </c>
      <c r="M187" s="308">
        <v>830241</v>
      </c>
      <c r="N187" s="311"/>
      <c r="O187" s="311" t="s">
        <v>2572</v>
      </c>
      <c r="P187" s="311" t="s">
        <v>34</v>
      </c>
      <c r="Q187" s="325"/>
      <c r="R187" s="319">
        <v>1481.219683942448</v>
      </c>
      <c r="S187" s="325"/>
      <c r="T187" s="311" t="s">
        <v>34</v>
      </c>
      <c r="U187" s="317"/>
    </row>
    <row r="188" spans="1:21" s="318" customFormat="1" ht="14.1" customHeight="1">
      <c r="A188" s="311">
        <v>184</v>
      </c>
      <c r="B188" s="247" t="s">
        <v>348</v>
      </c>
      <c r="C188" s="247" t="s">
        <v>348</v>
      </c>
      <c r="D188" s="311" t="s">
        <v>2174</v>
      </c>
      <c r="E188" s="311" t="s">
        <v>2433</v>
      </c>
      <c r="F188" s="311" t="s">
        <v>2434</v>
      </c>
      <c r="G188" s="311" t="s">
        <v>2805</v>
      </c>
      <c r="H188" s="311" t="s">
        <v>42</v>
      </c>
      <c r="I188" s="317" t="s">
        <v>2806</v>
      </c>
      <c r="J188" s="311" t="s">
        <v>30</v>
      </c>
      <c r="K188" s="311"/>
      <c r="L188" s="311" t="s">
        <v>336</v>
      </c>
      <c r="M188" s="308">
        <v>830241</v>
      </c>
      <c r="N188" s="311"/>
      <c r="O188" s="311" t="s">
        <v>2572</v>
      </c>
      <c r="P188" s="311" t="s">
        <v>34</v>
      </c>
      <c r="Q188" s="325"/>
      <c r="R188" s="319">
        <v>2068.7924997446562</v>
      </c>
      <c r="S188" s="325"/>
      <c r="T188" s="311" t="s">
        <v>34</v>
      </c>
      <c r="U188" s="317"/>
    </row>
    <row r="189" spans="1:21" s="318" customFormat="1" ht="14.1" customHeight="1">
      <c r="A189" s="311">
        <v>185</v>
      </c>
      <c r="B189" s="247" t="s">
        <v>348</v>
      </c>
      <c r="C189" s="247" t="s">
        <v>348</v>
      </c>
      <c r="D189" s="311" t="s">
        <v>2174</v>
      </c>
      <c r="E189" s="311" t="s">
        <v>2433</v>
      </c>
      <c r="F189" s="311" t="s">
        <v>2434</v>
      </c>
      <c r="G189" s="311" t="s">
        <v>2807</v>
      </c>
      <c r="H189" s="311" t="s">
        <v>42</v>
      </c>
      <c r="I189" s="317" t="s">
        <v>2808</v>
      </c>
      <c r="J189" s="311" t="s">
        <v>30</v>
      </c>
      <c r="K189" s="311"/>
      <c r="L189" s="311" t="s">
        <v>336</v>
      </c>
      <c r="M189" s="308">
        <v>830241</v>
      </c>
      <c r="N189" s="311"/>
      <c r="O189" s="311" t="s">
        <v>2572</v>
      </c>
      <c r="P189" s="311" t="s">
        <v>34</v>
      </c>
      <c r="Q189" s="325"/>
      <c r="R189" s="319">
        <v>1867.7219544131019</v>
      </c>
      <c r="S189" s="325"/>
      <c r="T189" s="311" t="s">
        <v>34</v>
      </c>
      <c r="U189" s="317"/>
    </row>
    <row r="190" spans="1:21" s="318" customFormat="1" ht="14.1" customHeight="1">
      <c r="A190" s="311">
        <v>186</v>
      </c>
      <c r="B190" s="247" t="s">
        <v>348</v>
      </c>
      <c r="C190" s="247" t="s">
        <v>348</v>
      </c>
      <c r="D190" s="311" t="s">
        <v>2174</v>
      </c>
      <c r="E190" s="311" t="s">
        <v>2433</v>
      </c>
      <c r="F190" s="311" t="s">
        <v>2434</v>
      </c>
      <c r="G190" s="311" t="s">
        <v>2809</v>
      </c>
      <c r="H190" s="311" t="s">
        <v>42</v>
      </c>
      <c r="I190" s="317" t="s">
        <v>2810</v>
      </c>
      <c r="J190" s="311" t="s">
        <v>30</v>
      </c>
      <c r="K190" s="311"/>
      <c r="L190" s="311" t="s">
        <v>336</v>
      </c>
      <c r="M190" s="308">
        <v>830241</v>
      </c>
      <c r="N190" s="311"/>
      <c r="O190" s="311" t="s">
        <v>2572</v>
      </c>
      <c r="P190" s="311" t="s">
        <v>34</v>
      </c>
      <c r="Q190" s="325"/>
      <c r="R190" s="319">
        <v>618.85045618711627</v>
      </c>
      <c r="S190" s="325"/>
      <c r="T190" s="311" t="s">
        <v>34</v>
      </c>
      <c r="U190" s="317"/>
    </row>
    <row r="191" spans="1:21" s="318" customFormat="1" ht="14.1" customHeight="1">
      <c r="A191" s="311">
        <v>187</v>
      </c>
      <c r="B191" s="247" t="s">
        <v>348</v>
      </c>
      <c r="C191" s="247" t="s">
        <v>348</v>
      </c>
      <c r="D191" s="311" t="s">
        <v>2174</v>
      </c>
      <c r="E191" s="311" t="s">
        <v>2433</v>
      </c>
      <c r="F191" s="311" t="s">
        <v>2434</v>
      </c>
      <c r="G191" s="311" t="s">
        <v>2811</v>
      </c>
      <c r="H191" s="311" t="s">
        <v>42</v>
      </c>
      <c r="I191" s="317" t="s">
        <v>2812</v>
      </c>
      <c r="J191" s="311" t="s">
        <v>30</v>
      </c>
      <c r="K191" s="311"/>
      <c r="L191" s="311" t="s">
        <v>336</v>
      </c>
      <c r="M191" s="308">
        <v>830241</v>
      </c>
      <c r="N191" s="311"/>
      <c r="O191" s="311" t="s">
        <v>2572</v>
      </c>
      <c r="P191" s="311" t="s">
        <v>34</v>
      </c>
      <c r="Q191" s="325"/>
      <c r="R191" s="319">
        <v>567.46576126905256</v>
      </c>
      <c r="S191" s="325"/>
      <c r="T191" s="311" t="s">
        <v>34</v>
      </c>
      <c r="U191" s="317"/>
    </row>
    <row r="192" spans="1:21" s="318" customFormat="1" ht="14.1" customHeight="1">
      <c r="A192" s="311">
        <v>188</v>
      </c>
      <c r="B192" s="247" t="s">
        <v>348</v>
      </c>
      <c r="C192" s="247" t="s">
        <v>348</v>
      </c>
      <c r="D192" s="311" t="s">
        <v>2174</v>
      </c>
      <c r="E192" s="311" t="s">
        <v>2433</v>
      </c>
      <c r="F192" s="311" t="s">
        <v>2434</v>
      </c>
      <c r="G192" s="311" t="s">
        <v>2813</v>
      </c>
      <c r="H192" s="311" t="s">
        <v>42</v>
      </c>
      <c r="I192" s="317" t="s">
        <v>2814</v>
      </c>
      <c r="J192" s="311" t="s">
        <v>30</v>
      </c>
      <c r="K192" s="311"/>
      <c r="L192" s="311" t="s">
        <v>336</v>
      </c>
      <c r="M192" s="308">
        <v>830241</v>
      </c>
      <c r="N192" s="311"/>
      <c r="O192" s="311" t="s">
        <v>2572</v>
      </c>
      <c r="P192" s="311" t="s">
        <v>34</v>
      </c>
      <c r="Q192" s="325"/>
      <c r="R192" s="319">
        <v>1711.3337524885601</v>
      </c>
      <c r="S192" s="325"/>
      <c r="T192" s="311" t="s">
        <v>34</v>
      </c>
      <c r="U192" s="317"/>
    </row>
    <row r="193" spans="1:21" s="318" customFormat="1" ht="14.1" customHeight="1">
      <c r="A193" s="311">
        <v>189</v>
      </c>
      <c r="B193" s="247" t="s">
        <v>348</v>
      </c>
      <c r="C193" s="247" t="s">
        <v>348</v>
      </c>
      <c r="D193" s="311" t="s">
        <v>2174</v>
      </c>
      <c r="E193" s="311" t="s">
        <v>2433</v>
      </c>
      <c r="F193" s="311" t="s">
        <v>2434</v>
      </c>
      <c r="G193" s="311" t="s">
        <v>2815</v>
      </c>
      <c r="H193" s="311" t="s">
        <v>42</v>
      </c>
      <c r="I193" s="317" t="s">
        <v>2816</v>
      </c>
      <c r="J193" s="311" t="s">
        <v>30</v>
      </c>
      <c r="K193" s="311"/>
      <c r="L193" s="311" t="s">
        <v>336</v>
      </c>
      <c r="M193" s="308">
        <v>830241</v>
      </c>
      <c r="N193" s="311"/>
      <c r="O193" s="311" t="s">
        <v>2572</v>
      </c>
      <c r="P193" s="311" t="s">
        <v>34</v>
      </c>
      <c r="Q193" s="325"/>
      <c r="R193" s="319">
        <v>1601.8620111413809</v>
      </c>
      <c r="S193" s="325"/>
      <c r="T193" s="311" t="s">
        <v>34</v>
      </c>
      <c r="U193" s="317"/>
    </row>
    <row r="194" spans="1:21" s="318" customFormat="1" ht="14.1" customHeight="1">
      <c r="A194" s="311">
        <v>190</v>
      </c>
      <c r="B194" s="247" t="s">
        <v>348</v>
      </c>
      <c r="C194" s="247" t="s">
        <v>348</v>
      </c>
      <c r="D194" s="311" t="s">
        <v>2174</v>
      </c>
      <c r="E194" s="311" t="s">
        <v>2433</v>
      </c>
      <c r="F194" s="311" t="s">
        <v>2434</v>
      </c>
      <c r="G194" s="311" t="s">
        <v>2817</v>
      </c>
      <c r="H194" s="311" t="s">
        <v>42</v>
      </c>
      <c r="I194" s="317" t="s">
        <v>2818</v>
      </c>
      <c r="J194" s="311" t="s">
        <v>30</v>
      </c>
      <c r="K194" s="311"/>
      <c r="L194" s="311" t="s">
        <v>336</v>
      </c>
      <c r="M194" s="308">
        <v>830241</v>
      </c>
      <c r="N194" s="311"/>
      <c r="O194" s="311" t="s">
        <v>2572</v>
      </c>
      <c r="P194" s="311" t="s">
        <v>34</v>
      </c>
      <c r="Q194" s="325"/>
      <c r="R194" s="319">
        <v>1487.9220354535</v>
      </c>
      <c r="S194" s="325"/>
      <c r="T194" s="311" t="s">
        <v>34</v>
      </c>
      <c r="U194" s="317"/>
    </row>
    <row r="195" spans="1:21" s="318" customFormat="1" ht="14.1" customHeight="1">
      <c r="A195" s="311">
        <v>191</v>
      </c>
      <c r="B195" s="247" t="s">
        <v>348</v>
      </c>
      <c r="C195" s="247" t="s">
        <v>348</v>
      </c>
      <c r="D195" s="311" t="s">
        <v>2174</v>
      </c>
      <c r="E195" s="311" t="s">
        <v>2433</v>
      </c>
      <c r="F195" s="311" t="s">
        <v>2434</v>
      </c>
      <c r="G195" s="311" t="s">
        <v>2819</v>
      </c>
      <c r="H195" s="311" t="s">
        <v>42</v>
      </c>
      <c r="I195" s="317" t="s">
        <v>2820</v>
      </c>
      <c r="J195" s="311" t="s">
        <v>30</v>
      </c>
      <c r="K195" s="311"/>
      <c r="L195" s="311" t="s">
        <v>336</v>
      </c>
      <c r="M195" s="308">
        <v>830241</v>
      </c>
      <c r="N195" s="311"/>
      <c r="O195" s="311" t="s">
        <v>2572</v>
      </c>
      <c r="P195" s="311" t="s">
        <v>34</v>
      </c>
      <c r="Q195" s="325"/>
      <c r="R195" s="319">
        <v>1371.747942595269</v>
      </c>
      <c r="S195" s="325"/>
      <c r="T195" s="311" t="s">
        <v>34</v>
      </c>
      <c r="U195" s="317"/>
    </row>
    <row r="196" spans="1:21" s="318" customFormat="1" ht="14.1" customHeight="1">
      <c r="A196" s="311">
        <v>192</v>
      </c>
      <c r="B196" s="247" t="s">
        <v>348</v>
      </c>
      <c r="C196" s="247" t="s">
        <v>348</v>
      </c>
      <c r="D196" s="311" t="s">
        <v>2174</v>
      </c>
      <c r="E196" s="311" t="s">
        <v>2433</v>
      </c>
      <c r="F196" s="311" t="s">
        <v>2434</v>
      </c>
      <c r="G196" s="311" t="s">
        <v>2821</v>
      </c>
      <c r="H196" s="311" t="s">
        <v>42</v>
      </c>
      <c r="I196" s="317" t="s">
        <v>2822</v>
      </c>
      <c r="J196" s="311" t="s">
        <v>30</v>
      </c>
      <c r="K196" s="311"/>
      <c r="L196" s="311" t="s">
        <v>336</v>
      </c>
      <c r="M196" s="308">
        <v>830241</v>
      </c>
      <c r="N196" s="311"/>
      <c r="O196" s="311" t="s">
        <v>2572</v>
      </c>
      <c r="P196" s="311" t="s">
        <v>34</v>
      </c>
      <c r="Q196" s="325"/>
      <c r="R196" s="319">
        <v>1159.506811411962</v>
      </c>
      <c r="S196" s="325"/>
      <c r="T196" s="311" t="s">
        <v>34</v>
      </c>
      <c r="U196" s="317"/>
    </row>
    <row r="197" spans="1:21" s="318" customFormat="1" ht="14.1" customHeight="1">
      <c r="A197" s="311">
        <v>193</v>
      </c>
      <c r="B197" s="247" t="s">
        <v>348</v>
      </c>
      <c r="C197" s="247" t="s">
        <v>348</v>
      </c>
      <c r="D197" s="311" t="s">
        <v>2174</v>
      </c>
      <c r="E197" s="311" t="s">
        <v>2433</v>
      </c>
      <c r="F197" s="311" t="s">
        <v>2434</v>
      </c>
      <c r="G197" s="311" t="s">
        <v>2823</v>
      </c>
      <c r="H197" s="311" t="s">
        <v>42</v>
      </c>
      <c r="I197" s="317" t="s">
        <v>2824</v>
      </c>
      <c r="J197" s="311" t="s">
        <v>30</v>
      </c>
      <c r="K197" s="311"/>
      <c r="L197" s="311" t="s">
        <v>336</v>
      </c>
      <c r="M197" s="308">
        <v>830241</v>
      </c>
      <c r="N197" s="311"/>
      <c r="O197" s="311" t="s">
        <v>2572</v>
      </c>
      <c r="P197" s="311" t="s">
        <v>34</v>
      </c>
      <c r="Q197" s="325"/>
      <c r="R197" s="319">
        <v>1043.332718553731</v>
      </c>
      <c r="S197" s="325"/>
      <c r="T197" s="311" t="s">
        <v>34</v>
      </c>
      <c r="U197" s="317"/>
    </row>
    <row r="198" spans="1:21" s="318" customFormat="1" ht="14.1" customHeight="1">
      <c r="A198" s="311">
        <v>194</v>
      </c>
      <c r="B198" s="247" t="s">
        <v>348</v>
      </c>
      <c r="C198" s="247" t="s">
        <v>348</v>
      </c>
      <c r="D198" s="311" t="s">
        <v>2174</v>
      </c>
      <c r="E198" s="311" t="s">
        <v>2433</v>
      </c>
      <c r="F198" s="311" t="s">
        <v>2434</v>
      </c>
      <c r="G198" s="311" t="s">
        <v>2825</v>
      </c>
      <c r="H198" s="311" t="s">
        <v>42</v>
      </c>
      <c r="I198" s="317" t="s">
        <v>2826</v>
      </c>
      <c r="J198" s="311" t="s">
        <v>30</v>
      </c>
      <c r="K198" s="311"/>
      <c r="L198" s="311" t="s">
        <v>336</v>
      </c>
      <c r="M198" s="308">
        <v>830241</v>
      </c>
      <c r="N198" s="311"/>
      <c r="O198" s="311" t="s">
        <v>2572</v>
      </c>
      <c r="P198" s="311" t="s">
        <v>34</v>
      </c>
      <c r="Q198" s="325"/>
      <c r="R198" s="319">
        <v>1179.6138659451169</v>
      </c>
      <c r="S198" s="325"/>
      <c r="T198" s="311" t="s">
        <v>34</v>
      </c>
      <c r="U198" s="317"/>
    </row>
    <row r="199" spans="1:21" s="318" customFormat="1" ht="14.1" customHeight="1">
      <c r="A199" s="311">
        <v>195</v>
      </c>
      <c r="B199" s="247" t="s">
        <v>348</v>
      </c>
      <c r="C199" s="247" t="s">
        <v>348</v>
      </c>
      <c r="D199" s="311" t="s">
        <v>2174</v>
      </c>
      <c r="E199" s="311" t="s">
        <v>2433</v>
      </c>
      <c r="F199" s="311" t="s">
        <v>2434</v>
      </c>
      <c r="G199" s="311" t="s">
        <v>2827</v>
      </c>
      <c r="H199" s="311" t="s">
        <v>42</v>
      </c>
      <c r="I199" s="317" t="s">
        <v>2828</v>
      </c>
      <c r="J199" s="311" t="s">
        <v>30</v>
      </c>
      <c r="K199" s="311"/>
      <c r="L199" s="311" t="s">
        <v>336</v>
      </c>
      <c r="M199" s="308">
        <v>830241</v>
      </c>
      <c r="N199" s="311"/>
      <c r="O199" s="311" t="s">
        <v>2572</v>
      </c>
      <c r="P199" s="311" t="s">
        <v>34</v>
      </c>
      <c r="Q199" s="325"/>
      <c r="R199" s="319">
        <v>1067.9080074275871</v>
      </c>
      <c r="S199" s="325"/>
      <c r="T199" s="311" t="s">
        <v>34</v>
      </c>
      <c r="U199" s="317"/>
    </row>
    <row r="200" spans="1:21" s="318" customFormat="1" ht="14.1" customHeight="1">
      <c r="A200" s="311">
        <v>196</v>
      </c>
      <c r="B200" s="247" t="s">
        <v>348</v>
      </c>
      <c r="C200" s="247" t="s">
        <v>348</v>
      </c>
      <c r="D200" s="311" t="s">
        <v>2174</v>
      </c>
      <c r="E200" s="311" t="s">
        <v>2433</v>
      </c>
      <c r="F200" s="311" t="s">
        <v>2434</v>
      </c>
      <c r="G200" s="311" t="s">
        <v>2829</v>
      </c>
      <c r="H200" s="311" t="s">
        <v>42</v>
      </c>
      <c r="I200" s="317" t="s">
        <v>2830</v>
      </c>
      <c r="J200" s="311" t="s">
        <v>30</v>
      </c>
      <c r="K200" s="311"/>
      <c r="L200" s="311" t="s">
        <v>336</v>
      </c>
      <c r="M200" s="308">
        <v>830241</v>
      </c>
      <c r="N200" s="311"/>
      <c r="O200" s="311" t="s">
        <v>2572</v>
      </c>
      <c r="P200" s="311" t="s">
        <v>34</v>
      </c>
      <c r="Q200" s="325"/>
      <c r="R200" s="319">
        <v>1217.5938578410769</v>
      </c>
      <c r="S200" s="325"/>
      <c r="T200" s="311" t="s">
        <v>34</v>
      </c>
      <c r="U200" s="317"/>
    </row>
    <row r="201" spans="1:21" s="318" customFormat="1" ht="14.1" customHeight="1">
      <c r="A201" s="311">
        <v>197</v>
      </c>
      <c r="B201" s="247" t="s">
        <v>348</v>
      </c>
      <c r="C201" s="247" t="s">
        <v>348</v>
      </c>
      <c r="D201" s="311" t="s">
        <v>2174</v>
      </c>
      <c r="E201" s="311" t="s">
        <v>2433</v>
      </c>
      <c r="F201" s="311" t="s">
        <v>2434</v>
      </c>
      <c r="G201" s="311" t="s">
        <v>2831</v>
      </c>
      <c r="H201" s="311" t="s">
        <v>42</v>
      </c>
      <c r="I201" s="317" t="s">
        <v>2832</v>
      </c>
      <c r="J201" s="311" t="s">
        <v>30</v>
      </c>
      <c r="K201" s="311"/>
      <c r="L201" s="311" t="s">
        <v>336</v>
      </c>
      <c r="M201" s="308">
        <v>830241</v>
      </c>
      <c r="N201" s="311"/>
      <c r="O201" s="311" t="s">
        <v>2572</v>
      </c>
      <c r="P201" s="311" t="s">
        <v>34</v>
      </c>
      <c r="Q201" s="325"/>
      <c r="R201" s="319">
        <v>1105.8879993235471</v>
      </c>
      <c r="S201" s="325"/>
      <c r="T201" s="311" t="s">
        <v>34</v>
      </c>
      <c r="U201" s="317"/>
    </row>
    <row r="202" spans="1:21" s="318" customFormat="1" ht="14.1" customHeight="1">
      <c r="A202" s="311">
        <v>198</v>
      </c>
      <c r="B202" s="247" t="s">
        <v>348</v>
      </c>
      <c r="C202" s="247" t="s">
        <v>348</v>
      </c>
      <c r="D202" s="311" t="s">
        <v>2174</v>
      </c>
      <c r="E202" s="311" t="s">
        <v>2433</v>
      </c>
      <c r="F202" s="311" t="s">
        <v>2434</v>
      </c>
      <c r="G202" s="311" t="s">
        <v>2833</v>
      </c>
      <c r="H202" s="311" t="s">
        <v>42</v>
      </c>
      <c r="I202" s="317" t="s">
        <v>2834</v>
      </c>
      <c r="J202" s="311" t="s">
        <v>30</v>
      </c>
      <c r="K202" s="311"/>
      <c r="L202" s="311" t="s">
        <v>336</v>
      </c>
      <c r="M202" s="308">
        <v>830241</v>
      </c>
      <c r="N202" s="311"/>
      <c r="O202" s="311" t="s">
        <v>2572</v>
      </c>
      <c r="P202" s="311" t="s">
        <v>34</v>
      </c>
      <c r="Q202" s="325"/>
      <c r="R202" s="319">
        <v>1239.9350295445829</v>
      </c>
      <c r="S202" s="325"/>
      <c r="T202" s="311" t="s">
        <v>34</v>
      </c>
      <c r="U202" s="317"/>
    </row>
    <row r="203" spans="1:21" s="318" customFormat="1" ht="14.1" customHeight="1">
      <c r="A203" s="311">
        <v>199</v>
      </c>
      <c r="B203" s="247" t="s">
        <v>348</v>
      </c>
      <c r="C203" s="247" t="s">
        <v>348</v>
      </c>
      <c r="D203" s="311" t="s">
        <v>2174</v>
      </c>
      <c r="E203" s="311" t="s">
        <v>2433</v>
      </c>
      <c r="F203" s="311" t="s">
        <v>2434</v>
      </c>
      <c r="G203" s="311" t="s">
        <v>2835</v>
      </c>
      <c r="H203" s="311" t="s">
        <v>42</v>
      </c>
      <c r="I203" s="317" t="s">
        <v>2836</v>
      </c>
      <c r="J203" s="311" t="s">
        <v>30</v>
      </c>
      <c r="K203" s="311"/>
      <c r="L203" s="311" t="s">
        <v>336</v>
      </c>
      <c r="M203" s="308">
        <v>830241</v>
      </c>
      <c r="N203" s="311"/>
      <c r="O203" s="311" t="s">
        <v>2572</v>
      </c>
      <c r="P203" s="311" t="s">
        <v>34</v>
      </c>
      <c r="Q203" s="325"/>
      <c r="R203" s="319">
        <v>1130.4632881974039</v>
      </c>
      <c r="S203" s="325"/>
      <c r="T203" s="311" t="s">
        <v>34</v>
      </c>
      <c r="U203" s="317"/>
    </row>
    <row r="204" spans="1:21" s="318" customFormat="1" ht="14.1" customHeight="1">
      <c r="A204" s="311">
        <v>200</v>
      </c>
      <c r="B204" s="247" t="s">
        <v>348</v>
      </c>
      <c r="C204" s="247" t="s">
        <v>348</v>
      </c>
      <c r="D204" s="311" t="s">
        <v>2174</v>
      </c>
      <c r="E204" s="311" t="s">
        <v>2433</v>
      </c>
      <c r="F204" s="311" t="s">
        <v>2434</v>
      </c>
      <c r="G204" s="311" t="s">
        <v>2837</v>
      </c>
      <c r="H204" s="311" t="s">
        <v>42</v>
      </c>
      <c r="I204" s="317" t="s">
        <v>2838</v>
      </c>
      <c r="J204" s="311" t="s">
        <v>30</v>
      </c>
      <c r="K204" s="311"/>
      <c r="L204" s="311" t="s">
        <v>336</v>
      </c>
      <c r="M204" s="308">
        <v>830241</v>
      </c>
      <c r="N204" s="311"/>
      <c r="O204" s="311" t="s">
        <v>2572</v>
      </c>
      <c r="P204" s="311" t="s">
        <v>34</v>
      </c>
      <c r="Q204" s="325"/>
      <c r="R204" s="319">
        <v>1282.383255781245</v>
      </c>
      <c r="S204" s="325"/>
      <c r="T204" s="311" t="s">
        <v>34</v>
      </c>
      <c r="U204" s="317"/>
    </row>
    <row r="205" spans="1:21" s="318" customFormat="1" ht="14.1" customHeight="1">
      <c r="A205" s="311">
        <v>201</v>
      </c>
      <c r="B205" s="247" t="s">
        <v>348</v>
      </c>
      <c r="C205" s="247" t="s">
        <v>348</v>
      </c>
      <c r="D205" s="311" t="s">
        <v>2174</v>
      </c>
      <c r="E205" s="311" t="s">
        <v>2433</v>
      </c>
      <c r="F205" s="311" t="s">
        <v>2434</v>
      </c>
      <c r="G205" s="311" t="s">
        <v>2839</v>
      </c>
      <c r="H205" s="311" t="s">
        <v>42</v>
      </c>
      <c r="I205" s="317" t="s">
        <v>2840</v>
      </c>
      <c r="J205" s="311" t="s">
        <v>30</v>
      </c>
      <c r="K205" s="311"/>
      <c r="L205" s="311" t="s">
        <v>336</v>
      </c>
      <c r="M205" s="308">
        <v>830241</v>
      </c>
      <c r="N205" s="311"/>
      <c r="O205" s="311" t="s">
        <v>2572</v>
      </c>
      <c r="P205" s="311" t="s">
        <v>34</v>
      </c>
      <c r="Q205" s="325"/>
      <c r="R205" s="319">
        <v>1190.7844517968699</v>
      </c>
      <c r="S205" s="325"/>
      <c r="T205" s="311" t="s">
        <v>34</v>
      </c>
      <c r="U205" s="317"/>
    </row>
    <row r="206" spans="1:21" s="318" customFormat="1" ht="14.1" customHeight="1">
      <c r="A206" s="311">
        <v>202</v>
      </c>
      <c r="B206" s="247" t="s">
        <v>348</v>
      </c>
      <c r="C206" s="247" t="s">
        <v>348</v>
      </c>
      <c r="D206" s="311" t="s">
        <v>2174</v>
      </c>
      <c r="E206" s="311" t="s">
        <v>2433</v>
      </c>
      <c r="F206" s="311" t="s">
        <v>2434</v>
      </c>
      <c r="G206" s="311" t="s">
        <v>2841</v>
      </c>
      <c r="H206" s="311" t="s">
        <v>42</v>
      </c>
      <c r="I206" s="317" t="s">
        <v>2842</v>
      </c>
      <c r="J206" s="311" t="s">
        <v>30</v>
      </c>
      <c r="K206" s="311"/>
      <c r="L206" s="311" t="s">
        <v>336</v>
      </c>
      <c r="M206" s="308">
        <v>830241</v>
      </c>
      <c r="N206" s="311"/>
      <c r="O206" s="311" t="s">
        <v>2572</v>
      </c>
      <c r="P206" s="311" t="s">
        <v>34</v>
      </c>
      <c r="Q206" s="325"/>
      <c r="R206" s="319">
        <v>1327.065599188257</v>
      </c>
      <c r="S206" s="325"/>
      <c r="T206" s="311" t="s">
        <v>34</v>
      </c>
      <c r="U206" s="317"/>
    </row>
    <row r="207" spans="1:21" s="318" customFormat="1" ht="14.1" customHeight="1">
      <c r="A207" s="311">
        <v>203</v>
      </c>
      <c r="B207" s="247" t="s">
        <v>348</v>
      </c>
      <c r="C207" s="247" t="s">
        <v>348</v>
      </c>
      <c r="D207" s="311" t="s">
        <v>2174</v>
      </c>
      <c r="E207" s="311" t="s">
        <v>2433</v>
      </c>
      <c r="F207" s="311" t="s">
        <v>2434</v>
      </c>
      <c r="G207" s="311" t="s">
        <v>2843</v>
      </c>
      <c r="H207" s="311" t="s">
        <v>42</v>
      </c>
      <c r="I207" s="317" t="s">
        <v>2844</v>
      </c>
      <c r="J207" s="311" t="s">
        <v>30</v>
      </c>
      <c r="K207" s="311"/>
      <c r="L207" s="311" t="s">
        <v>336</v>
      </c>
      <c r="M207" s="308">
        <v>830241</v>
      </c>
      <c r="N207" s="311"/>
      <c r="O207" s="311" t="s">
        <v>2572</v>
      </c>
      <c r="P207" s="311" t="s">
        <v>34</v>
      </c>
      <c r="Q207" s="325"/>
      <c r="R207" s="319">
        <v>1233.2326780335311</v>
      </c>
      <c r="S207" s="325"/>
      <c r="T207" s="311" t="s">
        <v>34</v>
      </c>
      <c r="U207" s="317"/>
    </row>
    <row r="208" spans="1:21" s="318" customFormat="1" ht="14.1" customHeight="1">
      <c r="A208" s="311">
        <v>204</v>
      </c>
      <c r="B208" s="247" t="s">
        <v>348</v>
      </c>
      <c r="C208" s="247" t="s">
        <v>348</v>
      </c>
      <c r="D208" s="311" t="s">
        <v>2174</v>
      </c>
      <c r="E208" s="311" t="s">
        <v>2433</v>
      </c>
      <c r="F208" s="311" t="s">
        <v>2434</v>
      </c>
      <c r="G208" s="311" t="s">
        <v>2845</v>
      </c>
      <c r="H208" s="311" t="s">
        <v>42</v>
      </c>
      <c r="I208" s="317" t="s">
        <v>2846</v>
      </c>
      <c r="J208" s="311" t="s">
        <v>30</v>
      </c>
      <c r="K208" s="311"/>
      <c r="L208" s="311" t="s">
        <v>336</v>
      </c>
      <c r="M208" s="308">
        <v>830241</v>
      </c>
      <c r="N208" s="311"/>
      <c r="O208" s="311" t="s">
        <v>2572</v>
      </c>
      <c r="P208" s="311" t="s">
        <v>34</v>
      </c>
      <c r="Q208" s="325"/>
      <c r="R208" s="319">
        <v>1367.279708254568</v>
      </c>
      <c r="S208" s="325"/>
      <c r="T208" s="311" t="s">
        <v>34</v>
      </c>
      <c r="U208" s="317"/>
    </row>
    <row r="209" spans="1:21" s="318" customFormat="1" ht="14.1" customHeight="1">
      <c r="A209" s="311">
        <v>205</v>
      </c>
      <c r="B209" s="247" t="s">
        <v>348</v>
      </c>
      <c r="C209" s="247" t="s">
        <v>348</v>
      </c>
      <c r="D209" s="311" t="s">
        <v>2174</v>
      </c>
      <c r="E209" s="311" t="s">
        <v>2433</v>
      </c>
      <c r="F209" s="311" t="s">
        <v>2434</v>
      </c>
      <c r="G209" s="311" t="s">
        <v>2847</v>
      </c>
      <c r="H209" s="311" t="s">
        <v>42</v>
      </c>
      <c r="I209" s="317" t="s">
        <v>2848</v>
      </c>
      <c r="J209" s="311" t="s">
        <v>30</v>
      </c>
      <c r="K209" s="311"/>
      <c r="L209" s="311" t="s">
        <v>336</v>
      </c>
      <c r="M209" s="308">
        <v>830241</v>
      </c>
      <c r="N209" s="311"/>
      <c r="O209" s="311" t="s">
        <v>2572</v>
      </c>
      <c r="P209" s="311" t="s">
        <v>34</v>
      </c>
      <c r="Q209" s="325"/>
      <c r="R209" s="319">
        <v>1273.4467870998419</v>
      </c>
      <c r="S209" s="325"/>
      <c r="T209" s="311" t="s">
        <v>34</v>
      </c>
      <c r="U209" s="317"/>
    </row>
    <row r="210" spans="1:21" s="318" customFormat="1" ht="14.1" customHeight="1">
      <c r="A210" s="311">
        <v>206</v>
      </c>
      <c r="B210" s="247" t="s">
        <v>348</v>
      </c>
      <c r="C210" s="247" t="s">
        <v>348</v>
      </c>
      <c r="D210" s="311" t="s">
        <v>2174</v>
      </c>
      <c r="E210" s="311" t="s">
        <v>2433</v>
      </c>
      <c r="F210" s="311" t="s">
        <v>2434</v>
      </c>
      <c r="G210" s="311" t="s">
        <v>2849</v>
      </c>
      <c r="H210" s="311" t="s">
        <v>42</v>
      </c>
      <c r="I210" s="317" t="s">
        <v>2850</v>
      </c>
      <c r="J210" s="311" t="s">
        <v>30</v>
      </c>
      <c r="K210" s="311"/>
      <c r="L210" s="311" t="s">
        <v>336</v>
      </c>
      <c r="M210" s="308">
        <v>830241</v>
      </c>
      <c r="N210" s="311"/>
      <c r="O210" s="311" t="s">
        <v>2572</v>
      </c>
      <c r="P210" s="311" t="s">
        <v>34</v>
      </c>
      <c r="Q210" s="325"/>
      <c r="R210" s="319">
        <v>1503.560855645954</v>
      </c>
      <c r="S210" s="325"/>
      <c r="T210" s="311" t="s">
        <v>34</v>
      </c>
      <c r="U210" s="317"/>
    </row>
    <row r="211" spans="1:21" s="318" customFormat="1" ht="14.1" customHeight="1">
      <c r="A211" s="311">
        <v>207</v>
      </c>
      <c r="B211" s="247" t="s">
        <v>348</v>
      </c>
      <c r="C211" s="247" t="s">
        <v>348</v>
      </c>
      <c r="D211" s="311" t="s">
        <v>2174</v>
      </c>
      <c r="E211" s="311" t="s">
        <v>2433</v>
      </c>
      <c r="F211" s="311" t="s">
        <v>2434</v>
      </c>
      <c r="G211" s="311" t="s">
        <v>2851</v>
      </c>
      <c r="H211" s="311" t="s">
        <v>42</v>
      </c>
      <c r="I211" s="317" t="s">
        <v>2852</v>
      </c>
      <c r="J211" s="311" t="s">
        <v>30</v>
      </c>
      <c r="K211" s="311"/>
      <c r="L211" s="311" t="s">
        <v>336</v>
      </c>
      <c r="M211" s="308">
        <v>830241</v>
      </c>
      <c r="N211" s="311"/>
      <c r="O211" s="311" t="s">
        <v>2572</v>
      </c>
      <c r="P211" s="311" t="s">
        <v>34</v>
      </c>
      <c r="Q211" s="325"/>
      <c r="R211" s="319">
        <v>1411.9620516615789</v>
      </c>
      <c r="S211" s="325"/>
      <c r="T211" s="311" t="s">
        <v>34</v>
      </c>
      <c r="U211" s="317"/>
    </row>
    <row r="212" spans="1:21" s="318" customFormat="1" ht="14.1" customHeight="1">
      <c r="A212" s="311">
        <v>208</v>
      </c>
      <c r="B212" s="247" t="s">
        <v>348</v>
      </c>
      <c r="C212" s="247" t="s">
        <v>348</v>
      </c>
      <c r="D212" s="311" t="s">
        <v>2174</v>
      </c>
      <c r="E212" s="311" t="s">
        <v>2433</v>
      </c>
      <c r="F212" s="311" t="s">
        <v>2434</v>
      </c>
      <c r="G212" s="311" t="s">
        <v>2853</v>
      </c>
      <c r="H212" s="311" t="s">
        <v>42</v>
      </c>
      <c r="I212" s="317" t="s">
        <v>2854</v>
      </c>
      <c r="J212" s="311" t="s">
        <v>30</v>
      </c>
      <c r="K212" s="311"/>
      <c r="L212" s="311" t="s">
        <v>336</v>
      </c>
      <c r="M212" s="308">
        <v>830241</v>
      </c>
      <c r="N212" s="311"/>
      <c r="O212" s="311" t="s">
        <v>2572</v>
      </c>
      <c r="P212" s="311" t="s">
        <v>34</v>
      </c>
      <c r="Q212" s="325"/>
      <c r="R212" s="319">
        <v>1677.8219949333011</v>
      </c>
      <c r="S212" s="325"/>
      <c r="T212" s="311" t="s">
        <v>34</v>
      </c>
      <c r="U212" s="317"/>
    </row>
    <row r="213" spans="1:21" s="318" customFormat="1" ht="14.1" customHeight="1">
      <c r="A213" s="311">
        <v>209</v>
      </c>
      <c r="B213" s="247" t="s">
        <v>348</v>
      </c>
      <c r="C213" s="247" t="s">
        <v>348</v>
      </c>
      <c r="D213" s="311" t="s">
        <v>2174</v>
      </c>
      <c r="E213" s="311" t="s">
        <v>2433</v>
      </c>
      <c r="F213" s="311" t="s">
        <v>2434</v>
      </c>
      <c r="G213" s="311" t="s">
        <v>2855</v>
      </c>
      <c r="H213" s="311" t="s">
        <v>42</v>
      </c>
      <c r="I213" s="317" t="s">
        <v>2856</v>
      </c>
      <c r="J213" s="311" t="s">
        <v>30</v>
      </c>
      <c r="K213" s="311"/>
      <c r="L213" s="311" t="s">
        <v>336</v>
      </c>
      <c r="M213" s="308">
        <v>830241</v>
      </c>
      <c r="N213" s="311"/>
      <c r="O213" s="311" t="s">
        <v>2572</v>
      </c>
      <c r="P213" s="311" t="s">
        <v>34</v>
      </c>
      <c r="Q213" s="325"/>
      <c r="R213" s="319">
        <v>1583.9890737785761</v>
      </c>
      <c r="S213" s="325"/>
      <c r="T213" s="311" t="s">
        <v>34</v>
      </c>
      <c r="U213" s="317"/>
    </row>
    <row r="214" spans="1:21" s="318" customFormat="1" ht="14.1" customHeight="1">
      <c r="A214" s="311">
        <v>210</v>
      </c>
      <c r="B214" s="247" t="s">
        <v>348</v>
      </c>
      <c r="C214" s="247" t="s">
        <v>348</v>
      </c>
      <c r="D214" s="311" t="s">
        <v>2174</v>
      </c>
      <c r="E214" s="311" t="s">
        <v>2433</v>
      </c>
      <c r="F214" s="311" t="s">
        <v>2434</v>
      </c>
      <c r="G214" s="311" t="s">
        <v>2857</v>
      </c>
      <c r="H214" s="311" t="s">
        <v>42</v>
      </c>
      <c r="I214" s="317" t="s">
        <v>2858</v>
      </c>
      <c r="J214" s="311" t="s">
        <v>30</v>
      </c>
      <c r="K214" s="311"/>
      <c r="L214" s="311" t="s">
        <v>336</v>
      </c>
      <c r="M214" s="308">
        <v>830241</v>
      </c>
      <c r="N214" s="311"/>
      <c r="O214" s="311" t="s">
        <v>2572</v>
      </c>
      <c r="P214" s="311" t="s">
        <v>34</v>
      </c>
      <c r="Q214" s="325"/>
      <c r="R214" s="319">
        <v>2216.2442329877958</v>
      </c>
      <c r="S214" s="325"/>
      <c r="T214" s="311" t="s">
        <v>34</v>
      </c>
      <c r="U214" s="317"/>
    </row>
    <row r="215" spans="1:21" s="318" customFormat="1" ht="14.1" customHeight="1">
      <c r="A215" s="311">
        <v>211</v>
      </c>
      <c r="B215" s="247" t="s">
        <v>348</v>
      </c>
      <c r="C215" s="247" t="s">
        <v>348</v>
      </c>
      <c r="D215" s="311" t="s">
        <v>2174</v>
      </c>
      <c r="E215" s="311" t="s">
        <v>2433</v>
      </c>
      <c r="F215" s="311" t="s">
        <v>2434</v>
      </c>
      <c r="G215" s="311" t="s">
        <v>2859</v>
      </c>
      <c r="H215" s="311" t="s">
        <v>42</v>
      </c>
      <c r="I215" s="317" t="s">
        <v>2860</v>
      </c>
      <c r="J215" s="311" t="s">
        <v>30</v>
      </c>
      <c r="K215" s="311"/>
      <c r="L215" s="311" t="s">
        <v>336</v>
      </c>
      <c r="M215" s="308">
        <v>830241</v>
      </c>
      <c r="N215" s="311"/>
      <c r="O215" s="311" t="s">
        <v>2572</v>
      </c>
      <c r="P215" s="311" t="s">
        <v>34</v>
      </c>
      <c r="Q215" s="325"/>
      <c r="R215" s="319">
        <v>2044.2172108707989</v>
      </c>
      <c r="S215" s="325"/>
      <c r="T215" s="311" t="s">
        <v>34</v>
      </c>
      <c r="U215" s="317"/>
    </row>
    <row r="216" spans="1:21" s="318" customFormat="1" ht="14.1" customHeight="1">
      <c r="A216" s="311">
        <v>212</v>
      </c>
      <c r="B216" s="247" t="s">
        <v>348</v>
      </c>
      <c r="C216" s="247" t="s">
        <v>348</v>
      </c>
      <c r="D216" s="311" t="s">
        <v>2174</v>
      </c>
      <c r="E216" s="311" t="s">
        <v>2433</v>
      </c>
      <c r="F216" s="311" t="s">
        <v>2434</v>
      </c>
      <c r="G216" s="311" t="s">
        <v>2861</v>
      </c>
      <c r="H216" s="311" t="s">
        <v>42</v>
      </c>
      <c r="I216" s="317" t="s">
        <v>2862</v>
      </c>
      <c r="J216" s="311" t="s">
        <v>30</v>
      </c>
      <c r="K216" s="311"/>
      <c r="L216" s="311" t="s">
        <v>336</v>
      </c>
      <c r="M216" s="308">
        <v>830241</v>
      </c>
      <c r="N216" s="311"/>
      <c r="O216" s="311" t="s">
        <v>2572</v>
      </c>
      <c r="P216" s="311" t="s">
        <v>34</v>
      </c>
      <c r="Q216" s="325"/>
      <c r="R216" s="319">
        <v>578.63634712080545</v>
      </c>
      <c r="S216" s="325"/>
      <c r="T216" s="311" t="s">
        <v>34</v>
      </c>
      <c r="U216" s="317"/>
    </row>
    <row r="217" spans="1:21" s="318" customFormat="1" ht="14.1" customHeight="1">
      <c r="A217" s="311">
        <v>213</v>
      </c>
      <c r="B217" s="247" t="s">
        <v>348</v>
      </c>
      <c r="C217" s="247" t="s">
        <v>348</v>
      </c>
      <c r="D217" s="311" t="s">
        <v>2174</v>
      </c>
      <c r="E217" s="311" t="s">
        <v>2433</v>
      </c>
      <c r="F217" s="311" t="s">
        <v>2434</v>
      </c>
      <c r="G217" s="311" t="s">
        <v>2863</v>
      </c>
      <c r="H217" s="311" t="s">
        <v>42</v>
      </c>
      <c r="I217" s="317" t="s">
        <v>2864</v>
      </c>
      <c r="J217" s="311" t="s">
        <v>30</v>
      </c>
      <c r="K217" s="311"/>
      <c r="L217" s="311" t="s">
        <v>336</v>
      </c>
      <c r="M217" s="308">
        <v>830241</v>
      </c>
      <c r="N217" s="311"/>
      <c r="O217" s="311" t="s">
        <v>2572</v>
      </c>
      <c r="P217" s="311" t="s">
        <v>34</v>
      </c>
      <c r="Q217" s="325"/>
      <c r="R217" s="319">
        <v>520.54930069168995</v>
      </c>
      <c r="S217" s="325"/>
      <c r="T217" s="311" t="s">
        <v>34</v>
      </c>
      <c r="U217" s="317"/>
    </row>
    <row r="218" spans="1:21" s="318" customFormat="1" ht="14.1" customHeight="1">
      <c r="A218" s="311">
        <v>214</v>
      </c>
      <c r="B218" s="247" t="s">
        <v>348</v>
      </c>
      <c r="C218" s="247" t="s">
        <v>348</v>
      </c>
      <c r="D218" s="311" t="s">
        <v>2174</v>
      </c>
      <c r="E218" s="311" t="s">
        <v>2433</v>
      </c>
      <c r="F218" s="311" t="s">
        <v>2434</v>
      </c>
      <c r="G218" s="311" t="s">
        <v>2865</v>
      </c>
      <c r="H218" s="311" t="s">
        <v>42</v>
      </c>
      <c r="I218" s="317" t="s">
        <v>2866</v>
      </c>
      <c r="J218" s="311" t="s">
        <v>30</v>
      </c>
      <c r="K218" s="311"/>
      <c r="L218" s="311" t="s">
        <v>336</v>
      </c>
      <c r="M218" s="308">
        <v>830241</v>
      </c>
      <c r="N218" s="311"/>
      <c r="O218" s="311" t="s">
        <v>2572</v>
      </c>
      <c r="P218" s="311" t="s">
        <v>34</v>
      </c>
      <c r="Q218" s="325"/>
      <c r="R218" s="319">
        <v>1619.734948504185</v>
      </c>
      <c r="S218" s="325"/>
      <c r="T218" s="311" t="s">
        <v>34</v>
      </c>
      <c r="U218" s="317"/>
    </row>
    <row r="219" spans="1:21" s="318" customFormat="1" ht="14.1" customHeight="1">
      <c r="A219" s="311">
        <v>215</v>
      </c>
      <c r="B219" s="247" t="s">
        <v>348</v>
      </c>
      <c r="C219" s="247" t="s">
        <v>348</v>
      </c>
      <c r="D219" s="311" t="s">
        <v>2174</v>
      </c>
      <c r="E219" s="311" t="s">
        <v>2433</v>
      </c>
      <c r="F219" s="311" t="s">
        <v>2434</v>
      </c>
      <c r="G219" s="311" t="s">
        <v>2867</v>
      </c>
      <c r="H219" s="311" t="s">
        <v>42</v>
      </c>
      <c r="I219" s="317" t="s">
        <v>2868</v>
      </c>
      <c r="J219" s="311" t="s">
        <v>30</v>
      </c>
      <c r="K219" s="311"/>
      <c r="L219" s="311" t="s">
        <v>336</v>
      </c>
      <c r="M219" s="308">
        <v>830241</v>
      </c>
      <c r="N219" s="311"/>
      <c r="O219" s="311" t="s">
        <v>2572</v>
      </c>
      <c r="P219" s="311" t="s">
        <v>34</v>
      </c>
      <c r="Q219" s="325"/>
      <c r="R219" s="319">
        <v>1512.4973243273571</v>
      </c>
      <c r="S219" s="325"/>
      <c r="T219" s="311" t="s">
        <v>34</v>
      </c>
      <c r="U219" s="317"/>
    </row>
    <row r="220" spans="1:21" s="318" customFormat="1" ht="14.1" customHeight="1">
      <c r="A220" s="311">
        <v>216</v>
      </c>
      <c r="B220" s="247" t="s">
        <v>348</v>
      </c>
      <c r="C220" s="247" t="s">
        <v>348</v>
      </c>
      <c r="D220" s="311" t="s">
        <v>2174</v>
      </c>
      <c r="E220" s="311" t="s">
        <v>2433</v>
      </c>
      <c r="F220" s="311" t="s">
        <v>2434</v>
      </c>
      <c r="G220" s="311" t="s">
        <v>2869</v>
      </c>
      <c r="H220" s="311" t="s">
        <v>42</v>
      </c>
      <c r="I220" s="317" t="s">
        <v>2870</v>
      </c>
      <c r="J220" s="311" t="s">
        <v>30</v>
      </c>
      <c r="K220" s="311"/>
      <c r="L220" s="311" t="s">
        <v>336</v>
      </c>
      <c r="M220" s="308">
        <v>830241</v>
      </c>
      <c r="N220" s="311"/>
      <c r="O220" s="311" t="s">
        <v>2572</v>
      </c>
      <c r="P220" s="311" t="s">
        <v>34</v>
      </c>
      <c r="Q220" s="325"/>
      <c r="R220" s="319">
        <v>1396.3232314691249</v>
      </c>
      <c r="S220" s="325"/>
      <c r="T220" s="311" t="s">
        <v>34</v>
      </c>
      <c r="U220" s="317"/>
    </row>
    <row r="221" spans="1:21" s="318" customFormat="1" ht="14.1" customHeight="1">
      <c r="A221" s="311">
        <v>217</v>
      </c>
      <c r="B221" s="247" t="s">
        <v>348</v>
      </c>
      <c r="C221" s="247" t="s">
        <v>348</v>
      </c>
      <c r="D221" s="311" t="s">
        <v>2174</v>
      </c>
      <c r="E221" s="311" t="s">
        <v>2433</v>
      </c>
      <c r="F221" s="311" t="s">
        <v>2434</v>
      </c>
      <c r="G221" s="311" t="s">
        <v>2871</v>
      </c>
      <c r="H221" s="311" t="s">
        <v>42</v>
      </c>
      <c r="I221" s="317" t="s">
        <v>2872</v>
      </c>
      <c r="J221" s="311" t="s">
        <v>30</v>
      </c>
      <c r="K221" s="311"/>
      <c r="L221" s="311" t="s">
        <v>336</v>
      </c>
      <c r="M221" s="308">
        <v>830241</v>
      </c>
      <c r="N221" s="311"/>
      <c r="O221" s="311" t="s">
        <v>2572</v>
      </c>
      <c r="P221" s="311" t="s">
        <v>34</v>
      </c>
      <c r="Q221" s="325"/>
      <c r="R221" s="319">
        <v>1277.915021440544</v>
      </c>
      <c r="S221" s="325"/>
      <c r="T221" s="311" t="s">
        <v>34</v>
      </c>
      <c r="U221" s="317"/>
    </row>
    <row r="222" spans="1:21" s="318" customFormat="1" ht="14.1" customHeight="1">
      <c r="A222" s="311">
        <v>218</v>
      </c>
      <c r="B222" s="247" t="s">
        <v>348</v>
      </c>
      <c r="C222" s="247" t="s">
        <v>348</v>
      </c>
      <c r="D222" s="311" t="s">
        <v>2174</v>
      </c>
      <c r="E222" s="311" t="s">
        <v>2433</v>
      </c>
      <c r="F222" s="311" t="s">
        <v>2434</v>
      </c>
      <c r="G222" s="311" t="s">
        <v>2873</v>
      </c>
      <c r="H222" s="311" t="s">
        <v>42</v>
      </c>
      <c r="I222" s="317" t="s">
        <v>2874</v>
      </c>
      <c r="J222" s="311" t="s">
        <v>30</v>
      </c>
      <c r="K222" s="311"/>
      <c r="L222" s="311" t="s">
        <v>336</v>
      </c>
      <c r="M222" s="308">
        <v>830241</v>
      </c>
      <c r="N222" s="311"/>
      <c r="O222" s="311" t="s">
        <v>2572</v>
      </c>
      <c r="P222" s="311" t="s">
        <v>34</v>
      </c>
      <c r="Q222" s="325"/>
      <c r="R222" s="319">
        <v>1074.6103589386389</v>
      </c>
      <c r="S222" s="325"/>
      <c r="T222" s="311" t="s">
        <v>34</v>
      </c>
      <c r="U222" s="317"/>
    </row>
    <row r="223" spans="1:21" s="318" customFormat="1" ht="14.1" customHeight="1">
      <c r="A223" s="311">
        <v>219</v>
      </c>
      <c r="B223" s="247" t="s">
        <v>348</v>
      </c>
      <c r="C223" s="247" t="s">
        <v>348</v>
      </c>
      <c r="D223" s="311" t="s">
        <v>2174</v>
      </c>
      <c r="E223" s="311" t="s">
        <v>2433</v>
      </c>
      <c r="F223" s="311" t="s">
        <v>2434</v>
      </c>
      <c r="G223" s="311" t="s">
        <v>2875</v>
      </c>
      <c r="H223" s="311" t="s">
        <v>42</v>
      </c>
      <c r="I223" s="317" t="s">
        <v>2876</v>
      </c>
      <c r="J223" s="311" t="s">
        <v>30</v>
      </c>
      <c r="K223" s="311"/>
      <c r="L223" s="311" t="s">
        <v>336</v>
      </c>
      <c r="M223" s="308">
        <v>830241</v>
      </c>
      <c r="N223" s="311"/>
      <c r="O223" s="311" t="s">
        <v>2572</v>
      </c>
      <c r="P223" s="311" t="s">
        <v>34</v>
      </c>
      <c r="Q223" s="325"/>
      <c r="R223" s="319">
        <v>960.67038325075828</v>
      </c>
      <c r="S223" s="325"/>
      <c r="T223" s="311" t="s">
        <v>34</v>
      </c>
      <c r="U223" s="317"/>
    </row>
    <row r="224" spans="1:21" s="318" customFormat="1" ht="14.1" customHeight="1">
      <c r="A224" s="311">
        <v>220</v>
      </c>
      <c r="B224" s="247" t="s">
        <v>348</v>
      </c>
      <c r="C224" s="247" t="s">
        <v>348</v>
      </c>
      <c r="D224" s="311" t="s">
        <v>2174</v>
      </c>
      <c r="E224" s="311" t="s">
        <v>2433</v>
      </c>
      <c r="F224" s="311" t="s">
        <v>2434</v>
      </c>
      <c r="G224" s="311" t="s">
        <v>2877</v>
      </c>
      <c r="H224" s="311" t="s">
        <v>42</v>
      </c>
      <c r="I224" s="317" t="s">
        <v>2878</v>
      </c>
      <c r="J224" s="311" t="s">
        <v>30</v>
      </c>
      <c r="K224" s="311"/>
      <c r="L224" s="311" t="s">
        <v>336</v>
      </c>
      <c r="M224" s="308">
        <v>830241</v>
      </c>
      <c r="N224" s="311"/>
      <c r="O224" s="311" t="s">
        <v>2572</v>
      </c>
      <c r="P224" s="311" t="s">
        <v>34</v>
      </c>
      <c r="Q224" s="325"/>
      <c r="R224" s="319">
        <v>1092.483296301443</v>
      </c>
      <c r="S224" s="325"/>
      <c r="T224" s="311" t="s">
        <v>34</v>
      </c>
      <c r="U224" s="317"/>
    </row>
    <row r="225" spans="1:21" s="318" customFormat="1" ht="14.1" customHeight="1">
      <c r="A225" s="311">
        <v>221</v>
      </c>
      <c r="B225" s="247" t="s">
        <v>348</v>
      </c>
      <c r="C225" s="247" t="s">
        <v>348</v>
      </c>
      <c r="D225" s="311" t="s">
        <v>2174</v>
      </c>
      <c r="E225" s="311" t="s">
        <v>2433</v>
      </c>
      <c r="F225" s="311" t="s">
        <v>2434</v>
      </c>
      <c r="G225" s="311" t="s">
        <v>2879</v>
      </c>
      <c r="H225" s="311" t="s">
        <v>42</v>
      </c>
      <c r="I225" s="317" t="s">
        <v>2880</v>
      </c>
      <c r="J225" s="311" t="s">
        <v>30</v>
      </c>
      <c r="K225" s="311"/>
      <c r="L225" s="311" t="s">
        <v>336</v>
      </c>
      <c r="M225" s="308">
        <v>830241</v>
      </c>
      <c r="N225" s="311"/>
      <c r="O225" s="311" t="s">
        <v>2572</v>
      </c>
      <c r="P225" s="311" t="s">
        <v>34</v>
      </c>
      <c r="Q225" s="325"/>
      <c r="R225" s="319">
        <v>978.54332061356297</v>
      </c>
      <c r="S225" s="325"/>
      <c r="T225" s="311" t="s">
        <v>34</v>
      </c>
      <c r="U225" s="317"/>
    </row>
    <row r="226" spans="1:21" s="318" customFormat="1" ht="14.1" customHeight="1">
      <c r="A226" s="311">
        <v>222</v>
      </c>
      <c r="B226" s="247" t="s">
        <v>348</v>
      </c>
      <c r="C226" s="247" t="s">
        <v>348</v>
      </c>
      <c r="D226" s="311" t="s">
        <v>2174</v>
      </c>
      <c r="E226" s="311" t="s">
        <v>2433</v>
      </c>
      <c r="F226" s="311" t="s">
        <v>2434</v>
      </c>
      <c r="G226" s="311" t="s">
        <v>2881</v>
      </c>
      <c r="H226" s="311" t="s">
        <v>42</v>
      </c>
      <c r="I226" s="317" t="s">
        <v>2882</v>
      </c>
      <c r="J226" s="311" t="s">
        <v>30</v>
      </c>
      <c r="K226" s="311"/>
      <c r="L226" s="311" t="s">
        <v>336</v>
      </c>
      <c r="M226" s="308">
        <v>830241</v>
      </c>
      <c r="N226" s="311"/>
      <c r="O226" s="311" t="s">
        <v>2572</v>
      </c>
      <c r="P226" s="311" t="s">
        <v>34</v>
      </c>
      <c r="Q226" s="325"/>
      <c r="R226" s="319">
        <v>1121.526819516002</v>
      </c>
      <c r="S226" s="325"/>
      <c r="T226" s="311" t="s">
        <v>34</v>
      </c>
      <c r="U226" s="317"/>
    </row>
    <row r="227" spans="1:21" s="318" customFormat="1" ht="14.1" customHeight="1">
      <c r="A227" s="311">
        <v>223</v>
      </c>
      <c r="B227" s="247" t="s">
        <v>348</v>
      </c>
      <c r="C227" s="247" t="s">
        <v>348</v>
      </c>
      <c r="D227" s="311" t="s">
        <v>2174</v>
      </c>
      <c r="E227" s="311" t="s">
        <v>2433</v>
      </c>
      <c r="F227" s="311" t="s">
        <v>2434</v>
      </c>
      <c r="G227" s="311" t="s">
        <v>2883</v>
      </c>
      <c r="H227" s="311" t="s">
        <v>42</v>
      </c>
      <c r="I227" s="317" t="s">
        <v>2884</v>
      </c>
      <c r="J227" s="311" t="s">
        <v>30</v>
      </c>
      <c r="K227" s="311"/>
      <c r="L227" s="311" t="s">
        <v>336</v>
      </c>
      <c r="M227" s="308">
        <v>830241</v>
      </c>
      <c r="N227" s="311"/>
      <c r="O227" s="311" t="s">
        <v>2572</v>
      </c>
      <c r="P227" s="311" t="s">
        <v>34</v>
      </c>
      <c r="Q227" s="325"/>
      <c r="R227" s="319">
        <v>1009.820960998471</v>
      </c>
      <c r="S227" s="325"/>
      <c r="T227" s="311" t="s">
        <v>34</v>
      </c>
      <c r="U227" s="317"/>
    </row>
    <row r="228" spans="1:21" s="318" customFormat="1" ht="14.1" customHeight="1">
      <c r="A228" s="311">
        <v>224</v>
      </c>
      <c r="B228" s="247" t="s">
        <v>348</v>
      </c>
      <c r="C228" s="247" t="s">
        <v>348</v>
      </c>
      <c r="D228" s="311" t="s">
        <v>2174</v>
      </c>
      <c r="E228" s="311" t="s">
        <v>2433</v>
      </c>
      <c r="F228" s="311" t="s">
        <v>2434</v>
      </c>
      <c r="G228" s="311" t="s">
        <v>2885</v>
      </c>
      <c r="H228" s="311" t="s">
        <v>42</v>
      </c>
      <c r="I228" s="317" t="s">
        <v>2886</v>
      </c>
      <c r="J228" s="311" t="s">
        <v>30</v>
      </c>
      <c r="K228" s="311"/>
      <c r="L228" s="311" t="s">
        <v>336</v>
      </c>
      <c r="M228" s="308">
        <v>830241</v>
      </c>
      <c r="N228" s="311"/>
      <c r="O228" s="311" t="s">
        <v>2572</v>
      </c>
      <c r="P228" s="311" t="s">
        <v>34</v>
      </c>
      <c r="Q228" s="325"/>
      <c r="R228" s="319">
        <v>1155.038577071261</v>
      </c>
      <c r="S228" s="325"/>
      <c r="T228" s="311" t="s">
        <v>34</v>
      </c>
      <c r="U228" s="317"/>
    </row>
    <row r="229" spans="1:21" s="318" customFormat="1" ht="14.1" customHeight="1">
      <c r="A229" s="311">
        <v>225</v>
      </c>
      <c r="B229" s="247" t="s">
        <v>348</v>
      </c>
      <c r="C229" s="247" t="s">
        <v>348</v>
      </c>
      <c r="D229" s="311" t="s">
        <v>2174</v>
      </c>
      <c r="E229" s="311" t="s">
        <v>2433</v>
      </c>
      <c r="F229" s="311" t="s">
        <v>2434</v>
      </c>
      <c r="G229" s="311" t="s">
        <v>2887</v>
      </c>
      <c r="H229" s="311" t="s">
        <v>42</v>
      </c>
      <c r="I229" s="317" t="s">
        <v>2888</v>
      </c>
      <c r="J229" s="311" t="s">
        <v>30</v>
      </c>
      <c r="K229" s="311"/>
      <c r="L229" s="311" t="s">
        <v>336</v>
      </c>
      <c r="M229" s="308">
        <v>830241</v>
      </c>
      <c r="N229" s="311"/>
      <c r="O229" s="311" t="s">
        <v>2572</v>
      </c>
      <c r="P229" s="311" t="s">
        <v>34</v>
      </c>
      <c r="Q229" s="325"/>
      <c r="R229" s="319">
        <v>1038.8644842130291</v>
      </c>
      <c r="S229" s="325"/>
      <c r="T229" s="311" t="s">
        <v>34</v>
      </c>
      <c r="U229" s="317"/>
    </row>
    <row r="230" spans="1:21" s="318" customFormat="1" ht="14.1" customHeight="1">
      <c r="A230" s="311">
        <v>226</v>
      </c>
      <c r="B230" s="247" t="s">
        <v>348</v>
      </c>
      <c r="C230" s="247" t="s">
        <v>348</v>
      </c>
      <c r="D230" s="311" t="s">
        <v>2174</v>
      </c>
      <c r="E230" s="311" t="s">
        <v>2433</v>
      </c>
      <c r="F230" s="311" t="s">
        <v>2434</v>
      </c>
      <c r="G230" s="311" t="s">
        <v>2889</v>
      </c>
      <c r="H230" s="311" t="s">
        <v>42</v>
      </c>
      <c r="I230" s="317" t="s">
        <v>2890</v>
      </c>
      <c r="J230" s="311" t="s">
        <v>30</v>
      </c>
      <c r="K230" s="311"/>
      <c r="L230" s="311" t="s">
        <v>336</v>
      </c>
      <c r="M230" s="308">
        <v>830241</v>
      </c>
      <c r="N230" s="311"/>
      <c r="O230" s="311" t="s">
        <v>2572</v>
      </c>
      <c r="P230" s="311" t="s">
        <v>34</v>
      </c>
      <c r="Q230" s="325"/>
      <c r="R230" s="319">
        <v>1186.3162174561689</v>
      </c>
      <c r="S230" s="325"/>
      <c r="T230" s="311" t="s">
        <v>34</v>
      </c>
      <c r="U230" s="317"/>
    </row>
    <row r="231" spans="1:21" s="318" customFormat="1" ht="14.1" customHeight="1">
      <c r="A231" s="311">
        <v>227</v>
      </c>
      <c r="B231" s="247" t="s">
        <v>348</v>
      </c>
      <c r="C231" s="247" t="s">
        <v>348</v>
      </c>
      <c r="D231" s="311" t="s">
        <v>2174</v>
      </c>
      <c r="E231" s="311" t="s">
        <v>2433</v>
      </c>
      <c r="F231" s="311" t="s">
        <v>2434</v>
      </c>
      <c r="G231" s="311" t="s">
        <v>2891</v>
      </c>
      <c r="H231" s="311" t="s">
        <v>42</v>
      </c>
      <c r="I231" s="317" t="s">
        <v>2892</v>
      </c>
      <c r="J231" s="311" t="s">
        <v>30</v>
      </c>
      <c r="K231" s="311"/>
      <c r="L231" s="311" t="s">
        <v>336</v>
      </c>
      <c r="M231" s="308">
        <v>830241</v>
      </c>
      <c r="N231" s="311"/>
      <c r="O231" s="311" t="s">
        <v>2572</v>
      </c>
      <c r="P231" s="311" t="s">
        <v>34</v>
      </c>
      <c r="Q231" s="325"/>
      <c r="R231" s="319">
        <v>1076.84447610899</v>
      </c>
      <c r="S231" s="325"/>
      <c r="T231" s="311" t="s">
        <v>34</v>
      </c>
      <c r="U231" s="317"/>
    </row>
    <row r="232" spans="1:21" s="318" customFormat="1" ht="14.1" customHeight="1">
      <c r="A232" s="311">
        <v>228</v>
      </c>
      <c r="B232" s="247" t="s">
        <v>348</v>
      </c>
      <c r="C232" s="247" t="s">
        <v>348</v>
      </c>
      <c r="D232" s="311" t="s">
        <v>2174</v>
      </c>
      <c r="E232" s="311" t="s">
        <v>2433</v>
      </c>
      <c r="F232" s="311" t="s">
        <v>2434</v>
      </c>
      <c r="G232" s="311" t="s">
        <v>2893</v>
      </c>
      <c r="H232" s="311" t="s">
        <v>42</v>
      </c>
      <c r="I232" s="317" t="s">
        <v>2894</v>
      </c>
      <c r="J232" s="311" t="s">
        <v>30</v>
      </c>
      <c r="K232" s="311"/>
      <c r="L232" s="311" t="s">
        <v>336</v>
      </c>
      <c r="M232" s="308">
        <v>830241</v>
      </c>
      <c r="N232" s="311"/>
      <c r="O232" s="311" t="s">
        <v>2572</v>
      </c>
      <c r="P232" s="311" t="s">
        <v>34</v>
      </c>
      <c r="Q232" s="325"/>
      <c r="R232" s="319">
        <v>1226.53032652248</v>
      </c>
      <c r="S232" s="325"/>
      <c r="T232" s="311" t="s">
        <v>34</v>
      </c>
      <c r="U232" s="317"/>
    </row>
    <row r="233" spans="1:21" s="318" customFormat="1" ht="14.1" customHeight="1">
      <c r="A233" s="311">
        <v>229</v>
      </c>
      <c r="B233" s="247" t="s">
        <v>348</v>
      </c>
      <c r="C233" s="247" t="s">
        <v>348</v>
      </c>
      <c r="D233" s="311" t="s">
        <v>2174</v>
      </c>
      <c r="E233" s="311" t="s">
        <v>2433</v>
      </c>
      <c r="F233" s="311" t="s">
        <v>2434</v>
      </c>
      <c r="G233" s="311" t="s">
        <v>2895</v>
      </c>
      <c r="H233" s="311" t="s">
        <v>42</v>
      </c>
      <c r="I233" s="317" t="s">
        <v>2896</v>
      </c>
      <c r="J233" s="311" t="s">
        <v>30</v>
      </c>
      <c r="K233" s="311"/>
      <c r="L233" s="311" t="s">
        <v>336</v>
      </c>
      <c r="M233" s="308">
        <v>830241</v>
      </c>
      <c r="N233" s="311"/>
      <c r="O233" s="311" t="s">
        <v>2572</v>
      </c>
      <c r="P233" s="311" t="s">
        <v>34</v>
      </c>
      <c r="Q233" s="325"/>
      <c r="R233" s="319">
        <v>1112.5903508345989</v>
      </c>
      <c r="S233" s="325"/>
      <c r="T233" s="311" t="s">
        <v>34</v>
      </c>
      <c r="U233" s="317"/>
    </row>
    <row r="234" spans="1:21" s="318" customFormat="1" ht="14.1" customHeight="1">
      <c r="A234" s="311">
        <v>230</v>
      </c>
      <c r="B234" s="247" t="s">
        <v>348</v>
      </c>
      <c r="C234" s="247" t="s">
        <v>348</v>
      </c>
      <c r="D234" s="311" t="s">
        <v>2174</v>
      </c>
      <c r="E234" s="311" t="s">
        <v>2433</v>
      </c>
      <c r="F234" s="311" t="s">
        <v>2434</v>
      </c>
      <c r="G234" s="311" t="s">
        <v>2897</v>
      </c>
      <c r="H234" s="311" t="s">
        <v>42</v>
      </c>
      <c r="I234" s="317" t="s">
        <v>2898</v>
      </c>
      <c r="J234" s="311" t="s">
        <v>30</v>
      </c>
      <c r="K234" s="311"/>
      <c r="L234" s="311" t="s">
        <v>336</v>
      </c>
      <c r="M234" s="308">
        <v>830241</v>
      </c>
      <c r="N234" s="311"/>
      <c r="O234" s="311" t="s">
        <v>2572</v>
      </c>
      <c r="P234" s="311" t="s">
        <v>34</v>
      </c>
      <c r="Q234" s="325"/>
      <c r="R234" s="319">
        <v>1266.744435588791</v>
      </c>
      <c r="S234" s="325"/>
      <c r="T234" s="311" t="s">
        <v>34</v>
      </c>
      <c r="U234" s="317"/>
    </row>
    <row r="235" spans="1:21" s="318" customFormat="1" ht="14.1" customHeight="1">
      <c r="A235" s="311">
        <v>231</v>
      </c>
      <c r="B235" s="247" t="s">
        <v>348</v>
      </c>
      <c r="C235" s="247" t="s">
        <v>348</v>
      </c>
      <c r="D235" s="311" t="s">
        <v>2174</v>
      </c>
      <c r="E235" s="311" t="s">
        <v>2433</v>
      </c>
      <c r="F235" s="311" t="s">
        <v>2434</v>
      </c>
      <c r="G235" s="311" t="s">
        <v>2899</v>
      </c>
      <c r="H235" s="311" t="s">
        <v>42</v>
      </c>
      <c r="I235" s="317" t="s">
        <v>2900</v>
      </c>
      <c r="J235" s="311" t="s">
        <v>30</v>
      </c>
      <c r="K235" s="311"/>
      <c r="L235" s="311" t="s">
        <v>336</v>
      </c>
      <c r="M235" s="308">
        <v>830241</v>
      </c>
      <c r="N235" s="311"/>
      <c r="O235" s="311" t="s">
        <v>2572</v>
      </c>
      <c r="P235" s="311" t="s">
        <v>34</v>
      </c>
      <c r="Q235" s="325"/>
      <c r="R235" s="319">
        <v>1157.2726942416109</v>
      </c>
      <c r="S235" s="325"/>
      <c r="T235" s="311" t="s">
        <v>34</v>
      </c>
      <c r="U235" s="317"/>
    </row>
    <row r="236" spans="1:21" s="318" customFormat="1" ht="14.1" customHeight="1">
      <c r="A236" s="311">
        <v>232</v>
      </c>
      <c r="B236" s="247" t="s">
        <v>348</v>
      </c>
      <c r="C236" s="247" t="s">
        <v>348</v>
      </c>
      <c r="D236" s="311" t="s">
        <v>2174</v>
      </c>
      <c r="E236" s="311" t="s">
        <v>2433</v>
      </c>
      <c r="F236" s="311" t="s">
        <v>2434</v>
      </c>
      <c r="G236" s="311" t="s">
        <v>2901</v>
      </c>
      <c r="H236" s="311" t="s">
        <v>42</v>
      </c>
      <c r="I236" s="317" t="s">
        <v>2902</v>
      </c>
      <c r="J236" s="311" t="s">
        <v>30</v>
      </c>
      <c r="K236" s="311"/>
      <c r="L236" s="311" t="s">
        <v>336</v>
      </c>
      <c r="M236" s="308">
        <v>830241</v>
      </c>
      <c r="N236" s="311"/>
      <c r="O236" s="311" t="s">
        <v>2572</v>
      </c>
      <c r="P236" s="311" t="s">
        <v>34</v>
      </c>
      <c r="Q236" s="325"/>
      <c r="R236" s="319">
        <v>1403.025582980177</v>
      </c>
      <c r="S236" s="325"/>
      <c r="T236" s="311" t="s">
        <v>34</v>
      </c>
      <c r="U236" s="317"/>
    </row>
    <row r="237" spans="1:21" s="318" customFormat="1" ht="14.1" customHeight="1">
      <c r="A237" s="311">
        <v>233</v>
      </c>
      <c r="B237" s="247" t="s">
        <v>348</v>
      </c>
      <c r="C237" s="247" t="s">
        <v>348</v>
      </c>
      <c r="D237" s="311" t="s">
        <v>2174</v>
      </c>
      <c r="E237" s="311" t="s">
        <v>2433</v>
      </c>
      <c r="F237" s="311" t="s">
        <v>2434</v>
      </c>
      <c r="G237" s="311" t="s">
        <v>2903</v>
      </c>
      <c r="H237" s="311" t="s">
        <v>42</v>
      </c>
      <c r="I237" s="317" t="s">
        <v>2904</v>
      </c>
      <c r="J237" s="311" t="s">
        <v>30</v>
      </c>
      <c r="K237" s="311"/>
      <c r="L237" s="311" t="s">
        <v>336</v>
      </c>
      <c r="M237" s="308">
        <v>830241</v>
      </c>
      <c r="N237" s="311"/>
      <c r="O237" s="311" t="s">
        <v>2572</v>
      </c>
      <c r="P237" s="311" t="s">
        <v>34</v>
      </c>
      <c r="Q237" s="325"/>
      <c r="R237" s="319">
        <v>1304.724427484751</v>
      </c>
      <c r="S237" s="325"/>
      <c r="T237" s="311" t="s">
        <v>34</v>
      </c>
      <c r="U237" s="317"/>
    </row>
    <row r="238" spans="1:21" s="318" customFormat="1" ht="14.1" customHeight="1">
      <c r="A238" s="311">
        <v>234</v>
      </c>
      <c r="B238" s="247" t="s">
        <v>348</v>
      </c>
      <c r="C238" s="247" t="s">
        <v>348</v>
      </c>
      <c r="D238" s="311" t="s">
        <v>2174</v>
      </c>
      <c r="E238" s="311" t="s">
        <v>2433</v>
      </c>
      <c r="F238" s="311" t="s">
        <v>2434</v>
      </c>
      <c r="G238" s="311" t="s">
        <v>2905</v>
      </c>
      <c r="H238" s="311" t="s">
        <v>42</v>
      </c>
      <c r="I238" s="317" t="s">
        <v>2906</v>
      </c>
      <c r="J238" s="311" t="s">
        <v>30</v>
      </c>
      <c r="K238" s="311"/>
      <c r="L238" s="311" t="s">
        <v>336</v>
      </c>
      <c r="M238" s="308">
        <v>830241</v>
      </c>
      <c r="N238" s="311"/>
      <c r="O238" s="311" t="s">
        <v>2572</v>
      </c>
      <c r="P238" s="311" t="s">
        <v>34</v>
      </c>
      <c r="Q238" s="325"/>
      <c r="R238" s="319">
        <v>1575.052605097173</v>
      </c>
      <c r="S238" s="325"/>
      <c r="T238" s="311" t="s">
        <v>34</v>
      </c>
      <c r="U238" s="317"/>
    </row>
    <row r="239" spans="1:21" s="318" customFormat="1" ht="14.1" customHeight="1">
      <c r="A239" s="311">
        <v>235</v>
      </c>
      <c r="B239" s="247" t="s">
        <v>348</v>
      </c>
      <c r="C239" s="247" t="s">
        <v>348</v>
      </c>
      <c r="D239" s="311" t="s">
        <v>2174</v>
      </c>
      <c r="E239" s="311" t="s">
        <v>2433</v>
      </c>
      <c r="F239" s="311" t="s">
        <v>2434</v>
      </c>
      <c r="G239" s="311" t="s">
        <v>2907</v>
      </c>
      <c r="H239" s="311" t="s">
        <v>42</v>
      </c>
      <c r="I239" s="317" t="s">
        <v>2908</v>
      </c>
      <c r="J239" s="311" t="s">
        <v>30</v>
      </c>
      <c r="K239" s="311"/>
      <c r="L239" s="311" t="s">
        <v>336</v>
      </c>
      <c r="M239" s="308">
        <v>830241</v>
      </c>
      <c r="N239" s="311"/>
      <c r="O239" s="311" t="s">
        <v>2572</v>
      </c>
      <c r="P239" s="311" t="s">
        <v>34</v>
      </c>
      <c r="Q239" s="325"/>
      <c r="R239" s="319">
        <v>1481.219683942448</v>
      </c>
      <c r="S239" s="325"/>
      <c r="T239" s="311" t="s">
        <v>34</v>
      </c>
      <c r="U239" s="317"/>
    </row>
    <row r="240" spans="1:21" s="318" customFormat="1" ht="14.1" customHeight="1">
      <c r="A240" s="311">
        <v>236</v>
      </c>
      <c r="B240" s="247" t="s">
        <v>348</v>
      </c>
      <c r="C240" s="247" t="s">
        <v>348</v>
      </c>
      <c r="D240" s="311" t="s">
        <v>2174</v>
      </c>
      <c r="E240" s="311" t="s">
        <v>2433</v>
      </c>
      <c r="F240" s="311" t="s">
        <v>2434</v>
      </c>
      <c r="G240" s="311" t="s">
        <v>2909</v>
      </c>
      <c r="H240" s="311" t="s">
        <v>42</v>
      </c>
      <c r="I240" s="317" t="s">
        <v>2910</v>
      </c>
      <c r="J240" s="311" t="s">
        <v>30</v>
      </c>
      <c r="K240" s="311"/>
      <c r="L240" s="311" t="s">
        <v>336</v>
      </c>
      <c r="M240" s="308">
        <v>830241</v>
      </c>
      <c r="N240" s="311"/>
      <c r="O240" s="311" t="s">
        <v>2572</v>
      </c>
      <c r="P240" s="311" t="s">
        <v>34</v>
      </c>
      <c r="Q240" s="325"/>
      <c r="R240" s="319">
        <v>2068.7924997446562</v>
      </c>
      <c r="S240" s="325"/>
      <c r="T240" s="311" t="s">
        <v>34</v>
      </c>
      <c r="U240" s="317"/>
    </row>
    <row r="241" spans="1:21" s="318" customFormat="1" ht="14.1" customHeight="1">
      <c r="A241" s="311">
        <v>237</v>
      </c>
      <c r="B241" s="247" t="s">
        <v>348</v>
      </c>
      <c r="C241" s="247" t="s">
        <v>348</v>
      </c>
      <c r="D241" s="311" t="s">
        <v>2174</v>
      </c>
      <c r="E241" s="311" t="s">
        <v>2433</v>
      </c>
      <c r="F241" s="311" t="s">
        <v>2434</v>
      </c>
      <c r="G241" s="311" t="s">
        <v>2911</v>
      </c>
      <c r="H241" s="311" t="s">
        <v>42</v>
      </c>
      <c r="I241" s="317" t="s">
        <v>2912</v>
      </c>
      <c r="J241" s="311" t="s">
        <v>30</v>
      </c>
      <c r="K241" s="311"/>
      <c r="L241" s="311" t="s">
        <v>336</v>
      </c>
      <c r="M241" s="308">
        <v>830241</v>
      </c>
      <c r="N241" s="311"/>
      <c r="O241" s="311" t="s">
        <v>2572</v>
      </c>
      <c r="P241" s="311" t="s">
        <v>34</v>
      </c>
      <c r="Q241" s="325"/>
      <c r="R241" s="319">
        <v>1867.7219544131019</v>
      </c>
      <c r="S241" s="325"/>
      <c r="T241" s="311" t="s">
        <v>34</v>
      </c>
      <c r="U241" s="317"/>
    </row>
    <row r="242" spans="1:21" s="318" customFormat="1" ht="14.1" customHeight="1">
      <c r="A242" s="311">
        <v>238</v>
      </c>
      <c r="B242" s="247" t="s">
        <v>348</v>
      </c>
      <c r="C242" s="247" t="s">
        <v>348</v>
      </c>
      <c r="D242" s="311" t="s">
        <v>2174</v>
      </c>
      <c r="E242" s="311" t="s">
        <v>2433</v>
      </c>
      <c r="F242" s="311" t="s">
        <v>2434</v>
      </c>
      <c r="G242" s="311" t="s">
        <v>2913</v>
      </c>
      <c r="H242" s="311" t="s">
        <v>42</v>
      </c>
      <c r="I242" s="317" t="s">
        <v>2914</v>
      </c>
      <c r="J242" s="311" t="s">
        <v>30</v>
      </c>
      <c r="K242" s="311"/>
      <c r="L242" s="311" t="s">
        <v>336</v>
      </c>
      <c r="M242" s="308">
        <v>830241</v>
      </c>
      <c r="N242" s="311"/>
      <c r="O242" s="311" t="s">
        <v>2437</v>
      </c>
      <c r="P242" s="311" t="s">
        <v>34</v>
      </c>
      <c r="Q242" s="325"/>
      <c r="R242" s="319">
        <v>2772.5394084050949</v>
      </c>
      <c r="S242" s="325"/>
      <c r="T242" s="311" t="s">
        <v>34</v>
      </c>
      <c r="U242" s="317"/>
    </row>
    <row r="243" spans="1:21" s="318" customFormat="1" ht="14.1" customHeight="1">
      <c r="A243" s="311">
        <v>239</v>
      </c>
      <c r="B243" s="247" t="s">
        <v>348</v>
      </c>
      <c r="C243" s="247" t="s">
        <v>348</v>
      </c>
      <c r="D243" s="311" t="s">
        <v>2174</v>
      </c>
      <c r="E243" s="311" t="s">
        <v>2433</v>
      </c>
      <c r="F243" s="311" t="s">
        <v>2434</v>
      </c>
      <c r="G243" s="311" t="s">
        <v>2915</v>
      </c>
      <c r="H243" s="311" t="s">
        <v>42</v>
      </c>
      <c r="I243" s="317" t="s">
        <v>2916</v>
      </c>
      <c r="J243" s="311" t="s">
        <v>30</v>
      </c>
      <c r="K243" s="311"/>
      <c r="L243" s="311" t="s">
        <v>336</v>
      </c>
      <c r="M243" s="308">
        <v>830241</v>
      </c>
      <c r="N243" s="311"/>
      <c r="O243" s="311" t="s">
        <v>2437</v>
      </c>
      <c r="P243" s="311" t="s">
        <v>34</v>
      </c>
      <c r="Q243" s="325"/>
      <c r="R243" s="319">
        <v>2861.904095219119</v>
      </c>
      <c r="S243" s="325"/>
      <c r="T243" s="311" t="s">
        <v>34</v>
      </c>
      <c r="U243" s="317"/>
    </row>
    <row r="244" spans="1:21" s="318" customFormat="1" ht="14.1" customHeight="1">
      <c r="A244" s="311">
        <v>240</v>
      </c>
      <c r="B244" s="247" t="s">
        <v>348</v>
      </c>
      <c r="C244" s="247" t="s">
        <v>348</v>
      </c>
      <c r="D244" s="311" t="s">
        <v>2174</v>
      </c>
      <c r="E244" s="311" t="s">
        <v>2433</v>
      </c>
      <c r="F244" s="311" t="s">
        <v>2434</v>
      </c>
      <c r="G244" s="311" t="s">
        <v>2917</v>
      </c>
      <c r="H244" s="311" t="s">
        <v>42</v>
      </c>
      <c r="I244" s="317" t="s">
        <v>2918</v>
      </c>
      <c r="J244" s="311" t="s">
        <v>30</v>
      </c>
      <c r="K244" s="311"/>
      <c r="L244" s="311" t="s">
        <v>336</v>
      </c>
      <c r="M244" s="308">
        <v>830241</v>
      </c>
      <c r="N244" s="311"/>
      <c r="O244" s="311" t="s">
        <v>2437</v>
      </c>
      <c r="P244" s="311" t="s">
        <v>34</v>
      </c>
      <c r="Q244" s="325"/>
      <c r="R244" s="319">
        <v>2931.161727499988</v>
      </c>
      <c r="S244" s="325"/>
      <c r="T244" s="311" t="s">
        <v>34</v>
      </c>
      <c r="U244" s="317"/>
    </row>
    <row r="245" spans="1:21" s="318" customFormat="1" ht="14.1" customHeight="1">
      <c r="A245" s="311">
        <v>241</v>
      </c>
      <c r="B245" s="247" t="s">
        <v>348</v>
      </c>
      <c r="C245" s="247" t="s">
        <v>348</v>
      </c>
      <c r="D245" s="311" t="s">
        <v>2174</v>
      </c>
      <c r="E245" s="311" t="s">
        <v>2433</v>
      </c>
      <c r="F245" s="311" t="s">
        <v>2434</v>
      </c>
      <c r="G245" s="311" t="s">
        <v>2919</v>
      </c>
      <c r="H245" s="311" t="s">
        <v>42</v>
      </c>
      <c r="I245" s="317" t="s">
        <v>2920</v>
      </c>
      <c r="J245" s="311" t="s">
        <v>30</v>
      </c>
      <c r="K245" s="311"/>
      <c r="L245" s="311" t="s">
        <v>336</v>
      </c>
      <c r="M245" s="308">
        <v>830241</v>
      </c>
      <c r="N245" s="311"/>
      <c r="O245" s="311" t="s">
        <v>2437</v>
      </c>
      <c r="P245" s="311" t="s">
        <v>34</v>
      </c>
      <c r="Q245" s="325"/>
      <c r="R245" s="319">
        <v>3031.6970001657651</v>
      </c>
      <c r="S245" s="325"/>
      <c r="T245" s="311" t="s">
        <v>34</v>
      </c>
      <c r="U245" s="317"/>
    </row>
    <row r="246" spans="1:21" s="318" customFormat="1" ht="14.1" customHeight="1">
      <c r="A246" s="311">
        <v>242</v>
      </c>
      <c r="B246" s="247" t="s">
        <v>348</v>
      </c>
      <c r="C246" s="247" t="s">
        <v>348</v>
      </c>
      <c r="D246" s="311" t="s">
        <v>2174</v>
      </c>
      <c r="E246" s="311" t="s">
        <v>2433</v>
      </c>
      <c r="F246" s="311" t="s">
        <v>2434</v>
      </c>
      <c r="G246" s="311" t="s">
        <v>2921</v>
      </c>
      <c r="H246" s="311" t="s">
        <v>42</v>
      </c>
      <c r="I246" s="317" t="s">
        <v>2922</v>
      </c>
      <c r="J246" s="311" t="s">
        <v>30</v>
      </c>
      <c r="K246" s="311"/>
      <c r="L246" s="311" t="s">
        <v>336</v>
      </c>
      <c r="M246" s="308">
        <v>830241</v>
      </c>
      <c r="N246" s="311"/>
      <c r="O246" s="311" t="s">
        <v>2437</v>
      </c>
      <c r="P246" s="311" t="s">
        <v>34</v>
      </c>
      <c r="Q246" s="325"/>
      <c r="R246" s="319">
        <v>3118.827569809438</v>
      </c>
      <c r="S246" s="325"/>
      <c r="T246" s="311" t="s">
        <v>34</v>
      </c>
      <c r="U246" s="317"/>
    </row>
    <row r="247" spans="1:21" s="318" customFormat="1" ht="14.1" customHeight="1">
      <c r="A247" s="311">
        <v>243</v>
      </c>
      <c r="B247" s="247" t="s">
        <v>348</v>
      </c>
      <c r="C247" s="247" t="s">
        <v>348</v>
      </c>
      <c r="D247" s="311" t="s">
        <v>2174</v>
      </c>
      <c r="E247" s="311" t="s">
        <v>2433</v>
      </c>
      <c r="F247" s="311" t="s">
        <v>2434</v>
      </c>
      <c r="G247" s="311" t="s">
        <v>2923</v>
      </c>
      <c r="H247" s="311" t="s">
        <v>42</v>
      </c>
      <c r="I247" s="317" t="s">
        <v>2924</v>
      </c>
      <c r="J247" s="311" t="s">
        <v>30</v>
      </c>
      <c r="K247" s="311"/>
      <c r="L247" s="311" t="s">
        <v>336</v>
      </c>
      <c r="M247" s="308">
        <v>830241</v>
      </c>
      <c r="N247" s="311"/>
      <c r="O247" s="311" t="s">
        <v>2437</v>
      </c>
      <c r="P247" s="311" t="s">
        <v>34</v>
      </c>
      <c r="Q247" s="325"/>
      <c r="R247" s="319">
        <v>3205.9581394531119</v>
      </c>
      <c r="S247" s="325"/>
      <c r="T247" s="311" t="s">
        <v>34</v>
      </c>
      <c r="U247" s="317"/>
    </row>
    <row r="248" spans="1:21" s="318" customFormat="1" ht="14.1" customHeight="1">
      <c r="A248" s="311">
        <v>244</v>
      </c>
      <c r="B248" s="247" t="s">
        <v>348</v>
      </c>
      <c r="C248" s="247" t="s">
        <v>348</v>
      </c>
      <c r="D248" s="311" t="s">
        <v>2174</v>
      </c>
      <c r="E248" s="311" t="s">
        <v>2433</v>
      </c>
      <c r="F248" s="311" t="s">
        <v>2434</v>
      </c>
      <c r="G248" s="311" t="s">
        <v>2925</v>
      </c>
      <c r="H248" s="311" t="s">
        <v>42</v>
      </c>
      <c r="I248" s="317" t="s">
        <v>2926</v>
      </c>
      <c r="J248" s="311" t="s">
        <v>30</v>
      </c>
      <c r="K248" s="311"/>
      <c r="L248" s="311" t="s">
        <v>336</v>
      </c>
      <c r="M248" s="308">
        <v>830241</v>
      </c>
      <c r="N248" s="311"/>
      <c r="O248" s="311" t="s">
        <v>2437</v>
      </c>
      <c r="P248" s="311" t="s">
        <v>34</v>
      </c>
      <c r="Q248" s="325"/>
      <c r="R248" s="319">
        <v>3496.39337159869</v>
      </c>
      <c r="S248" s="325"/>
      <c r="T248" s="311" t="s">
        <v>34</v>
      </c>
      <c r="U248" s="317"/>
    </row>
    <row r="249" spans="1:21" s="318" customFormat="1" ht="14.1" customHeight="1">
      <c r="A249" s="311">
        <v>245</v>
      </c>
      <c r="B249" s="247" t="s">
        <v>348</v>
      </c>
      <c r="C249" s="247" t="s">
        <v>348</v>
      </c>
      <c r="D249" s="311" t="s">
        <v>2174</v>
      </c>
      <c r="E249" s="311" t="s">
        <v>2433</v>
      </c>
      <c r="F249" s="311" t="s">
        <v>2434</v>
      </c>
      <c r="G249" s="311" t="s">
        <v>2927</v>
      </c>
      <c r="H249" s="311" t="s">
        <v>42</v>
      </c>
      <c r="I249" s="317" t="s">
        <v>2928</v>
      </c>
      <c r="J249" s="311" t="s">
        <v>30</v>
      </c>
      <c r="K249" s="311"/>
      <c r="L249" s="311" t="s">
        <v>336</v>
      </c>
      <c r="M249" s="308">
        <v>830241</v>
      </c>
      <c r="N249" s="311"/>
      <c r="O249" s="311" t="s">
        <v>2437</v>
      </c>
      <c r="P249" s="311" t="s">
        <v>34</v>
      </c>
      <c r="Q249" s="325"/>
      <c r="R249" s="319">
        <v>3914.1732824542519</v>
      </c>
      <c r="S249" s="325"/>
      <c r="T249" s="311" t="s">
        <v>34</v>
      </c>
      <c r="U249" s="317"/>
    </row>
    <row r="250" spans="1:21" s="318" customFormat="1" ht="14.1" customHeight="1">
      <c r="A250" s="311">
        <v>246</v>
      </c>
      <c r="B250" s="247" t="s">
        <v>348</v>
      </c>
      <c r="C250" s="247" t="s">
        <v>348</v>
      </c>
      <c r="D250" s="311" t="s">
        <v>2174</v>
      </c>
      <c r="E250" s="311" t="s">
        <v>2433</v>
      </c>
      <c r="F250" s="311" t="s">
        <v>2434</v>
      </c>
      <c r="G250" s="311" t="s">
        <v>2929</v>
      </c>
      <c r="H250" s="311" t="s">
        <v>42</v>
      </c>
      <c r="I250" s="317" t="s">
        <v>2930</v>
      </c>
      <c r="J250" s="311" t="s">
        <v>30</v>
      </c>
      <c r="K250" s="311"/>
      <c r="L250" s="311" t="s">
        <v>336</v>
      </c>
      <c r="M250" s="308">
        <v>830241</v>
      </c>
      <c r="N250" s="311"/>
      <c r="O250" s="311" t="s">
        <v>2437</v>
      </c>
      <c r="P250" s="311" t="s">
        <v>34</v>
      </c>
      <c r="Q250" s="325"/>
      <c r="R250" s="319">
        <v>4329.7190761394641</v>
      </c>
      <c r="S250" s="325"/>
      <c r="T250" s="311" t="s">
        <v>34</v>
      </c>
      <c r="U250" s="317"/>
    </row>
    <row r="251" spans="1:21" s="318" customFormat="1" ht="14.1" customHeight="1">
      <c r="A251" s="311">
        <v>247</v>
      </c>
      <c r="B251" s="247" t="s">
        <v>348</v>
      </c>
      <c r="C251" s="247" t="s">
        <v>348</v>
      </c>
      <c r="D251" s="311" t="s">
        <v>2174</v>
      </c>
      <c r="E251" s="311" t="s">
        <v>2433</v>
      </c>
      <c r="F251" s="311" t="s">
        <v>2434</v>
      </c>
      <c r="G251" s="311" t="s">
        <v>2931</v>
      </c>
      <c r="H251" s="311" t="s">
        <v>42</v>
      </c>
      <c r="I251" s="317" t="s">
        <v>2932</v>
      </c>
      <c r="J251" s="311" t="s">
        <v>30</v>
      </c>
      <c r="K251" s="311"/>
      <c r="L251" s="311" t="s">
        <v>336</v>
      </c>
      <c r="M251" s="308">
        <v>830241</v>
      </c>
      <c r="N251" s="311"/>
      <c r="O251" s="311" t="s">
        <v>2437</v>
      </c>
      <c r="P251" s="311" t="s">
        <v>34</v>
      </c>
      <c r="Q251" s="325"/>
      <c r="R251" s="319">
        <v>2772.5394084050949</v>
      </c>
      <c r="S251" s="325"/>
      <c r="T251" s="311" t="s">
        <v>34</v>
      </c>
      <c r="U251" s="317"/>
    </row>
    <row r="252" spans="1:21" s="318" customFormat="1" ht="14.1" customHeight="1">
      <c r="A252" s="311">
        <v>248</v>
      </c>
      <c r="B252" s="247" t="s">
        <v>348</v>
      </c>
      <c r="C252" s="247" t="s">
        <v>348</v>
      </c>
      <c r="D252" s="311" t="s">
        <v>2174</v>
      </c>
      <c r="E252" s="311" t="s">
        <v>2433</v>
      </c>
      <c r="F252" s="311" t="s">
        <v>2434</v>
      </c>
      <c r="G252" s="311" t="s">
        <v>2933</v>
      </c>
      <c r="H252" s="311" t="s">
        <v>42</v>
      </c>
      <c r="I252" s="317" t="s">
        <v>2934</v>
      </c>
      <c r="J252" s="311" t="s">
        <v>30</v>
      </c>
      <c r="K252" s="311"/>
      <c r="L252" s="311" t="s">
        <v>336</v>
      </c>
      <c r="M252" s="308">
        <v>830241</v>
      </c>
      <c r="N252" s="311"/>
      <c r="O252" s="311" t="s">
        <v>2437</v>
      </c>
      <c r="P252" s="311" t="s">
        <v>34</v>
      </c>
      <c r="Q252" s="325"/>
      <c r="R252" s="319">
        <v>2861.904095219119</v>
      </c>
      <c r="S252" s="325"/>
      <c r="T252" s="311" t="s">
        <v>34</v>
      </c>
      <c r="U252" s="317"/>
    </row>
    <row r="253" spans="1:21" s="318" customFormat="1" ht="14.1" customHeight="1">
      <c r="A253" s="311">
        <v>249</v>
      </c>
      <c r="B253" s="247" t="s">
        <v>348</v>
      </c>
      <c r="C253" s="247" t="s">
        <v>348</v>
      </c>
      <c r="D253" s="311" t="s">
        <v>2174</v>
      </c>
      <c r="E253" s="311" t="s">
        <v>2433</v>
      </c>
      <c r="F253" s="311" t="s">
        <v>2434</v>
      </c>
      <c r="G253" s="311" t="s">
        <v>2935</v>
      </c>
      <c r="H253" s="311" t="s">
        <v>42</v>
      </c>
      <c r="I253" s="317" t="s">
        <v>2936</v>
      </c>
      <c r="J253" s="311" t="s">
        <v>30</v>
      </c>
      <c r="K253" s="311"/>
      <c r="L253" s="311" t="s">
        <v>336</v>
      </c>
      <c r="M253" s="308">
        <v>830241</v>
      </c>
      <c r="N253" s="311"/>
      <c r="O253" s="311" t="s">
        <v>2437</v>
      </c>
      <c r="P253" s="311" t="s">
        <v>34</v>
      </c>
      <c r="Q253" s="325"/>
      <c r="R253" s="319">
        <v>2931.161727499988</v>
      </c>
      <c r="S253" s="325"/>
      <c r="T253" s="311" t="s">
        <v>34</v>
      </c>
      <c r="U253" s="317"/>
    </row>
    <row r="254" spans="1:21" s="318" customFormat="1" ht="14.1" customHeight="1">
      <c r="A254" s="311">
        <v>250</v>
      </c>
      <c r="B254" s="247" t="s">
        <v>348</v>
      </c>
      <c r="C254" s="247" t="s">
        <v>348</v>
      </c>
      <c r="D254" s="311" t="s">
        <v>2174</v>
      </c>
      <c r="E254" s="311" t="s">
        <v>2433</v>
      </c>
      <c r="F254" s="311" t="s">
        <v>2434</v>
      </c>
      <c r="G254" s="311" t="s">
        <v>2937</v>
      </c>
      <c r="H254" s="311" t="s">
        <v>42</v>
      </c>
      <c r="I254" s="317" t="s">
        <v>2938</v>
      </c>
      <c r="J254" s="311" t="s">
        <v>30</v>
      </c>
      <c r="K254" s="311"/>
      <c r="L254" s="311" t="s">
        <v>336</v>
      </c>
      <c r="M254" s="308">
        <v>830241</v>
      </c>
      <c r="N254" s="311"/>
      <c r="O254" s="311" t="s">
        <v>2437</v>
      </c>
      <c r="P254" s="311" t="s">
        <v>34</v>
      </c>
      <c r="Q254" s="325"/>
      <c r="R254" s="319">
        <v>3031.6970001657651</v>
      </c>
      <c r="S254" s="325"/>
      <c r="T254" s="311" t="s">
        <v>34</v>
      </c>
      <c r="U254" s="317"/>
    </row>
    <row r="255" spans="1:21" s="318" customFormat="1" ht="14.1" customHeight="1">
      <c r="A255" s="311">
        <v>251</v>
      </c>
      <c r="B255" s="247" t="s">
        <v>348</v>
      </c>
      <c r="C255" s="247" t="s">
        <v>348</v>
      </c>
      <c r="D255" s="311" t="s">
        <v>2174</v>
      </c>
      <c r="E255" s="311" t="s">
        <v>2433</v>
      </c>
      <c r="F255" s="311" t="s">
        <v>2434</v>
      </c>
      <c r="G255" s="311" t="s">
        <v>2939</v>
      </c>
      <c r="H255" s="311" t="s">
        <v>42</v>
      </c>
      <c r="I255" s="317" t="s">
        <v>2940</v>
      </c>
      <c r="J255" s="311" t="s">
        <v>30</v>
      </c>
      <c r="K255" s="311"/>
      <c r="L255" s="311" t="s">
        <v>336</v>
      </c>
      <c r="M255" s="308">
        <v>830241</v>
      </c>
      <c r="N255" s="311"/>
      <c r="O255" s="311" t="s">
        <v>2437</v>
      </c>
      <c r="P255" s="311" t="s">
        <v>34</v>
      </c>
      <c r="Q255" s="325"/>
      <c r="R255" s="319">
        <v>3118.827569809438</v>
      </c>
      <c r="S255" s="325"/>
      <c r="T255" s="311" t="s">
        <v>34</v>
      </c>
      <c r="U255" s="317"/>
    </row>
    <row r="256" spans="1:21" s="318" customFormat="1" ht="14.1" customHeight="1">
      <c r="A256" s="311">
        <v>252</v>
      </c>
      <c r="B256" s="247" t="s">
        <v>348</v>
      </c>
      <c r="C256" s="247" t="s">
        <v>348</v>
      </c>
      <c r="D256" s="311" t="s">
        <v>2174</v>
      </c>
      <c r="E256" s="311" t="s">
        <v>2433</v>
      </c>
      <c r="F256" s="311" t="s">
        <v>2434</v>
      </c>
      <c r="G256" s="311" t="s">
        <v>2941</v>
      </c>
      <c r="H256" s="311" t="s">
        <v>42</v>
      </c>
      <c r="I256" s="317" t="s">
        <v>2942</v>
      </c>
      <c r="J256" s="311" t="s">
        <v>30</v>
      </c>
      <c r="K256" s="311"/>
      <c r="L256" s="311" t="s">
        <v>336</v>
      </c>
      <c r="M256" s="308">
        <v>830241</v>
      </c>
      <c r="N256" s="311"/>
      <c r="O256" s="311" t="s">
        <v>2437</v>
      </c>
      <c r="P256" s="311" t="s">
        <v>34</v>
      </c>
      <c r="Q256" s="325"/>
      <c r="R256" s="319">
        <v>3205.9581394531119</v>
      </c>
      <c r="S256" s="325"/>
      <c r="T256" s="311" t="s">
        <v>34</v>
      </c>
      <c r="U256" s="317"/>
    </row>
    <row r="257" spans="1:21" s="318" customFormat="1" ht="14.1" customHeight="1">
      <c r="A257" s="311">
        <v>253</v>
      </c>
      <c r="B257" s="247" t="s">
        <v>348</v>
      </c>
      <c r="C257" s="247" t="s">
        <v>348</v>
      </c>
      <c r="D257" s="311" t="s">
        <v>2174</v>
      </c>
      <c r="E257" s="311" t="s">
        <v>2433</v>
      </c>
      <c r="F257" s="311" t="s">
        <v>2434</v>
      </c>
      <c r="G257" s="311" t="s">
        <v>2943</v>
      </c>
      <c r="H257" s="311" t="s">
        <v>42</v>
      </c>
      <c r="I257" s="317" t="s">
        <v>2944</v>
      </c>
      <c r="J257" s="311" t="s">
        <v>30</v>
      </c>
      <c r="K257" s="311"/>
      <c r="L257" s="311" t="s">
        <v>336</v>
      </c>
      <c r="M257" s="308">
        <v>830241</v>
      </c>
      <c r="N257" s="311"/>
      <c r="O257" s="311" t="s">
        <v>2437</v>
      </c>
      <c r="P257" s="311" t="s">
        <v>34</v>
      </c>
      <c r="Q257" s="325"/>
      <c r="R257" s="319">
        <v>3496.39337159869</v>
      </c>
      <c r="S257" s="325"/>
      <c r="T257" s="311" t="s">
        <v>34</v>
      </c>
      <c r="U257" s="317"/>
    </row>
    <row r="258" spans="1:21" s="318" customFormat="1" ht="14.1" customHeight="1">
      <c r="A258" s="311">
        <v>254</v>
      </c>
      <c r="B258" s="247" t="s">
        <v>348</v>
      </c>
      <c r="C258" s="247" t="s">
        <v>348</v>
      </c>
      <c r="D258" s="311" t="s">
        <v>2174</v>
      </c>
      <c r="E258" s="311" t="s">
        <v>2433</v>
      </c>
      <c r="F258" s="311" t="s">
        <v>2434</v>
      </c>
      <c r="G258" s="311" t="s">
        <v>2945</v>
      </c>
      <c r="H258" s="311" t="s">
        <v>42</v>
      </c>
      <c r="I258" s="317" t="s">
        <v>2946</v>
      </c>
      <c r="J258" s="311" t="s">
        <v>30</v>
      </c>
      <c r="K258" s="311"/>
      <c r="L258" s="311" t="s">
        <v>336</v>
      </c>
      <c r="M258" s="308">
        <v>830241</v>
      </c>
      <c r="N258" s="311"/>
      <c r="O258" s="311" t="s">
        <v>2437</v>
      </c>
      <c r="P258" s="311" t="s">
        <v>34</v>
      </c>
      <c r="Q258" s="325"/>
      <c r="R258" s="319">
        <v>3914.1732824542519</v>
      </c>
      <c r="S258" s="325"/>
      <c r="T258" s="311" t="s">
        <v>34</v>
      </c>
      <c r="U258" s="317"/>
    </row>
    <row r="259" spans="1:21" s="318" customFormat="1" ht="14.1" customHeight="1">
      <c r="A259" s="311">
        <v>255</v>
      </c>
      <c r="B259" s="247" t="s">
        <v>348</v>
      </c>
      <c r="C259" s="247" t="s">
        <v>348</v>
      </c>
      <c r="D259" s="311" t="s">
        <v>2174</v>
      </c>
      <c r="E259" s="311" t="s">
        <v>2433</v>
      </c>
      <c r="F259" s="311" t="s">
        <v>2434</v>
      </c>
      <c r="G259" s="311" t="s">
        <v>2947</v>
      </c>
      <c r="H259" s="311" t="s">
        <v>42</v>
      </c>
      <c r="I259" s="317" t="s">
        <v>2948</v>
      </c>
      <c r="J259" s="311" t="s">
        <v>30</v>
      </c>
      <c r="K259" s="311"/>
      <c r="L259" s="311" t="s">
        <v>336</v>
      </c>
      <c r="M259" s="308">
        <v>830241</v>
      </c>
      <c r="N259" s="311"/>
      <c r="O259" s="311" t="s">
        <v>2437</v>
      </c>
      <c r="P259" s="311" t="s">
        <v>34</v>
      </c>
      <c r="Q259" s="325"/>
      <c r="R259" s="319">
        <v>4329.7190761394641</v>
      </c>
      <c r="S259" s="325"/>
      <c r="T259" s="311" t="s">
        <v>34</v>
      </c>
      <c r="U259" s="317"/>
    </row>
    <row r="260" spans="1:21" s="318" customFormat="1" ht="14.1" customHeight="1">
      <c r="A260" s="311">
        <v>256</v>
      </c>
      <c r="B260" s="247" t="s">
        <v>348</v>
      </c>
      <c r="C260" s="247" t="s">
        <v>348</v>
      </c>
      <c r="D260" s="311" t="s">
        <v>2174</v>
      </c>
      <c r="E260" s="311" t="s">
        <v>2433</v>
      </c>
      <c r="F260" s="311" t="s">
        <v>2434</v>
      </c>
      <c r="G260" s="311" t="s">
        <v>2949</v>
      </c>
      <c r="H260" s="311" t="s">
        <v>42</v>
      </c>
      <c r="I260" s="317" t="s">
        <v>2950</v>
      </c>
      <c r="J260" s="311" t="s">
        <v>30</v>
      </c>
      <c r="K260" s="311"/>
      <c r="L260" s="311" t="s">
        <v>336</v>
      </c>
      <c r="M260" s="308">
        <v>830241</v>
      </c>
      <c r="N260" s="311"/>
      <c r="O260" s="311" t="s">
        <v>2437</v>
      </c>
      <c r="P260" s="311" t="s">
        <v>34</v>
      </c>
      <c r="Q260" s="325"/>
      <c r="R260" s="319">
        <v>3916.4073996246029</v>
      </c>
      <c r="S260" s="325"/>
      <c r="T260" s="311" t="s">
        <v>34</v>
      </c>
      <c r="U260" s="317"/>
    </row>
    <row r="261" spans="1:21" s="318" customFormat="1" ht="14.1" customHeight="1">
      <c r="A261" s="311">
        <v>257</v>
      </c>
      <c r="B261" s="247" t="s">
        <v>348</v>
      </c>
      <c r="C261" s="247" t="s">
        <v>348</v>
      </c>
      <c r="D261" s="311" t="s">
        <v>2174</v>
      </c>
      <c r="E261" s="311" t="s">
        <v>2433</v>
      </c>
      <c r="F261" s="311" t="s">
        <v>2434</v>
      </c>
      <c r="G261" s="311" t="s">
        <v>2951</v>
      </c>
      <c r="H261" s="311" t="s">
        <v>42</v>
      </c>
      <c r="I261" s="317" t="s">
        <v>2952</v>
      </c>
      <c r="J261" s="311" t="s">
        <v>30</v>
      </c>
      <c r="K261" s="311"/>
      <c r="L261" s="311" t="s">
        <v>336</v>
      </c>
      <c r="M261" s="308">
        <v>830241</v>
      </c>
      <c r="N261" s="311"/>
      <c r="O261" s="311" t="s">
        <v>2437</v>
      </c>
      <c r="P261" s="311" t="s">
        <v>34</v>
      </c>
      <c r="Q261" s="325"/>
      <c r="R261" s="319">
        <v>3576.8215897313121</v>
      </c>
      <c r="S261" s="325"/>
      <c r="T261" s="311" t="s">
        <v>34</v>
      </c>
      <c r="U261" s="317"/>
    </row>
    <row r="262" spans="1:21" s="318" customFormat="1" ht="14.1" customHeight="1">
      <c r="A262" s="311">
        <v>258</v>
      </c>
      <c r="B262" s="247" t="s">
        <v>348</v>
      </c>
      <c r="C262" s="247" t="s">
        <v>348</v>
      </c>
      <c r="D262" s="311" t="s">
        <v>2174</v>
      </c>
      <c r="E262" s="311" t="s">
        <v>2433</v>
      </c>
      <c r="F262" s="311" t="s">
        <v>2434</v>
      </c>
      <c r="G262" s="311" t="s">
        <v>2953</v>
      </c>
      <c r="H262" s="311" t="s">
        <v>42</v>
      </c>
      <c r="I262" s="317" t="s">
        <v>2954</v>
      </c>
      <c r="J262" s="311" t="s">
        <v>30</v>
      </c>
      <c r="K262" s="311"/>
      <c r="L262" s="311" t="s">
        <v>336</v>
      </c>
      <c r="M262" s="308">
        <v>830241</v>
      </c>
      <c r="N262" s="311"/>
      <c r="O262" s="311" t="s">
        <v>2437</v>
      </c>
      <c r="P262" s="311" t="s">
        <v>34</v>
      </c>
      <c r="Q262" s="325"/>
      <c r="R262" s="319">
        <v>3838.2132986623319</v>
      </c>
      <c r="S262" s="325"/>
      <c r="T262" s="311" t="s">
        <v>34</v>
      </c>
      <c r="U262" s="317"/>
    </row>
    <row r="263" spans="1:21" s="318" customFormat="1" ht="14.1" customHeight="1">
      <c r="A263" s="311">
        <v>259</v>
      </c>
      <c r="B263" s="247" t="s">
        <v>348</v>
      </c>
      <c r="C263" s="247" t="s">
        <v>348</v>
      </c>
      <c r="D263" s="311" t="s">
        <v>2174</v>
      </c>
      <c r="E263" s="311" t="s">
        <v>2433</v>
      </c>
      <c r="F263" s="311" t="s">
        <v>2434</v>
      </c>
      <c r="G263" s="311" t="s">
        <v>2955</v>
      </c>
      <c r="H263" s="311" t="s">
        <v>42</v>
      </c>
      <c r="I263" s="317" t="s">
        <v>2956</v>
      </c>
      <c r="J263" s="311" t="s">
        <v>30</v>
      </c>
      <c r="K263" s="311"/>
      <c r="L263" s="311" t="s">
        <v>336</v>
      </c>
      <c r="M263" s="308">
        <v>830241</v>
      </c>
      <c r="N263" s="311"/>
      <c r="O263" s="311" t="s">
        <v>2437</v>
      </c>
      <c r="P263" s="311" t="s">
        <v>34</v>
      </c>
      <c r="Q263" s="325"/>
      <c r="R263" s="319">
        <v>4171.0967570445709</v>
      </c>
      <c r="S263" s="325"/>
      <c r="T263" s="311" t="s">
        <v>34</v>
      </c>
      <c r="U263" s="317"/>
    </row>
    <row r="264" spans="1:21" s="318" customFormat="1" ht="14.1" customHeight="1">
      <c r="A264" s="311">
        <v>260</v>
      </c>
      <c r="B264" s="247" t="s">
        <v>348</v>
      </c>
      <c r="C264" s="247" t="s">
        <v>348</v>
      </c>
      <c r="D264" s="311" t="s">
        <v>2174</v>
      </c>
      <c r="E264" s="311" t="s">
        <v>2433</v>
      </c>
      <c r="F264" s="311" t="s">
        <v>2434</v>
      </c>
      <c r="G264" s="311" t="s">
        <v>2957</v>
      </c>
      <c r="H264" s="311" t="s">
        <v>42</v>
      </c>
      <c r="I264" s="317" t="s">
        <v>2958</v>
      </c>
      <c r="J264" s="311" t="s">
        <v>30</v>
      </c>
      <c r="K264" s="311"/>
      <c r="L264" s="311" t="s">
        <v>336</v>
      </c>
      <c r="M264" s="308">
        <v>830241</v>
      </c>
      <c r="N264" s="311"/>
      <c r="O264" s="311" t="s">
        <v>2437</v>
      </c>
      <c r="P264" s="311" t="s">
        <v>34</v>
      </c>
      <c r="Q264" s="325"/>
      <c r="R264" s="319">
        <v>4338.6555448208665</v>
      </c>
      <c r="S264" s="325"/>
      <c r="T264" s="311" t="s">
        <v>34</v>
      </c>
      <c r="U264" s="317"/>
    </row>
    <row r="265" spans="1:21" s="318" customFormat="1" ht="14.1" customHeight="1">
      <c r="A265" s="311">
        <v>261</v>
      </c>
      <c r="B265" s="247" t="s">
        <v>348</v>
      </c>
      <c r="C265" s="247" t="s">
        <v>348</v>
      </c>
      <c r="D265" s="311" t="s">
        <v>2174</v>
      </c>
      <c r="E265" s="311" t="s">
        <v>2433</v>
      </c>
      <c r="F265" s="311" t="s">
        <v>2434</v>
      </c>
      <c r="G265" s="311" t="s">
        <v>2959</v>
      </c>
      <c r="H265" s="311" t="s">
        <v>42</v>
      </c>
      <c r="I265" s="317" t="s">
        <v>2960</v>
      </c>
      <c r="J265" s="311" t="s">
        <v>30</v>
      </c>
      <c r="K265" s="311"/>
      <c r="L265" s="311" t="s">
        <v>336</v>
      </c>
      <c r="M265" s="308">
        <v>830241</v>
      </c>
      <c r="N265" s="311"/>
      <c r="O265" s="311" t="s">
        <v>2437</v>
      </c>
      <c r="P265" s="311" t="s">
        <v>34</v>
      </c>
      <c r="Q265" s="325"/>
      <c r="R265" s="319">
        <v>3999.0697349275752</v>
      </c>
      <c r="S265" s="325"/>
      <c r="T265" s="311" t="s">
        <v>34</v>
      </c>
      <c r="U265" s="317"/>
    </row>
    <row r="266" spans="1:21" s="318" customFormat="1" ht="14.1" customHeight="1">
      <c r="A266" s="311">
        <v>262</v>
      </c>
      <c r="B266" s="247" t="s">
        <v>348</v>
      </c>
      <c r="C266" s="247" t="s">
        <v>348</v>
      </c>
      <c r="D266" s="311" t="s">
        <v>2174</v>
      </c>
      <c r="E266" s="311" t="s">
        <v>2433</v>
      </c>
      <c r="F266" s="311" t="s">
        <v>2434</v>
      </c>
      <c r="G266" s="311" t="s">
        <v>2961</v>
      </c>
      <c r="H266" s="311" t="s">
        <v>42</v>
      </c>
      <c r="I266" s="317" t="s">
        <v>2962</v>
      </c>
      <c r="J266" s="311" t="s">
        <v>30</v>
      </c>
      <c r="K266" s="311"/>
      <c r="L266" s="311" t="s">
        <v>336</v>
      </c>
      <c r="M266" s="308">
        <v>830241</v>
      </c>
      <c r="N266" s="311"/>
      <c r="O266" s="311" t="s">
        <v>2437</v>
      </c>
      <c r="P266" s="311" t="s">
        <v>34</v>
      </c>
      <c r="Q266" s="325"/>
      <c r="R266" s="319">
        <v>4526.321387130316</v>
      </c>
      <c r="S266" s="325"/>
      <c r="T266" s="311" t="s">
        <v>34</v>
      </c>
      <c r="U266" s="317"/>
    </row>
    <row r="267" spans="1:21" s="318" customFormat="1" ht="14.1" customHeight="1">
      <c r="A267" s="311">
        <v>263</v>
      </c>
      <c r="B267" s="247" t="s">
        <v>348</v>
      </c>
      <c r="C267" s="247" t="s">
        <v>348</v>
      </c>
      <c r="D267" s="311" t="s">
        <v>2174</v>
      </c>
      <c r="E267" s="311" t="s">
        <v>2433</v>
      </c>
      <c r="F267" s="311" t="s">
        <v>2434</v>
      </c>
      <c r="G267" s="311" t="s">
        <v>2963</v>
      </c>
      <c r="H267" s="311" t="s">
        <v>42</v>
      </c>
      <c r="I267" s="317" t="s">
        <v>2964</v>
      </c>
      <c r="J267" s="311" t="s">
        <v>30</v>
      </c>
      <c r="K267" s="311"/>
      <c r="L267" s="311" t="s">
        <v>336</v>
      </c>
      <c r="M267" s="308">
        <v>830241</v>
      </c>
      <c r="N267" s="311"/>
      <c r="O267" s="311" t="s">
        <v>2437</v>
      </c>
      <c r="P267" s="311" t="s">
        <v>34</v>
      </c>
      <c r="Q267" s="325"/>
      <c r="R267" s="319">
        <v>4188.9696944073767</v>
      </c>
      <c r="S267" s="325"/>
      <c r="T267" s="311" t="s">
        <v>34</v>
      </c>
      <c r="U267" s="317"/>
    </row>
    <row r="268" spans="1:21" s="318" customFormat="1" ht="14.1" customHeight="1">
      <c r="A268" s="311">
        <v>264</v>
      </c>
      <c r="B268" s="247" t="s">
        <v>348</v>
      </c>
      <c r="C268" s="247" t="s">
        <v>348</v>
      </c>
      <c r="D268" s="311" t="s">
        <v>2174</v>
      </c>
      <c r="E268" s="311" t="s">
        <v>2433</v>
      </c>
      <c r="F268" s="311" t="s">
        <v>2434</v>
      </c>
      <c r="G268" s="311" t="s">
        <v>2965</v>
      </c>
      <c r="H268" s="311" t="s">
        <v>42</v>
      </c>
      <c r="I268" s="317" t="s">
        <v>2966</v>
      </c>
      <c r="J268" s="311" t="s">
        <v>30</v>
      </c>
      <c r="K268" s="311"/>
      <c r="L268" s="311" t="s">
        <v>336</v>
      </c>
      <c r="M268" s="308">
        <v>830241</v>
      </c>
      <c r="N268" s="311"/>
      <c r="O268" s="311" t="s">
        <v>2437</v>
      </c>
      <c r="P268" s="311" t="s">
        <v>34</v>
      </c>
      <c r="Q268" s="325"/>
      <c r="R268" s="319">
        <v>5082.616562547616</v>
      </c>
      <c r="S268" s="325"/>
      <c r="T268" s="311" t="s">
        <v>34</v>
      </c>
      <c r="U268" s="317"/>
    </row>
    <row r="269" spans="1:21" s="318" customFormat="1" ht="14.1" customHeight="1">
      <c r="A269" s="311">
        <v>265</v>
      </c>
      <c r="B269" s="247" t="s">
        <v>348</v>
      </c>
      <c r="C269" s="247" t="s">
        <v>348</v>
      </c>
      <c r="D269" s="311" t="s">
        <v>2174</v>
      </c>
      <c r="E269" s="311" t="s">
        <v>2433</v>
      </c>
      <c r="F269" s="311" t="s">
        <v>2434</v>
      </c>
      <c r="G269" s="311" t="s">
        <v>2967</v>
      </c>
      <c r="H269" s="311" t="s">
        <v>42</v>
      </c>
      <c r="I269" s="317" t="s">
        <v>2968</v>
      </c>
      <c r="J269" s="311" t="s">
        <v>30</v>
      </c>
      <c r="K269" s="311"/>
      <c r="L269" s="311" t="s">
        <v>336</v>
      </c>
      <c r="M269" s="308">
        <v>830241</v>
      </c>
      <c r="N269" s="311"/>
      <c r="O269" s="311" t="s">
        <v>2437</v>
      </c>
      <c r="P269" s="311" t="s">
        <v>34</v>
      </c>
      <c r="Q269" s="325"/>
      <c r="R269" s="319">
        <v>4743.0307526543256</v>
      </c>
      <c r="S269" s="325"/>
      <c r="T269" s="311" t="s">
        <v>34</v>
      </c>
      <c r="U269" s="317"/>
    </row>
    <row r="270" spans="1:21" s="318" customFormat="1" ht="14.1" customHeight="1">
      <c r="A270" s="311">
        <v>266</v>
      </c>
      <c r="B270" s="247" t="s">
        <v>348</v>
      </c>
      <c r="C270" s="247" t="s">
        <v>348</v>
      </c>
      <c r="D270" s="311" t="s">
        <v>2174</v>
      </c>
      <c r="E270" s="311" t="s">
        <v>2433</v>
      </c>
      <c r="F270" s="311" t="s">
        <v>2434</v>
      </c>
      <c r="G270" s="311" t="s">
        <v>2969</v>
      </c>
      <c r="H270" s="311" t="s">
        <v>42</v>
      </c>
      <c r="I270" s="317" t="s">
        <v>2970</v>
      </c>
      <c r="J270" s="311" t="s">
        <v>30</v>
      </c>
      <c r="K270" s="311"/>
      <c r="L270" s="311" t="s">
        <v>336</v>
      </c>
      <c r="M270" s="308">
        <v>830241</v>
      </c>
      <c r="N270" s="311"/>
      <c r="O270" s="311" t="s">
        <v>2437</v>
      </c>
      <c r="P270" s="311" t="s">
        <v>34</v>
      </c>
      <c r="Q270" s="325"/>
      <c r="R270" s="319">
        <v>3491.9251372579888</v>
      </c>
      <c r="S270" s="325"/>
      <c r="T270" s="311" t="s">
        <v>34</v>
      </c>
      <c r="U270" s="317"/>
    </row>
    <row r="271" spans="1:21" s="318" customFormat="1" ht="14.1" customHeight="1">
      <c r="A271" s="311">
        <v>267</v>
      </c>
      <c r="B271" s="247" t="s">
        <v>348</v>
      </c>
      <c r="C271" s="247" t="s">
        <v>348</v>
      </c>
      <c r="D271" s="311" t="s">
        <v>2174</v>
      </c>
      <c r="E271" s="311" t="s">
        <v>2433</v>
      </c>
      <c r="F271" s="311" t="s">
        <v>2434</v>
      </c>
      <c r="G271" s="311" t="s">
        <v>2971</v>
      </c>
      <c r="H271" s="311" t="s">
        <v>42</v>
      </c>
      <c r="I271" s="317" t="s">
        <v>2972</v>
      </c>
      <c r="J271" s="311" t="s">
        <v>30</v>
      </c>
      <c r="K271" s="311"/>
      <c r="L271" s="311" t="s">
        <v>336</v>
      </c>
      <c r="M271" s="308">
        <v>830241</v>
      </c>
      <c r="N271" s="311"/>
      <c r="O271" s="311" t="s">
        <v>2437</v>
      </c>
      <c r="P271" s="311" t="s">
        <v>34</v>
      </c>
      <c r="Q271" s="325"/>
      <c r="R271" s="319">
        <v>3844.9156501733828</v>
      </c>
      <c r="S271" s="325"/>
      <c r="T271" s="311" t="s">
        <v>34</v>
      </c>
      <c r="U271" s="317"/>
    </row>
    <row r="272" spans="1:21" s="318" customFormat="1" ht="14.1" customHeight="1">
      <c r="A272" s="311">
        <v>268</v>
      </c>
      <c r="B272" s="247" t="s">
        <v>348</v>
      </c>
      <c r="C272" s="247" t="s">
        <v>348</v>
      </c>
      <c r="D272" s="311" t="s">
        <v>260</v>
      </c>
      <c r="E272" s="311" t="s">
        <v>2973</v>
      </c>
      <c r="F272" s="311" t="s">
        <v>2434</v>
      </c>
      <c r="G272" s="311" t="s">
        <v>2974</v>
      </c>
      <c r="H272" s="311" t="s">
        <v>2975</v>
      </c>
      <c r="I272" s="317" t="s">
        <v>2976</v>
      </c>
      <c r="J272" s="311" t="s">
        <v>30</v>
      </c>
      <c r="K272" s="311" t="s">
        <v>520</v>
      </c>
      <c r="L272" s="311" t="s">
        <v>336</v>
      </c>
      <c r="M272" s="308">
        <v>761090</v>
      </c>
      <c r="N272" s="311"/>
      <c r="O272" s="311" t="s">
        <v>2572</v>
      </c>
      <c r="P272" s="311" t="s">
        <v>34</v>
      </c>
      <c r="Q272" s="325"/>
      <c r="R272" s="319">
        <v>335.1175755525901</v>
      </c>
      <c r="S272" s="325"/>
      <c r="T272" s="311" t="s">
        <v>34</v>
      </c>
      <c r="U272" s="317"/>
    </row>
    <row r="273" spans="1:21" s="318" customFormat="1" ht="14.1" customHeight="1">
      <c r="A273" s="311">
        <v>269</v>
      </c>
      <c r="B273" s="247" t="s">
        <v>348</v>
      </c>
      <c r="C273" s="247" t="s">
        <v>348</v>
      </c>
      <c r="D273" s="311" t="s">
        <v>260</v>
      </c>
      <c r="E273" s="311" t="s">
        <v>2973</v>
      </c>
      <c r="F273" s="311" t="s">
        <v>2434</v>
      </c>
      <c r="G273" s="311" t="s">
        <v>2977</v>
      </c>
      <c r="H273" s="311" t="s">
        <v>2975</v>
      </c>
      <c r="I273" s="317" t="s">
        <v>2978</v>
      </c>
      <c r="J273" s="311" t="s">
        <v>30</v>
      </c>
      <c r="K273" s="311" t="s">
        <v>520</v>
      </c>
      <c r="L273" s="311" t="s">
        <v>336</v>
      </c>
      <c r="M273" s="308">
        <v>761090</v>
      </c>
      <c r="N273" s="311"/>
      <c r="O273" s="311" t="s">
        <v>2572</v>
      </c>
      <c r="P273" s="311" t="s">
        <v>34</v>
      </c>
      <c r="Q273" s="325"/>
      <c r="R273" s="319">
        <v>323.94698970083709</v>
      </c>
      <c r="S273" s="325"/>
      <c r="T273" s="311" t="s">
        <v>34</v>
      </c>
      <c r="U273" s="317"/>
    </row>
    <row r="274" spans="1:21" s="318" customFormat="1" ht="14.1" customHeight="1">
      <c r="A274" s="311">
        <v>270</v>
      </c>
      <c r="B274" s="247" t="s">
        <v>348</v>
      </c>
      <c r="C274" s="247" t="s">
        <v>348</v>
      </c>
      <c r="D274" s="311" t="s">
        <v>260</v>
      </c>
      <c r="E274" s="311" t="s">
        <v>2973</v>
      </c>
      <c r="F274" s="311" t="s">
        <v>2434</v>
      </c>
      <c r="G274" s="311" t="s">
        <v>2979</v>
      </c>
      <c r="H274" s="311" t="s">
        <v>2975</v>
      </c>
      <c r="I274" s="317" t="s">
        <v>2980</v>
      </c>
      <c r="J274" s="311" t="s">
        <v>30</v>
      </c>
      <c r="K274" s="311" t="s">
        <v>520</v>
      </c>
      <c r="L274" s="311" t="s">
        <v>336</v>
      </c>
      <c r="M274" s="308">
        <v>761090</v>
      </c>
      <c r="N274" s="311"/>
      <c r="O274" s="311" t="s">
        <v>2572</v>
      </c>
      <c r="P274" s="311" t="s">
        <v>34</v>
      </c>
      <c r="Q274" s="325"/>
      <c r="R274" s="319">
        <v>375.33168461890091</v>
      </c>
      <c r="S274" s="325"/>
      <c r="T274" s="311" t="s">
        <v>34</v>
      </c>
      <c r="U274" s="317"/>
    </row>
    <row r="275" spans="1:21" s="318" customFormat="1" ht="14.1" customHeight="1">
      <c r="A275" s="311">
        <v>271</v>
      </c>
      <c r="B275" s="247" t="s">
        <v>348</v>
      </c>
      <c r="C275" s="247" t="s">
        <v>348</v>
      </c>
      <c r="D275" s="311" t="s">
        <v>260</v>
      </c>
      <c r="E275" s="311" t="s">
        <v>2973</v>
      </c>
      <c r="F275" s="311" t="s">
        <v>2434</v>
      </c>
      <c r="G275" s="311" t="s">
        <v>2981</v>
      </c>
      <c r="H275" s="311" t="s">
        <v>2975</v>
      </c>
      <c r="I275" s="317" t="s">
        <v>2982</v>
      </c>
      <c r="J275" s="311" t="s">
        <v>30</v>
      </c>
      <c r="K275" s="311" t="s">
        <v>520</v>
      </c>
      <c r="L275" s="311" t="s">
        <v>336</v>
      </c>
      <c r="M275" s="308">
        <v>761090</v>
      </c>
      <c r="N275" s="311"/>
      <c r="O275" s="311" t="s">
        <v>2572</v>
      </c>
      <c r="P275" s="311" t="s">
        <v>34</v>
      </c>
      <c r="Q275" s="325"/>
      <c r="R275" s="319">
        <v>393.20462198170571</v>
      </c>
      <c r="S275" s="325"/>
      <c r="T275" s="311" t="s">
        <v>34</v>
      </c>
      <c r="U275" s="317"/>
    </row>
    <row r="276" spans="1:21" s="318" customFormat="1" ht="14.1" customHeight="1">
      <c r="A276" s="311">
        <v>272</v>
      </c>
      <c r="B276" s="247" t="s">
        <v>348</v>
      </c>
      <c r="C276" s="247" t="s">
        <v>348</v>
      </c>
      <c r="D276" s="311" t="s">
        <v>260</v>
      </c>
      <c r="E276" s="311" t="s">
        <v>2973</v>
      </c>
      <c r="F276" s="311" t="s">
        <v>2434</v>
      </c>
      <c r="G276" s="311" t="s">
        <v>2983</v>
      </c>
      <c r="H276" s="311" t="s">
        <v>2975</v>
      </c>
      <c r="I276" s="317" t="s">
        <v>2984</v>
      </c>
      <c r="J276" s="311" t="s">
        <v>30</v>
      </c>
      <c r="K276" s="311" t="s">
        <v>520</v>
      </c>
      <c r="L276" s="311" t="s">
        <v>336</v>
      </c>
      <c r="M276" s="308">
        <v>761090</v>
      </c>
      <c r="N276" s="311"/>
      <c r="O276" s="311" t="s">
        <v>2572</v>
      </c>
      <c r="P276" s="311" t="s">
        <v>34</v>
      </c>
      <c r="Q276" s="325"/>
      <c r="R276" s="319">
        <v>413.31167651486101</v>
      </c>
      <c r="S276" s="325"/>
      <c r="T276" s="311" t="s">
        <v>34</v>
      </c>
      <c r="U276" s="317"/>
    </row>
    <row r="277" spans="1:21" s="318" customFormat="1" ht="14.1" customHeight="1">
      <c r="A277" s="311">
        <v>273</v>
      </c>
      <c r="B277" s="247" t="s">
        <v>348</v>
      </c>
      <c r="C277" s="247" t="s">
        <v>348</v>
      </c>
      <c r="D277" s="311" t="s">
        <v>260</v>
      </c>
      <c r="E277" s="311" t="s">
        <v>2973</v>
      </c>
      <c r="F277" s="311" t="s">
        <v>2434</v>
      </c>
      <c r="G277" s="311" t="s">
        <v>2985</v>
      </c>
      <c r="H277" s="311" t="s">
        <v>2975</v>
      </c>
      <c r="I277" s="317" t="s">
        <v>2986</v>
      </c>
      <c r="J277" s="311" t="s">
        <v>30</v>
      </c>
      <c r="K277" s="311" t="s">
        <v>520</v>
      </c>
      <c r="L277" s="311" t="s">
        <v>336</v>
      </c>
      <c r="M277" s="308">
        <v>761090</v>
      </c>
      <c r="N277" s="311">
        <v>1</v>
      </c>
      <c r="O277" s="311" t="s">
        <v>2572</v>
      </c>
      <c r="P277" s="311" t="s">
        <v>34</v>
      </c>
      <c r="Q277" s="325"/>
      <c r="R277" s="319">
        <v>431.18461387766598</v>
      </c>
      <c r="S277" s="325"/>
      <c r="T277" s="311" t="s">
        <v>34</v>
      </c>
      <c r="U277" s="317"/>
    </row>
    <row r="278" spans="1:21" s="318" customFormat="1" ht="14.1" customHeight="1">
      <c r="A278" s="311">
        <v>274</v>
      </c>
      <c r="B278" s="247" t="s">
        <v>348</v>
      </c>
      <c r="C278" s="247" t="s">
        <v>348</v>
      </c>
      <c r="D278" s="311" t="s">
        <v>260</v>
      </c>
      <c r="E278" s="311" t="s">
        <v>2973</v>
      </c>
      <c r="F278" s="311" t="s">
        <v>2434</v>
      </c>
      <c r="G278" s="311" t="s">
        <v>2987</v>
      </c>
      <c r="H278" s="311" t="s">
        <v>2975</v>
      </c>
      <c r="I278" s="317" t="s">
        <v>2988</v>
      </c>
      <c r="J278" s="311" t="s">
        <v>30</v>
      </c>
      <c r="K278" s="311" t="s">
        <v>520</v>
      </c>
      <c r="L278" s="311" t="s">
        <v>336</v>
      </c>
      <c r="M278" s="308">
        <v>761090</v>
      </c>
      <c r="N278" s="311">
        <v>1</v>
      </c>
      <c r="O278" s="311" t="s">
        <v>2572</v>
      </c>
      <c r="P278" s="311" t="s">
        <v>34</v>
      </c>
      <c r="Q278" s="325"/>
      <c r="R278" s="319">
        <v>446.82343407012007</v>
      </c>
      <c r="S278" s="325"/>
      <c r="T278" s="311" t="s">
        <v>34</v>
      </c>
      <c r="U278" s="317"/>
    </row>
    <row r="279" spans="1:21" s="318" customFormat="1" ht="14.1" customHeight="1">
      <c r="A279" s="311">
        <v>275</v>
      </c>
      <c r="B279" s="247" t="s">
        <v>348</v>
      </c>
      <c r="C279" s="247" t="s">
        <v>348</v>
      </c>
      <c r="D279" s="311" t="s">
        <v>260</v>
      </c>
      <c r="E279" s="311" t="s">
        <v>2973</v>
      </c>
      <c r="F279" s="311" t="s">
        <v>2434</v>
      </c>
      <c r="G279" s="311" t="s">
        <v>2989</v>
      </c>
      <c r="H279" s="311" t="s">
        <v>2975</v>
      </c>
      <c r="I279" s="317" t="s">
        <v>2990</v>
      </c>
      <c r="J279" s="311" t="s">
        <v>30</v>
      </c>
      <c r="K279" s="311" t="s">
        <v>520</v>
      </c>
      <c r="L279" s="311" t="s">
        <v>336</v>
      </c>
      <c r="M279" s="308">
        <v>761090</v>
      </c>
      <c r="N279" s="311">
        <v>1</v>
      </c>
      <c r="O279" s="311" t="s">
        <v>2572</v>
      </c>
      <c r="P279" s="311" t="s">
        <v>34</v>
      </c>
      <c r="Q279" s="325"/>
      <c r="R279" s="319">
        <v>469.16460577362608</v>
      </c>
      <c r="S279" s="325"/>
      <c r="T279" s="311" t="s">
        <v>34</v>
      </c>
      <c r="U279" s="317"/>
    </row>
    <row r="280" spans="1:21" s="318" customFormat="1" ht="14.1" customHeight="1">
      <c r="A280" s="311">
        <v>276</v>
      </c>
      <c r="B280" s="247" t="s">
        <v>348</v>
      </c>
      <c r="C280" s="247" t="s">
        <v>348</v>
      </c>
      <c r="D280" s="311" t="s">
        <v>260</v>
      </c>
      <c r="E280" s="311" t="s">
        <v>2973</v>
      </c>
      <c r="F280" s="311" t="s">
        <v>2434</v>
      </c>
      <c r="G280" s="311" t="s">
        <v>2991</v>
      </c>
      <c r="H280" s="311" t="s">
        <v>2975</v>
      </c>
      <c r="I280" s="317" t="s">
        <v>2992</v>
      </c>
      <c r="J280" s="311" t="s">
        <v>30</v>
      </c>
      <c r="K280" s="311" t="s">
        <v>520</v>
      </c>
      <c r="L280" s="311" t="s">
        <v>336</v>
      </c>
      <c r="M280" s="308">
        <v>761090</v>
      </c>
      <c r="N280" s="311">
        <v>1</v>
      </c>
      <c r="O280" s="311" t="s">
        <v>2572</v>
      </c>
      <c r="P280" s="311" t="s">
        <v>34</v>
      </c>
      <c r="Q280" s="325"/>
      <c r="R280" s="319">
        <v>482.56930879572968</v>
      </c>
      <c r="S280" s="325"/>
      <c r="T280" s="311" t="s">
        <v>34</v>
      </c>
      <c r="U280" s="317"/>
    </row>
    <row r="281" spans="1:21" s="318" customFormat="1" ht="14.1" customHeight="1">
      <c r="A281" s="311">
        <v>277</v>
      </c>
      <c r="B281" s="247" t="s">
        <v>348</v>
      </c>
      <c r="C281" s="247" t="s">
        <v>348</v>
      </c>
      <c r="D281" s="311" t="s">
        <v>260</v>
      </c>
      <c r="E281" s="311" t="s">
        <v>2973</v>
      </c>
      <c r="F281" s="311" t="s">
        <v>2434</v>
      </c>
      <c r="G281" s="311" t="s">
        <v>2993</v>
      </c>
      <c r="H281" s="311" t="s">
        <v>2975</v>
      </c>
      <c r="I281" s="317" t="s">
        <v>2994</v>
      </c>
      <c r="J281" s="311" t="s">
        <v>30</v>
      </c>
      <c r="K281" s="311" t="s">
        <v>520</v>
      </c>
      <c r="L281" s="311" t="s">
        <v>336</v>
      </c>
      <c r="M281" s="308">
        <v>761090</v>
      </c>
      <c r="N281" s="311">
        <v>1</v>
      </c>
      <c r="O281" s="311" t="s">
        <v>2572</v>
      </c>
      <c r="P281" s="311" t="s">
        <v>34</v>
      </c>
      <c r="Q281" s="325"/>
      <c r="R281" s="319">
        <v>500.44224615853437</v>
      </c>
      <c r="S281" s="325"/>
      <c r="T281" s="311" t="s">
        <v>34</v>
      </c>
      <c r="U281" s="317"/>
    </row>
    <row r="282" spans="1:21" s="318" customFormat="1" ht="14.1" customHeight="1">
      <c r="A282" s="311">
        <v>278</v>
      </c>
      <c r="B282" s="247" t="s">
        <v>348</v>
      </c>
      <c r="C282" s="247" t="s">
        <v>348</v>
      </c>
      <c r="D282" s="311" t="s">
        <v>260</v>
      </c>
      <c r="E282" s="311" t="s">
        <v>2973</v>
      </c>
      <c r="F282" s="311" t="s">
        <v>2434</v>
      </c>
      <c r="G282" s="311" t="s">
        <v>2995</v>
      </c>
      <c r="H282" s="311" t="s">
        <v>2975</v>
      </c>
      <c r="I282" s="317" t="s">
        <v>2996</v>
      </c>
      <c r="J282" s="311" t="s">
        <v>30</v>
      </c>
      <c r="K282" s="311" t="s">
        <v>520</v>
      </c>
      <c r="L282" s="311" t="s">
        <v>336</v>
      </c>
      <c r="M282" s="308">
        <v>761090</v>
      </c>
      <c r="N282" s="311">
        <v>1</v>
      </c>
      <c r="O282" s="311" t="s">
        <v>2572</v>
      </c>
      <c r="P282" s="311" t="s">
        <v>34</v>
      </c>
      <c r="Q282" s="325"/>
      <c r="R282" s="319">
        <v>520.54930069168995</v>
      </c>
      <c r="S282" s="325"/>
      <c r="T282" s="311" t="s">
        <v>34</v>
      </c>
      <c r="U282" s="317"/>
    </row>
    <row r="283" spans="1:21" s="318" customFormat="1" ht="14.1" customHeight="1">
      <c r="A283" s="311">
        <v>279</v>
      </c>
      <c r="B283" s="247" t="s">
        <v>348</v>
      </c>
      <c r="C283" s="247" t="s">
        <v>348</v>
      </c>
      <c r="D283" s="311" t="s">
        <v>260</v>
      </c>
      <c r="E283" s="311" t="s">
        <v>2973</v>
      </c>
      <c r="F283" s="311" t="s">
        <v>2434</v>
      </c>
      <c r="G283" s="311" t="s">
        <v>2997</v>
      </c>
      <c r="H283" s="311" t="s">
        <v>2975</v>
      </c>
      <c r="I283" s="317" t="s">
        <v>2998</v>
      </c>
      <c r="J283" s="311" t="s">
        <v>30</v>
      </c>
      <c r="K283" s="311" t="s">
        <v>520</v>
      </c>
      <c r="L283" s="311" t="s">
        <v>336</v>
      </c>
      <c r="M283" s="308">
        <v>761090</v>
      </c>
      <c r="N283" s="311">
        <v>1</v>
      </c>
      <c r="O283" s="311" t="s">
        <v>2572</v>
      </c>
      <c r="P283" s="311" t="s">
        <v>34</v>
      </c>
      <c r="Q283" s="325"/>
      <c r="R283" s="319">
        <v>571.93399560975377</v>
      </c>
      <c r="S283" s="325"/>
      <c r="T283" s="311" t="s">
        <v>34</v>
      </c>
      <c r="U283" s="317"/>
    </row>
    <row r="284" spans="1:21" s="318" customFormat="1" ht="14.1" customHeight="1">
      <c r="A284" s="311">
        <v>280</v>
      </c>
      <c r="B284" s="247" t="s">
        <v>348</v>
      </c>
      <c r="C284" s="247" t="s">
        <v>348</v>
      </c>
      <c r="D284" s="311" t="s">
        <v>260</v>
      </c>
      <c r="E284" s="311" t="s">
        <v>2973</v>
      </c>
      <c r="F284" s="311" t="s">
        <v>2434</v>
      </c>
      <c r="G284" s="311" t="s">
        <v>2999</v>
      </c>
      <c r="H284" s="311" t="s">
        <v>2975</v>
      </c>
      <c r="I284" s="317" t="s">
        <v>3000</v>
      </c>
      <c r="J284" s="311" t="s">
        <v>30</v>
      </c>
      <c r="K284" s="311" t="s">
        <v>520</v>
      </c>
      <c r="L284" s="311" t="s">
        <v>336</v>
      </c>
      <c r="M284" s="308">
        <v>761090</v>
      </c>
      <c r="N284" s="311">
        <v>1</v>
      </c>
      <c r="O284" s="311" t="s">
        <v>2572</v>
      </c>
      <c r="P284" s="311" t="s">
        <v>34</v>
      </c>
      <c r="Q284" s="325"/>
      <c r="R284" s="319">
        <v>426.71637953696472</v>
      </c>
      <c r="S284" s="325"/>
      <c r="T284" s="311" t="s">
        <v>34</v>
      </c>
      <c r="U284" s="317"/>
    </row>
    <row r="285" spans="1:21" s="318" customFormat="1" ht="14.1" customHeight="1">
      <c r="A285" s="311">
        <v>281</v>
      </c>
      <c r="B285" s="247" t="s">
        <v>348</v>
      </c>
      <c r="C285" s="247" t="s">
        <v>348</v>
      </c>
      <c r="D285" s="311" t="s">
        <v>260</v>
      </c>
      <c r="E285" s="311" t="s">
        <v>2973</v>
      </c>
      <c r="F285" s="311" t="s">
        <v>2434</v>
      </c>
      <c r="G285" s="311" t="s">
        <v>3001</v>
      </c>
      <c r="H285" s="311" t="s">
        <v>2975</v>
      </c>
      <c r="I285" s="317" t="s">
        <v>3002</v>
      </c>
      <c r="J285" s="311" t="s">
        <v>30</v>
      </c>
      <c r="K285" s="311" t="s">
        <v>520</v>
      </c>
      <c r="L285" s="311" t="s">
        <v>336</v>
      </c>
      <c r="M285" s="308">
        <v>761090</v>
      </c>
      <c r="N285" s="311">
        <v>1</v>
      </c>
      <c r="O285" s="311" t="s">
        <v>2572</v>
      </c>
      <c r="P285" s="311" t="s">
        <v>34</v>
      </c>
      <c r="Q285" s="325"/>
      <c r="R285" s="319">
        <v>2117.943077492369</v>
      </c>
      <c r="S285" s="325"/>
      <c r="T285" s="311" t="s">
        <v>34</v>
      </c>
      <c r="U285" s="317"/>
    </row>
    <row r="286" spans="1:21" s="318" customFormat="1" ht="14.1" customHeight="1">
      <c r="A286" s="311">
        <v>282</v>
      </c>
      <c r="B286" s="247" t="s">
        <v>348</v>
      </c>
      <c r="C286" s="247" t="s">
        <v>348</v>
      </c>
      <c r="D286" s="311" t="s">
        <v>798</v>
      </c>
      <c r="E286" s="311" t="s">
        <v>3003</v>
      </c>
      <c r="F286" s="311" t="s">
        <v>2434</v>
      </c>
      <c r="G286" s="311" t="s">
        <v>3004</v>
      </c>
      <c r="H286" s="311" t="s">
        <v>2975</v>
      </c>
      <c r="I286" s="317" t="s">
        <v>3005</v>
      </c>
      <c r="J286" s="311" t="s">
        <v>30</v>
      </c>
      <c r="K286" s="311" t="s">
        <v>520</v>
      </c>
      <c r="L286" s="311" t="s">
        <v>336</v>
      </c>
      <c r="M286" s="308">
        <v>761090</v>
      </c>
      <c r="N286" s="311">
        <v>1</v>
      </c>
      <c r="O286" s="311" t="s">
        <v>2572</v>
      </c>
      <c r="P286" s="311" t="s">
        <v>34</v>
      </c>
      <c r="Q286" s="325"/>
      <c r="R286" s="319">
        <v>1434.3032233650861</v>
      </c>
      <c r="S286" s="325"/>
      <c r="T286" s="311" t="s">
        <v>34</v>
      </c>
      <c r="U286" s="317"/>
    </row>
    <row r="287" spans="1:21" s="318" customFormat="1" ht="14.1" customHeight="1">
      <c r="A287" s="311">
        <v>283</v>
      </c>
      <c r="B287" s="247" t="s">
        <v>348</v>
      </c>
      <c r="C287" s="247" t="s">
        <v>348</v>
      </c>
      <c r="D287" s="311" t="s">
        <v>798</v>
      </c>
      <c r="E287" s="311" t="s">
        <v>3003</v>
      </c>
      <c r="F287" s="311" t="s">
        <v>2434</v>
      </c>
      <c r="G287" s="311" t="s">
        <v>3006</v>
      </c>
      <c r="H287" s="311" t="s">
        <v>2975</v>
      </c>
      <c r="I287" s="317" t="s">
        <v>3007</v>
      </c>
      <c r="J287" s="311" t="s">
        <v>30</v>
      </c>
      <c r="K287" s="311" t="s">
        <v>520</v>
      </c>
      <c r="L287" s="311" t="s">
        <v>336</v>
      </c>
      <c r="M287" s="308">
        <v>761090</v>
      </c>
      <c r="N287" s="311">
        <v>1</v>
      </c>
      <c r="O287" s="311" t="s">
        <v>2572</v>
      </c>
      <c r="P287" s="311" t="s">
        <v>34</v>
      </c>
      <c r="Q287" s="325"/>
      <c r="R287" s="319">
        <v>1447.707926387189</v>
      </c>
      <c r="S287" s="325"/>
      <c r="T287" s="311" t="s">
        <v>34</v>
      </c>
      <c r="U287" s="317"/>
    </row>
    <row r="288" spans="1:21" s="318" customFormat="1" ht="14.1" customHeight="1">
      <c r="A288" s="311">
        <v>284</v>
      </c>
      <c r="B288" s="247" t="s">
        <v>348</v>
      </c>
      <c r="C288" s="247" t="s">
        <v>348</v>
      </c>
      <c r="D288" s="311" t="s">
        <v>798</v>
      </c>
      <c r="E288" s="311" t="s">
        <v>3003</v>
      </c>
      <c r="F288" s="311" t="s">
        <v>2434</v>
      </c>
      <c r="G288" s="311" t="s">
        <v>3008</v>
      </c>
      <c r="H288" s="311" t="s">
        <v>2975</v>
      </c>
      <c r="I288" s="317" t="s">
        <v>3009</v>
      </c>
      <c r="J288" s="311" t="s">
        <v>30</v>
      </c>
      <c r="K288" s="311" t="s">
        <v>520</v>
      </c>
      <c r="L288" s="311" t="s">
        <v>336</v>
      </c>
      <c r="M288" s="308">
        <v>761090</v>
      </c>
      <c r="N288" s="311">
        <v>1</v>
      </c>
      <c r="O288" s="311" t="s">
        <v>2572</v>
      </c>
      <c r="P288" s="311" t="s">
        <v>34</v>
      </c>
      <c r="Q288" s="325"/>
      <c r="R288" s="319">
        <v>1434.3032233650861</v>
      </c>
      <c r="S288" s="325"/>
      <c r="T288" s="311" t="s">
        <v>34</v>
      </c>
      <c r="U288" s="317"/>
    </row>
    <row r="289" spans="1:21" s="318" customFormat="1" ht="14.1" customHeight="1">
      <c r="A289" s="311">
        <v>285</v>
      </c>
      <c r="B289" s="247" t="s">
        <v>348</v>
      </c>
      <c r="C289" s="247" t="s">
        <v>348</v>
      </c>
      <c r="D289" s="311" t="s">
        <v>798</v>
      </c>
      <c r="E289" s="311" t="s">
        <v>3003</v>
      </c>
      <c r="F289" s="311" t="s">
        <v>2434</v>
      </c>
      <c r="G289" s="311" t="s">
        <v>3010</v>
      </c>
      <c r="H289" s="311" t="s">
        <v>2975</v>
      </c>
      <c r="I289" s="317" t="s">
        <v>3011</v>
      </c>
      <c r="J289" s="311" t="s">
        <v>30</v>
      </c>
      <c r="K289" s="311" t="s">
        <v>520</v>
      </c>
      <c r="L289" s="311" t="s">
        <v>336</v>
      </c>
      <c r="M289" s="308">
        <v>761090</v>
      </c>
      <c r="N289" s="311">
        <v>1</v>
      </c>
      <c r="O289" s="311" t="s">
        <v>2572</v>
      </c>
      <c r="P289" s="311" t="s">
        <v>34</v>
      </c>
      <c r="Q289" s="325"/>
      <c r="R289" s="319">
        <v>1447.707926387189</v>
      </c>
      <c r="S289" s="325"/>
      <c r="T289" s="311" t="s">
        <v>34</v>
      </c>
      <c r="U289" s="317"/>
    </row>
    <row r="290" spans="1:21" s="318" customFormat="1" ht="14.1" customHeight="1">
      <c r="A290" s="311">
        <v>286</v>
      </c>
      <c r="B290" s="247" t="s">
        <v>348</v>
      </c>
      <c r="C290" s="247" t="s">
        <v>348</v>
      </c>
      <c r="D290" s="311" t="s">
        <v>798</v>
      </c>
      <c r="E290" s="311" t="s">
        <v>3003</v>
      </c>
      <c r="F290" s="311" t="s">
        <v>2434</v>
      </c>
      <c r="G290" s="311" t="s">
        <v>3012</v>
      </c>
      <c r="H290" s="311" t="s">
        <v>2975</v>
      </c>
      <c r="I290" s="317" t="s">
        <v>3013</v>
      </c>
      <c r="J290" s="311" t="s">
        <v>30</v>
      </c>
      <c r="K290" s="311" t="s">
        <v>520</v>
      </c>
      <c r="L290" s="311" t="s">
        <v>336</v>
      </c>
      <c r="M290" s="308">
        <v>761090</v>
      </c>
      <c r="N290" s="311">
        <v>1</v>
      </c>
      <c r="O290" s="311" t="s">
        <v>2572</v>
      </c>
      <c r="P290" s="311" t="s">
        <v>34</v>
      </c>
      <c r="Q290" s="325"/>
      <c r="R290" s="319">
        <v>1434.3032233650861</v>
      </c>
      <c r="S290" s="325"/>
      <c r="T290" s="311" t="s">
        <v>34</v>
      </c>
      <c r="U290" s="317"/>
    </row>
    <row r="291" spans="1:21" s="318" customFormat="1" ht="14.1" customHeight="1">
      <c r="A291" s="311">
        <v>287</v>
      </c>
      <c r="B291" s="247" t="s">
        <v>348</v>
      </c>
      <c r="C291" s="247" t="s">
        <v>348</v>
      </c>
      <c r="D291" s="311" t="s">
        <v>798</v>
      </c>
      <c r="E291" s="311" t="s">
        <v>3003</v>
      </c>
      <c r="F291" s="311" t="s">
        <v>2434</v>
      </c>
      <c r="G291" s="311" t="s">
        <v>3014</v>
      </c>
      <c r="H291" s="311" t="s">
        <v>2975</v>
      </c>
      <c r="I291" s="317" t="s">
        <v>3015</v>
      </c>
      <c r="J291" s="311" t="s">
        <v>30</v>
      </c>
      <c r="K291" s="311" t="s">
        <v>520</v>
      </c>
      <c r="L291" s="311" t="s">
        <v>336</v>
      </c>
      <c r="M291" s="308">
        <v>761090</v>
      </c>
      <c r="N291" s="311">
        <v>1</v>
      </c>
      <c r="O291" s="311" t="s">
        <v>2572</v>
      </c>
      <c r="P291" s="311" t="s">
        <v>34</v>
      </c>
      <c r="Q291" s="325"/>
      <c r="R291" s="319">
        <v>1447.707926387189</v>
      </c>
      <c r="S291" s="325"/>
      <c r="T291" s="311" t="s">
        <v>34</v>
      </c>
      <c r="U291" s="317"/>
    </row>
    <row r="292" spans="1:21" s="318" customFormat="1" ht="14.1" customHeight="1">
      <c r="A292" s="311">
        <v>288</v>
      </c>
      <c r="B292" s="247" t="s">
        <v>348</v>
      </c>
      <c r="C292" s="247" t="s">
        <v>348</v>
      </c>
      <c r="D292" s="311" t="s">
        <v>260</v>
      </c>
      <c r="E292" s="311" t="s">
        <v>3016</v>
      </c>
      <c r="F292" s="311" t="s">
        <v>2434</v>
      </c>
      <c r="G292" s="311" t="s">
        <v>3017</v>
      </c>
      <c r="H292" s="311" t="s">
        <v>42</v>
      </c>
      <c r="I292" s="317" t="s">
        <v>3018</v>
      </c>
      <c r="J292" s="311" t="s">
        <v>30</v>
      </c>
      <c r="K292" s="311"/>
      <c r="L292" s="311" t="s">
        <v>336</v>
      </c>
      <c r="M292" s="308">
        <v>999999</v>
      </c>
      <c r="N292" s="311">
        <v>1</v>
      </c>
      <c r="O292" s="311"/>
      <c r="P292" s="311" t="s">
        <v>34</v>
      </c>
      <c r="Q292" s="325"/>
      <c r="R292" s="319">
        <v>594.27516731325977</v>
      </c>
      <c r="S292" s="325"/>
      <c r="T292" s="311" t="s">
        <v>34</v>
      </c>
      <c r="U292" s="317"/>
    </row>
    <row r="293" spans="1:21" s="318" customFormat="1" ht="14.1" customHeight="1">
      <c r="A293" s="311">
        <v>289</v>
      </c>
      <c r="B293" s="247" t="s">
        <v>348</v>
      </c>
      <c r="C293" s="247" t="s">
        <v>348</v>
      </c>
      <c r="D293" s="311" t="s">
        <v>260</v>
      </c>
      <c r="E293" s="311" t="s">
        <v>3016</v>
      </c>
      <c r="F293" s="311" t="s">
        <v>2434</v>
      </c>
      <c r="G293" s="311" t="s">
        <v>3019</v>
      </c>
      <c r="H293" s="311" t="s">
        <v>42</v>
      </c>
      <c r="I293" s="317" t="s">
        <v>3020</v>
      </c>
      <c r="J293" s="311" t="s">
        <v>30</v>
      </c>
      <c r="K293" s="311"/>
      <c r="L293" s="311" t="s">
        <v>336</v>
      </c>
      <c r="M293" s="308">
        <v>999999</v>
      </c>
      <c r="N293" s="311">
        <v>1</v>
      </c>
      <c r="O293" s="311"/>
      <c r="P293" s="311" t="s">
        <v>34</v>
      </c>
      <c r="Q293" s="325"/>
      <c r="R293" s="319">
        <v>53.618812088414408</v>
      </c>
      <c r="S293" s="325"/>
      <c r="T293" s="311" t="s">
        <v>34</v>
      </c>
      <c r="U293" s="317"/>
    </row>
    <row r="294" spans="1:21" s="318" customFormat="1" ht="14.1" customHeight="1">
      <c r="A294" s="311">
        <v>290</v>
      </c>
      <c r="B294" s="247" t="s">
        <v>348</v>
      </c>
      <c r="C294" s="247" t="s">
        <v>348</v>
      </c>
      <c r="D294" s="311" t="s">
        <v>260</v>
      </c>
      <c r="E294" s="311" t="s">
        <v>3016</v>
      </c>
      <c r="F294" s="311" t="s">
        <v>2434</v>
      </c>
      <c r="G294" s="311" t="s">
        <v>3021</v>
      </c>
      <c r="H294" s="311" t="s">
        <v>42</v>
      </c>
      <c r="I294" s="317" t="s">
        <v>3022</v>
      </c>
      <c r="J294" s="311" t="s">
        <v>30</v>
      </c>
      <c r="K294" s="311"/>
      <c r="L294" s="311" t="s">
        <v>336</v>
      </c>
      <c r="M294" s="308">
        <v>999999</v>
      </c>
      <c r="N294" s="311">
        <v>1</v>
      </c>
      <c r="O294" s="311"/>
      <c r="P294" s="311" t="s">
        <v>34</v>
      </c>
      <c r="Q294" s="325"/>
      <c r="R294" s="319">
        <v>1159.506811411962</v>
      </c>
      <c r="S294" s="325"/>
      <c r="T294" s="311" t="s">
        <v>34</v>
      </c>
      <c r="U294" s="317"/>
    </row>
    <row r="295" spans="1:21" s="318" customFormat="1" ht="14.1" customHeight="1">
      <c r="A295" s="311">
        <v>291</v>
      </c>
      <c r="B295" s="247" t="s">
        <v>348</v>
      </c>
      <c r="C295" s="247" t="s">
        <v>348</v>
      </c>
      <c r="D295" s="311" t="s">
        <v>92</v>
      </c>
      <c r="E295" s="311" t="s">
        <v>3023</v>
      </c>
      <c r="F295" s="311" t="s">
        <v>2434</v>
      </c>
      <c r="G295" s="311" t="s">
        <v>3024</v>
      </c>
      <c r="H295" s="311" t="s">
        <v>2975</v>
      </c>
      <c r="I295" s="317" t="s">
        <v>3025</v>
      </c>
      <c r="J295" s="311" t="s">
        <v>30</v>
      </c>
      <c r="K295" s="311" t="s">
        <v>520</v>
      </c>
      <c r="L295" s="311" t="s">
        <v>336</v>
      </c>
      <c r="M295" s="308">
        <v>761090</v>
      </c>
      <c r="N295" s="311">
        <v>1</v>
      </c>
      <c r="O295" s="311" t="s">
        <v>2572</v>
      </c>
      <c r="P295" s="311" t="s">
        <v>34</v>
      </c>
      <c r="Q295" s="325"/>
      <c r="R295" s="319">
        <v>2953.5028992034941</v>
      </c>
      <c r="S295" s="325"/>
      <c r="T295" s="311" t="s">
        <v>34</v>
      </c>
      <c r="U295" s="317"/>
    </row>
    <row r="296" spans="1:21" s="318" customFormat="1" ht="14.1" customHeight="1">
      <c r="A296" s="311">
        <v>292</v>
      </c>
      <c r="B296" s="247" t="s">
        <v>348</v>
      </c>
      <c r="C296" s="247" t="s">
        <v>348</v>
      </c>
      <c r="D296" s="311" t="s">
        <v>92</v>
      </c>
      <c r="E296" s="311" t="s">
        <v>3023</v>
      </c>
      <c r="F296" s="311" t="s">
        <v>2434</v>
      </c>
      <c r="G296" s="311" t="s">
        <v>3026</v>
      </c>
      <c r="H296" s="311" t="s">
        <v>2975</v>
      </c>
      <c r="I296" s="317" t="s">
        <v>3027</v>
      </c>
      <c r="J296" s="311" t="s">
        <v>30</v>
      </c>
      <c r="K296" s="311" t="s">
        <v>520</v>
      </c>
      <c r="L296" s="311" t="s">
        <v>336</v>
      </c>
      <c r="M296" s="308">
        <v>761090</v>
      </c>
      <c r="N296" s="311">
        <v>1</v>
      </c>
      <c r="O296" s="311" t="s">
        <v>2572</v>
      </c>
      <c r="P296" s="311" t="s">
        <v>34</v>
      </c>
      <c r="Q296" s="325"/>
      <c r="R296" s="319">
        <v>3692.9956825895429</v>
      </c>
      <c r="S296" s="325"/>
      <c r="T296" s="311" t="s">
        <v>34</v>
      </c>
      <c r="U296" s="317"/>
    </row>
    <row r="297" spans="1:21" s="318" customFormat="1" ht="14.1" customHeight="1">
      <c r="A297" s="311">
        <v>293</v>
      </c>
      <c r="B297" s="247" t="s">
        <v>348</v>
      </c>
      <c r="C297" s="247" t="s">
        <v>348</v>
      </c>
      <c r="D297" s="311" t="s">
        <v>92</v>
      </c>
      <c r="E297" s="311" t="s">
        <v>3023</v>
      </c>
      <c r="F297" s="311" t="s">
        <v>2434</v>
      </c>
      <c r="G297" s="311" t="s">
        <v>3028</v>
      </c>
      <c r="H297" s="311" t="s">
        <v>2975</v>
      </c>
      <c r="I297" s="317" t="s">
        <v>3029</v>
      </c>
      <c r="J297" s="311" t="s">
        <v>30</v>
      </c>
      <c r="K297" s="311" t="s">
        <v>520</v>
      </c>
      <c r="L297" s="311" t="s">
        <v>336</v>
      </c>
      <c r="M297" s="308">
        <v>761090</v>
      </c>
      <c r="N297" s="311">
        <v>1</v>
      </c>
      <c r="O297" s="311" t="s">
        <v>2572</v>
      </c>
      <c r="P297" s="311" t="s">
        <v>34</v>
      </c>
      <c r="Q297" s="325"/>
      <c r="R297" s="319">
        <v>2068.7924997446562</v>
      </c>
      <c r="S297" s="325"/>
      <c r="T297" s="311" t="s">
        <v>34</v>
      </c>
      <c r="U297" s="317"/>
    </row>
    <row r="298" spans="1:21" s="318" customFormat="1" ht="14.1" customHeight="1">
      <c r="A298" s="311">
        <v>294</v>
      </c>
      <c r="B298" s="247" t="s">
        <v>348</v>
      </c>
      <c r="C298" s="247" t="s">
        <v>348</v>
      </c>
      <c r="D298" s="311" t="s">
        <v>92</v>
      </c>
      <c r="E298" s="311" t="s">
        <v>3023</v>
      </c>
      <c r="F298" s="311" t="s">
        <v>2434</v>
      </c>
      <c r="G298" s="311" t="s">
        <v>3030</v>
      </c>
      <c r="H298" s="311" t="s">
        <v>3031</v>
      </c>
      <c r="I298" s="317" t="s">
        <v>3032</v>
      </c>
      <c r="J298" s="311" t="s">
        <v>30</v>
      </c>
      <c r="K298" s="311"/>
      <c r="L298" s="311" t="s">
        <v>336</v>
      </c>
      <c r="M298" s="308">
        <v>761090</v>
      </c>
      <c r="N298" s="311">
        <v>1</v>
      </c>
      <c r="O298" s="311" t="s">
        <v>2572</v>
      </c>
      <c r="P298" s="311" t="s">
        <v>34</v>
      </c>
      <c r="Q298" s="325"/>
      <c r="R298" s="319">
        <v>3266.2793030525781</v>
      </c>
      <c r="S298" s="325"/>
      <c r="T298" s="311" t="s">
        <v>34</v>
      </c>
      <c r="U298" s="317"/>
    </row>
    <row r="299" spans="1:21" s="318" customFormat="1" ht="14.1" customHeight="1">
      <c r="A299" s="311">
        <v>295</v>
      </c>
      <c r="B299" s="247" t="s">
        <v>348</v>
      </c>
      <c r="C299" s="247" t="s">
        <v>348</v>
      </c>
      <c r="D299" s="311" t="s">
        <v>92</v>
      </c>
      <c r="E299" s="311" t="s">
        <v>3023</v>
      </c>
      <c r="F299" s="311" t="s">
        <v>2434</v>
      </c>
      <c r="G299" s="311" t="s">
        <v>3033</v>
      </c>
      <c r="H299" s="311" t="s">
        <v>3031</v>
      </c>
      <c r="I299" s="317" t="s">
        <v>3034</v>
      </c>
      <c r="J299" s="311" t="s">
        <v>30</v>
      </c>
      <c r="K299" s="311"/>
      <c r="L299" s="311" t="s">
        <v>336</v>
      </c>
      <c r="M299" s="308">
        <v>761090</v>
      </c>
      <c r="N299" s="311">
        <v>1</v>
      </c>
      <c r="O299" s="311" t="s">
        <v>2572</v>
      </c>
      <c r="P299" s="311" t="s">
        <v>34</v>
      </c>
      <c r="Q299" s="325"/>
      <c r="R299" s="319">
        <v>4083.966187400898</v>
      </c>
      <c r="S299" s="325"/>
      <c r="T299" s="311" t="s">
        <v>34</v>
      </c>
      <c r="U299" s="317"/>
    </row>
    <row r="300" spans="1:21" s="318" customFormat="1" ht="14.1" customHeight="1">
      <c r="A300" s="311">
        <v>296</v>
      </c>
      <c r="B300" s="247" t="s">
        <v>348</v>
      </c>
      <c r="C300" s="247" t="s">
        <v>348</v>
      </c>
      <c r="D300" s="311" t="s">
        <v>92</v>
      </c>
      <c r="E300" s="311" t="s">
        <v>3023</v>
      </c>
      <c r="F300" s="311" t="s">
        <v>2434</v>
      </c>
      <c r="G300" s="311" t="s">
        <v>3035</v>
      </c>
      <c r="H300" s="311" t="s">
        <v>3031</v>
      </c>
      <c r="I300" s="317" t="s">
        <v>3036</v>
      </c>
      <c r="J300" s="311" t="s">
        <v>30</v>
      </c>
      <c r="K300" s="311"/>
      <c r="L300" s="311" t="s">
        <v>336</v>
      </c>
      <c r="M300" s="308">
        <v>761090</v>
      </c>
      <c r="N300" s="311">
        <v>1</v>
      </c>
      <c r="O300" s="311" t="s">
        <v>2572</v>
      </c>
      <c r="P300" s="311" t="s">
        <v>34</v>
      </c>
      <c r="Q300" s="325"/>
      <c r="R300" s="319">
        <v>2278.7995137576122</v>
      </c>
      <c r="S300" s="325"/>
      <c r="T300" s="311" t="s">
        <v>34</v>
      </c>
      <c r="U300" s="317"/>
    </row>
    <row r="301" spans="1:21" s="318" customFormat="1" ht="14.1" customHeight="1">
      <c r="A301" s="311">
        <v>297</v>
      </c>
      <c r="B301" s="247" t="s">
        <v>348</v>
      </c>
      <c r="C301" s="247" t="s">
        <v>348</v>
      </c>
      <c r="D301" s="311" t="s">
        <v>92</v>
      </c>
      <c r="E301" s="311" t="s">
        <v>3023</v>
      </c>
      <c r="F301" s="311" t="s">
        <v>2434</v>
      </c>
      <c r="G301" s="311" t="s">
        <v>3037</v>
      </c>
      <c r="H301" s="311" t="s">
        <v>3038</v>
      </c>
      <c r="I301" s="317" t="s">
        <v>3039</v>
      </c>
      <c r="J301" s="311" t="s">
        <v>30</v>
      </c>
      <c r="K301" s="311"/>
      <c r="L301" s="311" t="s">
        <v>336</v>
      </c>
      <c r="M301" s="308">
        <v>761090</v>
      </c>
      <c r="N301" s="311">
        <v>1</v>
      </c>
      <c r="O301" s="311" t="s">
        <v>2572</v>
      </c>
      <c r="P301" s="311" t="s">
        <v>34</v>
      </c>
      <c r="Q301" s="325"/>
      <c r="R301" s="319">
        <v>3266.2793030525781</v>
      </c>
      <c r="S301" s="325"/>
      <c r="T301" s="311" t="s">
        <v>34</v>
      </c>
      <c r="U301" s="317"/>
    </row>
    <row r="302" spans="1:21" s="318" customFormat="1" ht="14.1" customHeight="1">
      <c r="A302" s="311">
        <v>298</v>
      </c>
      <c r="B302" s="247" t="s">
        <v>348</v>
      </c>
      <c r="C302" s="247" t="s">
        <v>348</v>
      </c>
      <c r="D302" s="311" t="s">
        <v>92</v>
      </c>
      <c r="E302" s="311" t="s">
        <v>3023</v>
      </c>
      <c r="F302" s="311" t="s">
        <v>2434</v>
      </c>
      <c r="G302" s="311" t="s">
        <v>3040</v>
      </c>
      <c r="H302" s="311" t="s">
        <v>3038</v>
      </c>
      <c r="I302" s="317" t="s">
        <v>3041</v>
      </c>
      <c r="J302" s="311" t="s">
        <v>30</v>
      </c>
      <c r="K302" s="311"/>
      <c r="L302" s="311" t="s">
        <v>336</v>
      </c>
      <c r="M302" s="308">
        <v>761090</v>
      </c>
      <c r="N302" s="311">
        <v>1</v>
      </c>
      <c r="O302" s="311" t="s">
        <v>2572</v>
      </c>
      <c r="P302" s="311" t="s">
        <v>34</v>
      </c>
      <c r="Q302" s="325"/>
      <c r="R302" s="319">
        <v>4083.966187400898</v>
      </c>
      <c r="S302" s="325"/>
      <c r="T302" s="311" t="s">
        <v>34</v>
      </c>
      <c r="U302" s="317"/>
    </row>
    <row r="303" spans="1:21" s="318" customFormat="1" ht="14.1" customHeight="1">
      <c r="A303" s="311">
        <v>299</v>
      </c>
      <c r="B303" s="247" t="s">
        <v>348</v>
      </c>
      <c r="C303" s="247" t="s">
        <v>348</v>
      </c>
      <c r="D303" s="311" t="s">
        <v>92</v>
      </c>
      <c r="E303" s="311" t="s">
        <v>3023</v>
      </c>
      <c r="F303" s="311" t="s">
        <v>2434</v>
      </c>
      <c r="G303" s="311" t="s">
        <v>3042</v>
      </c>
      <c r="H303" s="311" t="s">
        <v>3038</v>
      </c>
      <c r="I303" s="317" t="s">
        <v>3043</v>
      </c>
      <c r="J303" s="311" t="s">
        <v>30</v>
      </c>
      <c r="K303" s="311"/>
      <c r="L303" s="311" t="s">
        <v>336</v>
      </c>
      <c r="M303" s="308">
        <v>761090</v>
      </c>
      <c r="N303" s="311">
        <v>1</v>
      </c>
      <c r="O303" s="311" t="s">
        <v>2572</v>
      </c>
      <c r="P303" s="311" t="s">
        <v>34</v>
      </c>
      <c r="Q303" s="325"/>
      <c r="R303" s="319">
        <v>2278.7995137576122</v>
      </c>
      <c r="S303" s="325"/>
      <c r="T303" s="311" t="s">
        <v>34</v>
      </c>
      <c r="U303" s="317"/>
    </row>
    <row r="304" spans="1:21" s="318" customFormat="1" ht="14.1" customHeight="1">
      <c r="A304" s="311">
        <v>300</v>
      </c>
      <c r="B304" s="247" t="s">
        <v>348</v>
      </c>
      <c r="C304" s="247" t="s">
        <v>348</v>
      </c>
      <c r="D304" s="311" t="s">
        <v>92</v>
      </c>
      <c r="E304" s="311" t="s">
        <v>3023</v>
      </c>
      <c r="F304" s="311" t="s">
        <v>2434</v>
      </c>
      <c r="G304" s="311" t="s">
        <v>3044</v>
      </c>
      <c r="H304" s="311" t="s">
        <v>3045</v>
      </c>
      <c r="I304" s="317" t="s">
        <v>3046</v>
      </c>
      <c r="J304" s="311" t="s">
        <v>30</v>
      </c>
      <c r="K304" s="311"/>
      <c r="L304" s="311" t="s">
        <v>336</v>
      </c>
      <c r="M304" s="308">
        <v>761090</v>
      </c>
      <c r="N304" s="311">
        <v>1</v>
      </c>
      <c r="O304" s="311" t="s">
        <v>2572</v>
      </c>
      <c r="P304" s="311" t="s">
        <v>34</v>
      </c>
      <c r="Q304" s="325"/>
      <c r="R304" s="319">
        <v>3266.2793030525781</v>
      </c>
      <c r="S304" s="325"/>
      <c r="T304" s="311" t="s">
        <v>34</v>
      </c>
      <c r="U304" s="317"/>
    </row>
    <row r="305" spans="1:21" s="318" customFormat="1" ht="14.1" customHeight="1">
      <c r="A305" s="311">
        <v>301</v>
      </c>
      <c r="B305" s="247" t="s">
        <v>348</v>
      </c>
      <c r="C305" s="247" t="s">
        <v>348</v>
      </c>
      <c r="D305" s="311" t="s">
        <v>92</v>
      </c>
      <c r="E305" s="311" t="s">
        <v>3023</v>
      </c>
      <c r="F305" s="311" t="s">
        <v>2434</v>
      </c>
      <c r="G305" s="311" t="s">
        <v>3047</v>
      </c>
      <c r="H305" s="311" t="s">
        <v>3045</v>
      </c>
      <c r="I305" s="317" t="s">
        <v>3048</v>
      </c>
      <c r="J305" s="311" t="s">
        <v>30</v>
      </c>
      <c r="K305" s="311"/>
      <c r="L305" s="311" t="s">
        <v>336</v>
      </c>
      <c r="M305" s="308">
        <v>761090</v>
      </c>
      <c r="N305" s="311">
        <v>1</v>
      </c>
      <c r="O305" s="311" t="s">
        <v>2572</v>
      </c>
      <c r="P305" s="311" t="s">
        <v>34</v>
      </c>
      <c r="Q305" s="325"/>
      <c r="R305" s="319">
        <v>4083.966187400898</v>
      </c>
      <c r="S305" s="325"/>
      <c r="T305" s="311" t="s">
        <v>34</v>
      </c>
      <c r="U305" s="317"/>
    </row>
    <row r="306" spans="1:21" s="318" customFormat="1" ht="14.1" customHeight="1">
      <c r="A306" s="311">
        <v>302</v>
      </c>
      <c r="B306" s="247" t="s">
        <v>348</v>
      </c>
      <c r="C306" s="247" t="s">
        <v>348</v>
      </c>
      <c r="D306" s="311" t="s">
        <v>92</v>
      </c>
      <c r="E306" s="311" t="s">
        <v>3023</v>
      </c>
      <c r="F306" s="311" t="s">
        <v>2434</v>
      </c>
      <c r="G306" s="311" t="s">
        <v>3049</v>
      </c>
      <c r="H306" s="311" t="s">
        <v>3045</v>
      </c>
      <c r="I306" s="317" t="s">
        <v>3050</v>
      </c>
      <c r="J306" s="311" t="s">
        <v>30</v>
      </c>
      <c r="K306" s="311"/>
      <c r="L306" s="311" t="s">
        <v>336</v>
      </c>
      <c r="M306" s="308">
        <v>761090</v>
      </c>
      <c r="N306" s="311">
        <v>1</v>
      </c>
      <c r="O306" s="311" t="s">
        <v>2572</v>
      </c>
      <c r="P306" s="311" t="s">
        <v>34</v>
      </c>
      <c r="Q306" s="325"/>
      <c r="R306" s="319">
        <v>2278.7995137576122</v>
      </c>
      <c r="S306" s="325"/>
      <c r="T306" s="311" t="s">
        <v>34</v>
      </c>
      <c r="U306" s="317"/>
    </row>
    <row r="307" spans="1:21" s="318" customFormat="1" ht="14.1" customHeight="1">
      <c r="A307" s="311">
        <v>303</v>
      </c>
      <c r="B307" s="247" t="s">
        <v>348</v>
      </c>
      <c r="C307" s="247" t="s">
        <v>348</v>
      </c>
      <c r="D307" s="311" t="s">
        <v>92</v>
      </c>
      <c r="E307" s="311" t="s">
        <v>3023</v>
      </c>
      <c r="F307" s="311" t="s">
        <v>2434</v>
      </c>
      <c r="G307" s="311" t="s">
        <v>3051</v>
      </c>
      <c r="H307" s="311" t="s">
        <v>3052</v>
      </c>
      <c r="I307" s="317" t="s">
        <v>3053</v>
      </c>
      <c r="J307" s="311" t="s">
        <v>30</v>
      </c>
      <c r="K307" s="311"/>
      <c r="L307" s="311" t="s">
        <v>336</v>
      </c>
      <c r="M307" s="308">
        <v>761090</v>
      </c>
      <c r="N307" s="311">
        <v>1</v>
      </c>
      <c r="O307" s="311" t="s">
        <v>2572</v>
      </c>
      <c r="P307" s="311" t="s">
        <v>34</v>
      </c>
      <c r="Q307" s="325"/>
      <c r="R307" s="319">
        <v>3266.2793030525781</v>
      </c>
      <c r="S307" s="325"/>
      <c r="T307" s="311" t="s">
        <v>34</v>
      </c>
      <c r="U307" s="317"/>
    </row>
    <row r="308" spans="1:21" s="318" customFormat="1" ht="14.1" customHeight="1">
      <c r="A308" s="311">
        <v>304</v>
      </c>
      <c r="B308" s="247" t="s">
        <v>348</v>
      </c>
      <c r="C308" s="247" t="s">
        <v>348</v>
      </c>
      <c r="D308" s="311" t="s">
        <v>92</v>
      </c>
      <c r="E308" s="311" t="s">
        <v>3023</v>
      </c>
      <c r="F308" s="311" t="s">
        <v>2434</v>
      </c>
      <c r="G308" s="311" t="s">
        <v>3054</v>
      </c>
      <c r="H308" s="311" t="s">
        <v>3052</v>
      </c>
      <c r="I308" s="317" t="s">
        <v>3055</v>
      </c>
      <c r="J308" s="311" t="s">
        <v>30</v>
      </c>
      <c r="K308" s="311"/>
      <c r="L308" s="311" t="s">
        <v>336</v>
      </c>
      <c r="M308" s="308">
        <v>761090</v>
      </c>
      <c r="N308" s="311">
        <v>1</v>
      </c>
      <c r="O308" s="311" t="s">
        <v>2572</v>
      </c>
      <c r="P308" s="311" t="s">
        <v>34</v>
      </c>
      <c r="Q308" s="325"/>
      <c r="R308" s="319">
        <v>4083.966187400898</v>
      </c>
      <c r="S308" s="325"/>
      <c r="T308" s="311" t="s">
        <v>34</v>
      </c>
      <c r="U308" s="317"/>
    </row>
    <row r="309" spans="1:21" s="318" customFormat="1" ht="14.1" customHeight="1">
      <c r="A309" s="311">
        <v>305</v>
      </c>
      <c r="B309" s="247" t="s">
        <v>348</v>
      </c>
      <c r="C309" s="247" t="s">
        <v>348</v>
      </c>
      <c r="D309" s="311" t="s">
        <v>92</v>
      </c>
      <c r="E309" s="311" t="s">
        <v>3023</v>
      </c>
      <c r="F309" s="311" t="s">
        <v>2434</v>
      </c>
      <c r="G309" s="311" t="s">
        <v>3056</v>
      </c>
      <c r="H309" s="311" t="s">
        <v>3052</v>
      </c>
      <c r="I309" s="317" t="s">
        <v>3057</v>
      </c>
      <c r="J309" s="311" t="s">
        <v>30</v>
      </c>
      <c r="K309" s="311"/>
      <c r="L309" s="311" t="s">
        <v>336</v>
      </c>
      <c r="M309" s="308">
        <v>761090</v>
      </c>
      <c r="N309" s="311">
        <v>1</v>
      </c>
      <c r="O309" s="311" t="s">
        <v>2572</v>
      </c>
      <c r="P309" s="311" t="s">
        <v>34</v>
      </c>
      <c r="Q309" s="325"/>
      <c r="R309" s="319">
        <v>2278.7995137576122</v>
      </c>
      <c r="S309" s="325"/>
      <c r="T309" s="311" t="s">
        <v>34</v>
      </c>
      <c r="U309" s="317"/>
    </row>
    <row r="310" spans="1:21" s="318" customFormat="1" ht="14.1" customHeight="1">
      <c r="A310" s="311">
        <v>306</v>
      </c>
      <c r="B310" s="247" t="s">
        <v>348</v>
      </c>
      <c r="C310" s="247" t="s">
        <v>348</v>
      </c>
      <c r="D310" s="311" t="s">
        <v>92</v>
      </c>
      <c r="E310" s="311" t="s">
        <v>3023</v>
      </c>
      <c r="F310" s="311" t="s">
        <v>2434</v>
      </c>
      <c r="G310" s="311" t="s">
        <v>3058</v>
      </c>
      <c r="H310" s="311" t="s">
        <v>3059</v>
      </c>
      <c r="I310" s="317" t="s">
        <v>3060</v>
      </c>
      <c r="J310" s="311" t="s">
        <v>30</v>
      </c>
      <c r="K310" s="311"/>
      <c r="L310" s="311" t="s">
        <v>336</v>
      </c>
      <c r="M310" s="308">
        <v>761090</v>
      </c>
      <c r="N310" s="311">
        <v>1</v>
      </c>
      <c r="O310" s="311" t="s">
        <v>2572</v>
      </c>
      <c r="P310" s="311" t="s">
        <v>34</v>
      </c>
      <c r="Q310" s="325"/>
      <c r="R310" s="319">
        <v>3266.2793030525781</v>
      </c>
      <c r="S310" s="325"/>
      <c r="T310" s="311" t="s">
        <v>34</v>
      </c>
      <c r="U310" s="317"/>
    </row>
    <row r="311" spans="1:21" s="318" customFormat="1" ht="14.1" customHeight="1">
      <c r="A311" s="311">
        <v>307</v>
      </c>
      <c r="B311" s="247" t="s">
        <v>348</v>
      </c>
      <c r="C311" s="247" t="s">
        <v>348</v>
      </c>
      <c r="D311" s="311" t="s">
        <v>92</v>
      </c>
      <c r="E311" s="311" t="s">
        <v>3023</v>
      </c>
      <c r="F311" s="311" t="s">
        <v>2434</v>
      </c>
      <c r="G311" s="311" t="s">
        <v>3061</v>
      </c>
      <c r="H311" s="311" t="s">
        <v>3059</v>
      </c>
      <c r="I311" s="317" t="s">
        <v>3062</v>
      </c>
      <c r="J311" s="311" t="s">
        <v>30</v>
      </c>
      <c r="K311" s="311"/>
      <c r="L311" s="311" t="s">
        <v>336</v>
      </c>
      <c r="M311" s="308">
        <v>761090</v>
      </c>
      <c r="N311" s="311">
        <v>1</v>
      </c>
      <c r="O311" s="311" t="s">
        <v>2572</v>
      </c>
      <c r="P311" s="311" t="s">
        <v>34</v>
      </c>
      <c r="Q311" s="325"/>
      <c r="R311" s="319">
        <v>4083.966187400898</v>
      </c>
      <c r="S311" s="325"/>
      <c r="T311" s="311" t="s">
        <v>34</v>
      </c>
      <c r="U311" s="317"/>
    </row>
    <row r="312" spans="1:21" s="318" customFormat="1" ht="14.1" customHeight="1">
      <c r="A312" s="311">
        <v>308</v>
      </c>
      <c r="B312" s="247" t="s">
        <v>348</v>
      </c>
      <c r="C312" s="247" t="s">
        <v>348</v>
      </c>
      <c r="D312" s="311" t="s">
        <v>92</v>
      </c>
      <c r="E312" s="311" t="s">
        <v>3023</v>
      </c>
      <c r="F312" s="311" t="s">
        <v>2434</v>
      </c>
      <c r="G312" s="311" t="s">
        <v>3063</v>
      </c>
      <c r="H312" s="311" t="s">
        <v>3059</v>
      </c>
      <c r="I312" s="317" t="s">
        <v>3064</v>
      </c>
      <c r="J312" s="311" t="s">
        <v>30</v>
      </c>
      <c r="K312" s="311"/>
      <c r="L312" s="311" t="s">
        <v>336</v>
      </c>
      <c r="M312" s="308">
        <v>761090</v>
      </c>
      <c r="N312" s="311">
        <v>1</v>
      </c>
      <c r="O312" s="311" t="s">
        <v>2572</v>
      </c>
      <c r="P312" s="311" t="s">
        <v>34</v>
      </c>
      <c r="Q312" s="325"/>
      <c r="R312" s="319">
        <v>2278.7995137576122</v>
      </c>
      <c r="S312" s="325"/>
      <c r="T312" s="311" t="s">
        <v>34</v>
      </c>
      <c r="U312" s="317"/>
    </row>
    <row r="313" spans="1:21" s="318" customFormat="1" ht="14.1" customHeight="1">
      <c r="A313" s="311">
        <v>309</v>
      </c>
      <c r="B313" s="247" t="s">
        <v>348</v>
      </c>
      <c r="C313" s="247" t="s">
        <v>348</v>
      </c>
      <c r="D313" s="311" t="s">
        <v>92</v>
      </c>
      <c r="E313" s="311" t="s">
        <v>3023</v>
      </c>
      <c r="F313" s="311" t="s">
        <v>2434</v>
      </c>
      <c r="G313" s="311" t="s">
        <v>3065</v>
      </c>
      <c r="H313" s="311" t="s">
        <v>2975</v>
      </c>
      <c r="I313" s="317" t="s">
        <v>3066</v>
      </c>
      <c r="J313" s="311" t="s">
        <v>30</v>
      </c>
      <c r="K313" s="311" t="s">
        <v>520</v>
      </c>
      <c r="L313" s="311" t="s">
        <v>336</v>
      </c>
      <c r="M313" s="308">
        <v>761090</v>
      </c>
      <c r="N313" s="311">
        <v>1</v>
      </c>
      <c r="O313" s="311" t="s">
        <v>2572</v>
      </c>
      <c r="P313" s="311" t="s">
        <v>34</v>
      </c>
      <c r="Q313" s="325"/>
      <c r="R313" s="319">
        <v>3123.2958041501402</v>
      </c>
      <c r="S313" s="325"/>
      <c r="T313" s="311" t="s">
        <v>34</v>
      </c>
      <c r="U313" s="317"/>
    </row>
    <row r="314" spans="1:21" s="318" customFormat="1" ht="14.1" customHeight="1">
      <c r="A314" s="311">
        <v>310</v>
      </c>
      <c r="B314" s="247" t="s">
        <v>348</v>
      </c>
      <c r="C314" s="247" t="s">
        <v>348</v>
      </c>
      <c r="D314" s="311" t="s">
        <v>92</v>
      </c>
      <c r="E314" s="311" t="s">
        <v>3023</v>
      </c>
      <c r="F314" s="311" t="s">
        <v>2434</v>
      </c>
      <c r="G314" s="311" t="s">
        <v>3067</v>
      </c>
      <c r="H314" s="311" t="s">
        <v>2975</v>
      </c>
      <c r="I314" s="317" t="s">
        <v>3068</v>
      </c>
      <c r="J314" s="311" t="s">
        <v>30</v>
      </c>
      <c r="K314" s="311" t="s">
        <v>520</v>
      </c>
      <c r="L314" s="311" t="s">
        <v>336</v>
      </c>
      <c r="M314" s="308">
        <v>761090</v>
      </c>
      <c r="N314" s="311">
        <v>1</v>
      </c>
      <c r="O314" s="311" t="s">
        <v>2572</v>
      </c>
      <c r="P314" s="311" t="s">
        <v>34</v>
      </c>
      <c r="Q314" s="325"/>
      <c r="R314" s="319">
        <v>3887.3638764100451</v>
      </c>
      <c r="S314" s="325"/>
      <c r="T314" s="311" t="s">
        <v>34</v>
      </c>
      <c r="U314" s="317"/>
    </row>
    <row r="315" spans="1:21" s="318" customFormat="1" ht="14.1" customHeight="1">
      <c r="A315" s="311">
        <v>311</v>
      </c>
      <c r="B315" s="247" t="s">
        <v>348</v>
      </c>
      <c r="C315" s="247" t="s">
        <v>348</v>
      </c>
      <c r="D315" s="311" t="s">
        <v>92</v>
      </c>
      <c r="E315" s="311" t="s">
        <v>3023</v>
      </c>
      <c r="F315" s="311" t="s">
        <v>2434</v>
      </c>
      <c r="G315" s="311" t="s">
        <v>3069</v>
      </c>
      <c r="H315" s="311" t="s">
        <v>2975</v>
      </c>
      <c r="I315" s="317" t="s">
        <v>3070</v>
      </c>
      <c r="J315" s="311" t="s">
        <v>30</v>
      </c>
      <c r="K315" s="311" t="s">
        <v>520</v>
      </c>
      <c r="L315" s="311" t="s">
        <v>336</v>
      </c>
      <c r="M315" s="308">
        <v>761090</v>
      </c>
      <c r="N315" s="311">
        <v>1</v>
      </c>
      <c r="O315" s="311" t="s">
        <v>2572</v>
      </c>
      <c r="P315" s="311" t="s">
        <v>34</v>
      </c>
      <c r="Q315" s="325"/>
      <c r="R315" s="319">
        <v>2176.030123921485</v>
      </c>
      <c r="S315" s="325"/>
      <c r="T315" s="311" t="s">
        <v>34</v>
      </c>
      <c r="U315" s="317"/>
    </row>
    <row r="316" spans="1:21" s="318" customFormat="1" ht="14.1" customHeight="1">
      <c r="A316" s="311">
        <v>312</v>
      </c>
      <c r="B316" s="247" t="s">
        <v>348</v>
      </c>
      <c r="C316" s="247" t="s">
        <v>348</v>
      </c>
      <c r="D316" s="311" t="s">
        <v>92</v>
      </c>
      <c r="E316" s="311" t="s">
        <v>3023</v>
      </c>
      <c r="F316" s="311" t="s">
        <v>2434</v>
      </c>
      <c r="G316" s="311" t="s">
        <v>3071</v>
      </c>
      <c r="H316" s="311" t="s">
        <v>3031</v>
      </c>
      <c r="I316" s="317" t="s">
        <v>3072</v>
      </c>
      <c r="J316" s="311" t="s">
        <v>30</v>
      </c>
      <c r="K316" s="311"/>
      <c r="L316" s="311" t="s">
        <v>336</v>
      </c>
      <c r="M316" s="308">
        <v>761090</v>
      </c>
      <c r="N316" s="311">
        <v>1</v>
      </c>
      <c r="O316" s="311" t="s">
        <v>2572</v>
      </c>
      <c r="P316" s="311" t="s">
        <v>34</v>
      </c>
      <c r="Q316" s="325"/>
      <c r="R316" s="319">
        <v>3442.7745595102751</v>
      </c>
      <c r="S316" s="325"/>
      <c r="T316" s="311" t="s">
        <v>34</v>
      </c>
      <c r="U316" s="317"/>
    </row>
    <row r="317" spans="1:21" s="318" customFormat="1" ht="14.1" customHeight="1">
      <c r="A317" s="311">
        <v>313</v>
      </c>
      <c r="B317" s="247" t="s">
        <v>348</v>
      </c>
      <c r="C317" s="247" t="s">
        <v>348</v>
      </c>
      <c r="D317" s="311" t="s">
        <v>92</v>
      </c>
      <c r="E317" s="311" t="s">
        <v>3023</v>
      </c>
      <c r="F317" s="311" t="s">
        <v>2434</v>
      </c>
      <c r="G317" s="311" t="s">
        <v>3073</v>
      </c>
      <c r="H317" s="311" t="s">
        <v>3031</v>
      </c>
      <c r="I317" s="317" t="s">
        <v>3074</v>
      </c>
      <c r="J317" s="311" t="s">
        <v>30</v>
      </c>
      <c r="K317" s="311"/>
      <c r="L317" s="311" t="s">
        <v>336</v>
      </c>
      <c r="M317" s="308">
        <v>761090</v>
      </c>
      <c r="N317" s="311">
        <v>1</v>
      </c>
      <c r="O317" s="311" t="s">
        <v>2572</v>
      </c>
      <c r="P317" s="311" t="s">
        <v>34</v>
      </c>
      <c r="Q317" s="325"/>
      <c r="R317" s="319">
        <v>4302.9096700952568</v>
      </c>
      <c r="S317" s="325"/>
      <c r="T317" s="311" t="s">
        <v>34</v>
      </c>
      <c r="U317" s="317"/>
    </row>
    <row r="318" spans="1:21" s="318" customFormat="1" ht="14.1" customHeight="1">
      <c r="A318" s="311">
        <v>314</v>
      </c>
      <c r="B318" s="247" t="s">
        <v>348</v>
      </c>
      <c r="C318" s="247" t="s">
        <v>348</v>
      </c>
      <c r="D318" s="311" t="s">
        <v>92</v>
      </c>
      <c r="E318" s="311" t="s">
        <v>3023</v>
      </c>
      <c r="F318" s="311" t="s">
        <v>2434</v>
      </c>
      <c r="G318" s="311" t="s">
        <v>3075</v>
      </c>
      <c r="H318" s="311" t="s">
        <v>3031</v>
      </c>
      <c r="I318" s="317" t="s">
        <v>3076</v>
      </c>
      <c r="J318" s="311" t="s">
        <v>30</v>
      </c>
      <c r="K318" s="311"/>
      <c r="L318" s="311" t="s">
        <v>336</v>
      </c>
      <c r="M318" s="308">
        <v>761090</v>
      </c>
      <c r="N318" s="311">
        <v>1</v>
      </c>
      <c r="O318" s="311" t="s">
        <v>2572</v>
      </c>
      <c r="P318" s="311" t="s">
        <v>34</v>
      </c>
      <c r="Q318" s="325"/>
      <c r="R318" s="319">
        <v>2430.719481341454</v>
      </c>
      <c r="S318" s="325"/>
      <c r="T318" s="311" t="s">
        <v>34</v>
      </c>
      <c r="U318" s="317"/>
    </row>
    <row r="319" spans="1:21" s="318" customFormat="1" ht="14.1" customHeight="1">
      <c r="A319" s="311">
        <v>315</v>
      </c>
      <c r="B319" s="247" t="s">
        <v>348</v>
      </c>
      <c r="C319" s="247" t="s">
        <v>348</v>
      </c>
      <c r="D319" s="311" t="s">
        <v>92</v>
      </c>
      <c r="E319" s="311" t="s">
        <v>3023</v>
      </c>
      <c r="F319" s="311" t="s">
        <v>2434</v>
      </c>
      <c r="G319" s="311" t="s">
        <v>3077</v>
      </c>
      <c r="H319" s="311" t="s">
        <v>3038</v>
      </c>
      <c r="I319" s="317" t="s">
        <v>3078</v>
      </c>
      <c r="J319" s="311" t="s">
        <v>30</v>
      </c>
      <c r="K319" s="311"/>
      <c r="L319" s="311" t="s">
        <v>336</v>
      </c>
      <c r="M319" s="308">
        <v>761090</v>
      </c>
      <c r="N319" s="311">
        <v>1</v>
      </c>
      <c r="O319" s="311" t="s">
        <v>2572</v>
      </c>
      <c r="P319" s="311" t="s">
        <v>34</v>
      </c>
      <c r="Q319" s="325"/>
      <c r="R319" s="319">
        <v>3442.7745595102751</v>
      </c>
      <c r="S319" s="325"/>
      <c r="T319" s="311" t="s">
        <v>34</v>
      </c>
      <c r="U319" s="317"/>
    </row>
    <row r="320" spans="1:21" s="318" customFormat="1" ht="14.1" customHeight="1">
      <c r="A320" s="311">
        <v>316</v>
      </c>
      <c r="B320" s="247" t="s">
        <v>348</v>
      </c>
      <c r="C320" s="247" t="s">
        <v>348</v>
      </c>
      <c r="D320" s="311" t="s">
        <v>92</v>
      </c>
      <c r="E320" s="311" t="s">
        <v>3023</v>
      </c>
      <c r="F320" s="311" t="s">
        <v>2434</v>
      </c>
      <c r="G320" s="311" t="s">
        <v>3079</v>
      </c>
      <c r="H320" s="311" t="s">
        <v>3038</v>
      </c>
      <c r="I320" s="317" t="s">
        <v>3080</v>
      </c>
      <c r="J320" s="311" t="s">
        <v>30</v>
      </c>
      <c r="K320" s="311"/>
      <c r="L320" s="311" t="s">
        <v>336</v>
      </c>
      <c r="M320" s="308">
        <v>761090</v>
      </c>
      <c r="N320" s="311">
        <v>1</v>
      </c>
      <c r="O320" s="311" t="s">
        <v>2572</v>
      </c>
      <c r="P320" s="311" t="s">
        <v>34</v>
      </c>
      <c r="Q320" s="325"/>
      <c r="R320" s="319">
        <v>4302.9096700952568</v>
      </c>
      <c r="S320" s="325"/>
      <c r="T320" s="311" t="s">
        <v>34</v>
      </c>
      <c r="U320" s="317"/>
    </row>
    <row r="321" spans="1:21" s="318" customFormat="1" ht="14.1" customHeight="1">
      <c r="A321" s="311">
        <v>317</v>
      </c>
      <c r="B321" s="247" t="s">
        <v>348</v>
      </c>
      <c r="C321" s="247" t="s">
        <v>348</v>
      </c>
      <c r="D321" s="311" t="s">
        <v>92</v>
      </c>
      <c r="E321" s="311" t="s">
        <v>3023</v>
      </c>
      <c r="F321" s="311" t="s">
        <v>2434</v>
      </c>
      <c r="G321" s="311" t="s">
        <v>3081</v>
      </c>
      <c r="H321" s="311" t="s">
        <v>3038</v>
      </c>
      <c r="I321" s="317" t="s">
        <v>3082</v>
      </c>
      <c r="J321" s="311" t="s">
        <v>30</v>
      </c>
      <c r="K321" s="311"/>
      <c r="L321" s="311" t="s">
        <v>336</v>
      </c>
      <c r="M321" s="308">
        <v>761090</v>
      </c>
      <c r="N321" s="311">
        <v>1</v>
      </c>
      <c r="O321" s="311" t="s">
        <v>2572</v>
      </c>
      <c r="P321" s="311" t="s">
        <v>34</v>
      </c>
      <c r="Q321" s="325"/>
      <c r="R321" s="319">
        <v>2430.719481341454</v>
      </c>
      <c r="S321" s="325"/>
      <c r="T321" s="311" t="s">
        <v>34</v>
      </c>
      <c r="U321" s="317"/>
    </row>
    <row r="322" spans="1:21" s="318" customFormat="1" ht="14.1" customHeight="1">
      <c r="A322" s="311">
        <v>318</v>
      </c>
      <c r="B322" s="247" t="s">
        <v>348</v>
      </c>
      <c r="C322" s="247" t="s">
        <v>348</v>
      </c>
      <c r="D322" s="311" t="s">
        <v>92</v>
      </c>
      <c r="E322" s="311" t="s">
        <v>3023</v>
      </c>
      <c r="F322" s="311" t="s">
        <v>2434</v>
      </c>
      <c r="G322" s="311" t="s">
        <v>3083</v>
      </c>
      <c r="H322" s="311" t="s">
        <v>3045</v>
      </c>
      <c r="I322" s="317" t="s">
        <v>3084</v>
      </c>
      <c r="J322" s="311" t="s">
        <v>30</v>
      </c>
      <c r="K322" s="311"/>
      <c r="L322" s="311" t="s">
        <v>336</v>
      </c>
      <c r="M322" s="308">
        <v>761090</v>
      </c>
      <c r="N322" s="311">
        <v>1</v>
      </c>
      <c r="O322" s="311" t="s">
        <v>2572</v>
      </c>
      <c r="P322" s="311" t="s">
        <v>34</v>
      </c>
      <c r="Q322" s="325"/>
      <c r="R322" s="319">
        <v>3442.7745595102751</v>
      </c>
      <c r="S322" s="325"/>
      <c r="T322" s="311" t="s">
        <v>34</v>
      </c>
      <c r="U322" s="317"/>
    </row>
    <row r="323" spans="1:21" s="318" customFormat="1" ht="14.1" customHeight="1">
      <c r="A323" s="311">
        <v>319</v>
      </c>
      <c r="B323" s="247" t="s">
        <v>348</v>
      </c>
      <c r="C323" s="247" t="s">
        <v>348</v>
      </c>
      <c r="D323" s="311" t="s">
        <v>92</v>
      </c>
      <c r="E323" s="311" t="s">
        <v>3023</v>
      </c>
      <c r="F323" s="311" t="s">
        <v>2434</v>
      </c>
      <c r="G323" s="311" t="s">
        <v>3085</v>
      </c>
      <c r="H323" s="311" t="s">
        <v>3045</v>
      </c>
      <c r="I323" s="317" t="s">
        <v>3086</v>
      </c>
      <c r="J323" s="311" t="s">
        <v>30</v>
      </c>
      <c r="K323" s="311"/>
      <c r="L323" s="311" t="s">
        <v>336</v>
      </c>
      <c r="M323" s="308">
        <v>761090</v>
      </c>
      <c r="N323" s="311">
        <v>1</v>
      </c>
      <c r="O323" s="311" t="s">
        <v>2572</v>
      </c>
      <c r="P323" s="311" t="s">
        <v>34</v>
      </c>
      <c r="Q323" s="325"/>
      <c r="R323" s="319">
        <v>4302.9096700952568</v>
      </c>
      <c r="S323" s="325"/>
      <c r="T323" s="311" t="s">
        <v>34</v>
      </c>
      <c r="U323" s="317"/>
    </row>
    <row r="324" spans="1:21" s="318" customFormat="1" ht="14.1" customHeight="1">
      <c r="A324" s="311">
        <v>320</v>
      </c>
      <c r="B324" s="247" t="s">
        <v>348</v>
      </c>
      <c r="C324" s="247" t="s">
        <v>348</v>
      </c>
      <c r="D324" s="311" t="s">
        <v>92</v>
      </c>
      <c r="E324" s="311" t="s">
        <v>3023</v>
      </c>
      <c r="F324" s="311" t="s">
        <v>2434</v>
      </c>
      <c r="G324" s="311" t="s">
        <v>3087</v>
      </c>
      <c r="H324" s="311" t="s">
        <v>3045</v>
      </c>
      <c r="I324" s="317" t="s">
        <v>3088</v>
      </c>
      <c r="J324" s="311" t="s">
        <v>30</v>
      </c>
      <c r="K324" s="311"/>
      <c r="L324" s="311" t="s">
        <v>336</v>
      </c>
      <c r="M324" s="308">
        <v>761090</v>
      </c>
      <c r="N324" s="311">
        <v>1</v>
      </c>
      <c r="O324" s="311" t="s">
        <v>2572</v>
      </c>
      <c r="P324" s="311" t="s">
        <v>34</v>
      </c>
      <c r="Q324" s="325"/>
      <c r="R324" s="319">
        <v>2430.719481341454</v>
      </c>
      <c r="S324" s="325"/>
      <c r="T324" s="311" t="s">
        <v>34</v>
      </c>
      <c r="U324" s="317"/>
    </row>
    <row r="325" spans="1:21" s="318" customFormat="1" ht="14.1" customHeight="1">
      <c r="A325" s="311">
        <v>321</v>
      </c>
      <c r="B325" s="247" t="s">
        <v>348</v>
      </c>
      <c r="C325" s="247" t="s">
        <v>348</v>
      </c>
      <c r="D325" s="311" t="s">
        <v>92</v>
      </c>
      <c r="E325" s="311" t="s">
        <v>3023</v>
      </c>
      <c r="F325" s="311" t="s">
        <v>2434</v>
      </c>
      <c r="G325" s="311" t="s">
        <v>3089</v>
      </c>
      <c r="H325" s="311" t="s">
        <v>3052</v>
      </c>
      <c r="I325" s="317" t="s">
        <v>3090</v>
      </c>
      <c r="J325" s="311" t="s">
        <v>30</v>
      </c>
      <c r="K325" s="311"/>
      <c r="L325" s="311" t="s">
        <v>336</v>
      </c>
      <c r="M325" s="308">
        <v>761090</v>
      </c>
      <c r="N325" s="311">
        <v>1</v>
      </c>
      <c r="O325" s="311" t="s">
        <v>2572</v>
      </c>
      <c r="P325" s="311" t="s">
        <v>34</v>
      </c>
      <c r="Q325" s="325"/>
      <c r="R325" s="319">
        <v>3442.7745595102751</v>
      </c>
      <c r="S325" s="325"/>
      <c r="T325" s="311" t="s">
        <v>34</v>
      </c>
      <c r="U325" s="317"/>
    </row>
    <row r="326" spans="1:21" s="318" customFormat="1" ht="14.1" customHeight="1">
      <c r="A326" s="311">
        <v>322</v>
      </c>
      <c r="B326" s="247" t="s">
        <v>348</v>
      </c>
      <c r="C326" s="247" t="s">
        <v>348</v>
      </c>
      <c r="D326" s="311" t="s">
        <v>92</v>
      </c>
      <c r="E326" s="311" t="s">
        <v>3023</v>
      </c>
      <c r="F326" s="311" t="s">
        <v>2434</v>
      </c>
      <c r="G326" s="311" t="s">
        <v>3091</v>
      </c>
      <c r="H326" s="311" t="s">
        <v>3052</v>
      </c>
      <c r="I326" s="317" t="s">
        <v>3092</v>
      </c>
      <c r="J326" s="311" t="s">
        <v>30</v>
      </c>
      <c r="K326" s="311"/>
      <c r="L326" s="311" t="s">
        <v>336</v>
      </c>
      <c r="M326" s="308">
        <v>761090</v>
      </c>
      <c r="N326" s="311">
        <v>1</v>
      </c>
      <c r="O326" s="311" t="s">
        <v>2572</v>
      </c>
      <c r="P326" s="311" t="s">
        <v>34</v>
      </c>
      <c r="Q326" s="325"/>
      <c r="R326" s="319">
        <v>4302.9096700952568</v>
      </c>
      <c r="S326" s="325"/>
      <c r="T326" s="311" t="s">
        <v>34</v>
      </c>
      <c r="U326" s="317"/>
    </row>
    <row r="327" spans="1:21" s="318" customFormat="1" ht="14.1" customHeight="1">
      <c r="A327" s="311">
        <v>323</v>
      </c>
      <c r="B327" s="247" t="s">
        <v>348</v>
      </c>
      <c r="C327" s="247" t="s">
        <v>348</v>
      </c>
      <c r="D327" s="311" t="s">
        <v>92</v>
      </c>
      <c r="E327" s="311" t="s">
        <v>3023</v>
      </c>
      <c r="F327" s="311" t="s">
        <v>2434</v>
      </c>
      <c r="G327" s="311" t="s">
        <v>3093</v>
      </c>
      <c r="H327" s="311" t="s">
        <v>3052</v>
      </c>
      <c r="I327" s="317" t="s">
        <v>3094</v>
      </c>
      <c r="J327" s="311" t="s">
        <v>30</v>
      </c>
      <c r="K327" s="311"/>
      <c r="L327" s="311" t="s">
        <v>336</v>
      </c>
      <c r="M327" s="308">
        <v>761090</v>
      </c>
      <c r="N327" s="311">
        <v>1</v>
      </c>
      <c r="O327" s="311" t="s">
        <v>2572</v>
      </c>
      <c r="P327" s="311" t="s">
        <v>34</v>
      </c>
      <c r="Q327" s="325"/>
      <c r="R327" s="319">
        <v>2430.719481341454</v>
      </c>
      <c r="S327" s="325"/>
      <c r="T327" s="311" t="s">
        <v>34</v>
      </c>
      <c r="U327" s="317"/>
    </row>
    <row r="328" spans="1:21" s="318" customFormat="1" ht="14.1" customHeight="1">
      <c r="A328" s="311">
        <v>324</v>
      </c>
      <c r="B328" s="247" t="s">
        <v>348</v>
      </c>
      <c r="C328" s="247" t="s">
        <v>348</v>
      </c>
      <c r="D328" s="311" t="s">
        <v>92</v>
      </c>
      <c r="E328" s="311" t="s">
        <v>3023</v>
      </c>
      <c r="F328" s="311" t="s">
        <v>2434</v>
      </c>
      <c r="G328" s="311" t="s">
        <v>3095</v>
      </c>
      <c r="H328" s="311" t="s">
        <v>3096</v>
      </c>
      <c r="I328" s="317" t="s">
        <v>3097</v>
      </c>
      <c r="J328" s="311" t="s">
        <v>30</v>
      </c>
      <c r="K328" s="311"/>
      <c r="L328" s="311" t="s">
        <v>336</v>
      </c>
      <c r="M328" s="308">
        <v>761090</v>
      </c>
      <c r="N328" s="311">
        <v>1</v>
      </c>
      <c r="O328" s="311" t="s">
        <v>2572</v>
      </c>
      <c r="P328" s="311" t="s">
        <v>34</v>
      </c>
      <c r="Q328" s="325"/>
      <c r="R328" s="319">
        <v>4302.9096700952568</v>
      </c>
      <c r="S328" s="325"/>
      <c r="T328" s="311" t="s">
        <v>34</v>
      </c>
      <c r="U328" s="317"/>
    </row>
    <row r="329" spans="1:21" s="318" customFormat="1" ht="14.1" customHeight="1">
      <c r="A329" s="311">
        <v>325</v>
      </c>
      <c r="B329" s="247" t="s">
        <v>348</v>
      </c>
      <c r="C329" s="247" t="s">
        <v>348</v>
      </c>
      <c r="D329" s="311" t="s">
        <v>92</v>
      </c>
      <c r="E329" s="311" t="s">
        <v>3023</v>
      </c>
      <c r="F329" s="311" t="s">
        <v>2434</v>
      </c>
      <c r="G329" s="311" t="s">
        <v>3098</v>
      </c>
      <c r="H329" s="311" t="s">
        <v>3096</v>
      </c>
      <c r="I329" s="317" t="s">
        <v>3099</v>
      </c>
      <c r="J329" s="311" t="s">
        <v>30</v>
      </c>
      <c r="K329" s="311"/>
      <c r="L329" s="311" t="s">
        <v>336</v>
      </c>
      <c r="M329" s="308">
        <v>761090</v>
      </c>
      <c r="N329" s="311">
        <v>1</v>
      </c>
      <c r="O329" s="311" t="s">
        <v>2572</v>
      </c>
      <c r="P329" s="311" t="s">
        <v>34</v>
      </c>
      <c r="Q329" s="325"/>
      <c r="R329" s="319">
        <v>3442.7745595102751</v>
      </c>
      <c r="S329" s="325"/>
      <c r="T329" s="311" t="s">
        <v>34</v>
      </c>
      <c r="U329" s="317"/>
    </row>
    <row r="330" spans="1:21" s="318" customFormat="1" ht="14.1" customHeight="1">
      <c r="A330" s="311">
        <v>326</v>
      </c>
      <c r="B330" s="247" t="s">
        <v>348</v>
      </c>
      <c r="C330" s="247" t="s">
        <v>348</v>
      </c>
      <c r="D330" s="311" t="s">
        <v>92</v>
      </c>
      <c r="E330" s="311" t="s">
        <v>3023</v>
      </c>
      <c r="F330" s="311" t="s">
        <v>2434</v>
      </c>
      <c r="G330" s="311" t="s">
        <v>3100</v>
      </c>
      <c r="H330" s="311" t="s">
        <v>3096</v>
      </c>
      <c r="I330" s="317" t="s">
        <v>3101</v>
      </c>
      <c r="J330" s="311" t="s">
        <v>30</v>
      </c>
      <c r="K330" s="311"/>
      <c r="L330" s="311" t="s">
        <v>336</v>
      </c>
      <c r="M330" s="308">
        <v>761090</v>
      </c>
      <c r="N330" s="311">
        <v>1</v>
      </c>
      <c r="O330" s="311" t="s">
        <v>2572</v>
      </c>
      <c r="P330" s="311" t="s">
        <v>34</v>
      </c>
      <c r="Q330" s="325"/>
      <c r="R330" s="319">
        <v>2430.719481341454</v>
      </c>
      <c r="S330" s="325"/>
      <c r="T330" s="311" t="s">
        <v>34</v>
      </c>
      <c r="U330" s="317"/>
    </row>
    <row r="331" spans="1:21" s="318" customFormat="1" ht="14.1" customHeight="1">
      <c r="A331" s="311">
        <v>327</v>
      </c>
      <c r="B331" s="247" t="s">
        <v>348</v>
      </c>
      <c r="C331" s="247" t="s">
        <v>348</v>
      </c>
      <c r="D331" s="311" t="s">
        <v>92</v>
      </c>
      <c r="E331" s="311" t="s">
        <v>3023</v>
      </c>
      <c r="F331" s="311" t="s">
        <v>2434</v>
      </c>
      <c r="G331" s="311" t="s">
        <v>3102</v>
      </c>
      <c r="H331" s="311" t="s">
        <v>3059</v>
      </c>
      <c r="I331" s="317" t="s">
        <v>3103</v>
      </c>
      <c r="J331" s="311" t="s">
        <v>30</v>
      </c>
      <c r="K331" s="311"/>
      <c r="L331" s="311" t="s">
        <v>336</v>
      </c>
      <c r="M331" s="308">
        <v>761090</v>
      </c>
      <c r="N331" s="311">
        <v>1</v>
      </c>
      <c r="O331" s="311" t="s">
        <v>2572</v>
      </c>
      <c r="P331" s="311" t="s">
        <v>34</v>
      </c>
      <c r="Q331" s="325"/>
      <c r="R331" s="319">
        <v>3442.7745595102751</v>
      </c>
      <c r="S331" s="325"/>
      <c r="T331" s="311" t="s">
        <v>34</v>
      </c>
      <c r="U331" s="317"/>
    </row>
    <row r="332" spans="1:21" s="318" customFormat="1" ht="14.1" customHeight="1">
      <c r="A332" s="311">
        <v>328</v>
      </c>
      <c r="B332" s="247" t="s">
        <v>348</v>
      </c>
      <c r="C332" s="247" t="s">
        <v>348</v>
      </c>
      <c r="D332" s="311" t="s">
        <v>92</v>
      </c>
      <c r="E332" s="311" t="s">
        <v>3023</v>
      </c>
      <c r="F332" s="311" t="s">
        <v>2434</v>
      </c>
      <c r="G332" s="311" t="s">
        <v>3104</v>
      </c>
      <c r="H332" s="311" t="s">
        <v>3059</v>
      </c>
      <c r="I332" s="317" t="s">
        <v>3105</v>
      </c>
      <c r="J332" s="311" t="s">
        <v>30</v>
      </c>
      <c r="K332" s="311"/>
      <c r="L332" s="311" t="s">
        <v>336</v>
      </c>
      <c r="M332" s="308">
        <v>761090</v>
      </c>
      <c r="N332" s="311">
        <v>1</v>
      </c>
      <c r="O332" s="311" t="s">
        <v>2572</v>
      </c>
      <c r="P332" s="311" t="s">
        <v>34</v>
      </c>
      <c r="Q332" s="325"/>
      <c r="R332" s="319">
        <v>4302.9096700952568</v>
      </c>
      <c r="S332" s="325"/>
      <c r="T332" s="311" t="s">
        <v>34</v>
      </c>
      <c r="U332" s="317"/>
    </row>
    <row r="333" spans="1:21" s="318" customFormat="1" ht="14.1" customHeight="1">
      <c r="A333" s="311">
        <v>329</v>
      </c>
      <c r="B333" s="247" t="s">
        <v>348</v>
      </c>
      <c r="C333" s="247" t="s">
        <v>348</v>
      </c>
      <c r="D333" s="311" t="s">
        <v>92</v>
      </c>
      <c r="E333" s="311" t="s">
        <v>3023</v>
      </c>
      <c r="F333" s="311" t="s">
        <v>2434</v>
      </c>
      <c r="G333" s="311" t="s">
        <v>3106</v>
      </c>
      <c r="H333" s="311" t="s">
        <v>3059</v>
      </c>
      <c r="I333" s="317" t="s">
        <v>3107</v>
      </c>
      <c r="J333" s="311" t="s">
        <v>30</v>
      </c>
      <c r="K333" s="311"/>
      <c r="L333" s="311" t="s">
        <v>336</v>
      </c>
      <c r="M333" s="308">
        <v>761090</v>
      </c>
      <c r="N333" s="311">
        <v>1</v>
      </c>
      <c r="O333" s="311" t="s">
        <v>2572</v>
      </c>
      <c r="P333" s="311" t="s">
        <v>34</v>
      </c>
      <c r="Q333" s="325"/>
      <c r="R333" s="319">
        <v>2430.719481341454</v>
      </c>
      <c r="S333" s="325"/>
      <c r="T333" s="311" t="s">
        <v>34</v>
      </c>
      <c r="U333" s="317"/>
    </row>
    <row r="334" spans="1:21" s="318" customFormat="1" ht="14.1" customHeight="1">
      <c r="A334" s="311">
        <v>330</v>
      </c>
      <c r="B334" s="247" t="s">
        <v>348</v>
      </c>
      <c r="C334" s="247" t="s">
        <v>348</v>
      </c>
      <c r="D334" s="311" t="s">
        <v>92</v>
      </c>
      <c r="E334" s="311" t="s">
        <v>3023</v>
      </c>
      <c r="F334" s="311" t="s">
        <v>2434</v>
      </c>
      <c r="G334" s="311" t="s">
        <v>3108</v>
      </c>
      <c r="H334" s="311" t="s">
        <v>2975</v>
      </c>
      <c r="I334" s="317" t="s">
        <v>3109</v>
      </c>
      <c r="J334" s="311" t="s">
        <v>30</v>
      </c>
      <c r="K334" s="311" t="s">
        <v>520</v>
      </c>
      <c r="L334" s="311" t="s">
        <v>336</v>
      </c>
      <c r="M334" s="308">
        <v>760429</v>
      </c>
      <c r="N334" s="311">
        <v>1</v>
      </c>
      <c r="O334" s="311" t="s">
        <v>2572</v>
      </c>
      <c r="P334" s="311" t="s">
        <v>34</v>
      </c>
      <c r="Q334" s="325"/>
      <c r="R334" s="319">
        <v>4171.0967570445709</v>
      </c>
      <c r="S334" s="325"/>
      <c r="T334" s="311" t="s">
        <v>34</v>
      </c>
      <c r="U334" s="317"/>
    </row>
    <row r="335" spans="1:21" s="318" customFormat="1" ht="14.1" customHeight="1">
      <c r="A335" s="311">
        <v>331</v>
      </c>
      <c r="B335" s="247" t="s">
        <v>348</v>
      </c>
      <c r="C335" s="247" t="s">
        <v>348</v>
      </c>
      <c r="D335" s="311" t="s">
        <v>92</v>
      </c>
      <c r="E335" s="311" t="s">
        <v>3023</v>
      </c>
      <c r="F335" s="311" t="s">
        <v>2434</v>
      </c>
      <c r="G335" s="311" t="s">
        <v>3110</v>
      </c>
      <c r="H335" s="311" t="s">
        <v>3031</v>
      </c>
      <c r="I335" s="317" t="s">
        <v>3111</v>
      </c>
      <c r="J335" s="311" t="s">
        <v>30</v>
      </c>
      <c r="K335" s="311"/>
      <c r="L335" s="311" t="s">
        <v>336</v>
      </c>
      <c r="M335" s="308">
        <v>760429</v>
      </c>
      <c r="N335" s="311">
        <v>1</v>
      </c>
      <c r="O335" s="311" t="s">
        <v>2572</v>
      </c>
      <c r="P335" s="311" t="s">
        <v>34</v>
      </c>
      <c r="Q335" s="325"/>
      <c r="R335" s="319">
        <v>4807.8201505944926</v>
      </c>
      <c r="S335" s="325"/>
      <c r="T335" s="311" t="s">
        <v>34</v>
      </c>
      <c r="U335" s="317"/>
    </row>
    <row r="336" spans="1:21" s="318" customFormat="1" ht="14.1" customHeight="1">
      <c r="A336" s="311">
        <v>332</v>
      </c>
      <c r="B336" s="247" t="s">
        <v>348</v>
      </c>
      <c r="C336" s="247" t="s">
        <v>348</v>
      </c>
      <c r="D336" s="311" t="s">
        <v>92</v>
      </c>
      <c r="E336" s="311" t="s">
        <v>3023</v>
      </c>
      <c r="F336" s="311" t="s">
        <v>2434</v>
      </c>
      <c r="G336" s="311" t="s">
        <v>3112</v>
      </c>
      <c r="H336" s="311" t="s">
        <v>3052</v>
      </c>
      <c r="I336" s="317" t="s">
        <v>3113</v>
      </c>
      <c r="J336" s="311" t="s">
        <v>30</v>
      </c>
      <c r="K336" s="311"/>
      <c r="L336" s="311" t="s">
        <v>336</v>
      </c>
      <c r="M336" s="308">
        <v>760429</v>
      </c>
      <c r="N336" s="311">
        <v>1</v>
      </c>
      <c r="O336" s="311" t="s">
        <v>2572</v>
      </c>
      <c r="P336" s="311" t="s">
        <v>34</v>
      </c>
      <c r="Q336" s="325"/>
      <c r="R336" s="319">
        <v>4807.8201505944926</v>
      </c>
      <c r="S336" s="325"/>
      <c r="T336" s="311" t="s">
        <v>34</v>
      </c>
      <c r="U336" s="317"/>
    </row>
    <row r="337" spans="1:21" s="318" customFormat="1" ht="14.1" customHeight="1">
      <c r="A337" s="311">
        <v>333</v>
      </c>
      <c r="B337" s="247" t="s">
        <v>348</v>
      </c>
      <c r="C337" s="247" t="s">
        <v>348</v>
      </c>
      <c r="D337" s="311" t="s">
        <v>92</v>
      </c>
      <c r="E337" s="311" t="s">
        <v>3023</v>
      </c>
      <c r="F337" s="311" t="s">
        <v>2434</v>
      </c>
      <c r="G337" s="311" t="s">
        <v>3114</v>
      </c>
      <c r="H337" s="311" t="s">
        <v>3096</v>
      </c>
      <c r="I337" s="317" t="s">
        <v>3115</v>
      </c>
      <c r="J337" s="311" t="s">
        <v>30</v>
      </c>
      <c r="K337" s="311"/>
      <c r="L337" s="311" t="s">
        <v>336</v>
      </c>
      <c r="M337" s="308">
        <v>760429</v>
      </c>
      <c r="N337" s="311">
        <v>1</v>
      </c>
      <c r="O337" s="311" t="s">
        <v>2572</v>
      </c>
      <c r="P337" s="311" t="s">
        <v>34</v>
      </c>
      <c r="Q337" s="325"/>
      <c r="R337" s="319">
        <v>4807.8201505944926</v>
      </c>
      <c r="S337" s="325"/>
      <c r="T337" s="311" t="s">
        <v>34</v>
      </c>
      <c r="U337" s="317"/>
    </row>
    <row r="338" spans="1:21" s="318" customFormat="1" ht="14.1" customHeight="1">
      <c r="A338" s="311">
        <v>334</v>
      </c>
      <c r="B338" s="247" t="s">
        <v>348</v>
      </c>
      <c r="C338" s="247" t="s">
        <v>348</v>
      </c>
      <c r="D338" s="311" t="s">
        <v>92</v>
      </c>
      <c r="E338" s="311" t="s">
        <v>3023</v>
      </c>
      <c r="F338" s="311" t="s">
        <v>2434</v>
      </c>
      <c r="G338" s="311" t="s">
        <v>3116</v>
      </c>
      <c r="H338" s="311" t="s">
        <v>2975</v>
      </c>
      <c r="I338" s="317" t="s">
        <v>3117</v>
      </c>
      <c r="J338" s="311" t="s">
        <v>30</v>
      </c>
      <c r="K338" s="311" t="s">
        <v>520</v>
      </c>
      <c r="L338" s="311" t="s">
        <v>336</v>
      </c>
      <c r="M338" s="308">
        <v>760429</v>
      </c>
      <c r="N338" s="311">
        <v>1</v>
      </c>
      <c r="O338" s="311" t="s">
        <v>2572</v>
      </c>
      <c r="P338" s="311" t="s">
        <v>34</v>
      </c>
      <c r="Q338" s="325"/>
      <c r="R338" s="319">
        <v>962.90450042110876</v>
      </c>
      <c r="S338" s="325"/>
      <c r="T338" s="311" t="s">
        <v>34</v>
      </c>
      <c r="U338" s="317"/>
    </row>
    <row r="339" spans="1:21" s="318" customFormat="1" ht="14.1" customHeight="1">
      <c r="A339" s="311">
        <v>335</v>
      </c>
      <c r="B339" s="247" t="s">
        <v>348</v>
      </c>
      <c r="C339" s="247" t="s">
        <v>348</v>
      </c>
      <c r="D339" s="311" t="s">
        <v>92</v>
      </c>
      <c r="E339" s="311" t="s">
        <v>3023</v>
      </c>
      <c r="F339" s="311" t="s">
        <v>2434</v>
      </c>
      <c r="G339" s="311" t="s">
        <v>3118</v>
      </c>
      <c r="H339" s="311" t="s">
        <v>2975</v>
      </c>
      <c r="I339" s="317" t="s">
        <v>3119</v>
      </c>
      <c r="J339" s="311" t="s">
        <v>30</v>
      </c>
      <c r="K339" s="311" t="s">
        <v>520</v>
      </c>
      <c r="L339" s="311" t="s">
        <v>336</v>
      </c>
      <c r="M339" s="308">
        <v>760429</v>
      </c>
      <c r="N339" s="311">
        <v>1</v>
      </c>
      <c r="O339" s="311" t="s">
        <v>2572</v>
      </c>
      <c r="P339" s="311" t="s">
        <v>34</v>
      </c>
      <c r="Q339" s="325"/>
      <c r="R339" s="319">
        <v>1172.9115144340651</v>
      </c>
      <c r="S339" s="325"/>
      <c r="T339" s="311" t="s">
        <v>34</v>
      </c>
      <c r="U339" s="317"/>
    </row>
    <row r="340" spans="1:21" s="318" customFormat="1" ht="14.1" customHeight="1">
      <c r="A340" s="311">
        <v>336</v>
      </c>
      <c r="B340" s="247" t="s">
        <v>348</v>
      </c>
      <c r="C340" s="247" t="s">
        <v>348</v>
      </c>
      <c r="D340" s="311" t="s">
        <v>92</v>
      </c>
      <c r="E340" s="311" t="s">
        <v>3023</v>
      </c>
      <c r="F340" s="311" t="s">
        <v>2434</v>
      </c>
      <c r="G340" s="311" t="s">
        <v>3120</v>
      </c>
      <c r="H340" s="311" t="s">
        <v>2975</v>
      </c>
      <c r="I340" s="317" t="s">
        <v>3121</v>
      </c>
      <c r="J340" s="311" t="s">
        <v>30</v>
      </c>
      <c r="K340" s="311" t="s">
        <v>520</v>
      </c>
      <c r="L340" s="311" t="s">
        <v>336</v>
      </c>
      <c r="M340" s="308">
        <v>760429</v>
      </c>
      <c r="N340" s="311">
        <v>1</v>
      </c>
      <c r="O340" s="311" t="s">
        <v>2572</v>
      </c>
      <c r="P340" s="311" t="s">
        <v>34</v>
      </c>
      <c r="Q340" s="325"/>
      <c r="R340" s="319">
        <v>547.35870673589716</v>
      </c>
      <c r="S340" s="325"/>
      <c r="T340" s="311" t="s">
        <v>34</v>
      </c>
      <c r="U340" s="317"/>
    </row>
    <row r="341" spans="1:21" s="318" customFormat="1" ht="14.1" customHeight="1">
      <c r="A341" s="311">
        <v>337</v>
      </c>
      <c r="B341" s="247" t="s">
        <v>348</v>
      </c>
      <c r="C341" s="247" t="s">
        <v>348</v>
      </c>
      <c r="D341" s="311" t="s">
        <v>92</v>
      </c>
      <c r="E341" s="311" t="s">
        <v>3023</v>
      </c>
      <c r="F341" s="311" t="s">
        <v>2434</v>
      </c>
      <c r="G341" s="311" t="s">
        <v>3122</v>
      </c>
      <c r="H341" s="311" t="s">
        <v>2975</v>
      </c>
      <c r="I341" s="317" t="s">
        <v>3123</v>
      </c>
      <c r="J341" s="311" t="s">
        <v>30</v>
      </c>
      <c r="K341" s="311" t="s">
        <v>520</v>
      </c>
      <c r="L341" s="311" t="s">
        <v>336</v>
      </c>
      <c r="M341" s="308">
        <v>760429</v>
      </c>
      <c r="N341" s="311">
        <v>1</v>
      </c>
      <c r="O341" s="311" t="s">
        <v>2572</v>
      </c>
      <c r="P341" s="311" t="s">
        <v>34</v>
      </c>
      <c r="Q341" s="325"/>
      <c r="R341" s="319">
        <v>4171.0967570445709</v>
      </c>
      <c r="S341" s="325"/>
      <c r="T341" s="311" t="s">
        <v>34</v>
      </c>
      <c r="U341" s="317"/>
    </row>
    <row r="342" spans="1:21" s="318" customFormat="1" ht="14.1" customHeight="1">
      <c r="A342" s="311">
        <v>338</v>
      </c>
      <c r="B342" s="247" t="s">
        <v>348</v>
      </c>
      <c r="C342" s="247" t="s">
        <v>348</v>
      </c>
      <c r="D342" s="311" t="s">
        <v>92</v>
      </c>
      <c r="E342" s="311" t="s">
        <v>3023</v>
      </c>
      <c r="F342" s="311" t="s">
        <v>2434</v>
      </c>
      <c r="G342" s="311" t="s">
        <v>3124</v>
      </c>
      <c r="H342" s="311" t="s">
        <v>3031</v>
      </c>
      <c r="I342" s="317" t="s">
        <v>3125</v>
      </c>
      <c r="J342" s="311" t="s">
        <v>30</v>
      </c>
      <c r="K342" s="311"/>
      <c r="L342" s="311" t="s">
        <v>336</v>
      </c>
      <c r="M342" s="308">
        <v>760429</v>
      </c>
      <c r="N342" s="311">
        <v>1</v>
      </c>
      <c r="O342" s="311" t="s">
        <v>2572</v>
      </c>
      <c r="P342" s="311" t="s">
        <v>34</v>
      </c>
      <c r="Q342" s="325"/>
      <c r="R342" s="319">
        <v>1201.9550376486229</v>
      </c>
      <c r="S342" s="325"/>
      <c r="T342" s="311" t="s">
        <v>34</v>
      </c>
      <c r="U342" s="317"/>
    </row>
    <row r="343" spans="1:21" s="318" customFormat="1" ht="14.1" customHeight="1">
      <c r="A343" s="311">
        <v>339</v>
      </c>
      <c r="B343" s="247" t="s">
        <v>348</v>
      </c>
      <c r="C343" s="247" t="s">
        <v>348</v>
      </c>
      <c r="D343" s="311" t="s">
        <v>92</v>
      </c>
      <c r="E343" s="311" t="s">
        <v>3023</v>
      </c>
      <c r="F343" s="311" t="s">
        <v>2434</v>
      </c>
      <c r="G343" s="311" t="s">
        <v>3126</v>
      </c>
      <c r="H343" s="311" t="s">
        <v>3031</v>
      </c>
      <c r="I343" s="317" t="s">
        <v>3127</v>
      </c>
      <c r="J343" s="311" t="s">
        <v>30</v>
      </c>
      <c r="K343" s="311"/>
      <c r="L343" s="311" t="s">
        <v>336</v>
      </c>
      <c r="M343" s="308">
        <v>760429</v>
      </c>
      <c r="N343" s="311">
        <v>1</v>
      </c>
      <c r="O343" s="311" t="s">
        <v>2572</v>
      </c>
      <c r="P343" s="311" t="s">
        <v>34</v>
      </c>
      <c r="Q343" s="325"/>
      <c r="R343" s="319">
        <v>1340.4703022103599</v>
      </c>
      <c r="S343" s="325"/>
      <c r="T343" s="311" t="s">
        <v>34</v>
      </c>
      <c r="U343" s="317"/>
    </row>
    <row r="344" spans="1:21" s="318" customFormat="1" ht="14.1" customHeight="1">
      <c r="A344" s="311">
        <v>340</v>
      </c>
      <c r="B344" s="247" t="s">
        <v>348</v>
      </c>
      <c r="C344" s="247" t="s">
        <v>348</v>
      </c>
      <c r="D344" s="311" t="s">
        <v>92</v>
      </c>
      <c r="E344" s="311" t="s">
        <v>3023</v>
      </c>
      <c r="F344" s="311" t="s">
        <v>2434</v>
      </c>
      <c r="G344" s="311" t="s">
        <v>3128</v>
      </c>
      <c r="H344" s="311" t="s">
        <v>3031</v>
      </c>
      <c r="I344" s="317" t="s">
        <v>3129</v>
      </c>
      <c r="J344" s="311" t="s">
        <v>30</v>
      </c>
      <c r="K344" s="311"/>
      <c r="L344" s="311" t="s">
        <v>336</v>
      </c>
      <c r="M344" s="308">
        <v>760429</v>
      </c>
      <c r="N344" s="311">
        <v>1</v>
      </c>
      <c r="O344" s="311" t="s">
        <v>2572</v>
      </c>
      <c r="P344" s="311" t="s">
        <v>34</v>
      </c>
      <c r="Q344" s="325"/>
      <c r="R344" s="319">
        <v>630.02104203886938</v>
      </c>
      <c r="S344" s="325"/>
      <c r="T344" s="311" t="s">
        <v>34</v>
      </c>
      <c r="U344" s="317"/>
    </row>
    <row r="345" spans="1:21" s="318" customFormat="1" ht="14.1" customHeight="1">
      <c r="A345" s="311">
        <v>341</v>
      </c>
      <c r="B345" s="247" t="s">
        <v>348</v>
      </c>
      <c r="C345" s="247" t="s">
        <v>348</v>
      </c>
      <c r="D345" s="311" t="s">
        <v>92</v>
      </c>
      <c r="E345" s="311" t="s">
        <v>3023</v>
      </c>
      <c r="F345" s="311" t="s">
        <v>2434</v>
      </c>
      <c r="G345" s="311" t="s">
        <v>3130</v>
      </c>
      <c r="H345" s="311" t="s">
        <v>3031</v>
      </c>
      <c r="I345" s="317" t="s">
        <v>3131</v>
      </c>
      <c r="J345" s="311" t="s">
        <v>30</v>
      </c>
      <c r="K345" s="311"/>
      <c r="L345" s="311" t="s">
        <v>336</v>
      </c>
      <c r="M345" s="308">
        <v>760429</v>
      </c>
      <c r="N345" s="311">
        <v>1</v>
      </c>
      <c r="O345" s="311" t="s">
        <v>2572</v>
      </c>
      <c r="P345" s="311" t="s">
        <v>34</v>
      </c>
      <c r="Q345" s="325"/>
      <c r="R345" s="319">
        <v>4807.8201505944926</v>
      </c>
      <c r="S345" s="325"/>
      <c r="T345" s="311" t="s">
        <v>34</v>
      </c>
      <c r="U345" s="317"/>
    </row>
    <row r="346" spans="1:21" s="318" customFormat="1" ht="14.1" customHeight="1">
      <c r="A346" s="311">
        <v>342</v>
      </c>
      <c r="B346" s="247" t="s">
        <v>348</v>
      </c>
      <c r="C346" s="247" t="s">
        <v>348</v>
      </c>
      <c r="D346" s="311" t="s">
        <v>92</v>
      </c>
      <c r="E346" s="311" t="s">
        <v>3023</v>
      </c>
      <c r="F346" s="311" t="s">
        <v>2434</v>
      </c>
      <c r="G346" s="311" t="s">
        <v>3132</v>
      </c>
      <c r="H346" s="311" t="s">
        <v>3052</v>
      </c>
      <c r="I346" s="317" t="s">
        <v>3133</v>
      </c>
      <c r="J346" s="311" t="s">
        <v>30</v>
      </c>
      <c r="K346" s="311"/>
      <c r="L346" s="311" t="s">
        <v>336</v>
      </c>
      <c r="M346" s="308">
        <v>760429</v>
      </c>
      <c r="N346" s="311">
        <v>1</v>
      </c>
      <c r="O346" s="311" t="s">
        <v>2572</v>
      </c>
      <c r="P346" s="311" t="s">
        <v>34</v>
      </c>
      <c r="Q346" s="325"/>
      <c r="R346" s="319">
        <v>1201.9550376486229</v>
      </c>
      <c r="S346" s="325"/>
      <c r="T346" s="311" t="s">
        <v>34</v>
      </c>
      <c r="U346" s="317"/>
    </row>
    <row r="347" spans="1:21" s="318" customFormat="1" ht="14.1" customHeight="1">
      <c r="A347" s="311">
        <v>343</v>
      </c>
      <c r="B347" s="247" t="s">
        <v>348</v>
      </c>
      <c r="C347" s="247" t="s">
        <v>348</v>
      </c>
      <c r="D347" s="311" t="s">
        <v>92</v>
      </c>
      <c r="E347" s="311" t="s">
        <v>3023</v>
      </c>
      <c r="F347" s="311" t="s">
        <v>2434</v>
      </c>
      <c r="G347" s="311" t="s">
        <v>3134</v>
      </c>
      <c r="H347" s="311" t="s">
        <v>3052</v>
      </c>
      <c r="I347" s="317" t="s">
        <v>3135</v>
      </c>
      <c r="J347" s="311" t="s">
        <v>30</v>
      </c>
      <c r="K347" s="311"/>
      <c r="L347" s="311" t="s">
        <v>336</v>
      </c>
      <c r="M347" s="308">
        <v>760429</v>
      </c>
      <c r="N347" s="311">
        <v>1</v>
      </c>
      <c r="O347" s="311" t="s">
        <v>2572</v>
      </c>
      <c r="P347" s="311" t="s">
        <v>34</v>
      </c>
      <c r="Q347" s="325"/>
      <c r="R347" s="319">
        <v>1340.4703022103599</v>
      </c>
      <c r="S347" s="325"/>
      <c r="T347" s="311" t="s">
        <v>34</v>
      </c>
      <c r="U347" s="317"/>
    </row>
    <row r="348" spans="1:21" s="318" customFormat="1" ht="14.1" customHeight="1">
      <c r="A348" s="311">
        <v>344</v>
      </c>
      <c r="B348" s="247" t="s">
        <v>348</v>
      </c>
      <c r="C348" s="247" t="s">
        <v>348</v>
      </c>
      <c r="D348" s="311" t="s">
        <v>92</v>
      </c>
      <c r="E348" s="311" t="s">
        <v>3023</v>
      </c>
      <c r="F348" s="311" t="s">
        <v>2434</v>
      </c>
      <c r="G348" s="311" t="s">
        <v>3136</v>
      </c>
      <c r="H348" s="311" t="s">
        <v>3052</v>
      </c>
      <c r="I348" s="317" t="s">
        <v>3137</v>
      </c>
      <c r="J348" s="311" t="s">
        <v>30</v>
      </c>
      <c r="K348" s="311"/>
      <c r="L348" s="311" t="s">
        <v>336</v>
      </c>
      <c r="M348" s="308">
        <v>760429</v>
      </c>
      <c r="N348" s="311">
        <v>1</v>
      </c>
      <c r="O348" s="311" t="s">
        <v>2572</v>
      </c>
      <c r="P348" s="311" t="s">
        <v>34</v>
      </c>
      <c r="Q348" s="325"/>
      <c r="R348" s="319">
        <v>630.02104203886938</v>
      </c>
      <c r="S348" s="325"/>
      <c r="T348" s="311" t="s">
        <v>34</v>
      </c>
      <c r="U348" s="317"/>
    </row>
    <row r="349" spans="1:21" s="318" customFormat="1" ht="14.1" customHeight="1">
      <c r="A349" s="311">
        <v>345</v>
      </c>
      <c r="B349" s="247" t="s">
        <v>348</v>
      </c>
      <c r="C349" s="247" t="s">
        <v>348</v>
      </c>
      <c r="D349" s="311" t="s">
        <v>92</v>
      </c>
      <c r="E349" s="311" t="s">
        <v>3023</v>
      </c>
      <c r="F349" s="311" t="s">
        <v>2434</v>
      </c>
      <c r="G349" s="311" t="s">
        <v>3138</v>
      </c>
      <c r="H349" s="311" t="s">
        <v>3052</v>
      </c>
      <c r="I349" s="317" t="s">
        <v>3139</v>
      </c>
      <c r="J349" s="311" t="s">
        <v>30</v>
      </c>
      <c r="K349" s="311"/>
      <c r="L349" s="311" t="s">
        <v>336</v>
      </c>
      <c r="M349" s="308">
        <v>760429</v>
      </c>
      <c r="N349" s="311">
        <v>1</v>
      </c>
      <c r="O349" s="311" t="s">
        <v>2572</v>
      </c>
      <c r="P349" s="311" t="s">
        <v>34</v>
      </c>
      <c r="Q349" s="325"/>
      <c r="R349" s="319">
        <v>4807.8201505944926</v>
      </c>
      <c r="S349" s="325"/>
      <c r="T349" s="311" t="s">
        <v>34</v>
      </c>
      <c r="U349" s="317"/>
    </row>
    <row r="350" spans="1:21" s="318" customFormat="1" ht="14.1" customHeight="1">
      <c r="A350" s="311">
        <v>346</v>
      </c>
      <c r="B350" s="247" t="s">
        <v>348</v>
      </c>
      <c r="C350" s="247" t="s">
        <v>348</v>
      </c>
      <c r="D350" s="311" t="s">
        <v>92</v>
      </c>
      <c r="E350" s="311" t="s">
        <v>3023</v>
      </c>
      <c r="F350" s="311" t="s">
        <v>2434</v>
      </c>
      <c r="G350" s="311" t="s">
        <v>3140</v>
      </c>
      <c r="H350" s="311" t="s">
        <v>3096</v>
      </c>
      <c r="I350" s="317" t="s">
        <v>3141</v>
      </c>
      <c r="J350" s="311" t="s">
        <v>30</v>
      </c>
      <c r="K350" s="311"/>
      <c r="L350" s="311" t="s">
        <v>336</v>
      </c>
      <c r="M350" s="308">
        <v>760429</v>
      </c>
      <c r="N350" s="311">
        <v>1</v>
      </c>
      <c r="O350" s="311" t="s">
        <v>2572</v>
      </c>
      <c r="P350" s="311" t="s">
        <v>34</v>
      </c>
      <c r="Q350" s="325"/>
      <c r="R350" s="319">
        <v>1201.9550376486229</v>
      </c>
      <c r="S350" s="325"/>
      <c r="T350" s="311" t="s">
        <v>34</v>
      </c>
      <c r="U350" s="317"/>
    </row>
    <row r="351" spans="1:21" s="318" customFormat="1" ht="14.1" customHeight="1">
      <c r="A351" s="311">
        <v>347</v>
      </c>
      <c r="B351" s="247" t="s">
        <v>348</v>
      </c>
      <c r="C351" s="247" t="s">
        <v>348</v>
      </c>
      <c r="D351" s="311" t="s">
        <v>92</v>
      </c>
      <c r="E351" s="311" t="s">
        <v>3023</v>
      </c>
      <c r="F351" s="311" t="s">
        <v>2434</v>
      </c>
      <c r="G351" s="311" t="s">
        <v>3142</v>
      </c>
      <c r="H351" s="311" t="s">
        <v>3096</v>
      </c>
      <c r="I351" s="317" t="s">
        <v>3143</v>
      </c>
      <c r="J351" s="311" t="s">
        <v>30</v>
      </c>
      <c r="K351" s="311"/>
      <c r="L351" s="311" t="s">
        <v>336</v>
      </c>
      <c r="M351" s="308">
        <v>760429</v>
      </c>
      <c r="N351" s="311">
        <v>1</v>
      </c>
      <c r="O351" s="311" t="s">
        <v>2572</v>
      </c>
      <c r="P351" s="311" t="s">
        <v>34</v>
      </c>
      <c r="Q351" s="325"/>
      <c r="R351" s="319">
        <v>1340.4703022103599</v>
      </c>
      <c r="S351" s="325"/>
      <c r="T351" s="311" t="s">
        <v>34</v>
      </c>
      <c r="U351" s="317"/>
    </row>
    <row r="352" spans="1:21" s="318" customFormat="1" ht="14.1" customHeight="1">
      <c r="A352" s="311">
        <v>348</v>
      </c>
      <c r="B352" s="247" t="s">
        <v>348</v>
      </c>
      <c r="C352" s="247" t="s">
        <v>348</v>
      </c>
      <c r="D352" s="311" t="s">
        <v>92</v>
      </c>
      <c r="E352" s="311" t="s">
        <v>3023</v>
      </c>
      <c r="F352" s="311" t="s">
        <v>2434</v>
      </c>
      <c r="G352" s="311" t="s">
        <v>3144</v>
      </c>
      <c r="H352" s="311" t="s">
        <v>3096</v>
      </c>
      <c r="I352" s="317" t="s">
        <v>3145</v>
      </c>
      <c r="J352" s="311" t="s">
        <v>30</v>
      </c>
      <c r="K352" s="311"/>
      <c r="L352" s="311" t="s">
        <v>336</v>
      </c>
      <c r="M352" s="308">
        <v>760429</v>
      </c>
      <c r="N352" s="311">
        <v>1</v>
      </c>
      <c r="O352" s="311" t="s">
        <v>2572</v>
      </c>
      <c r="P352" s="311" t="s">
        <v>34</v>
      </c>
      <c r="Q352" s="325"/>
      <c r="R352" s="319">
        <v>630.02104203886938</v>
      </c>
      <c r="S352" s="325"/>
      <c r="T352" s="311" t="s">
        <v>34</v>
      </c>
      <c r="U352" s="317"/>
    </row>
    <row r="353" spans="1:21" s="318" customFormat="1" ht="14.1" customHeight="1">
      <c r="A353" s="311">
        <v>349</v>
      </c>
      <c r="B353" s="247" t="s">
        <v>348</v>
      </c>
      <c r="C353" s="247" t="s">
        <v>348</v>
      </c>
      <c r="D353" s="311" t="s">
        <v>92</v>
      </c>
      <c r="E353" s="311" t="s">
        <v>3023</v>
      </c>
      <c r="F353" s="311" t="s">
        <v>2434</v>
      </c>
      <c r="G353" s="311" t="s">
        <v>3146</v>
      </c>
      <c r="H353" s="311" t="s">
        <v>3096</v>
      </c>
      <c r="I353" s="317" t="s">
        <v>3147</v>
      </c>
      <c r="J353" s="311" t="s">
        <v>30</v>
      </c>
      <c r="K353" s="311"/>
      <c r="L353" s="311" t="s">
        <v>336</v>
      </c>
      <c r="M353" s="308">
        <v>760429</v>
      </c>
      <c r="N353" s="311">
        <v>1</v>
      </c>
      <c r="O353" s="311" t="s">
        <v>2572</v>
      </c>
      <c r="P353" s="311" t="s">
        <v>34</v>
      </c>
      <c r="Q353" s="325"/>
      <c r="R353" s="319">
        <v>4807.8201505944926</v>
      </c>
      <c r="S353" s="325"/>
      <c r="T353" s="311" t="s">
        <v>34</v>
      </c>
      <c r="U353" s="317"/>
    </row>
    <row r="354" spans="1:21" s="318" customFormat="1" ht="14.1" customHeight="1">
      <c r="A354" s="311">
        <v>350</v>
      </c>
      <c r="B354" s="247" t="s">
        <v>348</v>
      </c>
      <c r="C354" s="247" t="s">
        <v>348</v>
      </c>
      <c r="D354" s="311" t="s">
        <v>92</v>
      </c>
      <c r="E354" s="311" t="s">
        <v>3023</v>
      </c>
      <c r="F354" s="311" t="s">
        <v>2434</v>
      </c>
      <c r="G354" s="311" t="s">
        <v>3148</v>
      </c>
      <c r="H354" s="311" t="s">
        <v>3059</v>
      </c>
      <c r="I354" s="317" t="s">
        <v>3149</v>
      </c>
      <c r="J354" s="311" t="s">
        <v>30</v>
      </c>
      <c r="K354" s="311"/>
      <c r="L354" s="311" t="s">
        <v>336</v>
      </c>
      <c r="M354" s="308">
        <v>760429</v>
      </c>
      <c r="N354" s="311">
        <v>1</v>
      </c>
      <c r="O354" s="311" t="s">
        <v>2572</v>
      </c>
      <c r="P354" s="311" t="s">
        <v>34</v>
      </c>
      <c r="Q354" s="325"/>
      <c r="R354" s="319">
        <v>1201.9550376486229</v>
      </c>
      <c r="S354" s="325"/>
      <c r="T354" s="311" t="s">
        <v>34</v>
      </c>
      <c r="U354" s="317"/>
    </row>
    <row r="355" spans="1:21" s="318" customFormat="1" ht="14.1" customHeight="1">
      <c r="A355" s="311">
        <v>351</v>
      </c>
      <c r="B355" s="247" t="s">
        <v>348</v>
      </c>
      <c r="C355" s="247" t="s">
        <v>348</v>
      </c>
      <c r="D355" s="311" t="s">
        <v>92</v>
      </c>
      <c r="E355" s="311" t="s">
        <v>3023</v>
      </c>
      <c r="F355" s="311" t="s">
        <v>2434</v>
      </c>
      <c r="G355" s="311" t="s">
        <v>3150</v>
      </c>
      <c r="H355" s="311" t="s">
        <v>3059</v>
      </c>
      <c r="I355" s="317" t="s">
        <v>3151</v>
      </c>
      <c r="J355" s="311" t="s">
        <v>30</v>
      </c>
      <c r="K355" s="311"/>
      <c r="L355" s="311" t="s">
        <v>336</v>
      </c>
      <c r="M355" s="308">
        <v>760429</v>
      </c>
      <c r="N355" s="311">
        <v>1</v>
      </c>
      <c r="O355" s="311" t="s">
        <v>2572</v>
      </c>
      <c r="P355" s="311" t="s">
        <v>34</v>
      </c>
      <c r="Q355" s="325"/>
      <c r="R355" s="319">
        <v>1340.4703022103599</v>
      </c>
      <c r="S355" s="325"/>
      <c r="T355" s="311" t="s">
        <v>34</v>
      </c>
      <c r="U355" s="317"/>
    </row>
    <row r="356" spans="1:21" s="318" customFormat="1" ht="14.1" customHeight="1">
      <c r="A356" s="311">
        <v>352</v>
      </c>
      <c r="B356" s="247" t="s">
        <v>348</v>
      </c>
      <c r="C356" s="247" t="s">
        <v>348</v>
      </c>
      <c r="D356" s="311" t="s">
        <v>92</v>
      </c>
      <c r="E356" s="311" t="s">
        <v>3023</v>
      </c>
      <c r="F356" s="311" t="s">
        <v>2434</v>
      </c>
      <c r="G356" s="311" t="s">
        <v>3152</v>
      </c>
      <c r="H356" s="311" t="s">
        <v>3059</v>
      </c>
      <c r="I356" s="317" t="s">
        <v>3153</v>
      </c>
      <c r="J356" s="311" t="s">
        <v>30</v>
      </c>
      <c r="K356" s="311"/>
      <c r="L356" s="311" t="s">
        <v>336</v>
      </c>
      <c r="M356" s="308">
        <v>760429</v>
      </c>
      <c r="N356" s="311">
        <v>1</v>
      </c>
      <c r="O356" s="311" t="s">
        <v>2572</v>
      </c>
      <c r="P356" s="311" t="s">
        <v>34</v>
      </c>
      <c r="Q356" s="325"/>
      <c r="R356" s="319">
        <v>630.02104203886938</v>
      </c>
      <c r="S356" s="325"/>
      <c r="T356" s="311" t="s">
        <v>34</v>
      </c>
      <c r="U356" s="317"/>
    </row>
    <row r="357" spans="1:21" s="318" customFormat="1" ht="14.1" customHeight="1">
      <c r="A357" s="311">
        <v>353</v>
      </c>
      <c r="B357" s="247" t="s">
        <v>348</v>
      </c>
      <c r="C357" s="247" t="s">
        <v>348</v>
      </c>
      <c r="D357" s="311" t="s">
        <v>92</v>
      </c>
      <c r="E357" s="311" t="s">
        <v>3023</v>
      </c>
      <c r="F357" s="311" t="s">
        <v>2434</v>
      </c>
      <c r="G357" s="311" t="s">
        <v>3154</v>
      </c>
      <c r="H357" s="311" t="s">
        <v>2975</v>
      </c>
      <c r="I357" s="317" t="s">
        <v>3155</v>
      </c>
      <c r="J357" s="311" t="s">
        <v>30</v>
      </c>
      <c r="K357" s="311" t="s">
        <v>520</v>
      </c>
      <c r="L357" s="311" t="s">
        <v>336</v>
      </c>
      <c r="M357" s="308">
        <v>760429</v>
      </c>
      <c r="N357" s="311">
        <v>1</v>
      </c>
      <c r="O357" s="311" t="s">
        <v>2572</v>
      </c>
      <c r="P357" s="311" t="s">
        <v>34</v>
      </c>
      <c r="Q357" s="325"/>
      <c r="R357" s="319">
        <v>4171.0967570445709</v>
      </c>
      <c r="S357" s="325"/>
      <c r="T357" s="311" t="s">
        <v>34</v>
      </c>
      <c r="U357" s="317"/>
    </row>
    <row r="358" spans="1:21" s="318" customFormat="1" ht="14.1" customHeight="1">
      <c r="A358" s="311">
        <v>354</v>
      </c>
      <c r="B358" s="247" t="s">
        <v>348</v>
      </c>
      <c r="C358" s="247" t="s">
        <v>348</v>
      </c>
      <c r="D358" s="311" t="s">
        <v>92</v>
      </c>
      <c r="E358" s="311" t="s">
        <v>3023</v>
      </c>
      <c r="F358" s="311" t="s">
        <v>2434</v>
      </c>
      <c r="G358" s="311" t="s">
        <v>3156</v>
      </c>
      <c r="H358" s="311" t="s">
        <v>2975</v>
      </c>
      <c r="I358" s="317" t="s">
        <v>3157</v>
      </c>
      <c r="J358" s="311" t="s">
        <v>30</v>
      </c>
      <c r="K358" s="311" t="s">
        <v>520</v>
      </c>
      <c r="L358" s="311" t="s">
        <v>336</v>
      </c>
      <c r="M358" s="308">
        <v>760429</v>
      </c>
      <c r="N358" s="311">
        <v>1</v>
      </c>
      <c r="O358" s="311" t="s">
        <v>2572</v>
      </c>
      <c r="P358" s="311" t="s">
        <v>34</v>
      </c>
      <c r="Q358" s="325"/>
      <c r="R358" s="319">
        <v>962.90450042110876</v>
      </c>
      <c r="S358" s="325"/>
      <c r="T358" s="311" t="s">
        <v>34</v>
      </c>
      <c r="U358" s="317"/>
    </row>
    <row r="359" spans="1:21" s="318" customFormat="1" ht="14.1" customHeight="1">
      <c r="A359" s="311">
        <v>355</v>
      </c>
      <c r="B359" s="247" t="s">
        <v>348</v>
      </c>
      <c r="C359" s="247" t="s">
        <v>348</v>
      </c>
      <c r="D359" s="311" t="s">
        <v>92</v>
      </c>
      <c r="E359" s="311" t="s">
        <v>3023</v>
      </c>
      <c r="F359" s="311" t="s">
        <v>2434</v>
      </c>
      <c r="G359" s="311" t="s">
        <v>3158</v>
      </c>
      <c r="H359" s="311" t="s">
        <v>2975</v>
      </c>
      <c r="I359" s="317" t="s">
        <v>3159</v>
      </c>
      <c r="J359" s="311" t="s">
        <v>30</v>
      </c>
      <c r="K359" s="311" t="s">
        <v>520</v>
      </c>
      <c r="L359" s="311" t="s">
        <v>336</v>
      </c>
      <c r="M359" s="308">
        <v>760429</v>
      </c>
      <c r="N359" s="311">
        <v>1</v>
      </c>
      <c r="O359" s="311" t="s">
        <v>2572</v>
      </c>
      <c r="P359" s="311" t="s">
        <v>34</v>
      </c>
      <c r="Q359" s="325"/>
      <c r="R359" s="319">
        <v>1172.9115144340651</v>
      </c>
      <c r="S359" s="325"/>
      <c r="T359" s="311" t="s">
        <v>34</v>
      </c>
      <c r="U359" s="317"/>
    </row>
    <row r="360" spans="1:21" s="318" customFormat="1" ht="14.1" customHeight="1">
      <c r="A360" s="311">
        <v>356</v>
      </c>
      <c r="B360" s="247" t="s">
        <v>348</v>
      </c>
      <c r="C360" s="247" t="s">
        <v>348</v>
      </c>
      <c r="D360" s="311" t="s">
        <v>92</v>
      </c>
      <c r="E360" s="311" t="s">
        <v>3023</v>
      </c>
      <c r="F360" s="311" t="s">
        <v>2434</v>
      </c>
      <c r="G360" s="311" t="s">
        <v>3160</v>
      </c>
      <c r="H360" s="311" t="s">
        <v>2975</v>
      </c>
      <c r="I360" s="317" t="s">
        <v>3161</v>
      </c>
      <c r="J360" s="311" t="s">
        <v>30</v>
      </c>
      <c r="K360" s="311" t="s">
        <v>520</v>
      </c>
      <c r="L360" s="311" t="s">
        <v>336</v>
      </c>
      <c r="M360" s="308">
        <v>760429</v>
      </c>
      <c r="N360" s="311">
        <v>1</v>
      </c>
      <c r="O360" s="311" t="s">
        <v>2572</v>
      </c>
      <c r="P360" s="311" t="s">
        <v>34</v>
      </c>
      <c r="Q360" s="325"/>
      <c r="R360" s="319">
        <v>547.35870673589716</v>
      </c>
      <c r="S360" s="325"/>
      <c r="T360" s="311" t="s">
        <v>34</v>
      </c>
      <c r="U360" s="317"/>
    </row>
    <row r="361" spans="1:21" s="318" customFormat="1" ht="14.1" customHeight="1">
      <c r="A361" s="311">
        <v>357</v>
      </c>
      <c r="B361" s="247" t="s">
        <v>348</v>
      </c>
      <c r="C361" s="247" t="s">
        <v>348</v>
      </c>
      <c r="D361" s="311" t="s">
        <v>92</v>
      </c>
      <c r="E361" s="311" t="s">
        <v>3023</v>
      </c>
      <c r="F361" s="311" t="s">
        <v>2434</v>
      </c>
      <c r="G361" s="311" t="s">
        <v>3162</v>
      </c>
      <c r="H361" s="311" t="s">
        <v>3031</v>
      </c>
      <c r="I361" s="317" t="s">
        <v>3163</v>
      </c>
      <c r="J361" s="311" t="s">
        <v>30</v>
      </c>
      <c r="K361" s="311"/>
      <c r="L361" s="311" t="s">
        <v>336</v>
      </c>
      <c r="M361" s="308">
        <v>760429</v>
      </c>
      <c r="N361" s="311">
        <v>1</v>
      </c>
      <c r="O361" s="311" t="s">
        <v>2572</v>
      </c>
      <c r="P361" s="311" t="s">
        <v>34</v>
      </c>
      <c r="Q361" s="325"/>
      <c r="R361" s="319">
        <v>4807.8201505944926</v>
      </c>
      <c r="S361" s="325"/>
      <c r="T361" s="311" t="s">
        <v>34</v>
      </c>
      <c r="U361" s="317"/>
    </row>
    <row r="362" spans="1:21" s="318" customFormat="1" ht="14.1" customHeight="1">
      <c r="A362" s="311">
        <v>358</v>
      </c>
      <c r="B362" s="247" t="s">
        <v>348</v>
      </c>
      <c r="C362" s="247" t="s">
        <v>348</v>
      </c>
      <c r="D362" s="311" t="s">
        <v>92</v>
      </c>
      <c r="E362" s="311" t="s">
        <v>3023</v>
      </c>
      <c r="F362" s="311" t="s">
        <v>2434</v>
      </c>
      <c r="G362" s="311" t="s">
        <v>3164</v>
      </c>
      <c r="H362" s="311" t="s">
        <v>3031</v>
      </c>
      <c r="I362" s="317" t="s">
        <v>3165</v>
      </c>
      <c r="J362" s="311" t="s">
        <v>30</v>
      </c>
      <c r="K362" s="311"/>
      <c r="L362" s="311" t="s">
        <v>336</v>
      </c>
      <c r="M362" s="308">
        <v>760429</v>
      </c>
      <c r="N362" s="311">
        <v>1</v>
      </c>
      <c r="O362" s="311" t="s">
        <v>2572</v>
      </c>
      <c r="P362" s="311" t="s">
        <v>34</v>
      </c>
      <c r="Q362" s="325"/>
      <c r="R362" s="319">
        <v>1201.9550376486229</v>
      </c>
      <c r="S362" s="325"/>
      <c r="T362" s="311" t="s">
        <v>34</v>
      </c>
      <c r="U362" s="317"/>
    </row>
    <row r="363" spans="1:21" s="318" customFormat="1" ht="14.1" customHeight="1">
      <c r="A363" s="311">
        <v>359</v>
      </c>
      <c r="B363" s="247" t="s">
        <v>348</v>
      </c>
      <c r="C363" s="247" t="s">
        <v>348</v>
      </c>
      <c r="D363" s="311" t="s">
        <v>92</v>
      </c>
      <c r="E363" s="311" t="s">
        <v>3023</v>
      </c>
      <c r="F363" s="311" t="s">
        <v>2434</v>
      </c>
      <c r="G363" s="311" t="s">
        <v>3166</v>
      </c>
      <c r="H363" s="311" t="s">
        <v>3031</v>
      </c>
      <c r="I363" s="317" t="s">
        <v>3167</v>
      </c>
      <c r="J363" s="311" t="s">
        <v>30</v>
      </c>
      <c r="K363" s="311"/>
      <c r="L363" s="311" t="s">
        <v>336</v>
      </c>
      <c r="M363" s="308">
        <v>760429</v>
      </c>
      <c r="N363" s="311">
        <v>1</v>
      </c>
      <c r="O363" s="311" t="s">
        <v>2572</v>
      </c>
      <c r="P363" s="311" t="s">
        <v>34</v>
      </c>
      <c r="Q363" s="325"/>
      <c r="R363" s="319">
        <v>1340.4703022103599</v>
      </c>
      <c r="S363" s="325"/>
      <c r="T363" s="311" t="s">
        <v>34</v>
      </c>
      <c r="U363" s="317"/>
    </row>
    <row r="364" spans="1:21" s="318" customFormat="1" ht="14.1" customHeight="1">
      <c r="A364" s="311">
        <v>360</v>
      </c>
      <c r="B364" s="247" t="s">
        <v>348</v>
      </c>
      <c r="C364" s="247" t="s">
        <v>348</v>
      </c>
      <c r="D364" s="311" t="s">
        <v>92</v>
      </c>
      <c r="E364" s="311" t="s">
        <v>3023</v>
      </c>
      <c r="F364" s="311" t="s">
        <v>2434</v>
      </c>
      <c r="G364" s="311" t="s">
        <v>3168</v>
      </c>
      <c r="H364" s="311" t="s">
        <v>3031</v>
      </c>
      <c r="I364" s="317" t="s">
        <v>3169</v>
      </c>
      <c r="J364" s="311" t="s">
        <v>30</v>
      </c>
      <c r="K364" s="311"/>
      <c r="L364" s="311" t="s">
        <v>336</v>
      </c>
      <c r="M364" s="308">
        <v>760429</v>
      </c>
      <c r="N364" s="311">
        <v>1</v>
      </c>
      <c r="O364" s="311" t="s">
        <v>2572</v>
      </c>
      <c r="P364" s="311" t="s">
        <v>34</v>
      </c>
      <c r="Q364" s="325"/>
      <c r="R364" s="319">
        <v>630.02104203886938</v>
      </c>
      <c r="S364" s="325"/>
      <c r="T364" s="311" t="s">
        <v>34</v>
      </c>
      <c r="U364" s="317"/>
    </row>
    <row r="365" spans="1:21" s="318" customFormat="1" ht="14.1" customHeight="1">
      <c r="A365" s="311">
        <v>361</v>
      </c>
      <c r="B365" s="247" t="s">
        <v>348</v>
      </c>
      <c r="C365" s="247" t="s">
        <v>348</v>
      </c>
      <c r="D365" s="311" t="s">
        <v>92</v>
      </c>
      <c r="E365" s="311" t="s">
        <v>3023</v>
      </c>
      <c r="F365" s="311" t="s">
        <v>2434</v>
      </c>
      <c r="G365" s="311" t="s">
        <v>3170</v>
      </c>
      <c r="H365" s="311" t="s">
        <v>3052</v>
      </c>
      <c r="I365" s="317" t="s">
        <v>3171</v>
      </c>
      <c r="J365" s="311" t="s">
        <v>30</v>
      </c>
      <c r="K365" s="311"/>
      <c r="L365" s="311" t="s">
        <v>336</v>
      </c>
      <c r="M365" s="308">
        <v>760429</v>
      </c>
      <c r="N365" s="311">
        <v>1</v>
      </c>
      <c r="O365" s="311" t="s">
        <v>2572</v>
      </c>
      <c r="P365" s="311" t="s">
        <v>34</v>
      </c>
      <c r="Q365" s="325"/>
      <c r="R365" s="319">
        <v>4807.8201505944926</v>
      </c>
      <c r="S365" s="325"/>
      <c r="T365" s="311" t="s">
        <v>34</v>
      </c>
      <c r="U365" s="317"/>
    </row>
    <row r="366" spans="1:21" s="318" customFormat="1" ht="14.1" customHeight="1">
      <c r="A366" s="311">
        <v>362</v>
      </c>
      <c r="B366" s="247" t="s">
        <v>348</v>
      </c>
      <c r="C366" s="247" t="s">
        <v>348</v>
      </c>
      <c r="D366" s="311" t="s">
        <v>92</v>
      </c>
      <c r="E366" s="311" t="s">
        <v>3023</v>
      </c>
      <c r="F366" s="311" t="s">
        <v>2434</v>
      </c>
      <c r="G366" s="311" t="s">
        <v>3172</v>
      </c>
      <c r="H366" s="311" t="s">
        <v>3052</v>
      </c>
      <c r="I366" s="317" t="s">
        <v>3173</v>
      </c>
      <c r="J366" s="311" t="s">
        <v>30</v>
      </c>
      <c r="K366" s="311"/>
      <c r="L366" s="311" t="s">
        <v>336</v>
      </c>
      <c r="M366" s="308">
        <v>760429</v>
      </c>
      <c r="N366" s="311">
        <v>1</v>
      </c>
      <c r="O366" s="311" t="s">
        <v>2572</v>
      </c>
      <c r="P366" s="311" t="s">
        <v>34</v>
      </c>
      <c r="Q366" s="325"/>
      <c r="R366" s="319">
        <v>1201.9550376486229</v>
      </c>
      <c r="S366" s="325"/>
      <c r="T366" s="311" t="s">
        <v>34</v>
      </c>
      <c r="U366" s="317"/>
    </row>
    <row r="367" spans="1:21" s="318" customFormat="1" ht="14.1" customHeight="1">
      <c r="A367" s="311">
        <v>363</v>
      </c>
      <c r="B367" s="247" t="s">
        <v>348</v>
      </c>
      <c r="C367" s="247" t="s">
        <v>348</v>
      </c>
      <c r="D367" s="311" t="s">
        <v>92</v>
      </c>
      <c r="E367" s="311" t="s">
        <v>3023</v>
      </c>
      <c r="F367" s="311" t="s">
        <v>2434</v>
      </c>
      <c r="G367" s="311" t="s">
        <v>3174</v>
      </c>
      <c r="H367" s="311" t="s">
        <v>3052</v>
      </c>
      <c r="I367" s="317" t="s">
        <v>3175</v>
      </c>
      <c r="J367" s="311" t="s">
        <v>30</v>
      </c>
      <c r="K367" s="311"/>
      <c r="L367" s="311" t="s">
        <v>336</v>
      </c>
      <c r="M367" s="308">
        <v>760429</v>
      </c>
      <c r="N367" s="311">
        <v>1</v>
      </c>
      <c r="O367" s="311" t="s">
        <v>2572</v>
      </c>
      <c r="P367" s="311" t="s">
        <v>34</v>
      </c>
      <c r="Q367" s="325"/>
      <c r="R367" s="319">
        <v>1340.4703022103599</v>
      </c>
      <c r="S367" s="325"/>
      <c r="T367" s="311" t="s">
        <v>34</v>
      </c>
      <c r="U367" s="317"/>
    </row>
    <row r="368" spans="1:21" s="318" customFormat="1" ht="14.1" customHeight="1">
      <c r="A368" s="311">
        <v>364</v>
      </c>
      <c r="B368" s="247" t="s">
        <v>348</v>
      </c>
      <c r="C368" s="247" t="s">
        <v>348</v>
      </c>
      <c r="D368" s="311" t="s">
        <v>92</v>
      </c>
      <c r="E368" s="311" t="s">
        <v>3023</v>
      </c>
      <c r="F368" s="311" t="s">
        <v>2434</v>
      </c>
      <c r="G368" s="311" t="s">
        <v>3176</v>
      </c>
      <c r="H368" s="311" t="s">
        <v>3052</v>
      </c>
      <c r="I368" s="317" t="s">
        <v>3177</v>
      </c>
      <c r="J368" s="311" t="s">
        <v>30</v>
      </c>
      <c r="K368" s="311"/>
      <c r="L368" s="311" t="s">
        <v>336</v>
      </c>
      <c r="M368" s="308">
        <v>760429</v>
      </c>
      <c r="N368" s="311">
        <v>1</v>
      </c>
      <c r="O368" s="311" t="s">
        <v>2572</v>
      </c>
      <c r="P368" s="311" t="s">
        <v>34</v>
      </c>
      <c r="Q368" s="325"/>
      <c r="R368" s="319">
        <v>630.02104203886938</v>
      </c>
      <c r="S368" s="325"/>
      <c r="T368" s="311" t="s">
        <v>34</v>
      </c>
      <c r="U368" s="317"/>
    </row>
    <row r="369" spans="1:21" s="318" customFormat="1" ht="14.1" customHeight="1">
      <c r="A369" s="311">
        <v>365</v>
      </c>
      <c r="B369" s="247" t="s">
        <v>348</v>
      </c>
      <c r="C369" s="247" t="s">
        <v>348</v>
      </c>
      <c r="D369" s="311" t="s">
        <v>92</v>
      </c>
      <c r="E369" s="311" t="s">
        <v>3023</v>
      </c>
      <c r="F369" s="311" t="s">
        <v>2434</v>
      </c>
      <c r="G369" s="311" t="s">
        <v>3178</v>
      </c>
      <c r="H369" s="311" t="s">
        <v>3096</v>
      </c>
      <c r="I369" s="317" t="s">
        <v>3179</v>
      </c>
      <c r="J369" s="311" t="s">
        <v>30</v>
      </c>
      <c r="K369" s="311"/>
      <c r="L369" s="311" t="s">
        <v>336</v>
      </c>
      <c r="M369" s="308">
        <v>760429</v>
      </c>
      <c r="N369" s="311">
        <v>1</v>
      </c>
      <c r="O369" s="311" t="s">
        <v>2572</v>
      </c>
      <c r="P369" s="311" t="s">
        <v>34</v>
      </c>
      <c r="Q369" s="325"/>
      <c r="R369" s="319">
        <v>4807.8201505944926</v>
      </c>
      <c r="S369" s="325"/>
      <c r="T369" s="311" t="s">
        <v>34</v>
      </c>
      <c r="U369" s="317"/>
    </row>
    <row r="370" spans="1:21" s="318" customFormat="1" ht="14.1" customHeight="1">
      <c r="A370" s="311">
        <v>366</v>
      </c>
      <c r="B370" s="247" t="s">
        <v>348</v>
      </c>
      <c r="C370" s="247" t="s">
        <v>348</v>
      </c>
      <c r="D370" s="311" t="s">
        <v>92</v>
      </c>
      <c r="E370" s="311" t="s">
        <v>3023</v>
      </c>
      <c r="F370" s="311" t="s">
        <v>2434</v>
      </c>
      <c r="G370" s="311" t="s">
        <v>3180</v>
      </c>
      <c r="H370" s="311" t="s">
        <v>3096</v>
      </c>
      <c r="I370" s="317" t="s">
        <v>3181</v>
      </c>
      <c r="J370" s="311" t="s">
        <v>30</v>
      </c>
      <c r="K370" s="311"/>
      <c r="L370" s="311" t="s">
        <v>336</v>
      </c>
      <c r="M370" s="308">
        <v>760429</v>
      </c>
      <c r="N370" s="311">
        <v>1</v>
      </c>
      <c r="O370" s="311" t="s">
        <v>2572</v>
      </c>
      <c r="P370" s="311" t="s">
        <v>34</v>
      </c>
      <c r="Q370" s="325"/>
      <c r="R370" s="319">
        <v>1201.9550376486229</v>
      </c>
      <c r="S370" s="325"/>
      <c r="T370" s="311" t="s">
        <v>34</v>
      </c>
      <c r="U370" s="317"/>
    </row>
    <row r="371" spans="1:21" s="318" customFormat="1" ht="14.1" customHeight="1">
      <c r="A371" s="311">
        <v>367</v>
      </c>
      <c r="B371" s="247" t="s">
        <v>348</v>
      </c>
      <c r="C371" s="247" t="s">
        <v>348</v>
      </c>
      <c r="D371" s="311" t="s">
        <v>92</v>
      </c>
      <c r="E371" s="311" t="s">
        <v>3023</v>
      </c>
      <c r="F371" s="311" t="s">
        <v>2434</v>
      </c>
      <c r="G371" s="311" t="s">
        <v>3182</v>
      </c>
      <c r="H371" s="311" t="s">
        <v>3096</v>
      </c>
      <c r="I371" s="317" t="s">
        <v>3183</v>
      </c>
      <c r="J371" s="311" t="s">
        <v>30</v>
      </c>
      <c r="K371" s="311"/>
      <c r="L371" s="311" t="s">
        <v>336</v>
      </c>
      <c r="M371" s="308">
        <v>760429</v>
      </c>
      <c r="N371" s="311">
        <v>1</v>
      </c>
      <c r="O371" s="311" t="s">
        <v>2572</v>
      </c>
      <c r="P371" s="311" t="s">
        <v>34</v>
      </c>
      <c r="Q371" s="325"/>
      <c r="R371" s="319">
        <v>1340.4703022103599</v>
      </c>
      <c r="S371" s="325"/>
      <c r="T371" s="311" t="s">
        <v>34</v>
      </c>
      <c r="U371" s="317"/>
    </row>
    <row r="372" spans="1:21" s="318" customFormat="1" ht="14.1" customHeight="1">
      <c r="A372" s="311">
        <v>368</v>
      </c>
      <c r="B372" s="247" t="s">
        <v>348</v>
      </c>
      <c r="C372" s="247" t="s">
        <v>348</v>
      </c>
      <c r="D372" s="311" t="s">
        <v>92</v>
      </c>
      <c r="E372" s="311" t="s">
        <v>3023</v>
      </c>
      <c r="F372" s="311" t="s">
        <v>2434</v>
      </c>
      <c r="G372" s="311" t="s">
        <v>3184</v>
      </c>
      <c r="H372" s="311" t="s">
        <v>3096</v>
      </c>
      <c r="I372" s="317" t="s">
        <v>3185</v>
      </c>
      <c r="J372" s="311" t="s">
        <v>30</v>
      </c>
      <c r="K372" s="311"/>
      <c r="L372" s="311" t="s">
        <v>336</v>
      </c>
      <c r="M372" s="308">
        <v>760429</v>
      </c>
      <c r="N372" s="311">
        <v>1</v>
      </c>
      <c r="O372" s="311" t="s">
        <v>2572</v>
      </c>
      <c r="P372" s="311" t="s">
        <v>34</v>
      </c>
      <c r="Q372" s="325"/>
      <c r="R372" s="319">
        <v>630.02104203886938</v>
      </c>
      <c r="S372" s="325"/>
      <c r="T372" s="311" t="s">
        <v>34</v>
      </c>
      <c r="U372" s="317"/>
    </row>
    <row r="373" spans="1:21" s="318" customFormat="1" ht="14.1" customHeight="1">
      <c r="A373" s="311">
        <v>369</v>
      </c>
      <c r="B373" s="247" t="s">
        <v>348</v>
      </c>
      <c r="C373" s="247" t="s">
        <v>348</v>
      </c>
      <c r="D373" s="311" t="s">
        <v>92</v>
      </c>
      <c r="E373" s="311" t="s">
        <v>3023</v>
      </c>
      <c r="F373" s="311" t="s">
        <v>2434</v>
      </c>
      <c r="G373" s="311" t="s">
        <v>3186</v>
      </c>
      <c r="H373" s="311" t="s">
        <v>3059</v>
      </c>
      <c r="I373" s="317" t="s">
        <v>3187</v>
      </c>
      <c r="J373" s="311" t="s">
        <v>30</v>
      </c>
      <c r="K373" s="311"/>
      <c r="L373" s="311" t="s">
        <v>336</v>
      </c>
      <c r="M373" s="308">
        <v>760429</v>
      </c>
      <c r="N373" s="311">
        <v>1</v>
      </c>
      <c r="O373" s="311" t="s">
        <v>2572</v>
      </c>
      <c r="P373" s="311" t="s">
        <v>34</v>
      </c>
      <c r="Q373" s="325"/>
      <c r="R373" s="319">
        <v>1201.9550376486229</v>
      </c>
      <c r="S373" s="325"/>
      <c r="T373" s="311" t="s">
        <v>34</v>
      </c>
      <c r="U373" s="317"/>
    </row>
    <row r="374" spans="1:21" s="318" customFormat="1" ht="14.1" customHeight="1">
      <c r="A374" s="311">
        <v>370</v>
      </c>
      <c r="B374" s="247" t="s">
        <v>348</v>
      </c>
      <c r="C374" s="247" t="s">
        <v>348</v>
      </c>
      <c r="D374" s="311" t="s">
        <v>92</v>
      </c>
      <c r="E374" s="311" t="s">
        <v>3023</v>
      </c>
      <c r="F374" s="311" t="s">
        <v>2434</v>
      </c>
      <c r="G374" s="311" t="s">
        <v>3188</v>
      </c>
      <c r="H374" s="311" t="s">
        <v>3059</v>
      </c>
      <c r="I374" s="317" t="s">
        <v>3189</v>
      </c>
      <c r="J374" s="311" t="s">
        <v>30</v>
      </c>
      <c r="K374" s="311"/>
      <c r="L374" s="311" t="s">
        <v>336</v>
      </c>
      <c r="M374" s="308">
        <v>760429</v>
      </c>
      <c r="N374" s="311">
        <v>1</v>
      </c>
      <c r="O374" s="311" t="s">
        <v>2572</v>
      </c>
      <c r="P374" s="311" t="s">
        <v>34</v>
      </c>
      <c r="Q374" s="325"/>
      <c r="R374" s="319">
        <v>1340.4703022103599</v>
      </c>
      <c r="S374" s="325"/>
      <c r="T374" s="311" t="s">
        <v>34</v>
      </c>
      <c r="U374" s="317"/>
    </row>
    <row r="375" spans="1:21" s="318" customFormat="1" ht="14.1" customHeight="1">
      <c r="A375" s="311">
        <v>371</v>
      </c>
      <c r="B375" s="247" t="s">
        <v>348</v>
      </c>
      <c r="C375" s="247" t="s">
        <v>348</v>
      </c>
      <c r="D375" s="311" t="s">
        <v>92</v>
      </c>
      <c r="E375" s="311" t="s">
        <v>3023</v>
      </c>
      <c r="F375" s="311" t="s">
        <v>2434</v>
      </c>
      <c r="G375" s="311" t="s">
        <v>3190</v>
      </c>
      <c r="H375" s="311" t="s">
        <v>3059</v>
      </c>
      <c r="I375" s="317" t="s">
        <v>3191</v>
      </c>
      <c r="J375" s="311" t="s">
        <v>30</v>
      </c>
      <c r="K375" s="311"/>
      <c r="L375" s="311" t="s">
        <v>336</v>
      </c>
      <c r="M375" s="308">
        <v>760429</v>
      </c>
      <c r="N375" s="311">
        <v>1</v>
      </c>
      <c r="O375" s="311" t="s">
        <v>2572</v>
      </c>
      <c r="P375" s="311" t="s">
        <v>34</v>
      </c>
      <c r="Q375" s="325"/>
      <c r="R375" s="319">
        <v>630.02104203886938</v>
      </c>
      <c r="S375" s="325"/>
      <c r="T375" s="311" t="s">
        <v>34</v>
      </c>
      <c r="U375" s="317"/>
    </row>
    <row r="376" spans="1:21" s="318" customFormat="1" ht="14.1" customHeight="1">
      <c r="A376" s="311">
        <v>372</v>
      </c>
      <c r="B376" s="247" t="s">
        <v>348</v>
      </c>
      <c r="C376" s="247" t="s">
        <v>348</v>
      </c>
      <c r="D376" s="311" t="s">
        <v>92</v>
      </c>
      <c r="E376" s="311" t="s">
        <v>3023</v>
      </c>
      <c r="F376" s="311" t="s">
        <v>2434</v>
      </c>
      <c r="G376" s="311" t="s">
        <v>3192</v>
      </c>
      <c r="H376" s="311" t="s">
        <v>2975</v>
      </c>
      <c r="I376" s="317" t="s">
        <v>3193</v>
      </c>
      <c r="J376" s="311" t="s">
        <v>30</v>
      </c>
      <c r="K376" s="311" t="s">
        <v>520</v>
      </c>
      <c r="L376" s="311" t="s">
        <v>336</v>
      </c>
      <c r="M376" s="308">
        <v>760429</v>
      </c>
      <c r="N376" s="311">
        <v>1</v>
      </c>
      <c r="O376" s="311" t="s">
        <v>2572</v>
      </c>
      <c r="P376" s="311" t="s">
        <v>34</v>
      </c>
      <c r="Q376" s="325"/>
      <c r="R376" s="319">
        <v>962.90450042110876</v>
      </c>
      <c r="S376" s="325"/>
      <c r="T376" s="311" t="s">
        <v>34</v>
      </c>
      <c r="U376" s="317"/>
    </row>
    <row r="377" spans="1:21" s="318" customFormat="1" ht="14.1" customHeight="1">
      <c r="A377" s="311">
        <v>373</v>
      </c>
      <c r="B377" s="247" t="s">
        <v>348</v>
      </c>
      <c r="C377" s="247" t="s">
        <v>348</v>
      </c>
      <c r="D377" s="311" t="s">
        <v>92</v>
      </c>
      <c r="E377" s="311" t="s">
        <v>3023</v>
      </c>
      <c r="F377" s="311" t="s">
        <v>2434</v>
      </c>
      <c r="G377" s="311" t="s">
        <v>3194</v>
      </c>
      <c r="H377" s="311" t="s">
        <v>2975</v>
      </c>
      <c r="I377" s="317" t="s">
        <v>3195</v>
      </c>
      <c r="J377" s="311" t="s">
        <v>30</v>
      </c>
      <c r="K377" s="311" t="s">
        <v>520</v>
      </c>
      <c r="L377" s="311" t="s">
        <v>336</v>
      </c>
      <c r="M377" s="308">
        <v>760429</v>
      </c>
      <c r="N377" s="311">
        <v>1</v>
      </c>
      <c r="O377" s="311" t="s">
        <v>2572</v>
      </c>
      <c r="P377" s="311" t="s">
        <v>34</v>
      </c>
      <c r="Q377" s="325"/>
      <c r="R377" s="319">
        <v>1172.9115144340651</v>
      </c>
      <c r="S377" s="325"/>
      <c r="T377" s="311" t="s">
        <v>34</v>
      </c>
      <c r="U377" s="317"/>
    </row>
    <row r="378" spans="1:21" s="318" customFormat="1" ht="14.1" customHeight="1">
      <c r="A378" s="311">
        <v>374</v>
      </c>
      <c r="B378" s="247" t="s">
        <v>348</v>
      </c>
      <c r="C378" s="247" t="s">
        <v>348</v>
      </c>
      <c r="D378" s="311" t="s">
        <v>92</v>
      </c>
      <c r="E378" s="311" t="s">
        <v>3023</v>
      </c>
      <c r="F378" s="311" t="s">
        <v>2434</v>
      </c>
      <c r="G378" s="311" t="s">
        <v>3196</v>
      </c>
      <c r="H378" s="311" t="s">
        <v>2975</v>
      </c>
      <c r="I378" s="317" t="s">
        <v>3197</v>
      </c>
      <c r="J378" s="311" t="s">
        <v>30</v>
      </c>
      <c r="K378" s="311" t="s">
        <v>520</v>
      </c>
      <c r="L378" s="311" t="s">
        <v>336</v>
      </c>
      <c r="M378" s="308">
        <v>760429</v>
      </c>
      <c r="N378" s="311">
        <v>1</v>
      </c>
      <c r="O378" s="311" t="s">
        <v>2572</v>
      </c>
      <c r="P378" s="311" t="s">
        <v>34</v>
      </c>
      <c r="Q378" s="325"/>
      <c r="R378" s="319">
        <v>547.35870673589716</v>
      </c>
      <c r="S378" s="325"/>
      <c r="T378" s="311" t="s">
        <v>34</v>
      </c>
      <c r="U378" s="317"/>
    </row>
    <row r="379" spans="1:21" s="318" customFormat="1" ht="14.1" customHeight="1">
      <c r="A379" s="311">
        <v>375</v>
      </c>
      <c r="B379" s="247" t="s">
        <v>348</v>
      </c>
      <c r="C379" s="247" t="s">
        <v>348</v>
      </c>
      <c r="D379" s="311" t="s">
        <v>92</v>
      </c>
      <c r="E379" s="311" t="s">
        <v>3023</v>
      </c>
      <c r="F379" s="311" t="s">
        <v>2434</v>
      </c>
      <c r="G379" s="311" t="s">
        <v>3198</v>
      </c>
      <c r="H379" s="311" t="s">
        <v>3031</v>
      </c>
      <c r="I379" s="317" t="s">
        <v>3199</v>
      </c>
      <c r="J379" s="311" t="s">
        <v>30</v>
      </c>
      <c r="K379" s="311"/>
      <c r="L379" s="311" t="s">
        <v>336</v>
      </c>
      <c r="M379" s="308">
        <v>760429</v>
      </c>
      <c r="N379" s="311">
        <v>1</v>
      </c>
      <c r="O379" s="311" t="s">
        <v>2572</v>
      </c>
      <c r="P379" s="311" t="s">
        <v>34</v>
      </c>
      <c r="Q379" s="325"/>
      <c r="R379" s="319">
        <v>1201.9550376486229</v>
      </c>
      <c r="S379" s="325"/>
      <c r="T379" s="311" t="s">
        <v>34</v>
      </c>
      <c r="U379" s="317"/>
    </row>
    <row r="380" spans="1:21" s="318" customFormat="1" ht="14.1" customHeight="1">
      <c r="A380" s="311">
        <v>376</v>
      </c>
      <c r="B380" s="247" t="s">
        <v>348</v>
      </c>
      <c r="C380" s="247" t="s">
        <v>348</v>
      </c>
      <c r="D380" s="311" t="s">
        <v>92</v>
      </c>
      <c r="E380" s="311" t="s">
        <v>3023</v>
      </c>
      <c r="F380" s="311" t="s">
        <v>2434</v>
      </c>
      <c r="G380" s="311" t="s">
        <v>3200</v>
      </c>
      <c r="H380" s="311" t="s">
        <v>3031</v>
      </c>
      <c r="I380" s="317" t="s">
        <v>3201</v>
      </c>
      <c r="J380" s="311" t="s">
        <v>30</v>
      </c>
      <c r="K380" s="311"/>
      <c r="L380" s="311" t="s">
        <v>336</v>
      </c>
      <c r="M380" s="308">
        <v>760429</v>
      </c>
      <c r="N380" s="311">
        <v>1</v>
      </c>
      <c r="O380" s="311" t="s">
        <v>2572</v>
      </c>
      <c r="P380" s="311" t="s">
        <v>34</v>
      </c>
      <c r="Q380" s="325"/>
      <c r="R380" s="319">
        <v>1340.4703022103599</v>
      </c>
      <c r="S380" s="325"/>
      <c r="T380" s="311" t="s">
        <v>34</v>
      </c>
      <c r="U380" s="317"/>
    </row>
    <row r="381" spans="1:21" s="318" customFormat="1" ht="14.1" customHeight="1">
      <c r="A381" s="311">
        <v>377</v>
      </c>
      <c r="B381" s="247" t="s">
        <v>348</v>
      </c>
      <c r="C381" s="247" t="s">
        <v>348</v>
      </c>
      <c r="D381" s="311" t="s">
        <v>92</v>
      </c>
      <c r="E381" s="311" t="s">
        <v>3023</v>
      </c>
      <c r="F381" s="311" t="s">
        <v>2434</v>
      </c>
      <c r="G381" s="311" t="s">
        <v>3202</v>
      </c>
      <c r="H381" s="311" t="s">
        <v>3031</v>
      </c>
      <c r="I381" s="317" t="s">
        <v>3203</v>
      </c>
      <c r="J381" s="311" t="s">
        <v>30</v>
      </c>
      <c r="K381" s="311"/>
      <c r="L381" s="311" t="s">
        <v>336</v>
      </c>
      <c r="M381" s="308">
        <v>760429</v>
      </c>
      <c r="N381" s="311">
        <v>1</v>
      </c>
      <c r="O381" s="311" t="s">
        <v>2572</v>
      </c>
      <c r="P381" s="311" t="s">
        <v>34</v>
      </c>
      <c r="Q381" s="325"/>
      <c r="R381" s="319">
        <v>630.02104203886938</v>
      </c>
      <c r="S381" s="325"/>
      <c r="T381" s="311" t="s">
        <v>34</v>
      </c>
      <c r="U381" s="317"/>
    </row>
    <row r="382" spans="1:21" s="318" customFormat="1" ht="14.1" customHeight="1">
      <c r="A382" s="311">
        <v>378</v>
      </c>
      <c r="B382" s="247" t="s">
        <v>348</v>
      </c>
      <c r="C382" s="247" t="s">
        <v>348</v>
      </c>
      <c r="D382" s="311" t="s">
        <v>92</v>
      </c>
      <c r="E382" s="311" t="s">
        <v>3023</v>
      </c>
      <c r="F382" s="311" t="s">
        <v>2434</v>
      </c>
      <c r="G382" s="311" t="s">
        <v>3204</v>
      </c>
      <c r="H382" s="311" t="s">
        <v>3052</v>
      </c>
      <c r="I382" s="317" t="s">
        <v>3205</v>
      </c>
      <c r="J382" s="311" t="s">
        <v>30</v>
      </c>
      <c r="K382" s="311"/>
      <c r="L382" s="311" t="s">
        <v>336</v>
      </c>
      <c r="M382" s="308">
        <v>760429</v>
      </c>
      <c r="N382" s="311">
        <v>1</v>
      </c>
      <c r="O382" s="311" t="s">
        <v>2572</v>
      </c>
      <c r="P382" s="311" t="s">
        <v>34</v>
      </c>
      <c r="Q382" s="325"/>
      <c r="R382" s="319">
        <v>1201.9550376486229</v>
      </c>
      <c r="S382" s="325"/>
      <c r="T382" s="311" t="s">
        <v>34</v>
      </c>
      <c r="U382" s="317"/>
    </row>
    <row r="383" spans="1:21" s="318" customFormat="1" ht="14.1" customHeight="1">
      <c r="A383" s="311">
        <v>379</v>
      </c>
      <c r="B383" s="247" t="s">
        <v>348</v>
      </c>
      <c r="C383" s="247" t="s">
        <v>348</v>
      </c>
      <c r="D383" s="311" t="s">
        <v>92</v>
      </c>
      <c r="E383" s="311" t="s">
        <v>3023</v>
      </c>
      <c r="F383" s="311" t="s">
        <v>2434</v>
      </c>
      <c r="G383" s="311" t="s">
        <v>3206</v>
      </c>
      <c r="H383" s="311" t="s">
        <v>3052</v>
      </c>
      <c r="I383" s="317" t="s">
        <v>3207</v>
      </c>
      <c r="J383" s="311" t="s">
        <v>30</v>
      </c>
      <c r="K383" s="311"/>
      <c r="L383" s="311" t="s">
        <v>336</v>
      </c>
      <c r="M383" s="308">
        <v>760429</v>
      </c>
      <c r="N383" s="311">
        <v>1</v>
      </c>
      <c r="O383" s="311" t="s">
        <v>2572</v>
      </c>
      <c r="P383" s="311" t="s">
        <v>34</v>
      </c>
      <c r="Q383" s="325"/>
      <c r="R383" s="319">
        <v>1340.4703022103599</v>
      </c>
      <c r="S383" s="325"/>
      <c r="T383" s="311" t="s">
        <v>34</v>
      </c>
      <c r="U383" s="317"/>
    </row>
    <row r="384" spans="1:21" s="318" customFormat="1" ht="14.1" customHeight="1">
      <c r="A384" s="311">
        <v>380</v>
      </c>
      <c r="B384" s="247" t="s">
        <v>348</v>
      </c>
      <c r="C384" s="247" t="s">
        <v>348</v>
      </c>
      <c r="D384" s="311" t="s">
        <v>92</v>
      </c>
      <c r="E384" s="311" t="s">
        <v>3023</v>
      </c>
      <c r="F384" s="311" t="s">
        <v>2434</v>
      </c>
      <c r="G384" s="311" t="s">
        <v>3208</v>
      </c>
      <c r="H384" s="311" t="s">
        <v>3052</v>
      </c>
      <c r="I384" s="317" t="s">
        <v>3209</v>
      </c>
      <c r="J384" s="311" t="s">
        <v>30</v>
      </c>
      <c r="K384" s="311"/>
      <c r="L384" s="311" t="s">
        <v>336</v>
      </c>
      <c r="M384" s="308">
        <v>760429</v>
      </c>
      <c r="N384" s="311">
        <v>1</v>
      </c>
      <c r="O384" s="311" t="s">
        <v>2572</v>
      </c>
      <c r="P384" s="311" t="s">
        <v>34</v>
      </c>
      <c r="Q384" s="325"/>
      <c r="R384" s="319">
        <v>630.02104203886938</v>
      </c>
      <c r="S384" s="325"/>
      <c r="T384" s="311" t="s">
        <v>34</v>
      </c>
      <c r="U384" s="317"/>
    </row>
    <row r="385" spans="1:21" s="318" customFormat="1" ht="14.1" customHeight="1">
      <c r="A385" s="311">
        <v>381</v>
      </c>
      <c r="B385" s="247" t="s">
        <v>348</v>
      </c>
      <c r="C385" s="247" t="s">
        <v>348</v>
      </c>
      <c r="D385" s="311" t="s">
        <v>92</v>
      </c>
      <c r="E385" s="311" t="s">
        <v>3023</v>
      </c>
      <c r="F385" s="311" t="s">
        <v>2434</v>
      </c>
      <c r="G385" s="311" t="s">
        <v>3210</v>
      </c>
      <c r="H385" s="311" t="s">
        <v>3096</v>
      </c>
      <c r="I385" s="317" t="s">
        <v>3211</v>
      </c>
      <c r="J385" s="311" t="s">
        <v>30</v>
      </c>
      <c r="K385" s="311"/>
      <c r="L385" s="311" t="s">
        <v>336</v>
      </c>
      <c r="M385" s="308">
        <v>760429</v>
      </c>
      <c r="N385" s="311">
        <v>1</v>
      </c>
      <c r="O385" s="311" t="s">
        <v>2572</v>
      </c>
      <c r="P385" s="311" t="s">
        <v>34</v>
      </c>
      <c r="Q385" s="325"/>
      <c r="R385" s="319">
        <v>1201.9550376486229</v>
      </c>
      <c r="S385" s="325"/>
      <c r="T385" s="311" t="s">
        <v>34</v>
      </c>
      <c r="U385" s="317"/>
    </row>
    <row r="386" spans="1:21" s="318" customFormat="1" ht="14.1" customHeight="1">
      <c r="A386" s="311">
        <v>382</v>
      </c>
      <c r="B386" s="247" t="s">
        <v>348</v>
      </c>
      <c r="C386" s="247" t="s">
        <v>348</v>
      </c>
      <c r="D386" s="311" t="s">
        <v>92</v>
      </c>
      <c r="E386" s="311" t="s">
        <v>3023</v>
      </c>
      <c r="F386" s="311" t="s">
        <v>2434</v>
      </c>
      <c r="G386" s="311" t="s">
        <v>3212</v>
      </c>
      <c r="H386" s="311" t="s">
        <v>3096</v>
      </c>
      <c r="I386" s="317" t="s">
        <v>3213</v>
      </c>
      <c r="J386" s="311" t="s">
        <v>30</v>
      </c>
      <c r="K386" s="311"/>
      <c r="L386" s="311" t="s">
        <v>336</v>
      </c>
      <c r="M386" s="308">
        <v>760429</v>
      </c>
      <c r="N386" s="311">
        <v>1</v>
      </c>
      <c r="O386" s="311" t="s">
        <v>2572</v>
      </c>
      <c r="P386" s="311" t="s">
        <v>34</v>
      </c>
      <c r="Q386" s="325"/>
      <c r="R386" s="319">
        <v>1340.4703022103599</v>
      </c>
      <c r="S386" s="325"/>
      <c r="T386" s="311" t="s">
        <v>34</v>
      </c>
      <c r="U386" s="317"/>
    </row>
    <row r="387" spans="1:21" s="318" customFormat="1" ht="14.1" customHeight="1">
      <c r="A387" s="311">
        <v>383</v>
      </c>
      <c r="B387" s="247" t="s">
        <v>348</v>
      </c>
      <c r="C387" s="247" t="s">
        <v>348</v>
      </c>
      <c r="D387" s="311" t="s">
        <v>92</v>
      </c>
      <c r="E387" s="311" t="s">
        <v>3023</v>
      </c>
      <c r="F387" s="311" t="s">
        <v>2434</v>
      </c>
      <c r="G387" s="311" t="s">
        <v>3214</v>
      </c>
      <c r="H387" s="311" t="s">
        <v>3096</v>
      </c>
      <c r="I387" s="317" t="s">
        <v>3215</v>
      </c>
      <c r="J387" s="311" t="s">
        <v>30</v>
      </c>
      <c r="K387" s="311"/>
      <c r="L387" s="311" t="s">
        <v>336</v>
      </c>
      <c r="M387" s="308">
        <v>760429</v>
      </c>
      <c r="N387" s="311">
        <v>1</v>
      </c>
      <c r="O387" s="311" t="s">
        <v>2572</v>
      </c>
      <c r="P387" s="311" t="s">
        <v>34</v>
      </c>
      <c r="Q387" s="325"/>
      <c r="R387" s="319">
        <v>630.02104203886938</v>
      </c>
      <c r="S387" s="325"/>
      <c r="T387" s="311" t="s">
        <v>34</v>
      </c>
      <c r="U387" s="317"/>
    </row>
    <row r="388" spans="1:21" s="318" customFormat="1" ht="14.1" customHeight="1">
      <c r="A388" s="311">
        <v>384</v>
      </c>
      <c r="B388" s="247" t="s">
        <v>348</v>
      </c>
      <c r="C388" s="247" t="s">
        <v>348</v>
      </c>
      <c r="D388" s="311" t="s">
        <v>92</v>
      </c>
      <c r="E388" s="311" t="s">
        <v>3023</v>
      </c>
      <c r="F388" s="311" t="s">
        <v>2434</v>
      </c>
      <c r="G388" s="311" t="s">
        <v>3216</v>
      </c>
      <c r="H388" s="311" t="s">
        <v>3059</v>
      </c>
      <c r="I388" s="317" t="s">
        <v>3217</v>
      </c>
      <c r="J388" s="311" t="s">
        <v>30</v>
      </c>
      <c r="K388" s="311"/>
      <c r="L388" s="311" t="s">
        <v>336</v>
      </c>
      <c r="M388" s="308">
        <v>760429</v>
      </c>
      <c r="N388" s="311">
        <v>1</v>
      </c>
      <c r="O388" s="311" t="s">
        <v>2572</v>
      </c>
      <c r="P388" s="311" t="s">
        <v>34</v>
      </c>
      <c r="Q388" s="325"/>
      <c r="R388" s="319">
        <v>1201.9550376486229</v>
      </c>
      <c r="S388" s="325"/>
      <c r="T388" s="311" t="s">
        <v>34</v>
      </c>
      <c r="U388" s="317"/>
    </row>
    <row r="389" spans="1:21" s="318" customFormat="1" ht="14.1" customHeight="1">
      <c r="A389" s="311">
        <v>385</v>
      </c>
      <c r="B389" s="247" t="s">
        <v>348</v>
      </c>
      <c r="C389" s="247" t="s">
        <v>348</v>
      </c>
      <c r="D389" s="311" t="s">
        <v>92</v>
      </c>
      <c r="E389" s="311" t="s">
        <v>3023</v>
      </c>
      <c r="F389" s="311" t="s">
        <v>2434</v>
      </c>
      <c r="G389" s="311" t="s">
        <v>3218</v>
      </c>
      <c r="H389" s="311" t="s">
        <v>3059</v>
      </c>
      <c r="I389" s="317" t="s">
        <v>3219</v>
      </c>
      <c r="J389" s="311" t="s">
        <v>30</v>
      </c>
      <c r="K389" s="311"/>
      <c r="L389" s="311" t="s">
        <v>336</v>
      </c>
      <c r="M389" s="308">
        <v>760429</v>
      </c>
      <c r="N389" s="311">
        <v>1</v>
      </c>
      <c r="O389" s="311" t="s">
        <v>2572</v>
      </c>
      <c r="P389" s="311" t="s">
        <v>34</v>
      </c>
      <c r="Q389" s="325"/>
      <c r="R389" s="319">
        <v>630.02104203886938</v>
      </c>
      <c r="S389" s="325"/>
      <c r="T389" s="311" t="s">
        <v>34</v>
      </c>
      <c r="U389" s="317"/>
    </row>
    <row r="390" spans="1:21" s="318" customFormat="1" ht="14.1" customHeight="1">
      <c r="A390" s="311">
        <v>386</v>
      </c>
      <c r="B390" s="247" t="s">
        <v>348</v>
      </c>
      <c r="C390" s="247" t="s">
        <v>348</v>
      </c>
      <c r="D390" s="311" t="s">
        <v>92</v>
      </c>
      <c r="E390" s="311" t="s">
        <v>3023</v>
      </c>
      <c r="F390" s="311" t="s">
        <v>2434</v>
      </c>
      <c r="G390" s="311" t="s">
        <v>3220</v>
      </c>
      <c r="H390" s="311" t="s">
        <v>3059</v>
      </c>
      <c r="I390" s="317" t="s">
        <v>3221</v>
      </c>
      <c r="J390" s="311" t="s">
        <v>30</v>
      </c>
      <c r="K390" s="311"/>
      <c r="L390" s="311" t="s">
        <v>336</v>
      </c>
      <c r="M390" s="308">
        <v>760429</v>
      </c>
      <c r="N390" s="311">
        <v>1</v>
      </c>
      <c r="O390" s="311" t="s">
        <v>2572</v>
      </c>
      <c r="P390" s="311" t="s">
        <v>34</v>
      </c>
      <c r="Q390" s="325"/>
      <c r="R390" s="319">
        <v>1340.4703022103599</v>
      </c>
      <c r="S390" s="325"/>
      <c r="T390" s="311" t="s">
        <v>34</v>
      </c>
      <c r="U390" s="317"/>
    </row>
    <row r="391" spans="1:21" s="318" customFormat="1" ht="14.1" customHeight="1">
      <c r="A391" s="311">
        <v>387</v>
      </c>
      <c r="B391" s="247" t="s">
        <v>348</v>
      </c>
      <c r="C391" s="247" t="s">
        <v>348</v>
      </c>
      <c r="D391" s="311" t="s">
        <v>92</v>
      </c>
      <c r="E391" s="311" t="s">
        <v>3023</v>
      </c>
      <c r="F391" s="311" t="s">
        <v>2434</v>
      </c>
      <c r="G391" s="311" t="s">
        <v>3222</v>
      </c>
      <c r="H391" s="311" t="s">
        <v>2975</v>
      </c>
      <c r="I391" s="317" t="s">
        <v>3223</v>
      </c>
      <c r="J391" s="311" t="s">
        <v>30</v>
      </c>
      <c r="K391" s="311" t="s">
        <v>520</v>
      </c>
      <c r="L391" s="311" t="s">
        <v>336</v>
      </c>
      <c r="M391" s="308">
        <v>760429</v>
      </c>
      <c r="N391" s="311">
        <v>1</v>
      </c>
      <c r="O391" s="311" t="s">
        <v>2572</v>
      </c>
      <c r="P391" s="311" t="s">
        <v>34</v>
      </c>
      <c r="Q391" s="325"/>
      <c r="R391" s="319">
        <v>962.90450042110876</v>
      </c>
      <c r="S391" s="325"/>
      <c r="T391" s="311" t="s">
        <v>34</v>
      </c>
      <c r="U391" s="317"/>
    </row>
    <row r="392" spans="1:21" s="318" customFormat="1" ht="14.1" customHeight="1">
      <c r="A392" s="311">
        <v>388</v>
      </c>
      <c r="B392" s="247" t="s">
        <v>348</v>
      </c>
      <c r="C392" s="247" t="s">
        <v>348</v>
      </c>
      <c r="D392" s="311" t="s">
        <v>92</v>
      </c>
      <c r="E392" s="311" t="s">
        <v>3023</v>
      </c>
      <c r="F392" s="311" t="s">
        <v>2434</v>
      </c>
      <c r="G392" s="311" t="s">
        <v>3224</v>
      </c>
      <c r="H392" s="311" t="s">
        <v>3031</v>
      </c>
      <c r="I392" s="317" t="s">
        <v>3225</v>
      </c>
      <c r="J392" s="311" t="s">
        <v>30</v>
      </c>
      <c r="K392" s="311"/>
      <c r="L392" s="311" t="s">
        <v>336</v>
      </c>
      <c r="M392" s="308">
        <v>760429</v>
      </c>
      <c r="N392" s="311">
        <v>1</v>
      </c>
      <c r="O392" s="311" t="s">
        <v>2572</v>
      </c>
      <c r="P392" s="311" t="s">
        <v>34</v>
      </c>
      <c r="Q392" s="325"/>
      <c r="R392" s="319">
        <v>1201.9550376486229</v>
      </c>
      <c r="S392" s="325"/>
      <c r="T392" s="311" t="s">
        <v>34</v>
      </c>
      <c r="U392" s="317"/>
    </row>
    <row r="393" spans="1:21" s="318" customFormat="1" ht="14.1" customHeight="1">
      <c r="A393" s="311">
        <v>389</v>
      </c>
      <c r="B393" s="247" t="s">
        <v>348</v>
      </c>
      <c r="C393" s="247" t="s">
        <v>348</v>
      </c>
      <c r="D393" s="311" t="s">
        <v>92</v>
      </c>
      <c r="E393" s="311" t="s">
        <v>3023</v>
      </c>
      <c r="F393" s="311" t="s">
        <v>2434</v>
      </c>
      <c r="G393" s="311" t="s">
        <v>3226</v>
      </c>
      <c r="H393" s="311" t="s">
        <v>3052</v>
      </c>
      <c r="I393" s="317" t="s">
        <v>3227</v>
      </c>
      <c r="J393" s="311" t="s">
        <v>30</v>
      </c>
      <c r="K393" s="311"/>
      <c r="L393" s="311" t="s">
        <v>336</v>
      </c>
      <c r="M393" s="308">
        <v>760429</v>
      </c>
      <c r="N393" s="311">
        <v>1</v>
      </c>
      <c r="O393" s="311" t="s">
        <v>2572</v>
      </c>
      <c r="P393" s="311" t="s">
        <v>34</v>
      </c>
      <c r="Q393" s="325"/>
      <c r="R393" s="319">
        <v>1201.9550376486229</v>
      </c>
      <c r="S393" s="325"/>
      <c r="T393" s="311" t="s">
        <v>34</v>
      </c>
      <c r="U393" s="317"/>
    </row>
    <row r="394" spans="1:21" s="318" customFormat="1" ht="14.1" customHeight="1">
      <c r="A394" s="311">
        <v>390</v>
      </c>
      <c r="B394" s="247" t="s">
        <v>348</v>
      </c>
      <c r="C394" s="247" t="s">
        <v>348</v>
      </c>
      <c r="D394" s="311" t="s">
        <v>92</v>
      </c>
      <c r="E394" s="311" t="s">
        <v>3023</v>
      </c>
      <c r="F394" s="311" t="s">
        <v>2434</v>
      </c>
      <c r="G394" s="311" t="s">
        <v>3228</v>
      </c>
      <c r="H394" s="311" t="s">
        <v>3096</v>
      </c>
      <c r="I394" s="317" t="s">
        <v>3229</v>
      </c>
      <c r="J394" s="311" t="s">
        <v>30</v>
      </c>
      <c r="K394" s="311"/>
      <c r="L394" s="311" t="s">
        <v>336</v>
      </c>
      <c r="M394" s="308">
        <v>760429</v>
      </c>
      <c r="N394" s="311">
        <v>1</v>
      </c>
      <c r="O394" s="311" t="s">
        <v>2572</v>
      </c>
      <c r="P394" s="311" t="s">
        <v>34</v>
      </c>
      <c r="Q394" s="325"/>
      <c r="R394" s="319">
        <v>1201.9550376486229</v>
      </c>
      <c r="S394" s="325"/>
      <c r="T394" s="311" t="s">
        <v>34</v>
      </c>
      <c r="U394" s="317"/>
    </row>
    <row r="395" spans="1:21" s="318" customFormat="1" ht="14.1" customHeight="1">
      <c r="A395" s="311">
        <v>391</v>
      </c>
      <c r="B395" s="247" t="s">
        <v>348</v>
      </c>
      <c r="C395" s="247" t="s">
        <v>348</v>
      </c>
      <c r="D395" s="311" t="s">
        <v>92</v>
      </c>
      <c r="E395" s="311" t="s">
        <v>3023</v>
      </c>
      <c r="F395" s="311" t="s">
        <v>2434</v>
      </c>
      <c r="G395" s="311" t="s">
        <v>3230</v>
      </c>
      <c r="H395" s="311" t="s">
        <v>3059</v>
      </c>
      <c r="I395" s="317" t="s">
        <v>3231</v>
      </c>
      <c r="J395" s="311" t="s">
        <v>30</v>
      </c>
      <c r="K395" s="311"/>
      <c r="L395" s="311" t="s">
        <v>336</v>
      </c>
      <c r="M395" s="308">
        <v>760429</v>
      </c>
      <c r="N395" s="311">
        <v>1</v>
      </c>
      <c r="O395" s="311" t="s">
        <v>2572</v>
      </c>
      <c r="P395" s="311" t="s">
        <v>34</v>
      </c>
      <c r="Q395" s="325"/>
      <c r="R395" s="319">
        <v>1201.9550376486229</v>
      </c>
      <c r="S395" s="325"/>
      <c r="T395" s="311" t="s">
        <v>34</v>
      </c>
      <c r="U395" s="317"/>
    </row>
    <row r="396" spans="1:21" s="318" customFormat="1" ht="14.1" customHeight="1">
      <c r="A396" s="311">
        <v>392</v>
      </c>
      <c r="B396" s="247" t="s">
        <v>348</v>
      </c>
      <c r="C396" s="247" t="s">
        <v>348</v>
      </c>
      <c r="D396" s="311" t="s">
        <v>92</v>
      </c>
      <c r="E396" s="311" t="s">
        <v>3023</v>
      </c>
      <c r="F396" s="311" t="s">
        <v>2434</v>
      </c>
      <c r="G396" s="311" t="s">
        <v>3232</v>
      </c>
      <c r="H396" s="311" t="s">
        <v>2975</v>
      </c>
      <c r="I396" s="317" t="s">
        <v>3233</v>
      </c>
      <c r="J396" s="311" t="s">
        <v>30</v>
      </c>
      <c r="K396" s="311" t="s">
        <v>520</v>
      </c>
      <c r="L396" s="311" t="s">
        <v>336</v>
      </c>
      <c r="M396" s="308">
        <v>760429</v>
      </c>
      <c r="N396" s="311">
        <v>1</v>
      </c>
      <c r="O396" s="311" t="s">
        <v>2572</v>
      </c>
      <c r="P396" s="311" t="s">
        <v>34</v>
      </c>
      <c r="R396" s="319">
        <v>1172.9115144340651</v>
      </c>
      <c r="S396" s="325"/>
      <c r="T396" s="311" t="s">
        <v>34</v>
      </c>
      <c r="U396" s="317"/>
    </row>
    <row r="397" spans="1:21" s="318" customFormat="1" ht="14.1" customHeight="1">
      <c r="A397" s="311">
        <v>393</v>
      </c>
      <c r="B397" s="247" t="s">
        <v>348</v>
      </c>
      <c r="C397" s="247" t="s">
        <v>348</v>
      </c>
      <c r="D397" s="311" t="s">
        <v>92</v>
      </c>
      <c r="E397" s="311" t="s">
        <v>3023</v>
      </c>
      <c r="F397" s="311" t="s">
        <v>2434</v>
      </c>
      <c r="G397" s="311" t="s">
        <v>3234</v>
      </c>
      <c r="H397" s="311" t="s">
        <v>3031</v>
      </c>
      <c r="I397" s="317" t="s">
        <v>3235</v>
      </c>
      <c r="J397" s="311" t="s">
        <v>30</v>
      </c>
      <c r="K397" s="311"/>
      <c r="L397" s="311" t="s">
        <v>336</v>
      </c>
      <c r="M397" s="308">
        <v>760429</v>
      </c>
      <c r="N397" s="311">
        <v>1</v>
      </c>
      <c r="O397" s="311" t="s">
        <v>2572</v>
      </c>
      <c r="P397" s="311" t="s">
        <v>34</v>
      </c>
      <c r="R397" s="319">
        <v>1340.4703022103599</v>
      </c>
      <c r="S397" s="325"/>
      <c r="T397" s="311" t="s">
        <v>34</v>
      </c>
      <c r="U397" s="317"/>
    </row>
    <row r="398" spans="1:21" s="318" customFormat="1" ht="14.1" customHeight="1">
      <c r="A398" s="311">
        <v>394</v>
      </c>
      <c r="B398" s="247" t="s">
        <v>348</v>
      </c>
      <c r="C398" s="247" t="s">
        <v>348</v>
      </c>
      <c r="D398" s="311" t="s">
        <v>92</v>
      </c>
      <c r="E398" s="311" t="s">
        <v>3023</v>
      </c>
      <c r="F398" s="311" t="s">
        <v>2434</v>
      </c>
      <c r="G398" s="311" t="s">
        <v>3236</v>
      </c>
      <c r="H398" s="311" t="s">
        <v>3052</v>
      </c>
      <c r="I398" s="317" t="s">
        <v>3237</v>
      </c>
      <c r="J398" s="311" t="s">
        <v>30</v>
      </c>
      <c r="K398" s="311"/>
      <c r="L398" s="311" t="s">
        <v>336</v>
      </c>
      <c r="M398" s="308">
        <v>760429</v>
      </c>
      <c r="N398" s="311">
        <v>1</v>
      </c>
      <c r="O398" s="311" t="s">
        <v>2572</v>
      </c>
      <c r="P398" s="311" t="s">
        <v>34</v>
      </c>
      <c r="R398" s="319">
        <v>1340.4703022103599</v>
      </c>
      <c r="S398" s="325"/>
      <c r="T398" s="311" t="s">
        <v>34</v>
      </c>
      <c r="U398" s="317"/>
    </row>
    <row r="399" spans="1:21" s="318" customFormat="1" ht="14.1" customHeight="1">
      <c r="A399" s="311">
        <v>395</v>
      </c>
      <c r="B399" s="247" t="s">
        <v>348</v>
      </c>
      <c r="C399" s="247" t="s">
        <v>348</v>
      </c>
      <c r="D399" s="311" t="s">
        <v>92</v>
      </c>
      <c r="E399" s="311" t="s">
        <v>3023</v>
      </c>
      <c r="F399" s="311" t="s">
        <v>2434</v>
      </c>
      <c r="G399" s="311" t="s">
        <v>3238</v>
      </c>
      <c r="H399" s="311" t="s">
        <v>3096</v>
      </c>
      <c r="I399" s="317" t="s">
        <v>3239</v>
      </c>
      <c r="J399" s="311" t="s">
        <v>30</v>
      </c>
      <c r="K399" s="311"/>
      <c r="L399" s="311" t="s">
        <v>336</v>
      </c>
      <c r="M399" s="308">
        <v>760429</v>
      </c>
      <c r="N399" s="311">
        <v>1</v>
      </c>
      <c r="O399" s="311" t="s">
        <v>2572</v>
      </c>
      <c r="P399" s="311" t="s">
        <v>34</v>
      </c>
      <c r="R399" s="319">
        <v>1340.4703022103599</v>
      </c>
      <c r="S399" s="325"/>
      <c r="T399" s="311" t="s">
        <v>34</v>
      </c>
      <c r="U399" s="317"/>
    </row>
    <row r="400" spans="1:21" s="318" customFormat="1" ht="14.1" customHeight="1">
      <c r="A400" s="311">
        <v>396</v>
      </c>
      <c r="B400" s="247" t="s">
        <v>348</v>
      </c>
      <c r="C400" s="247" t="s">
        <v>348</v>
      </c>
      <c r="D400" s="311" t="s">
        <v>92</v>
      </c>
      <c r="E400" s="311" t="s">
        <v>3023</v>
      </c>
      <c r="F400" s="311" t="s">
        <v>2434</v>
      </c>
      <c r="G400" s="311" t="s">
        <v>3240</v>
      </c>
      <c r="H400" s="311" t="s">
        <v>3059</v>
      </c>
      <c r="I400" s="317" t="s">
        <v>3241</v>
      </c>
      <c r="J400" s="311" t="s">
        <v>30</v>
      </c>
      <c r="K400" s="311"/>
      <c r="L400" s="311" t="s">
        <v>336</v>
      </c>
      <c r="M400" s="308">
        <v>760429</v>
      </c>
      <c r="N400" s="311">
        <v>1</v>
      </c>
      <c r="O400" s="311" t="s">
        <v>2572</v>
      </c>
      <c r="P400" s="311" t="s">
        <v>34</v>
      </c>
      <c r="R400" s="319">
        <v>1340.4703022103599</v>
      </c>
      <c r="S400" s="325"/>
      <c r="T400" s="311" t="s">
        <v>34</v>
      </c>
      <c r="U400" s="317"/>
    </row>
    <row r="401" spans="1:21" s="318" customFormat="1" ht="14.1" customHeight="1">
      <c r="A401" s="311">
        <v>397</v>
      </c>
      <c r="B401" s="247" t="s">
        <v>348</v>
      </c>
      <c r="C401" s="247" t="s">
        <v>348</v>
      </c>
      <c r="D401" s="311" t="s">
        <v>92</v>
      </c>
      <c r="E401" s="311" t="s">
        <v>3023</v>
      </c>
      <c r="F401" s="311" t="s">
        <v>2434</v>
      </c>
      <c r="G401" s="311" t="s">
        <v>3242</v>
      </c>
      <c r="H401" s="311" t="s">
        <v>2975</v>
      </c>
      <c r="I401" s="317" t="s">
        <v>3243</v>
      </c>
      <c r="J401" s="311" t="s">
        <v>30</v>
      </c>
      <c r="K401" s="311" t="s">
        <v>520</v>
      </c>
      <c r="L401" s="311" t="s">
        <v>336</v>
      </c>
      <c r="M401" s="308">
        <v>760429</v>
      </c>
      <c r="N401" s="311">
        <v>1</v>
      </c>
      <c r="O401" s="311" t="s">
        <v>2572</v>
      </c>
      <c r="P401" s="311" t="s">
        <v>34</v>
      </c>
      <c r="R401" s="319">
        <v>547.35870673589716</v>
      </c>
      <c r="S401" s="325"/>
      <c r="T401" s="311" t="s">
        <v>34</v>
      </c>
      <c r="U401" s="317"/>
    </row>
    <row r="402" spans="1:21" s="318" customFormat="1" ht="14.1" customHeight="1">
      <c r="A402" s="311">
        <v>398</v>
      </c>
      <c r="B402" s="247" t="s">
        <v>348</v>
      </c>
      <c r="C402" s="247" t="s">
        <v>348</v>
      </c>
      <c r="D402" s="311" t="s">
        <v>92</v>
      </c>
      <c r="E402" s="311" t="s">
        <v>3023</v>
      </c>
      <c r="F402" s="311" t="s">
        <v>2434</v>
      </c>
      <c r="G402" s="311" t="s">
        <v>3244</v>
      </c>
      <c r="H402" s="311" t="s">
        <v>3031</v>
      </c>
      <c r="I402" s="317" t="s">
        <v>3245</v>
      </c>
      <c r="J402" s="311" t="s">
        <v>30</v>
      </c>
      <c r="K402" s="311"/>
      <c r="L402" s="311" t="s">
        <v>336</v>
      </c>
      <c r="M402" s="308">
        <v>760429</v>
      </c>
      <c r="N402" s="311">
        <v>1</v>
      </c>
      <c r="O402" s="311" t="s">
        <v>2572</v>
      </c>
      <c r="P402" s="311" t="s">
        <v>34</v>
      </c>
      <c r="R402" s="319">
        <v>630.02104203886938</v>
      </c>
      <c r="S402" s="325"/>
      <c r="T402" s="311" t="s">
        <v>34</v>
      </c>
      <c r="U402" s="317"/>
    </row>
    <row r="403" spans="1:21" s="318" customFormat="1" ht="14.1" customHeight="1">
      <c r="A403" s="311">
        <v>399</v>
      </c>
      <c r="B403" s="247" t="s">
        <v>348</v>
      </c>
      <c r="C403" s="247" t="s">
        <v>348</v>
      </c>
      <c r="D403" s="311" t="s">
        <v>92</v>
      </c>
      <c r="E403" s="311" t="s">
        <v>3023</v>
      </c>
      <c r="F403" s="311" t="s">
        <v>2434</v>
      </c>
      <c r="G403" s="311" t="s">
        <v>3246</v>
      </c>
      <c r="H403" s="311" t="s">
        <v>3052</v>
      </c>
      <c r="I403" s="317" t="s">
        <v>3247</v>
      </c>
      <c r="J403" s="311" t="s">
        <v>30</v>
      </c>
      <c r="K403" s="311"/>
      <c r="L403" s="311" t="s">
        <v>336</v>
      </c>
      <c r="M403" s="308">
        <v>760429</v>
      </c>
      <c r="N403" s="311">
        <v>1</v>
      </c>
      <c r="O403" s="311" t="s">
        <v>2572</v>
      </c>
      <c r="P403" s="311" t="s">
        <v>34</v>
      </c>
      <c r="R403" s="319">
        <v>630.02104203886938</v>
      </c>
      <c r="S403" s="325"/>
      <c r="T403" s="311" t="s">
        <v>34</v>
      </c>
      <c r="U403" s="317"/>
    </row>
    <row r="404" spans="1:21" s="318" customFormat="1" ht="14.1" customHeight="1">
      <c r="A404" s="311">
        <v>400</v>
      </c>
      <c r="B404" s="247" t="s">
        <v>348</v>
      </c>
      <c r="C404" s="247" t="s">
        <v>348</v>
      </c>
      <c r="D404" s="311" t="s">
        <v>92</v>
      </c>
      <c r="E404" s="311" t="s">
        <v>3023</v>
      </c>
      <c r="F404" s="311" t="s">
        <v>2434</v>
      </c>
      <c r="G404" s="311" t="s">
        <v>3248</v>
      </c>
      <c r="H404" s="311" t="s">
        <v>3096</v>
      </c>
      <c r="I404" s="317" t="s">
        <v>3249</v>
      </c>
      <c r="J404" s="311" t="s">
        <v>30</v>
      </c>
      <c r="K404" s="311"/>
      <c r="L404" s="311" t="s">
        <v>336</v>
      </c>
      <c r="M404" s="308">
        <v>760429</v>
      </c>
      <c r="N404" s="311">
        <v>1</v>
      </c>
      <c r="O404" s="311" t="s">
        <v>2572</v>
      </c>
      <c r="P404" s="311" t="s">
        <v>34</v>
      </c>
      <c r="R404" s="319">
        <v>630.02104203886938</v>
      </c>
      <c r="S404" s="325"/>
      <c r="T404" s="311" t="s">
        <v>34</v>
      </c>
      <c r="U404" s="317"/>
    </row>
    <row r="405" spans="1:21" s="318" customFormat="1" ht="14.1" customHeight="1">
      <c r="A405" s="311">
        <v>401</v>
      </c>
      <c r="B405" s="247" t="s">
        <v>348</v>
      </c>
      <c r="C405" s="247" t="s">
        <v>348</v>
      </c>
      <c r="D405" s="311" t="s">
        <v>92</v>
      </c>
      <c r="E405" s="311" t="s">
        <v>3023</v>
      </c>
      <c r="F405" s="311" t="s">
        <v>2434</v>
      </c>
      <c r="G405" s="311" t="s">
        <v>3250</v>
      </c>
      <c r="H405" s="311" t="s">
        <v>3059</v>
      </c>
      <c r="I405" s="317" t="s">
        <v>3251</v>
      </c>
      <c r="J405" s="311" t="s">
        <v>30</v>
      </c>
      <c r="K405" s="311"/>
      <c r="L405" s="311" t="s">
        <v>336</v>
      </c>
      <c r="M405" s="308">
        <v>760429</v>
      </c>
      <c r="N405" s="311">
        <v>1</v>
      </c>
      <c r="O405" s="311" t="s">
        <v>2572</v>
      </c>
      <c r="P405" s="311" t="s">
        <v>34</v>
      </c>
      <c r="R405" s="319">
        <v>630.02104203886938</v>
      </c>
      <c r="S405" s="325"/>
      <c r="T405" s="311" t="s">
        <v>34</v>
      </c>
      <c r="U405" s="317"/>
    </row>
    <row r="406" spans="1:21" s="318" customFormat="1" ht="14.1" customHeight="1">
      <c r="A406" s="311">
        <v>402</v>
      </c>
      <c r="B406" s="247" t="s">
        <v>348</v>
      </c>
      <c r="C406" s="247" t="s">
        <v>348</v>
      </c>
      <c r="D406" s="311" t="s">
        <v>92</v>
      </c>
      <c r="E406" s="311" t="s">
        <v>3023</v>
      </c>
      <c r="F406" s="311" t="s">
        <v>2434</v>
      </c>
      <c r="G406" s="311" t="s">
        <v>3252</v>
      </c>
      <c r="H406" s="311" t="s">
        <v>2975</v>
      </c>
      <c r="I406" s="317" t="s">
        <v>3253</v>
      </c>
      <c r="J406" s="311" t="s">
        <v>30</v>
      </c>
      <c r="K406" s="311" t="s">
        <v>520</v>
      </c>
      <c r="L406" s="311" t="s">
        <v>336</v>
      </c>
      <c r="M406" s="308">
        <v>760429</v>
      </c>
      <c r="N406" s="311">
        <v>1</v>
      </c>
      <c r="O406" s="311" t="s">
        <v>2572</v>
      </c>
      <c r="P406" s="311" t="s">
        <v>34</v>
      </c>
      <c r="R406" s="319">
        <v>4171.0967570445709</v>
      </c>
      <c r="S406" s="325"/>
      <c r="T406" s="311" t="s">
        <v>34</v>
      </c>
      <c r="U406" s="317"/>
    </row>
    <row r="407" spans="1:21" s="318" customFormat="1" ht="14.1" customHeight="1">
      <c r="A407" s="311">
        <v>403</v>
      </c>
      <c r="B407" s="247" t="s">
        <v>348</v>
      </c>
      <c r="C407" s="247" t="s">
        <v>348</v>
      </c>
      <c r="D407" s="311" t="s">
        <v>92</v>
      </c>
      <c r="E407" s="311" t="s">
        <v>3023</v>
      </c>
      <c r="F407" s="311" t="s">
        <v>2434</v>
      </c>
      <c r="G407" s="311" t="s">
        <v>3254</v>
      </c>
      <c r="H407" s="311" t="s">
        <v>3031</v>
      </c>
      <c r="I407" s="317" t="s">
        <v>3255</v>
      </c>
      <c r="J407" s="311" t="s">
        <v>30</v>
      </c>
      <c r="K407" s="311"/>
      <c r="L407" s="311" t="s">
        <v>336</v>
      </c>
      <c r="M407" s="308">
        <v>760429</v>
      </c>
      <c r="N407" s="311">
        <v>1</v>
      </c>
      <c r="O407" s="311" t="s">
        <v>2572</v>
      </c>
      <c r="P407" s="311" t="s">
        <v>34</v>
      </c>
      <c r="R407" s="319">
        <v>4807.8201505944926</v>
      </c>
      <c r="S407" s="325"/>
      <c r="T407" s="311" t="s">
        <v>34</v>
      </c>
      <c r="U407" s="317"/>
    </row>
    <row r="408" spans="1:21" s="318" customFormat="1" ht="14.1" customHeight="1">
      <c r="A408" s="311">
        <v>404</v>
      </c>
      <c r="B408" s="247" t="s">
        <v>348</v>
      </c>
      <c r="C408" s="247" t="s">
        <v>348</v>
      </c>
      <c r="D408" s="311" t="s">
        <v>92</v>
      </c>
      <c r="E408" s="311" t="s">
        <v>3023</v>
      </c>
      <c r="F408" s="311" t="s">
        <v>2434</v>
      </c>
      <c r="G408" s="311" t="s">
        <v>3256</v>
      </c>
      <c r="H408" s="311" t="s">
        <v>3052</v>
      </c>
      <c r="I408" s="317" t="s">
        <v>3257</v>
      </c>
      <c r="J408" s="311" t="s">
        <v>30</v>
      </c>
      <c r="K408" s="311"/>
      <c r="L408" s="311" t="s">
        <v>336</v>
      </c>
      <c r="M408" s="308">
        <v>760429</v>
      </c>
      <c r="N408" s="311">
        <v>1</v>
      </c>
      <c r="O408" s="311" t="s">
        <v>2572</v>
      </c>
      <c r="P408" s="311" t="s">
        <v>34</v>
      </c>
      <c r="R408" s="319">
        <v>4807.8201505944926</v>
      </c>
      <c r="S408" s="325"/>
      <c r="T408" s="311" t="s">
        <v>34</v>
      </c>
      <c r="U408" s="317"/>
    </row>
    <row r="409" spans="1:21" s="318" customFormat="1" ht="14.1" customHeight="1">
      <c r="A409" s="311">
        <v>405</v>
      </c>
      <c r="B409" s="247" t="s">
        <v>348</v>
      </c>
      <c r="C409" s="247" t="s">
        <v>348</v>
      </c>
      <c r="D409" s="311" t="s">
        <v>92</v>
      </c>
      <c r="E409" s="311" t="s">
        <v>3023</v>
      </c>
      <c r="F409" s="311" t="s">
        <v>2434</v>
      </c>
      <c r="G409" s="311" t="s">
        <v>3258</v>
      </c>
      <c r="H409" s="311" t="s">
        <v>3096</v>
      </c>
      <c r="I409" s="317" t="s">
        <v>3259</v>
      </c>
      <c r="J409" s="311" t="s">
        <v>30</v>
      </c>
      <c r="K409" s="311"/>
      <c r="L409" s="311" t="s">
        <v>336</v>
      </c>
      <c r="M409" s="308">
        <v>760429</v>
      </c>
      <c r="N409" s="311">
        <v>1</v>
      </c>
      <c r="O409" s="311" t="s">
        <v>2572</v>
      </c>
      <c r="P409" s="311" t="s">
        <v>34</v>
      </c>
      <c r="R409" s="319">
        <v>4807.8201505944926</v>
      </c>
      <c r="S409" s="325"/>
      <c r="T409" s="311" t="s">
        <v>34</v>
      </c>
      <c r="U409" s="317"/>
    </row>
    <row r="410" spans="1:21" s="318" customFormat="1" ht="14.1" customHeight="1">
      <c r="A410" s="311">
        <v>406</v>
      </c>
      <c r="B410" s="247" t="s">
        <v>348</v>
      </c>
      <c r="C410" s="247" t="s">
        <v>348</v>
      </c>
      <c r="D410" s="311" t="s">
        <v>92</v>
      </c>
      <c r="E410" s="311" t="s">
        <v>3023</v>
      </c>
      <c r="F410" s="311" t="s">
        <v>2434</v>
      </c>
      <c r="G410" s="311" t="s">
        <v>3260</v>
      </c>
      <c r="H410" s="311" t="s">
        <v>2975</v>
      </c>
      <c r="I410" s="317" t="s">
        <v>3261</v>
      </c>
      <c r="J410" s="311" t="s">
        <v>30</v>
      </c>
      <c r="K410" s="311" t="s">
        <v>520</v>
      </c>
      <c r="L410" s="311" t="s">
        <v>336</v>
      </c>
      <c r="M410" s="308">
        <v>760429</v>
      </c>
      <c r="N410" s="311">
        <v>1</v>
      </c>
      <c r="O410" s="311" t="s">
        <v>2572</v>
      </c>
      <c r="P410" s="311" t="s">
        <v>34</v>
      </c>
      <c r="R410" s="319">
        <v>1639.8420030373411</v>
      </c>
      <c r="S410" s="325"/>
      <c r="T410" s="311" t="s">
        <v>34</v>
      </c>
      <c r="U410" s="317"/>
    </row>
    <row r="411" spans="1:21" s="318" customFormat="1" ht="14.1" customHeight="1">
      <c r="A411" s="311">
        <v>407</v>
      </c>
      <c r="B411" s="247" t="s">
        <v>348</v>
      </c>
      <c r="C411" s="247" t="s">
        <v>348</v>
      </c>
      <c r="D411" s="311" t="s">
        <v>92</v>
      </c>
      <c r="E411" s="311" t="s">
        <v>3023</v>
      </c>
      <c r="F411" s="311" t="s">
        <v>2434</v>
      </c>
      <c r="G411" s="311" t="s">
        <v>3262</v>
      </c>
      <c r="H411" s="311" t="s">
        <v>2975</v>
      </c>
      <c r="I411" s="317" t="s">
        <v>3263</v>
      </c>
      <c r="J411" s="311" t="s">
        <v>30</v>
      </c>
      <c r="K411" s="311" t="s">
        <v>520</v>
      </c>
      <c r="L411" s="311" t="s">
        <v>336</v>
      </c>
      <c r="M411" s="308">
        <v>760429</v>
      </c>
      <c r="N411" s="311">
        <v>1</v>
      </c>
      <c r="O411" s="311" t="s">
        <v>2572</v>
      </c>
      <c r="P411" s="311" t="s">
        <v>34</v>
      </c>
      <c r="R411" s="319">
        <v>1838.6784311985441</v>
      </c>
      <c r="S411" s="325"/>
      <c r="T411" s="311" t="s">
        <v>34</v>
      </c>
      <c r="U411" s="317"/>
    </row>
    <row r="412" spans="1:21" s="318" customFormat="1" ht="14.1" customHeight="1">
      <c r="A412" s="311">
        <v>408</v>
      </c>
      <c r="B412" s="247" t="s">
        <v>348</v>
      </c>
      <c r="C412" s="247" t="s">
        <v>348</v>
      </c>
      <c r="D412" s="311" t="s">
        <v>92</v>
      </c>
      <c r="E412" s="311" t="s">
        <v>3023</v>
      </c>
      <c r="F412" s="311" t="s">
        <v>2434</v>
      </c>
      <c r="G412" s="311" t="s">
        <v>3264</v>
      </c>
      <c r="H412" s="311" t="s">
        <v>2975</v>
      </c>
      <c r="I412" s="317" t="s">
        <v>3265</v>
      </c>
      <c r="J412" s="311" t="s">
        <v>30</v>
      </c>
      <c r="K412" s="311" t="s">
        <v>520</v>
      </c>
      <c r="L412" s="311" t="s">
        <v>336</v>
      </c>
      <c r="M412" s="308">
        <v>760429</v>
      </c>
      <c r="N412" s="311">
        <v>1</v>
      </c>
      <c r="O412" s="311" t="s">
        <v>2572</v>
      </c>
      <c r="P412" s="311" t="s">
        <v>34</v>
      </c>
      <c r="R412" s="319">
        <v>761.83395508955482</v>
      </c>
      <c r="S412" s="325"/>
      <c r="T412" s="311" t="s">
        <v>34</v>
      </c>
      <c r="U412" s="317"/>
    </row>
    <row r="413" spans="1:21" s="318" customFormat="1" ht="14.1" customHeight="1">
      <c r="A413" s="311">
        <v>409</v>
      </c>
      <c r="B413" s="247" t="s">
        <v>348</v>
      </c>
      <c r="C413" s="247" t="s">
        <v>348</v>
      </c>
      <c r="D413" s="311" t="s">
        <v>92</v>
      </c>
      <c r="E413" s="311" t="s">
        <v>3023</v>
      </c>
      <c r="F413" s="311" t="s">
        <v>2434</v>
      </c>
      <c r="G413" s="311" t="s">
        <v>3266</v>
      </c>
      <c r="H413" s="311" t="s">
        <v>3031</v>
      </c>
      <c r="I413" s="317" t="s">
        <v>3267</v>
      </c>
      <c r="J413" s="311" t="s">
        <v>30</v>
      </c>
      <c r="K413" s="311"/>
      <c r="L413" s="311" t="s">
        <v>336</v>
      </c>
      <c r="M413" s="308">
        <v>760429</v>
      </c>
      <c r="N413" s="311">
        <v>1</v>
      </c>
      <c r="O413" s="311" t="s">
        <v>2572</v>
      </c>
      <c r="P413" s="311" t="s">
        <v>34</v>
      </c>
      <c r="R413" s="319">
        <v>1805.1666736432851</v>
      </c>
      <c r="S413" s="325"/>
      <c r="T413" s="311" t="s">
        <v>34</v>
      </c>
      <c r="U413" s="317"/>
    </row>
    <row r="414" spans="1:21" s="318" customFormat="1" ht="14.1" customHeight="1">
      <c r="A414" s="311">
        <v>410</v>
      </c>
      <c r="B414" s="247" t="s">
        <v>348</v>
      </c>
      <c r="C414" s="247" t="s">
        <v>348</v>
      </c>
      <c r="D414" s="311" t="s">
        <v>92</v>
      </c>
      <c r="E414" s="311" t="s">
        <v>3023</v>
      </c>
      <c r="F414" s="311" t="s">
        <v>2434</v>
      </c>
      <c r="G414" s="311" t="s">
        <v>3268</v>
      </c>
      <c r="H414" s="311" t="s">
        <v>3031</v>
      </c>
      <c r="I414" s="317" t="s">
        <v>3269</v>
      </c>
      <c r="J414" s="311" t="s">
        <v>30</v>
      </c>
      <c r="K414" s="311"/>
      <c r="L414" s="311" t="s">
        <v>336</v>
      </c>
      <c r="M414" s="308">
        <v>760429</v>
      </c>
      <c r="N414" s="311">
        <v>1</v>
      </c>
      <c r="O414" s="311" t="s">
        <v>2572</v>
      </c>
      <c r="P414" s="311" t="s">
        <v>34</v>
      </c>
      <c r="R414" s="319">
        <v>2024.110156337644</v>
      </c>
      <c r="S414" s="325"/>
      <c r="T414" s="311" t="s">
        <v>34</v>
      </c>
      <c r="U414" s="317"/>
    </row>
    <row r="415" spans="1:21" s="318" customFormat="1" ht="14.1" customHeight="1">
      <c r="A415" s="311">
        <v>411</v>
      </c>
      <c r="B415" s="247" t="s">
        <v>348</v>
      </c>
      <c r="C415" s="247" t="s">
        <v>348</v>
      </c>
      <c r="D415" s="311" t="s">
        <v>92</v>
      </c>
      <c r="E415" s="311" t="s">
        <v>3023</v>
      </c>
      <c r="F415" s="311" t="s">
        <v>2434</v>
      </c>
      <c r="G415" s="311" t="s">
        <v>3270</v>
      </c>
      <c r="H415" s="311" t="s">
        <v>2975</v>
      </c>
      <c r="I415" s="317" t="s">
        <v>3271</v>
      </c>
      <c r="J415" s="311" t="s">
        <v>30</v>
      </c>
      <c r="K415" s="311" t="s">
        <v>520</v>
      </c>
      <c r="L415" s="311" t="s">
        <v>336</v>
      </c>
      <c r="M415" s="308">
        <v>761090</v>
      </c>
      <c r="N415" s="311">
        <v>1</v>
      </c>
      <c r="O415" s="311" t="s">
        <v>2572</v>
      </c>
      <c r="P415" s="311" t="s">
        <v>34</v>
      </c>
      <c r="R415" s="319">
        <v>4899.4189545788677</v>
      </c>
      <c r="S415" s="325"/>
      <c r="T415" s="311" t="s">
        <v>34</v>
      </c>
      <c r="U415" s="317"/>
    </row>
    <row r="416" spans="1:21" s="318" customFormat="1" ht="14.1" customHeight="1">
      <c r="A416" s="311">
        <v>412</v>
      </c>
      <c r="B416" s="247" t="s">
        <v>348</v>
      </c>
      <c r="C416" s="247" t="s">
        <v>348</v>
      </c>
      <c r="D416" s="311" t="s">
        <v>92</v>
      </c>
      <c r="E416" s="311" t="s">
        <v>3023</v>
      </c>
      <c r="F416" s="311" t="s">
        <v>2434</v>
      </c>
      <c r="G416" s="311" t="s">
        <v>3272</v>
      </c>
      <c r="H416" s="311" t="s">
        <v>3031</v>
      </c>
      <c r="I416" s="317" t="s">
        <v>3273</v>
      </c>
      <c r="J416" s="311" t="s">
        <v>30</v>
      </c>
      <c r="K416" s="311"/>
      <c r="L416" s="311" t="s">
        <v>336</v>
      </c>
      <c r="M416" s="308">
        <v>760429</v>
      </c>
      <c r="N416" s="311">
        <v>1</v>
      </c>
      <c r="O416" s="311" t="s">
        <v>2572</v>
      </c>
      <c r="P416" s="311" t="s">
        <v>34</v>
      </c>
      <c r="R416" s="319">
        <v>835.55982171112453</v>
      </c>
      <c r="S416" s="325"/>
      <c r="T416" s="311" t="s">
        <v>34</v>
      </c>
      <c r="U416" s="317"/>
    </row>
    <row r="417" spans="1:21" s="318" customFormat="1" ht="14.1" customHeight="1">
      <c r="A417" s="311">
        <v>413</v>
      </c>
      <c r="B417" s="247" t="s">
        <v>348</v>
      </c>
      <c r="C417" s="247" t="s">
        <v>348</v>
      </c>
      <c r="D417" s="311" t="s">
        <v>92</v>
      </c>
      <c r="E417" s="311" t="s">
        <v>3023</v>
      </c>
      <c r="F417" s="311" t="s">
        <v>2434</v>
      </c>
      <c r="G417" s="311" t="s">
        <v>3274</v>
      </c>
      <c r="H417" s="311" t="s">
        <v>3031</v>
      </c>
      <c r="I417" s="317" t="s">
        <v>3275</v>
      </c>
      <c r="J417" s="311" t="s">
        <v>30</v>
      </c>
      <c r="K417" s="311"/>
      <c r="L417" s="311" t="s">
        <v>336</v>
      </c>
      <c r="M417" s="308">
        <v>761090</v>
      </c>
      <c r="N417" s="311">
        <v>1</v>
      </c>
      <c r="O417" s="311" t="s">
        <v>2572</v>
      </c>
      <c r="P417" s="311" t="s">
        <v>34</v>
      </c>
      <c r="R417" s="319">
        <v>5388.6906148856478</v>
      </c>
      <c r="S417" s="325"/>
      <c r="T417" s="311" t="s">
        <v>34</v>
      </c>
      <c r="U417" s="317"/>
    </row>
    <row r="418" spans="1:21" s="318" customFormat="1" ht="14.1" customHeight="1">
      <c r="A418" s="311">
        <v>414</v>
      </c>
      <c r="B418" s="247" t="s">
        <v>348</v>
      </c>
      <c r="C418" s="247" t="s">
        <v>348</v>
      </c>
      <c r="D418" s="311" t="s">
        <v>92</v>
      </c>
      <c r="E418" s="311" t="s">
        <v>3023</v>
      </c>
      <c r="F418" s="311" t="s">
        <v>2434</v>
      </c>
      <c r="G418" s="311" t="s">
        <v>3276</v>
      </c>
      <c r="H418" s="311" t="s">
        <v>3052</v>
      </c>
      <c r="I418" s="317" t="s">
        <v>3277</v>
      </c>
      <c r="J418" s="311" t="s">
        <v>30</v>
      </c>
      <c r="K418" s="311"/>
      <c r="L418" s="311" t="s">
        <v>336</v>
      </c>
      <c r="M418" s="308">
        <v>760429</v>
      </c>
      <c r="N418" s="311">
        <v>1</v>
      </c>
      <c r="O418" s="311" t="s">
        <v>2572</v>
      </c>
      <c r="P418" s="311" t="s">
        <v>34</v>
      </c>
      <c r="R418" s="319">
        <v>1805.1666736432851</v>
      </c>
      <c r="S418" s="325"/>
      <c r="T418" s="311" t="s">
        <v>34</v>
      </c>
      <c r="U418" s="317"/>
    </row>
    <row r="419" spans="1:21" s="318" customFormat="1" ht="14.1" customHeight="1">
      <c r="A419" s="311">
        <v>415</v>
      </c>
      <c r="B419" s="247" t="s">
        <v>348</v>
      </c>
      <c r="C419" s="247" t="s">
        <v>348</v>
      </c>
      <c r="D419" s="311" t="s">
        <v>92</v>
      </c>
      <c r="E419" s="311" t="s">
        <v>3023</v>
      </c>
      <c r="F419" s="311" t="s">
        <v>2434</v>
      </c>
      <c r="G419" s="311" t="s">
        <v>3278</v>
      </c>
      <c r="H419" s="311" t="s">
        <v>3052</v>
      </c>
      <c r="I419" s="317" t="s">
        <v>3279</v>
      </c>
      <c r="J419" s="311" t="s">
        <v>30</v>
      </c>
      <c r="K419" s="311"/>
      <c r="L419" s="311" t="s">
        <v>336</v>
      </c>
      <c r="M419" s="308">
        <v>761090</v>
      </c>
      <c r="N419" s="311">
        <v>1</v>
      </c>
      <c r="O419" s="311" t="s">
        <v>2572</v>
      </c>
      <c r="P419" s="311" t="s">
        <v>34</v>
      </c>
      <c r="R419" s="319">
        <v>5388.6906148856478</v>
      </c>
      <c r="S419" s="325"/>
      <c r="T419" s="311" t="s">
        <v>34</v>
      </c>
      <c r="U419" s="317"/>
    </row>
    <row r="420" spans="1:21" s="318" customFormat="1" ht="14.1" customHeight="1">
      <c r="A420" s="311">
        <v>416</v>
      </c>
      <c r="B420" s="247" t="s">
        <v>348</v>
      </c>
      <c r="C420" s="247" t="s">
        <v>348</v>
      </c>
      <c r="D420" s="311" t="s">
        <v>92</v>
      </c>
      <c r="E420" s="311" t="s">
        <v>3023</v>
      </c>
      <c r="F420" s="311" t="s">
        <v>2434</v>
      </c>
      <c r="G420" s="311" t="s">
        <v>3280</v>
      </c>
      <c r="H420" s="311" t="s">
        <v>3052</v>
      </c>
      <c r="I420" s="317" t="s">
        <v>3281</v>
      </c>
      <c r="J420" s="311" t="s">
        <v>30</v>
      </c>
      <c r="K420" s="311"/>
      <c r="L420" s="311" t="s">
        <v>336</v>
      </c>
      <c r="M420" s="308">
        <v>760429</v>
      </c>
      <c r="N420" s="311">
        <v>1</v>
      </c>
      <c r="O420" s="311" t="s">
        <v>2572</v>
      </c>
      <c r="P420" s="311" t="s">
        <v>34</v>
      </c>
      <c r="R420" s="319">
        <v>2024.110156337644</v>
      </c>
      <c r="S420" s="325"/>
      <c r="T420" s="311" t="s">
        <v>34</v>
      </c>
      <c r="U420" s="317"/>
    </row>
    <row r="421" spans="1:21" s="318" customFormat="1" ht="14.1" customHeight="1">
      <c r="A421" s="311">
        <v>417</v>
      </c>
      <c r="B421" s="247" t="s">
        <v>348</v>
      </c>
      <c r="C421" s="247" t="s">
        <v>348</v>
      </c>
      <c r="D421" s="311" t="s">
        <v>92</v>
      </c>
      <c r="E421" s="311" t="s">
        <v>3023</v>
      </c>
      <c r="F421" s="311" t="s">
        <v>2434</v>
      </c>
      <c r="G421" s="311" t="s">
        <v>3282</v>
      </c>
      <c r="H421" s="311" t="s">
        <v>3096</v>
      </c>
      <c r="I421" s="317" t="s">
        <v>3283</v>
      </c>
      <c r="J421" s="311" t="s">
        <v>30</v>
      </c>
      <c r="K421" s="311"/>
      <c r="L421" s="311" t="s">
        <v>336</v>
      </c>
      <c r="M421" s="308">
        <v>761090</v>
      </c>
      <c r="N421" s="311">
        <v>1</v>
      </c>
      <c r="O421" s="311" t="s">
        <v>2572</v>
      </c>
      <c r="P421" s="311" t="s">
        <v>34</v>
      </c>
      <c r="R421" s="319">
        <v>5388.6906148856478</v>
      </c>
      <c r="S421" s="325"/>
      <c r="T421" s="311" t="s">
        <v>34</v>
      </c>
      <c r="U421" s="317"/>
    </row>
    <row r="422" spans="1:21" s="318" customFormat="1" ht="14.1" customHeight="1">
      <c r="A422" s="311">
        <v>418</v>
      </c>
      <c r="B422" s="247" t="s">
        <v>348</v>
      </c>
      <c r="C422" s="247" t="s">
        <v>348</v>
      </c>
      <c r="D422" s="311" t="s">
        <v>92</v>
      </c>
      <c r="E422" s="311" t="s">
        <v>3023</v>
      </c>
      <c r="F422" s="311" t="s">
        <v>2434</v>
      </c>
      <c r="G422" s="311" t="s">
        <v>3284</v>
      </c>
      <c r="H422" s="311" t="s">
        <v>3052</v>
      </c>
      <c r="I422" s="317" t="s">
        <v>3285</v>
      </c>
      <c r="J422" s="311" t="s">
        <v>30</v>
      </c>
      <c r="K422" s="311"/>
      <c r="L422" s="311" t="s">
        <v>336</v>
      </c>
      <c r="M422" s="308">
        <v>760429</v>
      </c>
      <c r="N422" s="311">
        <v>1</v>
      </c>
      <c r="O422" s="311" t="s">
        <v>2572</v>
      </c>
      <c r="P422" s="311" t="s">
        <v>34</v>
      </c>
      <c r="R422" s="319">
        <v>835.55982171112453</v>
      </c>
      <c r="S422" s="325"/>
      <c r="T422" s="311" t="s">
        <v>34</v>
      </c>
      <c r="U422" s="317"/>
    </row>
    <row r="423" spans="1:21" s="318" customFormat="1" ht="14.1" customHeight="1">
      <c r="A423" s="311">
        <v>419</v>
      </c>
      <c r="B423" s="247" t="s">
        <v>348</v>
      </c>
      <c r="C423" s="247" t="s">
        <v>348</v>
      </c>
      <c r="D423" s="311" t="s">
        <v>92</v>
      </c>
      <c r="E423" s="311" t="s">
        <v>3023</v>
      </c>
      <c r="F423" s="311" t="s">
        <v>2434</v>
      </c>
      <c r="G423" s="311" t="s">
        <v>3286</v>
      </c>
      <c r="H423" s="311" t="s">
        <v>3096</v>
      </c>
      <c r="I423" s="317" t="s">
        <v>3287</v>
      </c>
      <c r="J423" s="311" t="s">
        <v>30</v>
      </c>
      <c r="K423" s="311"/>
      <c r="L423" s="311" t="s">
        <v>336</v>
      </c>
      <c r="M423" s="308">
        <v>760429</v>
      </c>
      <c r="N423" s="311">
        <v>1</v>
      </c>
      <c r="O423" s="311" t="s">
        <v>2572</v>
      </c>
      <c r="P423" s="311" t="s">
        <v>34</v>
      </c>
      <c r="R423" s="319">
        <v>1805.1666736432851</v>
      </c>
      <c r="S423" s="325"/>
      <c r="T423" s="311" t="s">
        <v>34</v>
      </c>
      <c r="U423" s="317"/>
    </row>
    <row r="424" spans="1:21" s="318" customFormat="1" ht="14.1" customHeight="1">
      <c r="A424" s="311">
        <v>420</v>
      </c>
      <c r="B424" s="247" t="s">
        <v>348</v>
      </c>
      <c r="C424" s="247" t="s">
        <v>348</v>
      </c>
      <c r="D424" s="311" t="s">
        <v>92</v>
      </c>
      <c r="E424" s="311" t="s">
        <v>3023</v>
      </c>
      <c r="F424" s="311" t="s">
        <v>2434</v>
      </c>
      <c r="G424" s="311" t="s">
        <v>3288</v>
      </c>
      <c r="H424" s="311" t="s">
        <v>3096</v>
      </c>
      <c r="I424" s="317" t="s">
        <v>3289</v>
      </c>
      <c r="J424" s="311" t="s">
        <v>30</v>
      </c>
      <c r="K424" s="311"/>
      <c r="L424" s="311" t="s">
        <v>336</v>
      </c>
      <c r="M424" s="308">
        <v>760429</v>
      </c>
      <c r="N424" s="311">
        <v>1</v>
      </c>
      <c r="O424" s="311" t="s">
        <v>2572</v>
      </c>
      <c r="P424" s="311" t="s">
        <v>34</v>
      </c>
      <c r="R424" s="319">
        <v>2024.110156337644</v>
      </c>
      <c r="S424" s="325"/>
      <c r="T424" s="311" t="s">
        <v>34</v>
      </c>
      <c r="U424" s="317"/>
    </row>
    <row r="425" spans="1:21" s="318" customFormat="1" ht="14.1" customHeight="1">
      <c r="A425" s="311">
        <v>421</v>
      </c>
      <c r="B425" s="247" t="s">
        <v>348</v>
      </c>
      <c r="C425" s="247" t="s">
        <v>348</v>
      </c>
      <c r="D425" s="311" t="s">
        <v>92</v>
      </c>
      <c r="E425" s="311" t="s">
        <v>3023</v>
      </c>
      <c r="F425" s="311" t="s">
        <v>2434</v>
      </c>
      <c r="G425" s="311" t="s">
        <v>3290</v>
      </c>
      <c r="H425" s="311" t="s">
        <v>3096</v>
      </c>
      <c r="I425" s="317" t="s">
        <v>3291</v>
      </c>
      <c r="J425" s="311" t="s">
        <v>30</v>
      </c>
      <c r="K425" s="311"/>
      <c r="L425" s="311" t="s">
        <v>336</v>
      </c>
      <c r="M425" s="308">
        <v>760429</v>
      </c>
      <c r="N425" s="311">
        <v>1</v>
      </c>
      <c r="O425" s="311" t="s">
        <v>2572</v>
      </c>
      <c r="P425" s="311" t="s">
        <v>34</v>
      </c>
      <c r="R425" s="319">
        <v>835.55982171112453</v>
      </c>
      <c r="S425" s="325"/>
      <c r="T425" s="311" t="s">
        <v>34</v>
      </c>
      <c r="U425" s="317"/>
    </row>
    <row r="426" spans="1:21" s="318" customFormat="1" ht="14.1" customHeight="1">
      <c r="A426" s="311">
        <v>422</v>
      </c>
      <c r="B426" s="247" t="s">
        <v>348</v>
      </c>
      <c r="C426" s="247" t="s">
        <v>348</v>
      </c>
      <c r="D426" s="311" t="s">
        <v>92</v>
      </c>
      <c r="E426" s="311" t="s">
        <v>3023</v>
      </c>
      <c r="F426" s="311" t="s">
        <v>2434</v>
      </c>
      <c r="G426" s="311" t="s">
        <v>3292</v>
      </c>
      <c r="H426" s="311" t="s">
        <v>3059</v>
      </c>
      <c r="I426" s="317" t="s">
        <v>3293</v>
      </c>
      <c r="J426" s="311" t="s">
        <v>30</v>
      </c>
      <c r="K426" s="311"/>
      <c r="L426" s="311" t="s">
        <v>336</v>
      </c>
      <c r="M426" s="308">
        <v>760429</v>
      </c>
      <c r="N426" s="311">
        <v>1</v>
      </c>
      <c r="O426" s="311" t="s">
        <v>2572</v>
      </c>
      <c r="P426" s="311" t="s">
        <v>34</v>
      </c>
      <c r="R426" s="319">
        <v>1805.1666736432851</v>
      </c>
      <c r="S426" s="325"/>
      <c r="T426" s="311" t="s">
        <v>34</v>
      </c>
      <c r="U426" s="317"/>
    </row>
    <row r="427" spans="1:21" s="318" customFormat="1" ht="14.1" customHeight="1">
      <c r="A427" s="311">
        <v>423</v>
      </c>
      <c r="B427" s="247" t="s">
        <v>348</v>
      </c>
      <c r="C427" s="247" t="s">
        <v>348</v>
      </c>
      <c r="D427" s="311" t="s">
        <v>92</v>
      </c>
      <c r="E427" s="311" t="s">
        <v>3023</v>
      </c>
      <c r="F427" s="311" t="s">
        <v>2434</v>
      </c>
      <c r="G427" s="311" t="s">
        <v>3294</v>
      </c>
      <c r="H427" s="311" t="s">
        <v>3059</v>
      </c>
      <c r="I427" s="317" t="s">
        <v>3295</v>
      </c>
      <c r="J427" s="311" t="s">
        <v>30</v>
      </c>
      <c r="K427" s="311"/>
      <c r="L427" s="311" t="s">
        <v>336</v>
      </c>
      <c r="M427" s="308">
        <v>760429</v>
      </c>
      <c r="N427" s="311">
        <v>1</v>
      </c>
      <c r="O427" s="311" t="s">
        <v>2572</v>
      </c>
      <c r="P427" s="311" t="s">
        <v>34</v>
      </c>
      <c r="R427" s="319">
        <v>2024.110156337644</v>
      </c>
      <c r="S427" s="325"/>
      <c r="T427" s="311" t="s">
        <v>34</v>
      </c>
      <c r="U427" s="317"/>
    </row>
    <row r="428" spans="1:21" s="318" customFormat="1" ht="14.1" customHeight="1">
      <c r="A428" s="311">
        <v>424</v>
      </c>
      <c r="B428" s="247" t="s">
        <v>348</v>
      </c>
      <c r="C428" s="247" t="s">
        <v>348</v>
      </c>
      <c r="D428" s="311" t="s">
        <v>92</v>
      </c>
      <c r="E428" s="311" t="s">
        <v>3023</v>
      </c>
      <c r="F428" s="311" t="s">
        <v>2434</v>
      </c>
      <c r="G428" s="311" t="s">
        <v>3296</v>
      </c>
      <c r="H428" s="311" t="s">
        <v>3059</v>
      </c>
      <c r="I428" s="317" t="s">
        <v>3297</v>
      </c>
      <c r="J428" s="311" t="s">
        <v>30</v>
      </c>
      <c r="K428" s="311"/>
      <c r="L428" s="311" t="s">
        <v>336</v>
      </c>
      <c r="M428" s="308">
        <v>760429</v>
      </c>
      <c r="N428" s="311">
        <v>1</v>
      </c>
      <c r="O428" s="311" t="s">
        <v>2572</v>
      </c>
      <c r="P428" s="311" t="s">
        <v>34</v>
      </c>
      <c r="R428" s="319">
        <v>835.55982171112453</v>
      </c>
      <c r="S428" s="325"/>
      <c r="T428" s="311" t="s">
        <v>34</v>
      </c>
      <c r="U428" s="317"/>
    </row>
    <row r="429" spans="1:21" s="318" customFormat="1" ht="14.1" customHeight="1">
      <c r="A429" s="311">
        <v>425</v>
      </c>
      <c r="B429" s="247" t="s">
        <v>348</v>
      </c>
      <c r="C429" s="247" t="s">
        <v>348</v>
      </c>
      <c r="D429" s="311" t="s">
        <v>92</v>
      </c>
      <c r="E429" s="311" t="s">
        <v>3023</v>
      </c>
      <c r="F429" s="311" t="s">
        <v>2434</v>
      </c>
      <c r="G429" s="311" t="s">
        <v>3298</v>
      </c>
      <c r="H429" s="311" t="s">
        <v>2975</v>
      </c>
      <c r="I429" s="317" t="s">
        <v>3299</v>
      </c>
      <c r="J429" s="311" t="s">
        <v>30</v>
      </c>
      <c r="K429" s="311" t="s">
        <v>520</v>
      </c>
      <c r="L429" s="311" t="s">
        <v>336</v>
      </c>
      <c r="M429" s="308">
        <v>760429</v>
      </c>
      <c r="N429" s="311">
        <v>1</v>
      </c>
      <c r="O429" s="311" t="s">
        <v>2572</v>
      </c>
      <c r="P429" s="311" t="s">
        <v>34</v>
      </c>
      <c r="R429" s="319">
        <v>1253.339732566687</v>
      </c>
      <c r="S429" s="325"/>
      <c r="T429" s="311" t="s">
        <v>34</v>
      </c>
      <c r="U429" s="317"/>
    </row>
    <row r="430" spans="1:21" s="318" customFormat="1" ht="14.1" customHeight="1">
      <c r="A430" s="311">
        <v>426</v>
      </c>
      <c r="B430" s="247" t="s">
        <v>348</v>
      </c>
      <c r="C430" s="247" t="s">
        <v>348</v>
      </c>
      <c r="D430" s="311" t="s">
        <v>92</v>
      </c>
      <c r="E430" s="311" t="s">
        <v>3023</v>
      </c>
      <c r="F430" s="311" t="s">
        <v>2434</v>
      </c>
      <c r="G430" s="311" t="s">
        <v>3300</v>
      </c>
      <c r="H430" s="311" t="s">
        <v>2975</v>
      </c>
      <c r="I430" s="317" t="s">
        <v>3301</v>
      </c>
      <c r="J430" s="311" t="s">
        <v>30</v>
      </c>
      <c r="K430" s="311" t="s">
        <v>520</v>
      </c>
      <c r="L430" s="311" t="s">
        <v>336</v>
      </c>
      <c r="M430" s="308">
        <v>760429</v>
      </c>
      <c r="N430" s="311">
        <v>1</v>
      </c>
      <c r="O430" s="311" t="s">
        <v>2572</v>
      </c>
      <c r="P430" s="311" t="s">
        <v>34</v>
      </c>
      <c r="R430" s="319">
        <v>1539.3067303715641</v>
      </c>
      <c r="S430" s="325"/>
      <c r="T430" s="311" t="s">
        <v>34</v>
      </c>
      <c r="U430" s="317"/>
    </row>
    <row r="431" spans="1:21" s="318" customFormat="1" ht="14.1" customHeight="1">
      <c r="A431" s="311">
        <v>427</v>
      </c>
      <c r="B431" s="247" t="s">
        <v>348</v>
      </c>
      <c r="C431" s="247" t="s">
        <v>348</v>
      </c>
      <c r="D431" s="311" t="s">
        <v>92</v>
      </c>
      <c r="E431" s="311" t="s">
        <v>3023</v>
      </c>
      <c r="F431" s="311" t="s">
        <v>2434</v>
      </c>
      <c r="G431" s="311" t="s">
        <v>3302</v>
      </c>
      <c r="H431" s="311" t="s">
        <v>2975</v>
      </c>
      <c r="I431" s="317" t="s">
        <v>3303</v>
      </c>
      <c r="J431" s="311" t="s">
        <v>30</v>
      </c>
      <c r="K431" s="311" t="s">
        <v>520</v>
      </c>
      <c r="L431" s="311" t="s">
        <v>336</v>
      </c>
      <c r="M431" s="308">
        <v>760429</v>
      </c>
      <c r="N431" s="311">
        <v>1</v>
      </c>
      <c r="O431" s="311" t="s">
        <v>2572</v>
      </c>
      <c r="P431" s="311" t="s">
        <v>34</v>
      </c>
      <c r="R431" s="319">
        <v>426.71637953696472</v>
      </c>
      <c r="S431" s="325"/>
      <c r="T431" s="311" t="s">
        <v>34</v>
      </c>
      <c r="U431" s="317"/>
    </row>
    <row r="432" spans="1:21" s="318" customFormat="1" ht="14.1" customHeight="1">
      <c r="A432" s="311">
        <v>428</v>
      </c>
      <c r="B432" s="247" t="s">
        <v>348</v>
      </c>
      <c r="C432" s="247" t="s">
        <v>348</v>
      </c>
      <c r="D432" s="311" t="s">
        <v>92</v>
      </c>
      <c r="E432" s="311" t="s">
        <v>3023</v>
      </c>
      <c r="F432" s="311" t="s">
        <v>2434</v>
      </c>
      <c r="G432" s="311" t="s">
        <v>3304</v>
      </c>
      <c r="H432" s="311" t="s">
        <v>3031</v>
      </c>
      <c r="I432" s="317" t="s">
        <v>3305</v>
      </c>
      <c r="J432" s="311" t="s">
        <v>30</v>
      </c>
      <c r="K432" s="311"/>
      <c r="L432" s="311" t="s">
        <v>336</v>
      </c>
      <c r="M432" s="308">
        <v>760429</v>
      </c>
      <c r="N432" s="311">
        <v>1</v>
      </c>
      <c r="O432" s="311" t="s">
        <v>2572</v>
      </c>
      <c r="P432" s="311" t="s">
        <v>34</v>
      </c>
      <c r="R432" s="319">
        <v>1378.4502941063211</v>
      </c>
      <c r="S432" s="325"/>
      <c r="T432" s="311" t="s">
        <v>34</v>
      </c>
      <c r="U432" s="317"/>
    </row>
    <row r="433" spans="1:21" s="318" customFormat="1" ht="14.1" customHeight="1">
      <c r="A433" s="311">
        <v>429</v>
      </c>
      <c r="B433" s="247" t="s">
        <v>348</v>
      </c>
      <c r="C433" s="247" t="s">
        <v>348</v>
      </c>
      <c r="D433" s="311" t="s">
        <v>92</v>
      </c>
      <c r="E433" s="311" t="s">
        <v>3023</v>
      </c>
      <c r="F433" s="311" t="s">
        <v>2434</v>
      </c>
      <c r="G433" s="311" t="s">
        <v>3306</v>
      </c>
      <c r="H433" s="311" t="s">
        <v>3031</v>
      </c>
      <c r="I433" s="317" t="s">
        <v>3307</v>
      </c>
      <c r="J433" s="311" t="s">
        <v>30</v>
      </c>
      <c r="K433" s="311"/>
      <c r="L433" s="311" t="s">
        <v>336</v>
      </c>
      <c r="M433" s="308">
        <v>760429</v>
      </c>
      <c r="N433" s="311">
        <v>1</v>
      </c>
      <c r="O433" s="311" t="s">
        <v>2572</v>
      </c>
      <c r="P433" s="311" t="s">
        <v>34</v>
      </c>
      <c r="R433" s="319">
        <v>1693.4608151257551</v>
      </c>
      <c r="S433" s="325"/>
      <c r="T433" s="311" t="s">
        <v>34</v>
      </c>
      <c r="U433" s="317"/>
    </row>
    <row r="434" spans="1:21" s="318" customFormat="1" ht="14.1" customHeight="1">
      <c r="A434" s="311">
        <v>430</v>
      </c>
      <c r="B434" s="247" t="s">
        <v>348</v>
      </c>
      <c r="C434" s="247" t="s">
        <v>348</v>
      </c>
      <c r="D434" s="311" t="s">
        <v>92</v>
      </c>
      <c r="E434" s="311" t="s">
        <v>3023</v>
      </c>
      <c r="F434" s="311" t="s">
        <v>2434</v>
      </c>
      <c r="G434" s="311" t="s">
        <v>3308</v>
      </c>
      <c r="H434" s="311" t="s">
        <v>2975</v>
      </c>
      <c r="I434" s="317" t="s">
        <v>3309</v>
      </c>
      <c r="J434" s="311" t="s">
        <v>30</v>
      </c>
      <c r="K434" s="311" t="s">
        <v>520</v>
      </c>
      <c r="L434" s="311" t="s">
        <v>336</v>
      </c>
      <c r="M434" s="308">
        <v>761090</v>
      </c>
      <c r="N434" s="311">
        <v>1</v>
      </c>
      <c r="O434" s="311" t="s">
        <v>2572</v>
      </c>
      <c r="P434" s="311" t="s">
        <v>34</v>
      </c>
      <c r="R434" s="319">
        <v>2450.8265358746089</v>
      </c>
      <c r="S434" s="325"/>
      <c r="T434" s="311" t="s">
        <v>34</v>
      </c>
      <c r="U434" s="317"/>
    </row>
    <row r="435" spans="1:21" s="318" customFormat="1" ht="14.1" customHeight="1">
      <c r="A435" s="311">
        <v>431</v>
      </c>
      <c r="B435" s="247" t="s">
        <v>348</v>
      </c>
      <c r="C435" s="247" t="s">
        <v>348</v>
      </c>
      <c r="D435" s="311" t="s">
        <v>92</v>
      </c>
      <c r="E435" s="311" t="s">
        <v>3023</v>
      </c>
      <c r="F435" s="311" t="s">
        <v>2434</v>
      </c>
      <c r="G435" s="311" t="s">
        <v>3310</v>
      </c>
      <c r="H435" s="311" t="s">
        <v>3031</v>
      </c>
      <c r="I435" s="317" t="s">
        <v>3311</v>
      </c>
      <c r="J435" s="311" t="s">
        <v>30</v>
      </c>
      <c r="K435" s="311"/>
      <c r="L435" s="311" t="s">
        <v>336</v>
      </c>
      <c r="M435" s="308">
        <v>760429</v>
      </c>
      <c r="N435" s="311">
        <v>1</v>
      </c>
      <c r="O435" s="311" t="s">
        <v>2572</v>
      </c>
      <c r="P435" s="311" t="s">
        <v>34</v>
      </c>
      <c r="R435" s="319">
        <v>469.16460577362608</v>
      </c>
      <c r="S435" s="325"/>
      <c r="T435" s="311" t="s">
        <v>34</v>
      </c>
      <c r="U435" s="317"/>
    </row>
    <row r="436" spans="1:21" s="318" customFormat="1" ht="14.1" customHeight="1">
      <c r="A436" s="311">
        <v>432</v>
      </c>
      <c r="B436" s="247" t="s">
        <v>348</v>
      </c>
      <c r="C436" s="247" t="s">
        <v>348</v>
      </c>
      <c r="D436" s="311" t="s">
        <v>92</v>
      </c>
      <c r="E436" s="311" t="s">
        <v>3023</v>
      </c>
      <c r="F436" s="311" t="s">
        <v>2434</v>
      </c>
      <c r="G436" s="311" t="s">
        <v>3312</v>
      </c>
      <c r="H436" s="311" t="s">
        <v>3031</v>
      </c>
      <c r="I436" s="317" t="s">
        <v>3313</v>
      </c>
      <c r="J436" s="311" t="s">
        <v>30</v>
      </c>
      <c r="K436" s="311"/>
      <c r="L436" s="311" t="s">
        <v>336</v>
      </c>
      <c r="M436" s="308">
        <v>761090</v>
      </c>
      <c r="N436" s="311">
        <v>1</v>
      </c>
      <c r="O436" s="311" t="s">
        <v>2572</v>
      </c>
      <c r="P436" s="311" t="s">
        <v>34</v>
      </c>
      <c r="R436" s="319">
        <v>2696.579424613175</v>
      </c>
      <c r="S436" s="325"/>
      <c r="T436" s="311" t="s">
        <v>34</v>
      </c>
      <c r="U436" s="317"/>
    </row>
    <row r="437" spans="1:21" s="318" customFormat="1" ht="14.1" customHeight="1">
      <c r="A437" s="311">
        <v>433</v>
      </c>
      <c r="B437" s="247" t="s">
        <v>348</v>
      </c>
      <c r="C437" s="247" t="s">
        <v>348</v>
      </c>
      <c r="D437" s="311" t="s">
        <v>92</v>
      </c>
      <c r="E437" s="311" t="s">
        <v>3023</v>
      </c>
      <c r="F437" s="311" t="s">
        <v>2434</v>
      </c>
      <c r="G437" s="311" t="s">
        <v>3314</v>
      </c>
      <c r="H437" s="311" t="s">
        <v>3052</v>
      </c>
      <c r="I437" s="317" t="s">
        <v>3315</v>
      </c>
      <c r="J437" s="311" t="s">
        <v>30</v>
      </c>
      <c r="K437" s="311"/>
      <c r="L437" s="311" t="s">
        <v>336</v>
      </c>
      <c r="M437" s="308">
        <v>760429</v>
      </c>
      <c r="N437" s="311">
        <v>1</v>
      </c>
      <c r="O437" s="311" t="s">
        <v>2572</v>
      </c>
      <c r="P437" s="311" t="s">
        <v>34</v>
      </c>
      <c r="R437" s="319">
        <v>1378.4502941063211</v>
      </c>
      <c r="S437" s="325"/>
      <c r="T437" s="311" t="s">
        <v>34</v>
      </c>
      <c r="U437" s="317"/>
    </row>
    <row r="438" spans="1:21" s="318" customFormat="1" ht="14.1" customHeight="1">
      <c r="A438" s="311">
        <v>434</v>
      </c>
      <c r="B438" s="247" t="s">
        <v>348</v>
      </c>
      <c r="C438" s="247" t="s">
        <v>348</v>
      </c>
      <c r="D438" s="311" t="s">
        <v>92</v>
      </c>
      <c r="E438" s="311" t="s">
        <v>3023</v>
      </c>
      <c r="F438" s="311" t="s">
        <v>2434</v>
      </c>
      <c r="G438" s="311" t="s">
        <v>3316</v>
      </c>
      <c r="H438" s="311" t="s">
        <v>3052</v>
      </c>
      <c r="I438" s="317" t="s">
        <v>3317</v>
      </c>
      <c r="J438" s="311" t="s">
        <v>30</v>
      </c>
      <c r="K438" s="311"/>
      <c r="L438" s="311" t="s">
        <v>336</v>
      </c>
      <c r="M438" s="308">
        <v>761090</v>
      </c>
      <c r="N438" s="311">
        <v>1</v>
      </c>
      <c r="O438" s="311" t="s">
        <v>2572</v>
      </c>
      <c r="P438" s="311" t="s">
        <v>34</v>
      </c>
      <c r="R438" s="319">
        <v>2696.579424613175</v>
      </c>
      <c r="S438" s="325"/>
      <c r="T438" s="311" t="s">
        <v>34</v>
      </c>
      <c r="U438" s="317"/>
    </row>
    <row r="439" spans="1:21" s="318" customFormat="1" ht="14.1" customHeight="1">
      <c r="A439" s="311">
        <v>435</v>
      </c>
      <c r="B439" s="247" t="s">
        <v>348</v>
      </c>
      <c r="C439" s="247" t="s">
        <v>348</v>
      </c>
      <c r="D439" s="311" t="s">
        <v>92</v>
      </c>
      <c r="E439" s="311" t="s">
        <v>3023</v>
      </c>
      <c r="F439" s="311" t="s">
        <v>2434</v>
      </c>
      <c r="G439" s="311" t="s">
        <v>3318</v>
      </c>
      <c r="H439" s="311" t="s">
        <v>3052</v>
      </c>
      <c r="I439" s="317" t="s">
        <v>3319</v>
      </c>
      <c r="J439" s="311" t="s">
        <v>30</v>
      </c>
      <c r="K439" s="311"/>
      <c r="L439" s="311" t="s">
        <v>336</v>
      </c>
      <c r="M439" s="308">
        <v>760429</v>
      </c>
      <c r="N439" s="311">
        <v>1</v>
      </c>
      <c r="O439" s="311" t="s">
        <v>2572</v>
      </c>
      <c r="P439" s="311" t="s">
        <v>34</v>
      </c>
      <c r="R439" s="319">
        <v>1693.4608151257551</v>
      </c>
      <c r="S439" s="325"/>
      <c r="T439" s="311" t="s">
        <v>34</v>
      </c>
      <c r="U439" s="317"/>
    </row>
    <row r="440" spans="1:21" s="318" customFormat="1" ht="14.1" customHeight="1">
      <c r="A440" s="311">
        <v>436</v>
      </c>
      <c r="B440" s="247" t="s">
        <v>348</v>
      </c>
      <c r="C440" s="247" t="s">
        <v>348</v>
      </c>
      <c r="D440" s="311" t="s">
        <v>92</v>
      </c>
      <c r="E440" s="311" t="s">
        <v>3023</v>
      </c>
      <c r="F440" s="311" t="s">
        <v>2434</v>
      </c>
      <c r="G440" s="311" t="s">
        <v>3320</v>
      </c>
      <c r="H440" s="311" t="s">
        <v>3096</v>
      </c>
      <c r="I440" s="317" t="s">
        <v>3321</v>
      </c>
      <c r="J440" s="311" t="s">
        <v>30</v>
      </c>
      <c r="K440" s="311"/>
      <c r="L440" s="311" t="s">
        <v>336</v>
      </c>
      <c r="M440" s="308">
        <v>761090</v>
      </c>
      <c r="N440" s="311">
        <v>1</v>
      </c>
      <c r="O440" s="311" t="s">
        <v>2572</v>
      </c>
      <c r="P440" s="311" t="s">
        <v>34</v>
      </c>
      <c r="R440" s="319">
        <v>2696.579424613175</v>
      </c>
      <c r="S440" s="325"/>
      <c r="T440" s="311" t="s">
        <v>34</v>
      </c>
      <c r="U440" s="317"/>
    </row>
    <row r="441" spans="1:21" s="318" customFormat="1" ht="14.1" customHeight="1">
      <c r="A441" s="311">
        <v>437</v>
      </c>
      <c r="B441" s="247" t="s">
        <v>348</v>
      </c>
      <c r="C441" s="247" t="s">
        <v>348</v>
      </c>
      <c r="D441" s="311" t="s">
        <v>92</v>
      </c>
      <c r="E441" s="311" t="s">
        <v>3023</v>
      </c>
      <c r="F441" s="311" t="s">
        <v>2434</v>
      </c>
      <c r="G441" s="311" t="s">
        <v>3322</v>
      </c>
      <c r="H441" s="311" t="s">
        <v>3052</v>
      </c>
      <c r="I441" s="317" t="s">
        <v>3323</v>
      </c>
      <c r="J441" s="311" t="s">
        <v>30</v>
      </c>
      <c r="K441" s="311"/>
      <c r="L441" s="311" t="s">
        <v>336</v>
      </c>
      <c r="M441" s="308">
        <v>760429</v>
      </c>
      <c r="N441" s="311">
        <v>1</v>
      </c>
      <c r="O441" s="311" t="s">
        <v>2572</v>
      </c>
      <c r="P441" s="311" t="s">
        <v>34</v>
      </c>
      <c r="R441" s="319">
        <v>469.16460577362608</v>
      </c>
      <c r="S441" s="325"/>
      <c r="T441" s="311" t="s">
        <v>34</v>
      </c>
      <c r="U441" s="317"/>
    </row>
    <row r="442" spans="1:21" s="318" customFormat="1" ht="14.1" customHeight="1">
      <c r="A442" s="311">
        <v>438</v>
      </c>
      <c r="B442" s="247" t="s">
        <v>348</v>
      </c>
      <c r="C442" s="247" t="s">
        <v>348</v>
      </c>
      <c r="D442" s="311" t="s">
        <v>92</v>
      </c>
      <c r="E442" s="311" t="s">
        <v>3023</v>
      </c>
      <c r="F442" s="311" t="s">
        <v>2434</v>
      </c>
      <c r="G442" s="311" t="s">
        <v>3324</v>
      </c>
      <c r="H442" s="311" t="s">
        <v>3096</v>
      </c>
      <c r="I442" s="317" t="s">
        <v>3325</v>
      </c>
      <c r="J442" s="311" t="s">
        <v>30</v>
      </c>
      <c r="K442" s="311"/>
      <c r="L442" s="311" t="s">
        <v>336</v>
      </c>
      <c r="M442" s="308">
        <v>760429</v>
      </c>
      <c r="N442" s="311">
        <v>1</v>
      </c>
      <c r="O442" s="311" t="s">
        <v>2572</v>
      </c>
      <c r="P442" s="311" t="s">
        <v>34</v>
      </c>
      <c r="R442" s="319">
        <v>1378.4502941063211</v>
      </c>
      <c r="S442" s="325"/>
      <c r="T442" s="311" t="s">
        <v>34</v>
      </c>
      <c r="U442" s="317"/>
    </row>
    <row r="443" spans="1:21" s="318" customFormat="1" ht="14.1" customHeight="1">
      <c r="A443" s="311">
        <v>439</v>
      </c>
      <c r="B443" s="247" t="s">
        <v>348</v>
      </c>
      <c r="C443" s="247" t="s">
        <v>348</v>
      </c>
      <c r="D443" s="311" t="s">
        <v>92</v>
      </c>
      <c r="E443" s="311" t="s">
        <v>3023</v>
      </c>
      <c r="F443" s="311" t="s">
        <v>2434</v>
      </c>
      <c r="G443" s="311" t="s">
        <v>3326</v>
      </c>
      <c r="H443" s="311" t="s">
        <v>3096</v>
      </c>
      <c r="I443" s="317" t="s">
        <v>3327</v>
      </c>
      <c r="J443" s="311" t="s">
        <v>30</v>
      </c>
      <c r="K443" s="311"/>
      <c r="L443" s="311" t="s">
        <v>336</v>
      </c>
      <c r="M443" s="308">
        <v>760429</v>
      </c>
      <c r="N443" s="311">
        <v>1</v>
      </c>
      <c r="O443" s="311" t="s">
        <v>2572</v>
      </c>
      <c r="P443" s="311" t="s">
        <v>34</v>
      </c>
      <c r="R443" s="319">
        <v>1693.4608151257551</v>
      </c>
      <c r="S443" s="325"/>
      <c r="T443" s="311" t="s">
        <v>34</v>
      </c>
      <c r="U443" s="317"/>
    </row>
    <row r="444" spans="1:21" s="318" customFormat="1" ht="14.1" customHeight="1">
      <c r="A444" s="311">
        <v>440</v>
      </c>
      <c r="B444" s="247" t="s">
        <v>348</v>
      </c>
      <c r="C444" s="247" t="s">
        <v>348</v>
      </c>
      <c r="D444" s="311" t="s">
        <v>92</v>
      </c>
      <c r="E444" s="311" t="s">
        <v>3023</v>
      </c>
      <c r="F444" s="311" t="s">
        <v>2434</v>
      </c>
      <c r="G444" s="311" t="s">
        <v>3328</v>
      </c>
      <c r="H444" s="311" t="s">
        <v>3096</v>
      </c>
      <c r="I444" s="317" t="s">
        <v>3329</v>
      </c>
      <c r="J444" s="311" t="s">
        <v>30</v>
      </c>
      <c r="K444" s="311"/>
      <c r="L444" s="311" t="s">
        <v>336</v>
      </c>
      <c r="M444" s="308">
        <v>760429</v>
      </c>
      <c r="N444" s="311">
        <v>1</v>
      </c>
      <c r="O444" s="311" t="s">
        <v>2572</v>
      </c>
      <c r="P444" s="311" t="s">
        <v>34</v>
      </c>
      <c r="R444" s="319">
        <v>469.16460577362608</v>
      </c>
      <c r="S444" s="325"/>
      <c r="T444" s="311" t="s">
        <v>34</v>
      </c>
      <c r="U444" s="317"/>
    </row>
    <row r="445" spans="1:21" s="318" customFormat="1" ht="14.1" customHeight="1">
      <c r="A445" s="311">
        <v>441</v>
      </c>
      <c r="B445" s="247" t="s">
        <v>348</v>
      </c>
      <c r="C445" s="247" t="s">
        <v>348</v>
      </c>
      <c r="D445" s="311" t="s">
        <v>92</v>
      </c>
      <c r="E445" s="311" t="s">
        <v>3023</v>
      </c>
      <c r="F445" s="311" t="s">
        <v>2434</v>
      </c>
      <c r="G445" s="311" t="s">
        <v>3330</v>
      </c>
      <c r="H445" s="311" t="s">
        <v>3059</v>
      </c>
      <c r="I445" s="317" t="s">
        <v>3331</v>
      </c>
      <c r="J445" s="311" t="s">
        <v>30</v>
      </c>
      <c r="K445" s="311"/>
      <c r="L445" s="311" t="s">
        <v>336</v>
      </c>
      <c r="M445" s="308">
        <v>760429</v>
      </c>
      <c r="N445" s="311">
        <v>1</v>
      </c>
      <c r="O445" s="311" t="s">
        <v>2572</v>
      </c>
      <c r="P445" s="311" t="s">
        <v>34</v>
      </c>
      <c r="R445" s="319">
        <v>1378.4502941063211</v>
      </c>
      <c r="S445" s="325"/>
      <c r="T445" s="311" t="s">
        <v>34</v>
      </c>
      <c r="U445" s="317"/>
    </row>
    <row r="446" spans="1:21" s="318" customFormat="1" ht="14.1" customHeight="1">
      <c r="A446" s="311">
        <v>442</v>
      </c>
      <c r="B446" s="247" t="s">
        <v>348</v>
      </c>
      <c r="C446" s="247" t="s">
        <v>348</v>
      </c>
      <c r="D446" s="311" t="s">
        <v>92</v>
      </c>
      <c r="E446" s="311" t="s">
        <v>3023</v>
      </c>
      <c r="F446" s="311" t="s">
        <v>2434</v>
      </c>
      <c r="G446" s="311" t="s">
        <v>3332</v>
      </c>
      <c r="H446" s="311" t="s">
        <v>3059</v>
      </c>
      <c r="I446" s="317" t="s">
        <v>3333</v>
      </c>
      <c r="J446" s="311" t="s">
        <v>30</v>
      </c>
      <c r="K446" s="311"/>
      <c r="L446" s="311" t="s">
        <v>336</v>
      </c>
      <c r="M446" s="308">
        <v>760429</v>
      </c>
      <c r="N446" s="311">
        <v>1</v>
      </c>
      <c r="O446" s="311" t="s">
        <v>2572</v>
      </c>
      <c r="P446" s="311" t="s">
        <v>34</v>
      </c>
      <c r="R446" s="319">
        <v>1693.4608151257551</v>
      </c>
      <c r="S446" s="325"/>
      <c r="T446" s="311" t="s">
        <v>34</v>
      </c>
      <c r="U446" s="317"/>
    </row>
    <row r="447" spans="1:21" s="318" customFormat="1" ht="14.1" customHeight="1">
      <c r="A447" s="311">
        <v>443</v>
      </c>
      <c r="B447" s="247" t="s">
        <v>348</v>
      </c>
      <c r="C447" s="247" t="s">
        <v>348</v>
      </c>
      <c r="D447" s="311" t="s">
        <v>92</v>
      </c>
      <c r="E447" s="311" t="s">
        <v>3023</v>
      </c>
      <c r="F447" s="311" t="s">
        <v>2434</v>
      </c>
      <c r="G447" s="311" t="s">
        <v>3334</v>
      </c>
      <c r="H447" s="311" t="s">
        <v>3059</v>
      </c>
      <c r="I447" s="317" t="s">
        <v>3335</v>
      </c>
      <c r="J447" s="311" t="s">
        <v>30</v>
      </c>
      <c r="K447" s="311"/>
      <c r="L447" s="311" t="s">
        <v>336</v>
      </c>
      <c r="M447" s="308">
        <v>760429</v>
      </c>
      <c r="N447" s="311">
        <v>1</v>
      </c>
      <c r="O447" s="311" t="s">
        <v>2572</v>
      </c>
      <c r="P447" s="311" t="s">
        <v>34</v>
      </c>
      <c r="R447" s="319">
        <v>469.16460577362608</v>
      </c>
      <c r="S447" s="325"/>
      <c r="T447" s="311" t="s">
        <v>34</v>
      </c>
      <c r="U447" s="317"/>
    </row>
    <row r="448" spans="1:21" s="318" customFormat="1" ht="14.1" customHeight="1">
      <c r="A448" s="311">
        <v>444</v>
      </c>
      <c r="B448" s="247" t="s">
        <v>348</v>
      </c>
      <c r="C448" s="247" t="s">
        <v>348</v>
      </c>
      <c r="D448" s="311" t="s">
        <v>92</v>
      </c>
      <c r="E448" s="311" t="s">
        <v>3023</v>
      </c>
      <c r="F448" s="311" t="s">
        <v>2434</v>
      </c>
      <c r="G448" s="311" t="s">
        <v>3336</v>
      </c>
      <c r="H448" s="311" t="s">
        <v>2975</v>
      </c>
      <c r="I448" s="317" t="s">
        <v>3337</v>
      </c>
      <c r="J448" s="311" t="s">
        <v>30</v>
      </c>
      <c r="K448" s="311" t="s">
        <v>520</v>
      </c>
      <c r="L448" s="311" t="s">
        <v>336</v>
      </c>
      <c r="M448" s="308">
        <v>760429</v>
      </c>
      <c r="N448" s="311">
        <v>1</v>
      </c>
      <c r="O448" s="311" t="s">
        <v>2572</v>
      </c>
      <c r="P448" s="311" t="s">
        <v>34</v>
      </c>
      <c r="R448" s="319">
        <v>1456.6443950685921</v>
      </c>
      <c r="S448" s="325"/>
      <c r="T448" s="311" t="s">
        <v>34</v>
      </c>
      <c r="U448" s="317"/>
    </row>
    <row r="449" spans="1:21" s="318" customFormat="1" ht="14.1" customHeight="1">
      <c r="A449" s="311">
        <v>445</v>
      </c>
      <c r="B449" s="247" t="s">
        <v>348</v>
      </c>
      <c r="C449" s="247" t="s">
        <v>348</v>
      </c>
      <c r="D449" s="311" t="s">
        <v>92</v>
      </c>
      <c r="E449" s="311" t="s">
        <v>3023</v>
      </c>
      <c r="F449" s="311" t="s">
        <v>2434</v>
      </c>
      <c r="G449" s="311" t="s">
        <v>3338</v>
      </c>
      <c r="H449" s="311" t="s">
        <v>2975</v>
      </c>
      <c r="I449" s="317" t="s">
        <v>3339</v>
      </c>
      <c r="J449" s="311" t="s">
        <v>30</v>
      </c>
      <c r="K449" s="311" t="s">
        <v>520</v>
      </c>
      <c r="L449" s="311" t="s">
        <v>336</v>
      </c>
      <c r="M449" s="308">
        <v>760429</v>
      </c>
      <c r="N449" s="311">
        <v>1</v>
      </c>
      <c r="O449" s="311" t="s">
        <v>2572</v>
      </c>
      <c r="P449" s="311" t="s">
        <v>34</v>
      </c>
      <c r="R449" s="319">
        <v>813.21865000761852</v>
      </c>
      <c r="S449" s="325"/>
      <c r="T449" s="311" t="s">
        <v>34</v>
      </c>
      <c r="U449" s="317"/>
    </row>
    <row r="450" spans="1:21" s="318" customFormat="1" ht="14.1" customHeight="1">
      <c r="A450" s="311">
        <v>446</v>
      </c>
      <c r="B450" s="247" t="s">
        <v>348</v>
      </c>
      <c r="C450" s="247" t="s">
        <v>348</v>
      </c>
      <c r="D450" s="311" t="s">
        <v>92</v>
      </c>
      <c r="E450" s="311" t="s">
        <v>3023</v>
      </c>
      <c r="F450" s="311" t="s">
        <v>2434</v>
      </c>
      <c r="G450" s="311" t="s">
        <v>3340</v>
      </c>
      <c r="H450" s="311" t="s">
        <v>3031</v>
      </c>
      <c r="I450" s="317" t="s">
        <v>3341</v>
      </c>
      <c r="J450" s="311" t="s">
        <v>30</v>
      </c>
      <c r="K450" s="311"/>
      <c r="L450" s="311" t="s">
        <v>336</v>
      </c>
      <c r="M450" s="308">
        <v>760429</v>
      </c>
      <c r="N450" s="311">
        <v>1</v>
      </c>
      <c r="O450" s="311" t="s">
        <v>2572</v>
      </c>
      <c r="P450" s="311" t="s">
        <v>34</v>
      </c>
      <c r="R450" s="319">
        <v>1599.6278939710301</v>
      </c>
      <c r="S450" s="325"/>
      <c r="T450" s="311" t="s">
        <v>34</v>
      </c>
      <c r="U450" s="317"/>
    </row>
    <row r="451" spans="1:21" s="318" customFormat="1" ht="14.1" customHeight="1">
      <c r="A451" s="311">
        <v>447</v>
      </c>
      <c r="B451" s="247" t="s">
        <v>348</v>
      </c>
      <c r="C451" s="247" t="s">
        <v>348</v>
      </c>
      <c r="D451" s="311" t="s">
        <v>92</v>
      </c>
      <c r="E451" s="311" t="s">
        <v>3023</v>
      </c>
      <c r="F451" s="311" t="s">
        <v>2434</v>
      </c>
      <c r="G451" s="311" t="s">
        <v>3342</v>
      </c>
      <c r="H451" s="311" t="s">
        <v>3031</v>
      </c>
      <c r="I451" s="317" t="s">
        <v>3343</v>
      </c>
      <c r="J451" s="311" t="s">
        <v>30</v>
      </c>
      <c r="K451" s="311"/>
      <c r="L451" s="311" t="s">
        <v>336</v>
      </c>
      <c r="M451" s="308">
        <v>760429</v>
      </c>
      <c r="N451" s="311">
        <v>1</v>
      </c>
      <c r="O451" s="311" t="s">
        <v>2572</v>
      </c>
      <c r="P451" s="311" t="s">
        <v>34</v>
      </c>
      <c r="R451" s="319">
        <v>893.64686814024026</v>
      </c>
      <c r="S451" s="325"/>
      <c r="T451" s="311" t="s">
        <v>34</v>
      </c>
      <c r="U451" s="317"/>
    </row>
    <row r="452" spans="1:21" s="318" customFormat="1" ht="14.1" customHeight="1">
      <c r="A452" s="311">
        <v>448</v>
      </c>
      <c r="B452" s="247" t="s">
        <v>348</v>
      </c>
      <c r="C452" s="247" t="s">
        <v>348</v>
      </c>
      <c r="D452" s="311" t="s">
        <v>92</v>
      </c>
      <c r="E452" s="311" t="s">
        <v>3023</v>
      </c>
      <c r="F452" s="311" t="s">
        <v>2434</v>
      </c>
      <c r="G452" s="311" t="s">
        <v>3344</v>
      </c>
      <c r="H452" s="311" t="s">
        <v>3052</v>
      </c>
      <c r="I452" s="317" t="s">
        <v>3345</v>
      </c>
      <c r="J452" s="311" t="s">
        <v>30</v>
      </c>
      <c r="K452" s="311"/>
      <c r="L452" s="311" t="s">
        <v>336</v>
      </c>
      <c r="M452" s="308">
        <v>760429</v>
      </c>
      <c r="N452" s="311">
        <v>1</v>
      </c>
      <c r="O452" s="311" t="s">
        <v>2572</v>
      </c>
      <c r="P452" s="311" t="s">
        <v>34</v>
      </c>
      <c r="R452" s="319">
        <v>1599.6278939710301</v>
      </c>
      <c r="S452" s="325"/>
      <c r="T452" s="311" t="s">
        <v>34</v>
      </c>
      <c r="U452" s="317"/>
    </row>
    <row r="453" spans="1:21" s="318" customFormat="1" ht="14.1" customHeight="1">
      <c r="A453" s="311">
        <v>449</v>
      </c>
      <c r="B453" s="247" t="s">
        <v>348</v>
      </c>
      <c r="C453" s="247" t="s">
        <v>348</v>
      </c>
      <c r="D453" s="311" t="s">
        <v>92</v>
      </c>
      <c r="E453" s="311" t="s">
        <v>3023</v>
      </c>
      <c r="F453" s="311" t="s">
        <v>2434</v>
      </c>
      <c r="G453" s="311" t="s">
        <v>3346</v>
      </c>
      <c r="H453" s="311" t="s">
        <v>3052</v>
      </c>
      <c r="I453" s="317" t="s">
        <v>3347</v>
      </c>
      <c r="J453" s="311" t="s">
        <v>30</v>
      </c>
      <c r="K453" s="311"/>
      <c r="L453" s="311" t="s">
        <v>336</v>
      </c>
      <c r="M453" s="308">
        <v>760429</v>
      </c>
      <c r="N453" s="311">
        <v>1</v>
      </c>
      <c r="O453" s="311" t="s">
        <v>2572</v>
      </c>
      <c r="P453" s="311" t="s">
        <v>34</v>
      </c>
      <c r="R453" s="319">
        <v>893.64686814024026</v>
      </c>
      <c r="S453" s="325"/>
      <c r="T453" s="311" t="s">
        <v>34</v>
      </c>
      <c r="U453" s="317"/>
    </row>
    <row r="454" spans="1:21" s="318" customFormat="1" ht="14.1" customHeight="1">
      <c r="A454" s="311">
        <v>450</v>
      </c>
      <c r="B454" s="247" t="s">
        <v>348</v>
      </c>
      <c r="C454" s="247" t="s">
        <v>348</v>
      </c>
      <c r="D454" s="311" t="s">
        <v>92</v>
      </c>
      <c r="E454" s="311" t="s">
        <v>3023</v>
      </c>
      <c r="F454" s="311" t="s">
        <v>2434</v>
      </c>
      <c r="G454" s="311" t="s">
        <v>3348</v>
      </c>
      <c r="H454" s="311" t="s">
        <v>3096</v>
      </c>
      <c r="I454" s="317" t="s">
        <v>3349</v>
      </c>
      <c r="J454" s="311" t="s">
        <v>30</v>
      </c>
      <c r="K454" s="311"/>
      <c r="L454" s="311" t="s">
        <v>336</v>
      </c>
      <c r="M454" s="308">
        <v>760429</v>
      </c>
      <c r="N454" s="311">
        <v>1</v>
      </c>
      <c r="O454" s="311" t="s">
        <v>2572</v>
      </c>
      <c r="P454" s="311" t="s">
        <v>34</v>
      </c>
      <c r="R454" s="319">
        <v>1599.6278939710301</v>
      </c>
      <c r="S454" s="325"/>
      <c r="T454" s="311" t="s">
        <v>34</v>
      </c>
      <c r="U454" s="317"/>
    </row>
    <row r="455" spans="1:21" s="318" customFormat="1" ht="14.1" customHeight="1">
      <c r="A455" s="311">
        <v>451</v>
      </c>
      <c r="B455" s="247" t="s">
        <v>348</v>
      </c>
      <c r="C455" s="247" t="s">
        <v>348</v>
      </c>
      <c r="D455" s="311" t="s">
        <v>92</v>
      </c>
      <c r="E455" s="311" t="s">
        <v>3023</v>
      </c>
      <c r="F455" s="311" t="s">
        <v>2434</v>
      </c>
      <c r="G455" s="311" t="s">
        <v>3350</v>
      </c>
      <c r="H455" s="311" t="s">
        <v>3096</v>
      </c>
      <c r="I455" s="317" t="s">
        <v>3351</v>
      </c>
      <c r="J455" s="311" t="s">
        <v>30</v>
      </c>
      <c r="K455" s="311"/>
      <c r="L455" s="311" t="s">
        <v>336</v>
      </c>
      <c r="M455" s="308">
        <v>760429</v>
      </c>
      <c r="N455" s="311">
        <v>1</v>
      </c>
      <c r="O455" s="311" t="s">
        <v>2572</v>
      </c>
      <c r="P455" s="311" t="s">
        <v>34</v>
      </c>
      <c r="R455" s="319">
        <v>893.64686814024026</v>
      </c>
      <c r="S455" s="325"/>
      <c r="T455" s="311" t="s">
        <v>34</v>
      </c>
      <c r="U455" s="317"/>
    </row>
    <row r="456" spans="1:21" s="318" customFormat="1" ht="14.1" customHeight="1">
      <c r="A456" s="311">
        <v>452</v>
      </c>
      <c r="B456" s="247" t="s">
        <v>348</v>
      </c>
      <c r="C456" s="247" t="s">
        <v>348</v>
      </c>
      <c r="D456" s="311" t="s">
        <v>92</v>
      </c>
      <c r="E456" s="311" t="s">
        <v>3023</v>
      </c>
      <c r="F456" s="311" t="s">
        <v>2434</v>
      </c>
      <c r="G456" s="311" t="s">
        <v>3352</v>
      </c>
      <c r="H456" s="311" t="s">
        <v>3059</v>
      </c>
      <c r="I456" s="317" t="s">
        <v>3353</v>
      </c>
      <c r="J456" s="311" t="s">
        <v>30</v>
      </c>
      <c r="K456" s="311"/>
      <c r="L456" s="311" t="s">
        <v>336</v>
      </c>
      <c r="M456" s="308">
        <v>760429</v>
      </c>
      <c r="N456" s="311">
        <v>1</v>
      </c>
      <c r="O456" s="311" t="s">
        <v>2572</v>
      </c>
      <c r="P456" s="311" t="s">
        <v>34</v>
      </c>
      <c r="R456" s="319">
        <v>1599.6278939710301</v>
      </c>
      <c r="S456" s="325"/>
      <c r="T456" s="311" t="s">
        <v>34</v>
      </c>
      <c r="U456" s="317"/>
    </row>
    <row r="457" spans="1:21" s="318" customFormat="1" ht="14.1" customHeight="1">
      <c r="A457" s="311">
        <v>453</v>
      </c>
      <c r="B457" s="247" t="s">
        <v>348</v>
      </c>
      <c r="C457" s="247" t="s">
        <v>348</v>
      </c>
      <c r="D457" s="311" t="s">
        <v>92</v>
      </c>
      <c r="E457" s="311" t="s">
        <v>3023</v>
      </c>
      <c r="F457" s="311" t="s">
        <v>2434</v>
      </c>
      <c r="G457" s="311" t="s">
        <v>3354</v>
      </c>
      <c r="H457" s="311" t="s">
        <v>3059</v>
      </c>
      <c r="I457" s="317" t="s">
        <v>3355</v>
      </c>
      <c r="J457" s="311" t="s">
        <v>30</v>
      </c>
      <c r="K457" s="311"/>
      <c r="L457" s="311" t="s">
        <v>336</v>
      </c>
      <c r="M457" s="308">
        <v>760429</v>
      </c>
      <c r="N457" s="311">
        <v>1</v>
      </c>
      <c r="O457" s="311" t="s">
        <v>2572</v>
      </c>
      <c r="P457" s="311" t="s">
        <v>34</v>
      </c>
      <c r="R457" s="319">
        <v>893.64686814024026</v>
      </c>
      <c r="S457" s="325"/>
      <c r="T457" s="311" t="s">
        <v>34</v>
      </c>
      <c r="U457" s="317"/>
    </row>
    <row r="458" spans="1:21" s="318" customFormat="1" ht="14.1" customHeight="1">
      <c r="A458" s="311">
        <v>454</v>
      </c>
      <c r="B458" s="247" t="s">
        <v>348</v>
      </c>
      <c r="C458" s="247" t="s">
        <v>3356</v>
      </c>
      <c r="D458" s="311" t="s">
        <v>2174</v>
      </c>
      <c r="E458" s="311" t="s">
        <v>2433</v>
      </c>
      <c r="F458" s="311" t="s">
        <v>2434</v>
      </c>
      <c r="G458" s="311">
        <v>31071</v>
      </c>
      <c r="H458" s="311" t="s">
        <v>42</v>
      </c>
      <c r="I458" s="317" t="s">
        <v>3357</v>
      </c>
      <c r="J458" s="311" t="s">
        <v>30</v>
      </c>
      <c r="K458" s="311"/>
      <c r="L458" s="311" t="s">
        <v>322</v>
      </c>
      <c r="M458" s="308">
        <v>830241</v>
      </c>
      <c r="N458" s="311">
        <v>1</v>
      </c>
      <c r="O458" s="311" t="s">
        <v>2572</v>
      </c>
      <c r="P458" s="311" t="s">
        <v>34</v>
      </c>
      <c r="R458" s="319">
        <v>938.32921154725227</v>
      </c>
      <c r="S458" s="325"/>
      <c r="T458" s="311" t="s">
        <v>34</v>
      </c>
      <c r="U458" s="317"/>
    </row>
    <row r="459" spans="1:21" s="318" customFormat="1" ht="14.1" customHeight="1">
      <c r="A459" s="311">
        <v>455</v>
      </c>
      <c r="B459" s="247" t="s">
        <v>348</v>
      </c>
      <c r="C459" s="247" t="s">
        <v>3356</v>
      </c>
      <c r="D459" s="311" t="s">
        <v>2174</v>
      </c>
      <c r="E459" s="311" t="s">
        <v>2433</v>
      </c>
      <c r="F459" s="311" t="s">
        <v>2434</v>
      </c>
      <c r="G459" s="311">
        <v>30071</v>
      </c>
      <c r="H459" s="311" t="s">
        <v>42</v>
      </c>
      <c r="I459" s="317" t="s">
        <v>3358</v>
      </c>
      <c r="J459" s="311" t="s">
        <v>30</v>
      </c>
      <c r="K459" s="311"/>
      <c r="L459" s="311" t="s">
        <v>322</v>
      </c>
      <c r="M459" s="308">
        <v>830241</v>
      </c>
      <c r="N459" s="311">
        <v>1</v>
      </c>
      <c r="O459" s="311" t="s">
        <v>2572</v>
      </c>
      <c r="P459" s="311" t="s">
        <v>34</v>
      </c>
      <c r="R459" s="319">
        <v>822.15511868902092</v>
      </c>
      <c r="S459" s="325"/>
      <c r="T459" s="311" t="s">
        <v>34</v>
      </c>
      <c r="U459" s="317"/>
    </row>
    <row r="460" spans="1:21" s="318" customFormat="1" ht="14.1" customHeight="1">
      <c r="A460" s="311">
        <v>456</v>
      </c>
      <c r="B460" s="247" t="s">
        <v>348</v>
      </c>
      <c r="C460" s="247" t="s">
        <v>3356</v>
      </c>
      <c r="D460" s="311" t="s">
        <v>2174</v>
      </c>
      <c r="E460" s="311" t="s">
        <v>2433</v>
      </c>
      <c r="F460" s="311" t="s">
        <v>2434</v>
      </c>
      <c r="G460" s="311">
        <v>31084</v>
      </c>
      <c r="H460" s="311" t="s">
        <v>42</v>
      </c>
      <c r="I460" s="317" t="s">
        <v>3359</v>
      </c>
      <c r="J460" s="311" t="s">
        <v>30</v>
      </c>
      <c r="K460" s="311"/>
      <c r="L460" s="311" t="s">
        <v>322</v>
      </c>
      <c r="M460" s="308">
        <v>830241</v>
      </c>
      <c r="N460" s="311">
        <v>1</v>
      </c>
      <c r="O460" s="311" t="s">
        <v>2572</v>
      </c>
      <c r="P460" s="311" t="s">
        <v>34</v>
      </c>
      <c r="R460" s="319">
        <v>960.67038325075828</v>
      </c>
      <c r="S460" s="325"/>
      <c r="T460" s="311" t="s">
        <v>34</v>
      </c>
      <c r="U460" s="317"/>
    </row>
    <row r="461" spans="1:21" s="318" customFormat="1" ht="14.1" customHeight="1">
      <c r="A461" s="311">
        <v>457</v>
      </c>
      <c r="B461" s="247" t="s">
        <v>348</v>
      </c>
      <c r="C461" s="247" t="s">
        <v>3356</v>
      </c>
      <c r="D461" s="311" t="s">
        <v>2174</v>
      </c>
      <c r="E461" s="311" t="s">
        <v>2433</v>
      </c>
      <c r="F461" s="311" t="s">
        <v>2434</v>
      </c>
      <c r="G461" s="311">
        <v>30084</v>
      </c>
      <c r="H461" s="311" t="s">
        <v>42</v>
      </c>
      <c r="I461" s="317" t="s">
        <v>3360</v>
      </c>
      <c r="J461" s="311" t="s">
        <v>30</v>
      </c>
      <c r="K461" s="311"/>
      <c r="L461" s="311" t="s">
        <v>322</v>
      </c>
      <c r="M461" s="308">
        <v>830241</v>
      </c>
      <c r="N461" s="311">
        <v>1</v>
      </c>
      <c r="O461" s="311" t="s">
        <v>2572</v>
      </c>
      <c r="P461" s="311" t="s">
        <v>34</v>
      </c>
      <c r="R461" s="319">
        <v>844.49629039252693</v>
      </c>
      <c r="S461" s="325"/>
      <c r="T461" s="311" t="s">
        <v>34</v>
      </c>
      <c r="U461" s="317"/>
    </row>
    <row r="462" spans="1:21" s="318" customFormat="1" ht="14.1" customHeight="1">
      <c r="A462" s="311">
        <v>458</v>
      </c>
      <c r="B462" s="247" t="s">
        <v>348</v>
      </c>
      <c r="C462" s="247" t="s">
        <v>3356</v>
      </c>
      <c r="D462" s="311" t="s">
        <v>2174</v>
      </c>
      <c r="E462" s="311" t="s">
        <v>2433</v>
      </c>
      <c r="F462" s="311" t="s">
        <v>2434</v>
      </c>
      <c r="G462" s="311">
        <v>31096</v>
      </c>
      <c r="H462" s="311" t="s">
        <v>42</v>
      </c>
      <c r="I462" s="317" t="s">
        <v>3361</v>
      </c>
      <c r="J462" s="311" t="s">
        <v>30</v>
      </c>
      <c r="K462" s="311"/>
      <c r="L462" s="311" t="s">
        <v>322</v>
      </c>
      <c r="M462" s="308">
        <v>830241</v>
      </c>
      <c r="N462" s="311">
        <v>1</v>
      </c>
      <c r="O462" s="311" t="s">
        <v>2572</v>
      </c>
      <c r="P462" s="311" t="s">
        <v>34</v>
      </c>
      <c r="R462" s="319">
        <v>985.24567212461477</v>
      </c>
      <c r="S462" s="325"/>
      <c r="T462" s="311" t="s">
        <v>34</v>
      </c>
      <c r="U462" s="317"/>
    </row>
    <row r="463" spans="1:21" s="318" customFormat="1" ht="14.1" customHeight="1">
      <c r="A463" s="311">
        <v>459</v>
      </c>
      <c r="B463" s="247" t="s">
        <v>348</v>
      </c>
      <c r="C463" s="247" t="s">
        <v>3356</v>
      </c>
      <c r="D463" s="311" t="s">
        <v>2174</v>
      </c>
      <c r="E463" s="311" t="s">
        <v>2433</v>
      </c>
      <c r="F463" s="311" t="s">
        <v>2434</v>
      </c>
      <c r="G463" s="311">
        <v>30096</v>
      </c>
      <c r="H463" s="311" t="s">
        <v>42</v>
      </c>
      <c r="I463" s="317" t="s">
        <v>3362</v>
      </c>
      <c r="J463" s="311" t="s">
        <v>30</v>
      </c>
      <c r="K463" s="311"/>
      <c r="L463" s="311" t="s">
        <v>322</v>
      </c>
      <c r="M463" s="308">
        <v>830241</v>
      </c>
      <c r="N463" s="311">
        <v>1</v>
      </c>
      <c r="O463" s="311" t="s">
        <v>2572</v>
      </c>
      <c r="P463" s="311" t="s">
        <v>34</v>
      </c>
      <c r="R463" s="319">
        <v>873.53981360708474</v>
      </c>
      <c r="S463" s="325"/>
      <c r="T463" s="311" t="s">
        <v>34</v>
      </c>
      <c r="U463" s="317"/>
    </row>
    <row r="464" spans="1:21" s="318" customFormat="1" ht="14.1" customHeight="1">
      <c r="A464" s="311">
        <v>460</v>
      </c>
      <c r="B464" s="247" t="s">
        <v>348</v>
      </c>
      <c r="C464" s="247" t="s">
        <v>3356</v>
      </c>
      <c r="D464" s="311" t="s">
        <v>2174</v>
      </c>
      <c r="E464" s="311" t="s">
        <v>2433</v>
      </c>
      <c r="F464" s="311" t="s">
        <v>2434</v>
      </c>
      <c r="G464" s="311">
        <v>31109</v>
      </c>
      <c r="H464" s="311" t="s">
        <v>42</v>
      </c>
      <c r="I464" s="317" t="s">
        <v>3363</v>
      </c>
      <c r="J464" s="311" t="s">
        <v>30</v>
      </c>
      <c r="K464" s="311"/>
      <c r="L464" s="311" t="s">
        <v>322</v>
      </c>
      <c r="M464" s="308">
        <v>830241</v>
      </c>
      <c r="N464" s="311">
        <v>1</v>
      </c>
      <c r="O464" s="311" t="s">
        <v>2572</v>
      </c>
      <c r="P464" s="311" t="s">
        <v>34</v>
      </c>
      <c r="R464" s="319">
        <v>1005.3527266577699</v>
      </c>
      <c r="S464" s="325"/>
      <c r="T464" s="311" t="s">
        <v>34</v>
      </c>
      <c r="U464" s="317"/>
    </row>
    <row r="465" spans="1:21" s="318" customFormat="1" ht="14.1" customHeight="1">
      <c r="A465" s="311">
        <v>461</v>
      </c>
      <c r="B465" s="247" t="s">
        <v>348</v>
      </c>
      <c r="C465" s="247" t="s">
        <v>3356</v>
      </c>
      <c r="D465" s="311" t="s">
        <v>2174</v>
      </c>
      <c r="E465" s="311" t="s">
        <v>2433</v>
      </c>
      <c r="F465" s="311" t="s">
        <v>2434</v>
      </c>
      <c r="G465" s="311">
        <v>30109</v>
      </c>
      <c r="H465" s="311" t="s">
        <v>42</v>
      </c>
      <c r="I465" s="317" t="s">
        <v>3364</v>
      </c>
      <c r="J465" s="311" t="s">
        <v>30</v>
      </c>
      <c r="K465" s="311"/>
      <c r="L465" s="311" t="s">
        <v>322</v>
      </c>
      <c r="M465" s="308">
        <v>830241</v>
      </c>
      <c r="N465" s="311">
        <v>1</v>
      </c>
      <c r="O465" s="311" t="s">
        <v>2572</v>
      </c>
      <c r="P465" s="311" t="s">
        <v>34</v>
      </c>
      <c r="R465" s="319">
        <v>895.88098531059075</v>
      </c>
      <c r="S465" s="325"/>
      <c r="T465" s="311" t="s">
        <v>34</v>
      </c>
      <c r="U465" s="317"/>
    </row>
    <row r="466" spans="1:21" s="318" customFormat="1" ht="14.1" customHeight="1">
      <c r="A466" s="311">
        <v>462</v>
      </c>
      <c r="B466" s="247" t="s">
        <v>348</v>
      </c>
      <c r="C466" s="247" t="s">
        <v>3356</v>
      </c>
      <c r="D466" s="311" t="s">
        <v>2174</v>
      </c>
      <c r="E466" s="311" t="s">
        <v>2433</v>
      </c>
      <c r="F466" s="311" t="s">
        <v>2434</v>
      </c>
      <c r="G466" s="311">
        <v>31121</v>
      </c>
      <c r="H466" s="311" t="s">
        <v>42</v>
      </c>
      <c r="I466" s="317" t="s">
        <v>3365</v>
      </c>
      <c r="J466" s="311" t="s">
        <v>30</v>
      </c>
      <c r="K466" s="311"/>
      <c r="L466" s="311" t="s">
        <v>322</v>
      </c>
      <c r="M466" s="308">
        <v>830241</v>
      </c>
      <c r="N466" s="311">
        <v>1</v>
      </c>
      <c r="O466" s="311" t="s">
        <v>2572</v>
      </c>
      <c r="P466" s="311" t="s">
        <v>34</v>
      </c>
      <c r="R466" s="319">
        <v>1018.757429679874</v>
      </c>
      <c r="S466" s="325"/>
      <c r="T466" s="311" t="s">
        <v>34</v>
      </c>
      <c r="U466" s="317"/>
    </row>
    <row r="467" spans="1:21" s="318" customFormat="1" ht="14.1" customHeight="1">
      <c r="A467" s="311">
        <v>463</v>
      </c>
      <c r="B467" s="247" t="s">
        <v>348</v>
      </c>
      <c r="C467" s="247" t="s">
        <v>3356</v>
      </c>
      <c r="D467" s="311" t="s">
        <v>2174</v>
      </c>
      <c r="E467" s="311" t="s">
        <v>2433</v>
      </c>
      <c r="F467" s="311" t="s">
        <v>2434</v>
      </c>
      <c r="G467" s="311">
        <v>30121</v>
      </c>
      <c r="H467" s="311" t="s">
        <v>42</v>
      </c>
      <c r="I467" s="317" t="s">
        <v>3366</v>
      </c>
      <c r="J467" s="311" t="s">
        <v>30</v>
      </c>
      <c r="K467" s="311"/>
      <c r="L467" s="311" t="s">
        <v>322</v>
      </c>
      <c r="M467" s="308">
        <v>830241</v>
      </c>
      <c r="N467" s="311">
        <v>1</v>
      </c>
      <c r="O467" s="311" t="s">
        <v>2572</v>
      </c>
      <c r="P467" s="311" t="s">
        <v>34</v>
      </c>
      <c r="R467" s="319">
        <v>911.51980550304484</v>
      </c>
      <c r="S467" s="325"/>
      <c r="T467" s="311" t="s">
        <v>34</v>
      </c>
      <c r="U467" s="317"/>
    </row>
    <row r="468" spans="1:21" s="318" customFormat="1" ht="14.1" customHeight="1">
      <c r="A468" s="311">
        <v>464</v>
      </c>
      <c r="B468" s="247" t="s">
        <v>348</v>
      </c>
      <c r="C468" s="247" t="s">
        <v>3356</v>
      </c>
      <c r="D468" s="311" t="s">
        <v>2174</v>
      </c>
      <c r="E468" s="311" t="s">
        <v>2433</v>
      </c>
      <c r="F468" s="311" t="s">
        <v>2434</v>
      </c>
      <c r="G468" s="311">
        <v>31134</v>
      </c>
      <c r="H468" s="311" t="s">
        <v>42</v>
      </c>
      <c r="I468" s="317" t="s">
        <v>3367</v>
      </c>
      <c r="J468" s="311" t="s">
        <v>30</v>
      </c>
      <c r="K468" s="311"/>
      <c r="L468" s="311" t="s">
        <v>322</v>
      </c>
      <c r="M468" s="308">
        <v>830241</v>
      </c>
      <c r="N468" s="311">
        <v>1</v>
      </c>
      <c r="O468" s="311" t="s">
        <v>2572</v>
      </c>
      <c r="P468" s="311" t="s">
        <v>34</v>
      </c>
      <c r="R468" s="319">
        <v>1159.506811411962</v>
      </c>
      <c r="S468" s="325"/>
      <c r="T468" s="311" t="s">
        <v>34</v>
      </c>
      <c r="U468" s="317"/>
    </row>
    <row r="469" spans="1:21" s="318" customFormat="1" ht="14.1" customHeight="1">
      <c r="A469" s="311">
        <v>465</v>
      </c>
      <c r="B469" s="247" t="s">
        <v>348</v>
      </c>
      <c r="C469" s="247" t="s">
        <v>3356</v>
      </c>
      <c r="D469" s="311" t="s">
        <v>2174</v>
      </c>
      <c r="E469" s="311" t="s">
        <v>2433</v>
      </c>
      <c r="F469" s="311" t="s">
        <v>2434</v>
      </c>
      <c r="G469" s="311">
        <v>30134</v>
      </c>
      <c r="H469" s="311" t="s">
        <v>42</v>
      </c>
      <c r="I469" s="317" t="s">
        <v>3368</v>
      </c>
      <c r="J469" s="311" t="s">
        <v>30</v>
      </c>
      <c r="K469" s="311"/>
      <c r="L469" s="311" t="s">
        <v>322</v>
      </c>
      <c r="M469" s="308">
        <v>830241</v>
      </c>
      <c r="N469" s="311">
        <v>1</v>
      </c>
      <c r="O469" s="311" t="s">
        <v>2572</v>
      </c>
      <c r="P469" s="311" t="s">
        <v>34</v>
      </c>
      <c r="R469" s="319">
        <v>1043.332718553731</v>
      </c>
      <c r="S469" s="325"/>
      <c r="T469" s="311" t="s">
        <v>34</v>
      </c>
      <c r="U469" s="317"/>
    </row>
    <row r="470" spans="1:21" s="318" customFormat="1" ht="14.1" customHeight="1">
      <c r="A470" s="311">
        <v>466</v>
      </c>
      <c r="B470" s="247" t="s">
        <v>348</v>
      </c>
      <c r="C470" s="247" t="s">
        <v>3356</v>
      </c>
      <c r="D470" s="311" t="s">
        <v>2174</v>
      </c>
      <c r="E470" s="311" t="s">
        <v>2433</v>
      </c>
      <c r="F470" s="311" t="s">
        <v>2434</v>
      </c>
      <c r="G470" s="311">
        <v>30146</v>
      </c>
      <c r="H470" s="311" t="s">
        <v>42</v>
      </c>
      <c r="I470" s="317" t="s">
        <v>3369</v>
      </c>
      <c r="J470" s="311" t="s">
        <v>30</v>
      </c>
      <c r="K470" s="311"/>
      <c r="L470" s="311" t="s">
        <v>322</v>
      </c>
      <c r="M470" s="308">
        <v>830241</v>
      </c>
      <c r="N470" s="311">
        <v>1</v>
      </c>
      <c r="O470" s="311" t="s">
        <v>2572</v>
      </c>
      <c r="P470" s="311" t="s">
        <v>34</v>
      </c>
      <c r="R470" s="319">
        <v>1186.3162174561689</v>
      </c>
      <c r="S470" s="325"/>
      <c r="T470" s="311" t="s">
        <v>34</v>
      </c>
      <c r="U470" s="317"/>
    </row>
    <row r="471" spans="1:21" ht="14.1" customHeight="1">
      <c r="H471" t="s">
        <v>42</v>
      </c>
      <c r="L471" s="2"/>
    </row>
    <row r="472" spans="1:21" ht="14.1" customHeight="1">
      <c r="H472" t="s">
        <v>42</v>
      </c>
      <c r="L472" s="2"/>
    </row>
    <row r="473" spans="1:21" ht="14.1" customHeight="1">
      <c r="H473" t="s">
        <v>42</v>
      </c>
      <c r="L473" s="2"/>
    </row>
    <row r="474" spans="1:21" ht="14.1" customHeight="1">
      <c r="H474" t="s">
        <v>42</v>
      </c>
      <c r="L474" s="2"/>
    </row>
    <row r="475" spans="1:21" ht="14.1" customHeight="1">
      <c r="H475" t="s">
        <v>42</v>
      </c>
      <c r="L475" s="2"/>
    </row>
    <row r="476" spans="1:21" ht="14.1" customHeight="1">
      <c r="H476" t="s">
        <v>42</v>
      </c>
      <c r="L476" s="2"/>
    </row>
    <row r="477" spans="1:21" ht="14.1" customHeight="1">
      <c r="H477" t="s">
        <v>42</v>
      </c>
      <c r="L477" s="2"/>
    </row>
    <row r="478" spans="1:21" ht="14.1" customHeight="1">
      <c r="H478" t="s">
        <v>42</v>
      </c>
      <c r="L478" s="2"/>
    </row>
    <row r="479" spans="1:21" ht="14.1" customHeight="1">
      <c r="H479" t="s">
        <v>42</v>
      </c>
      <c r="L479" s="2"/>
    </row>
    <row r="480" spans="1:21" ht="14.1" customHeight="1">
      <c r="H480" t="s">
        <v>42</v>
      </c>
      <c r="L480" s="2"/>
    </row>
    <row r="481" spans="8:12" ht="14.1" customHeight="1">
      <c r="H481" t="s">
        <v>42</v>
      </c>
      <c r="L481" s="2"/>
    </row>
    <row r="482" spans="8:12" ht="14.1" customHeight="1"/>
    <row r="483" spans="8:12" ht="14.1" customHeight="1"/>
    <row r="484" spans="8:12" ht="14.1" customHeight="1"/>
    <row r="485" spans="8:12" ht="14.1" customHeight="1"/>
    <row r="486" spans="8:12" ht="14.1" customHeight="1"/>
    <row r="487" spans="8:12" ht="14.1" customHeight="1"/>
    <row r="488" spans="8:12" ht="14.1" customHeight="1"/>
    <row r="489" spans="8:12" ht="14.1" customHeight="1"/>
    <row r="490" spans="8:12" ht="14.1" customHeight="1"/>
    <row r="491" spans="8:12" ht="14.1" customHeight="1"/>
    <row r="492" spans="8:12" ht="14.1" customHeight="1"/>
    <row r="493" spans="8:12" ht="14.1" customHeight="1"/>
    <row r="494" spans="8:12" ht="14.1" customHeight="1"/>
    <row r="495" spans="8:12" ht="14.1" customHeight="1"/>
    <row r="496" spans="8:12" ht="14.1" customHeight="1"/>
    <row r="497" ht="14.1" customHeight="1"/>
    <row r="498" ht="14.1" customHeight="1"/>
    <row r="499" ht="14.1" customHeight="1"/>
    <row r="500" ht="14.1" customHeight="1"/>
    <row r="501" ht="14.1" customHeight="1"/>
    <row r="502" ht="14.1" customHeight="1"/>
    <row r="503" ht="14.1" customHeight="1"/>
    <row r="504" ht="14.1" customHeight="1"/>
    <row r="505" ht="14.1" customHeight="1"/>
    <row r="506" ht="14.1" customHeight="1"/>
    <row r="507" ht="14.1" customHeight="1"/>
    <row r="508" ht="14.1" customHeight="1"/>
    <row r="509" ht="14.1" customHeight="1"/>
    <row r="510" ht="14.1" customHeight="1"/>
    <row r="511" ht="14.1" customHeight="1"/>
    <row r="512" ht="14.1" customHeight="1"/>
    <row r="513" ht="14.1" customHeight="1"/>
    <row r="514" ht="14.1" customHeight="1"/>
    <row r="515" ht="14.1" customHeight="1"/>
    <row r="516" ht="14.1" customHeight="1"/>
    <row r="517" ht="14.1" customHeight="1"/>
    <row r="518" ht="14.1" customHeight="1"/>
    <row r="519" ht="14.1" customHeight="1"/>
    <row r="520" ht="14.1" customHeight="1"/>
    <row r="521" ht="14.1" customHeight="1"/>
    <row r="522" ht="14.1" customHeight="1"/>
    <row r="523" ht="14.1" customHeight="1"/>
    <row r="524" ht="14.1" customHeight="1"/>
    <row r="525" ht="14.1" customHeight="1"/>
    <row r="526" ht="14.1" customHeight="1"/>
    <row r="527" ht="14.1" customHeight="1"/>
    <row r="528" ht="14.1" customHeight="1"/>
    <row r="529" ht="14.1" customHeight="1"/>
    <row r="530" ht="14.1" customHeight="1"/>
    <row r="531" ht="14.1" customHeight="1"/>
    <row r="532" ht="14.1" customHeight="1"/>
    <row r="533" ht="14.1" customHeight="1"/>
    <row r="534" ht="14.1" customHeight="1"/>
    <row r="535" ht="14.1" customHeight="1"/>
    <row r="536" ht="14.1" customHeight="1"/>
    <row r="537" ht="14.1" customHeight="1"/>
    <row r="538" ht="14.1" customHeight="1"/>
    <row r="539" ht="14.1" customHeight="1"/>
    <row r="540" ht="14.1" customHeight="1"/>
    <row r="541" ht="14.1" customHeight="1"/>
    <row r="542" ht="14.1" customHeight="1"/>
    <row r="543" ht="14.1" customHeight="1"/>
    <row r="544" ht="14.1" customHeight="1"/>
    <row r="545" ht="14.1" customHeight="1"/>
    <row r="546" ht="14.1" customHeight="1"/>
    <row r="547" ht="14.1" customHeight="1"/>
    <row r="548" ht="14.1" customHeight="1"/>
    <row r="549" ht="14.1" customHeight="1"/>
    <row r="550" ht="14.1" customHeight="1"/>
    <row r="551" ht="14.1" customHeight="1"/>
    <row r="552" ht="14.1" customHeight="1"/>
    <row r="553" ht="14.1" customHeight="1"/>
    <row r="554" ht="14.1" customHeight="1"/>
    <row r="555" ht="14.1" customHeight="1"/>
    <row r="556" ht="14.1" customHeight="1"/>
    <row r="557" ht="14.1" customHeight="1"/>
    <row r="558" ht="14.1" customHeight="1"/>
    <row r="559" ht="14.1" customHeight="1"/>
    <row r="560" ht="14.1" customHeight="1"/>
    <row r="561" ht="14.1" customHeight="1"/>
    <row r="562" ht="14.1" customHeight="1"/>
    <row r="563" ht="14.1" customHeight="1"/>
    <row r="564" ht="14.1" customHeight="1"/>
    <row r="565" ht="14.1" customHeight="1"/>
    <row r="566" ht="14.1" customHeight="1"/>
    <row r="567" ht="14.1" customHeight="1"/>
    <row r="568" ht="14.1" customHeight="1"/>
    <row r="569" ht="14.1" customHeight="1"/>
    <row r="570" ht="14.1" customHeight="1"/>
    <row r="571" ht="14.1" customHeight="1"/>
    <row r="572" ht="14.1" customHeight="1"/>
    <row r="573" ht="14.1" customHeight="1"/>
    <row r="574" ht="14.1" customHeight="1"/>
    <row r="575" ht="14.1" customHeight="1"/>
    <row r="576" ht="14.1" customHeight="1"/>
    <row r="577" ht="14.1" customHeight="1"/>
    <row r="578" ht="14.1" customHeight="1"/>
    <row r="579" ht="14.1" customHeight="1"/>
    <row r="580" ht="14.1" customHeight="1"/>
    <row r="581" ht="14.1" customHeight="1"/>
    <row r="582" ht="14.1" customHeight="1"/>
    <row r="583" ht="14.1" customHeight="1"/>
    <row r="584" ht="14.1" customHeight="1"/>
    <row r="585" ht="14.1" customHeight="1"/>
    <row r="586" ht="14.1" customHeight="1"/>
    <row r="587" ht="14.1" customHeight="1"/>
    <row r="588" ht="14.1" customHeight="1"/>
    <row r="589" ht="14.1" customHeight="1"/>
    <row r="590" ht="14.1" customHeight="1"/>
    <row r="591" ht="14.1" customHeight="1"/>
    <row r="592" ht="14.1" customHeight="1"/>
    <row r="593" ht="14.1" customHeight="1"/>
    <row r="594" ht="14.1" customHeight="1"/>
    <row r="595" ht="14.1" customHeight="1"/>
    <row r="596" ht="14.1" customHeight="1"/>
    <row r="597" ht="14.1" customHeight="1"/>
    <row r="598" ht="14.1" customHeight="1"/>
    <row r="599" ht="14.1" customHeight="1"/>
    <row r="600" ht="14.1" customHeight="1"/>
    <row r="601" ht="14.1" customHeight="1"/>
    <row r="602" ht="14.1" customHeight="1"/>
    <row r="603" ht="14.1" customHeight="1"/>
    <row r="604" ht="14.1" customHeight="1"/>
    <row r="605" ht="14.1" customHeight="1"/>
    <row r="606" ht="14.1" customHeight="1"/>
    <row r="607" ht="14.1" customHeight="1"/>
    <row r="608" ht="14.1" customHeight="1"/>
    <row r="609" ht="14.1" customHeight="1"/>
    <row r="610" ht="14.1" customHeight="1"/>
    <row r="611" ht="14.1" customHeight="1"/>
    <row r="612" ht="14.1" customHeight="1"/>
    <row r="613" ht="14.1" customHeight="1"/>
    <row r="614" ht="14.1" customHeight="1"/>
    <row r="615" ht="14.1" customHeight="1"/>
    <row r="616" ht="14.1" customHeight="1"/>
    <row r="617" ht="14.1" customHeight="1"/>
    <row r="618" ht="14.1" customHeight="1"/>
    <row r="619" ht="14.1" customHeight="1"/>
    <row r="620" ht="14.1" customHeight="1"/>
    <row r="621" ht="14.1" customHeight="1"/>
    <row r="622" ht="14.1" customHeight="1"/>
    <row r="623" ht="14.1" customHeight="1"/>
    <row r="624" ht="14.1" customHeight="1"/>
    <row r="625" ht="14.1" customHeight="1"/>
    <row r="626" ht="14.1" customHeight="1"/>
    <row r="627" ht="14.1" customHeight="1"/>
    <row r="628" ht="14.1" customHeight="1"/>
    <row r="629" ht="14.1" customHeight="1"/>
    <row r="630" ht="14.1" customHeight="1"/>
    <row r="631" ht="14.1" customHeight="1"/>
    <row r="632" ht="14.1" customHeight="1"/>
    <row r="633" ht="14.1" customHeight="1"/>
    <row r="634" ht="14.1" customHeight="1"/>
    <row r="635" ht="14.1" customHeight="1"/>
    <row r="636" ht="14.1" customHeight="1"/>
    <row r="637" ht="14.1" customHeight="1"/>
    <row r="638" ht="14.1" customHeight="1"/>
    <row r="639" ht="14.1" customHeight="1"/>
    <row r="640" ht="14.1" customHeight="1"/>
    <row r="641" ht="14.1" customHeight="1"/>
    <row r="642" ht="14.1" customHeight="1"/>
    <row r="643" ht="14.1" customHeight="1"/>
    <row r="644" ht="14.1" customHeight="1"/>
    <row r="645" ht="14.1" customHeight="1"/>
    <row r="646" ht="14.1" customHeight="1"/>
    <row r="647" ht="14.1" customHeight="1"/>
    <row r="648" ht="14.1" customHeight="1"/>
    <row r="649" ht="14.1" customHeight="1"/>
    <row r="650" ht="14.1" customHeight="1"/>
    <row r="651" ht="14.1" customHeight="1"/>
    <row r="652" ht="14.1" customHeight="1"/>
    <row r="653" ht="14.1" customHeight="1"/>
    <row r="654" ht="14.1" customHeight="1"/>
    <row r="655" ht="14.1" customHeight="1"/>
    <row r="656" ht="14.1" customHeight="1"/>
    <row r="657" ht="14.1" customHeight="1"/>
    <row r="658" ht="14.1" customHeight="1"/>
    <row r="659" ht="14.1" customHeight="1"/>
    <row r="660" ht="14.1" customHeight="1"/>
    <row r="661" ht="14.1" customHeight="1"/>
    <row r="662" ht="14.1" customHeight="1"/>
    <row r="663" ht="14.1" customHeight="1"/>
    <row r="664" ht="14.1" customHeight="1"/>
    <row r="665" ht="14.1" customHeight="1"/>
    <row r="666" ht="14.1" customHeight="1"/>
    <row r="667" ht="14.1" customHeight="1"/>
    <row r="668" ht="14.1" customHeight="1"/>
    <row r="669" ht="14.1" customHeight="1"/>
    <row r="670" ht="14.1" customHeight="1"/>
    <row r="671" ht="14.1" customHeight="1"/>
    <row r="672" ht="14.1" customHeight="1"/>
    <row r="673" ht="14.1" customHeight="1"/>
    <row r="674" ht="14.1" customHeight="1"/>
    <row r="675" ht="14.1" customHeight="1"/>
    <row r="676" ht="14.1" customHeight="1"/>
    <row r="677" ht="14.1" customHeight="1"/>
    <row r="678" ht="14.1" customHeight="1"/>
    <row r="679" ht="14.1" customHeight="1"/>
    <row r="680" ht="14.1" customHeight="1"/>
    <row r="681" ht="14.1" customHeight="1"/>
    <row r="682" ht="14.1" customHeight="1"/>
    <row r="683" ht="14.1" customHeight="1"/>
    <row r="684" ht="14.1" customHeight="1"/>
    <row r="685" ht="14.1" customHeight="1"/>
    <row r="686" ht="14.1" customHeight="1"/>
    <row r="687" ht="14.1" customHeight="1"/>
    <row r="688" ht="14.1" customHeight="1"/>
    <row r="689" ht="14.1" customHeight="1"/>
    <row r="690" ht="14.1" customHeight="1"/>
    <row r="691" ht="14.1" customHeight="1"/>
    <row r="692" ht="14.1" customHeight="1"/>
    <row r="693" ht="14.1" customHeight="1"/>
    <row r="694" ht="14.1" customHeight="1"/>
    <row r="695" ht="14.1" customHeight="1"/>
    <row r="696" ht="14.1" customHeight="1"/>
    <row r="697" ht="14.1" customHeight="1"/>
    <row r="698" ht="14.1" customHeight="1"/>
    <row r="699" ht="14.1" customHeight="1"/>
    <row r="700" ht="14.1" customHeight="1"/>
    <row r="701" ht="14.1" customHeight="1"/>
    <row r="702" ht="14.1" customHeight="1"/>
    <row r="703" ht="14.1" customHeight="1"/>
    <row r="704" ht="14.1" customHeight="1"/>
    <row r="705" ht="14.1" customHeight="1"/>
    <row r="706" ht="14.1" customHeight="1"/>
    <row r="707" ht="14.1" customHeight="1"/>
    <row r="708" ht="14.1" customHeight="1"/>
    <row r="709" ht="14.1" customHeight="1"/>
    <row r="710" ht="14.1" customHeight="1"/>
    <row r="711" ht="14.1" customHeight="1"/>
    <row r="712" ht="14.1" customHeight="1"/>
    <row r="713" ht="14.1" customHeight="1"/>
    <row r="714" ht="14.1" customHeight="1"/>
    <row r="715" ht="14.1" customHeight="1"/>
    <row r="716" ht="14.1" customHeight="1"/>
    <row r="717" ht="14.1" customHeight="1"/>
    <row r="718" ht="14.1" customHeight="1"/>
    <row r="719" ht="14.1" customHeight="1"/>
    <row r="720" ht="14.1" customHeight="1"/>
    <row r="721" ht="14.1" customHeight="1"/>
    <row r="722" ht="14.1" customHeight="1"/>
    <row r="723" ht="14.1" customHeight="1"/>
    <row r="724" ht="14.1" customHeight="1"/>
    <row r="725" ht="14.1" customHeight="1"/>
    <row r="726" ht="14.1" customHeight="1"/>
    <row r="727" ht="14.1" customHeight="1"/>
    <row r="728" ht="14.1" customHeight="1"/>
    <row r="729" ht="14.1" customHeight="1"/>
    <row r="730" ht="14.1" customHeight="1"/>
    <row r="731" ht="14.1" customHeight="1"/>
    <row r="732" ht="14.1" customHeight="1"/>
    <row r="733" ht="14.1" customHeight="1"/>
    <row r="734" ht="14.1" customHeight="1"/>
    <row r="735" ht="14.1" customHeight="1"/>
    <row r="736" ht="14.1" customHeight="1"/>
    <row r="737" ht="14.1" customHeight="1"/>
    <row r="738" ht="14.1" customHeight="1"/>
    <row r="739" ht="14.1" customHeight="1"/>
    <row r="740" ht="14.1" customHeight="1"/>
    <row r="741" ht="14.1" customHeight="1"/>
    <row r="742" ht="14.1" customHeight="1"/>
    <row r="743" ht="14.1" customHeight="1"/>
    <row r="744" ht="14.1" customHeight="1"/>
    <row r="745" ht="14.1" customHeight="1"/>
    <row r="746" ht="14.1" customHeight="1"/>
    <row r="747" ht="14.1" customHeight="1"/>
    <row r="748" ht="14.1" customHeight="1"/>
    <row r="749" ht="14.1" customHeight="1"/>
    <row r="750" ht="14.1" customHeight="1"/>
    <row r="751" ht="14.1" customHeight="1"/>
    <row r="752" ht="14.1" customHeight="1"/>
    <row r="753" ht="14.1" customHeight="1"/>
    <row r="754" ht="14.1" customHeight="1"/>
    <row r="755" ht="14.1" customHeight="1"/>
    <row r="756" ht="14.1" customHeight="1"/>
    <row r="757" ht="14.1" customHeight="1"/>
    <row r="758" ht="14.1" customHeight="1"/>
    <row r="759" ht="14.1" customHeight="1"/>
    <row r="760" ht="14.1" customHeight="1"/>
    <row r="761" ht="14.1" customHeight="1"/>
    <row r="762" ht="14.1" customHeight="1"/>
    <row r="763" ht="14.1" customHeight="1"/>
    <row r="764" ht="14.1" customHeight="1"/>
    <row r="765" ht="14.1" customHeight="1"/>
    <row r="766" ht="14.1" customHeight="1"/>
    <row r="767" ht="14.1" customHeight="1"/>
    <row r="768" ht="14.1" customHeight="1"/>
    <row r="769" ht="14.1" customHeight="1"/>
    <row r="770" ht="14.1" customHeight="1"/>
    <row r="771" ht="14.1" customHeight="1"/>
    <row r="772" ht="14.1" customHeight="1"/>
    <row r="773" ht="14.1" customHeight="1"/>
    <row r="774" ht="14.1" customHeight="1"/>
    <row r="775" ht="14.1" customHeight="1"/>
    <row r="776" ht="14.1" customHeight="1"/>
    <row r="777" ht="14.1" customHeight="1"/>
    <row r="778" ht="14.1" customHeight="1"/>
  </sheetData>
  <pageMargins left="0.61" right="0.16" top="0.87" bottom="0.21" header="0.16" footer="0.16"/>
  <pageSetup paperSize="8" scale="69" orientation="landscape"/>
  <headerFooter alignWithMargins="0">
    <oddFooter>&amp;L&amp;"Arial"&amp;7 &amp;KDAD4CE_x000D_# Internal_x000D_&amp;1#&amp;"Arial"&amp;7&amp;KDAD4CE Public</oddFooter>
  </headerFooter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300-000000000000}">
  <sheetPr>
    <tabColor rgb="FF92D050"/>
    <pageSetUpPr fitToPage="1"/>
  </sheetPr>
  <dimension ref="A1:U793"/>
  <sheetViews>
    <sheetView zoomScale="80" zoomScaleNormal="80" workbookViewId="0">
      <pane ySplit="4" topLeftCell="A5" activePane="bottomLeft" state="frozen"/>
      <selection activeCell="A16" sqref="A16"/>
      <selection pane="bottomLeft" activeCell="A16" sqref="A16"/>
    </sheetView>
  </sheetViews>
  <sheetFormatPr defaultColWidth="8.85546875" defaultRowHeight="15" customHeight="1"/>
  <cols>
    <col min="1" max="1" width="4.140625" style="3" customWidth="1"/>
    <col min="2" max="3" width="8.5703125" style="20" customWidth="1"/>
    <col min="4" max="4" width="14.5703125" style="3" customWidth="1"/>
    <col min="5" max="5" width="20.5703125" style="20" customWidth="1"/>
    <col min="6" max="6" width="8.5703125" style="3" customWidth="1"/>
    <col min="7" max="7" width="32.5703125" style="2" customWidth="1"/>
    <col min="8" max="8" width="18.5703125" style="3" customWidth="1"/>
    <col min="9" max="9" width="62.5703125" style="2" customWidth="1"/>
    <col min="10" max="12" width="9.5703125" style="3" customWidth="1"/>
    <col min="13" max="13" width="10.5703125" style="3" customWidth="1"/>
    <col min="14" max="14" width="8.5703125" style="3" customWidth="1"/>
    <col min="15" max="15" width="10.5703125" style="3" customWidth="1"/>
    <col min="16" max="16" width="5.5703125" style="3" customWidth="1"/>
    <col min="17" max="17" width="1.5703125" style="2" customWidth="1"/>
    <col min="18" max="18" width="10.5703125" style="30" customWidth="1"/>
    <col min="19" max="19" width="1.5703125" style="2" customWidth="1"/>
    <col min="20" max="21" width="10.5703125" style="2" customWidth="1"/>
    <col min="22" max="220" width="8.85546875" style="2" customWidth="1"/>
    <col min="221" max="221" width="8.140625" style="2" customWidth="1"/>
    <col min="222" max="222" width="14.5703125" style="2" customWidth="1"/>
    <col min="223" max="223" width="37.42578125" style="2" customWidth="1"/>
    <col min="224" max="224" width="63.140625" style="2" customWidth="1"/>
    <col min="225" max="225" width="20" style="2" customWidth="1"/>
    <col min="226" max="226" width="11.140625" style="2" customWidth="1"/>
    <col min="227" max="227" width="10.85546875" style="2" customWidth="1"/>
    <col min="228" max="228" width="21" style="2" customWidth="1"/>
    <col min="229" max="229" width="10.85546875" style="2" customWidth="1"/>
    <col min="230" max="230" width="17.42578125" style="2" customWidth="1"/>
    <col min="231" max="231" width="14.85546875" style="2" customWidth="1"/>
    <col min="232" max="232" width="15" style="2" customWidth="1"/>
    <col min="233" max="233" width="14.85546875" style="2" customWidth="1"/>
    <col min="234" max="234" width="7.140625" style="2" customWidth="1"/>
    <col min="235" max="236" width="20.140625" style="2" customWidth="1"/>
    <col min="237" max="237" width="18.42578125" style="2" customWidth="1"/>
    <col min="238" max="238" width="9.140625" style="2" customWidth="1"/>
    <col min="239" max="239" width="12" style="2" customWidth="1"/>
    <col min="240" max="240" width="14.85546875" style="2" customWidth="1"/>
    <col min="241" max="241" width="22.42578125" style="2" customWidth="1"/>
    <col min="242" max="242" width="14.85546875" style="2" customWidth="1"/>
    <col min="243" max="243" width="7.140625" style="2" customWidth="1"/>
    <col min="244" max="244" width="20.140625" style="2" customWidth="1"/>
    <col min="245" max="476" width="8.85546875" style="2" customWidth="1"/>
    <col min="477" max="477" width="8.140625" style="2" customWidth="1"/>
    <col min="478" max="478" width="14.5703125" style="2" customWidth="1"/>
    <col min="479" max="479" width="37.42578125" style="2" customWidth="1"/>
    <col min="480" max="480" width="63.140625" style="2" customWidth="1"/>
    <col min="481" max="481" width="20" style="2" customWidth="1"/>
    <col min="482" max="482" width="11.140625" style="2" customWidth="1"/>
    <col min="483" max="483" width="10.85546875" style="2" customWidth="1"/>
    <col min="484" max="484" width="21" style="2" customWidth="1"/>
    <col min="485" max="485" width="10.85546875" style="2" customWidth="1"/>
    <col min="486" max="486" width="17.42578125" style="2" customWidth="1"/>
    <col min="487" max="487" width="14.85546875" style="2" customWidth="1"/>
    <col min="488" max="488" width="15" style="2" customWidth="1"/>
    <col min="489" max="489" width="14.85546875" style="2" customWidth="1"/>
    <col min="490" max="490" width="7.140625" style="2" customWidth="1"/>
    <col min="491" max="492" width="20.140625" style="2" customWidth="1"/>
    <col min="493" max="493" width="18.42578125" style="2" customWidth="1"/>
    <col min="494" max="494" width="9.140625" style="2" customWidth="1"/>
    <col min="495" max="495" width="12" style="2" customWidth="1"/>
    <col min="496" max="496" width="14.85546875" style="2" customWidth="1"/>
    <col min="497" max="497" width="22.42578125" style="2" customWidth="1"/>
    <col min="498" max="498" width="14.85546875" style="2" customWidth="1"/>
    <col min="499" max="499" width="7.140625" style="2" customWidth="1"/>
    <col min="500" max="500" width="20.140625" style="2" customWidth="1"/>
    <col min="501" max="732" width="8.85546875" style="2" customWidth="1"/>
    <col min="733" max="733" width="8.140625" style="2" customWidth="1"/>
    <col min="734" max="734" width="14.5703125" style="2" customWidth="1"/>
    <col min="735" max="735" width="37.42578125" style="2" customWidth="1"/>
    <col min="736" max="736" width="63.140625" style="2" customWidth="1"/>
    <col min="737" max="737" width="20" style="2" customWidth="1"/>
    <col min="738" max="738" width="11.140625" style="2" customWidth="1"/>
    <col min="739" max="739" width="10.85546875" style="2" customWidth="1"/>
    <col min="740" max="740" width="21" style="2" customWidth="1"/>
    <col min="741" max="741" width="10.85546875" style="2" customWidth="1"/>
    <col min="742" max="742" width="17.42578125" style="2" customWidth="1"/>
    <col min="743" max="743" width="14.85546875" style="2" customWidth="1"/>
    <col min="744" max="744" width="15" style="2" customWidth="1"/>
    <col min="745" max="745" width="14.85546875" style="2" customWidth="1"/>
    <col min="746" max="746" width="7.140625" style="2" customWidth="1"/>
    <col min="747" max="748" width="20.140625" style="2" customWidth="1"/>
    <col min="749" max="749" width="18.42578125" style="2" customWidth="1"/>
    <col min="750" max="750" width="9.140625" style="2" customWidth="1"/>
    <col min="751" max="751" width="12" style="2" customWidth="1"/>
    <col min="752" max="752" width="14.85546875" style="2" customWidth="1"/>
    <col min="753" max="753" width="22.42578125" style="2" customWidth="1"/>
    <col min="754" max="754" width="14.85546875" style="2" customWidth="1"/>
    <col min="755" max="755" width="7.140625" style="2" customWidth="1"/>
    <col min="756" max="756" width="20.140625" style="2" customWidth="1"/>
    <col min="757" max="988" width="8.85546875" style="2" customWidth="1"/>
    <col min="989" max="989" width="8.140625" style="2" customWidth="1"/>
    <col min="990" max="990" width="14.5703125" style="2" customWidth="1"/>
    <col min="991" max="991" width="37.42578125" style="2" customWidth="1"/>
    <col min="992" max="992" width="63.140625" style="2" customWidth="1"/>
    <col min="993" max="993" width="20" style="2" customWidth="1"/>
    <col min="994" max="994" width="11.140625" style="2" customWidth="1"/>
    <col min="995" max="995" width="10.85546875" style="2" customWidth="1"/>
    <col min="996" max="996" width="21" style="2" customWidth="1"/>
    <col min="997" max="997" width="10.85546875" style="2" customWidth="1"/>
    <col min="998" max="998" width="17.42578125" style="2" customWidth="1"/>
    <col min="999" max="999" width="14.85546875" style="2" customWidth="1"/>
    <col min="1000" max="1000" width="15" style="2" customWidth="1"/>
    <col min="1001" max="1001" width="14.85546875" style="2" customWidth="1"/>
    <col min="1002" max="1002" width="7.140625" style="2" customWidth="1"/>
    <col min="1003" max="1004" width="20.140625" style="2" customWidth="1"/>
    <col min="1005" max="1005" width="18.42578125" style="2" customWidth="1"/>
    <col min="1006" max="1006" width="9.140625" style="2" customWidth="1"/>
    <col min="1007" max="1007" width="12" style="2" customWidth="1"/>
    <col min="1008" max="1008" width="14.85546875" style="2" customWidth="1"/>
    <col min="1009" max="1009" width="22.42578125" style="2" customWidth="1"/>
    <col min="1010" max="1010" width="14.85546875" style="2" customWidth="1"/>
    <col min="1011" max="1011" width="7.140625" style="2" customWidth="1"/>
    <col min="1012" max="1012" width="20.140625" style="2" customWidth="1"/>
    <col min="1013" max="1244" width="8.85546875" style="2" customWidth="1"/>
    <col min="1245" max="1245" width="8.140625" style="2" customWidth="1"/>
    <col min="1246" max="1246" width="14.5703125" style="2" customWidth="1"/>
    <col min="1247" max="1247" width="37.42578125" style="2" customWidth="1"/>
    <col min="1248" max="1248" width="63.140625" style="2" customWidth="1"/>
    <col min="1249" max="1249" width="20" style="2" customWidth="1"/>
    <col min="1250" max="1250" width="11.140625" style="2" customWidth="1"/>
    <col min="1251" max="1251" width="10.85546875" style="2" customWidth="1"/>
    <col min="1252" max="1252" width="21" style="2" customWidth="1"/>
    <col min="1253" max="1253" width="10.85546875" style="2" customWidth="1"/>
    <col min="1254" max="1254" width="17.42578125" style="2" customWidth="1"/>
    <col min="1255" max="1255" width="14.85546875" style="2" customWidth="1"/>
    <col min="1256" max="1256" width="15" style="2" customWidth="1"/>
    <col min="1257" max="1257" width="14.85546875" style="2" customWidth="1"/>
    <col min="1258" max="1258" width="7.140625" style="2" customWidth="1"/>
    <col min="1259" max="1260" width="20.140625" style="2" customWidth="1"/>
    <col min="1261" max="1261" width="18.42578125" style="2" customWidth="1"/>
    <col min="1262" max="1262" width="9.140625" style="2" customWidth="1"/>
    <col min="1263" max="1263" width="12" style="2" customWidth="1"/>
    <col min="1264" max="1264" width="14.85546875" style="2" customWidth="1"/>
    <col min="1265" max="1265" width="22.42578125" style="2" customWidth="1"/>
    <col min="1266" max="1266" width="14.85546875" style="2" customWidth="1"/>
    <col min="1267" max="1267" width="7.140625" style="2" customWidth="1"/>
    <col min="1268" max="1268" width="20.140625" style="2" customWidth="1"/>
    <col min="1269" max="1500" width="8.85546875" style="2" customWidth="1"/>
    <col min="1501" max="1501" width="8.140625" style="2" customWidth="1"/>
    <col min="1502" max="1502" width="14.5703125" style="2" customWidth="1"/>
    <col min="1503" max="1503" width="37.42578125" style="2" customWidth="1"/>
    <col min="1504" max="1504" width="63.140625" style="2" customWidth="1"/>
    <col min="1505" max="1505" width="20" style="2" customWidth="1"/>
    <col min="1506" max="1506" width="11.140625" style="2" customWidth="1"/>
    <col min="1507" max="1507" width="10.85546875" style="2" customWidth="1"/>
    <col min="1508" max="1508" width="21" style="2" customWidth="1"/>
    <col min="1509" max="1509" width="10.85546875" style="2" customWidth="1"/>
    <col min="1510" max="1510" width="17.42578125" style="2" customWidth="1"/>
    <col min="1511" max="1511" width="14.85546875" style="2" customWidth="1"/>
    <col min="1512" max="1512" width="15" style="2" customWidth="1"/>
    <col min="1513" max="1513" width="14.85546875" style="2" customWidth="1"/>
    <col min="1514" max="1514" width="7.140625" style="2" customWidth="1"/>
    <col min="1515" max="1516" width="20.140625" style="2" customWidth="1"/>
    <col min="1517" max="1517" width="18.42578125" style="2" customWidth="1"/>
    <col min="1518" max="1518" width="9.140625" style="2" customWidth="1"/>
    <col min="1519" max="1519" width="12" style="2" customWidth="1"/>
    <col min="1520" max="1520" width="14.85546875" style="2" customWidth="1"/>
    <col min="1521" max="1521" width="22.42578125" style="2" customWidth="1"/>
    <col min="1522" max="1522" width="14.85546875" style="2" customWidth="1"/>
    <col min="1523" max="1523" width="7.140625" style="2" customWidth="1"/>
    <col min="1524" max="1524" width="20.140625" style="2" customWidth="1"/>
    <col min="1525" max="1756" width="8.85546875" style="2" customWidth="1"/>
    <col min="1757" max="1757" width="8.140625" style="2" customWidth="1"/>
    <col min="1758" max="1758" width="14.5703125" style="2" customWidth="1"/>
    <col min="1759" max="1759" width="37.42578125" style="2" customWidth="1"/>
    <col min="1760" max="1760" width="63.140625" style="2" customWidth="1"/>
    <col min="1761" max="1761" width="20" style="2" customWidth="1"/>
    <col min="1762" max="1762" width="11.140625" style="2" customWidth="1"/>
    <col min="1763" max="1763" width="10.85546875" style="2" customWidth="1"/>
    <col min="1764" max="1764" width="21" style="2" customWidth="1"/>
    <col min="1765" max="1765" width="10.85546875" style="2" customWidth="1"/>
    <col min="1766" max="1766" width="17.42578125" style="2" customWidth="1"/>
    <col min="1767" max="1767" width="14.85546875" style="2" customWidth="1"/>
    <col min="1768" max="1768" width="15" style="2" customWidth="1"/>
    <col min="1769" max="1769" width="14.85546875" style="2" customWidth="1"/>
    <col min="1770" max="1770" width="7.140625" style="2" customWidth="1"/>
    <col min="1771" max="1772" width="20.140625" style="2" customWidth="1"/>
    <col min="1773" max="1773" width="18.42578125" style="2" customWidth="1"/>
    <col min="1774" max="1774" width="9.140625" style="2" customWidth="1"/>
    <col min="1775" max="1775" width="12" style="2" customWidth="1"/>
    <col min="1776" max="1776" width="14.85546875" style="2" customWidth="1"/>
    <col min="1777" max="1777" width="22.42578125" style="2" customWidth="1"/>
    <col min="1778" max="1778" width="14.85546875" style="2" customWidth="1"/>
    <col min="1779" max="1779" width="7.140625" style="2" customWidth="1"/>
    <col min="1780" max="1780" width="20.140625" style="2" customWidth="1"/>
    <col min="1781" max="2012" width="8.85546875" style="2" customWidth="1"/>
    <col min="2013" max="2013" width="8.140625" style="2" customWidth="1"/>
    <col min="2014" max="2014" width="14.5703125" style="2" customWidth="1"/>
    <col min="2015" max="2015" width="37.42578125" style="2" customWidth="1"/>
    <col min="2016" max="2016" width="63.140625" style="2" customWidth="1"/>
    <col min="2017" max="2017" width="20" style="2" customWidth="1"/>
    <col min="2018" max="2018" width="11.140625" style="2" customWidth="1"/>
    <col min="2019" max="2019" width="10.85546875" style="2" customWidth="1"/>
    <col min="2020" max="2020" width="21" style="2" customWidth="1"/>
    <col min="2021" max="2021" width="10.85546875" style="2" customWidth="1"/>
    <col min="2022" max="2022" width="17.42578125" style="2" customWidth="1"/>
    <col min="2023" max="2023" width="14.85546875" style="2" customWidth="1"/>
    <col min="2024" max="2024" width="15" style="2" customWidth="1"/>
    <col min="2025" max="2025" width="14.85546875" style="2" customWidth="1"/>
    <col min="2026" max="2026" width="7.140625" style="2" customWidth="1"/>
    <col min="2027" max="2028" width="20.140625" style="2" customWidth="1"/>
    <col min="2029" max="2029" width="18.42578125" style="2" customWidth="1"/>
    <col min="2030" max="2030" width="9.140625" style="2" customWidth="1"/>
    <col min="2031" max="2031" width="12" style="2" customWidth="1"/>
    <col min="2032" max="2032" width="14.85546875" style="2" customWidth="1"/>
    <col min="2033" max="2033" width="22.42578125" style="2" customWidth="1"/>
    <col min="2034" max="2034" width="14.85546875" style="2" customWidth="1"/>
    <col min="2035" max="2035" width="7.140625" style="2" customWidth="1"/>
    <col min="2036" max="2036" width="20.140625" style="2" customWidth="1"/>
    <col min="2037" max="2268" width="8.85546875" style="2" customWidth="1"/>
    <col min="2269" max="2269" width="8.140625" style="2" customWidth="1"/>
    <col min="2270" max="2270" width="14.5703125" style="2" customWidth="1"/>
    <col min="2271" max="2271" width="37.42578125" style="2" customWidth="1"/>
    <col min="2272" max="2272" width="63.140625" style="2" customWidth="1"/>
    <col min="2273" max="2273" width="20" style="2" customWidth="1"/>
    <col min="2274" max="2274" width="11.140625" style="2" customWidth="1"/>
    <col min="2275" max="2275" width="10.85546875" style="2" customWidth="1"/>
    <col min="2276" max="2276" width="21" style="2" customWidth="1"/>
    <col min="2277" max="2277" width="10.85546875" style="2" customWidth="1"/>
    <col min="2278" max="2278" width="17.42578125" style="2" customWidth="1"/>
    <col min="2279" max="2279" width="14.85546875" style="2" customWidth="1"/>
    <col min="2280" max="2280" width="15" style="2" customWidth="1"/>
    <col min="2281" max="2281" width="14.85546875" style="2" customWidth="1"/>
    <col min="2282" max="2282" width="7.140625" style="2" customWidth="1"/>
    <col min="2283" max="2284" width="20.140625" style="2" customWidth="1"/>
    <col min="2285" max="2285" width="18.42578125" style="2" customWidth="1"/>
    <col min="2286" max="2286" width="9.140625" style="2" customWidth="1"/>
    <col min="2287" max="2287" width="12" style="2" customWidth="1"/>
    <col min="2288" max="2288" width="14.85546875" style="2" customWidth="1"/>
    <col min="2289" max="2289" width="22.42578125" style="2" customWidth="1"/>
    <col min="2290" max="2290" width="14.85546875" style="2" customWidth="1"/>
    <col min="2291" max="2291" width="7.140625" style="2" customWidth="1"/>
    <col min="2292" max="2292" width="20.140625" style="2" customWidth="1"/>
    <col min="2293" max="2524" width="8.85546875" style="2" customWidth="1"/>
    <col min="2525" max="2525" width="8.140625" style="2" customWidth="1"/>
    <col min="2526" max="2526" width="14.5703125" style="2" customWidth="1"/>
    <col min="2527" max="2527" width="37.42578125" style="2" customWidth="1"/>
    <col min="2528" max="2528" width="63.140625" style="2" customWidth="1"/>
    <col min="2529" max="2529" width="20" style="2" customWidth="1"/>
    <col min="2530" max="2530" width="11.140625" style="2" customWidth="1"/>
    <col min="2531" max="2531" width="10.85546875" style="2" customWidth="1"/>
    <col min="2532" max="2532" width="21" style="2" customWidth="1"/>
    <col min="2533" max="2533" width="10.85546875" style="2" customWidth="1"/>
    <col min="2534" max="2534" width="17.42578125" style="2" customWidth="1"/>
    <col min="2535" max="2535" width="14.85546875" style="2" customWidth="1"/>
    <col min="2536" max="2536" width="15" style="2" customWidth="1"/>
    <col min="2537" max="2537" width="14.85546875" style="2" customWidth="1"/>
    <col min="2538" max="2538" width="7.140625" style="2" customWidth="1"/>
    <col min="2539" max="2540" width="20.140625" style="2" customWidth="1"/>
    <col min="2541" max="2541" width="18.42578125" style="2" customWidth="1"/>
    <col min="2542" max="2542" width="9.140625" style="2" customWidth="1"/>
    <col min="2543" max="2543" width="12" style="2" customWidth="1"/>
    <col min="2544" max="2544" width="14.85546875" style="2" customWidth="1"/>
    <col min="2545" max="2545" width="22.42578125" style="2" customWidth="1"/>
    <col min="2546" max="2546" width="14.85546875" style="2" customWidth="1"/>
    <col min="2547" max="2547" width="7.140625" style="2" customWidth="1"/>
    <col min="2548" max="2548" width="20.140625" style="2" customWidth="1"/>
    <col min="2549" max="2780" width="8.85546875" style="2" customWidth="1"/>
    <col min="2781" max="2781" width="8.140625" style="2" customWidth="1"/>
    <col min="2782" max="2782" width="14.5703125" style="2" customWidth="1"/>
    <col min="2783" max="2783" width="37.42578125" style="2" customWidth="1"/>
    <col min="2784" max="2784" width="63.140625" style="2" customWidth="1"/>
    <col min="2785" max="2785" width="20" style="2" customWidth="1"/>
    <col min="2786" max="2786" width="11.140625" style="2" customWidth="1"/>
    <col min="2787" max="2787" width="10.85546875" style="2" customWidth="1"/>
    <col min="2788" max="2788" width="21" style="2" customWidth="1"/>
    <col min="2789" max="2789" width="10.85546875" style="2" customWidth="1"/>
    <col min="2790" max="2790" width="17.42578125" style="2" customWidth="1"/>
    <col min="2791" max="2791" width="14.85546875" style="2" customWidth="1"/>
    <col min="2792" max="2792" width="15" style="2" customWidth="1"/>
    <col min="2793" max="2793" width="14.85546875" style="2" customWidth="1"/>
    <col min="2794" max="2794" width="7.140625" style="2" customWidth="1"/>
    <col min="2795" max="2796" width="20.140625" style="2" customWidth="1"/>
    <col min="2797" max="2797" width="18.42578125" style="2" customWidth="1"/>
    <col min="2798" max="2798" width="9.140625" style="2" customWidth="1"/>
    <col min="2799" max="2799" width="12" style="2" customWidth="1"/>
    <col min="2800" max="2800" width="14.85546875" style="2" customWidth="1"/>
    <col min="2801" max="2801" width="22.42578125" style="2" customWidth="1"/>
    <col min="2802" max="2802" width="14.85546875" style="2" customWidth="1"/>
    <col min="2803" max="2803" width="7.140625" style="2" customWidth="1"/>
    <col min="2804" max="2804" width="20.140625" style="2" customWidth="1"/>
    <col min="2805" max="3036" width="8.85546875" style="2" customWidth="1"/>
    <col min="3037" max="3037" width="8.140625" style="2" customWidth="1"/>
    <col min="3038" max="3038" width="14.5703125" style="2" customWidth="1"/>
    <col min="3039" max="3039" width="37.42578125" style="2" customWidth="1"/>
    <col min="3040" max="3040" width="63.140625" style="2" customWidth="1"/>
    <col min="3041" max="3041" width="20" style="2" customWidth="1"/>
    <col min="3042" max="3042" width="11.140625" style="2" customWidth="1"/>
    <col min="3043" max="3043" width="10.85546875" style="2" customWidth="1"/>
    <col min="3044" max="3044" width="21" style="2" customWidth="1"/>
    <col min="3045" max="3045" width="10.85546875" style="2" customWidth="1"/>
    <col min="3046" max="3046" width="17.42578125" style="2" customWidth="1"/>
    <col min="3047" max="3047" width="14.85546875" style="2" customWidth="1"/>
    <col min="3048" max="3048" width="15" style="2" customWidth="1"/>
    <col min="3049" max="3049" width="14.85546875" style="2" customWidth="1"/>
    <col min="3050" max="3050" width="7.140625" style="2" customWidth="1"/>
    <col min="3051" max="3052" width="20.140625" style="2" customWidth="1"/>
    <col min="3053" max="3053" width="18.42578125" style="2" customWidth="1"/>
    <col min="3054" max="3054" width="9.140625" style="2" customWidth="1"/>
    <col min="3055" max="3055" width="12" style="2" customWidth="1"/>
    <col min="3056" max="3056" width="14.85546875" style="2" customWidth="1"/>
    <col min="3057" max="3057" width="22.42578125" style="2" customWidth="1"/>
    <col min="3058" max="3058" width="14.85546875" style="2" customWidth="1"/>
    <col min="3059" max="3059" width="7.140625" style="2" customWidth="1"/>
    <col min="3060" max="3060" width="20.140625" style="2" customWidth="1"/>
    <col min="3061" max="3292" width="8.85546875" style="2" customWidth="1"/>
    <col min="3293" max="3293" width="8.140625" style="2" customWidth="1"/>
    <col min="3294" max="3294" width="14.5703125" style="2" customWidth="1"/>
    <col min="3295" max="3295" width="37.42578125" style="2" customWidth="1"/>
    <col min="3296" max="3296" width="63.140625" style="2" customWidth="1"/>
    <col min="3297" max="3297" width="20" style="2" customWidth="1"/>
    <col min="3298" max="3298" width="11.140625" style="2" customWidth="1"/>
    <col min="3299" max="3299" width="10.85546875" style="2" customWidth="1"/>
    <col min="3300" max="3300" width="21" style="2" customWidth="1"/>
    <col min="3301" max="3301" width="10.85546875" style="2" customWidth="1"/>
    <col min="3302" max="3302" width="17.42578125" style="2" customWidth="1"/>
    <col min="3303" max="3303" width="14.85546875" style="2" customWidth="1"/>
    <col min="3304" max="3304" width="15" style="2" customWidth="1"/>
    <col min="3305" max="3305" width="14.85546875" style="2" customWidth="1"/>
    <col min="3306" max="3306" width="7.140625" style="2" customWidth="1"/>
    <col min="3307" max="3308" width="20.140625" style="2" customWidth="1"/>
    <col min="3309" max="3309" width="18.42578125" style="2" customWidth="1"/>
    <col min="3310" max="3310" width="9.140625" style="2" customWidth="1"/>
    <col min="3311" max="3311" width="12" style="2" customWidth="1"/>
    <col min="3312" max="3312" width="14.85546875" style="2" customWidth="1"/>
    <col min="3313" max="3313" width="22.42578125" style="2" customWidth="1"/>
    <col min="3314" max="3314" width="14.85546875" style="2" customWidth="1"/>
    <col min="3315" max="3315" width="7.140625" style="2" customWidth="1"/>
    <col min="3316" max="3316" width="20.140625" style="2" customWidth="1"/>
    <col min="3317" max="3548" width="8.85546875" style="2" customWidth="1"/>
    <col min="3549" max="3549" width="8.140625" style="2" customWidth="1"/>
    <col min="3550" max="3550" width="14.5703125" style="2" customWidth="1"/>
    <col min="3551" max="3551" width="37.42578125" style="2" customWidth="1"/>
    <col min="3552" max="3552" width="63.140625" style="2" customWidth="1"/>
    <col min="3553" max="3553" width="20" style="2" customWidth="1"/>
    <col min="3554" max="3554" width="11.140625" style="2" customWidth="1"/>
    <col min="3555" max="3555" width="10.85546875" style="2" customWidth="1"/>
    <col min="3556" max="3556" width="21" style="2" customWidth="1"/>
    <col min="3557" max="3557" width="10.85546875" style="2" customWidth="1"/>
    <col min="3558" max="3558" width="17.42578125" style="2" customWidth="1"/>
    <col min="3559" max="3559" width="14.85546875" style="2" customWidth="1"/>
    <col min="3560" max="3560" width="15" style="2" customWidth="1"/>
    <col min="3561" max="3561" width="14.85546875" style="2" customWidth="1"/>
    <col min="3562" max="3562" width="7.140625" style="2" customWidth="1"/>
    <col min="3563" max="3564" width="20.140625" style="2" customWidth="1"/>
    <col min="3565" max="3565" width="18.42578125" style="2" customWidth="1"/>
    <col min="3566" max="3566" width="9.140625" style="2" customWidth="1"/>
    <col min="3567" max="3567" width="12" style="2" customWidth="1"/>
    <col min="3568" max="3568" width="14.85546875" style="2" customWidth="1"/>
    <col min="3569" max="3569" width="22.42578125" style="2" customWidth="1"/>
    <col min="3570" max="3570" width="14.85546875" style="2" customWidth="1"/>
    <col min="3571" max="3571" width="7.140625" style="2" customWidth="1"/>
    <col min="3572" max="3572" width="20.140625" style="2" customWidth="1"/>
    <col min="3573" max="3804" width="8.85546875" style="2" customWidth="1"/>
    <col min="3805" max="3805" width="8.140625" style="2" customWidth="1"/>
    <col min="3806" max="3806" width="14.5703125" style="2" customWidth="1"/>
    <col min="3807" max="3807" width="37.42578125" style="2" customWidth="1"/>
    <col min="3808" max="3808" width="63.140625" style="2" customWidth="1"/>
    <col min="3809" max="3809" width="20" style="2" customWidth="1"/>
    <col min="3810" max="3810" width="11.140625" style="2" customWidth="1"/>
    <col min="3811" max="3811" width="10.85546875" style="2" customWidth="1"/>
    <col min="3812" max="3812" width="21" style="2" customWidth="1"/>
    <col min="3813" max="3813" width="10.85546875" style="2" customWidth="1"/>
    <col min="3814" max="3814" width="17.42578125" style="2" customWidth="1"/>
    <col min="3815" max="3815" width="14.85546875" style="2" customWidth="1"/>
    <col min="3816" max="3816" width="15" style="2" customWidth="1"/>
    <col min="3817" max="3817" width="14.85546875" style="2" customWidth="1"/>
    <col min="3818" max="3818" width="7.140625" style="2" customWidth="1"/>
    <col min="3819" max="3820" width="20.140625" style="2" customWidth="1"/>
    <col min="3821" max="3821" width="18.42578125" style="2" customWidth="1"/>
    <col min="3822" max="3822" width="9.140625" style="2" customWidth="1"/>
    <col min="3823" max="3823" width="12" style="2" customWidth="1"/>
    <col min="3824" max="3824" width="14.85546875" style="2" customWidth="1"/>
    <col min="3825" max="3825" width="22.42578125" style="2" customWidth="1"/>
    <col min="3826" max="3826" width="14.85546875" style="2" customWidth="1"/>
    <col min="3827" max="3827" width="7.140625" style="2" customWidth="1"/>
    <col min="3828" max="3828" width="20.140625" style="2" customWidth="1"/>
    <col min="3829" max="4060" width="8.85546875" style="2" customWidth="1"/>
    <col min="4061" max="4061" width="8.140625" style="2" customWidth="1"/>
    <col min="4062" max="4062" width="14.5703125" style="2" customWidth="1"/>
    <col min="4063" max="4063" width="37.42578125" style="2" customWidth="1"/>
    <col min="4064" max="4064" width="63.140625" style="2" customWidth="1"/>
    <col min="4065" max="4065" width="20" style="2" customWidth="1"/>
    <col min="4066" max="4066" width="11.140625" style="2" customWidth="1"/>
    <col min="4067" max="4067" width="10.85546875" style="2" customWidth="1"/>
    <col min="4068" max="4068" width="21" style="2" customWidth="1"/>
    <col min="4069" max="4069" width="10.85546875" style="2" customWidth="1"/>
    <col min="4070" max="4070" width="17.42578125" style="2" customWidth="1"/>
    <col min="4071" max="4071" width="14.85546875" style="2" customWidth="1"/>
    <col min="4072" max="4072" width="15" style="2" customWidth="1"/>
    <col min="4073" max="4073" width="14.85546875" style="2" customWidth="1"/>
    <col min="4074" max="4074" width="7.140625" style="2" customWidth="1"/>
    <col min="4075" max="4076" width="20.140625" style="2" customWidth="1"/>
    <col min="4077" max="4077" width="18.42578125" style="2" customWidth="1"/>
    <col min="4078" max="4078" width="9.140625" style="2" customWidth="1"/>
    <col min="4079" max="4079" width="12" style="2" customWidth="1"/>
    <col min="4080" max="4080" width="14.85546875" style="2" customWidth="1"/>
    <col min="4081" max="4081" width="22.42578125" style="2" customWidth="1"/>
    <col min="4082" max="4082" width="14.85546875" style="2" customWidth="1"/>
    <col min="4083" max="4083" width="7.140625" style="2" customWidth="1"/>
    <col min="4084" max="4084" width="20.140625" style="2" customWidth="1"/>
    <col min="4085" max="4316" width="8.85546875" style="2" customWidth="1"/>
    <col min="4317" max="4317" width="8.140625" style="2" customWidth="1"/>
    <col min="4318" max="4318" width="14.5703125" style="2" customWidth="1"/>
    <col min="4319" max="4319" width="37.42578125" style="2" customWidth="1"/>
    <col min="4320" max="4320" width="63.140625" style="2" customWidth="1"/>
    <col min="4321" max="4321" width="20" style="2" customWidth="1"/>
    <col min="4322" max="4322" width="11.140625" style="2" customWidth="1"/>
    <col min="4323" max="4323" width="10.85546875" style="2" customWidth="1"/>
    <col min="4324" max="4324" width="21" style="2" customWidth="1"/>
    <col min="4325" max="4325" width="10.85546875" style="2" customWidth="1"/>
    <col min="4326" max="4326" width="17.42578125" style="2" customWidth="1"/>
    <col min="4327" max="4327" width="14.85546875" style="2" customWidth="1"/>
    <col min="4328" max="4328" width="15" style="2" customWidth="1"/>
    <col min="4329" max="4329" width="14.85546875" style="2" customWidth="1"/>
    <col min="4330" max="4330" width="7.140625" style="2" customWidth="1"/>
    <col min="4331" max="4332" width="20.140625" style="2" customWidth="1"/>
    <col min="4333" max="4333" width="18.42578125" style="2" customWidth="1"/>
    <col min="4334" max="4334" width="9.140625" style="2" customWidth="1"/>
    <col min="4335" max="4335" width="12" style="2" customWidth="1"/>
    <col min="4336" max="4336" width="14.85546875" style="2" customWidth="1"/>
    <col min="4337" max="4337" width="22.42578125" style="2" customWidth="1"/>
    <col min="4338" max="4338" width="14.85546875" style="2" customWidth="1"/>
    <col min="4339" max="4339" width="7.140625" style="2" customWidth="1"/>
    <col min="4340" max="4340" width="20.140625" style="2" customWidth="1"/>
    <col min="4341" max="4572" width="8.85546875" style="2" customWidth="1"/>
    <col min="4573" max="4573" width="8.140625" style="2" customWidth="1"/>
    <col min="4574" max="4574" width="14.5703125" style="2" customWidth="1"/>
    <col min="4575" max="4575" width="37.42578125" style="2" customWidth="1"/>
    <col min="4576" max="4576" width="63.140625" style="2" customWidth="1"/>
    <col min="4577" max="4577" width="20" style="2" customWidth="1"/>
    <col min="4578" max="4578" width="11.140625" style="2" customWidth="1"/>
    <col min="4579" max="4579" width="10.85546875" style="2" customWidth="1"/>
    <col min="4580" max="4580" width="21" style="2" customWidth="1"/>
    <col min="4581" max="4581" width="10.85546875" style="2" customWidth="1"/>
    <col min="4582" max="4582" width="17.42578125" style="2" customWidth="1"/>
    <col min="4583" max="4583" width="14.85546875" style="2" customWidth="1"/>
    <col min="4584" max="4584" width="15" style="2" customWidth="1"/>
    <col min="4585" max="4585" width="14.85546875" style="2" customWidth="1"/>
    <col min="4586" max="4586" width="7.140625" style="2" customWidth="1"/>
    <col min="4587" max="4588" width="20.140625" style="2" customWidth="1"/>
    <col min="4589" max="4589" width="18.42578125" style="2" customWidth="1"/>
    <col min="4590" max="4590" width="9.140625" style="2" customWidth="1"/>
    <col min="4591" max="4591" width="12" style="2" customWidth="1"/>
    <col min="4592" max="4592" width="14.85546875" style="2" customWidth="1"/>
    <col min="4593" max="4593" width="22.42578125" style="2" customWidth="1"/>
    <col min="4594" max="4594" width="14.85546875" style="2" customWidth="1"/>
    <col min="4595" max="4595" width="7.140625" style="2" customWidth="1"/>
    <col min="4596" max="4596" width="20.140625" style="2" customWidth="1"/>
    <col min="4597" max="4828" width="8.85546875" style="2" customWidth="1"/>
    <col min="4829" max="4829" width="8.140625" style="2" customWidth="1"/>
    <col min="4830" max="4830" width="14.5703125" style="2" customWidth="1"/>
    <col min="4831" max="4831" width="37.42578125" style="2" customWidth="1"/>
    <col min="4832" max="4832" width="63.140625" style="2" customWidth="1"/>
    <col min="4833" max="4833" width="20" style="2" customWidth="1"/>
    <col min="4834" max="4834" width="11.140625" style="2" customWidth="1"/>
    <col min="4835" max="4835" width="10.85546875" style="2" customWidth="1"/>
    <col min="4836" max="4836" width="21" style="2" customWidth="1"/>
    <col min="4837" max="4837" width="10.85546875" style="2" customWidth="1"/>
    <col min="4838" max="4838" width="17.42578125" style="2" customWidth="1"/>
    <col min="4839" max="4839" width="14.85546875" style="2" customWidth="1"/>
    <col min="4840" max="4840" width="15" style="2" customWidth="1"/>
    <col min="4841" max="4841" width="14.85546875" style="2" customWidth="1"/>
    <col min="4842" max="4842" width="7.140625" style="2" customWidth="1"/>
    <col min="4843" max="4844" width="20.140625" style="2" customWidth="1"/>
    <col min="4845" max="4845" width="18.42578125" style="2" customWidth="1"/>
    <col min="4846" max="4846" width="9.140625" style="2" customWidth="1"/>
    <col min="4847" max="4847" width="12" style="2" customWidth="1"/>
    <col min="4848" max="4848" width="14.85546875" style="2" customWidth="1"/>
    <col min="4849" max="4849" width="22.42578125" style="2" customWidth="1"/>
    <col min="4850" max="4850" width="14.85546875" style="2" customWidth="1"/>
    <col min="4851" max="4851" width="7.140625" style="2" customWidth="1"/>
    <col min="4852" max="4852" width="20.140625" style="2" customWidth="1"/>
    <col min="4853" max="5084" width="8.85546875" style="2" customWidth="1"/>
    <col min="5085" max="5085" width="8.140625" style="2" customWidth="1"/>
    <col min="5086" max="5086" width="14.5703125" style="2" customWidth="1"/>
    <col min="5087" max="5087" width="37.42578125" style="2" customWidth="1"/>
    <col min="5088" max="5088" width="63.140625" style="2" customWidth="1"/>
    <col min="5089" max="5089" width="20" style="2" customWidth="1"/>
    <col min="5090" max="5090" width="11.140625" style="2" customWidth="1"/>
    <col min="5091" max="5091" width="10.85546875" style="2" customWidth="1"/>
    <col min="5092" max="5092" width="21" style="2" customWidth="1"/>
    <col min="5093" max="5093" width="10.85546875" style="2" customWidth="1"/>
    <col min="5094" max="5094" width="17.42578125" style="2" customWidth="1"/>
    <col min="5095" max="5095" width="14.85546875" style="2" customWidth="1"/>
    <col min="5096" max="5096" width="15" style="2" customWidth="1"/>
    <col min="5097" max="5097" width="14.85546875" style="2" customWidth="1"/>
    <col min="5098" max="5098" width="7.140625" style="2" customWidth="1"/>
    <col min="5099" max="5100" width="20.140625" style="2" customWidth="1"/>
    <col min="5101" max="5101" width="18.42578125" style="2" customWidth="1"/>
    <col min="5102" max="5102" width="9.140625" style="2" customWidth="1"/>
    <col min="5103" max="5103" width="12" style="2" customWidth="1"/>
    <col min="5104" max="5104" width="14.85546875" style="2" customWidth="1"/>
    <col min="5105" max="5105" width="22.42578125" style="2" customWidth="1"/>
    <col min="5106" max="5106" width="14.85546875" style="2" customWidth="1"/>
    <col min="5107" max="5107" width="7.140625" style="2" customWidth="1"/>
    <col min="5108" max="5108" width="20.140625" style="2" customWidth="1"/>
    <col min="5109" max="5340" width="8.85546875" style="2" customWidth="1"/>
    <col min="5341" max="5341" width="8.140625" style="2" customWidth="1"/>
    <col min="5342" max="5342" width="14.5703125" style="2" customWidth="1"/>
    <col min="5343" max="5343" width="37.42578125" style="2" customWidth="1"/>
    <col min="5344" max="5344" width="63.140625" style="2" customWidth="1"/>
    <col min="5345" max="5345" width="20" style="2" customWidth="1"/>
    <col min="5346" max="5346" width="11.140625" style="2" customWidth="1"/>
    <col min="5347" max="5347" width="10.85546875" style="2" customWidth="1"/>
    <col min="5348" max="5348" width="21" style="2" customWidth="1"/>
    <col min="5349" max="5349" width="10.85546875" style="2" customWidth="1"/>
    <col min="5350" max="5350" width="17.42578125" style="2" customWidth="1"/>
    <col min="5351" max="5351" width="14.85546875" style="2" customWidth="1"/>
    <col min="5352" max="5352" width="15" style="2" customWidth="1"/>
    <col min="5353" max="5353" width="14.85546875" style="2" customWidth="1"/>
    <col min="5354" max="5354" width="7.140625" style="2" customWidth="1"/>
    <col min="5355" max="5356" width="20.140625" style="2" customWidth="1"/>
    <col min="5357" max="5357" width="18.42578125" style="2" customWidth="1"/>
    <col min="5358" max="5358" width="9.140625" style="2" customWidth="1"/>
    <col min="5359" max="5359" width="12" style="2" customWidth="1"/>
    <col min="5360" max="5360" width="14.85546875" style="2" customWidth="1"/>
    <col min="5361" max="5361" width="22.42578125" style="2" customWidth="1"/>
    <col min="5362" max="5362" width="14.85546875" style="2" customWidth="1"/>
    <col min="5363" max="5363" width="7.140625" style="2" customWidth="1"/>
    <col min="5364" max="5364" width="20.140625" style="2" customWidth="1"/>
    <col min="5365" max="5596" width="8.85546875" style="2" customWidth="1"/>
    <col min="5597" max="5597" width="8.140625" style="2" customWidth="1"/>
    <col min="5598" max="5598" width="14.5703125" style="2" customWidth="1"/>
    <col min="5599" max="5599" width="37.42578125" style="2" customWidth="1"/>
    <col min="5600" max="5600" width="63.140625" style="2" customWidth="1"/>
    <col min="5601" max="5601" width="20" style="2" customWidth="1"/>
    <col min="5602" max="5602" width="11.140625" style="2" customWidth="1"/>
    <col min="5603" max="5603" width="10.85546875" style="2" customWidth="1"/>
    <col min="5604" max="5604" width="21" style="2" customWidth="1"/>
    <col min="5605" max="5605" width="10.85546875" style="2" customWidth="1"/>
    <col min="5606" max="5606" width="17.42578125" style="2" customWidth="1"/>
    <col min="5607" max="5607" width="14.85546875" style="2" customWidth="1"/>
    <col min="5608" max="5608" width="15" style="2" customWidth="1"/>
    <col min="5609" max="5609" width="14.85546875" style="2" customWidth="1"/>
    <col min="5610" max="5610" width="7.140625" style="2" customWidth="1"/>
    <col min="5611" max="5612" width="20.140625" style="2" customWidth="1"/>
    <col min="5613" max="5613" width="18.42578125" style="2" customWidth="1"/>
    <col min="5614" max="5614" width="9.140625" style="2" customWidth="1"/>
    <col min="5615" max="5615" width="12" style="2" customWidth="1"/>
    <col min="5616" max="5616" width="14.85546875" style="2" customWidth="1"/>
    <col min="5617" max="5617" width="22.42578125" style="2" customWidth="1"/>
    <col min="5618" max="5618" width="14.85546875" style="2" customWidth="1"/>
    <col min="5619" max="5619" width="7.140625" style="2" customWidth="1"/>
    <col min="5620" max="5620" width="20.140625" style="2" customWidth="1"/>
    <col min="5621" max="5852" width="8.85546875" style="2" customWidth="1"/>
    <col min="5853" max="5853" width="8.140625" style="2" customWidth="1"/>
    <col min="5854" max="5854" width="14.5703125" style="2" customWidth="1"/>
    <col min="5855" max="5855" width="37.42578125" style="2" customWidth="1"/>
    <col min="5856" max="5856" width="63.140625" style="2" customWidth="1"/>
    <col min="5857" max="5857" width="20" style="2" customWidth="1"/>
    <col min="5858" max="5858" width="11.140625" style="2" customWidth="1"/>
    <col min="5859" max="5859" width="10.85546875" style="2" customWidth="1"/>
    <col min="5860" max="5860" width="21" style="2" customWidth="1"/>
    <col min="5861" max="5861" width="10.85546875" style="2" customWidth="1"/>
    <col min="5862" max="5862" width="17.42578125" style="2" customWidth="1"/>
    <col min="5863" max="5863" width="14.85546875" style="2" customWidth="1"/>
    <col min="5864" max="5864" width="15" style="2" customWidth="1"/>
    <col min="5865" max="5865" width="14.85546875" style="2" customWidth="1"/>
    <col min="5866" max="5866" width="7.140625" style="2" customWidth="1"/>
    <col min="5867" max="5868" width="20.140625" style="2" customWidth="1"/>
    <col min="5869" max="5869" width="18.42578125" style="2" customWidth="1"/>
    <col min="5870" max="5870" width="9.140625" style="2" customWidth="1"/>
    <col min="5871" max="5871" width="12" style="2" customWidth="1"/>
    <col min="5872" max="5872" width="14.85546875" style="2" customWidth="1"/>
    <col min="5873" max="5873" width="22.42578125" style="2" customWidth="1"/>
    <col min="5874" max="5874" width="14.85546875" style="2" customWidth="1"/>
    <col min="5875" max="5875" width="7.140625" style="2" customWidth="1"/>
    <col min="5876" max="5876" width="20.140625" style="2" customWidth="1"/>
    <col min="5877" max="6108" width="8.85546875" style="2" customWidth="1"/>
    <col min="6109" max="6109" width="8.140625" style="2" customWidth="1"/>
    <col min="6110" max="6110" width="14.5703125" style="2" customWidth="1"/>
    <col min="6111" max="6111" width="37.42578125" style="2" customWidth="1"/>
    <col min="6112" max="6112" width="63.140625" style="2" customWidth="1"/>
    <col min="6113" max="6113" width="20" style="2" customWidth="1"/>
    <col min="6114" max="6114" width="11.140625" style="2" customWidth="1"/>
    <col min="6115" max="6115" width="10.85546875" style="2" customWidth="1"/>
    <col min="6116" max="6116" width="21" style="2" customWidth="1"/>
    <col min="6117" max="6117" width="10.85546875" style="2" customWidth="1"/>
    <col min="6118" max="6118" width="17.42578125" style="2" customWidth="1"/>
    <col min="6119" max="6119" width="14.85546875" style="2" customWidth="1"/>
    <col min="6120" max="6120" width="15" style="2" customWidth="1"/>
    <col min="6121" max="6121" width="14.85546875" style="2" customWidth="1"/>
    <col min="6122" max="6122" width="7.140625" style="2" customWidth="1"/>
    <col min="6123" max="6124" width="20.140625" style="2" customWidth="1"/>
    <col min="6125" max="6125" width="18.42578125" style="2" customWidth="1"/>
    <col min="6126" max="6126" width="9.140625" style="2" customWidth="1"/>
    <col min="6127" max="6127" width="12" style="2" customWidth="1"/>
    <col min="6128" max="6128" width="14.85546875" style="2" customWidth="1"/>
    <col min="6129" max="6129" width="22.42578125" style="2" customWidth="1"/>
    <col min="6130" max="6130" width="14.85546875" style="2" customWidth="1"/>
    <col min="6131" max="6131" width="7.140625" style="2" customWidth="1"/>
    <col min="6132" max="6132" width="20.140625" style="2" customWidth="1"/>
    <col min="6133" max="6364" width="8.85546875" style="2" customWidth="1"/>
    <col min="6365" max="6365" width="8.140625" style="2" customWidth="1"/>
    <col min="6366" max="6366" width="14.5703125" style="2" customWidth="1"/>
    <col min="6367" max="6367" width="37.42578125" style="2" customWidth="1"/>
    <col min="6368" max="6368" width="63.140625" style="2" customWidth="1"/>
    <col min="6369" max="6369" width="20" style="2" customWidth="1"/>
    <col min="6370" max="6370" width="11.140625" style="2" customWidth="1"/>
    <col min="6371" max="6371" width="10.85546875" style="2" customWidth="1"/>
    <col min="6372" max="6372" width="21" style="2" customWidth="1"/>
    <col min="6373" max="6373" width="10.85546875" style="2" customWidth="1"/>
    <col min="6374" max="6374" width="17.42578125" style="2" customWidth="1"/>
    <col min="6375" max="6375" width="14.85546875" style="2" customWidth="1"/>
    <col min="6376" max="6376" width="15" style="2" customWidth="1"/>
    <col min="6377" max="6377" width="14.85546875" style="2" customWidth="1"/>
    <col min="6378" max="6378" width="7.140625" style="2" customWidth="1"/>
    <col min="6379" max="6380" width="20.140625" style="2" customWidth="1"/>
    <col min="6381" max="6381" width="18.42578125" style="2" customWidth="1"/>
    <col min="6382" max="6382" width="9.140625" style="2" customWidth="1"/>
    <col min="6383" max="6383" width="12" style="2" customWidth="1"/>
    <col min="6384" max="6384" width="14.85546875" style="2" customWidth="1"/>
    <col min="6385" max="6385" width="22.42578125" style="2" customWidth="1"/>
    <col min="6386" max="6386" width="14.85546875" style="2" customWidth="1"/>
    <col min="6387" max="6387" width="7.140625" style="2" customWidth="1"/>
    <col min="6388" max="6388" width="20.140625" style="2" customWidth="1"/>
    <col min="6389" max="6620" width="8.85546875" style="2" customWidth="1"/>
    <col min="6621" max="6621" width="8.140625" style="2" customWidth="1"/>
    <col min="6622" max="6622" width="14.5703125" style="2" customWidth="1"/>
    <col min="6623" max="6623" width="37.42578125" style="2" customWidth="1"/>
    <col min="6624" max="6624" width="63.140625" style="2" customWidth="1"/>
    <col min="6625" max="6625" width="20" style="2" customWidth="1"/>
    <col min="6626" max="6626" width="11.140625" style="2" customWidth="1"/>
    <col min="6627" max="6627" width="10.85546875" style="2" customWidth="1"/>
    <col min="6628" max="6628" width="21" style="2" customWidth="1"/>
    <col min="6629" max="6629" width="10.85546875" style="2" customWidth="1"/>
    <col min="6630" max="6630" width="17.42578125" style="2" customWidth="1"/>
    <col min="6631" max="6631" width="14.85546875" style="2" customWidth="1"/>
    <col min="6632" max="6632" width="15" style="2" customWidth="1"/>
    <col min="6633" max="6633" width="14.85546875" style="2" customWidth="1"/>
    <col min="6634" max="6634" width="7.140625" style="2" customWidth="1"/>
    <col min="6635" max="6636" width="20.140625" style="2" customWidth="1"/>
    <col min="6637" max="6637" width="18.42578125" style="2" customWidth="1"/>
    <col min="6638" max="6638" width="9.140625" style="2" customWidth="1"/>
    <col min="6639" max="6639" width="12" style="2" customWidth="1"/>
    <col min="6640" max="6640" width="14.85546875" style="2" customWidth="1"/>
    <col min="6641" max="6641" width="22.42578125" style="2" customWidth="1"/>
    <col min="6642" max="6642" width="14.85546875" style="2" customWidth="1"/>
    <col min="6643" max="6643" width="7.140625" style="2" customWidth="1"/>
    <col min="6644" max="6644" width="20.140625" style="2" customWidth="1"/>
    <col min="6645" max="6876" width="8.85546875" style="2" customWidth="1"/>
    <col min="6877" max="6877" width="8.140625" style="2" customWidth="1"/>
    <col min="6878" max="6878" width="14.5703125" style="2" customWidth="1"/>
    <col min="6879" max="6879" width="37.42578125" style="2" customWidth="1"/>
    <col min="6880" max="6880" width="63.140625" style="2" customWidth="1"/>
    <col min="6881" max="6881" width="20" style="2" customWidth="1"/>
    <col min="6882" max="6882" width="11.140625" style="2" customWidth="1"/>
    <col min="6883" max="6883" width="10.85546875" style="2" customWidth="1"/>
    <col min="6884" max="6884" width="21" style="2" customWidth="1"/>
    <col min="6885" max="6885" width="10.85546875" style="2" customWidth="1"/>
    <col min="6886" max="6886" width="17.42578125" style="2" customWidth="1"/>
    <col min="6887" max="6887" width="14.85546875" style="2" customWidth="1"/>
    <col min="6888" max="6888" width="15" style="2" customWidth="1"/>
    <col min="6889" max="6889" width="14.85546875" style="2" customWidth="1"/>
    <col min="6890" max="6890" width="7.140625" style="2" customWidth="1"/>
    <col min="6891" max="6892" width="20.140625" style="2" customWidth="1"/>
    <col min="6893" max="6893" width="18.42578125" style="2" customWidth="1"/>
    <col min="6894" max="6894" width="9.140625" style="2" customWidth="1"/>
    <col min="6895" max="6895" width="12" style="2" customWidth="1"/>
    <col min="6896" max="6896" width="14.85546875" style="2" customWidth="1"/>
    <col min="6897" max="6897" width="22.42578125" style="2" customWidth="1"/>
    <col min="6898" max="6898" width="14.85546875" style="2" customWidth="1"/>
    <col min="6899" max="6899" width="7.140625" style="2" customWidth="1"/>
    <col min="6900" max="6900" width="20.140625" style="2" customWidth="1"/>
    <col min="6901" max="7132" width="8.85546875" style="2" customWidth="1"/>
    <col min="7133" max="7133" width="8.140625" style="2" customWidth="1"/>
    <col min="7134" max="7134" width="14.5703125" style="2" customWidth="1"/>
    <col min="7135" max="7135" width="37.42578125" style="2" customWidth="1"/>
    <col min="7136" max="7136" width="63.140625" style="2" customWidth="1"/>
    <col min="7137" max="7137" width="20" style="2" customWidth="1"/>
    <col min="7138" max="7138" width="11.140625" style="2" customWidth="1"/>
    <col min="7139" max="7139" width="10.85546875" style="2" customWidth="1"/>
    <col min="7140" max="7140" width="21" style="2" customWidth="1"/>
    <col min="7141" max="7141" width="10.85546875" style="2" customWidth="1"/>
    <col min="7142" max="7142" width="17.42578125" style="2" customWidth="1"/>
    <col min="7143" max="7143" width="14.85546875" style="2" customWidth="1"/>
    <col min="7144" max="7144" width="15" style="2" customWidth="1"/>
    <col min="7145" max="7145" width="14.85546875" style="2" customWidth="1"/>
    <col min="7146" max="7146" width="7.140625" style="2" customWidth="1"/>
    <col min="7147" max="7148" width="20.140625" style="2" customWidth="1"/>
    <col min="7149" max="7149" width="18.42578125" style="2" customWidth="1"/>
    <col min="7150" max="7150" width="9.140625" style="2" customWidth="1"/>
    <col min="7151" max="7151" width="12" style="2" customWidth="1"/>
    <col min="7152" max="7152" width="14.85546875" style="2" customWidth="1"/>
    <col min="7153" max="7153" width="22.42578125" style="2" customWidth="1"/>
    <col min="7154" max="7154" width="14.85546875" style="2" customWidth="1"/>
    <col min="7155" max="7155" width="7.140625" style="2" customWidth="1"/>
    <col min="7156" max="7156" width="20.140625" style="2" customWidth="1"/>
    <col min="7157" max="7388" width="8.85546875" style="2" customWidth="1"/>
    <col min="7389" max="7389" width="8.140625" style="2" customWidth="1"/>
    <col min="7390" max="7390" width="14.5703125" style="2" customWidth="1"/>
    <col min="7391" max="7391" width="37.42578125" style="2" customWidth="1"/>
    <col min="7392" max="7392" width="63.140625" style="2" customWidth="1"/>
    <col min="7393" max="7393" width="20" style="2" customWidth="1"/>
    <col min="7394" max="7394" width="11.140625" style="2" customWidth="1"/>
    <col min="7395" max="7395" width="10.85546875" style="2" customWidth="1"/>
    <col min="7396" max="7396" width="21" style="2" customWidth="1"/>
    <col min="7397" max="7397" width="10.85546875" style="2" customWidth="1"/>
    <col min="7398" max="7398" width="17.42578125" style="2" customWidth="1"/>
    <col min="7399" max="7399" width="14.85546875" style="2" customWidth="1"/>
    <col min="7400" max="7400" width="15" style="2" customWidth="1"/>
    <col min="7401" max="7401" width="14.85546875" style="2" customWidth="1"/>
    <col min="7402" max="7402" width="7.140625" style="2" customWidth="1"/>
    <col min="7403" max="7404" width="20.140625" style="2" customWidth="1"/>
    <col min="7405" max="7405" width="18.42578125" style="2" customWidth="1"/>
    <col min="7406" max="7406" width="9.140625" style="2" customWidth="1"/>
    <col min="7407" max="7407" width="12" style="2" customWidth="1"/>
    <col min="7408" max="7408" width="14.85546875" style="2" customWidth="1"/>
    <col min="7409" max="7409" width="22.42578125" style="2" customWidth="1"/>
    <col min="7410" max="7410" width="14.85546875" style="2" customWidth="1"/>
    <col min="7411" max="7411" width="7.140625" style="2" customWidth="1"/>
    <col min="7412" max="7412" width="20.140625" style="2" customWidth="1"/>
    <col min="7413" max="7644" width="8.85546875" style="2" customWidth="1"/>
    <col min="7645" max="7645" width="8.140625" style="2" customWidth="1"/>
    <col min="7646" max="7646" width="14.5703125" style="2" customWidth="1"/>
    <col min="7647" max="7647" width="37.42578125" style="2" customWidth="1"/>
    <col min="7648" max="7648" width="63.140625" style="2" customWidth="1"/>
    <col min="7649" max="7649" width="20" style="2" customWidth="1"/>
    <col min="7650" max="7650" width="11.140625" style="2" customWidth="1"/>
    <col min="7651" max="7651" width="10.85546875" style="2" customWidth="1"/>
    <col min="7652" max="7652" width="21" style="2" customWidth="1"/>
    <col min="7653" max="7653" width="10.85546875" style="2" customWidth="1"/>
    <col min="7654" max="7654" width="17.42578125" style="2" customWidth="1"/>
    <col min="7655" max="7655" width="14.85546875" style="2" customWidth="1"/>
    <col min="7656" max="7656" width="15" style="2" customWidth="1"/>
    <col min="7657" max="7657" width="14.85546875" style="2" customWidth="1"/>
    <col min="7658" max="7658" width="7.140625" style="2" customWidth="1"/>
    <col min="7659" max="7660" width="20.140625" style="2" customWidth="1"/>
    <col min="7661" max="7661" width="18.42578125" style="2" customWidth="1"/>
    <col min="7662" max="7662" width="9.140625" style="2" customWidth="1"/>
    <col min="7663" max="7663" width="12" style="2" customWidth="1"/>
    <col min="7664" max="7664" width="14.85546875" style="2" customWidth="1"/>
    <col min="7665" max="7665" width="22.42578125" style="2" customWidth="1"/>
    <col min="7666" max="7666" width="14.85546875" style="2" customWidth="1"/>
    <col min="7667" max="7667" width="7.140625" style="2" customWidth="1"/>
    <col min="7668" max="7668" width="20.140625" style="2" customWidth="1"/>
    <col min="7669" max="7900" width="8.85546875" style="2" customWidth="1"/>
    <col min="7901" max="7901" width="8.140625" style="2" customWidth="1"/>
    <col min="7902" max="7902" width="14.5703125" style="2" customWidth="1"/>
    <col min="7903" max="7903" width="37.42578125" style="2" customWidth="1"/>
    <col min="7904" max="7904" width="63.140625" style="2" customWidth="1"/>
    <col min="7905" max="7905" width="20" style="2" customWidth="1"/>
    <col min="7906" max="7906" width="11.140625" style="2" customWidth="1"/>
    <col min="7907" max="7907" width="10.85546875" style="2" customWidth="1"/>
    <col min="7908" max="7908" width="21" style="2" customWidth="1"/>
    <col min="7909" max="7909" width="10.85546875" style="2" customWidth="1"/>
    <col min="7910" max="7910" width="17.42578125" style="2" customWidth="1"/>
    <col min="7911" max="7911" width="14.85546875" style="2" customWidth="1"/>
    <col min="7912" max="7912" width="15" style="2" customWidth="1"/>
    <col min="7913" max="7913" width="14.85546875" style="2" customWidth="1"/>
    <col min="7914" max="7914" width="7.140625" style="2" customWidth="1"/>
    <col min="7915" max="7916" width="20.140625" style="2" customWidth="1"/>
    <col min="7917" max="7917" width="18.42578125" style="2" customWidth="1"/>
    <col min="7918" max="7918" width="9.140625" style="2" customWidth="1"/>
    <col min="7919" max="7919" width="12" style="2" customWidth="1"/>
    <col min="7920" max="7920" width="14.85546875" style="2" customWidth="1"/>
    <col min="7921" max="7921" width="22.42578125" style="2" customWidth="1"/>
    <col min="7922" max="7922" width="14.85546875" style="2" customWidth="1"/>
    <col min="7923" max="7923" width="7.140625" style="2" customWidth="1"/>
    <col min="7924" max="7924" width="20.140625" style="2" customWidth="1"/>
    <col min="7925" max="8156" width="8.85546875" style="2" customWidth="1"/>
    <col min="8157" max="8157" width="8.140625" style="2" customWidth="1"/>
    <col min="8158" max="8158" width="14.5703125" style="2" customWidth="1"/>
    <col min="8159" max="8159" width="37.42578125" style="2" customWidth="1"/>
    <col min="8160" max="8160" width="63.140625" style="2" customWidth="1"/>
    <col min="8161" max="8161" width="20" style="2" customWidth="1"/>
    <col min="8162" max="8162" width="11.140625" style="2" customWidth="1"/>
    <col min="8163" max="8163" width="10.85546875" style="2" customWidth="1"/>
    <col min="8164" max="8164" width="21" style="2" customWidth="1"/>
    <col min="8165" max="8165" width="10.85546875" style="2" customWidth="1"/>
    <col min="8166" max="8166" width="17.42578125" style="2" customWidth="1"/>
    <col min="8167" max="8167" width="14.85546875" style="2" customWidth="1"/>
    <col min="8168" max="8168" width="15" style="2" customWidth="1"/>
    <col min="8169" max="8169" width="14.85546875" style="2" customWidth="1"/>
    <col min="8170" max="8170" width="7.140625" style="2" customWidth="1"/>
    <col min="8171" max="8172" width="20.140625" style="2" customWidth="1"/>
    <col min="8173" max="8173" width="18.42578125" style="2" customWidth="1"/>
    <col min="8174" max="8174" width="9.140625" style="2" customWidth="1"/>
    <col min="8175" max="8175" width="12" style="2" customWidth="1"/>
    <col min="8176" max="8176" width="14.85546875" style="2" customWidth="1"/>
    <col min="8177" max="8177" width="22.42578125" style="2" customWidth="1"/>
    <col min="8178" max="8178" width="14.85546875" style="2" customWidth="1"/>
    <col min="8179" max="8179" width="7.140625" style="2" customWidth="1"/>
    <col min="8180" max="8180" width="20.140625" style="2" customWidth="1"/>
    <col min="8181" max="8412" width="8.85546875" style="2" customWidth="1"/>
    <col min="8413" max="8413" width="8.140625" style="2" customWidth="1"/>
    <col min="8414" max="8414" width="14.5703125" style="2" customWidth="1"/>
    <col min="8415" max="8415" width="37.42578125" style="2" customWidth="1"/>
    <col min="8416" max="8416" width="63.140625" style="2" customWidth="1"/>
    <col min="8417" max="8417" width="20" style="2" customWidth="1"/>
    <col min="8418" max="8418" width="11.140625" style="2" customWidth="1"/>
    <col min="8419" max="8419" width="10.85546875" style="2" customWidth="1"/>
    <col min="8420" max="8420" width="21" style="2" customWidth="1"/>
    <col min="8421" max="8421" width="10.85546875" style="2" customWidth="1"/>
    <col min="8422" max="8422" width="17.42578125" style="2" customWidth="1"/>
    <col min="8423" max="8423" width="14.85546875" style="2" customWidth="1"/>
    <col min="8424" max="8424" width="15" style="2" customWidth="1"/>
    <col min="8425" max="8425" width="14.85546875" style="2" customWidth="1"/>
    <col min="8426" max="8426" width="7.140625" style="2" customWidth="1"/>
    <col min="8427" max="8428" width="20.140625" style="2" customWidth="1"/>
    <col min="8429" max="8429" width="18.42578125" style="2" customWidth="1"/>
    <col min="8430" max="8430" width="9.140625" style="2" customWidth="1"/>
    <col min="8431" max="8431" width="12" style="2" customWidth="1"/>
    <col min="8432" max="8432" width="14.85546875" style="2" customWidth="1"/>
    <col min="8433" max="8433" width="22.42578125" style="2" customWidth="1"/>
    <col min="8434" max="8434" width="14.85546875" style="2" customWidth="1"/>
    <col min="8435" max="8435" width="7.140625" style="2" customWidth="1"/>
    <col min="8436" max="8436" width="20.140625" style="2" customWidth="1"/>
    <col min="8437" max="8668" width="8.85546875" style="2" customWidth="1"/>
    <col min="8669" max="8669" width="8.140625" style="2" customWidth="1"/>
    <col min="8670" max="8670" width="14.5703125" style="2" customWidth="1"/>
    <col min="8671" max="8671" width="37.42578125" style="2" customWidth="1"/>
    <col min="8672" max="8672" width="63.140625" style="2" customWidth="1"/>
    <col min="8673" max="8673" width="20" style="2" customWidth="1"/>
    <col min="8674" max="8674" width="11.140625" style="2" customWidth="1"/>
    <col min="8675" max="8675" width="10.85546875" style="2" customWidth="1"/>
    <col min="8676" max="8676" width="21" style="2" customWidth="1"/>
    <col min="8677" max="8677" width="10.85546875" style="2" customWidth="1"/>
    <col min="8678" max="8678" width="17.42578125" style="2" customWidth="1"/>
    <col min="8679" max="8679" width="14.85546875" style="2" customWidth="1"/>
    <col min="8680" max="8680" width="15" style="2" customWidth="1"/>
    <col min="8681" max="8681" width="14.85546875" style="2" customWidth="1"/>
    <col min="8682" max="8682" width="7.140625" style="2" customWidth="1"/>
    <col min="8683" max="8684" width="20.140625" style="2" customWidth="1"/>
    <col min="8685" max="8685" width="18.42578125" style="2" customWidth="1"/>
    <col min="8686" max="8686" width="9.140625" style="2" customWidth="1"/>
    <col min="8687" max="8687" width="12" style="2" customWidth="1"/>
    <col min="8688" max="8688" width="14.85546875" style="2" customWidth="1"/>
    <col min="8689" max="8689" width="22.42578125" style="2" customWidth="1"/>
    <col min="8690" max="8690" width="14.85546875" style="2" customWidth="1"/>
    <col min="8691" max="8691" width="7.140625" style="2" customWidth="1"/>
    <col min="8692" max="8692" width="20.140625" style="2" customWidth="1"/>
    <col min="8693" max="8924" width="8.85546875" style="2" customWidth="1"/>
    <col min="8925" max="8925" width="8.140625" style="2" customWidth="1"/>
    <col min="8926" max="8926" width="14.5703125" style="2" customWidth="1"/>
    <col min="8927" max="8927" width="37.42578125" style="2" customWidth="1"/>
    <col min="8928" max="8928" width="63.140625" style="2" customWidth="1"/>
    <col min="8929" max="8929" width="20" style="2" customWidth="1"/>
    <col min="8930" max="8930" width="11.140625" style="2" customWidth="1"/>
    <col min="8931" max="8931" width="10.85546875" style="2" customWidth="1"/>
    <col min="8932" max="8932" width="21" style="2" customWidth="1"/>
    <col min="8933" max="8933" width="10.85546875" style="2" customWidth="1"/>
    <col min="8934" max="8934" width="17.42578125" style="2" customWidth="1"/>
    <col min="8935" max="8935" width="14.85546875" style="2" customWidth="1"/>
    <col min="8936" max="8936" width="15" style="2" customWidth="1"/>
    <col min="8937" max="8937" width="14.85546875" style="2" customWidth="1"/>
    <col min="8938" max="8938" width="7.140625" style="2" customWidth="1"/>
    <col min="8939" max="8940" width="20.140625" style="2" customWidth="1"/>
    <col min="8941" max="8941" width="18.42578125" style="2" customWidth="1"/>
    <col min="8942" max="8942" width="9.140625" style="2" customWidth="1"/>
    <col min="8943" max="8943" width="12" style="2" customWidth="1"/>
    <col min="8944" max="8944" width="14.85546875" style="2" customWidth="1"/>
    <col min="8945" max="8945" width="22.42578125" style="2" customWidth="1"/>
    <col min="8946" max="8946" width="14.85546875" style="2" customWidth="1"/>
    <col min="8947" max="8947" width="7.140625" style="2" customWidth="1"/>
    <col min="8948" max="8948" width="20.140625" style="2" customWidth="1"/>
    <col min="8949" max="9180" width="8.85546875" style="2" customWidth="1"/>
    <col min="9181" max="9181" width="8.140625" style="2" customWidth="1"/>
    <col min="9182" max="9182" width="14.5703125" style="2" customWidth="1"/>
    <col min="9183" max="9183" width="37.42578125" style="2" customWidth="1"/>
    <col min="9184" max="9184" width="63.140625" style="2" customWidth="1"/>
    <col min="9185" max="9185" width="20" style="2" customWidth="1"/>
    <col min="9186" max="9186" width="11.140625" style="2" customWidth="1"/>
    <col min="9187" max="9187" width="10.85546875" style="2" customWidth="1"/>
    <col min="9188" max="9188" width="21" style="2" customWidth="1"/>
    <col min="9189" max="9189" width="10.85546875" style="2" customWidth="1"/>
    <col min="9190" max="9190" width="17.42578125" style="2" customWidth="1"/>
    <col min="9191" max="9191" width="14.85546875" style="2" customWidth="1"/>
    <col min="9192" max="9192" width="15" style="2" customWidth="1"/>
    <col min="9193" max="9193" width="14.85546875" style="2" customWidth="1"/>
    <col min="9194" max="9194" width="7.140625" style="2" customWidth="1"/>
    <col min="9195" max="9196" width="20.140625" style="2" customWidth="1"/>
    <col min="9197" max="9197" width="18.42578125" style="2" customWidth="1"/>
    <col min="9198" max="9198" width="9.140625" style="2" customWidth="1"/>
    <col min="9199" max="9199" width="12" style="2" customWidth="1"/>
    <col min="9200" max="9200" width="14.85546875" style="2" customWidth="1"/>
    <col min="9201" max="9201" width="22.42578125" style="2" customWidth="1"/>
    <col min="9202" max="9202" width="14.85546875" style="2" customWidth="1"/>
    <col min="9203" max="9203" width="7.140625" style="2" customWidth="1"/>
    <col min="9204" max="9204" width="20.140625" style="2" customWidth="1"/>
    <col min="9205" max="9436" width="8.85546875" style="2" customWidth="1"/>
    <col min="9437" max="9437" width="8.140625" style="2" customWidth="1"/>
    <col min="9438" max="9438" width="14.5703125" style="2" customWidth="1"/>
    <col min="9439" max="9439" width="37.42578125" style="2" customWidth="1"/>
    <col min="9440" max="9440" width="63.140625" style="2" customWidth="1"/>
    <col min="9441" max="9441" width="20" style="2" customWidth="1"/>
    <col min="9442" max="9442" width="11.140625" style="2" customWidth="1"/>
    <col min="9443" max="9443" width="10.85546875" style="2" customWidth="1"/>
    <col min="9444" max="9444" width="21" style="2" customWidth="1"/>
    <col min="9445" max="9445" width="10.85546875" style="2" customWidth="1"/>
    <col min="9446" max="9446" width="17.42578125" style="2" customWidth="1"/>
    <col min="9447" max="9447" width="14.85546875" style="2" customWidth="1"/>
    <col min="9448" max="9448" width="15" style="2" customWidth="1"/>
    <col min="9449" max="9449" width="14.85546875" style="2" customWidth="1"/>
    <col min="9450" max="9450" width="7.140625" style="2" customWidth="1"/>
    <col min="9451" max="9452" width="20.140625" style="2" customWidth="1"/>
    <col min="9453" max="9453" width="18.42578125" style="2" customWidth="1"/>
    <col min="9454" max="9454" width="9.140625" style="2" customWidth="1"/>
    <col min="9455" max="9455" width="12" style="2" customWidth="1"/>
    <col min="9456" max="9456" width="14.85546875" style="2" customWidth="1"/>
    <col min="9457" max="9457" width="22.42578125" style="2" customWidth="1"/>
    <col min="9458" max="9458" width="14.85546875" style="2" customWidth="1"/>
    <col min="9459" max="9459" width="7.140625" style="2" customWidth="1"/>
    <col min="9460" max="9460" width="20.140625" style="2" customWidth="1"/>
    <col min="9461" max="9692" width="8.85546875" style="2" customWidth="1"/>
    <col min="9693" max="9693" width="8.140625" style="2" customWidth="1"/>
    <col min="9694" max="9694" width="14.5703125" style="2" customWidth="1"/>
    <col min="9695" max="9695" width="37.42578125" style="2" customWidth="1"/>
    <col min="9696" max="9696" width="63.140625" style="2" customWidth="1"/>
    <col min="9697" max="9697" width="20" style="2" customWidth="1"/>
    <col min="9698" max="9698" width="11.140625" style="2" customWidth="1"/>
    <col min="9699" max="9699" width="10.85546875" style="2" customWidth="1"/>
    <col min="9700" max="9700" width="21" style="2" customWidth="1"/>
    <col min="9701" max="9701" width="10.85546875" style="2" customWidth="1"/>
    <col min="9702" max="9702" width="17.42578125" style="2" customWidth="1"/>
    <col min="9703" max="9703" width="14.85546875" style="2" customWidth="1"/>
    <col min="9704" max="9704" width="15" style="2" customWidth="1"/>
    <col min="9705" max="9705" width="14.85546875" style="2" customWidth="1"/>
    <col min="9706" max="9706" width="7.140625" style="2" customWidth="1"/>
    <col min="9707" max="9708" width="20.140625" style="2" customWidth="1"/>
    <col min="9709" max="9709" width="18.42578125" style="2" customWidth="1"/>
    <col min="9710" max="9710" width="9.140625" style="2" customWidth="1"/>
    <col min="9711" max="9711" width="12" style="2" customWidth="1"/>
    <col min="9712" max="9712" width="14.85546875" style="2" customWidth="1"/>
    <col min="9713" max="9713" width="22.42578125" style="2" customWidth="1"/>
    <col min="9714" max="9714" width="14.85546875" style="2" customWidth="1"/>
    <col min="9715" max="9715" width="7.140625" style="2" customWidth="1"/>
    <col min="9716" max="9716" width="20.140625" style="2" customWidth="1"/>
    <col min="9717" max="9948" width="8.85546875" style="2" customWidth="1"/>
    <col min="9949" max="9949" width="8.140625" style="2" customWidth="1"/>
    <col min="9950" max="9950" width="14.5703125" style="2" customWidth="1"/>
    <col min="9951" max="9951" width="37.42578125" style="2" customWidth="1"/>
    <col min="9952" max="9952" width="63.140625" style="2" customWidth="1"/>
    <col min="9953" max="9953" width="20" style="2" customWidth="1"/>
    <col min="9954" max="9954" width="11.140625" style="2" customWidth="1"/>
    <col min="9955" max="9955" width="10.85546875" style="2" customWidth="1"/>
    <col min="9956" max="9956" width="21" style="2" customWidth="1"/>
    <col min="9957" max="9957" width="10.85546875" style="2" customWidth="1"/>
    <col min="9958" max="9958" width="17.42578125" style="2" customWidth="1"/>
    <col min="9959" max="9959" width="14.85546875" style="2" customWidth="1"/>
    <col min="9960" max="9960" width="15" style="2" customWidth="1"/>
    <col min="9961" max="9961" width="14.85546875" style="2" customWidth="1"/>
    <col min="9962" max="9962" width="7.140625" style="2" customWidth="1"/>
    <col min="9963" max="9964" width="20.140625" style="2" customWidth="1"/>
    <col min="9965" max="9965" width="18.42578125" style="2" customWidth="1"/>
    <col min="9966" max="9966" width="9.140625" style="2" customWidth="1"/>
    <col min="9967" max="9967" width="12" style="2" customWidth="1"/>
    <col min="9968" max="9968" width="14.85546875" style="2" customWidth="1"/>
    <col min="9969" max="9969" width="22.42578125" style="2" customWidth="1"/>
    <col min="9970" max="9970" width="14.85546875" style="2" customWidth="1"/>
    <col min="9971" max="9971" width="7.140625" style="2" customWidth="1"/>
    <col min="9972" max="9972" width="20.140625" style="2" customWidth="1"/>
    <col min="9973" max="10204" width="8.85546875" style="2" customWidth="1"/>
    <col min="10205" max="10205" width="8.140625" style="2" customWidth="1"/>
    <col min="10206" max="10206" width="14.5703125" style="2" customWidth="1"/>
    <col min="10207" max="10207" width="37.42578125" style="2" customWidth="1"/>
    <col min="10208" max="10208" width="63.140625" style="2" customWidth="1"/>
    <col min="10209" max="10209" width="20" style="2" customWidth="1"/>
    <col min="10210" max="10210" width="11.140625" style="2" customWidth="1"/>
    <col min="10211" max="10211" width="10.85546875" style="2" customWidth="1"/>
    <col min="10212" max="10212" width="21" style="2" customWidth="1"/>
    <col min="10213" max="10213" width="10.85546875" style="2" customWidth="1"/>
    <col min="10214" max="10214" width="17.42578125" style="2" customWidth="1"/>
    <col min="10215" max="10215" width="14.85546875" style="2" customWidth="1"/>
    <col min="10216" max="10216" width="15" style="2" customWidth="1"/>
    <col min="10217" max="10217" width="14.85546875" style="2" customWidth="1"/>
    <col min="10218" max="10218" width="7.140625" style="2" customWidth="1"/>
    <col min="10219" max="10220" width="20.140625" style="2" customWidth="1"/>
    <col min="10221" max="10221" width="18.42578125" style="2" customWidth="1"/>
    <col min="10222" max="10222" width="9.140625" style="2" customWidth="1"/>
    <col min="10223" max="10223" width="12" style="2" customWidth="1"/>
    <col min="10224" max="10224" width="14.85546875" style="2" customWidth="1"/>
    <col min="10225" max="10225" width="22.42578125" style="2" customWidth="1"/>
    <col min="10226" max="10226" width="14.85546875" style="2" customWidth="1"/>
    <col min="10227" max="10227" width="7.140625" style="2" customWidth="1"/>
    <col min="10228" max="10228" width="20.140625" style="2" customWidth="1"/>
    <col min="10229" max="10460" width="8.85546875" style="2" customWidth="1"/>
    <col min="10461" max="10461" width="8.140625" style="2" customWidth="1"/>
    <col min="10462" max="10462" width="14.5703125" style="2" customWidth="1"/>
    <col min="10463" max="10463" width="37.42578125" style="2" customWidth="1"/>
    <col min="10464" max="10464" width="63.140625" style="2" customWidth="1"/>
    <col min="10465" max="10465" width="20" style="2" customWidth="1"/>
    <col min="10466" max="10466" width="11.140625" style="2" customWidth="1"/>
    <col min="10467" max="10467" width="10.85546875" style="2" customWidth="1"/>
    <col min="10468" max="10468" width="21" style="2" customWidth="1"/>
    <col min="10469" max="10469" width="10.85546875" style="2" customWidth="1"/>
    <col min="10470" max="10470" width="17.42578125" style="2" customWidth="1"/>
    <col min="10471" max="10471" width="14.85546875" style="2" customWidth="1"/>
    <col min="10472" max="10472" width="15" style="2" customWidth="1"/>
    <col min="10473" max="10473" width="14.85546875" style="2" customWidth="1"/>
    <col min="10474" max="10474" width="7.140625" style="2" customWidth="1"/>
    <col min="10475" max="10476" width="20.140625" style="2" customWidth="1"/>
    <col min="10477" max="10477" width="18.42578125" style="2" customWidth="1"/>
    <col min="10478" max="10478" width="9.140625" style="2" customWidth="1"/>
    <col min="10479" max="10479" width="12" style="2" customWidth="1"/>
    <col min="10480" max="10480" width="14.85546875" style="2" customWidth="1"/>
    <col min="10481" max="10481" width="22.42578125" style="2" customWidth="1"/>
    <col min="10482" max="10482" width="14.85546875" style="2" customWidth="1"/>
    <col min="10483" max="10483" width="7.140625" style="2" customWidth="1"/>
    <col min="10484" max="10484" width="20.140625" style="2" customWidth="1"/>
    <col min="10485" max="10716" width="8.85546875" style="2" customWidth="1"/>
    <col min="10717" max="10717" width="8.140625" style="2" customWidth="1"/>
    <col min="10718" max="10718" width="14.5703125" style="2" customWidth="1"/>
    <col min="10719" max="10719" width="37.42578125" style="2" customWidth="1"/>
    <col min="10720" max="10720" width="63.140625" style="2" customWidth="1"/>
    <col min="10721" max="10721" width="20" style="2" customWidth="1"/>
    <col min="10722" max="10722" width="11.140625" style="2" customWidth="1"/>
    <col min="10723" max="10723" width="10.85546875" style="2" customWidth="1"/>
    <col min="10724" max="10724" width="21" style="2" customWidth="1"/>
    <col min="10725" max="10725" width="10.85546875" style="2" customWidth="1"/>
    <col min="10726" max="10726" width="17.42578125" style="2" customWidth="1"/>
    <col min="10727" max="10727" width="14.85546875" style="2" customWidth="1"/>
    <col min="10728" max="10728" width="15" style="2" customWidth="1"/>
    <col min="10729" max="10729" width="14.85546875" style="2" customWidth="1"/>
    <col min="10730" max="10730" width="7.140625" style="2" customWidth="1"/>
    <col min="10731" max="10732" width="20.140625" style="2" customWidth="1"/>
    <col min="10733" max="10733" width="18.42578125" style="2" customWidth="1"/>
    <col min="10734" max="10734" width="9.140625" style="2" customWidth="1"/>
    <col min="10735" max="10735" width="12" style="2" customWidth="1"/>
    <col min="10736" max="10736" width="14.85546875" style="2" customWidth="1"/>
    <col min="10737" max="10737" width="22.42578125" style="2" customWidth="1"/>
    <col min="10738" max="10738" width="14.85546875" style="2" customWidth="1"/>
    <col min="10739" max="10739" width="7.140625" style="2" customWidth="1"/>
    <col min="10740" max="10740" width="20.140625" style="2" customWidth="1"/>
    <col min="10741" max="10972" width="8.85546875" style="2" customWidth="1"/>
    <col min="10973" max="10973" width="8.140625" style="2" customWidth="1"/>
    <col min="10974" max="10974" width="14.5703125" style="2" customWidth="1"/>
    <col min="10975" max="10975" width="37.42578125" style="2" customWidth="1"/>
    <col min="10976" max="10976" width="63.140625" style="2" customWidth="1"/>
    <col min="10977" max="10977" width="20" style="2" customWidth="1"/>
    <col min="10978" max="10978" width="11.140625" style="2" customWidth="1"/>
    <col min="10979" max="10979" width="10.85546875" style="2" customWidth="1"/>
    <col min="10980" max="10980" width="21" style="2" customWidth="1"/>
    <col min="10981" max="10981" width="10.85546875" style="2" customWidth="1"/>
    <col min="10982" max="10982" width="17.42578125" style="2" customWidth="1"/>
    <col min="10983" max="10983" width="14.85546875" style="2" customWidth="1"/>
    <col min="10984" max="10984" width="15" style="2" customWidth="1"/>
    <col min="10985" max="10985" width="14.85546875" style="2" customWidth="1"/>
    <col min="10986" max="10986" width="7.140625" style="2" customWidth="1"/>
    <col min="10987" max="10988" width="20.140625" style="2" customWidth="1"/>
    <col min="10989" max="10989" width="18.42578125" style="2" customWidth="1"/>
    <col min="10990" max="10990" width="9.140625" style="2" customWidth="1"/>
    <col min="10991" max="10991" width="12" style="2" customWidth="1"/>
    <col min="10992" max="10992" width="14.85546875" style="2" customWidth="1"/>
    <col min="10993" max="10993" width="22.42578125" style="2" customWidth="1"/>
    <col min="10994" max="10994" width="14.85546875" style="2" customWidth="1"/>
    <col min="10995" max="10995" width="7.140625" style="2" customWidth="1"/>
    <col min="10996" max="10996" width="20.140625" style="2" customWidth="1"/>
    <col min="10997" max="11228" width="8.85546875" style="2" customWidth="1"/>
    <col min="11229" max="11229" width="8.140625" style="2" customWidth="1"/>
    <col min="11230" max="11230" width="14.5703125" style="2" customWidth="1"/>
    <col min="11231" max="11231" width="37.42578125" style="2" customWidth="1"/>
    <col min="11232" max="11232" width="63.140625" style="2" customWidth="1"/>
    <col min="11233" max="11233" width="20" style="2" customWidth="1"/>
    <col min="11234" max="11234" width="11.140625" style="2" customWidth="1"/>
    <col min="11235" max="11235" width="10.85546875" style="2" customWidth="1"/>
    <col min="11236" max="11236" width="21" style="2" customWidth="1"/>
    <col min="11237" max="11237" width="10.85546875" style="2" customWidth="1"/>
    <col min="11238" max="11238" width="17.42578125" style="2" customWidth="1"/>
    <col min="11239" max="11239" width="14.85546875" style="2" customWidth="1"/>
    <col min="11240" max="11240" width="15" style="2" customWidth="1"/>
    <col min="11241" max="11241" width="14.85546875" style="2" customWidth="1"/>
    <col min="11242" max="11242" width="7.140625" style="2" customWidth="1"/>
    <col min="11243" max="11244" width="20.140625" style="2" customWidth="1"/>
    <col min="11245" max="11245" width="18.42578125" style="2" customWidth="1"/>
    <col min="11246" max="11246" width="9.140625" style="2" customWidth="1"/>
    <col min="11247" max="11247" width="12" style="2" customWidth="1"/>
    <col min="11248" max="11248" width="14.85546875" style="2" customWidth="1"/>
    <col min="11249" max="11249" width="22.42578125" style="2" customWidth="1"/>
    <col min="11250" max="11250" width="14.85546875" style="2" customWidth="1"/>
    <col min="11251" max="11251" width="7.140625" style="2" customWidth="1"/>
    <col min="11252" max="11252" width="20.140625" style="2" customWidth="1"/>
    <col min="11253" max="11484" width="8.85546875" style="2" customWidth="1"/>
    <col min="11485" max="11485" width="8.140625" style="2" customWidth="1"/>
    <col min="11486" max="11486" width="14.5703125" style="2" customWidth="1"/>
    <col min="11487" max="11487" width="37.42578125" style="2" customWidth="1"/>
    <col min="11488" max="11488" width="63.140625" style="2" customWidth="1"/>
    <col min="11489" max="11489" width="20" style="2" customWidth="1"/>
    <col min="11490" max="11490" width="11.140625" style="2" customWidth="1"/>
    <col min="11491" max="11491" width="10.85546875" style="2" customWidth="1"/>
    <col min="11492" max="11492" width="21" style="2" customWidth="1"/>
    <col min="11493" max="11493" width="10.85546875" style="2" customWidth="1"/>
    <col min="11494" max="11494" width="17.42578125" style="2" customWidth="1"/>
    <col min="11495" max="11495" width="14.85546875" style="2" customWidth="1"/>
    <col min="11496" max="11496" width="15" style="2" customWidth="1"/>
    <col min="11497" max="11497" width="14.85546875" style="2" customWidth="1"/>
    <col min="11498" max="11498" width="7.140625" style="2" customWidth="1"/>
    <col min="11499" max="11500" width="20.140625" style="2" customWidth="1"/>
    <col min="11501" max="11501" width="18.42578125" style="2" customWidth="1"/>
    <col min="11502" max="11502" width="9.140625" style="2" customWidth="1"/>
    <col min="11503" max="11503" width="12" style="2" customWidth="1"/>
    <col min="11504" max="11504" width="14.85546875" style="2" customWidth="1"/>
    <col min="11505" max="11505" width="22.42578125" style="2" customWidth="1"/>
    <col min="11506" max="11506" width="14.85546875" style="2" customWidth="1"/>
    <col min="11507" max="11507" width="7.140625" style="2" customWidth="1"/>
    <col min="11508" max="11508" width="20.140625" style="2" customWidth="1"/>
    <col min="11509" max="11740" width="8.85546875" style="2" customWidth="1"/>
    <col min="11741" max="11741" width="8.140625" style="2" customWidth="1"/>
    <col min="11742" max="11742" width="14.5703125" style="2" customWidth="1"/>
    <col min="11743" max="11743" width="37.42578125" style="2" customWidth="1"/>
    <col min="11744" max="11744" width="63.140625" style="2" customWidth="1"/>
    <col min="11745" max="11745" width="20" style="2" customWidth="1"/>
    <col min="11746" max="11746" width="11.140625" style="2" customWidth="1"/>
    <col min="11747" max="11747" width="10.85546875" style="2" customWidth="1"/>
    <col min="11748" max="11748" width="21" style="2" customWidth="1"/>
    <col min="11749" max="11749" width="10.85546875" style="2" customWidth="1"/>
    <col min="11750" max="11750" width="17.42578125" style="2" customWidth="1"/>
    <col min="11751" max="11751" width="14.85546875" style="2" customWidth="1"/>
    <col min="11752" max="11752" width="15" style="2" customWidth="1"/>
    <col min="11753" max="11753" width="14.85546875" style="2" customWidth="1"/>
    <col min="11754" max="11754" width="7.140625" style="2" customWidth="1"/>
    <col min="11755" max="11756" width="20.140625" style="2" customWidth="1"/>
    <col min="11757" max="11757" width="18.42578125" style="2" customWidth="1"/>
    <col min="11758" max="11758" width="9.140625" style="2" customWidth="1"/>
    <col min="11759" max="11759" width="12" style="2" customWidth="1"/>
    <col min="11760" max="11760" width="14.85546875" style="2" customWidth="1"/>
    <col min="11761" max="11761" width="22.42578125" style="2" customWidth="1"/>
    <col min="11762" max="11762" width="14.85546875" style="2" customWidth="1"/>
    <col min="11763" max="11763" width="7.140625" style="2" customWidth="1"/>
    <col min="11764" max="11764" width="20.140625" style="2" customWidth="1"/>
    <col min="11765" max="11996" width="8.85546875" style="2" customWidth="1"/>
    <col min="11997" max="11997" width="8.140625" style="2" customWidth="1"/>
    <col min="11998" max="11998" width="14.5703125" style="2" customWidth="1"/>
    <col min="11999" max="11999" width="37.42578125" style="2" customWidth="1"/>
    <col min="12000" max="12000" width="63.140625" style="2" customWidth="1"/>
    <col min="12001" max="12001" width="20" style="2" customWidth="1"/>
    <col min="12002" max="12002" width="11.140625" style="2" customWidth="1"/>
    <col min="12003" max="12003" width="10.85546875" style="2" customWidth="1"/>
    <col min="12004" max="12004" width="21" style="2" customWidth="1"/>
    <col min="12005" max="12005" width="10.85546875" style="2" customWidth="1"/>
    <col min="12006" max="12006" width="17.42578125" style="2" customWidth="1"/>
    <col min="12007" max="12007" width="14.85546875" style="2" customWidth="1"/>
    <col min="12008" max="12008" width="15" style="2" customWidth="1"/>
    <col min="12009" max="12009" width="14.85546875" style="2" customWidth="1"/>
    <col min="12010" max="12010" width="7.140625" style="2" customWidth="1"/>
    <col min="12011" max="12012" width="20.140625" style="2" customWidth="1"/>
    <col min="12013" max="12013" width="18.42578125" style="2" customWidth="1"/>
    <col min="12014" max="12014" width="9.140625" style="2" customWidth="1"/>
    <col min="12015" max="12015" width="12" style="2" customWidth="1"/>
    <col min="12016" max="12016" width="14.85546875" style="2" customWidth="1"/>
    <col min="12017" max="12017" width="22.42578125" style="2" customWidth="1"/>
    <col min="12018" max="12018" width="14.85546875" style="2" customWidth="1"/>
    <col min="12019" max="12019" width="7.140625" style="2" customWidth="1"/>
    <col min="12020" max="12020" width="20.140625" style="2" customWidth="1"/>
    <col min="12021" max="12252" width="8.85546875" style="2" customWidth="1"/>
    <col min="12253" max="12253" width="8.140625" style="2" customWidth="1"/>
    <col min="12254" max="12254" width="14.5703125" style="2" customWidth="1"/>
    <col min="12255" max="12255" width="37.42578125" style="2" customWidth="1"/>
    <col min="12256" max="12256" width="63.140625" style="2" customWidth="1"/>
    <col min="12257" max="12257" width="20" style="2" customWidth="1"/>
    <col min="12258" max="12258" width="11.140625" style="2" customWidth="1"/>
    <col min="12259" max="12259" width="10.85546875" style="2" customWidth="1"/>
    <col min="12260" max="12260" width="21" style="2" customWidth="1"/>
    <col min="12261" max="12261" width="10.85546875" style="2" customWidth="1"/>
    <col min="12262" max="12262" width="17.42578125" style="2" customWidth="1"/>
    <col min="12263" max="12263" width="14.85546875" style="2" customWidth="1"/>
    <col min="12264" max="12264" width="15" style="2" customWidth="1"/>
    <col min="12265" max="12265" width="14.85546875" style="2" customWidth="1"/>
    <col min="12266" max="12266" width="7.140625" style="2" customWidth="1"/>
    <col min="12267" max="12268" width="20.140625" style="2" customWidth="1"/>
    <col min="12269" max="12269" width="18.42578125" style="2" customWidth="1"/>
    <col min="12270" max="12270" width="9.140625" style="2" customWidth="1"/>
    <col min="12271" max="12271" width="12" style="2" customWidth="1"/>
    <col min="12272" max="12272" width="14.85546875" style="2" customWidth="1"/>
    <col min="12273" max="12273" width="22.42578125" style="2" customWidth="1"/>
    <col min="12274" max="12274" width="14.85546875" style="2" customWidth="1"/>
    <col min="12275" max="12275" width="7.140625" style="2" customWidth="1"/>
    <col min="12276" max="12276" width="20.140625" style="2" customWidth="1"/>
    <col min="12277" max="12508" width="8.85546875" style="2" customWidth="1"/>
    <col min="12509" max="12509" width="8.140625" style="2" customWidth="1"/>
    <col min="12510" max="12510" width="14.5703125" style="2" customWidth="1"/>
    <col min="12511" max="12511" width="37.42578125" style="2" customWidth="1"/>
    <col min="12512" max="12512" width="63.140625" style="2" customWidth="1"/>
    <col min="12513" max="12513" width="20" style="2" customWidth="1"/>
    <col min="12514" max="12514" width="11.140625" style="2" customWidth="1"/>
    <col min="12515" max="12515" width="10.85546875" style="2" customWidth="1"/>
    <col min="12516" max="12516" width="21" style="2" customWidth="1"/>
    <col min="12517" max="12517" width="10.85546875" style="2" customWidth="1"/>
    <col min="12518" max="12518" width="17.42578125" style="2" customWidth="1"/>
    <col min="12519" max="12519" width="14.85546875" style="2" customWidth="1"/>
    <col min="12520" max="12520" width="15" style="2" customWidth="1"/>
    <col min="12521" max="12521" width="14.85546875" style="2" customWidth="1"/>
    <col min="12522" max="12522" width="7.140625" style="2" customWidth="1"/>
    <col min="12523" max="12524" width="20.140625" style="2" customWidth="1"/>
    <col min="12525" max="12525" width="18.42578125" style="2" customWidth="1"/>
    <col min="12526" max="12526" width="9.140625" style="2" customWidth="1"/>
    <col min="12527" max="12527" width="12" style="2" customWidth="1"/>
    <col min="12528" max="12528" width="14.85546875" style="2" customWidth="1"/>
    <col min="12529" max="12529" width="22.42578125" style="2" customWidth="1"/>
    <col min="12530" max="12530" width="14.85546875" style="2" customWidth="1"/>
    <col min="12531" max="12531" width="7.140625" style="2" customWidth="1"/>
    <col min="12532" max="12532" width="20.140625" style="2" customWidth="1"/>
    <col min="12533" max="12764" width="8.85546875" style="2" customWidth="1"/>
    <col min="12765" max="12765" width="8.140625" style="2" customWidth="1"/>
    <col min="12766" max="12766" width="14.5703125" style="2" customWidth="1"/>
    <col min="12767" max="12767" width="37.42578125" style="2" customWidth="1"/>
    <col min="12768" max="12768" width="63.140625" style="2" customWidth="1"/>
    <col min="12769" max="12769" width="20" style="2" customWidth="1"/>
    <col min="12770" max="12770" width="11.140625" style="2" customWidth="1"/>
    <col min="12771" max="12771" width="10.85546875" style="2" customWidth="1"/>
    <col min="12772" max="12772" width="21" style="2" customWidth="1"/>
    <col min="12773" max="12773" width="10.85546875" style="2" customWidth="1"/>
    <col min="12774" max="12774" width="17.42578125" style="2" customWidth="1"/>
    <col min="12775" max="12775" width="14.85546875" style="2" customWidth="1"/>
    <col min="12776" max="12776" width="15" style="2" customWidth="1"/>
    <col min="12777" max="12777" width="14.85546875" style="2" customWidth="1"/>
    <col min="12778" max="12778" width="7.140625" style="2" customWidth="1"/>
    <col min="12779" max="12780" width="20.140625" style="2" customWidth="1"/>
    <col min="12781" max="12781" width="18.42578125" style="2" customWidth="1"/>
    <col min="12782" max="12782" width="9.140625" style="2" customWidth="1"/>
    <col min="12783" max="12783" width="12" style="2" customWidth="1"/>
    <col min="12784" max="12784" width="14.85546875" style="2" customWidth="1"/>
    <col min="12785" max="12785" width="22.42578125" style="2" customWidth="1"/>
    <col min="12786" max="12786" width="14.85546875" style="2" customWidth="1"/>
    <col min="12787" max="12787" width="7.140625" style="2" customWidth="1"/>
    <col min="12788" max="12788" width="20.140625" style="2" customWidth="1"/>
    <col min="12789" max="13020" width="8.85546875" style="2" customWidth="1"/>
    <col min="13021" max="13021" width="8.140625" style="2" customWidth="1"/>
    <col min="13022" max="13022" width="14.5703125" style="2" customWidth="1"/>
    <col min="13023" max="13023" width="37.42578125" style="2" customWidth="1"/>
    <col min="13024" max="13024" width="63.140625" style="2" customWidth="1"/>
    <col min="13025" max="13025" width="20" style="2" customWidth="1"/>
    <col min="13026" max="13026" width="11.140625" style="2" customWidth="1"/>
    <col min="13027" max="13027" width="10.85546875" style="2" customWidth="1"/>
    <col min="13028" max="13028" width="21" style="2" customWidth="1"/>
    <col min="13029" max="13029" width="10.85546875" style="2" customWidth="1"/>
    <col min="13030" max="13030" width="17.42578125" style="2" customWidth="1"/>
    <col min="13031" max="13031" width="14.85546875" style="2" customWidth="1"/>
    <col min="13032" max="13032" width="15" style="2" customWidth="1"/>
    <col min="13033" max="13033" width="14.85546875" style="2" customWidth="1"/>
    <col min="13034" max="13034" width="7.140625" style="2" customWidth="1"/>
    <col min="13035" max="13036" width="20.140625" style="2" customWidth="1"/>
    <col min="13037" max="13037" width="18.42578125" style="2" customWidth="1"/>
    <col min="13038" max="13038" width="9.140625" style="2" customWidth="1"/>
    <col min="13039" max="13039" width="12" style="2" customWidth="1"/>
    <col min="13040" max="13040" width="14.85546875" style="2" customWidth="1"/>
    <col min="13041" max="13041" width="22.42578125" style="2" customWidth="1"/>
    <col min="13042" max="13042" width="14.85546875" style="2" customWidth="1"/>
    <col min="13043" max="13043" width="7.140625" style="2" customWidth="1"/>
    <col min="13044" max="13044" width="20.140625" style="2" customWidth="1"/>
    <col min="13045" max="13276" width="8.85546875" style="2" customWidth="1"/>
    <col min="13277" max="13277" width="8.140625" style="2" customWidth="1"/>
    <col min="13278" max="13278" width="14.5703125" style="2" customWidth="1"/>
    <col min="13279" max="13279" width="37.42578125" style="2" customWidth="1"/>
    <col min="13280" max="13280" width="63.140625" style="2" customWidth="1"/>
    <col min="13281" max="13281" width="20" style="2" customWidth="1"/>
    <col min="13282" max="13282" width="11.140625" style="2" customWidth="1"/>
    <col min="13283" max="13283" width="10.85546875" style="2" customWidth="1"/>
    <col min="13284" max="13284" width="21" style="2" customWidth="1"/>
    <col min="13285" max="13285" width="10.85546875" style="2" customWidth="1"/>
    <col min="13286" max="13286" width="17.42578125" style="2" customWidth="1"/>
    <col min="13287" max="13287" width="14.85546875" style="2" customWidth="1"/>
    <col min="13288" max="13288" width="15" style="2" customWidth="1"/>
    <col min="13289" max="13289" width="14.85546875" style="2" customWidth="1"/>
    <col min="13290" max="13290" width="7.140625" style="2" customWidth="1"/>
    <col min="13291" max="13292" width="20.140625" style="2" customWidth="1"/>
    <col min="13293" max="13293" width="18.42578125" style="2" customWidth="1"/>
    <col min="13294" max="13294" width="9.140625" style="2" customWidth="1"/>
    <col min="13295" max="13295" width="12" style="2" customWidth="1"/>
    <col min="13296" max="13296" width="14.85546875" style="2" customWidth="1"/>
    <col min="13297" max="13297" width="22.42578125" style="2" customWidth="1"/>
    <col min="13298" max="13298" width="14.85546875" style="2" customWidth="1"/>
    <col min="13299" max="13299" width="7.140625" style="2" customWidth="1"/>
    <col min="13300" max="13300" width="20.140625" style="2" customWidth="1"/>
    <col min="13301" max="13532" width="8.85546875" style="2" customWidth="1"/>
    <col min="13533" max="13533" width="8.140625" style="2" customWidth="1"/>
    <col min="13534" max="13534" width="14.5703125" style="2" customWidth="1"/>
    <col min="13535" max="13535" width="37.42578125" style="2" customWidth="1"/>
    <col min="13536" max="13536" width="63.140625" style="2" customWidth="1"/>
    <col min="13537" max="13537" width="20" style="2" customWidth="1"/>
    <col min="13538" max="13538" width="11.140625" style="2" customWidth="1"/>
    <col min="13539" max="13539" width="10.85546875" style="2" customWidth="1"/>
    <col min="13540" max="13540" width="21" style="2" customWidth="1"/>
    <col min="13541" max="13541" width="10.85546875" style="2" customWidth="1"/>
    <col min="13542" max="13542" width="17.42578125" style="2" customWidth="1"/>
    <col min="13543" max="13543" width="14.85546875" style="2" customWidth="1"/>
    <col min="13544" max="13544" width="15" style="2" customWidth="1"/>
    <col min="13545" max="13545" width="14.85546875" style="2" customWidth="1"/>
    <col min="13546" max="13546" width="7.140625" style="2" customWidth="1"/>
    <col min="13547" max="13548" width="20.140625" style="2" customWidth="1"/>
    <col min="13549" max="13549" width="18.42578125" style="2" customWidth="1"/>
    <col min="13550" max="13550" width="9.140625" style="2" customWidth="1"/>
    <col min="13551" max="13551" width="12" style="2" customWidth="1"/>
    <col min="13552" max="13552" width="14.85546875" style="2" customWidth="1"/>
    <col min="13553" max="13553" width="22.42578125" style="2" customWidth="1"/>
    <col min="13554" max="13554" width="14.85546875" style="2" customWidth="1"/>
    <col min="13555" max="13555" width="7.140625" style="2" customWidth="1"/>
    <col min="13556" max="13556" width="20.140625" style="2" customWidth="1"/>
    <col min="13557" max="13788" width="8.85546875" style="2" customWidth="1"/>
    <col min="13789" max="13789" width="8.140625" style="2" customWidth="1"/>
    <col min="13790" max="13790" width="14.5703125" style="2" customWidth="1"/>
    <col min="13791" max="13791" width="37.42578125" style="2" customWidth="1"/>
    <col min="13792" max="13792" width="63.140625" style="2" customWidth="1"/>
    <col min="13793" max="13793" width="20" style="2" customWidth="1"/>
    <col min="13794" max="13794" width="11.140625" style="2" customWidth="1"/>
    <col min="13795" max="13795" width="10.85546875" style="2" customWidth="1"/>
    <col min="13796" max="13796" width="21" style="2" customWidth="1"/>
    <col min="13797" max="13797" width="10.85546875" style="2" customWidth="1"/>
    <col min="13798" max="13798" width="17.42578125" style="2" customWidth="1"/>
    <col min="13799" max="13799" width="14.85546875" style="2" customWidth="1"/>
    <col min="13800" max="13800" width="15" style="2" customWidth="1"/>
    <col min="13801" max="13801" width="14.85546875" style="2" customWidth="1"/>
    <col min="13802" max="13802" width="7.140625" style="2" customWidth="1"/>
    <col min="13803" max="13804" width="20.140625" style="2" customWidth="1"/>
    <col min="13805" max="13805" width="18.42578125" style="2" customWidth="1"/>
    <col min="13806" max="13806" width="9.140625" style="2" customWidth="1"/>
    <col min="13807" max="13807" width="12" style="2" customWidth="1"/>
    <col min="13808" max="13808" width="14.85546875" style="2" customWidth="1"/>
    <col min="13809" max="13809" width="22.42578125" style="2" customWidth="1"/>
    <col min="13810" max="13810" width="14.85546875" style="2" customWidth="1"/>
    <col min="13811" max="13811" width="7.140625" style="2" customWidth="1"/>
    <col min="13812" max="13812" width="20.140625" style="2" customWidth="1"/>
    <col min="13813" max="14044" width="8.85546875" style="2" customWidth="1"/>
    <col min="14045" max="14045" width="8.140625" style="2" customWidth="1"/>
    <col min="14046" max="14046" width="14.5703125" style="2" customWidth="1"/>
    <col min="14047" max="14047" width="37.42578125" style="2" customWidth="1"/>
    <col min="14048" max="14048" width="63.140625" style="2" customWidth="1"/>
    <col min="14049" max="14049" width="20" style="2" customWidth="1"/>
    <col min="14050" max="14050" width="11.140625" style="2" customWidth="1"/>
    <col min="14051" max="14051" width="10.85546875" style="2" customWidth="1"/>
    <col min="14052" max="14052" width="21" style="2" customWidth="1"/>
    <col min="14053" max="14053" width="10.85546875" style="2" customWidth="1"/>
    <col min="14054" max="14054" width="17.42578125" style="2" customWidth="1"/>
    <col min="14055" max="14055" width="14.85546875" style="2" customWidth="1"/>
    <col min="14056" max="14056" width="15" style="2" customWidth="1"/>
    <col min="14057" max="14057" width="14.85546875" style="2" customWidth="1"/>
    <col min="14058" max="14058" width="7.140625" style="2" customWidth="1"/>
    <col min="14059" max="14060" width="20.140625" style="2" customWidth="1"/>
    <col min="14061" max="14061" width="18.42578125" style="2" customWidth="1"/>
    <col min="14062" max="14062" width="9.140625" style="2" customWidth="1"/>
    <col min="14063" max="14063" width="12" style="2" customWidth="1"/>
    <col min="14064" max="14064" width="14.85546875" style="2" customWidth="1"/>
    <col min="14065" max="14065" width="22.42578125" style="2" customWidth="1"/>
    <col min="14066" max="14066" width="14.85546875" style="2" customWidth="1"/>
    <col min="14067" max="14067" width="7.140625" style="2" customWidth="1"/>
    <col min="14068" max="14068" width="20.140625" style="2" customWidth="1"/>
    <col min="14069" max="14300" width="8.85546875" style="2" customWidth="1"/>
    <col min="14301" max="14301" width="8.140625" style="2" customWidth="1"/>
    <col min="14302" max="14302" width="14.5703125" style="2" customWidth="1"/>
    <col min="14303" max="14303" width="37.42578125" style="2" customWidth="1"/>
    <col min="14304" max="14304" width="63.140625" style="2" customWidth="1"/>
    <col min="14305" max="14305" width="20" style="2" customWidth="1"/>
    <col min="14306" max="14306" width="11.140625" style="2" customWidth="1"/>
    <col min="14307" max="14307" width="10.85546875" style="2" customWidth="1"/>
    <col min="14308" max="14308" width="21" style="2" customWidth="1"/>
    <col min="14309" max="14309" width="10.85546875" style="2" customWidth="1"/>
    <col min="14310" max="14310" width="17.42578125" style="2" customWidth="1"/>
    <col min="14311" max="14311" width="14.85546875" style="2" customWidth="1"/>
    <col min="14312" max="14312" width="15" style="2" customWidth="1"/>
    <col min="14313" max="14313" width="14.85546875" style="2" customWidth="1"/>
    <col min="14314" max="14314" width="7.140625" style="2" customWidth="1"/>
    <col min="14315" max="14316" width="20.140625" style="2" customWidth="1"/>
    <col min="14317" max="14317" width="18.42578125" style="2" customWidth="1"/>
    <col min="14318" max="14318" width="9.140625" style="2" customWidth="1"/>
    <col min="14319" max="14319" width="12" style="2" customWidth="1"/>
    <col min="14320" max="14320" width="14.85546875" style="2" customWidth="1"/>
    <col min="14321" max="14321" width="22.42578125" style="2" customWidth="1"/>
    <col min="14322" max="14322" width="14.85546875" style="2" customWidth="1"/>
    <col min="14323" max="14323" width="7.140625" style="2" customWidth="1"/>
    <col min="14324" max="14324" width="20.140625" style="2" customWidth="1"/>
    <col min="14325" max="14556" width="8.85546875" style="2" customWidth="1"/>
    <col min="14557" max="14557" width="8.140625" style="2" customWidth="1"/>
    <col min="14558" max="14558" width="14.5703125" style="2" customWidth="1"/>
    <col min="14559" max="14559" width="37.42578125" style="2" customWidth="1"/>
    <col min="14560" max="14560" width="63.140625" style="2" customWidth="1"/>
    <col min="14561" max="14561" width="20" style="2" customWidth="1"/>
    <col min="14562" max="14562" width="11.140625" style="2" customWidth="1"/>
    <col min="14563" max="14563" width="10.85546875" style="2" customWidth="1"/>
    <col min="14564" max="14564" width="21" style="2" customWidth="1"/>
    <col min="14565" max="14565" width="10.85546875" style="2" customWidth="1"/>
    <col min="14566" max="14566" width="17.42578125" style="2" customWidth="1"/>
    <col min="14567" max="14567" width="14.85546875" style="2" customWidth="1"/>
    <col min="14568" max="14568" width="15" style="2" customWidth="1"/>
    <col min="14569" max="14569" width="14.85546875" style="2" customWidth="1"/>
    <col min="14570" max="14570" width="7.140625" style="2" customWidth="1"/>
    <col min="14571" max="14572" width="20.140625" style="2" customWidth="1"/>
    <col min="14573" max="14573" width="18.42578125" style="2" customWidth="1"/>
    <col min="14574" max="14574" width="9.140625" style="2" customWidth="1"/>
    <col min="14575" max="14575" width="12" style="2" customWidth="1"/>
    <col min="14576" max="14576" width="14.85546875" style="2" customWidth="1"/>
    <col min="14577" max="14577" width="22.42578125" style="2" customWidth="1"/>
    <col min="14578" max="14578" width="14.85546875" style="2" customWidth="1"/>
    <col min="14579" max="14579" width="7.140625" style="2" customWidth="1"/>
    <col min="14580" max="14580" width="20.140625" style="2" customWidth="1"/>
    <col min="14581" max="14812" width="8.85546875" style="2" customWidth="1"/>
    <col min="14813" max="14813" width="8.140625" style="2" customWidth="1"/>
    <col min="14814" max="14814" width="14.5703125" style="2" customWidth="1"/>
    <col min="14815" max="14815" width="37.42578125" style="2" customWidth="1"/>
    <col min="14816" max="14816" width="63.140625" style="2" customWidth="1"/>
    <col min="14817" max="14817" width="20" style="2" customWidth="1"/>
    <col min="14818" max="14818" width="11.140625" style="2" customWidth="1"/>
    <col min="14819" max="14819" width="10.85546875" style="2" customWidth="1"/>
    <col min="14820" max="14820" width="21" style="2" customWidth="1"/>
    <col min="14821" max="14821" width="10.85546875" style="2" customWidth="1"/>
    <col min="14822" max="14822" width="17.42578125" style="2" customWidth="1"/>
    <col min="14823" max="14823" width="14.85546875" style="2" customWidth="1"/>
    <col min="14824" max="14824" width="15" style="2" customWidth="1"/>
    <col min="14825" max="14825" width="14.85546875" style="2" customWidth="1"/>
    <col min="14826" max="14826" width="7.140625" style="2" customWidth="1"/>
    <col min="14827" max="14828" width="20.140625" style="2" customWidth="1"/>
    <col min="14829" max="14829" width="18.42578125" style="2" customWidth="1"/>
    <col min="14830" max="14830" width="9.140625" style="2" customWidth="1"/>
    <col min="14831" max="14831" width="12" style="2" customWidth="1"/>
    <col min="14832" max="14832" width="14.85546875" style="2" customWidth="1"/>
    <col min="14833" max="14833" width="22.42578125" style="2" customWidth="1"/>
    <col min="14834" max="14834" width="14.85546875" style="2" customWidth="1"/>
    <col min="14835" max="14835" width="7.140625" style="2" customWidth="1"/>
    <col min="14836" max="14836" width="20.140625" style="2" customWidth="1"/>
    <col min="14837" max="15068" width="8.85546875" style="2" customWidth="1"/>
    <col min="15069" max="15069" width="8.140625" style="2" customWidth="1"/>
    <col min="15070" max="15070" width="14.5703125" style="2" customWidth="1"/>
    <col min="15071" max="15071" width="37.42578125" style="2" customWidth="1"/>
    <col min="15072" max="15072" width="63.140625" style="2" customWidth="1"/>
    <col min="15073" max="15073" width="20" style="2" customWidth="1"/>
    <col min="15074" max="15074" width="11.140625" style="2" customWidth="1"/>
    <col min="15075" max="15075" width="10.85546875" style="2" customWidth="1"/>
    <col min="15076" max="15076" width="21" style="2" customWidth="1"/>
    <col min="15077" max="15077" width="10.85546875" style="2" customWidth="1"/>
    <col min="15078" max="15078" width="17.42578125" style="2" customWidth="1"/>
    <col min="15079" max="15079" width="14.85546875" style="2" customWidth="1"/>
    <col min="15080" max="15080" width="15" style="2" customWidth="1"/>
    <col min="15081" max="15081" width="14.85546875" style="2" customWidth="1"/>
    <col min="15082" max="15082" width="7.140625" style="2" customWidth="1"/>
    <col min="15083" max="15084" width="20.140625" style="2" customWidth="1"/>
    <col min="15085" max="15085" width="18.42578125" style="2" customWidth="1"/>
    <col min="15086" max="15086" width="9.140625" style="2" customWidth="1"/>
    <col min="15087" max="15087" width="12" style="2" customWidth="1"/>
    <col min="15088" max="15088" width="14.85546875" style="2" customWidth="1"/>
    <col min="15089" max="15089" width="22.42578125" style="2" customWidth="1"/>
    <col min="15090" max="15090" width="14.85546875" style="2" customWidth="1"/>
    <col min="15091" max="15091" width="7.140625" style="2" customWidth="1"/>
    <col min="15092" max="15092" width="20.140625" style="2" customWidth="1"/>
    <col min="15093" max="15324" width="8.85546875" style="2" customWidth="1"/>
    <col min="15325" max="15325" width="8.140625" style="2" customWidth="1"/>
    <col min="15326" max="15326" width="14.5703125" style="2" customWidth="1"/>
    <col min="15327" max="15327" width="37.42578125" style="2" customWidth="1"/>
    <col min="15328" max="15328" width="63.140625" style="2" customWidth="1"/>
    <col min="15329" max="15329" width="20" style="2" customWidth="1"/>
    <col min="15330" max="15330" width="11.140625" style="2" customWidth="1"/>
    <col min="15331" max="15331" width="10.85546875" style="2" customWidth="1"/>
    <col min="15332" max="15332" width="21" style="2" customWidth="1"/>
    <col min="15333" max="15333" width="10.85546875" style="2" customWidth="1"/>
    <col min="15334" max="15334" width="17.42578125" style="2" customWidth="1"/>
    <col min="15335" max="15335" width="14.85546875" style="2" customWidth="1"/>
    <col min="15336" max="15336" width="15" style="2" customWidth="1"/>
    <col min="15337" max="15337" width="14.85546875" style="2" customWidth="1"/>
    <col min="15338" max="15338" width="7.140625" style="2" customWidth="1"/>
    <col min="15339" max="15340" width="20.140625" style="2" customWidth="1"/>
    <col min="15341" max="15341" width="18.42578125" style="2" customWidth="1"/>
    <col min="15342" max="15342" width="9.140625" style="2" customWidth="1"/>
    <col min="15343" max="15343" width="12" style="2" customWidth="1"/>
    <col min="15344" max="15344" width="14.85546875" style="2" customWidth="1"/>
    <col min="15345" max="15345" width="22.42578125" style="2" customWidth="1"/>
    <col min="15346" max="15346" width="14.85546875" style="2" customWidth="1"/>
    <col min="15347" max="15347" width="7.140625" style="2" customWidth="1"/>
    <col min="15348" max="15348" width="20.140625" style="2" customWidth="1"/>
    <col min="15349" max="15580" width="8.85546875" style="2" customWidth="1"/>
    <col min="15581" max="15581" width="8.140625" style="2" customWidth="1"/>
    <col min="15582" max="15582" width="14.5703125" style="2" customWidth="1"/>
    <col min="15583" max="15583" width="37.42578125" style="2" customWidth="1"/>
    <col min="15584" max="15584" width="63.140625" style="2" customWidth="1"/>
    <col min="15585" max="15585" width="20" style="2" customWidth="1"/>
    <col min="15586" max="15586" width="11.140625" style="2" customWidth="1"/>
    <col min="15587" max="15587" width="10.85546875" style="2" customWidth="1"/>
    <col min="15588" max="15588" width="21" style="2" customWidth="1"/>
    <col min="15589" max="15589" width="10.85546875" style="2" customWidth="1"/>
    <col min="15590" max="15590" width="17.42578125" style="2" customWidth="1"/>
    <col min="15591" max="15591" width="14.85546875" style="2" customWidth="1"/>
    <col min="15592" max="15592" width="15" style="2" customWidth="1"/>
    <col min="15593" max="15593" width="14.85546875" style="2" customWidth="1"/>
    <col min="15594" max="15594" width="7.140625" style="2" customWidth="1"/>
    <col min="15595" max="15596" width="20.140625" style="2" customWidth="1"/>
    <col min="15597" max="15597" width="18.42578125" style="2" customWidth="1"/>
    <col min="15598" max="15598" width="9.140625" style="2" customWidth="1"/>
    <col min="15599" max="15599" width="12" style="2" customWidth="1"/>
    <col min="15600" max="15600" width="14.85546875" style="2" customWidth="1"/>
    <col min="15601" max="15601" width="22.42578125" style="2" customWidth="1"/>
    <col min="15602" max="15602" width="14.85546875" style="2" customWidth="1"/>
    <col min="15603" max="15603" width="7.140625" style="2" customWidth="1"/>
    <col min="15604" max="15604" width="20.140625" style="2" customWidth="1"/>
    <col min="15605" max="15836" width="8.85546875" style="2" customWidth="1"/>
    <col min="15837" max="15837" width="8.140625" style="2" customWidth="1"/>
    <col min="15838" max="15838" width="14.5703125" style="2" customWidth="1"/>
    <col min="15839" max="15839" width="37.42578125" style="2" customWidth="1"/>
    <col min="15840" max="15840" width="63.140625" style="2" customWidth="1"/>
    <col min="15841" max="15841" width="20" style="2" customWidth="1"/>
    <col min="15842" max="15842" width="11.140625" style="2" customWidth="1"/>
    <col min="15843" max="15843" width="10.85546875" style="2" customWidth="1"/>
    <col min="15844" max="15844" width="21" style="2" customWidth="1"/>
    <col min="15845" max="15845" width="10.85546875" style="2" customWidth="1"/>
    <col min="15846" max="15846" width="17.42578125" style="2" customWidth="1"/>
    <col min="15847" max="15847" width="14.85546875" style="2" customWidth="1"/>
    <col min="15848" max="15848" width="15" style="2" customWidth="1"/>
    <col min="15849" max="15849" width="14.85546875" style="2" customWidth="1"/>
    <col min="15850" max="15850" width="7.140625" style="2" customWidth="1"/>
    <col min="15851" max="15852" width="20.140625" style="2" customWidth="1"/>
    <col min="15853" max="15853" width="18.42578125" style="2" customWidth="1"/>
    <col min="15854" max="15854" width="9.140625" style="2" customWidth="1"/>
    <col min="15855" max="15855" width="12" style="2" customWidth="1"/>
    <col min="15856" max="15856" width="14.85546875" style="2" customWidth="1"/>
    <col min="15857" max="15857" width="22.42578125" style="2" customWidth="1"/>
    <col min="15858" max="15858" width="14.85546875" style="2" customWidth="1"/>
    <col min="15859" max="15859" width="7.140625" style="2" customWidth="1"/>
    <col min="15860" max="15860" width="20.140625" style="2" customWidth="1"/>
    <col min="15861" max="16092" width="8.85546875" style="2" customWidth="1"/>
    <col min="16093" max="16093" width="8.140625" style="2" customWidth="1"/>
    <col min="16094" max="16094" width="14.5703125" style="2" customWidth="1"/>
    <col min="16095" max="16095" width="37.42578125" style="2" customWidth="1"/>
    <col min="16096" max="16096" width="63.140625" style="2" customWidth="1"/>
    <col min="16097" max="16097" width="20" style="2" customWidth="1"/>
    <col min="16098" max="16098" width="11.140625" style="2" customWidth="1"/>
    <col min="16099" max="16099" width="10.85546875" style="2" customWidth="1"/>
    <col min="16100" max="16100" width="21" style="2" customWidth="1"/>
    <col min="16101" max="16101" width="10.85546875" style="2" customWidth="1"/>
    <col min="16102" max="16102" width="17.42578125" style="2" customWidth="1"/>
    <col min="16103" max="16103" width="14.85546875" style="2" customWidth="1"/>
    <col min="16104" max="16104" width="15" style="2" customWidth="1"/>
    <col min="16105" max="16105" width="14.85546875" style="2" customWidth="1"/>
    <col min="16106" max="16106" width="7.140625" style="2" customWidth="1"/>
    <col min="16107" max="16108" width="20.140625" style="2" customWidth="1"/>
    <col min="16109" max="16109" width="18.42578125" style="2" customWidth="1"/>
    <col min="16110" max="16110" width="9.140625" style="2" customWidth="1"/>
    <col min="16111" max="16111" width="12" style="2" customWidth="1"/>
    <col min="16112" max="16112" width="14.85546875" style="2" customWidth="1"/>
    <col min="16113" max="16113" width="22.42578125" style="2" customWidth="1"/>
    <col min="16114" max="16114" width="14.85546875" style="2" customWidth="1"/>
    <col min="16115" max="16115" width="7.140625" style="2" customWidth="1"/>
    <col min="16116" max="16116" width="20.140625" style="2" customWidth="1"/>
    <col min="16117" max="16384" width="8.85546875" style="2" customWidth="1"/>
  </cols>
  <sheetData>
    <row r="1" spans="1:21" ht="14.1" customHeight="1">
      <c r="A1" s="1" t="s">
        <v>3370</v>
      </c>
      <c r="B1" s="2"/>
      <c r="C1" s="2"/>
      <c r="D1" s="2"/>
      <c r="F1" s="2"/>
      <c r="H1" s="2"/>
      <c r="J1" s="2"/>
      <c r="K1" s="2"/>
      <c r="L1" s="2"/>
      <c r="M1" s="2"/>
      <c r="N1" s="2"/>
      <c r="O1" s="2"/>
      <c r="P1" s="2"/>
      <c r="R1" s="10"/>
    </row>
    <row r="2" spans="1:21" s="4" customFormat="1" ht="14.1" customHeight="1">
      <c r="A2" s="4" t="s">
        <v>3371</v>
      </c>
      <c r="E2" s="69"/>
      <c r="R2" s="336"/>
    </row>
    <row r="3" spans="1:21" s="6" customFormat="1" ht="14.1" customHeight="1">
      <c r="A3" s="3"/>
      <c r="B3" s="16"/>
      <c r="C3" s="16"/>
      <c r="D3" s="23"/>
      <c r="E3" s="16"/>
      <c r="F3" s="23"/>
      <c r="G3" s="15"/>
      <c r="H3" s="25"/>
      <c r="I3" s="15"/>
      <c r="J3" s="25"/>
      <c r="K3" s="25"/>
      <c r="L3" s="25"/>
      <c r="M3" s="25"/>
      <c r="N3" s="25"/>
      <c r="O3" s="25"/>
      <c r="P3" s="25"/>
      <c r="Q3" s="2"/>
      <c r="R3" s="355" t="s">
        <v>2</v>
      </c>
      <c r="S3" s="2"/>
      <c r="T3" s="2"/>
      <c r="U3" s="2"/>
    </row>
    <row r="4" spans="1:21" s="5" customFormat="1" ht="33" customHeight="1">
      <c r="A4" s="21" t="s">
        <v>3</v>
      </c>
      <c r="B4" s="52" t="s">
        <v>4</v>
      </c>
      <c r="C4" s="52" t="s">
        <v>5</v>
      </c>
      <c r="D4" s="21" t="s">
        <v>6</v>
      </c>
      <c r="E4" s="21" t="s">
        <v>7</v>
      </c>
      <c r="F4" s="21" t="s">
        <v>8</v>
      </c>
      <c r="G4" s="21" t="s">
        <v>9</v>
      </c>
      <c r="H4" s="21" t="s">
        <v>10</v>
      </c>
      <c r="I4" s="21" t="s">
        <v>11</v>
      </c>
      <c r="J4" s="21" t="s">
        <v>12</v>
      </c>
      <c r="K4" s="21" t="s">
        <v>13</v>
      </c>
      <c r="L4" s="21" t="s">
        <v>14</v>
      </c>
      <c r="M4" s="21" t="s">
        <v>15</v>
      </c>
      <c r="N4" s="21" t="s">
        <v>16</v>
      </c>
      <c r="O4" s="21" t="s">
        <v>17</v>
      </c>
      <c r="P4" s="21" t="s">
        <v>18</v>
      </c>
      <c r="Q4" s="3"/>
      <c r="R4" s="41" t="s">
        <v>19</v>
      </c>
      <c r="S4" s="20"/>
      <c r="T4" s="42" t="s">
        <v>20</v>
      </c>
      <c r="U4" s="42" t="s">
        <v>21</v>
      </c>
    </row>
    <row r="5" spans="1:21" s="330" customFormat="1" ht="14.1" customHeight="1">
      <c r="A5" s="327">
        <v>1</v>
      </c>
      <c r="B5" s="328" t="s">
        <v>350</v>
      </c>
      <c r="C5" s="328" t="s">
        <v>350</v>
      </c>
      <c r="D5" s="327" t="s">
        <v>260</v>
      </c>
      <c r="E5" s="328" t="s">
        <v>827</v>
      </c>
      <c r="F5" s="327" t="s">
        <v>3372</v>
      </c>
      <c r="G5" s="329" t="s">
        <v>3373</v>
      </c>
      <c r="H5" s="327" t="s">
        <v>3374</v>
      </c>
      <c r="I5" s="329" t="s">
        <v>3375</v>
      </c>
      <c r="J5" s="327" t="s">
        <v>30</v>
      </c>
      <c r="K5" s="327" t="s">
        <v>1124</v>
      </c>
      <c r="L5" s="327" t="s">
        <v>138</v>
      </c>
      <c r="M5" s="327">
        <v>85311030</v>
      </c>
      <c r="N5" s="327">
        <v>1</v>
      </c>
      <c r="O5" s="327">
        <v>70</v>
      </c>
      <c r="P5" s="327"/>
      <c r="R5" s="338"/>
      <c r="S5" s="331"/>
      <c r="T5" s="327" t="s">
        <v>34</v>
      </c>
      <c r="U5" s="329"/>
    </row>
    <row r="6" spans="1:21" s="320" customFormat="1" ht="14.1" customHeight="1">
      <c r="A6" s="320">
        <v>2</v>
      </c>
      <c r="B6" s="247" t="s">
        <v>350</v>
      </c>
      <c r="C6" s="247" t="s">
        <v>350</v>
      </c>
      <c r="D6" s="311" t="s">
        <v>260</v>
      </c>
      <c r="E6" s="247" t="s">
        <v>827</v>
      </c>
      <c r="F6" s="311" t="s">
        <v>3372</v>
      </c>
      <c r="G6" s="334" t="s">
        <v>3376</v>
      </c>
      <c r="H6" s="311" t="s">
        <v>3374</v>
      </c>
      <c r="I6" s="335" t="s">
        <v>3377</v>
      </c>
      <c r="J6" s="311" t="s">
        <v>30</v>
      </c>
      <c r="K6" s="311" t="s">
        <v>1124</v>
      </c>
      <c r="L6" s="311" t="s">
        <v>138</v>
      </c>
      <c r="M6" s="311">
        <v>85311030</v>
      </c>
      <c r="N6" s="311">
        <v>1</v>
      </c>
      <c r="O6" s="311">
        <v>70</v>
      </c>
      <c r="P6" s="311"/>
      <c r="Q6" s="318"/>
      <c r="R6" s="319">
        <v>93470.994173128434</v>
      </c>
      <c r="S6" s="310"/>
      <c r="T6" s="311" t="s">
        <v>34</v>
      </c>
      <c r="U6" s="317"/>
    </row>
    <row r="7" spans="1:21" ht="14.1" customHeight="1">
      <c r="A7" s="7">
        <v>3</v>
      </c>
      <c r="B7" s="14" t="s">
        <v>350</v>
      </c>
      <c r="C7" s="14" t="s">
        <v>350</v>
      </c>
      <c r="D7" s="7" t="s">
        <v>260</v>
      </c>
      <c r="E7" s="14" t="s">
        <v>827</v>
      </c>
      <c r="F7" s="7" t="s">
        <v>3372</v>
      </c>
      <c r="G7" s="8" t="s">
        <v>3378</v>
      </c>
      <c r="H7" s="7" t="s">
        <v>3374</v>
      </c>
      <c r="I7" s="8" t="s">
        <v>3379</v>
      </c>
      <c r="J7" s="7" t="s">
        <v>30</v>
      </c>
      <c r="K7" s="7" t="s">
        <v>1124</v>
      </c>
      <c r="L7" s="7" t="s">
        <v>138</v>
      </c>
      <c r="M7" s="7">
        <v>85311030</v>
      </c>
      <c r="N7" s="7">
        <v>1</v>
      </c>
      <c r="O7" s="7">
        <v>70</v>
      </c>
      <c r="P7" s="7"/>
      <c r="R7" s="9">
        <v>72345.182210293133</v>
      </c>
      <c r="T7" s="7" t="s">
        <v>34</v>
      </c>
      <c r="U7" s="8"/>
    </row>
    <row r="8" spans="1:21" s="330" customFormat="1" ht="14.1" customHeight="1">
      <c r="A8" s="332">
        <v>4</v>
      </c>
      <c r="B8" s="328" t="s">
        <v>350</v>
      </c>
      <c r="C8" s="328" t="s">
        <v>350</v>
      </c>
      <c r="D8" s="327" t="s">
        <v>260</v>
      </c>
      <c r="E8" s="328" t="s">
        <v>827</v>
      </c>
      <c r="F8" s="327" t="s">
        <v>3372</v>
      </c>
      <c r="G8" s="329" t="s">
        <v>3380</v>
      </c>
      <c r="H8" s="327" t="s">
        <v>3374</v>
      </c>
      <c r="I8" s="329" t="s">
        <v>3381</v>
      </c>
      <c r="J8" s="327" t="s">
        <v>30</v>
      </c>
      <c r="K8" s="327" t="s">
        <v>1124</v>
      </c>
      <c r="L8" s="327" t="s">
        <v>138</v>
      </c>
      <c r="M8" s="327">
        <v>85311030</v>
      </c>
      <c r="N8" s="327">
        <v>1</v>
      </c>
      <c r="O8" s="327">
        <v>70</v>
      </c>
      <c r="P8" s="327"/>
      <c r="R8" s="338"/>
      <c r="T8" s="327" t="s">
        <v>34</v>
      </c>
      <c r="U8" s="329"/>
    </row>
    <row r="9" spans="1:21" s="318" customFormat="1" ht="14.1" customHeight="1">
      <c r="A9" s="311">
        <v>5</v>
      </c>
      <c r="B9" s="247" t="s">
        <v>350</v>
      </c>
      <c r="C9" s="247" t="s">
        <v>350</v>
      </c>
      <c r="D9" s="311" t="s">
        <v>260</v>
      </c>
      <c r="E9" s="247" t="s">
        <v>827</v>
      </c>
      <c r="F9" s="311" t="s">
        <v>3372</v>
      </c>
      <c r="G9" s="334" t="s">
        <v>3382</v>
      </c>
      <c r="H9" s="311" t="s">
        <v>3374</v>
      </c>
      <c r="I9" s="335" t="s">
        <v>3383</v>
      </c>
      <c r="J9" s="311" t="s">
        <v>30</v>
      </c>
      <c r="K9" s="311" t="s">
        <v>1124</v>
      </c>
      <c r="L9" s="311" t="s">
        <v>138</v>
      </c>
      <c r="M9" s="311">
        <v>85311030</v>
      </c>
      <c r="N9" s="311">
        <v>1</v>
      </c>
      <c r="O9" s="311">
        <v>70</v>
      </c>
      <c r="P9" s="311"/>
      <c r="R9" s="319">
        <v>77934.943370510358</v>
      </c>
      <c r="T9" s="311" t="s">
        <v>34</v>
      </c>
      <c r="U9" s="317"/>
    </row>
    <row r="10" spans="1:21" ht="14.1" customHeight="1">
      <c r="A10" s="3">
        <v>6</v>
      </c>
      <c r="B10" s="14" t="s">
        <v>350</v>
      </c>
      <c r="C10" s="14" t="s">
        <v>350</v>
      </c>
      <c r="D10" s="7" t="s">
        <v>260</v>
      </c>
      <c r="E10" s="14" t="s">
        <v>827</v>
      </c>
      <c r="F10" s="7" t="s">
        <v>3372</v>
      </c>
      <c r="G10" s="8" t="s">
        <v>3384</v>
      </c>
      <c r="H10" s="7" t="s">
        <v>3374</v>
      </c>
      <c r="I10" s="8" t="s">
        <v>3385</v>
      </c>
      <c r="J10" s="7" t="s">
        <v>30</v>
      </c>
      <c r="K10" s="7" t="s">
        <v>1124</v>
      </c>
      <c r="L10" s="7" t="s">
        <v>138</v>
      </c>
      <c r="M10" s="7">
        <v>85311030</v>
      </c>
      <c r="N10" s="7">
        <v>1</v>
      </c>
      <c r="O10" s="7">
        <v>70</v>
      </c>
      <c r="P10" s="7"/>
      <c r="R10" s="9">
        <v>58189.815818951727</v>
      </c>
      <c r="T10" s="7" t="s">
        <v>34</v>
      </c>
      <c r="U10" s="8"/>
    </row>
    <row r="11" spans="1:21" s="330" customFormat="1" ht="14.1" customHeight="1">
      <c r="A11" s="327">
        <v>7</v>
      </c>
      <c r="B11" s="328" t="s">
        <v>350</v>
      </c>
      <c r="C11" s="328" t="s">
        <v>350</v>
      </c>
      <c r="D11" s="327" t="s">
        <v>260</v>
      </c>
      <c r="E11" s="328" t="s">
        <v>827</v>
      </c>
      <c r="F11" s="327" t="s">
        <v>3372</v>
      </c>
      <c r="G11" s="329" t="s">
        <v>3386</v>
      </c>
      <c r="H11" s="327" t="s">
        <v>3374</v>
      </c>
      <c r="I11" s="329" t="s">
        <v>3387</v>
      </c>
      <c r="J11" s="327" t="s">
        <v>30</v>
      </c>
      <c r="K11" s="327" t="s">
        <v>1124</v>
      </c>
      <c r="L11" s="327" t="s">
        <v>138</v>
      </c>
      <c r="M11" s="327">
        <v>85311030</v>
      </c>
      <c r="N11" s="327">
        <v>1</v>
      </c>
      <c r="O11" s="327">
        <v>70</v>
      </c>
      <c r="P11" s="327"/>
      <c r="R11" s="338"/>
      <c r="T11" s="327" t="s">
        <v>34</v>
      </c>
      <c r="U11" s="329"/>
    </row>
    <row r="12" spans="1:21" s="318" customFormat="1" ht="14.1" customHeight="1">
      <c r="A12" s="320">
        <v>8</v>
      </c>
      <c r="B12" s="247" t="s">
        <v>350</v>
      </c>
      <c r="C12" s="247" t="s">
        <v>350</v>
      </c>
      <c r="D12" s="311" t="s">
        <v>260</v>
      </c>
      <c r="E12" s="247" t="s">
        <v>827</v>
      </c>
      <c r="F12" s="311" t="s">
        <v>3372</v>
      </c>
      <c r="G12" s="334" t="s">
        <v>3388</v>
      </c>
      <c r="H12" s="311" t="s">
        <v>3374</v>
      </c>
      <c r="I12" s="335" t="s">
        <v>3389</v>
      </c>
      <c r="J12" s="311" t="s">
        <v>30</v>
      </c>
      <c r="K12" s="311" t="s">
        <v>1124</v>
      </c>
      <c r="L12" s="311" t="s">
        <v>138</v>
      </c>
      <c r="M12" s="311">
        <v>85311030</v>
      </c>
      <c r="N12" s="311">
        <v>1</v>
      </c>
      <c r="O12" s="311">
        <v>70</v>
      </c>
      <c r="P12" s="311"/>
      <c r="R12" s="319">
        <v>63605.315839881587</v>
      </c>
      <c r="T12" s="311" t="s">
        <v>34</v>
      </c>
      <c r="U12" s="317"/>
    </row>
    <row r="13" spans="1:21" ht="14.1" customHeight="1">
      <c r="A13" s="7">
        <v>9</v>
      </c>
      <c r="B13" s="14" t="s">
        <v>350</v>
      </c>
      <c r="C13" s="14" t="s">
        <v>350</v>
      </c>
      <c r="D13" s="7" t="s">
        <v>260</v>
      </c>
      <c r="E13" s="14" t="s">
        <v>827</v>
      </c>
      <c r="F13" s="7" t="s">
        <v>3372</v>
      </c>
      <c r="G13" s="8" t="s">
        <v>3390</v>
      </c>
      <c r="H13" s="7" t="s">
        <v>3374</v>
      </c>
      <c r="I13" s="8" t="s">
        <v>3391</v>
      </c>
      <c r="J13" s="7" t="s">
        <v>30</v>
      </c>
      <c r="K13" s="7" t="s">
        <v>1124</v>
      </c>
      <c r="L13" s="7" t="s">
        <v>138</v>
      </c>
      <c r="M13" s="7">
        <v>85311030</v>
      </c>
      <c r="N13" s="7">
        <v>1</v>
      </c>
      <c r="O13" s="7">
        <v>70</v>
      </c>
      <c r="P13" s="7"/>
      <c r="R13" s="9">
        <v>44382.971706185032</v>
      </c>
      <c r="T13" s="7" t="s">
        <v>34</v>
      </c>
      <c r="U13" s="8"/>
    </row>
    <row r="14" spans="1:21" s="330" customFormat="1" ht="14.1" customHeight="1">
      <c r="A14" s="332">
        <v>10</v>
      </c>
      <c r="B14" s="328" t="s">
        <v>350</v>
      </c>
      <c r="C14" s="328" t="s">
        <v>350</v>
      </c>
      <c r="D14" s="327" t="s">
        <v>260</v>
      </c>
      <c r="E14" s="328" t="s">
        <v>827</v>
      </c>
      <c r="F14" s="327" t="s">
        <v>3372</v>
      </c>
      <c r="G14" s="329" t="s">
        <v>3392</v>
      </c>
      <c r="H14" s="327" t="s">
        <v>3374</v>
      </c>
      <c r="I14" s="329" t="s">
        <v>3393</v>
      </c>
      <c r="J14" s="327" t="s">
        <v>30</v>
      </c>
      <c r="K14" s="327" t="s">
        <v>1124</v>
      </c>
      <c r="L14" s="327" t="s">
        <v>138</v>
      </c>
      <c r="M14" s="327">
        <v>85311030</v>
      </c>
      <c r="N14" s="327">
        <v>1</v>
      </c>
      <c r="O14" s="327">
        <v>70</v>
      </c>
      <c r="P14" s="327"/>
      <c r="R14" s="338"/>
      <c r="T14" s="327" t="s">
        <v>34</v>
      </c>
      <c r="U14" s="329"/>
    </row>
    <row r="15" spans="1:21" s="318" customFormat="1" ht="14.1" customHeight="1">
      <c r="A15" s="311">
        <v>11</v>
      </c>
      <c r="B15" s="247" t="s">
        <v>350</v>
      </c>
      <c r="C15" s="247" t="s">
        <v>350</v>
      </c>
      <c r="D15" s="311" t="s">
        <v>260</v>
      </c>
      <c r="E15" s="247" t="s">
        <v>827</v>
      </c>
      <c r="F15" s="311" t="s">
        <v>3372</v>
      </c>
      <c r="G15" s="334" t="s">
        <v>3394</v>
      </c>
      <c r="H15" s="311" t="s">
        <v>3374</v>
      </c>
      <c r="I15" s="335" t="s">
        <v>3395</v>
      </c>
      <c r="J15" s="311" t="s">
        <v>30</v>
      </c>
      <c r="K15" s="311" t="s">
        <v>1124</v>
      </c>
      <c r="L15" s="311" t="s">
        <v>138</v>
      </c>
      <c r="M15" s="311">
        <v>85311030</v>
      </c>
      <c r="N15" s="311">
        <v>1</v>
      </c>
      <c r="O15" s="311">
        <v>70</v>
      </c>
      <c r="P15" s="311"/>
      <c r="R15" s="319">
        <v>48752.904891390797</v>
      </c>
      <c r="T15" s="311" t="s">
        <v>34</v>
      </c>
      <c r="U15" s="317"/>
    </row>
    <row r="16" spans="1:21" ht="14.1" customHeight="1">
      <c r="A16" s="3">
        <v>12</v>
      </c>
      <c r="B16" s="14" t="s">
        <v>350</v>
      </c>
      <c r="C16" s="14" t="s">
        <v>350</v>
      </c>
      <c r="D16" s="7" t="s">
        <v>260</v>
      </c>
      <c r="E16" s="14" t="s">
        <v>827</v>
      </c>
      <c r="F16" s="7" t="s">
        <v>3372</v>
      </c>
      <c r="G16" s="8" t="s">
        <v>3396</v>
      </c>
      <c r="H16" s="7" t="s">
        <v>3374</v>
      </c>
      <c r="I16" s="8" t="s">
        <v>3397</v>
      </c>
      <c r="J16" s="7" t="s">
        <v>30</v>
      </c>
      <c r="K16" s="7" t="s">
        <v>1124</v>
      </c>
      <c r="L16" s="7" t="s">
        <v>138</v>
      </c>
      <c r="M16" s="7">
        <v>85311030</v>
      </c>
      <c r="N16" s="7">
        <v>1</v>
      </c>
      <c r="O16" s="7">
        <v>70</v>
      </c>
      <c r="P16" s="7"/>
      <c r="R16" s="9">
        <v>30589.532296440429</v>
      </c>
      <c r="T16" s="7" t="s">
        <v>34</v>
      </c>
      <c r="U16" s="8"/>
    </row>
    <row r="17" spans="1:21" s="330" customFormat="1" ht="14.1" customHeight="1">
      <c r="A17" s="327">
        <v>13</v>
      </c>
      <c r="B17" s="328" t="s">
        <v>350</v>
      </c>
      <c r="C17" s="328" t="s">
        <v>350</v>
      </c>
      <c r="D17" s="327" t="s">
        <v>260</v>
      </c>
      <c r="E17" s="328" t="s">
        <v>827</v>
      </c>
      <c r="F17" s="327" t="s">
        <v>3372</v>
      </c>
      <c r="G17" s="329" t="s">
        <v>3398</v>
      </c>
      <c r="H17" s="327" t="s">
        <v>3374</v>
      </c>
      <c r="I17" s="329" t="s">
        <v>3399</v>
      </c>
      <c r="J17" s="327" t="s">
        <v>30</v>
      </c>
      <c r="K17" s="327" t="s">
        <v>1124</v>
      </c>
      <c r="L17" s="327" t="s">
        <v>138</v>
      </c>
      <c r="M17" s="327">
        <v>85311030</v>
      </c>
      <c r="N17" s="327">
        <v>1</v>
      </c>
      <c r="O17" s="327">
        <v>70</v>
      </c>
      <c r="P17" s="327"/>
      <c r="R17" s="338"/>
      <c r="T17" s="327" t="s">
        <v>34</v>
      </c>
      <c r="U17" s="327"/>
    </row>
    <row r="18" spans="1:21" s="318" customFormat="1" ht="14.1" customHeight="1">
      <c r="A18" s="320">
        <v>14</v>
      </c>
      <c r="B18" s="247" t="s">
        <v>350</v>
      </c>
      <c r="C18" s="247" t="s">
        <v>350</v>
      </c>
      <c r="D18" s="311" t="s">
        <v>260</v>
      </c>
      <c r="E18" s="247" t="s">
        <v>827</v>
      </c>
      <c r="F18" s="311" t="s">
        <v>3372</v>
      </c>
      <c r="G18" s="334" t="s">
        <v>3400</v>
      </c>
      <c r="H18" s="311" t="s">
        <v>3374</v>
      </c>
      <c r="I18" s="335" t="s">
        <v>3401</v>
      </c>
      <c r="J18" s="311" t="s">
        <v>30</v>
      </c>
      <c r="K18" s="311" t="s">
        <v>1124</v>
      </c>
      <c r="L18" s="311" t="s">
        <v>138</v>
      </c>
      <c r="M18" s="311">
        <v>85311030</v>
      </c>
      <c r="N18" s="311">
        <v>1</v>
      </c>
      <c r="O18" s="311">
        <v>70</v>
      </c>
      <c r="P18" s="311"/>
      <c r="R18" s="319">
        <v>95588.937250620816</v>
      </c>
      <c r="T18" s="311" t="s">
        <v>34</v>
      </c>
      <c r="U18" s="311"/>
    </row>
    <row r="19" spans="1:21" ht="14.1" customHeight="1">
      <c r="A19" s="7">
        <v>15</v>
      </c>
      <c r="B19" s="14" t="s">
        <v>350</v>
      </c>
      <c r="C19" s="14" t="s">
        <v>350</v>
      </c>
      <c r="D19" s="7" t="s">
        <v>260</v>
      </c>
      <c r="E19" s="14" t="s">
        <v>827</v>
      </c>
      <c r="F19" s="7" t="s">
        <v>3372</v>
      </c>
      <c r="G19" s="8" t="s">
        <v>3402</v>
      </c>
      <c r="H19" s="7" t="s">
        <v>3374</v>
      </c>
      <c r="I19" s="8" t="s">
        <v>3403</v>
      </c>
      <c r="J19" s="7" t="s">
        <v>30</v>
      </c>
      <c r="K19" s="7" t="s">
        <v>1124</v>
      </c>
      <c r="L19" s="7" t="s">
        <v>138</v>
      </c>
      <c r="M19" s="7">
        <v>85311030</v>
      </c>
      <c r="N19" s="7">
        <v>1</v>
      </c>
      <c r="O19" s="7">
        <v>70</v>
      </c>
      <c r="P19" s="7"/>
      <c r="R19" s="9">
        <v>74959.099299603346</v>
      </c>
      <c r="T19" s="7" t="s">
        <v>34</v>
      </c>
      <c r="U19" s="8"/>
    </row>
    <row r="20" spans="1:21" s="330" customFormat="1" ht="14.1" customHeight="1">
      <c r="A20" s="332">
        <v>16</v>
      </c>
      <c r="B20" s="328" t="s">
        <v>350</v>
      </c>
      <c r="C20" s="328" t="s">
        <v>350</v>
      </c>
      <c r="D20" s="327" t="s">
        <v>260</v>
      </c>
      <c r="E20" s="328" t="s">
        <v>827</v>
      </c>
      <c r="F20" s="327" t="s">
        <v>3372</v>
      </c>
      <c r="G20" s="329" t="s">
        <v>3404</v>
      </c>
      <c r="H20" s="327" t="s">
        <v>3374</v>
      </c>
      <c r="I20" s="329" t="s">
        <v>3405</v>
      </c>
      <c r="J20" s="327" t="s">
        <v>30</v>
      </c>
      <c r="K20" s="327" t="s">
        <v>1124</v>
      </c>
      <c r="L20" s="327" t="s">
        <v>138</v>
      </c>
      <c r="M20" s="327">
        <v>85311030</v>
      </c>
      <c r="N20" s="327">
        <v>1</v>
      </c>
      <c r="O20" s="327">
        <v>70</v>
      </c>
      <c r="P20" s="327"/>
      <c r="R20" s="338"/>
      <c r="T20" s="327" t="s">
        <v>34</v>
      </c>
      <c r="U20" s="329"/>
    </row>
    <row r="21" spans="1:21" s="318" customFormat="1" ht="14.1" customHeight="1">
      <c r="A21" s="311">
        <v>17</v>
      </c>
      <c r="B21" s="247" t="s">
        <v>350</v>
      </c>
      <c r="C21" s="247" t="s">
        <v>350</v>
      </c>
      <c r="D21" s="311" t="s">
        <v>260</v>
      </c>
      <c r="E21" s="247" t="s">
        <v>827</v>
      </c>
      <c r="F21" s="311" t="s">
        <v>3372</v>
      </c>
      <c r="G21" s="334" t="s">
        <v>3406</v>
      </c>
      <c r="H21" s="311" t="s">
        <v>3374</v>
      </c>
      <c r="I21" s="335" t="s">
        <v>3407</v>
      </c>
      <c r="J21" s="311" t="s">
        <v>30</v>
      </c>
      <c r="K21" s="311" t="s">
        <v>1124</v>
      </c>
      <c r="L21" s="311" t="s">
        <v>138</v>
      </c>
      <c r="M21" s="311">
        <v>85311030</v>
      </c>
      <c r="N21" s="311">
        <v>1</v>
      </c>
      <c r="O21" s="311">
        <v>70</v>
      </c>
      <c r="P21" s="311"/>
      <c r="R21" s="319">
        <v>73913.532463879266</v>
      </c>
      <c r="T21" s="311" t="s">
        <v>34</v>
      </c>
      <c r="U21" s="317"/>
    </row>
    <row r="22" spans="1:21" ht="14.1" customHeight="1">
      <c r="A22" s="3">
        <v>18</v>
      </c>
      <c r="B22" s="14" t="s">
        <v>350</v>
      </c>
      <c r="C22" s="14" t="s">
        <v>350</v>
      </c>
      <c r="D22" s="7" t="s">
        <v>260</v>
      </c>
      <c r="E22" s="14" t="s">
        <v>827</v>
      </c>
      <c r="F22" s="7" t="s">
        <v>3372</v>
      </c>
      <c r="G22" s="8" t="s">
        <v>3408</v>
      </c>
      <c r="H22" s="7" t="s">
        <v>3374</v>
      </c>
      <c r="I22" s="8" t="s">
        <v>3409</v>
      </c>
      <c r="J22" s="7" t="s">
        <v>30</v>
      </c>
      <c r="K22" s="7" t="s">
        <v>1124</v>
      </c>
      <c r="L22" s="7" t="s">
        <v>138</v>
      </c>
      <c r="M22" s="7">
        <v>85311030</v>
      </c>
      <c r="N22" s="7">
        <v>1</v>
      </c>
      <c r="O22" s="7">
        <v>70</v>
      </c>
      <c r="P22" s="7"/>
      <c r="R22" s="9">
        <v>54878.85417249216</v>
      </c>
      <c r="T22" s="7" t="s">
        <v>34</v>
      </c>
      <c r="U22" s="8"/>
    </row>
    <row r="23" spans="1:21" s="330" customFormat="1" ht="14.1" customHeight="1">
      <c r="A23" s="327">
        <v>19</v>
      </c>
      <c r="B23" s="328" t="s">
        <v>350</v>
      </c>
      <c r="C23" s="328" t="s">
        <v>350</v>
      </c>
      <c r="D23" s="327" t="s">
        <v>260</v>
      </c>
      <c r="E23" s="328" t="s">
        <v>827</v>
      </c>
      <c r="F23" s="327" t="s">
        <v>3372</v>
      </c>
      <c r="G23" s="329" t="s">
        <v>3410</v>
      </c>
      <c r="H23" s="327" t="s">
        <v>3374</v>
      </c>
      <c r="I23" s="329" t="s">
        <v>3411</v>
      </c>
      <c r="J23" s="327" t="s">
        <v>30</v>
      </c>
      <c r="K23" s="327" t="s">
        <v>1124</v>
      </c>
      <c r="L23" s="327" t="s">
        <v>138</v>
      </c>
      <c r="M23" s="327">
        <v>85311030</v>
      </c>
      <c r="N23" s="327">
        <v>1</v>
      </c>
      <c r="O23" s="327">
        <v>70</v>
      </c>
      <c r="P23" s="327"/>
      <c r="R23" s="338"/>
      <c r="T23" s="327" t="s">
        <v>34</v>
      </c>
      <c r="U23" s="329"/>
    </row>
    <row r="24" spans="1:21" s="318" customFormat="1" ht="14.1" customHeight="1">
      <c r="A24" s="320">
        <v>20</v>
      </c>
      <c r="B24" s="247" t="s">
        <v>350</v>
      </c>
      <c r="C24" s="247" t="s">
        <v>350</v>
      </c>
      <c r="D24" s="311" t="s">
        <v>260</v>
      </c>
      <c r="E24" s="247" t="s">
        <v>827</v>
      </c>
      <c r="F24" s="311" t="s">
        <v>3372</v>
      </c>
      <c r="G24" s="334" t="s">
        <v>3412</v>
      </c>
      <c r="H24" s="311" t="s">
        <v>3374</v>
      </c>
      <c r="I24" s="335" t="s">
        <v>3413</v>
      </c>
      <c r="J24" s="311" t="s">
        <v>30</v>
      </c>
      <c r="K24" s="311" t="s">
        <v>1124</v>
      </c>
      <c r="L24" s="311" t="s">
        <v>138</v>
      </c>
      <c r="M24" s="311">
        <v>85311030</v>
      </c>
      <c r="N24" s="311">
        <v>1</v>
      </c>
      <c r="O24" s="311">
        <v>70</v>
      </c>
      <c r="P24" s="311"/>
      <c r="R24" s="319">
        <v>52251.532380159857</v>
      </c>
      <c r="T24" s="311" t="s">
        <v>34</v>
      </c>
      <c r="U24" s="317"/>
    </row>
    <row r="25" spans="1:21" ht="14.1" customHeight="1">
      <c r="A25" s="7">
        <v>21</v>
      </c>
      <c r="B25" s="14" t="s">
        <v>350</v>
      </c>
      <c r="C25" s="14" t="s">
        <v>350</v>
      </c>
      <c r="D25" s="7" t="s">
        <v>260</v>
      </c>
      <c r="E25" s="14" t="s">
        <v>827</v>
      </c>
      <c r="F25" s="7" t="s">
        <v>3372</v>
      </c>
      <c r="G25" s="8" t="s">
        <v>3414</v>
      </c>
      <c r="H25" s="7" t="s">
        <v>3374</v>
      </c>
      <c r="I25" s="8" t="s">
        <v>3415</v>
      </c>
      <c r="J25" s="7" t="s">
        <v>30</v>
      </c>
      <c r="K25" s="7" t="s">
        <v>1124</v>
      </c>
      <c r="L25" s="7" t="s">
        <v>138</v>
      </c>
      <c r="M25" s="7">
        <v>85311030</v>
      </c>
      <c r="N25" s="7">
        <v>1</v>
      </c>
      <c r="O25" s="7">
        <v>70</v>
      </c>
      <c r="P25" s="7"/>
      <c r="R25" s="9">
        <v>34946.060778624087</v>
      </c>
      <c r="T25" s="7" t="s">
        <v>34</v>
      </c>
      <c r="U25" s="8"/>
    </row>
    <row r="26" spans="1:21" ht="14.1" customHeight="1">
      <c r="A26" s="3">
        <v>22</v>
      </c>
      <c r="B26" s="14" t="s">
        <v>350</v>
      </c>
      <c r="C26" s="14" t="s">
        <v>350</v>
      </c>
      <c r="D26" s="7" t="s">
        <v>260</v>
      </c>
      <c r="E26" s="14" t="s">
        <v>827</v>
      </c>
      <c r="F26" s="7" t="s">
        <v>3372</v>
      </c>
      <c r="G26" s="8" t="s">
        <v>3416</v>
      </c>
      <c r="H26" s="7" t="s">
        <v>3374</v>
      </c>
      <c r="I26" s="8" t="s">
        <v>3417</v>
      </c>
      <c r="J26" s="7" t="s">
        <v>30</v>
      </c>
      <c r="K26" s="7" t="s">
        <v>1124</v>
      </c>
      <c r="L26" s="7" t="s">
        <v>138</v>
      </c>
      <c r="M26" s="7">
        <v>85311030</v>
      </c>
      <c r="N26" s="7">
        <v>1</v>
      </c>
      <c r="O26" s="7">
        <v>70</v>
      </c>
      <c r="P26" s="7"/>
      <c r="R26" s="9">
        <v>3471.8180827248329</v>
      </c>
      <c r="T26" s="7" t="s">
        <v>34</v>
      </c>
      <c r="U26" s="8"/>
    </row>
    <row r="27" spans="1:21" ht="14.1" customHeight="1">
      <c r="A27" s="7">
        <v>23</v>
      </c>
      <c r="B27" s="14" t="s">
        <v>350</v>
      </c>
      <c r="C27" s="14" t="s">
        <v>350</v>
      </c>
      <c r="D27" s="7" t="s">
        <v>260</v>
      </c>
      <c r="E27" s="14" t="s">
        <v>827</v>
      </c>
      <c r="F27" s="7" t="s">
        <v>3372</v>
      </c>
      <c r="G27" s="8" t="s">
        <v>3418</v>
      </c>
      <c r="H27" s="7" t="s">
        <v>3374</v>
      </c>
      <c r="I27" s="8" t="s">
        <v>3419</v>
      </c>
      <c r="J27" s="7" t="s">
        <v>30</v>
      </c>
      <c r="K27" s="7" t="s">
        <v>1124</v>
      </c>
      <c r="L27" s="7" t="s">
        <v>138</v>
      </c>
      <c r="M27" s="7">
        <v>85311030</v>
      </c>
      <c r="N27" s="7">
        <v>1</v>
      </c>
      <c r="O27" s="7">
        <v>70</v>
      </c>
      <c r="P27" s="7"/>
      <c r="R27" s="9">
        <v>21581.5718655868</v>
      </c>
      <c r="T27" s="7" t="s">
        <v>34</v>
      </c>
      <c r="U27" s="8"/>
    </row>
    <row r="28" spans="1:21" ht="14.1" customHeight="1">
      <c r="A28" s="3">
        <v>24</v>
      </c>
      <c r="B28" s="14" t="s">
        <v>350</v>
      </c>
      <c r="C28" s="14" t="s">
        <v>350</v>
      </c>
      <c r="D28" s="7" t="s">
        <v>260</v>
      </c>
      <c r="E28" s="14" t="s">
        <v>827</v>
      </c>
      <c r="F28" s="7" t="s">
        <v>3372</v>
      </c>
      <c r="G28" s="8" t="s">
        <v>3420</v>
      </c>
      <c r="H28" s="7" t="s">
        <v>3374</v>
      </c>
      <c r="I28" s="8" t="s">
        <v>3421</v>
      </c>
      <c r="J28" s="7" t="s">
        <v>30</v>
      </c>
      <c r="K28" s="7" t="s">
        <v>1124</v>
      </c>
      <c r="L28" s="7" t="s">
        <v>138</v>
      </c>
      <c r="M28" s="7">
        <v>85311030</v>
      </c>
      <c r="N28" s="7">
        <v>1</v>
      </c>
      <c r="O28" s="7">
        <v>70</v>
      </c>
      <c r="P28" s="7"/>
      <c r="R28" s="9">
        <v>3471.8180827248329</v>
      </c>
      <c r="T28" s="7" t="s">
        <v>34</v>
      </c>
      <c r="U28" s="8"/>
    </row>
    <row r="29" spans="1:21" ht="14.1" customHeight="1">
      <c r="A29" s="7">
        <v>25</v>
      </c>
      <c r="B29" s="14" t="s">
        <v>350</v>
      </c>
      <c r="C29" s="14" t="s">
        <v>350</v>
      </c>
      <c r="D29" s="7" t="s">
        <v>260</v>
      </c>
      <c r="E29" s="14" t="s">
        <v>827</v>
      </c>
      <c r="F29" s="7" t="s">
        <v>3372</v>
      </c>
      <c r="G29" s="8" t="s">
        <v>3422</v>
      </c>
      <c r="H29" s="7" t="s">
        <v>3374</v>
      </c>
      <c r="I29" s="8" t="s">
        <v>3423</v>
      </c>
      <c r="J29" s="7" t="s">
        <v>30</v>
      </c>
      <c r="K29" s="7" t="s">
        <v>1124</v>
      </c>
      <c r="L29" s="7" t="s">
        <v>138</v>
      </c>
      <c r="M29" s="7">
        <v>85311030</v>
      </c>
      <c r="N29" s="7">
        <v>1</v>
      </c>
      <c r="O29" s="7">
        <v>70</v>
      </c>
      <c r="P29" s="7"/>
      <c r="R29" s="9">
        <v>361.9269815967973</v>
      </c>
      <c r="T29" s="7" t="s">
        <v>34</v>
      </c>
      <c r="U29" s="8"/>
    </row>
    <row r="30" spans="1:21" ht="14.1" customHeight="1">
      <c r="A30" s="3">
        <v>26</v>
      </c>
      <c r="B30" s="14" t="s">
        <v>350</v>
      </c>
      <c r="C30" s="14" t="s">
        <v>350</v>
      </c>
      <c r="D30" s="7" t="s">
        <v>260</v>
      </c>
      <c r="E30" s="14" t="s">
        <v>827</v>
      </c>
      <c r="F30" s="7" t="s">
        <v>3372</v>
      </c>
      <c r="G30" s="8" t="s">
        <v>3424</v>
      </c>
      <c r="H30" s="7" t="s">
        <v>3374</v>
      </c>
      <c r="I30" s="8" t="s">
        <v>3425</v>
      </c>
      <c r="J30" s="7" t="s">
        <v>30</v>
      </c>
      <c r="K30" s="7" t="s">
        <v>1124</v>
      </c>
      <c r="L30" s="7" t="s">
        <v>138</v>
      </c>
      <c r="M30" s="7">
        <v>85311030</v>
      </c>
      <c r="N30" s="7">
        <v>1</v>
      </c>
      <c r="O30" s="7">
        <v>70</v>
      </c>
      <c r="P30" s="7"/>
      <c r="R30" s="9">
        <v>5254.6435846646127</v>
      </c>
      <c r="T30" s="7" t="s">
        <v>34</v>
      </c>
      <c r="U30" s="8"/>
    </row>
    <row r="31" spans="1:21" s="22" customFormat="1" ht="14.1" customHeight="1">
      <c r="A31" s="7">
        <v>27</v>
      </c>
      <c r="B31" s="14" t="s">
        <v>350</v>
      </c>
      <c r="C31" s="14" t="s">
        <v>350</v>
      </c>
      <c r="D31" s="7" t="s">
        <v>260</v>
      </c>
      <c r="E31" s="14" t="s">
        <v>827</v>
      </c>
      <c r="F31" s="7" t="s">
        <v>3372</v>
      </c>
      <c r="G31" s="19" t="s">
        <v>3426</v>
      </c>
      <c r="H31" s="29" t="s">
        <v>3427</v>
      </c>
      <c r="I31" s="19" t="s">
        <v>3428</v>
      </c>
      <c r="J31" s="7" t="s">
        <v>30</v>
      </c>
      <c r="K31" s="7" t="s">
        <v>461</v>
      </c>
      <c r="L31" s="7" t="s">
        <v>138</v>
      </c>
      <c r="M31" s="7">
        <v>85311030</v>
      </c>
      <c r="N31" s="7">
        <v>1</v>
      </c>
      <c r="O31" s="7">
        <v>42</v>
      </c>
      <c r="P31" s="7"/>
      <c r="R31" s="9">
        <v>951.73391456935576</v>
      </c>
      <c r="T31" s="29" t="s">
        <v>34</v>
      </c>
      <c r="U31" s="29"/>
    </row>
    <row r="32" spans="1:21" ht="14.1" customHeight="1">
      <c r="A32" s="3">
        <v>28</v>
      </c>
      <c r="B32" s="14" t="s">
        <v>350</v>
      </c>
      <c r="C32" s="14" t="s">
        <v>350</v>
      </c>
      <c r="D32" s="7" t="s">
        <v>260</v>
      </c>
      <c r="E32" s="14" t="s">
        <v>827</v>
      </c>
      <c r="F32" s="7" t="s">
        <v>3372</v>
      </c>
      <c r="G32" s="8" t="s">
        <v>3429</v>
      </c>
      <c r="H32" s="7" t="s">
        <v>3427</v>
      </c>
      <c r="I32" s="8" t="s">
        <v>3430</v>
      </c>
      <c r="J32" s="7" t="s">
        <v>30</v>
      </c>
      <c r="K32" s="7" t="s">
        <v>461</v>
      </c>
      <c r="L32" s="7" t="s">
        <v>138</v>
      </c>
      <c r="M32" s="7">
        <v>85311030</v>
      </c>
      <c r="N32" s="7">
        <v>1</v>
      </c>
      <c r="O32" s="7">
        <v>42</v>
      </c>
      <c r="P32" s="7"/>
      <c r="Q32" s="115"/>
      <c r="R32" s="9">
        <v>1514.731441497707</v>
      </c>
      <c r="S32" s="115"/>
      <c r="T32" s="7" t="s">
        <v>34</v>
      </c>
      <c r="U32" s="8"/>
    </row>
    <row r="33" spans="1:21" ht="14.1" customHeight="1">
      <c r="A33" s="7">
        <v>29</v>
      </c>
      <c r="B33" s="14" t="s">
        <v>350</v>
      </c>
      <c r="C33" s="14" t="s">
        <v>350</v>
      </c>
      <c r="D33" s="7" t="s">
        <v>260</v>
      </c>
      <c r="E33" s="14" t="s">
        <v>827</v>
      </c>
      <c r="F33" s="7" t="s">
        <v>3372</v>
      </c>
      <c r="G33" s="8" t="s">
        <v>3431</v>
      </c>
      <c r="H33" s="7" t="s">
        <v>3427</v>
      </c>
      <c r="I33" s="8" t="s">
        <v>3432</v>
      </c>
      <c r="J33" s="7" t="s">
        <v>30</v>
      </c>
      <c r="K33" s="7" t="s">
        <v>461</v>
      </c>
      <c r="L33" s="7" t="s">
        <v>138</v>
      </c>
      <c r="M33" s="7">
        <v>85311030</v>
      </c>
      <c r="N33" s="7">
        <v>1</v>
      </c>
      <c r="O33" s="7">
        <v>42</v>
      </c>
      <c r="P33" s="7"/>
      <c r="Q33" s="115"/>
      <c r="R33" s="9">
        <v>14517.2933729382</v>
      </c>
      <c r="S33" s="115"/>
      <c r="T33" s="7" t="s">
        <v>34</v>
      </c>
      <c r="U33" s="8"/>
    </row>
    <row r="34" spans="1:21" ht="14.1" customHeight="1">
      <c r="A34" s="7">
        <v>30</v>
      </c>
      <c r="B34" s="14" t="s">
        <v>350</v>
      </c>
      <c r="C34" s="14" t="s">
        <v>350</v>
      </c>
      <c r="D34" s="7" t="s">
        <v>260</v>
      </c>
      <c r="E34" s="14" t="s">
        <v>827</v>
      </c>
      <c r="F34" s="7" t="s">
        <v>3372</v>
      </c>
      <c r="G34" s="8" t="s">
        <v>3433</v>
      </c>
      <c r="H34" s="7" t="s">
        <v>3427</v>
      </c>
      <c r="I34" s="8" t="s">
        <v>3434</v>
      </c>
      <c r="J34" s="7" t="s">
        <v>30</v>
      </c>
      <c r="K34" s="7" t="s">
        <v>461</v>
      </c>
      <c r="L34" s="7" t="s">
        <v>138</v>
      </c>
      <c r="M34" s="7">
        <v>85311030</v>
      </c>
      <c r="N34" s="7">
        <v>1</v>
      </c>
      <c r="O34" s="7">
        <v>42</v>
      </c>
      <c r="P34" s="7"/>
      <c r="Q34" s="115"/>
      <c r="R34" s="9">
        <v>16099.048329546429</v>
      </c>
      <c r="S34" s="115"/>
      <c r="T34" s="7" t="s">
        <v>34</v>
      </c>
      <c r="U34" s="8"/>
    </row>
    <row r="35" spans="1:21" ht="14.1" customHeight="1">
      <c r="A35" s="7">
        <v>31</v>
      </c>
      <c r="B35" s="14" t="s">
        <v>350</v>
      </c>
      <c r="C35" s="14" t="s">
        <v>350</v>
      </c>
      <c r="D35" s="7" t="s">
        <v>260</v>
      </c>
      <c r="E35" s="14" t="s">
        <v>827</v>
      </c>
      <c r="F35" s="7" t="s">
        <v>3372</v>
      </c>
      <c r="G35" s="8" t="s">
        <v>3435</v>
      </c>
      <c r="H35" s="7" t="s">
        <v>42</v>
      </c>
      <c r="I35" s="8" t="s">
        <v>3436</v>
      </c>
      <c r="J35" s="7" t="s">
        <v>30</v>
      </c>
      <c r="K35" s="7"/>
      <c r="L35" s="7" t="s">
        <v>138</v>
      </c>
      <c r="M35" s="7"/>
      <c r="N35" s="7">
        <v>1</v>
      </c>
      <c r="O35" s="7">
        <v>70</v>
      </c>
      <c r="P35" s="7"/>
      <c r="Q35" s="115"/>
      <c r="R35" s="9">
        <v>5080.3824453772668</v>
      </c>
      <c r="S35" s="115"/>
      <c r="T35" s="7" t="s">
        <v>34</v>
      </c>
      <c r="U35" s="8"/>
    </row>
    <row r="36" spans="1:21" s="330" customFormat="1" ht="14.1" customHeight="1">
      <c r="A36" s="327">
        <v>32</v>
      </c>
      <c r="B36" s="328" t="s">
        <v>350</v>
      </c>
      <c r="C36" s="328" t="s">
        <v>350</v>
      </c>
      <c r="D36" s="327" t="s">
        <v>260</v>
      </c>
      <c r="E36" s="328" t="s">
        <v>827</v>
      </c>
      <c r="F36" s="327" t="s">
        <v>3372</v>
      </c>
      <c r="G36" s="329" t="s">
        <v>3437</v>
      </c>
      <c r="H36" s="327" t="s">
        <v>42</v>
      </c>
      <c r="I36" s="329" t="s">
        <v>3438</v>
      </c>
      <c r="J36" s="327" t="s">
        <v>30</v>
      </c>
      <c r="K36" s="327"/>
      <c r="L36" s="327" t="s">
        <v>138</v>
      </c>
      <c r="M36" s="327"/>
      <c r="N36" s="327">
        <v>1</v>
      </c>
      <c r="O36" s="327">
        <v>70</v>
      </c>
      <c r="P36" s="327"/>
      <c r="Q36" s="333"/>
      <c r="R36" s="337"/>
      <c r="S36" s="333"/>
      <c r="T36" s="327" t="s">
        <v>34</v>
      </c>
      <c r="U36" s="329"/>
    </row>
    <row r="37" spans="1:21" ht="14.1" customHeight="1">
      <c r="A37" s="7">
        <v>33</v>
      </c>
      <c r="B37" s="14" t="s">
        <v>350</v>
      </c>
      <c r="C37" s="14" t="s">
        <v>350</v>
      </c>
      <c r="D37" s="7" t="s">
        <v>260</v>
      </c>
      <c r="E37" s="14" t="s">
        <v>827</v>
      </c>
      <c r="F37" s="7" t="s">
        <v>3372</v>
      </c>
      <c r="G37" s="8" t="s">
        <v>3439</v>
      </c>
      <c r="H37" s="7" t="s">
        <v>42</v>
      </c>
      <c r="I37" s="8" t="s">
        <v>3440</v>
      </c>
      <c r="J37" s="7" t="s">
        <v>30</v>
      </c>
      <c r="K37" s="7"/>
      <c r="L37" s="7" t="s">
        <v>138</v>
      </c>
      <c r="M37" s="7"/>
      <c r="N37" s="7">
        <v>1</v>
      </c>
      <c r="O37" s="7">
        <v>70</v>
      </c>
      <c r="P37" s="7"/>
      <c r="Q37" s="115"/>
      <c r="R37" s="9">
        <v>8927.5322127210002</v>
      </c>
      <c r="S37" s="115"/>
      <c r="T37" s="7" t="s">
        <v>34</v>
      </c>
      <c r="U37" s="8"/>
    </row>
    <row r="38" spans="1:21" ht="14.1" customHeight="1">
      <c r="A38" s="7">
        <v>34</v>
      </c>
      <c r="B38" s="14" t="s">
        <v>350</v>
      </c>
      <c r="C38" s="14" t="s">
        <v>350</v>
      </c>
      <c r="D38" s="7" t="s">
        <v>260</v>
      </c>
      <c r="E38" s="14" t="s">
        <v>827</v>
      </c>
      <c r="F38" s="7" t="s">
        <v>3372</v>
      </c>
      <c r="G38" s="8" t="s">
        <v>3441</v>
      </c>
      <c r="H38" s="7" t="s">
        <v>42</v>
      </c>
      <c r="I38" s="8" t="s">
        <v>3442</v>
      </c>
      <c r="J38" s="7" t="s">
        <v>30</v>
      </c>
      <c r="K38" s="7"/>
      <c r="L38" s="7" t="s">
        <v>138</v>
      </c>
      <c r="M38" s="7"/>
      <c r="N38" s="7">
        <v>1</v>
      </c>
      <c r="O38" s="7">
        <v>70</v>
      </c>
      <c r="P38" s="7"/>
      <c r="Q38" s="115"/>
      <c r="R38" s="9">
        <v>428.95049670731532</v>
      </c>
      <c r="S38" s="115"/>
      <c r="T38" s="7" t="s">
        <v>34</v>
      </c>
      <c r="U38" s="8"/>
    </row>
    <row r="39" spans="1:21" ht="14.1" customHeight="1">
      <c r="H39" t="s">
        <v>42</v>
      </c>
    </row>
    <row r="40" spans="1:21" s="3" customFormat="1" ht="14.1" customHeight="1">
      <c r="B40" s="20"/>
      <c r="C40" s="20"/>
      <c r="E40" s="20"/>
      <c r="G40" s="2"/>
      <c r="H40" t="s">
        <v>42</v>
      </c>
      <c r="I40" s="2"/>
      <c r="M40" s="111"/>
      <c r="Q40" s="2"/>
      <c r="R40" s="30"/>
      <c r="S40" s="2"/>
      <c r="T40" s="2"/>
      <c r="U40" s="2"/>
    </row>
    <row r="41" spans="1:21" ht="14.1" customHeight="1"/>
    <row r="42" spans="1:21" ht="14.1" customHeight="1"/>
    <row r="43" spans="1:21" ht="14.1" customHeight="1"/>
    <row r="44" spans="1:21" ht="14.1" customHeight="1"/>
    <row r="45" spans="1:21" ht="14.1" customHeight="1"/>
    <row r="46" spans="1:21" ht="14.1" customHeight="1"/>
    <row r="47" spans="1:21" ht="14.1" customHeight="1"/>
    <row r="48" spans="1:21" ht="14.1" customHeight="1"/>
    <row r="49" ht="14.1" customHeight="1"/>
    <row r="50" ht="14.1" customHeight="1"/>
    <row r="51" ht="14.1" customHeight="1"/>
    <row r="52" ht="14.1" customHeight="1"/>
    <row r="53" ht="14.1" customHeight="1"/>
    <row r="54" ht="14.1" customHeight="1"/>
    <row r="55" ht="14.1" customHeight="1"/>
    <row r="56" ht="14.1" customHeight="1"/>
    <row r="57" ht="14.1" customHeight="1"/>
    <row r="58" ht="14.1" customHeight="1"/>
    <row r="59" ht="14.1" customHeight="1"/>
    <row r="60" ht="14.1" customHeight="1"/>
    <row r="61" ht="14.1" customHeight="1"/>
    <row r="62" ht="14.1" customHeight="1"/>
    <row r="63" ht="14.1" customHeight="1"/>
    <row r="64" ht="14.1" customHeight="1"/>
    <row r="65" ht="14.1" customHeight="1"/>
    <row r="66" ht="14.1" customHeight="1"/>
    <row r="67" ht="14.1" customHeight="1"/>
    <row r="68" ht="14.1" customHeight="1"/>
    <row r="69" ht="14.1" customHeight="1"/>
    <row r="70" ht="14.1" customHeight="1"/>
    <row r="71" ht="14.1" customHeight="1"/>
    <row r="72" ht="14.1" customHeight="1"/>
    <row r="73" ht="14.1" customHeight="1"/>
    <row r="74" ht="14.1" customHeight="1"/>
    <row r="75" ht="14.1" customHeight="1"/>
    <row r="76" ht="14.1" customHeight="1"/>
    <row r="77" ht="14.1" customHeight="1"/>
    <row r="78" ht="14.1" customHeight="1"/>
    <row r="79" ht="14.1" customHeight="1"/>
    <row r="80" ht="14.1" customHeight="1"/>
    <row r="81" ht="14.1" customHeight="1"/>
    <row r="82" ht="14.1" customHeight="1"/>
    <row r="83" ht="14.1" customHeight="1"/>
    <row r="84" ht="14.1" customHeight="1"/>
    <row r="85" ht="14.1" customHeight="1"/>
    <row r="86" ht="14.1" customHeight="1"/>
    <row r="87" ht="14.1" customHeight="1"/>
    <row r="88" ht="14.1" customHeight="1"/>
    <row r="89" ht="14.1" customHeight="1"/>
    <row r="90" ht="14.1" customHeight="1"/>
    <row r="91" ht="14.1" customHeight="1"/>
    <row r="92" ht="14.1" customHeight="1"/>
    <row r="93" ht="14.1" customHeight="1"/>
    <row r="94" ht="14.1" customHeight="1"/>
    <row r="95" ht="14.1" customHeight="1"/>
    <row r="96" ht="14.1" customHeight="1"/>
    <row r="97" ht="14.1" customHeight="1"/>
    <row r="98" ht="14.1" customHeight="1"/>
    <row r="99" ht="14.1" customHeight="1"/>
    <row r="100" ht="14.1" customHeight="1"/>
    <row r="101" ht="14.1" customHeight="1"/>
    <row r="102" ht="14.1" customHeight="1"/>
    <row r="103" ht="14.1" customHeight="1"/>
    <row r="104" ht="14.1" customHeight="1"/>
    <row r="105" ht="14.1" customHeight="1"/>
    <row r="106" ht="14.1" customHeight="1"/>
    <row r="107" ht="14.1" customHeight="1"/>
    <row r="108" ht="14.1" customHeight="1"/>
    <row r="109" ht="14.1" customHeight="1"/>
    <row r="110" ht="14.1" customHeight="1"/>
    <row r="111" ht="14.1" customHeight="1"/>
    <row r="112" ht="14.1" customHeight="1"/>
    <row r="113" ht="14.1" customHeight="1"/>
    <row r="114" ht="14.1" customHeight="1"/>
    <row r="115" ht="14.1" customHeight="1"/>
    <row r="116" ht="14.1" customHeight="1"/>
    <row r="117" ht="14.1" customHeight="1"/>
    <row r="118" ht="14.1" customHeight="1"/>
    <row r="119" ht="14.1" customHeight="1"/>
    <row r="120" ht="14.1" customHeight="1"/>
    <row r="121" ht="14.1" customHeight="1"/>
    <row r="122" ht="14.1" customHeight="1"/>
    <row r="123" ht="14.1" customHeight="1"/>
    <row r="124" ht="14.1" customHeight="1"/>
    <row r="125" ht="14.1" customHeight="1"/>
    <row r="126" ht="14.1" customHeight="1"/>
    <row r="127" ht="14.1" customHeight="1"/>
    <row r="128" ht="14.1" customHeight="1"/>
    <row r="129" ht="14.1" customHeight="1"/>
    <row r="130" ht="14.1" customHeight="1"/>
    <row r="131" ht="14.1" customHeight="1"/>
    <row r="132" ht="14.1" customHeight="1"/>
    <row r="133" ht="14.1" customHeight="1"/>
    <row r="134" ht="14.1" customHeight="1"/>
    <row r="135" ht="14.1" customHeight="1"/>
    <row r="136" ht="14.1" customHeight="1"/>
    <row r="137" ht="14.1" customHeight="1"/>
    <row r="138" ht="14.1" customHeight="1"/>
    <row r="139" ht="14.1" customHeight="1"/>
    <row r="140" ht="14.1" customHeight="1"/>
    <row r="141" ht="14.1" customHeight="1"/>
    <row r="142" ht="14.1" customHeight="1"/>
    <row r="143" ht="14.1" customHeight="1"/>
    <row r="144" ht="14.1" customHeight="1"/>
    <row r="145" ht="14.1" customHeight="1"/>
    <row r="146" ht="14.1" customHeight="1"/>
    <row r="147" ht="14.1" customHeight="1"/>
    <row r="148" ht="14.1" customHeight="1"/>
    <row r="149" ht="14.1" customHeight="1"/>
    <row r="150" ht="14.1" customHeight="1"/>
    <row r="151" ht="14.1" customHeight="1"/>
    <row r="152" ht="14.1" customHeight="1"/>
    <row r="153" ht="14.1" customHeight="1"/>
    <row r="154" ht="14.1" customHeight="1"/>
    <row r="155" ht="14.1" customHeight="1"/>
    <row r="156" ht="14.1" customHeight="1"/>
    <row r="157" ht="14.1" customHeight="1"/>
    <row r="158" ht="14.1" customHeight="1"/>
    <row r="159" ht="14.1" customHeight="1"/>
    <row r="160" ht="14.1" customHeight="1"/>
    <row r="161" ht="14.1" customHeight="1"/>
    <row r="162" ht="14.1" customHeight="1"/>
    <row r="163" ht="14.1" customHeight="1"/>
    <row r="164" ht="14.1" customHeight="1"/>
    <row r="165" ht="14.1" customHeight="1"/>
    <row r="166" ht="14.1" customHeight="1"/>
    <row r="167" ht="14.1" customHeight="1"/>
    <row r="168" ht="14.1" customHeight="1"/>
    <row r="169" ht="14.1" customHeight="1"/>
    <row r="170" ht="14.1" customHeight="1"/>
    <row r="171" ht="14.1" customHeight="1"/>
    <row r="172" ht="14.1" customHeight="1"/>
    <row r="173" ht="14.1" customHeight="1"/>
    <row r="174" ht="14.1" customHeight="1"/>
    <row r="175" ht="14.1" customHeight="1"/>
    <row r="176" ht="14.1" customHeight="1"/>
    <row r="177" ht="14.1" customHeight="1"/>
    <row r="178" ht="14.1" customHeight="1"/>
    <row r="179" ht="14.1" customHeight="1"/>
    <row r="180" ht="14.1" customHeight="1"/>
    <row r="181" ht="14.1" customHeight="1"/>
    <row r="182" ht="14.1" customHeight="1"/>
    <row r="183" ht="14.1" customHeight="1"/>
    <row r="184" ht="14.1" customHeight="1"/>
    <row r="185" ht="14.1" customHeight="1"/>
    <row r="186" ht="14.1" customHeight="1"/>
    <row r="187" ht="14.1" customHeight="1"/>
    <row r="188" ht="14.1" customHeight="1"/>
    <row r="189" ht="14.1" customHeight="1"/>
    <row r="190" ht="14.1" customHeight="1"/>
    <row r="191" ht="14.1" customHeight="1"/>
    <row r="192" ht="14.1" customHeight="1"/>
    <row r="193" ht="14.1" customHeight="1"/>
    <row r="194" ht="14.1" customHeight="1"/>
    <row r="195" ht="14.1" customHeight="1"/>
    <row r="196" ht="14.1" customHeight="1"/>
    <row r="197" ht="14.1" customHeight="1"/>
    <row r="198" ht="14.1" customHeight="1"/>
    <row r="199" ht="14.1" customHeight="1"/>
    <row r="200" ht="14.1" customHeight="1"/>
    <row r="201" ht="14.1" customHeight="1"/>
    <row r="202" ht="14.1" customHeight="1"/>
    <row r="203" ht="14.1" customHeight="1"/>
    <row r="204" ht="14.1" customHeight="1"/>
    <row r="205" ht="14.1" customHeight="1"/>
    <row r="206" ht="14.1" customHeight="1"/>
    <row r="207" ht="14.1" customHeight="1"/>
    <row r="208" ht="14.1" customHeight="1"/>
    <row r="209" ht="14.1" customHeight="1"/>
    <row r="210" ht="14.1" customHeight="1"/>
    <row r="211" ht="14.1" customHeight="1"/>
    <row r="212" ht="14.1" customHeight="1"/>
    <row r="213" ht="14.1" customHeight="1"/>
    <row r="214" ht="14.1" customHeight="1"/>
    <row r="215" ht="14.1" customHeight="1"/>
    <row r="216" ht="14.1" customHeight="1"/>
    <row r="217" ht="14.1" customHeight="1"/>
    <row r="218" ht="14.1" customHeight="1"/>
    <row r="219" ht="14.1" customHeight="1"/>
    <row r="220" ht="14.1" customHeight="1"/>
    <row r="221" ht="14.1" customHeight="1"/>
    <row r="222" ht="14.1" customHeight="1"/>
    <row r="223" ht="14.1" customHeight="1"/>
    <row r="224" ht="14.1" customHeight="1"/>
    <row r="225" ht="14.1" customHeight="1"/>
    <row r="226" ht="14.1" customHeight="1"/>
    <row r="227" ht="14.1" customHeight="1"/>
    <row r="228" ht="14.1" customHeight="1"/>
    <row r="229" ht="14.1" customHeight="1"/>
    <row r="230" ht="14.1" customHeight="1"/>
    <row r="231" ht="14.1" customHeight="1"/>
    <row r="232" ht="14.1" customHeight="1"/>
    <row r="233" ht="14.1" customHeight="1"/>
    <row r="234" ht="14.1" customHeight="1"/>
    <row r="235" ht="14.1" customHeight="1"/>
    <row r="236" ht="14.1" customHeight="1"/>
    <row r="237" ht="14.1" customHeight="1"/>
    <row r="238" ht="14.1" customHeight="1"/>
    <row r="239" ht="14.1" customHeight="1"/>
    <row r="240" ht="14.1" customHeight="1"/>
    <row r="241" ht="14.1" customHeight="1"/>
    <row r="242" ht="14.1" customHeight="1"/>
    <row r="243" ht="14.1" customHeight="1"/>
    <row r="244" ht="14.1" customHeight="1"/>
    <row r="245" ht="14.1" customHeight="1"/>
    <row r="246" ht="14.1" customHeight="1"/>
    <row r="247" ht="14.1" customHeight="1"/>
    <row r="248" ht="14.1" customHeight="1"/>
    <row r="249" ht="14.1" customHeight="1"/>
    <row r="250" ht="14.1" customHeight="1"/>
    <row r="251" ht="14.1" customHeight="1"/>
    <row r="252" ht="14.1" customHeight="1"/>
    <row r="253" ht="14.1" customHeight="1"/>
    <row r="254" ht="14.1" customHeight="1"/>
    <row r="255" ht="14.1" customHeight="1"/>
    <row r="256" ht="14.1" customHeight="1"/>
    <row r="257" ht="14.1" customHeight="1"/>
    <row r="258" ht="14.1" customHeight="1"/>
    <row r="259" ht="14.1" customHeight="1"/>
    <row r="260" ht="14.1" customHeight="1"/>
    <row r="261" ht="14.1" customHeight="1"/>
    <row r="262" ht="14.1" customHeight="1"/>
    <row r="263" ht="14.1" customHeight="1"/>
    <row r="264" ht="14.1" customHeight="1"/>
    <row r="265" ht="14.1" customHeight="1"/>
    <row r="266" ht="14.1" customHeight="1"/>
    <row r="267" ht="14.1" customHeight="1"/>
    <row r="268" ht="14.1" customHeight="1"/>
    <row r="269" ht="14.1" customHeight="1"/>
    <row r="270" ht="14.1" customHeight="1"/>
    <row r="271" ht="14.1" customHeight="1"/>
    <row r="272" ht="14.1" customHeight="1"/>
    <row r="273" ht="14.1" customHeight="1"/>
    <row r="274" ht="14.1" customHeight="1"/>
    <row r="275" ht="14.1" customHeight="1"/>
    <row r="276" ht="14.1" customHeight="1"/>
    <row r="277" ht="14.1" customHeight="1"/>
    <row r="278" ht="14.1" customHeight="1"/>
    <row r="279" ht="14.1" customHeight="1"/>
    <row r="280" ht="14.1" customHeight="1"/>
    <row r="281" ht="14.1" customHeight="1"/>
    <row r="282" ht="14.1" customHeight="1"/>
    <row r="283" ht="14.1" customHeight="1"/>
    <row r="284" ht="14.1" customHeight="1"/>
    <row r="285" ht="14.1" customHeight="1"/>
    <row r="286" ht="14.1" customHeight="1"/>
    <row r="287" ht="14.1" customHeight="1"/>
    <row r="288" ht="14.1" customHeight="1"/>
    <row r="289" ht="14.1" customHeight="1"/>
    <row r="290" ht="14.1" customHeight="1"/>
    <row r="291" ht="14.1" customHeight="1"/>
    <row r="292" ht="14.1" customHeight="1"/>
    <row r="293" ht="14.1" customHeight="1"/>
    <row r="294" ht="14.1" customHeight="1"/>
    <row r="295" ht="14.1" customHeight="1"/>
    <row r="296" ht="14.1" customHeight="1"/>
    <row r="297" ht="14.1" customHeight="1"/>
    <row r="298" ht="14.1" customHeight="1"/>
    <row r="299" ht="14.1" customHeight="1"/>
    <row r="300" ht="14.1" customHeight="1"/>
    <row r="301" ht="14.1" customHeight="1"/>
    <row r="302" ht="14.1" customHeight="1"/>
    <row r="303" ht="14.1" customHeight="1"/>
    <row r="304" ht="14.1" customHeight="1"/>
    <row r="305" ht="14.1" customHeight="1"/>
    <row r="306" ht="14.1" customHeight="1"/>
    <row r="307" ht="14.1" customHeight="1"/>
    <row r="308" ht="14.1" customHeight="1"/>
    <row r="309" ht="14.1" customHeight="1"/>
    <row r="310" ht="14.1" customHeight="1"/>
    <row r="311" ht="14.1" customHeight="1"/>
    <row r="312" ht="14.1" customHeight="1"/>
    <row r="313" ht="14.1" customHeight="1"/>
    <row r="314" ht="14.1" customHeight="1"/>
    <row r="315" ht="14.1" customHeight="1"/>
    <row r="316" ht="14.1" customHeight="1"/>
    <row r="317" ht="14.1" customHeight="1"/>
    <row r="318" ht="14.1" customHeight="1"/>
    <row r="319" ht="14.1" customHeight="1"/>
    <row r="320" ht="14.1" customHeight="1"/>
    <row r="321" ht="14.1" customHeight="1"/>
    <row r="322" ht="14.1" customHeight="1"/>
    <row r="323" ht="14.1" customHeight="1"/>
    <row r="324" ht="14.1" customHeight="1"/>
    <row r="325" ht="14.1" customHeight="1"/>
    <row r="326" ht="14.1" customHeight="1"/>
    <row r="327" ht="14.1" customHeight="1"/>
    <row r="328" ht="14.1" customHeight="1"/>
    <row r="329" ht="14.1" customHeight="1"/>
    <row r="330" ht="14.1" customHeight="1"/>
    <row r="331" ht="14.1" customHeight="1"/>
    <row r="332" ht="14.1" customHeight="1"/>
    <row r="333" ht="14.1" customHeight="1"/>
    <row r="334" ht="14.1" customHeight="1"/>
    <row r="335" ht="14.1" customHeight="1"/>
    <row r="336" ht="14.1" customHeight="1"/>
    <row r="337" ht="14.1" customHeight="1"/>
    <row r="338" ht="14.1" customHeight="1"/>
    <row r="339" ht="14.1" customHeight="1"/>
    <row r="340" ht="14.1" customHeight="1"/>
    <row r="341" ht="14.1" customHeight="1"/>
    <row r="342" ht="14.1" customHeight="1"/>
    <row r="343" ht="14.1" customHeight="1"/>
    <row r="344" ht="14.1" customHeight="1"/>
    <row r="345" ht="14.1" customHeight="1"/>
    <row r="346" ht="14.1" customHeight="1"/>
    <row r="347" ht="14.1" customHeight="1"/>
    <row r="348" ht="14.1" customHeight="1"/>
    <row r="349" ht="14.1" customHeight="1"/>
    <row r="350" ht="14.1" customHeight="1"/>
    <row r="351" ht="14.1" customHeight="1"/>
    <row r="352" ht="14.1" customHeight="1"/>
    <row r="353" ht="14.1" customHeight="1"/>
    <row r="354" ht="14.1" customHeight="1"/>
    <row r="355" ht="14.1" customHeight="1"/>
    <row r="356" ht="14.1" customHeight="1"/>
    <row r="357" ht="14.1" customHeight="1"/>
    <row r="358" ht="14.1" customHeight="1"/>
    <row r="359" ht="14.1" customHeight="1"/>
    <row r="360" ht="14.1" customHeight="1"/>
    <row r="361" ht="14.1" customHeight="1"/>
    <row r="362" ht="14.1" customHeight="1"/>
    <row r="363" ht="14.1" customHeight="1"/>
    <row r="364" ht="14.1" customHeight="1"/>
    <row r="365" ht="14.1" customHeight="1"/>
    <row r="366" ht="14.1" customHeight="1"/>
    <row r="367" ht="14.1" customHeight="1"/>
    <row r="368" ht="14.1" customHeight="1"/>
    <row r="369" ht="14.1" customHeight="1"/>
    <row r="370" ht="14.1" customHeight="1"/>
    <row r="371" ht="14.1" customHeight="1"/>
    <row r="372" ht="14.1" customHeight="1"/>
    <row r="373" ht="14.1" customHeight="1"/>
    <row r="374" ht="14.1" customHeight="1"/>
    <row r="375" ht="14.1" customHeight="1"/>
    <row r="376" ht="14.1" customHeight="1"/>
    <row r="377" ht="14.1" customHeight="1"/>
    <row r="378" ht="14.1" customHeight="1"/>
    <row r="379" ht="14.1" customHeight="1"/>
    <row r="380" ht="14.1" customHeight="1"/>
    <row r="381" ht="14.1" customHeight="1"/>
    <row r="382" ht="14.1" customHeight="1"/>
    <row r="383" ht="14.1" customHeight="1"/>
    <row r="384" ht="14.1" customHeight="1"/>
    <row r="385" ht="14.1" customHeight="1"/>
    <row r="386" ht="14.1" customHeight="1"/>
    <row r="387" ht="14.1" customHeight="1"/>
    <row r="388" ht="14.1" customHeight="1"/>
    <row r="389" ht="14.1" customHeight="1"/>
    <row r="390" ht="14.1" customHeight="1"/>
    <row r="391" ht="14.1" customHeight="1"/>
    <row r="392" ht="14.1" customHeight="1"/>
    <row r="393" ht="14.1" customHeight="1"/>
    <row r="394" ht="14.1" customHeight="1"/>
    <row r="395" ht="14.1" customHeight="1"/>
    <row r="396" ht="14.1" customHeight="1"/>
    <row r="397" ht="14.1" customHeight="1"/>
    <row r="398" ht="14.1" customHeight="1"/>
    <row r="399" ht="14.1" customHeight="1"/>
    <row r="400" ht="14.1" customHeight="1"/>
    <row r="401" ht="14.1" customHeight="1"/>
    <row r="402" ht="14.1" customHeight="1"/>
    <row r="403" ht="14.1" customHeight="1"/>
    <row r="404" ht="14.1" customHeight="1"/>
    <row r="405" ht="14.1" customHeight="1"/>
    <row r="406" ht="14.1" customHeight="1"/>
    <row r="407" ht="14.1" customHeight="1"/>
    <row r="408" ht="14.1" customHeight="1"/>
    <row r="409" ht="14.1" customHeight="1"/>
    <row r="410" ht="14.1" customHeight="1"/>
    <row r="411" ht="14.1" customHeight="1"/>
    <row r="412" ht="14.1" customHeight="1"/>
    <row r="413" ht="14.1" customHeight="1"/>
    <row r="414" ht="14.1" customHeight="1"/>
    <row r="415" ht="14.1" customHeight="1"/>
    <row r="416" ht="14.1" customHeight="1"/>
    <row r="417" ht="14.1" customHeight="1"/>
    <row r="418" ht="14.1" customHeight="1"/>
    <row r="419" ht="14.1" customHeight="1"/>
    <row r="420" ht="14.1" customHeight="1"/>
    <row r="421" ht="14.1" customHeight="1"/>
    <row r="422" ht="14.1" customHeight="1"/>
    <row r="423" ht="14.1" customHeight="1"/>
    <row r="424" ht="14.1" customHeight="1"/>
    <row r="425" ht="14.1" customHeight="1"/>
    <row r="426" ht="14.1" customHeight="1"/>
    <row r="427" ht="14.1" customHeight="1"/>
    <row r="428" ht="14.1" customHeight="1"/>
    <row r="429" ht="14.1" customHeight="1"/>
    <row r="430" ht="14.1" customHeight="1"/>
    <row r="431" ht="14.1" customHeight="1"/>
    <row r="432" ht="14.1" customHeight="1"/>
    <row r="433" ht="14.1" customHeight="1"/>
    <row r="434" ht="14.1" customHeight="1"/>
    <row r="435" ht="14.1" customHeight="1"/>
    <row r="436" ht="14.1" customHeight="1"/>
    <row r="437" ht="14.1" customHeight="1"/>
    <row r="438" ht="14.1" customHeight="1"/>
    <row r="439" ht="14.1" customHeight="1"/>
    <row r="440" ht="14.1" customHeight="1"/>
    <row r="441" ht="14.1" customHeight="1"/>
    <row r="442" ht="14.1" customHeight="1"/>
    <row r="443" ht="14.1" customHeight="1"/>
    <row r="444" ht="14.1" customHeight="1"/>
    <row r="445" ht="14.1" customHeight="1"/>
    <row r="446" ht="14.1" customHeight="1"/>
    <row r="447" ht="14.1" customHeight="1"/>
    <row r="448" ht="14.1" customHeight="1"/>
    <row r="449" ht="14.1" customHeight="1"/>
    <row r="450" ht="14.1" customHeight="1"/>
    <row r="451" ht="14.1" customHeight="1"/>
    <row r="452" ht="14.1" customHeight="1"/>
    <row r="453" ht="14.1" customHeight="1"/>
    <row r="454" ht="14.1" customHeight="1"/>
    <row r="455" ht="14.1" customHeight="1"/>
    <row r="456" ht="14.1" customHeight="1"/>
    <row r="457" ht="14.1" customHeight="1"/>
    <row r="458" ht="14.1" customHeight="1"/>
    <row r="459" ht="14.1" customHeight="1"/>
    <row r="460" ht="14.1" customHeight="1"/>
    <row r="461" ht="14.1" customHeight="1"/>
    <row r="462" ht="14.1" customHeight="1"/>
    <row r="463" ht="14.1" customHeight="1"/>
    <row r="464" ht="14.1" customHeight="1"/>
    <row r="465" ht="14.1" customHeight="1"/>
    <row r="466" ht="14.1" customHeight="1"/>
    <row r="467" ht="14.1" customHeight="1"/>
    <row r="468" ht="14.1" customHeight="1"/>
    <row r="469" ht="14.1" customHeight="1"/>
    <row r="470" ht="14.1" customHeight="1"/>
    <row r="471" ht="14.1" customHeight="1"/>
    <row r="472" ht="14.1" customHeight="1"/>
    <row r="473" ht="14.1" customHeight="1"/>
    <row r="474" ht="14.1" customHeight="1"/>
    <row r="475" ht="14.1" customHeight="1"/>
    <row r="476" ht="14.1" customHeight="1"/>
    <row r="477" ht="14.1" customHeight="1"/>
    <row r="478" ht="14.1" customHeight="1"/>
    <row r="479" ht="14.1" customHeight="1"/>
    <row r="480" ht="14.1" customHeight="1"/>
    <row r="481" ht="14.1" customHeight="1"/>
    <row r="482" ht="14.1" customHeight="1"/>
    <row r="483" ht="14.1" customHeight="1"/>
    <row r="484" ht="14.1" customHeight="1"/>
    <row r="485" ht="14.1" customHeight="1"/>
    <row r="486" ht="14.1" customHeight="1"/>
    <row r="487" ht="14.1" customHeight="1"/>
    <row r="488" ht="14.1" customHeight="1"/>
    <row r="489" ht="14.1" customHeight="1"/>
    <row r="490" ht="14.1" customHeight="1"/>
    <row r="491" ht="14.1" customHeight="1"/>
    <row r="492" ht="14.1" customHeight="1"/>
    <row r="493" ht="14.1" customHeight="1"/>
    <row r="494" ht="14.1" customHeight="1"/>
    <row r="495" ht="14.1" customHeight="1"/>
    <row r="496" ht="14.1" customHeight="1"/>
    <row r="497" ht="14.1" customHeight="1"/>
    <row r="498" ht="14.1" customHeight="1"/>
    <row r="499" ht="14.1" customHeight="1"/>
    <row r="500" ht="14.1" customHeight="1"/>
    <row r="501" ht="14.1" customHeight="1"/>
    <row r="502" ht="14.1" customHeight="1"/>
    <row r="503" ht="14.1" customHeight="1"/>
    <row r="504" ht="14.1" customHeight="1"/>
    <row r="505" ht="14.1" customHeight="1"/>
    <row r="506" ht="14.1" customHeight="1"/>
    <row r="507" ht="14.1" customHeight="1"/>
    <row r="508" ht="14.1" customHeight="1"/>
    <row r="509" ht="14.1" customHeight="1"/>
    <row r="510" ht="14.1" customHeight="1"/>
    <row r="511" ht="14.1" customHeight="1"/>
    <row r="512" ht="14.1" customHeight="1"/>
    <row r="513" ht="14.1" customHeight="1"/>
    <row r="514" ht="14.1" customHeight="1"/>
    <row r="515" ht="14.1" customHeight="1"/>
    <row r="516" ht="14.1" customHeight="1"/>
    <row r="517" ht="14.1" customHeight="1"/>
    <row r="518" ht="14.1" customHeight="1"/>
    <row r="519" ht="14.1" customHeight="1"/>
    <row r="520" ht="14.1" customHeight="1"/>
    <row r="521" ht="14.1" customHeight="1"/>
    <row r="522" ht="14.1" customHeight="1"/>
    <row r="523" ht="14.1" customHeight="1"/>
    <row r="524" ht="14.1" customHeight="1"/>
    <row r="525" ht="14.1" customHeight="1"/>
    <row r="526" ht="14.1" customHeight="1"/>
    <row r="527" ht="14.1" customHeight="1"/>
    <row r="528" ht="14.1" customHeight="1"/>
    <row r="529" ht="14.1" customHeight="1"/>
    <row r="530" ht="14.1" customHeight="1"/>
    <row r="531" ht="14.1" customHeight="1"/>
    <row r="532" ht="14.1" customHeight="1"/>
    <row r="533" ht="14.1" customHeight="1"/>
    <row r="534" ht="14.1" customHeight="1"/>
    <row r="535" ht="14.1" customHeight="1"/>
    <row r="536" ht="14.1" customHeight="1"/>
    <row r="537" ht="14.1" customHeight="1"/>
    <row r="538" ht="14.1" customHeight="1"/>
    <row r="539" ht="14.1" customHeight="1"/>
    <row r="540" ht="14.1" customHeight="1"/>
    <row r="541" ht="14.1" customHeight="1"/>
    <row r="542" ht="14.1" customHeight="1"/>
    <row r="543" ht="14.1" customHeight="1"/>
    <row r="544" ht="14.1" customHeight="1"/>
    <row r="545" ht="14.1" customHeight="1"/>
    <row r="546" ht="14.1" customHeight="1"/>
    <row r="547" ht="14.1" customHeight="1"/>
    <row r="548" ht="14.1" customHeight="1"/>
    <row r="549" ht="14.1" customHeight="1"/>
    <row r="550" ht="14.1" customHeight="1"/>
    <row r="551" ht="14.1" customHeight="1"/>
    <row r="552" ht="14.1" customHeight="1"/>
    <row r="553" ht="14.1" customHeight="1"/>
    <row r="554" ht="14.1" customHeight="1"/>
    <row r="555" ht="14.1" customHeight="1"/>
    <row r="556" ht="14.1" customHeight="1"/>
    <row r="557" ht="14.1" customHeight="1"/>
    <row r="558" ht="14.1" customHeight="1"/>
    <row r="559" ht="14.1" customHeight="1"/>
    <row r="560" ht="14.1" customHeight="1"/>
    <row r="561" ht="14.1" customHeight="1"/>
    <row r="562" ht="14.1" customHeight="1"/>
    <row r="563" ht="14.1" customHeight="1"/>
    <row r="564" ht="14.1" customHeight="1"/>
    <row r="565" ht="14.1" customHeight="1"/>
    <row r="566" ht="14.1" customHeight="1"/>
    <row r="567" ht="14.1" customHeight="1"/>
    <row r="568" ht="14.1" customHeight="1"/>
    <row r="569" ht="14.1" customHeight="1"/>
    <row r="570" ht="14.1" customHeight="1"/>
    <row r="571" ht="14.1" customHeight="1"/>
    <row r="572" ht="14.1" customHeight="1"/>
    <row r="573" ht="14.1" customHeight="1"/>
    <row r="574" ht="14.1" customHeight="1"/>
    <row r="575" ht="14.1" customHeight="1"/>
    <row r="576" ht="14.1" customHeight="1"/>
    <row r="577" ht="14.1" customHeight="1"/>
    <row r="578" ht="14.1" customHeight="1"/>
    <row r="579" ht="14.1" customHeight="1"/>
    <row r="580" ht="14.1" customHeight="1"/>
    <row r="581" ht="14.1" customHeight="1"/>
    <row r="582" ht="14.1" customHeight="1"/>
    <row r="583" ht="14.1" customHeight="1"/>
    <row r="584" ht="14.1" customHeight="1"/>
    <row r="585" ht="14.1" customHeight="1"/>
    <row r="586" ht="14.1" customHeight="1"/>
    <row r="587" ht="14.1" customHeight="1"/>
    <row r="588" ht="14.1" customHeight="1"/>
    <row r="589" ht="14.1" customHeight="1"/>
    <row r="590" ht="14.1" customHeight="1"/>
    <row r="591" ht="14.1" customHeight="1"/>
    <row r="592" ht="14.1" customHeight="1"/>
    <row r="593" ht="14.1" customHeight="1"/>
    <row r="594" ht="14.1" customHeight="1"/>
    <row r="595" ht="14.1" customHeight="1"/>
    <row r="596" ht="14.1" customHeight="1"/>
    <row r="597" ht="14.1" customHeight="1"/>
    <row r="598" ht="14.1" customHeight="1"/>
    <row r="599" ht="14.1" customHeight="1"/>
    <row r="600" ht="14.1" customHeight="1"/>
    <row r="601" ht="14.1" customHeight="1"/>
    <row r="602" ht="14.1" customHeight="1"/>
    <row r="603" ht="14.1" customHeight="1"/>
    <row r="604" ht="14.1" customHeight="1"/>
    <row r="605" ht="14.1" customHeight="1"/>
    <row r="606" ht="14.1" customHeight="1"/>
    <row r="607" ht="14.1" customHeight="1"/>
    <row r="608" ht="14.1" customHeight="1"/>
    <row r="609" ht="14.1" customHeight="1"/>
    <row r="610" ht="14.1" customHeight="1"/>
    <row r="611" ht="14.1" customHeight="1"/>
    <row r="612" ht="14.1" customHeight="1"/>
    <row r="613" ht="14.1" customHeight="1"/>
    <row r="614" ht="14.1" customHeight="1"/>
    <row r="615" ht="14.1" customHeight="1"/>
    <row r="616" ht="14.1" customHeight="1"/>
    <row r="617" ht="14.1" customHeight="1"/>
    <row r="618" ht="14.1" customHeight="1"/>
    <row r="619" ht="14.1" customHeight="1"/>
    <row r="620" ht="14.1" customHeight="1"/>
    <row r="621" ht="14.1" customHeight="1"/>
    <row r="622" ht="14.1" customHeight="1"/>
    <row r="623" ht="14.1" customHeight="1"/>
    <row r="624" ht="14.1" customHeight="1"/>
    <row r="625" ht="14.1" customHeight="1"/>
    <row r="626" ht="14.1" customHeight="1"/>
    <row r="627" ht="14.1" customHeight="1"/>
    <row r="628" ht="14.1" customHeight="1"/>
    <row r="629" ht="14.1" customHeight="1"/>
    <row r="630" ht="14.1" customHeight="1"/>
    <row r="631" ht="14.1" customHeight="1"/>
    <row r="632" ht="14.1" customHeight="1"/>
    <row r="633" ht="14.1" customHeight="1"/>
    <row r="634" ht="14.1" customHeight="1"/>
    <row r="635" ht="14.1" customHeight="1"/>
    <row r="636" ht="14.1" customHeight="1"/>
    <row r="637" ht="14.1" customHeight="1"/>
    <row r="638" ht="14.1" customHeight="1"/>
    <row r="639" ht="14.1" customHeight="1"/>
    <row r="640" ht="14.1" customHeight="1"/>
    <row r="641" ht="14.1" customHeight="1"/>
    <row r="642" ht="14.1" customHeight="1"/>
    <row r="643" ht="14.1" customHeight="1"/>
    <row r="644" ht="14.1" customHeight="1"/>
    <row r="645" ht="14.1" customHeight="1"/>
    <row r="646" ht="14.1" customHeight="1"/>
    <row r="647" ht="14.1" customHeight="1"/>
    <row r="648" ht="14.1" customHeight="1"/>
    <row r="649" ht="14.1" customHeight="1"/>
    <row r="650" ht="14.1" customHeight="1"/>
    <row r="651" ht="14.1" customHeight="1"/>
    <row r="652" ht="14.1" customHeight="1"/>
    <row r="653" ht="14.1" customHeight="1"/>
    <row r="654" ht="14.1" customHeight="1"/>
    <row r="655" ht="14.1" customHeight="1"/>
    <row r="656" ht="14.1" customHeight="1"/>
    <row r="657" ht="14.1" customHeight="1"/>
    <row r="658" ht="14.1" customHeight="1"/>
    <row r="659" ht="14.1" customHeight="1"/>
    <row r="660" ht="14.1" customHeight="1"/>
    <row r="661" ht="14.1" customHeight="1"/>
    <row r="662" ht="14.1" customHeight="1"/>
    <row r="663" ht="14.1" customHeight="1"/>
    <row r="664" ht="14.1" customHeight="1"/>
    <row r="665" ht="14.1" customHeight="1"/>
    <row r="666" ht="14.1" customHeight="1"/>
    <row r="667" ht="14.1" customHeight="1"/>
    <row r="668" ht="14.1" customHeight="1"/>
    <row r="669" ht="14.1" customHeight="1"/>
    <row r="670" ht="14.1" customHeight="1"/>
    <row r="671" ht="14.1" customHeight="1"/>
    <row r="672" ht="14.1" customHeight="1"/>
    <row r="673" ht="14.1" customHeight="1"/>
    <row r="674" ht="14.1" customHeight="1"/>
    <row r="675" ht="14.1" customHeight="1"/>
    <row r="676" ht="14.1" customHeight="1"/>
    <row r="677" ht="14.1" customHeight="1"/>
    <row r="678" ht="14.1" customHeight="1"/>
    <row r="679" ht="14.1" customHeight="1"/>
    <row r="680" ht="14.1" customHeight="1"/>
    <row r="681" ht="14.1" customHeight="1"/>
    <row r="682" ht="14.1" customHeight="1"/>
    <row r="683" ht="14.1" customHeight="1"/>
    <row r="684" ht="14.1" customHeight="1"/>
    <row r="685" ht="14.1" customHeight="1"/>
    <row r="686" ht="14.1" customHeight="1"/>
    <row r="687" ht="14.1" customHeight="1"/>
    <row r="688" ht="14.1" customHeight="1"/>
    <row r="689" ht="14.1" customHeight="1"/>
    <row r="690" ht="14.1" customHeight="1"/>
    <row r="691" ht="14.1" customHeight="1"/>
    <row r="692" ht="14.1" customHeight="1"/>
    <row r="693" ht="14.1" customHeight="1"/>
    <row r="694" ht="14.1" customHeight="1"/>
    <row r="695" ht="14.1" customHeight="1"/>
    <row r="696" ht="14.1" customHeight="1"/>
    <row r="697" ht="14.1" customHeight="1"/>
    <row r="698" ht="14.1" customHeight="1"/>
    <row r="699" ht="14.1" customHeight="1"/>
    <row r="700" ht="14.1" customHeight="1"/>
    <row r="701" ht="14.1" customHeight="1"/>
    <row r="702" ht="14.1" customHeight="1"/>
    <row r="703" ht="14.1" customHeight="1"/>
    <row r="704" ht="14.1" customHeight="1"/>
    <row r="705" ht="14.1" customHeight="1"/>
    <row r="706" ht="14.1" customHeight="1"/>
    <row r="707" ht="14.1" customHeight="1"/>
    <row r="708" ht="14.1" customHeight="1"/>
    <row r="709" ht="14.1" customHeight="1"/>
    <row r="710" ht="14.1" customHeight="1"/>
    <row r="711" ht="14.1" customHeight="1"/>
    <row r="712" ht="14.1" customHeight="1"/>
    <row r="713" ht="14.1" customHeight="1"/>
    <row r="714" ht="14.1" customHeight="1"/>
    <row r="715" ht="14.1" customHeight="1"/>
    <row r="716" ht="14.1" customHeight="1"/>
    <row r="717" ht="14.1" customHeight="1"/>
    <row r="718" ht="14.1" customHeight="1"/>
    <row r="719" ht="14.1" customHeight="1"/>
    <row r="720" ht="14.1" customHeight="1"/>
    <row r="721" ht="14.1" customHeight="1"/>
    <row r="722" ht="14.1" customHeight="1"/>
    <row r="723" ht="14.1" customHeight="1"/>
    <row r="724" ht="14.1" customHeight="1"/>
    <row r="725" ht="14.1" customHeight="1"/>
    <row r="726" ht="14.1" customHeight="1"/>
    <row r="727" ht="14.1" customHeight="1"/>
    <row r="728" ht="14.1" customHeight="1"/>
    <row r="729" ht="14.1" customHeight="1"/>
    <row r="730" ht="14.1" customHeight="1"/>
    <row r="731" ht="14.1" customHeight="1"/>
    <row r="732" ht="14.1" customHeight="1"/>
    <row r="733" ht="14.1" customHeight="1"/>
    <row r="734" ht="14.1" customHeight="1"/>
    <row r="735" ht="14.1" customHeight="1"/>
    <row r="736" ht="14.1" customHeight="1"/>
    <row r="737" ht="14.1" customHeight="1"/>
    <row r="738" ht="14.1" customHeight="1"/>
    <row r="739" ht="14.1" customHeight="1"/>
    <row r="740" ht="14.1" customHeight="1"/>
    <row r="741" ht="14.1" customHeight="1"/>
    <row r="742" ht="14.1" customHeight="1"/>
    <row r="743" ht="14.1" customHeight="1"/>
    <row r="744" ht="14.1" customHeight="1"/>
    <row r="745" ht="14.1" customHeight="1"/>
    <row r="746" ht="14.1" customHeight="1"/>
    <row r="747" ht="14.1" customHeight="1"/>
    <row r="748" ht="14.1" customHeight="1"/>
    <row r="749" ht="14.1" customHeight="1"/>
    <row r="750" ht="14.1" customHeight="1"/>
    <row r="751" ht="14.1" customHeight="1"/>
    <row r="752" ht="14.1" customHeight="1"/>
    <row r="753" ht="14.1" customHeight="1"/>
    <row r="754" ht="14.1" customHeight="1"/>
    <row r="755" ht="14.1" customHeight="1"/>
    <row r="756" ht="14.1" customHeight="1"/>
    <row r="757" ht="14.1" customHeight="1"/>
    <row r="758" ht="14.1" customHeight="1"/>
    <row r="759" ht="14.1" customHeight="1"/>
    <row r="760" ht="14.1" customHeight="1"/>
    <row r="761" ht="14.1" customHeight="1"/>
    <row r="762" ht="14.1" customHeight="1"/>
    <row r="763" ht="14.1" customHeight="1"/>
    <row r="764" ht="14.1" customHeight="1"/>
    <row r="765" ht="14.1" customHeight="1"/>
    <row r="766" ht="14.1" customHeight="1"/>
    <row r="767" ht="14.1" customHeight="1"/>
    <row r="768" ht="14.1" customHeight="1"/>
    <row r="769" ht="14.1" customHeight="1"/>
    <row r="770" ht="14.1" customHeight="1"/>
    <row r="771" ht="14.1" customHeight="1"/>
    <row r="772" ht="14.1" customHeight="1"/>
    <row r="773" ht="14.1" customHeight="1"/>
    <row r="774" ht="14.1" customHeight="1"/>
    <row r="775" ht="14.1" customHeight="1"/>
    <row r="776" ht="14.1" customHeight="1"/>
    <row r="777" ht="14.1" customHeight="1"/>
    <row r="778" ht="14.1" customHeight="1"/>
    <row r="779" ht="14.1" customHeight="1"/>
    <row r="780" ht="14.1" customHeight="1"/>
    <row r="781" ht="14.1" customHeight="1"/>
    <row r="782" ht="14.1" customHeight="1"/>
    <row r="783" ht="14.1" customHeight="1"/>
    <row r="784" ht="14.1" customHeight="1"/>
    <row r="785" ht="14.1" customHeight="1"/>
    <row r="786" ht="14.1" customHeight="1"/>
    <row r="787" ht="14.1" customHeight="1"/>
    <row r="788" ht="14.1" customHeight="1"/>
    <row r="789" ht="14.1" customHeight="1"/>
    <row r="790" ht="14.1" customHeight="1"/>
    <row r="791" ht="14.1" customHeight="1"/>
    <row r="792" ht="14.1" customHeight="1"/>
    <row r="793" ht="14.1" customHeight="1"/>
  </sheetData>
  <pageMargins left="0.61" right="0.16" top="0.87" bottom="0.21" header="0.16" footer="0.16"/>
  <pageSetup paperSize="8" scale="69" orientation="landscape"/>
  <headerFooter alignWithMargins="0">
    <oddFooter>&amp;L&amp;"Arial"&amp;7 &amp;KDAD4CE_x000D_# Internal_x000D_&amp;1#&amp;"Arial"&amp;7&amp;KDAD4CE Public</oddFooter>
  </headerFooter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400-000000000000}">
  <sheetPr codeName="Sheet34">
    <tabColor rgb="FF92D050"/>
  </sheetPr>
  <dimension ref="A1:U793"/>
  <sheetViews>
    <sheetView zoomScale="80" zoomScaleNormal="80" workbookViewId="0">
      <pane ySplit="4" topLeftCell="A5" activePane="bottomLeft" state="frozen"/>
      <selection activeCell="A16" sqref="A16"/>
      <selection pane="bottomLeft" activeCell="A16" sqref="A16"/>
    </sheetView>
  </sheetViews>
  <sheetFormatPr defaultColWidth="8.85546875" defaultRowHeight="12.75"/>
  <cols>
    <col min="1" max="1" width="4.140625" style="161" customWidth="1"/>
    <col min="2" max="3" width="8.5703125" style="160" customWidth="1"/>
    <col min="4" max="4" width="14.5703125" style="161" customWidth="1"/>
    <col min="5" max="5" width="20.5703125" style="160" customWidth="1"/>
    <col min="6" max="6" width="8.5703125" style="161" customWidth="1"/>
    <col min="7" max="7" width="32.5703125" style="160" customWidth="1"/>
    <col min="8" max="8" width="18.5703125" style="161" customWidth="1"/>
    <col min="9" max="9" width="62.5703125" style="160" customWidth="1"/>
    <col min="10" max="12" width="9.5703125" style="161" customWidth="1"/>
    <col min="13" max="13" width="10.5703125" style="161" customWidth="1"/>
    <col min="14" max="14" width="8.5703125" style="161" customWidth="1"/>
    <col min="15" max="15" width="10.5703125" style="161" customWidth="1"/>
    <col min="16" max="16" width="5.5703125" style="161" customWidth="1"/>
    <col min="17" max="17" width="1.5703125" style="2" customWidth="1"/>
    <col min="18" max="18" width="10.5703125" style="30" customWidth="1"/>
    <col min="19" max="19" width="1.5703125" style="161" customWidth="1"/>
    <col min="20" max="21" width="10.5703125" style="160" customWidth="1"/>
    <col min="22" max="22" width="8.85546875" style="160" customWidth="1"/>
    <col min="23" max="16384" width="8.85546875" style="160"/>
  </cols>
  <sheetData>
    <row r="1" spans="1:21" s="159" customFormat="1" ht="14.1" customHeight="1">
      <c r="A1" s="1" t="s">
        <v>3443</v>
      </c>
      <c r="E1" s="160"/>
      <c r="Q1" s="2"/>
      <c r="R1" s="10"/>
    </row>
    <row r="2" spans="1:21" s="159" customFormat="1" ht="14.1" customHeight="1">
      <c r="A2" s="4" t="s">
        <v>3444</v>
      </c>
      <c r="E2" s="160"/>
      <c r="Q2" s="4"/>
      <c r="R2" s="336"/>
    </row>
    <row r="3" spans="1:21" ht="14.1" customHeight="1">
      <c r="R3" s="355" t="s">
        <v>2</v>
      </c>
    </row>
    <row r="4" spans="1:21" s="3" customFormat="1" ht="33" customHeight="1">
      <c r="A4" s="21" t="s">
        <v>3</v>
      </c>
      <c r="B4" s="52" t="s">
        <v>4</v>
      </c>
      <c r="C4" s="52" t="s">
        <v>5</v>
      </c>
      <c r="D4" s="21" t="s">
        <v>6</v>
      </c>
      <c r="E4" s="21" t="s">
        <v>7</v>
      </c>
      <c r="F4" s="21" t="s">
        <v>8</v>
      </c>
      <c r="G4" s="21" t="s">
        <v>9</v>
      </c>
      <c r="H4" s="21" t="s">
        <v>10</v>
      </c>
      <c r="I4" s="21" t="s">
        <v>11</v>
      </c>
      <c r="J4" s="21" t="s">
        <v>12</v>
      </c>
      <c r="K4" s="21" t="s">
        <v>13</v>
      </c>
      <c r="L4" s="21" t="s">
        <v>14</v>
      </c>
      <c r="M4" s="21" t="s">
        <v>15</v>
      </c>
      <c r="N4" s="21" t="s">
        <v>16</v>
      </c>
      <c r="O4" s="21" t="s">
        <v>17</v>
      </c>
      <c r="P4" s="21" t="s">
        <v>18</v>
      </c>
      <c r="R4" s="41" t="s">
        <v>19</v>
      </c>
      <c r="S4" s="162"/>
      <c r="T4" s="42" t="s">
        <v>20</v>
      </c>
      <c r="U4" s="42" t="s">
        <v>21</v>
      </c>
    </row>
    <row r="5" spans="1:21" s="2" customFormat="1" ht="14.1" customHeight="1">
      <c r="A5" s="7">
        <v>1</v>
      </c>
      <c r="B5" s="14" t="s">
        <v>124</v>
      </c>
      <c r="C5" s="14" t="s">
        <v>3445</v>
      </c>
      <c r="D5" s="7" t="s">
        <v>611</v>
      </c>
      <c r="E5" s="14" t="s">
        <v>355</v>
      </c>
      <c r="F5" s="7" t="s">
        <v>26</v>
      </c>
      <c r="G5" s="13" t="s">
        <v>3446</v>
      </c>
      <c r="H5" s="7" t="s">
        <v>518</v>
      </c>
      <c r="I5" s="8" t="s">
        <v>3447</v>
      </c>
      <c r="J5" s="7" t="s">
        <v>123</v>
      </c>
      <c r="K5" s="7" t="s">
        <v>520</v>
      </c>
      <c r="L5" s="7" t="s">
        <v>322</v>
      </c>
      <c r="M5" s="135" t="s">
        <v>3448</v>
      </c>
      <c r="N5" s="7">
        <v>100</v>
      </c>
      <c r="O5" s="7">
        <v>42</v>
      </c>
      <c r="P5" s="7"/>
      <c r="R5" s="9">
        <v>17.888712717649561</v>
      </c>
      <c r="S5" s="163"/>
      <c r="T5" s="7" t="s">
        <v>34</v>
      </c>
      <c r="U5" s="7" t="s">
        <v>34</v>
      </c>
    </row>
    <row r="6" spans="1:21" s="138" customFormat="1" ht="14.1" customHeight="1">
      <c r="A6" s="7">
        <v>2</v>
      </c>
      <c r="B6" s="14" t="s">
        <v>124</v>
      </c>
      <c r="C6" s="14" t="s">
        <v>3445</v>
      </c>
      <c r="D6" s="7" t="s">
        <v>611</v>
      </c>
      <c r="E6" s="14" t="s">
        <v>355</v>
      </c>
      <c r="F6" s="7" t="s">
        <v>26</v>
      </c>
      <c r="G6" s="13" t="s">
        <v>3449</v>
      </c>
      <c r="H6" s="7" t="s">
        <v>518</v>
      </c>
      <c r="I6" s="8" t="s">
        <v>3447</v>
      </c>
      <c r="J6" s="7" t="s">
        <v>123</v>
      </c>
      <c r="K6" s="7" t="s">
        <v>520</v>
      </c>
      <c r="L6" s="7" t="s">
        <v>322</v>
      </c>
      <c r="M6" s="135" t="s">
        <v>3448</v>
      </c>
      <c r="N6" s="7">
        <v>100</v>
      </c>
      <c r="O6" s="7">
        <v>42</v>
      </c>
      <c r="P6" s="7"/>
      <c r="Q6" s="2"/>
      <c r="R6" s="9">
        <v>55.441353918822323</v>
      </c>
      <c r="S6" s="163"/>
      <c r="T6" s="7" t="s">
        <v>34</v>
      </c>
      <c r="U6" s="7" t="s">
        <v>34</v>
      </c>
    </row>
    <row r="7" spans="1:21" s="138" customFormat="1" ht="14.1" customHeight="1">
      <c r="A7" s="7">
        <v>3</v>
      </c>
      <c r="B7" s="14" t="s">
        <v>124</v>
      </c>
      <c r="C7" s="14" t="s">
        <v>3445</v>
      </c>
      <c r="D7" s="7" t="s">
        <v>611</v>
      </c>
      <c r="E7" s="14" t="s">
        <v>355</v>
      </c>
      <c r="F7" s="7" t="s">
        <v>26</v>
      </c>
      <c r="G7" s="13" t="s">
        <v>3450</v>
      </c>
      <c r="H7" s="7" t="s">
        <v>518</v>
      </c>
      <c r="I7" s="8" t="s">
        <v>3451</v>
      </c>
      <c r="J7" s="7" t="s">
        <v>123</v>
      </c>
      <c r="K7" s="7" t="s">
        <v>520</v>
      </c>
      <c r="L7" s="7" t="s">
        <v>322</v>
      </c>
      <c r="M7" s="135" t="s">
        <v>3448</v>
      </c>
      <c r="N7" s="7">
        <v>100</v>
      </c>
      <c r="O7" s="7">
        <v>42</v>
      </c>
      <c r="P7" s="7"/>
      <c r="Q7" s="2"/>
      <c r="R7" s="9">
        <v>32.80052515098798</v>
      </c>
      <c r="S7" s="163"/>
      <c r="T7" s="7" t="s">
        <v>34</v>
      </c>
      <c r="U7" s="7" t="s">
        <v>34</v>
      </c>
    </row>
    <row r="8" spans="1:21" s="2" customFormat="1" ht="14.1" customHeight="1">
      <c r="A8" s="7">
        <v>4</v>
      </c>
      <c r="B8" s="14" t="s">
        <v>124</v>
      </c>
      <c r="C8" s="14" t="s">
        <v>3445</v>
      </c>
      <c r="D8" s="7" t="s">
        <v>611</v>
      </c>
      <c r="E8" s="14" t="s">
        <v>355</v>
      </c>
      <c r="F8" s="7" t="s">
        <v>26</v>
      </c>
      <c r="G8" s="13" t="s">
        <v>3452</v>
      </c>
      <c r="H8" s="7" t="s">
        <v>518</v>
      </c>
      <c r="I8" s="8" t="s">
        <v>3447</v>
      </c>
      <c r="J8" s="7" t="s">
        <v>123</v>
      </c>
      <c r="K8" s="7" t="s">
        <v>520</v>
      </c>
      <c r="L8" s="7" t="s">
        <v>322</v>
      </c>
      <c r="M8" s="135" t="s">
        <v>3448</v>
      </c>
      <c r="N8" s="7">
        <v>100</v>
      </c>
      <c r="O8" s="7">
        <v>42</v>
      </c>
      <c r="P8" s="7"/>
      <c r="R8" s="9">
        <v>19.30888533034846</v>
      </c>
      <c r="S8" s="163"/>
      <c r="T8" s="7" t="s">
        <v>34</v>
      </c>
      <c r="U8" s="7" t="s">
        <v>34</v>
      </c>
    </row>
    <row r="9" spans="1:21" s="138" customFormat="1" ht="14.1" customHeight="1">
      <c r="A9" s="7">
        <v>5</v>
      </c>
      <c r="B9" s="14" t="s">
        <v>124</v>
      </c>
      <c r="C9" s="14" t="s">
        <v>3445</v>
      </c>
      <c r="D9" s="7" t="s">
        <v>611</v>
      </c>
      <c r="E9" s="14" t="s">
        <v>355</v>
      </c>
      <c r="F9" s="7" t="s">
        <v>26</v>
      </c>
      <c r="G9" s="13" t="s">
        <v>3453</v>
      </c>
      <c r="H9" s="7" t="s">
        <v>518</v>
      </c>
      <c r="I9" s="8" t="s">
        <v>3447</v>
      </c>
      <c r="J9" s="7" t="s">
        <v>123</v>
      </c>
      <c r="K9" s="7" t="s">
        <v>520</v>
      </c>
      <c r="L9" s="7" t="s">
        <v>322</v>
      </c>
      <c r="M9" s="135" t="s">
        <v>3448</v>
      </c>
      <c r="N9" s="7">
        <v>100</v>
      </c>
      <c r="O9" s="7">
        <v>42</v>
      </c>
      <c r="P9" s="7"/>
      <c r="Q9" s="2"/>
      <c r="R9" s="9">
        <v>49.651419420896048</v>
      </c>
      <c r="S9" s="163"/>
      <c r="T9" s="7" t="s">
        <v>34</v>
      </c>
      <c r="U9" s="7" t="s">
        <v>34</v>
      </c>
    </row>
    <row r="10" spans="1:21" s="2" customFormat="1" ht="14.1" customHeight="1">
      <c r="A10" s="7">
        <v>6</v>
      </c>
      <c r="B10" s="14" t="s">
        <v>124</v>
      </c>
      <c r="C10" s="14" t="s">
        <v>3445</v>
      </c>
      <c r="D10" s="7" t="s">
        <v>611</v>
      </c>
      <c r="E10" s="14" t="s">
        <v>355</v>
      </c>
      <c r="F10" s="7" t="s">
        <v>26</v>
      </c>
      <c r="G10" s="13" t="s">
        <v>3454</v>
      </c>
      <c r="H10" s="7" t="s">
        <v>518</v>
      </c>
      <c r="I10" s="8" t="s">
        <v>3455</v>
      </c>
      <c r="J10" s="7" t="s">
        <v>123</v>
      </c>
      <c r="K10" s="7" t="s">
        <v>520</v>
      </c>
      <c r="L10" s="7" t="s">
        <v>322</v>
      </c>
      <c r="M10" s="135" t="s">
        <v>3448</v>
      </c>
      <c r="N10" s="7">
        <v>200</v>
      </c>
      <c r="O10" s="7">
        <v>42</v>
      </c>
      <c r="P10" s="7"/>
      <c r="R10" s="9">
        <v>19.855105566001878</v>
      </c>
      <c r="S10" s="163"/>
      <c r="T10" s="7" t="s">
        <v>34</v>
      </c>
      <c r="U10" s="7" t="s">
        <v>34</v>
      </c>
    </row>
    <row r="11" spans="1:21" s="2" customFormat="1" ht="14.1" customHeight="1">
      <c r="A11" s="7">
        <v>7</v>
      </c>
      <c r="B11" s="14" t="s">
        <v>124</v>
      </c>
      <c r="C11" s="14" t="s">
        <v>3445</v>
      </c>
      <c r="D11" s="7" t="s">
        <v>611</v>
      </c>
      <c r="E11" s="14" t="s">
        <v>355</v>
      </c>
      <c r="F11" s="7" t="s">
        <v>26</v>
      </c>
      <c r="G11" s="8" t="s">
        <v>3456</v>
      </c>
      <c r="H11" s="7" t="s">
        <v>459</v>
      </c>
      <c r="I11" s="8" t="s">
        <v>3457</v>
      </c>
      <c r="J11" s="7" t="s">
        <v>123</v>
      </c>
      <c r="K11" s="7" t="s">
        <v>461</v>
      </c>
      <c r="L11" s="7" t="s">
        <v>322</v>
      </c>
      <c r="M11" s="7">
        <v>830260000</v>
      </c>
      <c r="N11" s="7">
        <v>100</v>
      </c>
      <c r="O11" s="7">
        <v>42</v>
      </c>
      <c r="P11" s="7"/>
      <c r="R11" s="9">
        <v>176.42913611605519</v>
      </c>
      <c r="S11" s="163"/>
      <c r="T11" s="7" t="s">
        <v>34</v>
      </c>
      <c r="U11" s="7" t="s">
        <v>34</v>
      </c>
    </row>
    <row r="12" spans="1:21" s="2" customFormat="1" ht="14.1" customHeight="1">
      <c r="A12" s="7">
        <v>8</v>
      </c>
      <c r="B12" s="14" t="s">
        <v>124</v>
      </c>
      <c r="C12" s="14" t="s">
        <v>3445</v>
      </c>
      <c r="D12" s="7" t="s">
        <v>611</v>
      </c>
      <c r="E12" s="14" t="s">
        <v>355</v>
      </c>
      <c r="F12" s="7" t="s">
        <v>26</v>
      </c>
      <c r="G12" s="8" t="s">
        <v>3458</v>
      </c>
      <c r="H12" s="7" t="s">
        <v>632</v>
      </c>
      <c r="I12" s="8" t="s">
        <v>3457</v>
      </c>
      <c r="J12" s="7" t="s">
        <v>123</v>
      </c>
      <c r="K12" s="7" t="s">
        <v>633</v>
      </c>
      <c r="L12" s="7" t="s">
        <v>322</v>
      </c>
      <c r="M12" s="7">
        <v>830260000</v>
      </c>
      <c r="N12" s="7">
        <v>100</v>
      </c>
      <c r="O12" s="7">
        <v>42</v>
      </c>
      <c r="P12" s="7"/>
      <c r="R12" s="9">
        <v>176.51106915140321</v>
      </c>
      <c r="S12" s="163"/>
      <c r="T12" s="7" t="s">
        <v>34</v>
      </c>
      <c r="U12" s="7" t="s">
        <v>34</v>
      </c>
    </row>
    <row r="13" spans="1:21" s="2" customFormat="1" ht="14.1" customHeight="1">
      <c r="A13" s="7">
        <v>9</v>
      </c>
      <c r="B13" s="14" t="s">
        <v>124</v>
      </c>
      <c r="C13" s="14" t="s">
        <v>3445</v>
      </c>
      <c r="D13" s="7" t="s">
        <v>611</v>
      </c>
      <c r="E13" s="14" t="s">
        <v>355</v>
      </c>
      <c r="F13" s="7" t="s">
        <v>26</v>
      </c>
      <c r="G13" s="8" t="s">
        <v>3459</v>
      </c>
      <c r="H13" s="7" t="s">
        <v>518</v>
      </c>
      <c r="I13" s="8" t="s">
        <v>3457</v>
      </c>
      <c r="J13" s="7" t="s">
        <v>123</v>
      </c>
      <c r="K13" s="7" t="s">
        <v>520</v>
      </c>
      <c r="L13" s="7" t="s">
        <v>322</v>
      </c>
      <c r="M13" s="7">
        <v>830260000</v>
      </c>
      <c r="N13" s="7">
        <v>100</v>
      </c>
      <c r="O13" s="7">
        <v>42</v>
      </c>
      <c r="P13" s="7"/>
      <c r="R13" s="9">
        <v>174.89971945622571</v>
      </c>
      <c r="S13" s="163"/>
      <c r="T13" s="7" t="s">
        <v>34</v>
      </c>
      <c r="U13" s="7" t="s">
        <v>34</v>
      </c>
    </row>
    <row r="14" spans="1:21" s="2" customFormat="1" ht="14.1" customHeight="1">
      <c r="A14" s="7">
        <v>10</v>
      </c>
      <c r="B14" s="14" t="s">
        <v>124</v>
      </c>
      <c r="C14" s="14" t="s">
        <v>3445</v>
      </c>
      <c r="D14" s="7" t="s">
        <v>611</v>
      </c>
      <c r="E14" s="14" t="s">
        <v>355</v>
      </c>
      <c r="F14" s="7" t="s">
        <v>26</v>
      </c>
      <c r="G14" s="8" t="s">
        <v>3460</v>
      </c>
      <c r="H14" s="7" t="s">
        <v>518</v>
      </c>
      <c r="I14" s="8" t="s">
        <v>3461</v>
      </c>
      <c r="J14" s="7" t="s">
        <v>123</v>
      </c>
      <c r="K14" s="7" t="s">
        <v>520</v>
      </c>
      <c r="L14" s="7" t="s">
        <v>322</v>
      </c>
      <c r="M14" s="7">
        <v>830260000</v>
      </c>
      <c r="N14" s="7">
        <v>100</v>
      </c>
      <c r="O14" s="7">
        <v>42</v>
      </c>
      <c r="P14" s="7"/>
      <c r="R14" s="9">
        <v>226.16248857229931</v>
      </c>
      <c r="S14" s="163"/>
      <c r="T14" s="7" t="s">
        <v>34</v>
      </c>
      <c r="U14" s="7" t="s">
        <v>34</v>
      </c>
    </row>
    <row r="15" spans="1:21" s="2" customFormat="1" ht="14.1" customHeight="1">
      <c r="A15" s="7">
        <v>11</v>
      </c>
      <c r="B15" s="19" t="s">
        <v>609</v>
      </c>
      <c r="C15" s="164" t="s">
        <v>3445</v>
      </c>
      <c r="D15" s="29" t="s">
        <v>611</v>
      </c>
      <c r="E15" s="19" t="s">
        <v>3462</v>
      </c>
      <c r="F15" s="29" t="s">
        <v>26</v>
      </c>
      <c r="G15" s="19" t="s">
        <v>3463</v>
      </c>
      <c r="H15" s="29" t="s">
        <v>518</v>
      </c>
      <c r="I15" s="19" t="s">
        <v>3464</v>
      </c>
      <c r="J15" s="29" t="s">
        <v>30</v>
      </c>
      <c r="K15" s="29" t="s">
        <v>520</v>
      </c>
      <c r="L15" s="29" t="s">
        <v>322</v>
      </c>
      <c r="M15" s="29" t="s">
        <v>3465</v>
      </c>
      <c r="N15" s="29">
        <v>100</v>
      </c>
      <c r="O15" s="29">
        <v>42</v>
      </c>
      <c r="P15" s="29"/>
      <c r="R15" s="9">
        <v>226.16248857229931</v>
      </c>
      <c r="S15" s="165"/>
      <c r="T15" s="164"/>
      <c r="U15" s="166" t="s">
        <v>34</v>
      </c>
    </row>
    <row r="16" spans="1:21" s="138" customFormat="1" ht="14.1" customHeight="1">
      <c r="A16" s="7">
        <v>12</v>
      </c>
      <c r="B16" s="14" t="s">
        <v>124</v>
      </c>
      <c r="C16" s="14" t="s">
        <v>3445</v>
      </c>
      <c r="D16" s="7" t="s">
        <v>611</v>
      </c>
      <c r="E16" s="14" t="s">
        <v>355</v>
      </c>
      <c r="F16" s="7" t="s">
        <v>26</v>
      </c>
      <c r="G16" s="13" t="s">
        <v>3466</v>
      </c>
      <c r="H16" s="7" t="s">
        <v>518</v>
      </c>
      <c r="I16" s="8" t="s">
        <v>3467</v>
      </c>
      <c r="J16" s="7" t="s">
        <v>123</v>
      </c>
      <c r="K16" s="7" t="s">
        <v>520</v>
      </c>
      <c r="L16" s="7" t="s">
        <v>322</v>
      </c>
      <c r="M16" s="7">
        <v>830260000</v>
      </c>
      <c r="N16" s="7">
        <v>100</v>
      </c>
      <c r="O16" s="7">
        <v>42</v>
      </c>
      <c r="P16" s="7"/>
      <c r="Q16" s="2"/>
      <c r="R16" s="9">
        <v>317.81824411494352</v>
      </c>
      <c r="S16" s="163"/>
      <c r="T16" s="7" t="s">
        <v>34</v>
      </c>
      <c r="U16" s="7" t="s">
        <v>34</v>
      </c>
    </row>
    <row r="17" spans="1:21" s="2" customFormat="1" ht="14.1" customHeight="1">
      <c r="A17" s="7">
        <v>13</v>
      </c>
      <c r="B17" s="14" t="s">
        <v>124</v>
      </c>
      <c r="C17" s="14" t="s">
        <v>3445</v>
      </c>
      <c r="D17" s="7" t="s">
        <v>611</v>
      </c>
      <c r="E17" s="14" t="s">
        <v>355</v>
      </c>
      <c r="F17" s="7" t="s">
        <v>26</v>
      </c>
      <c r="G17" s="13" t="s">
        <v>3468</v>
      </c>
      <c r="H17" s="7" t="s">
        <v>518</v>
      </c>
      <c r="I17" s="8" t="s">
        <v>3469</v>
      </c>
      <c r="J17" s="7" t="s">
        <v>30</v>
      </c>
      <c r="K17" s="7" t="s">
        <v>520</v>
      </c>
      <c r="L17" s="7" t="s">
        <v>322</v>
      </c>
      <c r="M17" s="7">
        <v>830260000</v>
      </c>
      <c r="N17" s="7">
        <v>100</v>
      </c>
      <c r="O17" s="7">
        <v>42</v>
      </c>
      <c r="P17" s="7"/>
      <c r="R17" s="9">
        <v>294.13959689936769</v>
      </c>
      <c r="S17" s="163"/>
      <c r="T17" s="7" t="s">
        <v>34</v>
      </c>
      <c r="U17" s="7" t="s">
        <v>34</v>
      </c>
    </row>
    <row r="18" spans="1:21" s="2" customFormat="1" ht="14.1" customHeight="1">
      <c r="A18" s="7">
        <v>14</v>
      </c>
      <c r="B18" s="14" t="s">
        <v>124</v>
      </c>
      <c r="C18" s="14" t="s">
        <v>3445</v>
      </c>
      <c r="D18" s="7" t="s">
        <v>611</v>
      </c>
      <c r="E18" s="14" t="s">
        <v>355</v>
      </c>
      <c r="F18" s="7" t="s">
        <v>26</v>
      </c>
      <c r="G18" s="13" t="s">
        <v>3470</v>
      </c>
      <c r="H18" s="7" t="s">
        <v>518</v>
      </c>
      <c r="I18" s="8" t="s">
        <v>3471</v>
      </c>
      <c r="J18" s="7" t="s">
        <v>30</v>
      </c>
      <c r="K18" s="7" t="s">
        <v>520</v>
      </c>
      <c r="L18" s="7" t="s">
        <v>322</v>
      </c>
      <c r="M18" s="7">
        <v>830260000</v>
      </c>
      <c r="N18" s="7">
        <v>100</v>
      </c>
      <c r="O18" s="7">
        <v>42</v>
      </c>
      <c r="P18" s="7"/>
      <c r="R18" s="9">
        <v>310.96318015749313</v>
      </c>
      <c r="S18" s="163"/>
      <c r="T18" s="7" t="s">
        <v>34</v>
      </c>
      <c r="U18" s="7" t="s">
        <v>34</v>
      </c>
    </row>
    <row r="19" spans="1:21" s="2" customFormat="1" ht="14.1" customHeight="1">
      <c r="A19" s="7">
        <v>15</v>
      </c>
      <c r="B19" s="14" t="s">
        <v>124</v>
      </c>
      <c r="C19" s="14" t="s">
        <v>3445</v>
      </c>
      <c r="D19" s="7" t="s">
        <v>611</v>
      </c>
      <c r="E19" s="14" t="s">
        <v>355</v>
      </c>
      <c r="F19" s="7" t="s">
        <v>26</v>
      </c>
      <c r="G19" s="164" t="s">
        <v>3472</v>
      </c>
      <c r="H19" s="166" t="s">
        <v>42</v>
      </c>
      <c r="I19" s="164" t="s">
        <v>3473</v>
      </c>
      <c r="J19" s="166" t="s">
        <v>30</v>
      </c>
      <c r="K19" s="166"/>
      <c r="L19" s="166" t="s">
        <v>322</v>
      </c>
      <c r="M19" s="166">
        <v>830260000</v>
      </c>
      <c r="N19" s="166">
        <v>200</v>
      </c>
      <c r="O19" s="166">
        <v>60</v>
      </c>
      <c r="P19" s="166"/>
      <c r="R19" s="9">
        <v>715.49388668241738</v>
      </c>
      <c r="S19" s="165"/>
      <c r="T19" s="7" t="s">
        <v>34</v>
      </c>
      <c r="U19" s="164"/>
    </row>
    <row r="20" spans="1:21" s="2" customFormat="1" ht="14.1" customHeight="1">
      <c r="A20" s="7">
        <v>16</v>
      </c>
      <c r="B20" s="164" t="s">
        <v>124</v>
      </c>
      <c r="C20" s="164" t="s">
        <v>3445</v>
      </c>
      <c r="D20" s="166" t="s">
        <v>611</v>
      </c>
      <c r="E20" s="164" t="s">
        <v>355</v>
      </c>
      <c r="F20" s="166" t="s">
        <v>26</v>
      </c>
      <c r="G20" s="164" t="s">
        <v>3474</v>
      </c>
      <c r="H20" s="166" t="s">
        <v>42</v>
      </c>
      <c r="I20" s="164" t="s">
        <v>3475</v>
      </c>
      <c r="J20" s="166" t="s">
        <v>30</v>
      </c>
      <c r="K20" s="166"/>
      <c r="L20" s="166" t="s">
        <v>322</v>
      </c>
      <c r="M20" s="166">
        <v>830260000</v>
      </c>
      <c r="N20" s="166">
        <v>200</v>
      </c>
      <c r="O20" s="166">
        <v>60</v>
      </c>
      <c r="P20" s="166"/>
      <c r="R20" s="9">
        <v>681.76478713081838</v>
      </c>
      <c r="S20" s="165"/>
      <c r="T20" s="7" t="s">
        <v>34</v>
      </c>
      <c r="U20" s="164"/>
    </row>
    <row r="21" spans="1:21" ht="14.1" customHeight="1">
      <c r="A21" s="7">
        <v>17</v>
      </c>
      <c r="B21" s="14" t="s">
        <v>124</v>
      </c>
      <c r="C21" s="14" t="s">
        <v>3445</v>
      </c>
      <c r="D21" s="7" t="s">
        <v>611</v>
      </c>
      <c r="E21" s="14" t="s">
        <v>355</v>
      </c>
      <c r="F21" s="7" t="s">
        <v>26</v>
      </c>
      <c r="G21" s="13" t="s">
        <v>3476</v>
      </c>
      <c r="H21" s="7" t="s">
        <v>518</v>
      </c>
      <c r="I21" s="8" t="s">
        <v>3477</v>
      </c>
      <c r="J21" s="7" t="s">
        <v>123</v>
      </c>
      <c r="K21" s="7" t="s">
        <v>520</v>
      </c>
      <c r="L21" s="7" t="s">
        <v>322</v>
      </c>
      <c r="M21" s="135" t="s">
        <v>3448</v>
      </c>
      <c r="N21" s="7">
        <v>100</v>
      </c>
      <c r="O21" s="7">
        <v>42</v>
      </c>
      <c r="P21" s="7"/>
      <c r="R21" s="9">
        <v>107.5234533883761</v>
      </c>
      <c r="S21" s="121"/>
      <c r="T21" s="7" t="s">
        <v>34</v>
      </c>
      <c r="U21" s="7" t="s">
        <v>34</v>
      </c>
    </row>
    <row r="22" spans="1:21" ht="14.1" customHeight="1">
      <c r="A22" s="7">
        <v>18</v>
      </c>
      <c r="B22" s="14" t="s">
        <v>124</v>
      </c>
      <c r="C22" s="14" t="s">
        <v>3445</v>
      </c>
      <c r="D22" s="7" t="s">
        <v>611</v>
      </c>
      <c r="E22" s="14" t="s">
        <v>355</v>
      </c>
      <c r="F22" s="7" t="s">
        <v>26</v>
      </c>
      <c r="G22" s="8" t="s">
        <v>3478</v>
      </c>
      <c r="H22" s="7" t="s">
        <v>518</v>
      </c>
      <c r="I22" s="8" t="s">
        <v>3479</v>
      </c>
      <c r="J22" s="7" t="s">
        <v>123</v>
      </c>
      <c r="K22" s="7" t="s">
        <v>520</v>
      </c>
      <c r="L22" s="7" t="s">
        <v>322</v>
      </c>
      <c r="M22" s="135" t="s">
        <v>3448</v>
      </c>
      <c r="N22" s="7">
        <v>100</v>
      </c>
      <c r="O22" s="7">
        <v>42</v>
      </c>
      <c r="P22" s="7"/>
      <c r="R22" s="9">
        <v>103.8091557859328</v>
      </c>
      <c r="S22" s="121"/>
      <c r="T22" s="7" t="s">
        <v>34</v>
      </c>
      <c r="U22" s="7" t="s">
        <v>34</v>
      </c>
    </row>
    <row r="23" spans="1:21" ht="14.1" customHeight="1">
      <c r="A23" s="7">
        <v>19</v>
      </c>
      <c r="B23" s="19" t="s">
        <v>456</v>
      </c>
      <c r="C23" s="164" t="s">
        <v>3445</v>
      </c>
      <c r="D23" s="29" t="s">
        <v>611</v>
      </c>
      <c r="E23" s="19" t="s">
        <v>3462</v>
      </c>
      <c r="F23" s="29" t="s">
        <v>457</v>
      </c>
      <c r="G23" s="19" t="s">
        <v>3480</v>
      </c>
      <c r="H23" s="29" t="s">
        <v>518</v>
      </c>
      <c r="I23" s="19" t="s">
        <v>3481</v>
      </c>
      <c r="J23" s="29" t="s">
        <v>30</v>
      </c>
      <c r="K23" s="29" t="s">
        <v>520</v>
      </c>
      <c r="L23" s="29" t="s">
        <v>322</v>
      </c>
      <c r="M23" s="29" t="s">
        <v>3465</v>
      </c>
      <c r="N23" s="29">
        <v>100</v>
      </c>
      <c r="O23" s="29">
        <v>42</v>
      </c>
      <c r="P23" s="29"/>
      <c r="R23" s="9">
        <v>308.1228349320952</v>
      </c>
      <c r="T23" s="164"/>
      <c r="U23" s="166" t="s">
        <v>34</v>
      </c>
    </row>
    <row r="24" spans="1:21" ht="14.1" customHeight="1">
      <c r="A24" s="7">
        <v>20</v>
      </c>
      <c r="B24" s="19" t="s">
        <v>609</v>
      </c>
      <c r="C24" s="164" t="s">
        <v>3445</v>
      </c>
      <c r="D24" s="29" t="s">
        <v>611</v>
      </c>
      <c r="E24" s="19" t="s">
        <v>3462</v>
      </c>
      <c r="F24" s="29" t="s">
        <v>26</v>
      </c>
      <c r="G24" s="19" t="s">
        <v>3480</v>
      </c>
      <c r="H24" s="29" t="s">
        <v>518</v>
      </c>
      <c r="I24" s="19" t="s">
        <v>3482</v>
      </c>
      <c r="J24" s="29" t="s">
        <v>30</v>
      </c>
      <c r="K24" s="29" t="s">
        <v>520</v>
      </c>
      <c r="L24" s="29" t="s">
        <v>322</v>
      </c>
      <c r="M24" s="29" t="s">
        <v>3465</v>
      </c>
      <c r="N24" s="29">
        <v>100</v>
      </c>
      <c r="O24" s="29">
        <v>42</v>
      </c>
      <c r="P24" s="29"/>
      <c r="R24" s="9">
        <v>308.1228349320952</v>
      </c>
      <c r="T24" s="164"/>
      <c r="U24" s="166" t="s">
        <v>34</v>
      </c>
    </row>
    <row r="25" spans="1:21" ht="14.1" customHeight="1">
      <c r="A25" s="7">
        <v>21</v>
      </c>
      <c r="B25" s="14" t="s">
        <v>124</v>
      </c>
      <c r="C25" s="14" t="s">
        <v>3445</v>
      </c>
      <c r="D25" s="7" t="s">
        <v>611</v>
      </c>
      <c r="E25" s="14" t="s">
        <v>355</v>
      </c>
      <c r="F25" s="7" t="s">
        <v>26</v>
      </c>
      <c r="G25" s="8" t="s">
        <v>3483</v>
      </c>
      <c r="H25" s="7" t="s">
        <v>518</v>
      </c>
      <c r="I25" s="8" t="s">
        <v>3484</v>
      </c>
      <c r="J25" s="7" t="s">
        <v>30</v>
      </c>
      <c r="K25" s="7" t="s">
        <v>520</v>
      </c>
      <c r="L25" s="7" t="s">
        <v>322</v>
      </c>
      <c r="M25" s="135" t="s">
        <v>3448</v>
      </c>
      <c r="N25" s="7">
        <v>100</v>
      </c>
      <c r="O25" s="7">
        <v>42</v>
      </c>
      <c r="P25" s="7"/>
      <c r="R25" s="9">
        <v>97.418379028787797</v>
      </c>
      <c r="S25" s="121"/>
      <c r="T25" s="7" t="s">
        <v>34</v>
      </c>
      <c r="U25" s="7" t="s">
        <v>34</v>
      </c>
    </row>
    <row r="26" spans="1:21" ht="14.1" customHeight="1">
      <c r="A26" s="7">
        <v>22</v>
      </c>
      <c r="B26" s="14" t="s">
        <v>124</v>
      </c>
      <c r="C26" s="14" t="s">
        <v>3445</v>
      </c>
      <c r="D26" s="7" t="s">
        <v>611</v>
      </c>
      <c r="E26" s="14" t="s">
        <v>355</v>
      </c>
      <c r="F26" s="7" t="s">
        <v>26</v>
      </c>
      <c r="G26" s="13" t="s">
        <v>3485</v>
      </c>
      <c r="H26" s="7" t="s">
        <v>518</v>
      </c>
      <c r="I26" s="8" t="s">
        <v>3486</v>
      </c>
      <c r="J26" s="7" t="s">
        <v>30</v>
      </c>
      <c r="K26" s="7" t="s">
        <v>520</v>
      </c>
      <c r="L26" s="7" t="s">
        <v>322</v>
      </c>
      <c r="M26" s="135" t="s">
        <v>3448</v>
      </c>
      <c r="N26" s="7">
        <v>100</v>
      </c>
      <c r="O26" s="7">
        <v>42</v>
      </c>
      <c r="P26" s="7"/>
      <c r="R26" s="9">
        <v>54.266980412167463</v>
      </c>
      <c r="S26" s="121"/>
      <c r="T26" s="7" t="s">
        <v>34</v>
      </c>
      <c r="U26" s="7" t="s">
        <v>34</v>
      </c>
    </row>
    <row r="27" spans="1:21" ht="14.1" customHeight="1">
      <c r="A27" s="7">
        <v>24</v>
      </c>
      <c r="B27" s="14" t="s">
        <v>124</v>
      </c>
      <c r="C27" s="14" t="s">
        <v>3445</v>
      </c>
      <c r="D27" s="7" t="s">
        <v>611</v>
      </c>
      <c r="E27" s="14" t="s">
        <v>355</v>
      </c>
      <c r="F27" s="7" t="s">
        <v>26</v>
      </c>
      <c r="G27" s="164" t="s">
        <v>3487</v>
      </c>
      <c r="H27" s="166" t="s">
        <v>518</v>
      </c>
      <c r="I27" s="8" t="s">
        <v>3486</v>
      </c>
      <c r="J27" s="7" t="s">
        <v>30</v>
      </c>
      <c r="K27" s="7" t="s">
        <v>520</v>
      </c>
      <c r="L27" s="7" t="s">
        <v>322</v>
      </c>
      <c r="M27" s="135" t="s">
        <v>3448</v>
      </c>
      <c r="N27" s="7">
        <v>100</v>
      </c>
      <c r="O27" s="7">
        <v>42</v>
      </c>
      <c r="P27" s="7"/>
      <c r="R27" s="9">
        <v>117.5192837008337</v>
      </c>
      <c r="T27" s="7" t="s">
        <v>34</v>
      </c>
      <c r="U27" s="166"/>
    </row>
    <row r="28" spans="1:21" ht="14.1" customHeight="1">
      <c r="A28" s="7">
        <v>25</v>
      </c>
      <c r="B28" s="19" t="s">
        <v>456</v>
      </c>
      <c r="C28" s="164" t="s">
        <v>3445</v>
      </c>
      <c r="D28" s="29" t="s">
        <v>611</v>
      </c>
      <c r="E28" s="19" t="s">
        <v>3462</v>
      </c>
      <c r="F28" s="29" t="s">
        <v>457</v>
      </c>
      <c r="G28" s="19" t="s">
        <v>3488</v>
      </c>
      <c r="H28" s="29" t="s">
        <v>518</v>
      </c>
      <c r="I28" s="19" t="s">
        <v>3489</v>
      </c>
      <c r="J28" s="29" t="s">
        <v>30</v>
      </c>
      <c r="K28" s="29" t="s">
        <v>520</v>
      </c>
      <c r="L28" s="29" t="s">
        <v>322</v>
      </c>
      <c r="M28" s="29" t="s">
        <v>3465</v>
      </c>
      <c r="N28" s="29">
        <v>100</v>
      </c>
      <c r="O28" s="29">
        <v>42</v>
      </c>
      <c r="P28" s="29"/>
      <c r="R28" s="9">
        <v>280.15635886664012</v>
      </c>
      <c r="T28" s="164"/>
      <c r="U28" s="166" t="s">
        <v>34</v>
      </c>
    </row>
    <row r="29" spans="1:21" ht="14.1" customHeight="1">
      <c r="A29" s="7">
        <v>26</v>
      </c>
      <c r="B29" s="164" t="s">
        <v>124</v>
      </c>
      <c r="C29" s="164" t="s">
        <v>3445</v>
      </c>
      <c r="D29" s="166" t="s">
        <v>611</v>
      </c>
      <c r="E29" s="164" t="s">
        <v>3462</v>
      </c>
      <c r="F29" s="166" t="s">
        <v>26</v>
      </c>
      <c r="G29" s="164" t="s">
        <v>3490</v>
      </c>
      <c r="H29" s="166" t="s">
        <v>518</v>
      </c>
      <c r="I29" s="164" t="s">
        <v>3491</v>
      </c>
      <c r="J29" s="166" t="s">
        <v>30</v>
      </c>
      <c r="K29" s="166" t="s">
        <v>520</v>
      </c>
      <c r="L29" s="166" t="s">
        <v>322</v>
      </c>
      <c r="M29" s="166" t="s">
        <v>3465</v>
      </c>
      <c r="N29" s="166">
        <v>100</v>
      </c>
      <c r="O29" s="166">
        <v>42</v>
      </c>
      <c r="P29" s="166"/>
      <c r="R29" s="9">
        <v>335.78888986794112</v>
      </c>
      <c r="T29" s="164"/>
      <c r="U29" s="166" t="s">
        <v>34</v>
      </c>
    </row>
    <row r="30" spans="1:21" ht="14.1" customHeight="1">
      <c r="A30" s="7">
        <v>27</v>
      </c>
      <c r="B30" s="164" t="s">
        <v>124</v>
      </c>
      <c r="C30" s="164" t="s">
        <v>3445</v>
      </c>
      <c r="D30" s="166" t="s">
        <v>611</v>
      </c>
      <c r="E30" s="164" t="s">
        <v>3462</v>
      </c>
      <c r="F30" s="166" t="s">
        <v>26</v>
      </c>
      <c r="G30" s="164" t="s">
        <v>3492</v>
      </c>
      <c r="H30" s="166" t="s">
        <v>518</v>
      </c>
      <c r="I30" s="164" t="s">
        <v>3493</v>
      </c>
      <c r="J30" s="166" t="s">
        <v>30</v>
      </c>
      <c r="K30" s="166" t="s">
        <v>520</v>
      </c>
      <c r="L30" s="166" t="s">
        <v>322</v>
      </c>
      <c r="M30" s="166" t="s">
        <v>3465</v>
      </c>
      <c r="N30" s="166">
        <v>100</v>
      </c>
      <c r="O30" s="166">
        <v>42</v>
      </c>
      <c r="P30" s="166"/>
      <c r="R30" s="9">
        <v>360.1503123780837</v>
      </c>
      <c r="T30" s="164"/>
      <c r="U30" s="166" t="s">
        <v>34</v>
      </c>
    </row>
    <row r="31" spans="1:21" ht="14.1" customHeight="1">
      <c r="A31" s="7">
        <v>28</v>
      </c>
      <c r="B31" s="164" t="s">
        <v>124</v>
      </c>
      <c r="C31" s="164" t="s">
        <v>3445</v>
      </c>
      <c r="D31" s="166" t="s">
        <v>611</v>
      </c>
      <c r="E31" s="164" t="s">
        <v>3462</v>
      </c>
      <c r="F31" s="166" t="s">
        <v>26</v>
      </c>
      <c r="G31" s="164" t="s">
        <v>3494</v>
      </c>
      <c r="H31" s="166" t="s">
        <v>518</v>
      </c>
      <c r="I31" s="164" t="s">
        <v>3495</v>
      </c>
      <c r="J31" s="166" t="s">
        <v>30</v>
      </c>
      <c r="K31" s="166" t="s">
        <v>520</v>
      </c>
      <c r="L31" s="166" t="s">
        <v>322</v>
      </c>
      <c r="M31" s="166" t="s">
        <v>3465</v>
      </c>
      <c r="N31" s="166">
        <v>100</v>
      </c>
      <c r="O31" s="166">
        <v>42</v>
      </c>
      <c r="P31" s="166"/>
      <c r="R31" s="9">
        <v>266.93782916382719</v>
      </c>
      <c r="T31" s="164"/>
      <c r="U31" s="166" t="s">
        <v>34</v>
      </c>
    </row>
    <row r="32" spans="1:21" ht="14.1" customHeight="1"/>
    <row r="33" ht="14.1" customHeight="1"/>
    <row r="34" ht="14.1" customHeight="1"/>
    <row r="35" ht="14.1" customHeight="1"/>
    <row r="36" ht="14.1" customHeight="1"/>
    <row r="37" ht="14.1" customHeight="1"/>
    <row r="38" ht="14.1" customHeight="1"/>
    <row r="39" ht="14.1" customHeight="1"/>
    <row r="40" ht="14.1" customHeight="1"/>
    <row r="41" ht="14.1" customHeight="1"/>
    <row r="42" ht="14.1" customHeight="1"/>
    <row r="43" ht="14.1" customHeight="1"/>
    <row r="44" ht="14.1" customHeight="1"/>
    <row r="45" ht="14.1" customHeight="1"/>
    <row r="46" ht="14.1" customHeight="1"/>
    <row r="47" ht="14.1" customHeight="1"/>
    <row r="48" ht="14.1" customHeight="1"/>
    <row r="49" ht="14.1" customHeight="1"/>
    <row r="50" ht="14.1" customHeight="1"/>
    <row r="51" ht="14.1" customHeight="1"/>
    <row r="52" ht="14.1" customHeight="1"/>
    <row r="53" ht="14.1" customHeight="1"/>
    <row r="54" ht="14.1" customHeight="1"/>
    <row r="55" ht="14.1" customHeight="1"/>
    <row r="56" ht="14.1" customHeight="1"/>
    <row r="57" ht="14.1" customHeight="1"/>
    <row r="58" ht="14.1" customHeight="1"/>
    <row r="59" ht="14.1" customHeight="1"/>
    <row r="60" ht="14.1" customHeight="1"/>
    <row r="61" ht="14.1" customHeight="1"/>
    <row r="62" ht="14.1" customHeight="1"/>
    <row r="63" ht="14.1" customHeight="1"/>
    <row r="64" ht="14.1" customHeight="1"/>
    <row r="65" ht="14.1" customHeight="1"/>
    <row r="66" ht="14.1" customHeight="1"/>
    <row r="67" ht="14.1" customHeight="1"/>
    <row r="68" ht="14.1" customHeight="1"/>
    <row r="69" ht="14.1" customHeight="1"/>
    <row r="70" ht="14.1" customHeight="1"/>
    <row r="71" ht="14.1" customHeight="1"/>
    <row r="72" ht="14.1" customHeight="1"/>
    <row r="73" ht="14.1" customHeight="1"/>
    <row r="74" ht="14.1" customHeight="1"/>
    <row r="75" ht="14.1" customHeight="1"/>
    <row r="76" ht="14.1" customHeight="1"/>
    <row r="77" ht="14.1" customHeight="1"/>
    <row r="78" ht="14.1" customHeight="1"/>
    <row r="79" ht="14.1" customHeight="1"/>
    <row r="80" ht="14.1" customHeight="1"/>
    <row r="81" ht="14.1" customHeight="1"/>
    <row r="82" ht="14.1" customHeight="1"/>
    <row r="83" ht="14.1" customHeight="1"/>
    <row r="84" ht="14.1" customHeight="1"/>
    <row r="85" ht="14.1" customHeight="1"/>
    <row r="86" ht="14.1" customHeight="1"/>
    <row r="87" ht="14.1" customHeight="1"/>
    <row r="88" ht="14.1" customHeight="1"/>
    <row r="89" ht="14.1" customHeight="1"/>
    <row r="90" ht="14.1" customHeight="1"/>
    <row r="91" ht="14.1" customHeight="1"/>
    <row r="92" ht="14.1" customHeight="1"/>
    <row r="93" ht="14.1" customHeight="1"/>
    <row r="94" ht="14.1" customHeight="1"/>
    <row r="95" ht="14.1" customHeight="1"/>
    <row r="96" ht="14.1" customHeight="1"/>
    <row r="97" ht="14.1" customHeight="1"/>
    <row r="98" ht="14.1" customHeight="1"/>
    <row r="99" ht="14.1" customHeight="1"/>
    <row r="100" ht="14.1" customHeight="1"/>
    <row r="101" ht="14.1" customHeight="1"/>
    <row r="102" ht="14.1" customHeight="1"/>
    <row r="103" ht="14.1" customHeight="1"/>
    <row r="104" ht="14.1" customHeight="1"/>
    <row r="105" ht="14.1" customHeight="1"/>
    <row r="106" ht="14.1" customHeight="1"/>
    <row r="107" ht="14.1" customHeight="1"/>
    <row r="108" ht="14.1" customHeight="1"/>
    <row r="109" ht="14.1" customHeight="1"/>
    <row r="110" ht="14.1" customHeight="1"/>
    <row r="111" ht="14.1" customHeight="1"/>
    <row r="112" ht="14.1" customHeight="1"/>
    <row r="113" ht="14.1" customHeight="1"/>
    <row r="114" ht="14.1" customHeight="1"/>
    <row r="115" ht="14.1" customHeight="1"/>
    <row r="116" ht="14.1" customHeight="1"/>
    <row r="117" ht="14.1" customHeight="1"/>
    <row r="118" ht="14.1" customHeight="1"/>
    <row r="119" ht="14.1" customHeight="1"/>
    <row r="120" ht="14.1" customHeight="1"/>
    <row r="121" ht="14.1" customHeight="1"/>
    <row r="122" ht="14.1" customHeight="1"/>
    <row r="123" ht="14.1" customHeight="1"/>
    <row r="124" ht="14.1" customHeight="1"/>
    <row r="125" ht="14.1" customHeight="1"/>
    <row r="126" ht="14.1" customHeight="1"/>
    <row r="127" ht="14.1" customHeight="1"/>
    <row r="128" ht="14.1" customHeight="1"/>
    <row r="129" ht="14.1" customHeight="1"/>
    <row r="130" ht="14.1" customHeight="1"/>
    <row r="131" ht="14.1" customHeight="1"/>
    <row r="132" ht="14.1" customHeight="1"/>
    <row r="133" ht="14.1" customHeight="1"/>
    <row r="134" ht="14.1" customHeight="1"/>
    <row r="135" ht="14.1" customHeight="1"/>
    <row r="136" ht="14.1" customHeight="1"/>
    <row r="137" ht="14.1" customHeight="1"/>
    <row r="138" ht="14.1" customHeight="1"/>
    <row r="139" ht="14.1" customHeight="1"/>
    <row r="140" ht="14.1" customHeight="1"/>
    <row r="141" ht="14.1" customHeight="1"/>
    <row r="142" ht="14.1" customHeight="1"/>
    <row r="143" ht="14.1" customHeight="1"/>
    <row r="144" ht="14.1" customHeight="1"/>
    <row r="145" ht="14.1" customHeight="1"/>
    <row r="146" ht="14.1" customHeight="1"/>
    <row r="147" ht="14.1" customHeight="1"/>
    <row r="148" ht="14.1" customHeight="1"/>
    <row r="149" ht="14.1" customHeight="1"/>
    <row r="150" ht="14.1" customHeight="1"/>
    <row r="151" ht="14.1" customHeight="1"/>
    <row r="152" ht="14.1" customHeight="1"/>
    <row r="153" ht="14.1" customHeight="1"/>
    <row r="154" ht="14.1" customHeight="1"/>
    <row r="155" ht="14.1" customHeight="1"/>
    <row r="156" ht="14.1" customHeight="1"/>
    <row r="157" ht="14.1" customHeight="1"/>
    <row r="158" ht="14.1" customHeight="1"/>
    <row r="159" ht="14.1" customHeight="1"/>
    <row r="160" ht="14.1" customHeight="1"/>
    <row r="161" ht="14.1" customHeight="1"/>
    <row r="162" ht="14.1" customHeight="1"/>
    <row r="163" ht="14.1" customHeight="1"/>
    <row r="164" ht="14.1" customHeight="1"/>
    <row r="165" ht="14.1" customHeight="1"/>
    <row r="166" ht="14.1" customHeight="1"/>
    <row r="167" ht="14.1" customHeight="1"/>
    <row r="168" ht="14.1" customHeight="1"/>
    <row r="169" ht="14.1" customHeight="1"/>
    <row r="170" ht="14.1" customHeight="1"/>
    <row r="171" ht="14.1" customHeight="1"/>
    <row r="172" ht="14.1" customHeight="1"/>
    <row r="173" ht="14.1" customHeight="1"/>
    <row r="174" ht="14.1" customHeight="1"/>
    <row r="175" ht="14.1" customHeight="1"/>
    <row r="176" ht="14.1" customHeight="1"/>
    <row r="177" ht="14.1" customHeight="1"/>
    <row r="178" ht="14.1" customHeight="1"/>
    <row r="179" ht="14.1" customHeight="1"/>
    <row r="180" ht="14.1" customHeight="1"/>
    <row r="181" ht="14.1" customHeight="1"/>
    <row r="182" ht="14.1" customHeight="1"/>
    <row r="183" ht="14.1" customHeight="1"/>
    <row r="184" ht="14.1" customHeight="1"/>
    <row r="185" ht="14.1" customHeight="1"/>
    <row r="186" ht="14.1" customHeight="1"/>
    <row r="187" ht="14.1" customHeight="1"/>
    <row r="188" ht="14.1" customHeight="1"/>
    <row r="189" ht="14.1" customHeight="1"/>
    <row r="190" ht="14.1" customHeight="1"/>
    <row r="191" ht="14.1" customHeight="1"/>
    <row r="192" ht="14.1" customHeight="1"/>
    <row r="193" ht="14.1" customHeight="1"/>
    <row r="194" ht="14.1" customHeight="1"/>
    <row r="195" ht="14.1" customHeight="1"/>
    <row r="196" ht="14.1" customHeight="1"/>
    <row r="197" ht="14.1" customHeight="1"/>
    <row r="198" ht="14.1" customHeight="1"/>
    <row r="199" ht="14.1" customHeight="1"/>
    <row r="200" ht="14.1" customHeight="1"/>
    <row r="201" ht="14.1" customHeight="1"/>
    <row r="202" ht="14.1" customHeight="1"/>
    <row r="203" ht="14.1" customHeight="1"/>
    <row r="204" ht="14.1" customHeight="1"/>
    <row r="205" ht="14.1" customHeight="1"/>
    <row r="206" ht="14.1" customHeight="1"/>
    <row r="207" ht="14.1" customHeight="1"/>
    <row r="208" ht="14.1" customHeight="1"/>
    <row r="209" ht="14.1" customHeight="1"/>
    <row r="210" ht="14.1" customHeight="1"/>
    <row r="211" ht="14.1" customHeight="1"/>
    <row r="212" ht="14.1" customHeight="1"/>
    <row r="213" ht="14.1" customHeight="1"/>
    <row r="214" ht="14.1" customHeight="1"/>
    <row r="215" ht="14.1" customHeight="1"/>
    <row r="216" ht="14.1" customHeight="1"/>
    <row r="217" ht="14.1" customHeight="1"/>
    <row r="218" ht="14.1" customHeight="1"/>
    <row r="219" ht="14.1" customHeight="1"/>
    <row r="220" ht="14.1" customHeight="1"/>
    <row r="221" ht="14.1" customHeight="1"/>
    <row r="222" ht="14.1" customHeight="1"/>
    <row r="223" ht="14.1" customHeight="1"/>
    <row r="224" ht="14.1" customHeight="1"/>
    <row r="225" ht="14.1" customHeight="1"/>
    <row r="226" ht="14.1" customHeight="1"/>
    <row r="227" ht="14.1" customHeight="1"/>
    <row r="228" ht="14.1" customHeight="1"/>
    <row r="229" ht="14.1" customHeight="1"/>
    <row r="230" ht="14.1" customHeight="1"/>
    <row r="231" ht="14.1" customHeight="1"/>
    <row r="232" ht="14.1" customHeight="1"/>
    <row r="233" ht="14.1" customHeight="1"/>
    <row r="234" ht="14.1" customHeight="1"/>
    <row r="235" ht="14.1" customHeight="1"/>
    <row r="236" ht="14.1" customHeight="1"/>
    <row r="237" ht="14.1" customHeight="1"/>
    <row r="238" ht="14.1" customHeight="1"/>
    <row r="239" ht="14.1" customHeight="1"/>
    <row r="240" ht="14.1" customHeight="1"/>
    <row r="241" ht="14.1" customHeight="1"/>
    <row r="242" ht="14.1" customHeight="1"/>
    <row r="243" ht="14.1" customHeight="1"/>
    <row r="244" ht="14.1" customHeight="1"/>
    <row r="245" ht="14.1" customHeight="1"/>
    <row r="246" ht="14.1" customHeight="1"/>
    <row r="247" ht="14.1" customHeight="1"/>
    <row r="248" ht="14.1" customHeight="1"/>
    <row r="249" ht="14.1" customHeight="1"/>
    <row r="250" ht="14.1" customHeight="1"/>
    <row r="251" ht="14.1" customHeight="1"/>
    <row r="252" ht="14.1" customHeight="1"/>
    <row r="253" ht="14.1" customHeight="1"/>
    <row r="254" ht="14.1" customHeight="1"/>
    <row r="255" ht="14.1" customHeight="1"/>
    <row r="256" ht="14.1" customHeight="1"/>
    <row r="257" ht="14.1" customHeight="1"/>
    <row r="258" ht="14.1" customHeight="1"/>
    <row r="259" ht="14.1" customHeight="1"/>
    <row r="260" ht="14.1" customHeight="1"/>
    <row r="261" ht="14.1" customHeight="1"/>
    <row r="262" ht="14.1" customHeight="1"/>
    <row r="263" ht="14.1" customHeight="1"/>
    <row r="264" ht="14.1" customHeight="1"/>
    <row r="265" ht="14.1" customHeight="1"/>
    <row r="266" ht="14.1" customHeight="1"/>
    <row r="267" ht="14.1" customHeight="1"/>
    <row r="268" ht="14.1" customHeight="1"/>
    <row r="269" ht="14.1" customHeight="1"/>
    <row r="270" ht="14.1" customHeight="1"/>
    <row r="271" ht="14.1" customHeight="1"/>
    <row r="272" ht="14.1" customHeight="1"/>
    <row r="273" ht="14.1" customHeight="1"/>
    <row r="274" ht="14.1" customHeight="1"/>
    <row r="275" ht="14.1" customHeight="1"/>
    <row r="276" ht="14.1" customHeight="1"/>
    <row r="277" ht="14.1" customHeight="1"/>
    <row r="278" ht="14.1" customHeight="1"/>
    <row r="279" ht="14.1" customHeight="1"/>
    <row r="280" ht="14.1" customHeight="1"/>
    <row r="281" ht="14.1" customHeight="1"/>
    <row r="282" ht="14.1" customHeight="1"/>
    <row r="283" ht="14.1" customHeight="1"/>
    <row r="284" ht="14.1" customHeight="1"/>
    <row r="285" ht="14.1" customHeight="1"/>
    <row r="286" ht="14.1" customHeight="1"/>
    <row r="287" ht="14.1" customHeight="1"/>
    <row r="288" ht="14.1" customHeight="1"/>
    <row r="289" ht="14.1" customHeight="1"/>
    <row r="290" ht="14.1" customHeight="1"/>
    <row r="291" ht="14.1" customHeight="1"/>
    <row r="292" ht="14.1" customHeight="1"/>
    <row r="293" ht="14.1" customHeight="1"/>
    <row r="294" ht="14.1" customHeight="1"/>
    <row r="295" ht="14.1" customHeight="1"/>
    <row r="296" ht="14.1" customHeight="1"/>
    <row r="297" ht="14.1" customHeight="1"/>
    <row r="298" ht="14.1" customHeight="1"/>
    <row r="299" ht="14.1" customHeight="1"/>
    <row r="300" ht="14.1" customHeight="1"/>
    <row r="301" ht="14.1" customHeight="1"/>
    <row r="302" ht="14.1" customHeight="1"/>
    <row r="303" ht="14.1" customHeight="1"/>
    <row r="304" ht="14.1" customHeight="1"/>
    <row r="305" ht="14.1" customHeight="1"/>
    <row r="306" ht="14.1" customHeight="1"/>
    <row r="307" ht="14.1" customHeight="1"/>
    <row r="308" ht="14.1" customHeight="1"/>
    <row r="309" ht="14.1" customHeight="1"/>
    <row r="310" ht="14.1" customHeight="1"/>
    <row r="311" ht="14.1" customHeight="1"/>
    <row r="312" ht="14.1" customHeight="1"/>
    <row r="313" ht="14.1" customHeight="1"/>
    <row r="314" ht="14.1" customHeight="1"/>
    <row r="315" ht="14.1" customHeight="1"/>
    <row r="316" ht="14.1" customHeight="1"/>
    <row r="317" ht="14.1" customHeight="1"/>
    <row r="318" ht="14.1" customHeight="1"/>
    <row r="319" ht="14.1" customHeight="1"/>
    <row r="320" ht="14.1" customHeight="1"/>
    <row r="321" ht="14.1" customHeight="1"/>
    <row r="322" ht="14.1" customHeight="1"/>
    <row r="323" ht="14.1" customHeight="1"/>
    <row r="324" ht="14.1" customHeight="1"/>
    <row r="325" ht="14.1" customHeight="1"/>
    <row r="326" ht="14.1" customHeight="1"/>
    <row r="327" ht="14.1" customHeight="1"/>
    <row r="328" ht="14.1" customHeight="1"/>
    <row r="329" ht="14.1" customHeight="1"/>
    <row r="330" ht="14.1" customHeight="1"/>
    <row r="331" ht="14.1" customHeight="1"/>
    <row r="332" ht="14.1" customHeight="1"/>
    <row r="333" ht="14.1" customHeight="1"/>
    <row r="334" ht="14.1" customHeight="1"/>
    <row r="335" ht="14.1" customHeight="1"/>
    <row r="336" ht="14.1" customHeight="1"/>
    <row r="337" ht="14.1" customHeight="1"/>
    <row r="338" ht="14.1" customHeight="1"/>
    <row r="339" ht="14.1" customHeight="1"/>
    <row r="340" ht="14.1" customHeight="1"/>
    <row r="341" ht="14.1" customHeight="1"/>
    <row r="342" ht="14.1" customHeight="1"/>
    <row r="343" ht="14.1" customHeight="1"/>
    <row r="344" ht="14.1" customHeight="1"/>
    <row r="345" ht="14.1" customHeight="1"/>
    <row r="346" ht="14.1" customHeight="1"/>
    <row r="347" ht="14.1" customHeight="1"/>
    <row r="348" ht="14.1" customHeight="1"/>
    <row r="349" ht="14.1" customHeight="1"/>
    <row r="350" ht="14.1" customHeight="1"/>
    <row r="351" ht="14.1" customHeight="1"/>
    <row r="352" ht="14.1" customHeight="1"/>
    <row r="353" ht="14.1" customHeight="1"/>
    <row r="354" ht="14.1" customHeight="1"/>
    <row r="355" ht="14.1" customHeight="1"/>
    <row r="356" ht="14.1" customHeight="1"/>
    <row r="357" ht="14.1" customHeight="1"/>
    <row r="358" ht="14.1" customHeight="1"/>
    <row r="359" ht="14.1" customHeight="1"/>
    <row r="360" ht="14.1" customHeight="1"/>
    <row r="361" ht="14.1" customHeight="1"/>
    <row r="362" ht="14.1" customHeight="1"/>
    <row r="363" ht="14.1" customHeight="1"/>
    <row r="364" ht="14.1" customHeight="1"/>
    <row r="365" ht="14.1" customHeight="1"/>
    <row r="366" ht="14.1" customHeight="1"/>
    <row r="367" ht="14.1" customHeight="1"/>
    <row r="368" ht="14.1" customHeight="1"/>
    <row r="369" ht="14.1" customHeight="1"/>
    <row r="370" ht="14.1" customHeight="1"/>
    <row r="371" ht="14.1" customHeight="1"/>
    <row r="372" ht="14.1" customHeight="1"/>
    <row r="373" ht="14.1" customHeight="1"/>
    <row r="374" ht="14.1" customHeight="1"/>
    <row r="375" ht="14.1" customHeight="1"/>
    <row r="376" ht="14.1" customHeight="1"/>
    <row r="377" ht="14.1" customHeight="1"/>
    <row r="378" ht="14.1" customHeight="1"/>
    <row r="379" ht="14.1" customHeight="1"/>
    <row r="380" ht="14.1" customHeight="1"/>
    <row r="381" ht="14.1" customHeight="1"/>
    <row r="382" ht="14.1" customHeight="1"/>
    <row r="383" ht="14.1" customHeight="1"/>
    <row r="384" ht="14.1" customHeight="1"/>
    <row r="385" ht="14.1" customHeight="1"/>
    <row r="386" ht="14.1" customHeight="1"/>
    <row r="387" ht="14.1" customHeight="1"/>
    <row r="388" ht="14.1" customHeight="1"/>
    <row r="389" ht="14.1" customHeight="1"/>
    <row r="390" ht="14.1" customHeight="1"/>
    <row r="391" ht="14.1" customHeight="1"/>
    <row r="392" ht="14.1" customHeight="1"/>
    <row r="393" ht="14.1" customHeight="1"/>
    <row r="394" ht="14.1" customHeight="1"/>
    <row r="395" ht="14.1" customHeight="1"/>
    <row r="396" ht="14.1" customHeight="1"/>
    <row r="397" ht="14.1" customHeight="1"/>
    <row r="398" ht="14.1" customHeight="1"/>
    <row r="399" ht="14.1" customHeight="1"/>
    <row r="400" ht="14.1" customHeight="1"/>
    <row r="401" ht="14.1" customHeight="1"/>
    <row r="402" ht="14.1" customHeight="1"/>
    <row r="403" ht="14.1" customHeight="1"/>
    <row r="404" ht="14.1" customHeight="1"/>
    <row r="405" ht="14.1" customHeight="1"/>
    <row r="406" ht="14.1" customHeight="1"/>
    <row r="407" ht="14.1" customHeight="1"/>
    <row r="408" ht="14.1" customHeight="1"/>
    <row r="409" ht="14.1" customHeight="1"/>
    <row r="410" ht="14.1" customHeight="1"/>
    <row r="411" ht="14.1" customHeight="1"/>
    <row r="412" ht="14.1" customHeight="1"/>
    <row r="413" ht="14.1" customHeight="1"/>
    <row r="414" ht="14.1" customHeight="1"/>
    <row r="415" ht="14.1" customHeight="1"/>
    <row r="416" ht="14.1" customHeight="1"/>
    <row r="417" ht="14.1" customHeight="1"/>
    <row r="418" ht="14.1" customHeight="1"/>
    <row r="419" ht="14.1" customHeight="1"/>
    <row r="420" ht="14.1" customHeight="1"/>
    <row r="421" ht="14.1" customHeight="1"/>
    <row r="422" ht="14.1" customHeight="1"/>
    <row r="423" ht="14.1" customHeight="1"/>
    <row r="424" ht="14.1" customHeight="1"/>
    <row r="425" ht="14.1" customHeight="1"/>
    <row r="426" ht="14.1" customHeight="1"/>
    <row r="427" ht="14.1" customHeight="1"/>
    <row r="428" ht="14.1" customHeight="1"/>
    <row r="429" ht="14.1" customHeight="1"/>
    <row r="430" ht="14.1" customHeight="1"/>
    <row r="431" ht="14.1" customHeight="1"/>
    <row r="432" ht="14.1" customHeight="1"/>
    <row r="433" ht="14.1" customHeight="1"/>
    <row r="434" ht="14.1" customHeight="1"/>
    <row r="435" ht="14.1" customHeight="1"/>
    <row r="436" ht="14.1" customHeight="1"/>
    <row r="437" ht="14.1" customHeight="1"/>
    <row r="438" ht="14.1" customHeight="1"/>
    <row r="439" ht="14.1" customHeight="1"/>
    <row r="440" ht="14.1" customHeight="1"/>
    <row r="441" ht="14.1" customHeight="1"/>
    <row r="442" ht="14.1" customHeight="1"/>
    <row r="443" ht="14.1" customHeight="1"/>
    <row r="444" ht="14.1" customHeight="1"/>
    <row r="445" ht="14.1" customHeight="1"/>
    <row r="446" ht="14.1" customHeight="1"/>
    <row r="447" ht="14.1" customHeight="1"/>
    <row r="448" ht="14.1" customHeight="1"/>
    <row r="449" ht="14.1" customHeight="1"/>
    <row r="450" ht="14.1" customHeight="1"/>
    <row r="451" ht="14.1" customHeight="1"/>
    <row r="452" ht="14.1" customHeight="1"/>
    <row r="453" ht="14.1" customHeight="1"/>
    <row r="454" ht="14.1" customHeight="1"/>
    <row r="455" ht="14.1" customHeight="1"/>
    <row r="456" ht="14.1" customHeight="1"/>
    <row r="457" ht="14.1" customHeight="1"/>
    <row r="458" ht="14.1" customHeight="1"/>
    <row r="459" ht="14.1" customHeight="1"/>
    <row r="460" ht="14.1" customHeight="1"/>
    <row r="461" ht="14.1" customHeight="1"/>
    <row r="462" ht="14.1" customHeight="1"/>
    <row r="463" ht="14.1" customHeight="1"/>
    <row r="464" ht="14.1" customHeight="1"/>
    <row r="465" ht="14.1" customHeight="1"/>
    <row r="466" ht="14.1" customHeight="1"/>
    <row r="467" ht="14.1" customHeight="1"/>
    <row r="468" ht="14.1" customHeight="1"/>
    <row r="469" ht="14.1" customHeight="1"/>
    <row r="470" ht="14.1" customHeight="1"/>
    <row r="471" ht="14.1" customHeight="1"/>
    <row r="472" ht="14.1" customHeight="1"/>
    <row r="473" ht="14.1" customHeight="1"/>
    <row r="474" ht="14.1" customHeight="1"/>
    <row r="475" ht="14.1" customHeight="1"/>
    <row r="476" ht="14.1" customHeight="1"/>
    <row r="477" ht="14.1" customHeight="1"/>
    <row r="478" ht="14.1" customHeight="1"/>
    <row r="479" ht="14.1" customHeight="1"/>
    <row r="480" ht="14.1" customHeight="1"/>
    <row r="481" ht="14.1" customHeight="1"/>
    <row r="482" ht="14.1" customHeight="1"/>
    <row r="483" ht="14.1" customHeight="1"/>
    <row r="484" ht="14.1" customHeight="1"/>
    <row r="485" ht="14.1" customHeight="1"/>
    <row r="486" ht="14.1" customHeight="1"/>
    <row r="487" ht="14.1" customHeight="1"/>
    <row r="488" ht="14.1" customHeight="1"/>
    <row r="489" ht="14.1" customHeight="1"/>
    <row r="490" ht="14.1" customHeight="1"/>
    <row r="491" ht="14.1" customHeight="1"/>
    <row r="492" ht="14.1" customHeight="1"/>
    <row r="493" ht="14.1" customHeight="1"/>
    <row r="494" ht="14.1" customHeight="1"/>
    <row r="495" ht="14.1" customHeight="1"/>
    <row r="496" ht="14.1" customHeight="1"/>
    <row r="497" ht="14.1" customHeight="1"/>
    <row r="498" ht="14.1" customHeight="1"/>
    <row r="499" ht="14.1" customHeight="1"/>
    <row r="500" ht="14.1" customHeight="1"/>
    <row r="501" ht="14.1" customHeight="1"/>
    <row r="502" ht="14.1" customHeight="1"/>
    <row r="503" ht="14.1" customHeight="1"/>
    <row r="504" ht="14.1" customHeight="1"/>
    <row r="505" ht="14.1" customHeight="1"/>
    <row r="506" ht="14.1" customHeight="1"/>
    <row r="507" ht="14.1" customHeight="1"/>
    <row r="508" ht="14.1" customHeight="1"/>
    <row r="509" ht="14.1" customHeight="1"/>
    <row r="510" ht="14.1" customHeight="1"/>
    <row r="511" ht="14.1" customHeight="1"/>
    <row r="512" ht="14.1" customHeight="1"/>
    <row r="513" ht="14.1" customHeight="1"/>
    <row r="514" ht="14.1" customHeight="1"/>
    <row r="515" ht="14.1" customHeight="1"/>
    <row r="516" ht="14.1" customHeight="1"/>
    <row r="517" ht="14.1" customHeight="1"/>
    <row r="518" ht="14.1" customHeight="1"/>
    <row r="519" ht="14.1" customHeight="1"/>
    <row r="520" ht="14.1" customHeight="1"/>
    <row r="521" ht="14.1" customHeight="1"/>
    <row r="522" ht="14.1" customHeight="1"/>
    <row r="523" ht="14.1" customHeight="1"/>
    <row r="524" ht="14.1" customHeight="1"/>
    <row r="525" ht="14.1" customHeight="1"/>
    <row r="526" ht="14.1" customHeight="1"/>
    <row r="527" ht="14.1" customHeight="1"/>
    <row r="528" ht="14.1" customHeight="1"/>
    <row r="529" ht="14.1" customHeight="1"/>
    <row r="530" ht="14.1" customHeight="1"/>
    <row r="531" ht="14.1" customHeight="1"/>
    <row r="532" ht="14.1" customHeight="1"/>
    <row r="533" ht="14.1" customHeight="1"/>
    <row r="534" ht="14.1" customHeight="1"/>
    <row r="535" ht="14.1" customHeight="1"/>
    <row r="536" ht="14.1" customHeight="1"/>
    <row r="537" ht="14.1" customHeight="1"/>
    <row r="538" ht="14.1" customHeight="1"/>
    <row r="539" ht="14.1" customHeight="1"/>
    <row r="540" ht="14.1" customHeight="1"/>
    <row r="541" ht="14.1" customHeight="1"/>
    <row r="542" ht="14.1" customHeight="1"/>
    <row r="543" ht="14.1" customHeight="1"/>
    <row r="544" ht="14.1" customHeight="1"/>
    <row r="545" ht="14.1" customHeight="1"/>
    <row r="546" ht="14.1" customHeight="1"/>
    <row r="547" ht="14.1" customHeight="1"/>
    <row r="548" ht="14.1" customHeight="1"/>
    <row r="549" ht="14.1" customHeight="1"/>
    <row r="550" ht="14.1" customHeight="1"/>
    <row r="551" ht="14.1" customHeight="1"/>
    <row r="552" ht="14.1" customHeight="1"/>
    <row r="553" ht="14.1" customHeight="1"/>
    <row r="554" ht="14.1" customHeight="1"/>
    <row r="555" ht="14.1" customHeight="1"/>
    <row r="556" ht="14.1" customHeight="1"/>
    <row r="557" ht="14.1" customHeight="1"/>
    <row r="558" ht="14.1" customHeight="1"/>
    <row r="559" ht="14.1" customHeight="1"/>
    <row r="560" ht="14.1" customHeight="1"/>
    <row r="561" ht="14.1" customHeight="1"/>
    <row r="562" ht="14.1" customHeight="1"/>
    <row r="563" ht="14.1" customHeight="1"/>
    <row r="564" ht="14.1" customHeight="1"/>
    <row r="565" ht="14.1" customHeight="1"/>
    <row r="566" ht="14.1" customHeight="1"/>
    <row r="567" ht="14.1" customHeight="1"/>
    <row r="568" ht="14.1" customHeight="1"/>
    <row r="569" ht="14.1" customHeight="1"/>
    <row r="570" ht="14.1" customHeight="1"/>
    <row r="571" ht="14.1" customHeight="1"/>
    <row r="572" ht="14.1" customHeight="1"/>
    <row r="573" ht="14.1" customHeight="1"/>
    <row r="574" ht="14.1" customHeight="1"/>
    <row r="575" ht="14.1" customHeight="1"/>
    <row r="576" ht="14.1" customHeight="1"/>
    <row r="577" ht="14.1" customHeight="1"/>
    <row r="578" ht="14.1" customHeight="1"/>
    <row r="579" ht="14.1" customHeight="1"/>
    <row r="580" ht="14.1" customHeight="1"/>
    <row r="581" ht="14.1" customHeight="1"/>
    <row r="582" ht="14.1" customHeight="1"/>
    <row r="583" ht="14.1" customHeight="1"/>
    <row r="584" ht="14.1" customHeight="1"/>
    <row r="585" ht="14.1" customHeight="1"/>
    <row r="586" ht="14.1" customHeight="1"/>
    <row r="587" ht="14.1" customHeight="1"/>
    <row r="588" ht="14.1" customHeight="1"/>
    <row r="589" ht="14.1" customHeight="1"/>
    <row r="590" ht="14.1" customHeight="1"/>
    <row r="591" ht="14.1" customHeight="1"/>
    <row r="592" ht="14.1" customHeight="1"/>
    <row r="593" ht="14.1" customHeight="1"/>
    <row r="594" ht="14.1" customHeight="1"/>
    <row r="595" ht="14.1" customHeight="1"/>
    <row r="596" ht="14.1" customHeight="1"/>
    <row r="597" ht="14.1" customHeight="1"/>
    <row r="598" ht="14.1" customHeight="1"/>
    <row r="599" ht="14.1" customHeight="1"/>
    <row r="600" ht="14.1" customHeight="1"/>
    <row r="601" ht="14.1" customHeight="1"/>
    <row r="602" ht="14.1" customHeight="1"/>
    <row r="603" ht="14.1" customHeight="1"/>
    <row r="604" ht="14.1" customHeight="1"/>
    <row r="605" ht="14.1" customHeight="1"/>
    <row r="606" ht="14.1" customHeight="1"/>
    <row r="607" ht="14.1" customHeight="1"/>
    <row r="608" ht="14.1" customHeight="1"/>
    <row r="609" ht="14.1" customHeight="1"/>
    <row r="610" ht="14.1" customHeight="1"/>
    <row r="611" ht="14.1" customHeight="1"/>
    <row r="612" ht="14.1" customHeight="1"/>
    <row r="613" ht="14.1" customHeight="1"/>
    <row r="614" ht="14.1" customHeight="1"/>
    <row r="615" ht="14.1" customHeight="1"/>
    <row r="616" ht="14.1" customHeight="1"/>
    <row r="617" ht="14.1" customHeight="1"/>
    <row r="618" ht="14.1" customHeight="1"/>
    <row r="619" ht="14.1" customHeight="1"/>
    <row r="620" ht="14.1" customHeight="1"/>
    <row r="621" ht="14.1" customHeight="1"/>
    <row r="622" ht="14.1" customHeight="1"/>
    <row r="623" ht="14.1" customHeight="1"/>
    <row r="624" ht="14.1" customHeight="1"/>
    <row r="625" ht="14.1" customHeight="1"/>
    <row r="626" ht="14.1" customHeight="1"/>
    <row r="627" ht="14.1" customHeight="1"/>
    <row r="628" ht="14.1" customHeight="1"/>
    <row r="629" ht="14.1" customHeight="1"/>
    <row r="630" ht="14.1" customHeight="1"/>
    <row r="631" ht="14.1" customHeight="1"/>
    <row r="632" ht="14.1" customHeight="1"/>
    <row r="633" ht="14.1" customHeight="1"/>
    <row r="634" ht="14.1" customHeight="1"/>
    <row r="635" ht="14.1" customHeight="1"/>
    <row r="636" ht="14.1" customHeight="1"/>
    <row r="637" ht="14.1" customHeight="1"/>
    <row r="638" ht="14.1" customHeight="1"/>
    <row r="639" ht="14.1" customHeight="1"/>
    <row r="640" ht="14.1" customHeight="1"/>
    <row r="641" ht="14.1" customHeight="1"/>
    <row r="642" ht="14.1" customHeight="1"/>
    <row r="643" ht="14.1" customHeight="1"/>
    <row r="644" ht="14.1" customHeight="1"/>
    <row r="645" ht="14.1" customHeight="1"/>
    <row r="646" ht="14.1" customHeight="1"/>
    <row r="647" ht="14.1" customHeight="1"/>
    <row r="648" ht="14.1" customHeight="1"/>
    <row r="649" ht="14.1" customHeight="1"/>
    <row r="650" ht="14.1" customHeight="1"/>
    <row r="651" ht="14.1" customHeight="1"/>
    <row r="652" ht="14.1" customHeight="1"/>
    <row r="653" ht="14.1" customHeight="1"/>
    <row r="654" ht="14.1" customHeight="1"/>
    <row r="655" ht="14.1" customHeight="1"/>
    <row r="656" ht="14.1" customHeight="1"/>
    <row r="657" ht="14.1" customHeight="1"/>
    <row r="658" ht="14.1" customHeight="1"/>
    <row r="659" ht="14.1" customHeight="1"/>
    <row r="660" ht="14.1" customHeight="1"/>
    <row r="661" ht="14.1" customHeight="1"/>
    <row r="662" ht="14.1" customHeight="1"/>
    <row r="663" ht="14.1" customHeight="1"/>
    <row r="664" ht="14.1" customHeight="1"/>
    <row r="665" ht="14.1" customHeight="1"/>
    <row r="666" ht="14.1" customHeight="1"/>
    <row r="667" ht="14.1" customHeight="1"/>
    <row r="668" ht="14.1" customHeight="1"/>
    <row r="669" ht="14.1" customHeight="1"/>
    <row r="670" ht="14.1" customHeight="1"/>
    <row r="671" ht="14.1" customHeight="1"/>
    <row r="672" ht="14.1" customHeight="1"/>
    <row r="673" ht="14.1" customHeight="1"/>
    <row r="674" ht="14.1" customHeight="1"/>
    <row r="675" ht="14.1" customHeight="1"/>
    <row r="676" ht="14.1" customHeight="1"/>
    <row r="677" ht="14.1" customHeight="1"/>
    <row r="678" ht="14.1" customHeight="1"/>
    <row r="679" ht="14.1" customHeight="1"/>
    <row r="680" ht="14.1" customHeight="1"/>
    <row r="681" ht="14.1" customHeight="1"/>
    <row r="682" ht="14.1" customHeight="1"/>
    <row r="683" ht="14.1" customHeight="1"/>
    <row r="684" ht="14.1" customHeight="1"/>
    <row r="685" ht="14.1" customHeight="1"/>
    <row r="686" ht="14.1" customHeight="1"/>
    <row r="687" ht="14.1" customHeight="1"/>
    <row r="688" ht="14.1" customHeight="1"/>
    <row r="689" ht="14.1" customHeight="1"/>
    <row r="690" ht="14.1" customHeight="1"/>
    <row r="691" ht="14.1" customHeight="1"/>
    <row r="692" ht="14.1" customHeight="1"/>
    <row r="693" ht="14.1" customHeight="1"/>
    <row r="694" ht="14.1" customHeight="1"/>
    <row r="695" ht="14.1" customHeight="1"/>
    <row r="696" ht="14.1" customHeight="1"/>
    <row r="697" ht="14.1" customHeight="1"/>
    <row r="698" ht="14.1" customHeight="1"/>
    <row r="699" ht="14.1" customHeight="1"/>
    <row r="700" ht="14.1" customHeight="1"/>
    <row r="701" ht="14.1" customHeight="1"/>
    <row r="702" ht="14.1" customHeight="1"/>
    <row r="703" ht="14.1" customHeight="1"/>
    <row r="704" ht="14.1" customHeight="1"/>
    <row r="705" ht="14.1" customHeight="1"/>
    <row r="706" ht="14.1" customHeight="1"/>
    <row r="707" ht="14.1" customHeight="1"/>
    <row r="708" ht="14.1" customHeight="1"/>
    <row r="709" ht="14.1" customHeight="1"/>
    <row r="710" ht="14.1" customHeight="1"/>
    <row r="711" ht="14.1" customHeight="1"/>
    <row r="712" ht="14.1" customHeight="1"/>
    <row r="713" ht="14.1" customHeight="1"/>
    <row r="714" ht="14.1" customHeight="1"/>
    <row r="715" ht="14.1" customHeight="1"/>
    <row r="716" ht="14.1" customHeight="1"/>
    <row r="717" ht="14.1" customHeight="1"/>
    <row r="718" ht="14.1" customHeight="1"/>
    <row r="719" ht="14.1" customHeight="1"/>
    <row r="720" ht="14.1" customHeight="1"/>
    <row r="721" ht="14.1" customHeight="1"/>
    <row r="722" ht="14.1" customHeight="1"/>
    <row r="723" ht="14.1" customHeight="1"/>
    <row r="724" ht="14.1" customHeight="1"/>
    <row r="725" ht="14.1" customHeight="1"/>
    <row r="726" ht="14.1" customHeight="1"/>
    <row r="727" ht="14.1" customHeight="1"/>
    <row r="728" ht="14.1" customHeight="1"/>
    <row r="729" ht="14.1" customHeight="1"/>
    <row r="730" ht="14.1" customHeight="1"/>
    <row r="731" ht="14.1" customHeight="1"/>
    <row r="732" ht="14.1" customHeight="1"/>
    <row r="733" ht="14.1" customHeight="1"/>
    <row r="734" ht="14.1" customHeight="1"/>
    <row r="735" ht="14.1" customHeight="1"/>
    <row r="736" ht="14.1" customHeight="1"/>
    <row r="737" ht="14.1" customHeight="1"/>
    <row r="738" ht="14.1" customHeight="1"/>
    <row r="739" ht="14.1" customHeight="1"/>
    <row r="740" ht="14.1" customHeight="1"/>
    <row r="741" ht="14.1" customHeight="1"/>
    <row r="742" ht="14.1" customHeight="1"/>
    <row r="743" ht="14.1" customHeight="1"/>
    <row r="744" ht="14.1" customHeight="1"/>
    <row r="745" ht="14.1" customHeight="1"/>
    <row r="746" ht="14.1" customHeight="1"/>
    <row r="747" ht="14.1" customHeight="1"/>
    <row r="748" ht="14.1" customHeight="1"/>
    <row r="749" ht="14.1" customHeight="1"/>
    <row r="750" ht="14.1" customHeight="1"/>
    <row r="751" ht="14.1" customHeight="1"/>
    <row r="752" ht="14.1" customHeight="1"/>
    <row r="753" ht="14.1" customHeight="1"/>
    <row r="754" ht="14.1" customHeight="1"/>
    <row r="755" ht="14.1" customHeight="1"/>
    <row r="756" ht="14.1" customHeight="1"/>
    <row r="757" ht="14.1" customHeight="1"/>
    <row r="758" ht="14.1" customHeight="1"/>
    <row r="759" ht="14.1" customHeight="1"/>
    <row r="760" ht="14.1" customHeight="1"/>
    <row r="761" ht="14.1" customHeight="1"/>
    <row r="762" ht="14.1" customHeight="1"/>
    <row r="763" ht="14.1" customHeight="1"/>
    <row r="764" ht="14.1" customHeight="1"/>
    <row r="765" ht="14.1" customHeight="1"/>
    <row r="766" ht="14.1" customHeight="1"/>
    <row r="767" ht="14.1" customHeight="1"/>
    <row r="768" ht="14.1" customHeight="1"/>
    <row r="769" ht="14.1" customHeight="1"/>
    <row r="770" ht="14.1" customHeight="1"/>
    <row r="771" ht="14.1" customHeight="1"/>
    <row r="772" ht="14.1" customHeight="1"/>
    <row r="773" ht="14.1" customHeight="1"/>
    <row r="774" ht="14.1" customHeight="1"/>
    <row r="775" ht="14.1" customHeight="1"/>
    <row r="776" ht="14.1" customHeight="1"/>
    <row r="777" ht="14.1" customHeight="1"/>
    <row r="778" ht="14.1" customHeight="1"/>
    <row r="779" ht="14.1" customHeight="1"/>
    <row r="780" ht="14.1" customHeight="1"/>
    <row r="781" ht="14.1" customHeight="1"/>
    <row r="782" ht="14.1" customHeight="1"/>
    <row r="783" ht="14.1" customHeight="1"/>
    <row r="784" ht="14.1" customHeight="1"/>
    <row r="785" ht="14.1" customHeight="1"/>
    <row r="786" ht="14.1" customHeight="1"/>
    <row r="787" ht="14.1" customHeight="1"/>
    <row r="788" ht="14.1" customHeight="1"/>
    <row r="789" ht="14.1" customHeight="1"/>
    <row r="790" ht="14.1" customHeight="1"/>
    <row r="791" ht="14.1" customHeight="1"/>
    <row r="792" ht="14.1" customHeight="1"/>
    <row r="793" ht="14.1" customHeight="1"/>
  </sheetData>
  <conditionalFormatting sqref="G19">
    <cfRule type="duplicateValues" dxfId="0" priority="3"/>
  </conditionalFormatting>
  <pageMargins left="0.7" right="0.7" top="0.75" bottom="0.75" header="0.3" footer="0.3"/>
  <pageSetup paperSize="9" orientation="portrait"/>
  <headerFooter>
    <oddFooter>&amp;L_x000D_&amp;1#&amp;"Arial"&amp;7&amp;KDAD4CE Public&amp;C&amp;"Verdana"&amp;10 &amp;KC1C1C1_x000D_# Restricted</oddFooter>
  </headerFooter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500-000000000000}">
  <sheetPr codeName="Sheet18">
    <tabColor rgb="FF92D050"/>
    <pageSetUpPr fitToPage="1"/>
  </sheetPr>
  <dimension ref="A1:U793"/>
  <sheetViews>
    <sheetView topLeftCell="A16" zoomScale="80" zoomScaleNormal="80" workbookViewId="0">
      <selection activeCell="M44" sqref="M44"/>
    </sheetView>
  </sheetViews>
  <sheetFormatPr defaultColWidth="8.85546875" defaultRowHeight="15" customHeight="1"/>
  <cols>
    <col min="1" max="1" width="4.140625" style="3" customWidth="1"/>
    <col min="2" max="3" width="8.5703125" style="20" customWidth="1"/>
    <col min="4" max="4" width="14.5703125" style="3" customWidth="1"/>
    <col min="5" max="5" width="20.5703125" style="20" customWidth="1"/>
    <col min="6" max="6" width="8.5703125" style="3" customWidth="1"/>
    <col min="7" max="7" width="32.5703125" style="2" customWidth="1"/>
    <col min="8" max="8" width="18.5703125" style="3" customWidth="1"/>
    <col min="9" max="9" width="62.5703125" style="2" customWidth="1"/>
    <col min="10" max="12" width="9.5703125" style="3" customWidth="1"/>
    <col min="13" max="13" width="10.5703125" style="3" customWidth="1"/>
    <col min="14" max="14" width="8.5703125" style="3" customWidth="1"/>
    <col min="15" max="15" width="10.5703125" style="3" customWidth="1"/>
    <col min="16" max="16" width="5.5703125" style="3" customWidth="1"/>
    <col min="17" max="17" width="1.5703125" style="2" customWidth="1"/>
    <col min="18" max="18" width="10.5703125" style="30" customWidth="1"/>
    <col min="19" max="19" width="1.5703125" style="2" customWidth="1"/>
    <col min="20" max="21" width="10.5703125" style="2" customWidth="1"/>
    <col min="22" max="209" width="8.85546875" style="2" customWidth="1"/>
    <col min="210" max="210" width="8.140625" style="2" customWidth="1"/>
    <col min="211" max="211" width="14.5703125" style="2" customWidth="1"/>
    <col min="212" max="212" width="37.42578125" style="2" customWidth="1"/>
    <col min="213" max="213" width="63.140625" style="2" customWidth="1"/>
    <col min="214" max="214" width="20" style="2" customWidth="1"/>
    <col min="215" max="215" width="11.140625" style="2" customWidth="1"/>
    <col min="216" max="216" width="10.85546875" style="2" customWidth="1"/>
    <col min="217" max="217" width="21" style="2" customWidth="1"/>
    <col min="218" max="218" width="10.85546875" style="2" customWidth="1"/>
    <col min="219" max="219" width="17.42578125" style="2" customWidth="1"/>
    <col min="220" max="220" width="14.85546875" style="2" customWidth="1"/>
    <col min="221" max="221" width="15" style="2" customWidth="1"/>
    <col min="222" max="222" width="14.85546875" style="2" customWidth="1"/>
    <col min="223" max="223" width="7.140625" style="2" customWidth="1"/>
    <col min="224" max="225" width="20.140625" style="2" customWidth="1"/>
    <col min="226" max="226" width="18.42578125" style="2" customWidth="1"/>
    <col min="227" max="227" width="9.140625" style="2" customWidth="1"/>
    <col min="228" max="228" width="12" style="2" customWidth="1"/>
    <col min="229" max="229" width="14.85546875" style="2" customWidth="1"/>
    <col min="230" max="230" width="22.42578125" style="2" customWidth="1"/>
    <col min="231" max="231" width="14.85546875" style="2" customWidth="1"/>
    <col min="232" max="232" width="7.140625" style="2" customWidth="1"/>
    <col min="233" max="233" width="20.140625" style="2" customWidth="1"/>
    <col min="234" max="465" width="8.85546875" style="2" customWidth="1"/>
    <col min="466" max="466" width="8.140625" style="2" customWidth="1"/>
    <col min="467" max="467" width="14.5703125" style="2" customWidth="1"/>
    <col min="468" max="468" width="37.42578125" style="2" customWidth="1"/>
    <col min="469" max="469" width="63.140625" style="2" customWidth="1"/>
    <col min="470" max="470" width="20" style="2" customWidth="1"/>
    <col min="471" max="471" width="11.140625" style="2" customWidth="1"/>
    <col min="472" max="472" width="10.85546875" style="2" customWidth="1"/>
    <col min="473" max="473" width="21" style="2" customWidth="1"/>
    <col min="474" max="474" width="10.85546875" style="2" customWidth="1"/>
    <col min="475" max="475" width="17.42578125" style="2" customWidth="1"/>
    <col min="476" max="476" width="14.85546875" style="2" customWidth="1"/>
    <col min="477" max="477" width="15" style="2" customWidth="1"/>
    <col min="478" max="478" width="14.85546875" style="2" customWidth="1"/>
    <col min="479" max="479" width="7.140625" style="2" customWidth="1"/>
    <col min="480" max="481" width="20.140625" style="2" customWidth="1"/>
    <col min="482" max="482" width="18.42578125" style="2" customWidth="1"/>
    <col min="483" max="483" width="9.140625" style="2" customWidth="1"/>
    <col min="484" max="484" width="12" style="2" customWidth="1"/>
    <col min="485" max="485" width="14.85546875" style="2" customWidth="1"/>
    <col min="486" max="486" width="22.42578125" style="2" customWidth="1"/>
    <col min="487" max="487" width="14.85546875" style="2" customWidth="1"/>
    <col min="488" max="488" width="7.140625" style="2" customWidth="1"/>
    <col min="489" max="489" width="20.140625" style="2" customWidth="1"/>
    <col min="490" max="721" width="8.85546875" style="2" customWidth="1"/>
    <col min="722" max="722" width="8.140625" style="2" customWidth="1"/>
    <col min="723" max="723" width="14.5703125" style="2" customWidth="1"/>
    <col min="724" max="724" width="37.42578125" style="2" customWidth="1"/>
    <col min="725" max="725" width="63.140625" style="2" customWidth="1"/>
    <col min="726" max="726" width="20" style="2" customWidth="1"/>
    <col min="727" max="727" width="11.140625" style="2" customWidth="1"/>
    <col min="728" max="728" width="10.85546875" style="2" customWidth="1"/>
    <col min="729" max="729" width="21" style="2" customWidth="1"/>
    <col min="730" max="730" width="10.85546875" style="2" customWidth="1"/>
    <col min="731" max="731" width="17.42578125" style="2" customWidth="1"/>
    <col min="732" max="732" width="14.85546875" style="2" customWidth="1"/>
    <col min="733" max="733" width="15" style="2" customWidth="1"/>
    <col min="734" max="734" width="14.85546875" style="2" customWidth="1"/>
    <col min="735" max="735" width="7.140625" style="2" customWidth="1"/>
    <col min="736" max="737" width="20.140625" style="2" customWidth="1"/>
    <col min="738" max="738" width="18.42578125" style="2" customWidth="1"/>
    <col min="739" max="739" width="9.140625" style="2" customWidth="1"/>
    <col min="740" max="740" width="12" style="2" customWidth="1"/>
    <col min="741" max="741" width="14.85546875" style="2" customWidth="1"/>
    <col min="742" max="742" width="22.42578125" style="2" customWidth="1"/>
    <col min="743" max="743" width="14.85546875" style="2" customWidth="1"/>
    <col min="744" max="744" width="7.140625" style="2" customWidth="1"/>
    <col min="745" max="745" width="20.140625" style="2" customWidth="1"/>
    <col min="746" max="977" width="8.85546875" style="2" customWidth="1"/>
    <col min="978" max="978" width="8.140625" style="2" customWidth="1"/>
    <col min="979" max="979" width="14.5703125" style="2" customWidth="1"/>
    <col min="980" max="980" width="37.42578125" style="2" customWidth="1"/>
    <col min="981" max="981" width="63.140625" style="2" customWidth="1"/>
    <col min="982" max="982" width="20" style="2" customWidth="1"/>
    <col min="983" max="983" width="11.140625" style="2" customWidth="1"/>
    <col min="984" max="984" width="10.85546875" style="2" customWidth="1"/>
    <col min="985" max="985" width="21" style="2" customWidth="1"/>
    <col min="986" max="986" width="10.85546875" style="2" customWidth="1"/>
    <col min="987" max="987" width="17.42578125" style="2" customWidth="1"/>
    <col min="988" max="988" width="14.85546875" style="2" customWidth="1"/>
    <col min="989" max="989" width="15" style="2" customWidth="1"/>
    <col min="990" max="990" width="14.85546875" style="2" customWidth="1"/>
    <col min="991" max="991" width="7.140625" style="2" customWidth="1"/>
    <col min="992" max="993" width="20.140625" style="2" customWidth="1"/>
    <col min="994" max="994" width="18.42578125" style="2" customWidth="1"/>
    <col min="995" max="995" width="9.140625" style="2" customWidth="1"/>
    <col min="996" max="996" width="12" style="2" customWidth="1"/>
    <col min="997" max="997" width="14.85546875" style="2" customWidth="1"/>
    <col min="998" max="998" width="22.42578125" style="2" customWidth="1"/>
    <col min="999" max="999" width="14.85546875" style="2" customWidth="1"/>
    <col min="1000" max="1000" width="7.140625" style="2" customWidth="1"/>
    <col min="1001" max="1001" width="20.140625" style="2" customWidth="1"/>
    <col min="1002" max="1233" width="8.85546875" style="2" customWidth="1"/>
    <col min="1234" max="1234" width="8.140625" style="2" customWidth="1"/>
    <col min="1235" max="1235" width="14.5703125" style="2" customWidth="1"/>
    <col min="1236" max="1236" width="37.42578125" style="2" customWidth="1"/>
    <col min="1237" max="1237" width="63.140625" style="2" customWidth="1"/>
    <col min="1238" max="1238" width="20" style="2" customWidth="1"/>
    <col min="1239" max="1239" width="11.140625" style="2" customWidth="1"/>
    <col min="1240" max="1240" width="10.85546875" style="2" customWidth="1"/>
    <col min="1241" max="1241" width="21" style="2" customWidth="1"/>
    <col min="1242" max="1242" width="10.85546875" style="2" customWidth="1"/>
    <col min="1243" max="1243" width="17.42578125" style="2" customWidth="1"/>
    <col min="1244" max="1244" width="14.85546875" style="2" customWidth="1"/>
    <col min="1245" max="1245" width="15" style="2" customWidth="1"/>
    <col min="1246" max="1246" width="14.85546875" style="2" customWidth="1"/>
    <col min="1247" max="1247" width="7.140625" style="2" customWidth="1"/>
    <col min="1248" max="1249" width="20.140625" style="2" customWidth="1"/>
    <col min="1250" max="1250" width="18.42578125" style="2" customWidth="1"/>
    <col min="1251" max="1251" width="9.140625" style="2" customWidth="1"/>
    <col min="1252" max="1252" width="12" style="2" customWidth="1"/>
    <col min="1253" max="1253" width="14.85546875" style="2" customWidth="1"/>
    <col min="1254" max="1254" width="22.42578125" style="2" customWidth="1"/>
    <col min="1255" max="1255" width="14.85546875" style="2" customWidth="1"/>
    <col min="1256" max="1256" width="7.140625" style="2" customWidth="1"/>
    <col min="1257" max="1257" width="20.140625" style="2" customWidth="1"/>
    <col min="1258" max="1489" width="8.85546875" style="2" customWidth="1"/>
    <col min="1490" max="1490" width="8.140625" style="2" customWidth="1"/>
    <col min="1491" max="1491" width="14.5703125" style="2" customWidth="1"/>
    <col min="1492" max="1492" width="37.42578125" style="2" customWidth="1"/>
    <col min="1493" max="1493" width="63.140625" style="2" customWidth="1"/>
    <col min="1494" max="1494" width="20" style="2" customWidth="1"/>
    <col min="1495" max="1495" width="11.140625" style="2" customWidth="1"/>
    <col min="1496" max="1496" width="10.85546875" style="2" customWidth="1"/>
    <col min="1497" max="1497" width="21" style="2" customWidth="1"/>
    <col min="1498" max="1498" width="10.85546875" style="2" customWidth="1"/>
    <col min="1499" max="1499" width="17.42578125" style="2" customWidth="1"/>
    <col min="1500" max="1500" width="14.85546875" style="2" customWidth="1"/>
    <col min="1501" max="1501" width="15" style="2" customWidth="1"/>
    <col min="1502" max="1502" width="14.85546875" style="2" customWidth="1"/>
    <col min="1503" max="1503" width="7.140625" style="2" customWidth="1"/>
    <col min="1504" max="1505" width="20.140625" style="2" customWidth="1"/>
    <col min="1506" max="1506" width="18.42578125" style="2" customWidth="1"/>
    <col min="1507" max="1507" width="9.140625" style="2" customWidth="1"/>
    <col min="1508" max="1508" width="12" style="2" customWidth="1"/>
    <col min="1509" max="1509" width="14.85546875" style="2" customWidth="1"/>
    <col min="1510" max="1510" width="22.42578125" style="2" customWidth="1"/>
    <col min="1511" max="1511" width="14.85546875" style="2" customWidth="1"/>
    <col min="1512" max="1512" width="7.140625" style="2" customWidth="1"/>
    <col min="1513" max="1513" width="20.140625" style="2" customWidth="1"/>
    <col min="1514" max="1745" width="8.85546875" style="2" customWidth="1"/>
    <col min="1746" max="1746" width="8.140625" style="2" customWidth="1"/>
    <col min="1747" max="1747" width="14.5703125" style="2" customWidth="1"/>
    <col min="1748" max="1748" width="37.42578125" style="2" customWidth="1"/>
    <col min="1749" max="1749" width="63.140625" style="2" customWidth="1"/>
    <col min="1750" max="1750" width="20" style="2" customWidth="1"/>
    <col min="1751" max="1751" width="11.140625" style="2" customWidth="1"/>
    <col min="1752" max="1752" width="10.85546875" style="2" customWidth="1"/>
    <col min="1753" max="1753" width="21" style="2" customWidth="1"/>
    <col min="1754" max="1754" width="10.85546875" style="2" customWidth="1"/>
    <col min="1755" max="1755" width="17.42578125" style="2" customWidth="1"/>
    <col min="1756" max="1756" width="14.85546875" style="2" customWidth="1"/>
    <col min="1757" max="1757" width="15" style="2" customWidth="1"/>
    <col min="1758" max="1758" width="14.85546875" style="2" customWidth="1"/>
    <col min="1759" max="1759" width="7.140625" style="2" customWidth="1"/>
    <col min="1760" max="1761" width="20.140625" style="2" customWidth="1"/>
    <col min="1762" max="1762" width="18.42578125" style="2" customWidth="1"/>
    <col min="1763" max="1763" width="9.140625" style="2" customWidth="1"/>
    <col min="1764" max="1764" width="12" style="2" customWidth="1"/>
    <col min="1765" max="1765" width="14.85546875" style="2" customWidth="1"/>
    <col min="1766" max="1766" width="22.42578125" style="2" customWidth="1"/>
    <col min="1767" max="1767" width="14.85546875" style="2" customWidth="1"/>
    <col min="1768" max="1768" width="7.140625" style="2" customWidth="1"/>
    <col min="1769" max="1769" width="20.140625" style="2" customWidth="1"/>
    <col min="1770" max="2001" width="8.85546875" style="2" customWidth="1"/>
    <col min="2002" max="2002" width="8.140625" style="2" customWidth="1"/>
    <col min="2003" max="2003" width="14.5703125" style="2" customWidth="1"/>
    <col min="2004" max="2004" width="37.42578125" style="2" customWidth="1"/>
    <col min="2005" max="2005" width="63.140625" style="2" customWidth="1"/>
    <col min="2006" max="2006" width="20" style="2" customWidth="1"/>
    <col min="2007" max="2007" width="11.140625" style="2" customWidth="1"/>
    <col min="2008" max="2008" width="10.85546875" style="2" customWidth="1"/>
    <col min="2009" max="2009" width="21" style="2" customWidth="1"/>
    <col min="2010" max="2010" width="10.85546875" style="2" customWidth="1"/>
    <col min="2011" max="2011" width="17.42578125" style="2" customWidth="1"/>
    <col min="2012" max="2012" width="14.85546875" style="2" customWidth="1"/>
    <col min="2013" max="2013" width="15" style="2" customWidth="1"/>
    <col min="2014" max="2014" width="14.85546875" style="2" customWidth="1"/>
    <col min="2015" max="2015" width="7.140625" style="2" customWidth="1"/>
    <col min="2016" max="2017" width="20.140625" style="2" customWidth="1"/>
    <col min="2018" max="2018" width="18.42578125" style="2" customWidth="1"/>
    <col min="2019" max="2019" width="9.140625" style="2" customWidth="1"/>
    <col min="2020" max="2020" width="12" style="2" customWidth="1"/>
    <col min="2021" max="2021" width="14.85546875" style="2" customWidth="1"/>
    <col min="2022" max="2022" width="22.42578125" style="2" customWidth="1"/>
    <col min="2023" max="2023" width="14.85546875" style="2" customWidth="1"/>
    <col min="2024" max="2024" width="7.140625" style="2" customWidth="1"/>
    <col min="2025" max="2025" width="20.140625" style="2" customWidth="1"/>
    <col min="2026" max="2257" width="8.85546875" style="2" customWidth="1"/>
    <col min="2258" max="2258" width="8.140625" style="2" customWidth="1"/>
    <col min="2259" max="2259" width="14.5703125" style="2" customWidth="1"/>
    <col min="2260" max="2260" width="37.42578125" style="2" customWidth="1"/>
    <col min="2261" max="2261" width="63.140625" style="2" customWidth="1"/>
    <col min="2262" max="2262" width="20" style="2" customWidth="1"/>
    <col min="2263" max="2263" width="11.140625" style="2" customWidth="1"/>
    <col min="2264" max="2264" width="10.85546875" style="2" customWidth="1"/>
    <col min="2265" max="2265" width="21" style="2" customWidth="1"/>
    <col min="2266" max="2266" width="10.85546875" style="2" customWidth="1"/>
    <col min="2267" max="2267" width="17.42578125" style="2" customWidth="1"/>
    <col min="2268" max="2268" width="14.85546875" style="2" customWidth="1"/>
    <col min="2269" max="2269" width="15" style="2" customWidth="1"/>
    <col min="2270" max="2270" width="14.85546875" style="2" customWidth="1"/>
    <col min="2271" max="2271" width="7.140625" style="2" customWidth="1"/>
    <col min="2272" max="2273" width="20.140625" style="2" customWidth="1"/>
    <col min="2274" max="2274" width="18.42578125" style="2" customWidth="1"/>
    <col min="2275" max="2275" width="9.140625" style="2" customWidth="1"/>
    <col min="2276" max="2276" width="12" style="2" customWidth="1"/>
    <col min="2277" max="2277" width="14.85546875" style="2" customWidth="1"/>
    <col min="2278" max="2278" width="22.42578125" style="2" customWidth="1"/>
    <col min="2279" max="2279" width="14.85546875" style="2" customWidth="1"/>
    <col min="2280" max="2280" width="7.140625" style="2" customWidth="1"/>
    <col min="2281" max="2281" width="20.140625" style="2" customWidth="1"/>
    <col min="2282" max="2513" width="8.85546875" style="2" customWidth="1"/>
    <col min="2514" max="2514" width="8.140625" style="2" customWidth="1"/>
    <col min="2515" max="2515" width="14.5703125" style="2" customWidth="1"/>
    <col min="2516" max="2516" width="37.42578125" style="2" customWidth="1"/>
    <col min="2517" max="2517" width="63.140625" style="2" customWidth="1"/>
    <col min="2518" max="2518" width="20" style="2" customWidth="1"/>
    <col min="2519" max="2519" width="11.140625" style="2" customWidth="1"/>
    <col min="2520" max="2520" width="10.85546875" style="2" customWidth="1"/>
    <col min="2521" max="2521" width="21" style="2" customWidth="1"/>
    <col min="2522" max="2522" width="10.85546875" style="2" customWidth="1"/>
    <col min="2523" max="2523" width="17.42578125" style="2" customWidth="1"/>
    <col min="2524" max="2524" width="14.85546875" style="2" customWidth="1"/>
    <col min="2525" max="2525" width="15" style="2" customWidth="1"/>
    <col min="2526" max="2526" width="14.85546875" style="2" customWidth="1"/>
    <col min="2527" max="2527" width="7.140625" style="2" customWidth="1"/>
    <col min="2528" max="2529" width="20.140625" style="2" customWidth="1"/>
    <col min="2530" max="2530" width="18.42578125" style="2" customWidth="1"/>
    <col min="2531" max="2531" width="9.140625" style="2" customWidth="1"/>
    <col min="2532" max="2532" width="12" style="2" customWidth="1"/>
    <col min="2533" max="2533" width="14.85546875" style="2" customWidth="1"/>
    <col min="2534" max="2534" width="22.42578125" style="2" customWidth="1"/>
    <col min="2535" max="2535" width="14.85546875" style="2" customWidth="1"/>
    <col min="2536" max="2536" width="7.140625" style="2" customWidth="1"/>
    <col min="2537" max="2537" width="20.140625" style="2" customWidth="1"/>
    <col min="2538" max="2769" width="8.85546875" style="2" customWidth="1"/>
    <col min="2770" max="2770" width="8.140625" style="2" customWidth="1"/>
    <col min="2771" max="2771" width="14.5703125" style="2" customWidth="1"/>
    <col min="2772" max="2772" width="37.42578125" style="2" customWidth="1"/>
    <col min="2773" max="2773" width="63.140625" style="2" customWidth="1"/>
    <col min="2774" max="2774" width="20" style="2" customWidth="1"/>
    <col min="2775" max="2775" width="11.140625" style="2" customWidth="1"/>
    <col min="2776" max="2776" width="10.85546875" style="2" customWidth="1"/>
    <col min="2777" max="2777" width="21" style="2" customWidth="1"/>
    <col min="2778" max="2778" width="10.85546875" style="2" customWidth="1"/>
    <col min="2779" max="2779" width="17.42578125" style="2" customWidth="1"/>
    <col min="2780" max="2780" width="14.85546875" style="2" customWidth="1"/>
    <col min="2781" max="2781" width="15" style="2" customWidth="1"/>
    <col min="2782" max="2782" width="14.85546875" style="2" customWidth="1"/>
    <col min="2783" max="2783" width="7.140625" style="2" customWidth="1"/>
    <col min="2784" max="2785" width="20.140625" style="2" customWidth="1"/>
    <col min="2786" max="2786" width="18.42578125" style="2" customWidth="1"/>
    <col min="2787" max="2787" width="9.140625" style="2" customWidth="1"/>
    <col min="2788" max="2788" width="12" style="2" customWidth="1"/>
    <col min="2789" max="2789" width="14.85546875" style="2" customWidth="1"/>
    <col min="2790" max="2790" width="22.42578125" style="2" customWidth="1"/>
    <col min="2791" max="2791" width="14.85546875" style="2" customWidth="1"/>
    <col min="2792" max="2792" width="7.140625" style="2" customWidth="1"/>
    <col min="2793" max="2793" width="20.140625" style="2" customWidth="1"/>
    <col min="2794" max="3025" width="8.85546875" style="2" customWidth="1"/>
    <col min="3026" max="3026" width="8.140625" style="2" customWidth="1"/>
    <col min="3027" max="3027" width="14.5703125" style="2" customWidth="1"/>
    <col min="3028" max="3028" width="37.42578125" style="2" customWidth="1"/>
    <col min="3029" max="3029" width="63.140625" style="2" customWidth="1"/>
    <col min="3030" max="3030" width="20" style="2" customWidth="1"/>
    <col min="3031" max="3031" width="11.140625" style="2" customWidth="1"/>
    <col min="3032" max="3032" width="10.85546875" style="2" customWidth="1"/>
    <col min="3033" max="3033" width="21" style="2" customWidth="1"/>
    <col min="3034" max="3034" width="10.85546875" style="2" customWidth="1"/>
    <col min="3035" max="3035" width="17.42578125" style="2" customWidth="1"/>
    <col min="3036" max="3036" width="14.85546875" style="2" customWidth="1"/>
    <col min="3037" max="3037" width="15" style="2" customWidth="1"/>
    <col min="3038" max="3038" width="14.85546875" style="2" customWidth="1"/>
    <col min="3039" max="3039" width="7.140625" style="2" customWidth="1"/>
    <col min="3040" max="3041" width="20.140625" style="2" customWidth="1"/>
    <col min="3042" max="3042" width="18.42578125" style="2" customWidth="1"/>
    <col min="3043" max="3043" width="9.140625" style="2" customWidth="1"/>
    <col min="3044" max="3044" width="12" style="2" customWidth="1"/>
    <col min="3045" max="3045" width="14.85546875" style="2" customWidth="1"/>
    <col min="3046" max="3046" width="22.42578125" style="2" customWidth="1"/>
    <col min="3047" max="3047" width="14.85546875" style="2" customWidth="1"/>
    <col min="3048" max="3048" width="7.140625" style="2" customWidth="1"/>
    <col min="3049" max="3049" width="20.140625" style="2" customWidth="1"/>
    <col min="3050" max="3281" width="8.85546875" style="2" customWidth="1"/>
    <col min="3282" max="3282" width="8.140625" style="2" customWidth="1"/>
    <col min="3283" max="3283" width="14.5703125" style="2" customWidth="1"/>
    <col min="3284" max="3284" width="37.42578125" style="2" customWidth="1"/>
    <col min="3285" max="3285" width="63.140625" style="2" customWidth="1"/>
    <col min="3286" max="3286" width="20" style="2" customWidth="1"/>
    <col min="3287" max="3287" width="11.140625" style="2" customWidth="1"/>
    <col min="3288" max="3288" width="10.85546875" style="2" customWidth="1"/>
    <col min="3289" max="3289" width="21" style="2" customWidth="1"/>
    <col min="3290" max="3290" width="10.85546875" style="2" customWidth="1"/>
    <col min="3291" max="3291" width="17.42578125" style="2" customWidth="1"/>
    <col min="3292" max="3292" width="14.85546875" style="2" customWidth="1"/>
    <col min="3293" max="3293" width="15" style="2" customWidth="1"/>
    <col min="3294" max="3294" width="14.85546875" style="2" customWidth="1"/>
    <col min="3295" max="3295" width="7.140625" style="2" customWidth="1"/>
    <col min="3296" max="3297" width="20.140625" style="2" customWidth="1"/>
    <col min="3298" max="3298" width="18.42578125" style="2" customWidth="1"/>
    <col min="3299" max="3299" width="9.140625" style="2" customWidth="1"/>
    <col min="3300" max="3300" width="12" style="2" customWidth="1"/>
    <col min="3301" max="3301" width="14.85546875" style="2" customWidth="1"/>
    <col min="3302" max="3302" width="22.42578125" style="2" customWidth="1"/>
    <col min="3303" max="3303" width="14.85546875" style="2" customWidth="1"/>
    <col min="3304" max="3304" width="7.140625" style="2" customWidth="1"/>
    <col min="3305" max="3305" width="20.140625" style="2" customWidth="1"/>
    <col min="3306" max="3537" width="8.85546875" style="2" customWidth="1"/>
    <col min="3538" max="3538" width="8.140625" style="2" customWidth="1"/>
    <col min="3539" max="3539" width="14.5703125" style="2" customWidth="1"/>
    <col min="3540" max="3540" width="37.42578125" style="2" customWidth="1"/>
    <col min="3541" max="3541" width="63.140625" style="2" customWidth="1"/>
    <col min="3542" max="3542" width="20" style="2" customWidth="1"/>
    <col min="3543" max="3543" width="11.140625" style="2" customWidth="1"/>
    <col min="3544" max="3544" width="10.85546875" style="2" customWidth="1"/>
    <col min="3545" max="3545" width="21" style="2" customWidth="1"/>
    <col min="3546" max="3546" width="10.85546875" style="2" customWidth="1"/>
    <col min="3547" max="3547" width="17.42578125" style="2" customWidth="1"/>
    <col min="3548" max="3548" width="14.85546875" style="2" customWidth="1"/>
    <col min="3549" max="3549" width="15" style="2" customWidth="1"/>
    <col min="3550" max="3550" width="14.85546875" style="2" customWidth="1"/>
    <col min="3551" max="3551" width="7.140625" style="2" customWidth="1"/>
    <col min="3552" max="3553" width="20.140625" style="2" customWidth="1"/>
    <col min="3554" max="3554" width="18.42578125" style="2" customWidth="1"/>
    <col min="3555" max="3555" width="9.140625" style="2" customWidth="1"/>
    <col min="3556" max="3556" width="12" style="2" customWidth="1"/>
    <col min="3557" max="3557" width="14.85546875" style="2" customWidth="1"/>
    <col min="3558" max="3558" width="22.42578125" style="2" customWidth="1"/>
    <col min="3559" max="3559" width="14.85546875" style="2" customWidth="1"/>
    <col min="3560" max="3560" width="7.140625" style="2" customWidth="1"/>
    <col min="3561" max="3561" width="20.140625" style="2" customWidth="1"/>
    <col min="3562" max="3793" width="8.85546875" style="2" customWidth="1"/>
    <col min="3794" max="3794" width="8.140625" style="2" customWidth="1"/>
    <col min="3795" max="3795" width="14.5703125" style="2" customWidth="1"/>
    <col min="3796" max="3796" width="37.42578125" style="2" customWidth="1"/>
    <col min="3797" max="3797" width="63.140625" style="2" customWidth="1"/>
    <col min="3798" max="3798" width="20" style="2" customWidth="1"/>
    <col min="3799" max="3799" width="11.140625" style="2" customWidth="1"/>
    <col min="3800" max="3800" width="10.85546875" style="2" customWidth="1"/>
    <col min="3801" max="3801" width="21" style="2" customWidth="1"/>
    <col min="3802" max="3802" width="10.85546875" style="2" customWidth="1"/>
    <col min="3803" max="3803" width="17.42578125" style="2" customWidth="1"/>
    <col min="3804" max="3804" width="14.85546875" style="2" customWidth="1"/>
    <col min="3805" max="3805" width="15" style="2" customWidth="1"/>
    <col min="3806" max="3806" width="14.85546875" style="2" customWidth="1"/>
    <col min="3807" max="3807" width="7.140625" style="2" customWidth="1"/>
    <col min="3808" max="3809" width="20.140625" style="2" customWidth="1"/>
    <col min="3810" max="3810" width="18.42578125" style="2" customWidth="1"/>
    <col min="3811" max="3811" width="9.140625" style="2" customWidth="1"/>
    <col min="3812" max="3812" width="12" style="2" customWidth="1"/>
    <col min="3813" max="3813" width="14.85546875" style="2" customWidth="1"/>
    <col min="3814" max="3814" width="22.42578125" style="2" customWidth="1"/>
    <col min="3815" max="3815" width="14.85546875" style="2" customWidth="1"/>
    <col min="3816" max="3816" width="7.140625" style="2" customWidth="1"/>
    <col min="3817" max="3817" width="20.140625" style="2" customWidth="1"/>
    <col min="3818" max="4049" width="8.85546875" style="2" customWidth="1"/>
    <col min="4050" max="4050" width="8.140625" style="2" customWidth="1"/>
    <col min="4051" max="4051" width="14.5703125" style="2" customWidth="1"/>
    <col min="4052" max="4052" width="37.42578125" style="2" customWidth="1"/>
    <col min="4053" max="4053" width="63.140625" style="2" customWidth="1"/>
    <col min="4054" max="4054" width="20" style="2" customWidth="1"/>
    <col min="4055" max="4055" width="11.140625" style="2" customWidth="1"/>
    <col min="4056" max="4056" width="10.85546875" style="2" customWidth="1"/>
    <col min="4057" max="4057" width="21" style="2" customWidth="1"/>
    <col min="4058" max="4058" width="10.85546875" style="2" customWidth="1"/>
    <col min="4059" max="4059" width="17.42578125" style="2" customWidth="1"/>
    <col min="4060" max="4060" width="14.85546875" style="2" customWidth="1"/>
    <col min="4061" max="4061" width="15" style="2" customWidth="1"/>
    <col min="4062" max="4062" width="14.85546875" style="2" customWidth="1"/>
    <col min="4063" max="4063" width="7.140625" style="2" customWidth="1"/>
    <col min="4064" max="4065" width="20.140625" style="2" customWidth="1"/>
    <col min="4066" max="4066" width="18.42578125" style="2" customWidth="1"/>
    <col min="4067" max="4067" width="9.140625" style="2" customWidth="1"/>
    <col min="4068" max="4068" width="12" style="2" customWidth="1"/>
    <col min="4069" max="4069" width="14.85546875" style="2" customWidth="1"/>
    <col min="4070" max="4070" width="22.42578125" style="2" customWidth="1"/>
    <col min="4071" max="4071" width="14.85546875" style="2" customWidth="1"/>
    <col min="4072" max="4072" width="7.140625" style="2" customWidth="1"/>
    <col min="4073" max="4073" width="20.140625" style="2" customWidth="1"/>
    <col min="4074" max="4305" width="8.85546875" style="2" customWidth="1"/>
    <col min="4306" max="4306" width="8.140625" style="2" customWidth="1"/>
    <col min="4307" max="4307" width="14.5703125" style="2" customWidth="1"/>
    <col min="4308" max="4308" width="37.42578125" style="2" customWidth="1"/>
    <col min="4309" max="4309" width="63.140625" style="2" customWidth="1"/>
    <col min="4310" max="4310" width="20" style="2" customWidth="1"/>
    <col min="4311" max="4311" width="11.140625" style="2" customWidth="1"/>
    <col min="4312" max="4312" width="10.85546875" style="2" customWidth="1"/>
    <col min="4313" max="4313" width="21" style="2" customWidth="1"/>
    <col min="4314" max="4314" width="10.85546875" style="2" customWidth="1"/>
    <col min="4315" max="4315" width="17.42578125" style="2" customWidth="1"/>
    <col min="4316" max="4316" width="14.85546875" style="2" customWidth="1"/>
    <col min="4317" max="4317" width="15" style="2" customWidth="1"/>
    <col min="4318" max="4318" width="14.85546875" style="2" customWidth="1"/>
    <col min="4319" max="4319" width="7.140625" style="2" customWidth="1"/>
    <col min="4320" max="4321" width="20.140625" style="2" customWidth="1"/>
    <col min="4322" max="4322" width="18.42578125" style="2" customWidth="1"/>
    <col min="4323" max="4323" width="9.140625" style="2" customWidth="1"/>
    <col min="4324" max="4324" width="12" style="2" customWidth="1"/>
    <col min="4325" max="4325" width="14.85546875" style="2" customWidth="1"/>
    <col min="4326" max="4326" width="22.42578125" style="2" customWidth="1"/>
    <col min="4327" max="4327" width="14.85546875" style="2" customWidth="1"/>
    <col min="4328" max="4328" width="7.140625" style="2" customWidth="1"/>
    <col min="4329" max="4329" width="20.140625" style="2" customWidth="1"/>
    <col min="4330" max="4561" width="8.85546875" style="2" customWidth="1"/>
    <col min="4562" max="4562" width="8.140625" style="2" customWidth="1"/>
    <col min="4563" max="4563" width="14.5703125" style="2" customWidth="1"/>
    <col min="4564" max="4564" width="37.42578125" style="2" customWidth="1"/>
    <col min="4565" max="4565" width="63.140625" style="2" customWidth="1"/>
    <col min="4566" max="4566" width="20" style="2" customWidth="1"/>
    <col min="4567" max="4567" width="11.140625" style="2" customWidth="1"/>
    <col min="4568" max="4568" width="10.85546875" style="2" customWidth="1"/>
    <col min="4569" max="4569" width="21" style="2" customWidth="1"/>
    <col min="4570" max="4570" width="10.85546875" style="2" customWidth="1"/>
    <col min="4571" max="4571" width="17.42578125" style="2" customWidth="1"/>
    <col min="4572" max="4572" width="14.85546875" style="2" customWidth="1"/>
    <col min="4573" max="4573" width="15" style="2" customWidth="1"/>
    <col min="4574" max="4574" width="14.85546875" style="2" customWidth="1"/>
    <col min="4575" max="4575" width="7.140625" style="2" customWidth="1"/>
    <col min="4576" max="4577" width="20.140625" style="2" customWidth="1"/>
    <col min="4578" max="4578" width="18.42578125" style="2" customWidth="1"/>
    <col min="4579" max="4579" width="9.140625" style="2" customWidth="1"/>
    <col min="4580" max="4580" width="12" style="2" customWidth="1"/>
    <col min="4581" max="4581" width="14.85546875" style="2" customWidth="1"/>
    <col min="4582" max="4582" width="22.42578125" style="2" customWidth="1"/>
    <col min="4583" max="4583" width="14.85546875" style="2" customWidth="1"/>
    <col min="4584" max="4584" width="7.140625" style="2" customWidth="1"/>
    <col min="4585" max="4585" width="20.140625" style="2" customWidth="1"/>
    <col min="4586" max="4817" width="8.85546875" style="2" customWidth="1"/>
    <col min="4818" max="4818" width="8.140625" style="2" customWidth="1"/>
    <col min="4819" max="4819" width="14.5703125" style="2" customWidth="1"/>
    <col min="4820" max="4820" width="37.42578125" style="2" customWidth="1"/>
    <col min="4821" max="4821" width="63.140625" style="2" customWidth="1"/>
    <col min="4822" max="4822" width="20" style="2" customWidth="1"/>
    <col min="4823" max="4823" width="11.140625" style="2" customWidth="1"/>
    <col min="4824" max="4824" width="10.85546875" style="2" customWidth="1"/>
    <col min="4825" max="4825" width="21" style="2" customWidth="1"/>
    <col min="4826" max="4826" width="10.85546875" style="2" customWidth="1"/>
    <col min="4827" max="4827" width="17.42578125" style="2" customWidth="1"/>
    <col min="4828" max="4828" width="14.85546875" style="2" customWidth="1"/>
    <col min="4829" max="4829" width="15" style="2" customWidth="1"/>
    <col min="4830" max="4830" width="14.85546875" style="2" customWidth="1"/>
    <col min="4831" max="4831" width="7.140625" style="2" customWidth="1"/>
    <col min="4832" max="4833" width="20.140625" style="2" customWidth="1"/>
    <col min="4834" max="4834" width="18.42578125" style="2" customWidth="1"/>
    <col min="4835" max="4835" width="9.140625" style="2" customWidth="1"/>
    <col min="4836" max="4836" width="12" style="2" customWidth="1"/>
    <col min="4837" max="4837" width="14.85546875" style="2" customWidth="1"/>
    <col min="4838" max="4838" width="22.42578125" style="2" customWidth="1"/>
    <col min="4839" max="4839" width="14.85546875" style="2" customWidth="1"/>
    <col min="4840" max="4840" width="7.140625" style="2" customWidth="1"/>
    <col min="4841" max="4841" width="20.140625" style="2" customWidth="1"/>
    <col min="4842" max="5073" width="8.85546875" style="2" customWidth="1"/>
    <col min="5074" max="5074" width="8.140625" style="2" customWidth="1"/>
    <col min="5075" max="5075" width="14.5703125" style="2" customWidth="1"/>
    <col min="5076" max="5076" width="37.42578125" style="2" customWidth="1"/>
    <col min="5077" max="5077" width="63.140625" style="2" customWidth="1"/>
    <col min="5078" max="5078" width="20" style="2" customWidth="1"/>
    <col min="5079" max="5079" width="11.140625" style="2" customWidth="1"/>
    <col min="5080" max="5080" width="10.85546875" style="2" customWidth="1"/>
    <col min="5081" max="5081" width="21" style="2" customWidth="1"/>
    <col min="5082" max="5082" width="10.85546875" style="2" customWidth="1"/>
    <col min="5083" max="5083" width="17.42578125" style="2" customWidth="1"/>
    <col min="5084" max="5084" width="14.85546875" style="2" customWidth="1"/>
    <col min="5085" max="5085" width="15" style="2" customWidth="1"/>
    <col min="5086" max="5086" width="14.85546875" style="2" customWidth="1"/>
    <col min="5087" max="5087" width="7.140625" style="2" customWidth="1"/>
    <col min="5088" max="5089" width="20.140625" style="2" customWidth="1"/>
    <col min="5090" max="5090" width="18.42578125" style="2" customWidth="1"/>
    <col min="5091" max="5091" width="9.140625" style="2" customWidth="1"/>
    <col min="5092" max="5092" width="12" style="2" customWidth="1"/>
    <col min="5093" max="5093" width="14.85546875" style="2" customWidth="1"/>
    <col min="5094" max="5094" width="22.42578125" style="2" customWidth="1"/>
    <col min="5095" max="5095" width="14.85546875" style="2" customWidth="1"/>
    <col min="5096" max="5096" width="7.140625" style="2" customWidth="1"/>
    <col min="5097" max="5097" width="20.140625" style="2" customWidth="1"/>
    <col min="5098" max="5329" width="8.85546875" style="2" customWidth="1"/>
    <col min="5330" max="5330" width="8.140625" style="2" customWidth="1"/>
    <col min="5331" max="5331" width="14.5703125" style="2" customWidth="1"/>
    <col min="5332" max="5332" width="37.42578125" style="2" customWidth="1"/>
    <col min="5333" max="5333" width="63.140625" style="2" customWidth="1"/>
    <col min="5334" max="5334" width="20" style="2" customWidth="1"/>
    <col min="5335" max="5335" width="11.140625" style="2" customWidth="1"/>
    <col min="5336" max="5336" width="10.85546875" style="2" customWidth="1"/>
    <col min="5337" max="5337" width="21" style="2" customWidth="1"/>
    <col min="5338" max="5338" width="10.85546875" style="2" customWidth="1"/>
    <col min="5339" max="5339" width="17.42578125" style="2" customWidth="1"/>
    <col min="5340" max="5340" width="14.85546875" style="2" customWidth="1"/>
    <col min="5341" max="5341" width="15" style="2" customWidth="1"/>
    <col min="5342" max="5342" width="14.85546875" style="2" customWidth="1"/>
    <col min="5343" max="5343" width="7.140625" style="2" customWidth="1"/>
    <col min="5344" max="5345" width="20.140625" style="2" customWidth="1"/>
    <col min="5346" max="5346" width="18.42578125" style="2" customWidth="1"/>
    <col min="5347" max="5347" width="9.140625" style="2" customWidth="1"/>
    <col min="5348" max="5348" width="12" style="2" customWidth="1"/>
    <col min="5349" max="5349" width="14.85546875" style="2" customWidth="1"/>
    <col min="5350" max="5350" width="22.42578125" style="2" customWidth="1"/>
    <col min="5351" max="5351" width="14.85546875" style="2" customWidth="1"/>
    <col min="5352" max="5352" width="7.140625" style="2" customWidth="1"/>
    <col min="5353" max="5353" width="20.140625" style="2" customWidth="1"/>
    <col min="5354" max="5585" width="8.85546875" style="2" customWidth="1"/>
    <col min="5586" max="5586" width="8.140625" style="2" customWidth="1"/>
    <col min="5587" max="5587" width="14.5703125" style="2" customWidth="1"/>
    <col min="5588" max="5588" width="37.42578125" style="2" customWidth="1"/>
    <col min="5589" max="5589" width="63.140625" style="2" customWidth="1"/>
    <col min="5590" max="5590" width="20" style="2" customWidth="1"/>
    <col min="5591" max="5591" width="11.140625" style="2" customWidth="1"/>
    <col min="5592" max="5592" width="10.85546875" style="2" customWidth="1"/>
    <col min="5593" max="5593" width="21" style="2" customWidth="1"/>
    <col min="5594" max="5594" width="10.85546875" style="2" customWidth="1"/>
    <col min="5595" max="5595" width="17.42578125" style="2" customWidth="1"/>
    <col min="5596" max="5596" width="14.85546875" style="2" customWidth="1"/>
    <col min="5597" max="5597" width="15" style="2" customWidth="1"/>
    <col min="5598" max="5598" width="14.85546875" style="2" customWidth="1"/>
    <col min="5599" max="5599" width="7.140625" style="2" customWidth="1"/>
    <col min="5600" max="5601" width="20.140625" style="2" customWidth="1"/>
    <col min="5602" max="5602" width="18.42578125" style="2" customWidth="1"/>
    <col min="5603" max="5603" width="9.140625" style="2" customWidth="1"/>
    <col min="5604" max="5604" width="12" style="2" customWidth="1"/>
    <col min="5605" max="5605" width="14.85546875" style="2" customWidth="1"/>
    <col min="5606" max="5606" width="22.42578125" style="2" customWidth="1"/>
    <col min="5607" max="5607" width="14.85546875" style="2" customWidth="1"/>
    <col min="5608" max="5608" width="7.140625" style="2" customWidth="1"/>
    <col min="5609" max="5609" width="20.140625" style="2" customWidth="1"/>
    <col min="5610" max="5841" width="8.85546875" style="2" customWidth="1"/>
    <col min="5842" max="5842" width="8.140625" style="2" customWidth="1"/>
    <col min="5843" max="5843" width="14.5703125" style="2" customWidth="1"/>
    <col min="5844" max="5844" width="37.42578125" style="2" customWidth="1"/>
    <col min="5845" max="5845" width="63.140625" style="2" customWidth="1"/>
    <col min="5846" max="5846" width="20" style="2" customWidth="1"/>
    <col min="5847" max="5847" width="11.140625" style="2" customWidth="1"/>
    <col min="5848" max="5848" width="10.85546875" style="2" customWidth="1"/>
    <col min="5849" max="5849" width="21" style="2" customWidth="1"/>
    <col min="5850" max="5850" width="10.85546875" style="2" customWidth="1"/>
    <col min="5851" max="5851" width="17.42578125" style="2" customWidth="1"/>
    <col min="5852" max="5852" width="14.85546875" style="2" customWidth="1"/>
    <col min="5853" max="5853" width="15" style="2" customWidth="1"/>
    <col min="5854" max="5854" width="14.85546875" style="2" customWidth="1"/>
    <col min="5855" max="5855" width="7.140625" style="2" customWidth="1"/>
    <col min="5856" max="5857" width="20.140625" style="2" customWidth="1"/>
    <col min="5858" max="5858" width="18.42578125" style="2" customWidth="1"/>
    <col min="5859" max="5859" width="9.140625" style="2" customWidth="1"/>
    <col min="5860" max="5860" width="12" style="2" customWidth="1"/>
    <col min="5861" max="5861" width="14.85546875" style="2" customWidth="1"/>
    <col min="5862" max="5862" width="22.42578125" style="2" customWidth="1"/>
    <col min="5863" max="5863" width="14.85546875" style="2" customWidth="1"/>
    <col min="5864" max="5864" width="7.140625" style="2" customWidth="1"/>
    <col min="5865" max="5865" width="20.140625" style="2" customWidth="1"/>
    <col min="5866" max="6097" width="8.85546875" style="2" customWidth="1"/>
    <col min="6098" max="6098" width="8.140625" style="2" customWidth="1"/>
    <col min="6099" max="6099" width="14.5703125" style="2" customWidth="1"/>
    <col min="6100" max="6100" width="37.42578125" style="2" customWidth="1"/>
    <col min="6101" max="6101" width="63.140625" style="2" customWidth="1"/>
    <col min="6102" max="6102" width="20" style="2" customWidth="1"/>
    <col min="6103" max="6103" width="11.140625" style="2" customWidth="1"/>
    <col min="6104" max="6104" width="10.85546875" style="2" customWidth="1"/>
    <col min="6105" max="6105" width="21" style="2" customWidth="1"/>
    <col min="6106" max="6106" width="10.85546875" style="2" customWidth="1"/>
    <col min="6107" max="6107" width="17.42578125" style="2" customWidth="1"/>
    <col min="6108" max="6108" width="14.85546875" style="2" customWidth="1"/>
    <col min="6109" max="6109" width="15" style="2" customWidth="1"/>
    <col min="6110" max="6110" width="14.85546875" style="2" customWidth="1"/>
    <col min="6111" max="6111" width="7.140625" style="2" customWidth="1"/>
    <col min="6112" max="6113" width="20.140625" style="2" customWidth="1"/>
    <col min="6114" max="6114" width="18.42578125" style="2" customWidth="1"/>
    <col min="6115" max="6115" width="9.140625" style="2" customWidth="1"/>
    <col min="6116" max="6116" width="12" style="2" customWidth="1"/>
    <col min="6117" max="6117" width="14.85546875" style="2" customWidth="1"/>
    <col min="6118" max="6118" width="22.42578125" style="2" customWidth="1"/>
    <col min="6119" max="6119" width="14.85546875" style="2" customWidth="1"/>
    <col min="6120" max="6120" width="7.140625" style="2" customWidth="1"/>
    <col min="6121" max="6121" width="20.140625" style="2" customWidth="1"/>
    <col min="6122" max="6353" width="8.85546875" style="2" customWidth="1"/>
    <col min="6354" max="6354" width="8.140625" style="2" customWidth="1"/>
    <col min="6355" max="6355" width="14.5703125" style="2" customWidth="1"/>
    <col min="6356" max="6356" width="37.42578125" style="2" customWidth="1"/>
    <col min="6357" max="6357" width="63.140625" style="2" customWidth="1"/>
    <col min="6358" max="6358" width="20" style="2" customWidth="1"/>
    <col min="6359" max="6359" width="11.140625" style="2" customWidth="1"/>
    <col min="6360" max="6360" width="10.85546875" style="2" customWidth="1"/>
    <col min="6361" max="6361" width="21" style="2" customWidth="1"/>
    <col min="6362" max="6362" width="10.85546875" style="2" customWidth="1"/>
    <col min="6363" max="6363" width="17.42578125" style="2" customWidth="1"/>
    <col min="6364" max="6364" width="14.85546875" style="2" customWidth="1"/>
    <col min="6365" max="6365" width="15" style="2" customWidth="1"/>
    <col min="6366" max="6366" width="14.85546875" style="2" customWidth="1"/>
    <col min="6367" max="6367" width="7.140625" style="2" customWidth="1"/>
    <col min="6368" max="6369" width="20.140625" style="2" customWidth="1"/>
    <col min="6370" max="6370" width="18.42578125" style="2" customWidth="1"/>
    <col min="6371" max="6371" width="9.140625" style="2" customWidth="1"/>
    <col min="6372" max="6372" width="12" style="2" customWidth="1"/>
    <col min="6373" max="6373" width="14.85546875" style="2" customWidth="1"/>
    <col min="6374" max="6374" width="22.42578125" style="2" customWidth="1"/>
    <col min="6375" max="6375" width="14.85546875" style="2" customWidth="1"/>
    <col min="6376" max="6376" width="7.140625" style="2" customWidth="1"/>
    <col min="6377" max="6377" width="20.140625" style="2" customWidth="1"/>
    <col min="6378" max="6609" width="8.85546875" style="2" customWidth="1"/>
    <col min="6610" max="6610" width="8.140625" style="2" customWidth="1"/>
    <col min="6611" max="6611" width="14.5703125" style="2" customWidth="1"/>
    <col min="6612" max="6612" width="37.42578125" style="2" customWidth="1"/>
    <col min="6613" max="6613" width="63.140625" style="2" customWidth="1"/>
    <col min="6614" max="6614" width="20" style="2" customWidth="1"/>
    <col min="6615" max="6615" width="11.140625" style="2" customWidth="1"/>
    <col min="6616" max="6616" width="10.85546875" style="2" customWidth="1"/>
    <col min="6617" max="6617" width="21" style="2" customWidth="1"/>
    <col min="6618" max="6618" width="10.85546875" style="2" customWidth="1"/>
    <col min="6619" max="6619" width="17.42578125" style="2" customWidth="1"/>
    <col min="6620" max="6620" width="14.85546875" style="2" customWidth="1"/>
    <col min="6621" max="6621" width="15" style="2" customWidth="1"/>
    <col min="6622" max="6622" width="14.85546875" style="2" customWidth="1"/>
    <col min="6623" max="6623" width="7.140625" style="2" customWidth="1"/>
    <col min="6624" max="6625" width="20.140625" style="2" customWidth="1"/>
    <col min="6626" max="6626" width="18.42578125" style="2" customWidth="1"/>
    <col min="6627" max="6627" width="9.140625" style="2" customWidth="1"/>
    <col min="6628" max="6628" width="12" style="2" customWidth="1"/>
    <col min="6629" max="6629" width="14.85546875" style="2" customWidth="1"/>
    <col min="6630" max="6630" width="22.42578125" style="2" customWidth="1"/>
    <col min="6631" max="6631" width="14.85546875" style="2" customWidth="1"/>
    <col min="6632" max="6632" width="7.140625" style="2" customWidth="1"/>
    <col min="6633" max="6633" width="20.140625" style="2" customWidth="1"/>
    <col min="6634" max="6865" width="8.85546875" style="2" customWidth="1"/>
    <col min="6866" max="6866" width="8.140625" style="2" customWidth="1"/>
    <col min="6867" max="6867" width="14.5703125" style="2" customWidth="1"/>
    <col min="6868" max="6868" width="37.42578125" style="2" customWidth="1"/>
    <col min="6869" max="6869" width="63.140625" style="2" customWidth="1"/>
    <col min="6870" max="6870" width="20" style="2" customWidth="1"/>
    <col min="6871" max="6871" width="11.140625" style="2" customWidth="1"/>
    <col min="6872" max="6872" width="10.85546875" style="2" customWidth="1"/>
    <col min="6873" max="6873" width="21" style="2" customWidth="1"/>
    <col min="6874" max="6874" width="10.85546875" style="2" customWidth="1"/>
    <col min="6875" max="6875" width="17.42578125" style="2" customWidth="1"/>
    <col min="6876" max="6876" width="14.85546875" style="2" customWidth="1"/>
    <col min="6877" max="6877" width="15" style="2" customWidth="1"/>
    <col min="6878" max="6878" width="14.85546875" style="2" customWidth="1"/>
    <col min="6879" max="6879" width="7.140625" style="2" customWidth="1"/>
    <col min="6880" max="6881" width="20.140625" style="2" customWidth="1"/>
    <col min="6882" max="6882" width="18.42578125" style="2" customWidth="1"/>
    <col min="6883" max="6883" width="9.140625" style="2" customWidth="1"/>
    <col min="6884" max="6884" width="12" style="2" customWidth="1"/>
    <col min="6885" max="6885" width="14.85546875" style="2" customWidth="1"/>
    <col min="6886" max="6886" width="22.42578125" style="2" customWidth="1"/>
    <col min="6887" max="6887" width="14.85546875" style="2" customWidth="1"/>
    <col min="6888" max="6888" width="7.140625" style="2" customWidth="1"/>
    <col min="6889" max="6889" width="20.140625" style="2" customWidth="1"/>
    <col min="6890" max="7121" width="8.85546875" style="2" customWidth="1"/>
    <col min="7122" max="7122" width="8.140625" style="2" customWidth="1"/>
    <col min="7123" max="7123" width="14.5703125" style="2" customWidth="1"/>
    <col min="7124" max="7124" width="37.42578125" style="2" customWidth="1"/>
    <col min="7125" max="7125" width="63.140625" style="2" customWidth="1"/>
    <col min="7126" max="7126" width="20" style="2" customWidth="1"/>
    <col min="7127" max="7127" width="11.140625" style="2" customWidth="1"/>
    <col min="7128" max="7128" width="10.85546875" style="2" customWidth="1"/>
    <col min="7129" max="7129" width="21" style="2" customWidth="1"/>
    <col min="7130" max="7130" width="10.85546875" style="2" customWidth="1"/>
    <col min="7131" max="7131" width="17.42578125" style="2" customWidth="1"/>
    <col min="7132" max="7132" width="14.85546875" style="2" customWidth="1"/>
    <col min="7133" max="7133" width="15" style="2" customWidth="1"/>
    <col min="7134" max="7134" width="14.85546875" style="2" customWidth="1"/>
    <col min="7135" max="7135" width="7.140625" style="2" customWidth="1"/>
    <col min="7136" max="7137" width="20.140625" style="2" customWidth="1"/>
    <col min="7138" max="7138" width="18.42578125" style="2" customWidth="1"/>
    <col min="7139" max="7139" width="9.140625" style="2" customWidth="1"/>
    <col min="7140" max="7140" width="12" style="2" customWidth="1"/>
    <col min="7141" max="7141" width="14.85546875" style="2" customWidth="1"/>
    <col min="7142" max="7142" width="22.42578125" style="2" customWidth="1"/>
    <col min="7143" max="7143" width="14.85546875" style="2" customWidth="1"/>
    <col min="7144" max="7144" width="7.140625" style="2" customWidth="1"/>
    <col min="7145" max="7145" width="20.140625" style="2" customWidth="1"/>
    <col min="7146" max="7377" width="8.85546875" style="2" customWidth="1"/>
    <col min="7378" max="7378" width="8.140625" style="2" customWidth="1"/>
    <col min="7379" max="7379" width="14.5703125" style="2" customWidth="1"/>
    <col min="7380" max="7380" width="37.42578125" style="2" customWidth="1"/>
    <col min="7381" max="7381" width="63.140625" style="2" customWidth="1"/>
    <col min="7382" max="7382" width="20" style="2" customWidth="1"/>
    <col min="7383" max="7383" width="11.140625" style="2" customWidth="1"/>
    <col min="7384" max="7384" width="10.85546875" style="2" customWidth="1"/>
    <col min="7385" max="7385" width="21" style="2" customWidth="1"/>
    <col min="7386" max="7386" width="10.85546875" style="2" customWidth="1"/>
    <col min="7387" max="7387" width="17.42578125" style="2" customWidth="1"/>
    <col min="7388" max="7388" width="14.85546875" style="2" customWidth="1"/>
    <col min="7389" max="7389" width="15" style="2" customWidth="1"/>
    <col min="7390" max="7390" width="14.85546875" style="2" customWidth="1"/>
    <col min="7391" max="7391" width="7.140625" style="2" customWidth="1"/>
    <col min="7392" max="7393" width="20.140625" style="2" customWidth="1"/>
    <col min="7394" max="7394" width="18.42578125" style="2" customWidth="1"/>
    <col min="7395" max="7395" width="9.140625" style="2" customWidth="1"/>
    <col min="7396" max="7396" width="12" style="2" customWidth="1"/>
    <col min="7397" max="7397" width="14.85546875" style="2" customWidth="1"/>
    <col min="7398" max="7398" width="22.42578125" style="2" customWidth="1"/>
    <col min="7399" max="7399" width="14.85546875" style="2" customWidth="1"/>
    <col min="7400" max="7400" width="7.140625" style="2" customWidth="1"/>
    <col min="7401" max="7401" width="20.140625" style="2" customWidth="1"/>
    <col min="7402" max="7633" width="8.85546875" style="2" customWidth="1"/>
    <col min="7634" max="7634" width="8.140625" style="2" customWidth="1"/>
    <col min="7635" max="7635" width="14.5703125" style="2" customWidth="1"/>
    <col min="7636" max="7636" width="37.42578125" style="2" customWidth="1"/>
    <col min="7637" max="7637" width="63.140625" style="2" customWidth="1"/>
    <col min="7638" max="7638" width="20" style="2" customWidth="1"/>
    <col min="7639" max="7639" width="11.140625" style="2" customWidth="1"/>
    <col min="7640" max="7640" width="10.85546875" style="2" customWidth="1"/>
    <col min="7641" max="7641" width="21" style="2" customWidth="1"/>
    <col min="7642" max="7642" width="10.85546875" style="2" customWidth="1"/>
    <col min="7643" max="7643" width="17.42578125" style="2" customWidth="1"/>
    <col min="7644" max="7644" width="14.85546875" style="2" customWidth="1"/>
    <col min="7645" max="7645" width="15" style="2" customWidth="1"/>
    <col min="7646" max="7646" width="14.85546875" style="2" customWidth="1"/>
    <col min="7647" max="7647" width="7.140625" style="2" customWidth="1"/>
    <col min="7648" max="7649" width="20.140625" style="2" customWidth="1"/>
    <col min="7650" max="7650" width="18.42578125" style="2" customWidth="1"/>
    <col min="7651" max="7651" width="9.140625" style="2" customWidth="1"/>
    <col min="7652" max="7652" width="12" style="2" customWidth="1"/>
    <col min="7653" max="7653" width="14.85546875" style="2" customWidth="1"/>
    <col min="7654" max="7654" width="22.42578125" style="2" customWidth="1"/>
    <col min="7655" max="7655" width="14.85546875" style="2" customWidth="1"/>
    <col min="7656" max="7656" width="7.140625" style="2" customWidth="1"/>
    <col min="7657" max="7657" width="20.140625" style="2" customWidth="1"/>
    <col min="7658" max="7889" width="8.85546875" style="2" customWidth="1"/>
    <col min="7890" max="7890" width="8.140625" style="2" customWidth="1"/>
    <col min="7891" max="7891" width="14.5703125" style="2" customWidth="1"/>
    <col min="7892" max="7892" width="37.42578125" style="2" customWidth="1"/>
    <col min="7893" max="7893" width="63.140625" style="2" customWidth="1"/>
    <col min="7894" max="7894" width="20" style="2" customWidth="1"/>
    <col min="7895" max="7895" width="11.140625" style="2" customWidth="1"/>
    <col min="7896" max="7896" width="10.85546875" style="2" customWidth="1"/>
    <col min="7897" max="7897" width="21" style="2" customWidth="1"/>
    <col min="7898" max="7898" width="10.85546875" style="2" customWidth="1"/>
    <col min="7899" max="7899" width="17.42578125" style="2" customWidth="1"/>
    <col min="7900" max="7900" width="14.85546875" style="2" customWidth="1"/>
    <col min="7901" max="7901" width="15" style="2" customWidth="1"/>
    <col min="7902" max="7902" width="14.85546875" style="2" customWidth="1"/>
    <col min="7903" max="7903" width="7.140625" style="2" customWidth="1"/>
    <col min="7904" max="7905" width="20.140625" style="2" customWidth="1"/>
    <col min="7906" max="7906" width="18.42578125" style="2" customWidth="1"/>
    <col min="7907" max="7907" width="9.140625" style="2" customWidth="1"/>
    <col min="7908" max="7908" width="12" style="2" customWidth="1"/>
    <col min="7909" max="7909" width="14.85546875" style="2" customWidth="1"/>
    <col min="7910" max="7910" width="22.42578125" style="2" customWidth="1"/>
    <col min="7911" max="7911" width="14.85546875" style="2" customWidth="1"/>
    <col min="7912" max="7912" width="7.140625" style="2" customWidth="1"/>
    <col min="7913" max="7913" width="20.140625" style="2" customWidth="1"/>
    <col min="7914" max="8145" width="8.85546875" style="2" customWidth="1"/>
    <col min="8146" max="8146" width="8.140625" style="2" customWidth="1"/>
    <col min="8147" max="8147" width="14.5703125" style="2" customWidth="1"/>
    <col min="8148" max="8148" width="37.42578125" style="2" customWidth="1"/>
    <col min="8149" max="8149" width="63.140625" style="2" customWidth="1"/>
    <col min="8150" max="8150" width="20" style="2" customWidth="1"/>
    <col min="8151" max="8151" width="11.140625" style="2" customWidth="1"/>
    <col min="8152" max="8152" width="10.85546875" style="2" customWidth="1"/>
    <col min="8153" max="8153" width="21" style="2" customWidth="1"/>
    <col min="8154" max="8154" width="10.85546875" style="2" customWidth="1"/>
    <col min="8155" max="8155" width="17.42578125" style="2" customWidth="1"/>
    <col min="8156" max="8156" width="14.85546875" style="2" customWidth="1"/>
    <col min="8157" max="8157" width="15" style="2" customWidth="1"/>
    <col min="8158" max="8158" width="14.85546875" style="2" customWidth="1"/>
    <col min="8159" max="8159" width="7.140625" style="2" customWidth="1"/>
    <col min="8160" max="8161" width="20.140625" style="2" customWidth="1"/>
    <col min="8162" max="8162" width="18.42578125" style="2" customWidth="1"/>
    <col min="8163" max="8163" width="9.140625" style="2" customWidth="1"/>
    <col min="8164" max="8164" width="12" style="2" customWidth="1"/>
    <col min="8165" max="8165" width="14.85546875" style="2" customWidth="1"/>
    <col min="8166" max="8166" width="22.42578125" style="2" customWidth="1"/>
    <col min="8167" max="8167" width="14.85546875" style="2" customWidth="1"/>
    <col min="8168" max="8168" width="7.140625" style="2" customWidth="1"/>
    <col min="8169" max="8169" width="20.140625" style="2" customWidth="1"/>
    <col min="8170" max="8401" width="8.85546875" style="2" customWidth="1"/>
    <col min="8402" max="8402" width="8.140625" style="2" customWidth="1"/>
    <col min="8403" max="8403" width="14.5703125" style="2" customWidth="1"/>
    <col min="8404" max="8404" width="37.42578125" style="2" customWidth="1"/>
    <col min="8405" max="8405" width="63.140625" style="2" customWidth="1"/>
    <col min="8406" max="8406" width="20" style="2" customWidth="1"/>
    <col min="8407" max="8407" width="11.140625" style="2" customWidth="1"/>
    <col min="8408" max="8408" width="10.85546875" style="2" customWidth="1"/>
    <col min="8409" max="8409" width="21" style="2" customWidth="1"/>
    <col min="8410" max="8410" width="10.85546875" style="2" customWidth="1"/>
    <col min="8411" max="8411" width="17.42578125" style="2" customWidth="1"/>
    <col min="8412" max="8412" width="14.85546875" style="2" customWidth="1"/>
    <col min="8413" max="8413" width="15" style="2" customWidth="1"/>
    <col min="8414" max="8414" width="14.85546875" style="2" customWidth="1"/>
    <col min="8415" max="8415" width="7.140625" style="2" customWidth="1"/>
    <col min="8416" max="8417" width="20.140625" style="2" customWidth="1"/>
    <col min="8418" max="8418" width="18.42578125" style="2" customWidth="1"/>
    <col min="8419" max="8419" width="9.140625" style="2" customWidth="1"/>
    <col min="8420" max="8420" width="12" style="2" customWidth="1"/>
    <col min="8421" max="8421" width="14.85546875" style="2" customWidth="1"/>
    <col min="8422" max="8422" width="22.42578125" style="2" customWidth="1"/>
    <col min="8423" max="8423" width="14.85546875" style="2" customWidth="1"/>
    <col min="8424" max="8424" width="7.140625" style="2" customWidth="1"/>
    <col min="8425" max="8425" width="20.140625" style="2" customWidth="1"/>
    <col min="8426" max="8657" width="8.85546875" style="2" customWidth="1"/>
    <col min="8658" max="8658" width="8.140625" style="2" customWidth="1"/>
    <col min="8659" max="8659" width="14.5703125" style="2" customWidth="1"/>
    <col min="8660" max="8660" width="37.42578125" style="2" customWidth="1"/>
    <col min="8661" max="8661" width="63.140625" style="2" customWidth="1"/>
    <col min="8662" max="8662" width="20" style="2" customWidth="1"/>
    <col min="8663" max="8663" width="11.140625" style="2" customWidth="1"/>
    <col min="8664" max="8664" width="10.85546875" style="2" customWidth="1"/>
    <col min="8665" max="8665" width="21" style="2" customWidth="1"/>
    <col min="8666" max="8666" width="10.85546875" style="2" customWidth="1"/>
    <col min="8667" max="8667" width="17.42578125" style="2" customWidth="1"/>
    <col min="8668" max="8668" width="14.85546875" style="2" customWidth="1"/>
    <col min="8669" max="8669" width="15" style="2" customWidth="1"/>
    <col min="8670" max="8670" width="14.85546875" style="2" customWidth="1"/>
    <col min="8671" max="8671" width="7.140625" style="2" customWidth="1"/>
    <col min="8672" max="8673" width="20.140625" style="2" customWidth="1"/>
    <col min="8674" max="8674" width="18.42578125" style="2" customWidth="1"/>
    <col min="8675" max="8675" width="9.140625" style="2" customWidth="1"/>
    <col min="8676" max="8676" width="12" style="2" customWidth="1"/>
    <col min="8677" max="8677" width="14.85546875" style="2" customWidth="1"/>
    <col min="8678" max="8678" width="22.42578125" style="2" customWidth="1"/>
    <col min="8679" max="8679" width="14.85546875" style="2" customWidth="1"/>
    <col min="8680" max="8680" width="7.140625" style="2" customWidth="1"/>
    <col min="8681" max="8681" width="20.140625" style="2" customWidth="1"/>
    <col min="8682" max="8913" width="8.85546875" style="2" customWidth="1"/>
    <col min="8914" max="8914" width="8.140625" style="2" customWidth="1"/>
    <col min="8915" max="8915" width="14.5703125" style="2" customWidth="1"/>
    <col min="8916" max="8916" width="37.42578125" style="2" customWidth="1"/>
    <col min="8917" max="8917" width="63.140625" style="2" customWidth="1"/>
    <col min="8918" max="8918" width="20" style="2" customWidth="1"/>
    <col min="8919" max="8919" width="11.140625" style="2" customWidth="1"/>
    <col min="8920" max="8920" width="10.85546875" style="2" customWidth="1"/>
    <col min="8921" max="8921" width="21" style="2" customWidth="1"/>
    <col min="8922" max="8922" width="10.85546875" style="2" customWidth="1"/>
    <col min="8923" max="8923" width="17.42578125" style="2" customWidth="1"/>
    <col min="8924" max="8924" width="14.85546875" style="2" customWidth="1"/>
    <col min="8925" max="8925" width="15" style="2" customWidth="1"/>
    <col min="8926" max="8926" width="14.85546875" style="2" customWidth="1"/>
    <col min="8927" max="8927" width="7.140625" style="2" customWidth="1"/>
    <col min="8928" max="8929" width="20.140625" style="2" customWidth="1"/>
    <col min="8930" max="8930" width="18.42578125" style="2" customWidth="1"/>
    <col min="8931" max="8931" width="9.140625" style="2" customWidth="1"/>
    <col min="8932" max="8932" width="12" style="2" customWidth="1"/>
    <col min="8933" max="8933" width="14.85546875" style="2" customWidth="1"/>
    <col min="8934" max="8934" width="22.42578125" style="2" customWidth="1"/>
    <col min="8935" max="8935" width="14.85546875" style="2" customWidth="1"/>
    <col min="8936" max="8936" width="7.140625" style="2" customWidth="1"/>
    <col min="8937" max="8937" width="20.140625" style="2" customWidth="1"/>
    <col min="8938" max="9169" width="8.85546875" style="2" customWidth="1"/>
    <col min="9170" max="9170" width="8.140625" style="2" customWidth="1"/>
    <col min="9171" max="9171" width="14.5703125" style="2" customWidth="1"/>
    <col min="9172" max="9172" width="37.42578125" style="2" customWidth="1"/>
    <col min="9173" max="9173" width="63.140625" style="2" customWidth="1"/>
    <col min="9174" max="9174" width="20" style="2" customWidth="1"/>
    <col min="9175" max="9175" width="11.140625" style="2" customWidth="1"/>
    <col min="9176" max="9176" width="10.85546875" style="2" customWidth="1"/>
    <col min="9177" max="9177" width="21" style="2" customWidth="1"/>
    <col min="9178" max="9178" width="10.85546875" style="2" customWidth="1"/>
    <col min="9179" max="9179" width="17.42578125" style="2" customWidth="1"/>
    <col min="9180" max="9180" width="14.85546875" style="2" customWidth="1"/>
    <col min="9181" max="9181" width="15" style="2" customWidth="1"/>
    <col min="9182" max="9182" width="14.85546875" style="2" customWidth="1"/>
    <col min="9183" max="9183" width="7.140625" style="2" customWidth="1"/>
    <col min="9184" max="9185" width="20.140625" style="2" customWidth="1"/>
    <col min="9186" max="9186" width="18.42578125" style="2" customWidth="1"/>
    <col min="9187" max="9187" width="9.140625" style="2" customWidth="1"/>
    <col min="9188" max="9188" width="12" style="2" customWidth="1"/>
    <col min="9189" max="9189" width="14.85546875" style="2" customWidth="1"/>
    <col min="9190" max="9190" width="22.42578125" style="2" customWidth="1"/>
    <col min="9191" max="9191" width="14.85546875" style="2" customWidth="1"/>
    <col min="9192" max="9192" width="7.140625" style="2" customWidth="1"/>
    <col min="9193" max="9193" width="20.140625" style="2" customWidth="1"/>
    <col min="9194" max="9425" width="8.85546875" style="2" customWidth="1"/>
    <col min="9426" max="9426" width="8.140625" style="2" customWidth="1"/>
    <col min="9427" max="9427" width="14.5703125" style="2" customWidth="1"/>
    <col min="9428" max="9428" width="37.42578125" style="2" customWidth="1"/>
    <col min="9429" max="9429" width="63.140625" style="2" customWidth="1"/>
    <col min="9430" max="9430" width="20" style="2" customWidth="1"/>
    <col min="9431" max="9431" width="11.140625" style="2" customWidth="1"/>
    <col min="9432" max="9432" width="10.85546875" style="2" customWidth="1"/>
    <col min="9433" max="9433" width="21" style="2" customWidth="1"/>
    <col min="9434" max="9434" width="10.85546875" style="2" customWidth="1"/>
    <col min="9435" max="9435" width="17.42578125" style="2" customWidth="1"/>
    <col min="9436" max="9436" width="14.85546875" style="2" customWidth="1"/>
    <col min="9437" max="9437" width="15" style="2" customWidth="1"/>
    <col min="9438" max="9438" width="14.85546875" style="2" customWidth="1"/>
    <col min="9439" max="9439" width="7.140625" style="2" customWidth="1"/>
    <col min="9440" max="9441" width="20.140625" style="2" customWidth="1"/>
    <col min="9442" max="9442" width="18.42578125" style="2" customWidth="1"/>
    <col min="9443" max="9443" width="9.140625" style="2" customWidth="1"/>
    <col min="9444" max="9444" width="12" style="2" customWidth="1"/>
    <col min="9445" max="9445" width="14.85546875" style="2" customWidth="1"/>
    <col min="9446" max="9446" width="22.42578125" style="2" customWidth="1"/>
    <col min="9447" max="9447" width="14.85546875" style="2" customWidth="1"/>
    <col min="9448" max="9448" width="7.140625" style="2" customWidth="1"/>
    <col min="9449" max="9449" width="20.140625" style="2" customWidth="1"/>
    <col min="9450" max="9681" width="8.85546875" style="2" customWidth="1"/>
    <col min="9682" max="9682" width="8.140625" style="2" customWidth="1"/>
    <col min="9683" max="9683" width="14.5703125" style="2" customWidth="1"/>
    <col min="9684" max="9684" width="37.42578125" style="2" customWidth="1"/>
    <col min="9685" max="9685" width="63.140625" style="2" customWidth="1"/>
    <col min="9686" max="9686" width="20" style="2" customWidth="1"/>
    <col min="9687" max="9687" width="11.140625" style="2" customWidth="1"/>
    <col min="9688" max="9688" width="10.85546875" style="2" customWidth="1"/>
    <col min="9689" max="9689" width="21" style="2" customWidth="1"/>
    <col min="9690" max="9690" width="10.85546875" style="2" customWidth="1"/>
    <col min="9691" max="9691" width="17.42578125" style="2" customWidth="1"/>
    <col min="9692" max="9692" width="14.85546875" style="2" customWidth="1"/>
    <col min="9693" max="9693" width="15" style="2" customWidth="1"/>
    <col min="9694" max="9694" width="14.85546875" style="2" customWidth="1"/>
    <col min="9695" max="9695" width="7.140625" style="2" customWidth="1"/>
    <col min="9696" max="9697" width="20.140625" style="2" customWidth="1"/>
    <col min="9698" max="9698" width="18.42578125" style="2" customWidth="1"/>
    <col min="9699" max="9699" width="9.140625" style="2" customWidth="1"/>
    <col min="9700" max="9700" width="12" style="2" customWidth="1"/>
    <col min="9701" max="9701" width="14.85546875" style="2" customWidth="1"/>
    <col min="9702" max="9702" width="22.42578125" style="2" customWidth="1"/>
    <col min="9703" max="9703" width="14.85546875" style="2" customWidth="1"/>
    <col min="9704" max="9704" width="7.140625" style="2" customWidth="1"/>
    <col min="9705" max="9705" width="20.140625" style="2" customWidth="1"/>
    <col min="9706" max="9937" width="8.85546875" style="2" customWidth="1"/>
    <col min="9938" max="9938" width="8.140625" style="2" customWidth="1"/>
    <col min="9939" max="9939" width="14.5703125" style="2" customWidth="1"/>
    <col min="9940" max="9940" width="37.42578125" style="2" customWidth="1"/>
    <col min="9941" max="9941" width="63.140625" style="2" customWidth="1"/>
    <col min="9942" max="9942" width="20" style="2" customWidth="1"/>
    <col min="9943" max="9943" width="11.140625" style="2" customWidth="1"/>
    <col min="9944" max="9944" width="10.85546875" style="2" customWidth="1"/>
    <col min="9945" max="9945" width="21" style="2" customWidth="1"/>
    <col min="9946" max="9946" width="10.85546875" style="2" customWidth="1"/>
    <col min="9947" max="9947" width="17.42578125" style="2" customWidth="1"/>
    <col min="9948" max="9948" width="14.85546875" style="2" customWidth="1"/>
    <col min="9949" max="9949" width="15" style="2" customWidth="1"/>
    <col min="9950" max="9950" width="14.85546875" style="2" customWidth="1"/>
    <col min="9951" max="9951" width="7.140625" style="2" customWidth="1"/>
    <col min="9952" max="9953" width="20.140625" style="2" customWidth="1"/>
    <col min="9954" max="9954" width="18.42578125" style="2" customWidth="1"/>
    <col min="9955" max="9955" width="9.140625" style="2" customWidth="1"/>
    <col min="9956" max="9956" width="12" style="2" customWidth="1"/>
    <col min="9957" max="9957" width="14.85546875" style="2" customWidth="1"/>
    <col min="9958" max="9958" width="22.42578125" style="2" customWidth="1"/>
    <col min="9959" max="9959" width="14.85546875" style="2" customWidth="1"/>
    <col min="9960" max="9960" width="7.140625" style="2" customWidth="1"/>
    <col min="9961" max="9961" width="20.140625" style="2" customWidth="1"/>
    <col min="9962" max="10193" width="8.85546875" style="2" customWidth="1"/>
    <col min="10194" max="10194" width="8.140625" style="2" customWidth="1"/>
    <col min="10195" max="10195" width="14.5703125" style="2" customWidth="1"/>
    <col min="10196" max="10196" width="37.42578125" style="2" customWidth="1"/>
    <col min="10197" max="10197" width="63.140625" style="2" customWidth="1"/>
    <col min="10198" max="10198" width="20" style="2" customWidth="1"/>
    <col min="10199" max="10199" width="11.140625" style="2" customWidth="1"/>
    <col min="10200" max="10200" width="10.85546875" style="2" customWidth="1"/>
    <col min="10201" max="10201" width="21" style="2" customWidth="1"/>
    <col min="10202" max="10202" width="10.85546875" style="2" customWidth="1"/>
    <col min="10203" max="10203" width="17.42578125" style="2" customWidth="1"/>
    <col min="10204" max="10204" width="14.85546875" style="2" customWidth="1"/>
    <col min="10205" max="10205" width="15" style="2" customWidth="1"/>
    <col min="10206" max="10206" width="14.85546875" style="2" customWidth="1"/>
    <col min="10207" max="10207" width="7.140625" style="2" customWidth="1"/>
    <col min="10208" max="10209" width="20.140625" style="2" customWidth="1"/>
    <col min="10210" max="10210" width="18.42578125" style="2" customWidth="1"/>
    <col min="10211" max="10211" width="9.140625" style="2" customWidth="1"/>
    <col min="10212" max="10212" width="12" style="2" customWidth="1"/>
    <col min="10213" max="10213" width="14.85546875" style="2" customWidth="1"/>
    <col min="10214" max="10214" width="22.42578125" style="2" customWidth="1"/>
    <col min="10215" max="10215" width="14.85546875" style="2" customWidth="1"/>
    <col min="10216" max="10216" width="7.140625" style="2" customWidth="1"/>
    <col min="10217" max="10217" width="20.140625" style="2" customWidth="1"/>
    <col min="10218" max="10449" width="8.85546875" style="2" customWidth="1"/>
    <col min="10450" max="10450" width="8.140625" style="2" customWidth="1"/>
    <col min="10451" max="10451" width="14.5703125" style="2" customWidth="1"/>
    <col min="10452" max="10452" width="37.42578125" style="2" customWidth="1"/>
    <col min="10453" max="10453" width="63.140625" style="2" customWidth="1"/>
    <col min="10454" max="10454" width="20" style="2" customWidth="1"/>
    <col min="10455" max="10455" width="11.140625" style="2" customWidth="1"/>
    <col min="10456" max="10456" width="10.85546875" style="2" customWidth="1"/>
    <col min="10457" max="10457" width="21" style="2" customWidth="1"/>
    <col min="10458" max="10458" width="10.85546875" style="2" customWidth="1"/>
    <col min="10459" max="10459" width="17.42578125" style="2" customWidth="1"/>
    <col min="10460" max="10460" width="14.85546875" style="2" customWidth="1"/>
    <col min="10461" max="10461" width="15" style="2" customWidth="1"/>
    <col min="10462" max="10462" width="14.85546875" style="2" customWidth="1"/>
    <col min="10463" max="10463" width="7.140625" style="2" customWidth="1"/>
    <col min="10464" max="10465" width="20.140625" style="2" customWidth="1"/>
    <col min="10466" max="10466" width="18.42578125" style="2" customWidth="1"/>
    <col min="10467" max="10467" width="9.140625" style="2" customWidth="1"/>
    <col min="10468" max="10468" width="12" style="2" customWidth="1"/>
    <col min="10469" max="10469" width="14.85546875" style="2" customWidth="1"/>
    <col min="10470" max="10470" width="22.42578125" style="2" customWidth="1"/>
    <col min="10471" max="10471" width="14.85546875" style="2" customWidth="1"/>
    <col min="10472" max="10472" width="7.140625" style="2" customWidth="1"/>
    <col min="10473" max="10473" width="20.140625" style="2" customWidth="1"/>
    <col min="10474" max="10705" width="8.85546875" style="2" customWidth="1"/>
    <col min="10706" max="10706" width="8.140625" style="2" customWidth="1"/>
    <col min="10707" max="10707" width="14.5703125" style="2" customWidth="1"/>
    <col min="10708" max="10708" width="37.42578125" style="2" customWidth="1"/>
    <col min="10709" max="10709" width="63.140625" style="2" customWidth="1"/>
    <col min="10710" max="10710" width="20" style="2" customWidth="1"/>
    <col min="10711" max="10711" width="11.140625" style="2" customWidth="1"/>
    <col min="10712" max="10712" width="10.85546875" style="2" customWidth="1"/>
    <col min="10713" max="10713" width="21" style="2" customWidth="1"/>
    <col min="10714" max="10714" width="10.85546875" style="2" customWidth="1"/>
    <col min="10715" max="10715" width="17.42578125" style="2" customWidth="1"/>
    <col min="10716" max="10716" width="14.85546875" style="2" customWidth="1"/>
    <col min="10717" max="10717" width="15" style="2" customWidth="1"/>
    <col min="10718" max="10718" width="14.85546875" style="2" customWidth="1"/>
    <col min="10719" max="10719" width="7.140625" style="2" customWidth="1"/>
    <col min="10720" max="10721" width="20.140625" style="2" customWidth="1"/>
    <col min="10722" max="10722" width="18.42578125" style="2" customWidth="1"/>
    <col min="10723" max="10723" width="9.140625" style="2" customWidth="1"/>
    <col min="10724" max="10724" width="12" style="2" customWidth="1"/>
    <col min="10725" max="10725" width="14.85546875" style="2" customWidth="1"/>
    <col min="10726" max="10726" width="22.42578125" style="2" customWidth="1"/>
    <col min="10727" max="10727" width="14.85546875" style="2" customWidth="1"/>
    <col min="10728" max="10728" width="7.140625" style="2" customWidth="1"/>
    <col min="10729" max="10729" width="20.140625" style="2" customWidth="1"/>
    <col min="10730" max="10961" width="8.85546875" style="2" customWidth="1"/>
    <col min="10962" max="10962" width="8.140625" style="2" customWidth="1"/>
    <col min="10963" max="10963" width="14.5703125" style="2" customWidth="1"/>
    <col min="10964" max="10964" width="37.42578125" style="2" customWidth="1"/>
    <col min="10965" max="10965" width="63.140625" style="2" customWidth="1"/>
    <col min="10966" max="10966" width="20" style="2" customWidth="1"/>
    <col min="10967" max="10967" width="11.140625" style="2" customWidth="1"/>
    <col min="10968" max="10968" width="10.85546875" style="2" customWidth="1"/>
    <col min="10969" max="10969" width="21" style="2" customWidth="1"/>
    <col min="10970" max="10970" width="10.85546875" style="2" customWidth="1"/>
    <col min="10971" max="10971" width="17.42578125" style="2" customWidth="1"/>
    <col min="10972" max="10972" width="14.85546875" style="2" customWidth="1"/>
    <col min="10973" max="10973" width="15" style="2" customWidth="1"/>
    <col min="10974" max="10974" width="14.85546875" style="2" customWidth="1"/>
    <col min="10975" max="10975" width="7.140625" style="2" customWidth="1"/>
    <col min="10976" max="10977" width="20.140625" style="2" customWidth="1"/>
    <col min="10978" max="10978" width="18.42578125" style="2" customWidth="1"/>
    <col min="10979" max="10979" width="9.140625" style="2" customWidth="1"/>
    <col min="10980" max="10980" width="12" style="2" customWidth="1"/>
    <col min="10981" max="10981" width="14.85546875" style="2" customWidth="1"/>
    <col min="10982" max="10982" width="22.42578125" style="2" customWidth="1"/>
    <col min="10983" max="10983" width="14.85546875" style="2" customWidth="1"/>
    <col min="10984" max="10984" width="7.140625" style="2" customWidth="1"/>
    <col min="10985" max="10985" width="20.140625" style="2" customWidth="1"/>
    <col min="10986" max="11217" width="8.85546875" style="2" customWidth="1"/>
    <col min="11218" max="11218" width="8.140625" style="2" customWidth="1"/>
    <col min="11219" max="11219" width="14.5703125" style="2" customWidth="1"/>
    <col min="11220" max="11220" width="37.42578125" style="2" customWidth="1"/>
    <col min="11221" max="11221" width="63.140625" style="2" customWidth="1"/>
    <col min="11222" max="11222" width="20" style="2" customWidth="1"/>
    <col min="11223" max="11223" width="11.140625" style="2" customWidth="1"/>
    <col min="11224" max="11224" width="10.85546875" style="2" customWidth="1"/>
    <col min="11225" max="11225" width="21" style="2" customWidth="1"/>
    <col min="11226" max="11226" width="10.85546875" style="2" customWidth="1"/>
    <col min="11227" max="11227" width="17.42578125" style="2" customWidth="1"/>
    <col min="11228" max="11228" width="14.85546875" style="2" customWidth="1"/>
    <col min="11229" max="11229" width="15" style="2" customWidth="1"/>
    <col min="11230" max="11230" width="14.85546875" style="2" customWidth="1"/>
    <col min="11231" max="11231" width="7.140625" style="2" customWidth="1"/>
    <col min="11232" max="11233" width="20.140625" style="2" customWidth="1"/>
    <col min="11234" max="11234" width="18.42578125" style="2" customWidth="1"/>
    <col min="11235" max="11235" width="9.140625" style="2" customWidth="1"/>
    <col min="11236" max="11236" width="12" style="2" customWidth="1"/>
    <col min="11237" max="11237" width="14.85546875" style="2" customWidth="1"/>
    <col min="11238" max="11238" width="22.42578125" style="2" customWidth="1"/>
    <col min="11239" max="11239" width="14.85546875" style="2" customWidth="1"/>
    <col min="11240" max="11240" width="7.140625" style="2" customWidth="1"/>
    <col min="11241" max="11241" width="20.140625" style="2" customWidth="1"/>
    <col min="11242" max="11473" width="8.85546875" style="2" customWidth="1"/>
    <col min="11474" max="11474" width="8.140625" style="2" customWidth="1"/>
    <col min="11475" max="11475" width="14.5703125" style="2" customWidth="1"/>
    <col min="11476" max="11476" width="37.42578125" style="2" customWidth="1"/>
    <col min="11477" max="11477" width="63.140625" style="2" customWidth="1"/>
    <col min="11478" max="11478" width="20" style="2" customWidth="1"/>
    <col min="11479" max="11479" width="11.140625" style="2" customWidth="1"/>
    <col min="11480" max="11480" width="10.85546875" style="2" customWidth="1"/>
    <col min="11481" max="11481" width="21" style="2" customWidth="1"/>
    <col min="11482" max="11482" width="10.85546875" style="2" customWidth="1"/>
    <col min="11483" max="11483" width="17.42578125" style="2" customWidth="1"/>
    <col min="11484" max="11484" width="14.85546875" style="2" customWidth="1"/>
    <col min="11485" max="11485" width="15" style="2" customWidth="1"/>
    <col min="11486" max="11486" width="14.85546875" style="2" customWidth="1"/>
    <col min="11487" max="11487" width="7.140625" style="2" customWidth="1"/>
    <col min="11488" max="11489" width="20.140625" style="2" customWidth="1"/>
    <col min="11490" max="11490" width="18.42578125" style="2" customWidth="1"/>
    <col min="11491" max="11491" width="9.140625" style="2" customWidth="1"/>
    <col min="11492" max="11492" width="12" style="2" customWidth="1"/>
    <col min="11493" max="11493" width="14.85546875" style="2" customWidth="1"/>
    <col min="11494" max="11494" width="22.42578125" style="2" customWidth="1"/>
    <col min="11495" max="11495" width="14.85546875" style="2" customWidth="1"/>
    <col min="11496" max="11496" width="7.140625" style="2" customWidth="1"/>
    <col min="11497" max="11497" width="20.140625" style="2" customWidth="1"/>
    <col min="11498" max="11729" width="8.85546875" style="2" customWidth="1"/>
    <col min="11730" max="11730" width="8.140625" style="2" customWidth="1"/>
    <col min="11731" max="11731" width="14.5703125" style="2" customWidth="1"/>
    <col min="11732" max="11732" width="37.42578125" style="2" customWidth="1"/>
    <col min="11733" max="11733" width="63.140625" style="2" customWidth="1"/>
    <col min="11734" max="11734" width="20" style="2" customWidth="1"/>
    <col min="11735" max="11735" width="11.140625" style="2" customWidth="1"/>
    <col min="11736" max="11736" width="10.85546875" style="2" customWidth="1"/>
    <col min="11737" max="11737" width="21" style="2" customWidth="1"/>
    <col min="11738" max="11738" width="10.85546875" style="2" customWidth="1"/>
    <col min="11739" max="11739" width="17.42578125" style="2" customWidth="1"/>
    <col min="11740" max="11740" width="14.85546875" style="2" customWidth="1"/>
    <col min="11741" max="11741" width="15" style="2" customWidth="1"/>
    <col min="11742" max="11742" width="14.85546875" style="2" customWidth="1"/>
    <col min="11743" max="11743" width="7.140625" style="2" customWidth="1"/>
    <col min="11744" max="11745" width="20.140625" style="2" customWidth="1"/>
    <col min="11746" max="11746" width="18.42578125" style="2" customWidth="1"/>
    <col min="11747" max="11747" width="9.140625" style="2" customWidth="1"/>
    <col min="11748" max="11748" width="12" style="2" customWidth="1"/>
    <col min="11749" max="11749" width="14.85546875" style="2" customWidth="1"/>
    <col min="11750" max="11750" width="22.42578125" style="2" customWidth="1"/>
    <col min="11751" max="11751" width="14.85546875" style="2" customWidth="1"/>
    <col min="11752" max="11752" width="7.140625" style="2" customWidth="1"/>
    <col min="11753" max="11753" width="20.140625" style="2" customWidth="1"/>
    <col min="11754" max="11985" width="8.85546875" style="2" customWidth="1"/>
    <col min="11986" max="11986" width="8.140625" style="2" customWidth="1"/>
    <col min="11987" max="11987" width="14.5703125" style="2" customWidth="1"/>
    <col min="11988" max="11988" width="37.42578125" style="2" customWidth="1"/>
    <col min="11989" max="11989" width="63.140625" style="2" customWidth="1"/>
    <col min="11990" max="11990" width="20" style="2" customWidth="1"/>
    <col min="11991" max="11991" width="11.140625" style="2" customWidth="1"/>
    <col min="11992" max="11992" width="10.85546875" style="2" customWidth="1"/>
    <col min="11993" max="11993" width="21" style="2" customWidth="1"/>
    <col min="11994" max="11994" width="10.85546875" style="2" customWidth="1"/>
    <col min="11995" max="11995" width="17.42578125" style="2" customWidth="1"/>
    <col min="11996" max="11996" width="14.85546875" style="2" customWidth="1"/>
    <col min="11997" max="11997" width="15" style="2" customWidth="1"/>
    <col min="11998" max="11998" width="14.85546875" style="2" customWidth="1"/>
    <col min="11999" max="11999" width="7.140625" style="2" customWidth="1"/>
    <col min="12000" max="12001" width="20.140625" style="2" customWidth="1"/>
    <col min="12002" max="12002" width="18.42578125" style="2" customWidth="1"/>
    <col min="12003" max="12003" width="9.140625" style="2" customWidth="1"/>
    <col min="12004" max="12004" width="12" style="2" customWidth="1"/>
    <col min="12005" max="12005" width="14.85546875" style="2" customWidth="1"/>
    <col min="12006" max="12006" width="22.42578125" style="2" customWidth="1"/>
    <col min="12007" max="12007" width="14.85546875" style="2" customWidth="1"/>
    <col min="12008" max="12008" width="7.140625" style="2" customWidth="1"/>
    <col min="12009" max="12009" width="20.140625" style="2" customWidth="1"/>
    <col min="12010" max="12241" width="8.85546875" style="2" customWidth="1"/>
    <col min="12242" max="12242" width="8.140625" style="2" customWidth="1"/>
    <col min="12243" max="12243" width="14.5703125" style="2" customWidth="1"/>
    <col min="12244" max="12244" width="37.42578125" style="2" customWidth="1"/>
    <col min="12245" max="12245" width="63.140625" style="2" customWidth="1"/>
    <col min="12246" max="12246" width="20" style="2" customWidth="1"/>
    <col min="12247" max="12247" width="11.140625" style="2" customWidth="1"/>
    <col min="12248" max="12248" width="10.85546875" style="2" customWidth="1"/>
    <col min="12249" max="12249" width="21" style="2" customWidth="1"/>
    <col min="12250" max="12250" width="10.85546875" style="2" customWidth="1"/>
    <col min="12251" max="12251" width="17.42578125" style="2" customWidth="1"/>
    <col min="12252" max="12252" width="14.85546875" style="2" customWidth="1"/>
    <col min="12253" max="12253" width="15" style="2" customWidth="1"/>
    <col min="12254" max="12254" width="14.85546875" style="2" customWidth="1"/>
    <col min="12255" max="12255" width="7.140625" style="2" customWidth="1"/>
    <col min="12256" max="12257" width="20.140625" style="2" customWidth="1"/>
    <col min="12258" max="12258" width="18.42578125" style="2" customWidth="1"/>
    <col min="12259" max="12259" width="9.140625" style="2" customWidth="1"/>
    <col min="12260" max="12260" width="12" style="2" customWidth="1"/>
    <col min="12261" max="12261" width="14.85546875" style="2" customWidth="1"/>
    <col min="12262" max="12262" width="22.42578125" style="2" customWidth="1"/>
    <col min="12263" max="12263" width="14.85546875" style="2" customWidth="1"/>
    <col min="12264" max="12264" width="7.140625" style="2" customWidth="1"/>
    <col min="12265" max="12265" width="20.140625" style="2" customWidth="1"/>
    <col min="12266" max="12497" width="8.85546875" style="2" customWidth="1"/>
    <col min="12498" max="12498" width="8.140625" style="2" customWidth="1"/>
    <col min="12499" max="12499" width="14.5703125" style="2" customWidth="1"/>
    <col min="12500" max="12500" width="37.42578125" style="2" customWidth="1"/>
    <col min="12501" max="12501" width="63.140625" style="2" customWidth="1"/>
    <col min="12502" max="12502" width="20" style="2" customWidth="1"/>
    <col min="12503" max="12503" width="11.140625" style="2" customWidth="1"/>
    <col min="12504" max="12504" width="10.85546875" style="2" customWidth="1"/>
    <col min="12505" max="12505" width="21" style="2" customWidth="1"/>
    <col min="12506" max="12506" width="10.85546875" style="2" customWidth="1"/>
    <col min="12507" max="12507" width="17.42578125" style="2" customWidth="1"/>
    <col min="12508" max="12508" width="14.85546875" style="2" customWidth="1"/>
    <col min="12509" max="12509" width="15" style="2" customWidth="1"/>
    <col min="12510" max="12510" width="14.85546875" style="2" customWidth="1"/>
    <col min="12511" max="12511" width="7.140625" style="2" customWidth="1"/>
    <col min="12512" max="12513" width="20.140625" style="2" customWidth="1"/>
    <col min="12514" max="12514" width="18.42578125" style="2" customWidth="1"/>
    <col min="12515" max="12515" width="9.140625" style="2" customWidth="1"/>
    <col min="12516" max="12516" width="12" style="2" customWidth="1"/>
    <col min="12517" max="12517" width="14.85546875" style="2" customWidth="1"/>
    <col min="12518" max="12518" width="22.42578125" style="2" customWidth="1"/>
    <col min="12519" max="12519" width="14.85546875" style="2" customWidth="1"/>
    <col min="12520" max="12520" width="7.140625" style="2" customWidth="1"/>
    <col min="12521" max="12521" width="20.140625" style="2" customWidth="1"/>
    <col min="12522" max="12753" width="8.85546875" style="2" customWidth="1"/>
    <col min="12754" max="12754" width="8.140625" style="2" customWidth="1"/>
    <col min="12755" max="12755" width="14.5703125" style="2" customWidth="1"/>
    <col min="12756" max="12756" width="37.42578125" style="2" customWidth="1"/>
    <col min="12757" max="12757" width="63.140625" style="2" customWidth="1"/>
    <col min="12758" max="12758" width="20" style="2" customWidth="1"/>
    <col min="12759" max="12759" width="11.140625" style="2" customWidth="1"/>
    <col min="12760" max="12760" width="10.85546875" style="2" customWidth="1"/>
    <col min="12761" max="12761" width="21" style="2" customWidth="1"/>
    <col min="12762" max="12762" width="10.85546875" style="2" customWidth="1"/>
    <col min="12763" max="12763" width="17.42578125" style="2" customWidth="1"/>
    <col min="12764" max="12764" width="14.85546875" style="2" customWidth="1"/>
    <col min="12765" max="12765" width="15" style="2" customWidth="1"/>
    <col min="12766" max="12766" width="14.85546875" style="2" customWidth="1"/>
    <col min="12767" max="12767" width="7.140625" style="2" customWidth="1"/>
    <col min="12768" max="12769" width="20.140625" style="2" customWidth="1"/>
    <col min="12770" max="12770" width="18.42578125" style="2" customWidth="1"/>
    <col min="12771" max="12771" width="9.140625" style="2" customWidth="1"/>
    <col min="12772" max="12772" width="12" style="2" customWidth="1"/>
    <col min="12773" max="12773" width="14.85546875" style="2" customWidth="1"/>
    <col min="12774" max="12774" width="22.42578125" style="2" customWidth="1"/>
    <col min="12775" max="12775" width="14.85546875" style="2" customWidth="1"/>
    <col min="12776" max="12776" width="7.140625" style="2" customWidth="1"/>
    <col min="12777" max="12777" width="20.140625" style="2" customWidth="1"/>
    <col min="12778" max="13009" width="8.85546875" style="2" customWidth="1"/>
    <col min="13010" max="13010" width="8.140625" style="2" customWidth="1"/>
    <col min="13011" max="13011" width="14.5703125" style="2" customWidth="1"/>
    <col min="13012" max="13012" width="37.42578125" style="2" customWidth="1"/>
    <col min="13013" max="13013" width="63.140625" style="2" customWidth="1"/>
    <col min="13014" max="13014" width="20" style="2" customWidth="1"/>
    <col min="13015" max="13015" width="11.140625" style="2" customWidth="1"/>
    <col min="13016" max="13016" width="10.85546875" style="2" customWidth="1"/>
    <col min="13017" max="13017" width="21" style="2" customWidth="1"/>
    <col min="13018" max="13018" width="10.85546875" style="2" customWidth="1"/>
    <col min="13019" max="13019" width="17.42578125" style="2" customWidth="1"/>
    <col min="13020" max="13020" width="14.85546875" style="2" customWidth="1"/>
    <col min="13021" max="13021" width="15" style="2" customWidth="1"/>
    <col min="13022" max="13022" width="14.85546875" style="2" customWidth="1"/>
    <col min="13023" max="13023" width="7.140625" style="2" customWidth="1"/>
    <col min="13024" max="13025" width="20.140625" style="2" customWidth="1"/>
    <col min="13026" max="13026" width="18.42578125" style="2" customWidth="1"/>
    <col min="13027" max="13027" width="9.140625" style="2" customWidth="1"/>
    <col min="13028" max="13028" width="12" style="2" customWidth="1"/>
    <col min="13029" max="13029" width="14.85546875" style="2" customWidth="1"/>
    <col min="13030" max="13030" width="22.42578125" style="2" customWidth="1"/>
    <col min="13031" max="13031" width="14.85546875" style="2" customWidth="1"/>
    <col min="13032" max="13032" width="7.140625" style="2" customWidth="1"/>
    <col min="13033" max="13033" width="20.140625" style="2" customWidth="1"/>
    <col min="13034" max="13265" width="8.85546875" style="2" customWidth="1"/>
    <col min="13266" max="13266" width="8.140625" style="2" customWidth="1"/>
    <col min="13267" max="13267" width="14.5703125" style="2" customWidth="1"/>
    <col min="13268" max="13268" width="37.42578125" style="2" customWidth="1"/>
    <col min="13269" max="13269" width="63.140625" style="2" customWidth="1"/>
    <col min="13270" max="13270" width="20" style="2" customWidth="1"/>
    <col min="13271" max="13271" width="11.140625" style="2" customWidth="1"/>
    <col min="13272" max="13272" width="10.85546875" style="2" customWidth="1"/>
    <col min="13273" max="13273" width="21" style="2" customWidth="1"/>
    <col min="13274" max="13274" width="10.85546875" style="2" customWidth="1"/>
    <col min="13275" max="13275" width="17.42578125" style="2" customWidth="1"/>
    <col min="13276" max="13276" width="14.85546875" style="2" customWidth="1"/>
    <col min="13277" max="13277" width="15" style="2" customWidth="1"/>
    <col min="13278" max="13278" width="14.85546875" style="2" customWidth="1"/>
    <col min="13279" max="13279" width="7.140625" style="2" customWidth="1"/>
    <col min="13280" max="13281" width="20.140625" style="2" customWidth="1"/>
    <col min="13282" max="13282" width="18.42578125" style="2" customWidth="1"/>
    <col min="13283" max="13283" width="9.140625" style="2" customWidth="1"/>
    <col min="13284" max="13284" width="12" style="2" customWidth="1"/>
    <col min="13285" max="13285" width="14.85546875" style="2" customWidth="1"/>
    <col min="13286" max="13286" width="22.42578125" style="2" customWidth="1"/>
    <col min="13287" max="13287" width="14.85546875" style="2" customWidth="1"/>
    <col min="13288" max="13288" width="7.140625" style="2" customWidth="1"/>
    <col min="13289" max="13289" width="20.140625" style="2" customWidth="1"/>
    <col min="13290" max="13521" width="8.85546875" style="2" customWidth="1"/>
    <col min="13522" max="13522" width="8.140625" style="2" customWidth="1"/>
    <col min="13523" max="13523" width="14.5703125" style="2" customWidth="1"/>
    <col min="13524" max="13524" width="37.42578125" style="2" customWidth="1"/>
    <col min="13525" max="13525" width="63.140625" style="2" customWidth="1"/>
    <col min="13526" max="13526" width="20" style="2" customWidth="1"/>
    <col min="13527" max="13527" width="11.140625" style="2" customWidth="1"/>
    <col min="13528" max="13528" width="10.85546875" style="2" customWidth="1"/>
    <col min="13529" max="13529" width="21" style="2" customWidth="1"/>
    <col min="13530" max="13530" width="10.85546875" style="2" customWidth="1"/>
    <col min="13531" max="13531" width="17.42578125" style="2" customWidth="1"/>
    <col min="13532" max="13532" width="14.85546875" style="2" customWidth="1"/>
    <col min="13533" max="13533" width="15" style="2" customWidth="1"/>
    <col min="13534" max="13534" width="14.85546875" style="2" customWidth="1"/>
    <col min="13535" max="13535" width="7.140625" style="2" customWidth="1"/>
    <col min="13536" max="13537" width="20.140625" style="2" customWidth="1"/>
    <col min="13538" max="13538" width="18.42578125" style="2" customWidth="1"/>
    <col min="13539" max="13539" width="9.140625" style="2" customWidth="1"/>
    <col min="13540" max="13540" width="12" style="2" customWidth="1"/>
    <col min="13541" max="13541" width="14.85546875" style="2" customWidth="1"/>
    <col min="13542" max="13542" width="22.42578125" style="2" customWidth="1"/>
    <col min="13543" max="13543" width="14.85546875" style="2" customWidth="1"/>
    <col min="13544" max="13544" width="7.140625" style="2" customWidth="1"/>
    <col min="13545" max="13545" width="20.140625" style="2" customWidth="1"/>
    <col min="13546" max="13777" width="8.85546875" style="2" customWidth="1"/>
    <col min="13778" max="13778" width="8.140625" style="2" customWidth="1"/>
    <col min="13779" max="13779" width="14.5703125" style="2" customWidth="1"/>
    <col min="13780" max="13780" width="37.42578125" style="2" customWidth="1"/>
    <col min="13781" max="13781" width="63.140625" style="2" customWidth="1"/>
    <col min="13782" max="13782" width="20" style="2" customWidth="1"/>
    <col min="13783" max="13783" width="11.140625" style="2" customWidth="1"/>
    <col min="13784" max="13784" width="10.85546875" style="2" customWidth="1"/>
    <col min="13785" max="13785" width="21" style="2" customWidth="1"/>
    <col min="13786" max="13786" width="10.85546875" style="2" customWidth="1"/>
    <col min="13787" max="13787" width="17.42578125" style="2" customWidth="1"/>
    <col min="13788" max="13788" width="14.85546875" style="2" customWidth="1"/>
    <col min="13789" max="13789" width="15" style="2" customWidth="1"/>
    <col min="13790" max="13790" width="14.85546875" style="2" customWidth="1"/>
    <col min="13791" max="13791" width="7.140625" style="2" customWidth="1"/>
    <col min="13792" max="13793" width="20.140625" style="2" customWidth="1"/>
    <col min="13794" max="13794" width="18.42578125" style="2" customWidth="1"/>
    <col min="13795" max="13795" width="9.140625" style="2" customWidth="1"/>
    <col min="13796" max="13796" width="12" style="2" customWidth="1"/>
    <col min="13797" max="13797" width="14.85546875" style="2" customWidth="1"/>
    <col min="13798" max="13798" width="22.42578125" style="2" customWidth="1"/>
    <col min="13799" max="13799" width="14.85546875" style="2" customWidth="1"/>
    <col min="13800" max="13800" width="7.140625" style="2" customWidth="1"/>
    <col min="13801" max="13801" width="20.140625" style="2" customWidth="1"/>
    <col min="13802" max="14033" width="8.85546875" style="2" customWidth="1"/>
    <col min="14034" max="14034" width="8.140625" style="2" customWidth="1"/>
    <col min="14035" max="14035" width="14.5703125" style="2" customWidth="1"/>
    <col min="14036" max="14036" width="37.42578125" style="2" customWidth="1"/>
    <col min="14037" max="14037" width="63.140625" style="2" customWidth="1"/>
    <col min="14038" max="14038" width="20" style="2" customWidth="1"/>
    <col min="14039" max="14039" width="11.140625" style="2" customWidth="1"/>
    <col min="14040" max="14040" width="10.85546875" style="2" customWidth="1"/>
    <col min="14041" max="14041" width="21" style="2" customWidth="1"/>
    <col min="14042" max="14042" width="10.85546875" style="2" customWidth="1"/>
    <col min="14043" max="14043" width="17.42578125" style="2" customWidth="1"/>
    <col min="14044" max="14044" width="14.85546875" style="2" customWidth="1"/>
    <col min="14045" max="14045" width="15" style="2" customWidth="1"/>
    <col min="14046" max="14046" width="14.85546875" style="2" customWidth="1"/>
    <col min="14047" max="14047" width="7.140625" style="2" customWidth="1"/>
    <col min="14048" max="14049" width="20.140625" style="2" customWidth="1"/>
    <col min="14050" max="14050" width="18.42578125" style="2" customWidth="1"/>
    <col min="14051" max="14051" width="9.140625" style="2" customWidth="1"/>
    <col min="14052" max="14052" width="12" style="2" customWidth="1"/>
    <col min="14053" max="14053" width="14.85546875" style="2" customWidth="1"/>
    <col min="14054" max="14054" width="22.42578125" style="2" customWidth="1"/>
    <col min="14055" max="14055" width="14.85546875" style="2" customWidth="1"/>
    <col min="14056" max="14056" width="7.140625" style="2" customWidth="1"/>
    <col min="14057" max="14057" width="20.140625" style="2" customWidth="1"/>
    <col min="14058" max="14289" width="8.85546875" style="2" customWidth="1"/>
    <col min="14290" max="14290" width="8.140625" style="2" customWidth="1"/>
    <col min="14291" max="14291" width="14.5703125" style="2" customWidth="1"/>
    <col min="14292" max="14292" width="37.42578125" style="2" customWidth="1"/>
    <col min="14293" max="14293" width="63.140625" style="2" customWidth="1"/>
    <col min="14294" max="14294" width="20" style="2" customWidth="1"/>
    <col min="14295" max="14295" width="11.140625" style="2" customWidth="1"/>
    <col min="14296" max="14296" width="10.85546875" style="2" customWidth="1"/>
    <col min="14297" max="14297" width="21" style="2" customWidth="1"/>
    <col min="14298" max="14298" width="10.85546875" style="2" customWidth="1"/>
    <col min="14299" max="14299" width="17.42578125" style="2" customWidth="1"/>
    <col min="14300" max="14300" width="14.85546875" style="2" customWidth="1"/>
    <col min="14301" max="14301" width="15" style="2" customWidth="1"/>
    <col min="14302" max="14302" width="14.85546875" style="2" customWidth="1"/>
    <col min="14303" max="14303" width="7.140625" style="2" customWidth="1"/>
    <col min="14304" max="14305" width="20.140625" style="2" customWidth="1"/>
    <col min="14306" max="14306" width="18.42578125" style="2" customWidth="1"/>
    <col min="14307" max="14307" width="9.140625" style="2" customWidth="1"/>
    <col min="14308" max="14308" width="12" style="2" customWidth="1"/>
    <col min="14309" max="14309" width="14.85546875" style="2" customWidth="1"/>
    <col min="14310" max="14310" width="22.42578125" style="2" customWidth="1"/>
    <col min="14311" max="14311" width="14.85546875" style="2" customWidth="1"/>
    <col min="14312" max="14312" width="7.140625" style="2" customWidth="1"/>
    <col min="14313" max="14313" width="20.140625" style="2" customWidth="1"/>
    <col min="14314" max="14545" width="8.85546875" style="2" customWidth="1"/>
    <col min="14546" max="14546" width="8.140625" style="2" customWidth="1"/>
    <col min="14547" max="14547" width="14.5703125" style="2" customWidth="1"/>
    <col min="14548" max="14548" width="37.42578125" style="2" customWidth="1"/>
    <col min="14549" max="14549" width="63.140625" style="2" customWidth="1"/>
    <col min="14550" max="14550" width="20" style="2" customWidth="1"/>
    <col min="14551" max="14551" width="11.140625" style="2" customWidth="1"/>
    <col min="14552" max="14552" width="10.85546875" style="2" customWidth="1"/>
    <col min="14553" max="14553" width="21" style="2" customWidth="1"/>
    <col min="14554" max="14554" width="10.85546875" style="2" customWidth="1"/>
    <col min="14555" max="14555" width="17.42578125" style="2" customWidth="1"/>
    <col min="14556" max="14556" width="14.85546875" style="2" customWidth="1"/>
    <col min="14557" max="14557" width="15" style="2" customWidth="1"/>
    <col min="14558" max="14558" width="14.85546875" style="2" customWidth="1"/>
    <col min="14559" max="14559" width="7.140625" style="2" customWidth="1"/>
    <col min="14560" max="14561" width="20.140625" style="2" customWidth="1"/>
    <col min="14562" max="14562" width="18.42578125" style="2" customWidth="1"/>
    <col min="14563" max="14563" width="9.140625" style="2" customWidth="1"/>
    <col min="14564" max="14564" width="12" style="2" customWidth="1"/>
    <col min="14565" max="14565" width="14.85546875" style="2" customWidth="1"/>
    <col min="14566" max="14566" width="22.42578125" style="2" customWidth="1"/>
    <col min="14567" max="14567" width="14.85546875" style="2" customWidth="1"/>
    <col min="14568" max="14568" width="7.140625" style="2" customWidth="1"/>
    <col min="14569" max="14569" width="20.140625" style="2" customWidth="1"/>
    <col min="14570" max="14801" width="8.85546875" style="2" customWidth="1"/>
    <col min="14802" max="14802" width="8.140625" style="2" customWidth="1"/>
    <col min="14803" max="14803" width="14.5703125" style="2" customWidth="1"/>
    <col min="14804" max="14804" width="37.42578125" style="2" customWidth="1"/>
    <col min="14805" max="14805" width="63.140625" style="2" customWidth="1"/>
    <col min="14806" max="14806" width="20" style="2" customWidth="1"/>
    <col min="14807" max="14807" width="11.140625" style="2" customWidth="1"/>
    <col min="14808" max="14808" width="10.85546875" style="2" customWidth="1"/>
    <col min="14809" max="14809" width="21" style="2" customWidth="1"/>
    <col min="14810" max="14810" width="10.85546875" style="2" customWidth="1"/>
    <col min="14811" max="14811" width="17.42578125" style="2" customWidth="1"/>
    <col min="14812" max="14812" width="14.85546875" style="2" customWidth="1"/>
    <col min="14813" max="14813" width="15" style="2" customWidth="1"/>
    <col min="14814" max="14814" width="14.85546875" style="2" customWidth="1"/>
    <col min="14815" max="14815" width="7.140625" style="2" customWidth="1"/>
    <col min="14816" max="14817" width="20.140625" style="2" customWidth="1"/>
    <col min="14818" max="14818" width="18.42578125" style="2" customWidth="1"/>
    <col min="14819" max="14819" width="9.140625" style="2" customWidth="1"/>
    <col min="14820" max="14820" width="12" style="2" customWidth="1"/>
    <col min="14821" max="14821" width="14.85546875" style="2" customWidth="1"/>
    <col min="14822" max="14822" width="22.42578125" style="2" customWidth="1"/>
    <col min="14823" max="14823" width="14.85546875" style="2" customWidth="1"/>
    <col min="14824" max="14824" width="7.140625" style="2" customWidth="1"/>
    <col min="14825" max="14825" width="20.140625" style="2" customWidth="1"/>
    <col min="14826" max="15057" width="8.85546875" style="2" customWidth="1"/>
    <col min="15058" max="15058" width="8.140625" style="2" customWidth="1"/>
    <col min="15059" max="15059" width="14.5703125" style="2" customWidth="1"/>
    <col min="15060" max="15060" width="37.42578125" style="2" customWidth="1"/>
    <col min="15061" max="15061" width="63.140625" style="2" customWidth="1"/>
    <col min="15062" max="15062" width="20" style="2" customWidth="1"/>
    <col min="15063" max="15063" width="11.140625" style="2" customWidth="1"/>
    <col min="15064" max="15064" width="10.85546875" style="2" customWidth="1"/>
    <col min="15065" max="15065" width="21" style="2" customWidth="1"/>
    <col min="15066" max="15066" width="10.85546875" style="2" customWidth="1"/>
    <col min="15067" max="15067" width="17.42578125" style="2" customWidth="1"/>
    <col min="15068" max="15068" width="14.85546875" style="2" customWidth="1"/>
    <col min="15069" max="15069" width="15" style="2" customWidth="1"/>
    <col min="15070" max="15070" width="14.85546875" style="2" customWidth="1"/>
    <col min="15071" max="15071" width="7.140625" style="2" customWidth="1"/>
    <col min="15072" max="15073" width="20.140625" style="2" customWidth="1"/>
    <col min="15074" max="15074" width="18.42578125" style="2" customWidth="1"/>
    <col min="15075" max="15075" width="9.140625" style="2" customWidth="1"/>
    <col min="15076" max="15076" width="12" style="2" customWidth="1"/>
    <col min="15077" max="15077" width="14.85546875" style="2" customWidth="1"/>
    <col min="15078" max="15078" width="22.42578125" style="2" customWidth="1"/>
    <col min="15079" max="15079" width="14.85546875" style="2" customWidth="1"/>
    <col min="15080" max="15080" width="7.140625" style="2" customWidth="1"/>
    <col min="15081" max="15081" width="20.140625" style="2" customWidth="1"/>
    <col min="15082" max="15313" width="8.85546875" style="2" customWidth="1"/>
    <col min="15314" max="15314" width="8.140625" style="2" customWidth="1"/>
    <col min="15315" max="15315" width="14.5703125" style="2" customWidth="1"/>
    <col min="15316" max="15316" width="37.42578125" style="2" customWidth="1"/>
    <col min="15317" max="15317" width="63.140625" style="2" customWidth="1"/>
    <col min="15318" max="15318" width="20" style="2" customWidth="1"/>
    <col min="15319" max="15319" width="11.140625" style="2" customWidth="1"/>
    <col min="15320" max="15320" width="10.85546875" style="2" customWidth="1"/>
    <col min="15321" max="15321" width="21" style="2" customWidth="1"/>
    <col min="15322" max="15322" width="10.85546875" style="2" customWidth="1"/>
    <col min="15323" max="15323" width="17.42578125" style="2" customWidth="1"/>
    <col min="15324" max="15324" width="14.85546875" style="2" customWidth="1"/>
    <col min="15325" max="15325" width="15" style="2" customWidth="1"/>
    <col min="15326" max="15326" width="14.85546875" style="2" customWidth="1"/>
    <col min="15327" max="15327" width="7.140625" style="2" customWidth="1"/>
    <col min="15328" max="15329" width="20.140625" style="2" customWidth="1"/>
    <col min="15330" max="15330" width="18.42578125" style="2" customWidth="1"/>
    <col min="15331" max="15331" width="9.140625" style="2" customWidth="1"/>
    <col min="15332" max="15332" width="12" style="2" customWidth="1"/>
    <col min="15333" max="15333" width="14.85546875" style="2" customWidth="1"/>
    <col min="15334" max="15334" width="22.42578125" style="2" customWidth="1"/>
    <col min="15335" max="15335" width="14.85546875" style="2" customWidth="1"/>
    <col min="15336" max="15336" width="7.140625" style="2" customWidth="1"/>
    <col min="15337" max="15337" width="20.140625" style="2" customWidth="1"/>
    <col min="15338" max="15569" width="8.85546875" style="2" customWidth="1"/>
    <col min="15570" max="15570" width="8.140625" style="2" customWidth="1"/>
    <col min="15571" max="15571" width="14.5703125" style="2" customWidth="1"/>
    <col min="15572" max="15572" width="37.42578125" style="2" customWidth="1"/>
    <col min="15573" max="15573" width="63.140625" style="2" customWidth="1"/>
    <col min="15574" max="15574" width="20" style="2" customWidth="1"/>
    <col min="15575" max="15575" width="11.140625" style="2" customWidth="1"/>
    <col min="15576" max="15576" width="10.85546875" style="2" customWidth="1"/>
    <col min="15577" max="15577" width="21" style="2" customWidth="1"/>
    <col min="15578" max="15578" width="10.85546875" style="2" customWidth="1"/>
    <col min="15579" max="15579" width="17.42578125" style="2" customWidth="1"/>
    <col min="15580" max="15580" width="14.85546875" style="2" customWidth="1"/>
    <col min="15581" max="15581" width="15" style="2" customWidth="1"/>
    <col min="15582" max="15582" width="14.85546875" style="2" customWidth="1"/>
    <col min="15583" max="15583" width="7.140625" style="2" customWidth="1"/>
    <col min="15584" max="15585" width="20.140625" style="2" customWidth="1"/>
    <col min="15586" max="15586" width="18.42578125" style="2" customWidth="1"/>
    <col min="15587" max="15587" width="9.140625" style="2" customWidth="1"/>
    <col min="15588" max="15588" width="12" style="2" customWidth="1"/>
    <col min="15589" max="15589" width="14.85546875" style="2" customWidth="1"/>
    <col min="15590" max="15590" width="22.42578125" style="2" customWidth="1"/>
    <col min="15591" max="15591" width="14.85546875" style="2" customWidth="1"/>
    <col min="15592" max="15592" width="7.140625" style="2" customWidth="1"/>
    <col min="15593" max="15593" width="20.140625" style="2" customWidth="1"/>
    <col min="15594" max="15825" width="8.85546875" style="2" customWidth="1"/>
    <col min="15826" max="15826" width="8.140625" style="2" customWidth="1"/>
    <col min="15827" max="15827" width="14.5703125" style="2" customWidth="1"/>
    <col min="15828" max="15828" width="37.42578125" style="2" customWidth="1"/>
    <col min="15829" max="15829" width="63.140625" style="2" customWidth="1"/>
    <col min="15830" max="15830" width="20" style="2" customWidth="1"/>
    <col min="15831" max="15831" width="11.140625" style="2" customWidth="1"/>
    <col min="15832" max="15832" width="10.85546875" style="2" customWidth="1"/>
    <col min="15833" max="15833" width="21" style="2" customWidth="1"/>
    <col min="15834" max="15834" width="10.85546875" style="2" customWidth="1"/>
    <col min="15835" max="15835" width="17.42578125" style="2" customWidth="1"/>
    <col min="15836" max="15836" width="14.85546875" style="2" customWidth="1"/>
    <col min="15837" max="15837" width="15" style="2" customWidth="1"/>
    <col min="15838" max="15838" width="14.85546875" style="2" customWidth="1"/>
    <col min="15839" max="15839" width="7.140625" style="2" customWidth="1"/>
    <col min="15840" max="15841" width="20.140625" style="2" customWidth="1"/>
    <col min="15842" max="15842" width="18.42578125" style="2" customWidth="1"/>
    <col min="15843" max="15843" width="9.140625" style="2" customWidth="1"/>
    <col min="15844" max="15844" width="12" style="2" customWidth="1"/>
    <col min="15845" max="15845" width="14.85546875" style="2" customWidth="1"/>
    <col min="15846" max="15846" width="22.42578125" style="2" customWidth="1"/>
    <col min="15847" max="15847" width="14.85546875" style="2" customWidth="1"/>
    <col min="15848" max="15848" width="7.140625" style="2" customWidth="1"/>
    <col min="15849" max="15849" width="20.140625" style="2" customWidth="1"/>
    <col min="15850" max="16081" width="8.85546875" style="2" customWidth="1"/>
    <col min="16082" max="16082" width="8.140625" style="2" customWidth="1"/>
    <col min="16083" max="16083" width="14.5703125" style="2" customWidth="1"/>
    <col min="16084" max="16084" width="37.42578125" style="2" customWidth="1"/>
    <col min="16085" max="16085" width="63.140625" style="2" customWidth="1"/>
    <col min="16086" max="16086" width="20" style="2" customWidth="1"/>
    <col min="16087" max="16087" width="11.140625" style="2" customWidth="1"/>
    <col min="16088" max="16088" width="10.85546875" style="2" customWidth="1"/>
    <col min="16089" max="16089" width="21" style="2" customWidth="1"/>
    <col min="16090" max="16090" width="10.85546875" style="2" customWidth="1"/>
    <col min="16091" max="16091" width="17.42578125" style="2" customWidth="1"/>
    <col min="16092" max="16092" width="14.85546875" style="2" customWidth="1"/>
    <col min="16093" max="16093" width="15" style="2" customWidth="1"/>
    <col min="16094" max="16094" width="14.85546875" style="2" customWidth="1"/>
    <col min="16095" max="16095" width="7.140625" style="2" customWidth="1"/>
    <col min="16096" max="16097" width="20.140625" style="2" customWidth="1"/>
    <col min="16098" max="16098" width="18.42578125" style="2" customWidth="1"/>
    <col min="16099" max="16099" width="9.140625" style="2" customWidth="1"/>
    <col min="16100" max="16100" width="12" style="2" customWidth="1"/>
    <col min="16101" max="16101" width="14.85546875" style="2" customWidth="1"/>
    <col min="16102" max="16102" width="22.42578125" style="2" customWidth="1"/>
    <col min="16103" max="16103" width="14.85546875" style="2" customWidth="1"/>
    <col min="16104" max="16104" width="7.140625" style="2" customWidth="1"/>
    <col min="16105" max="16105" width="20.140625" style="2" customWidth="1"/>
    <col min="16106" max="16384" width="8.85546875" style="2" customWidth="1"/>
  </cols>
  <sheetData>
    <row r="1" spans="1:21" ht="14.1" customHeight="1">
      <c r="A1" s="1" t="s">
        <v>3496</v>
      </c>
      <c r="B1" s="2"/>
      <c r="C1" s="2"/>
      <c r="D1" s="2"/>
      <c r="F1" s="2"/>
      <c r="H1" s="2"/>
      <c r="J1" s="2"/>
      <c r="K1" s="2"/>
      <c r="L1" s="2"/>
      <c r="M1" s="2"/>
      <c r="N1" s="2"/>
      <c r="O1" s="2"/>
      <c r="P1" s="2"/>
      <c r="R1" s="10"/>
    </row>
    <row r="2" spans="1:21" ht="14.1" customHeight="1">
      <c r="A2" s="4" t="s">
        <v>3497</v>
      </c>
      <c r="B2" s="2"/>
      <c r="C2" s="2"/>
      <c r="D2" s="2"/>
      <c r="F2" s="2"/>
      <c r="H2" s="4"/>
      <c r="J2" s="2"/>
      <c r="K2" s="4"/>
      <c r="L2" s="2"/>
      <c r="M2" s="2"/>
      <c r="N2" s="2"/>
      <c r="O2" s="2"/>
      <c r="P2" s="2"/>
      <c r="Q2" s="4"/>
      <c r="R2" s="336"/>
    </row>
    <row r="3" spans="1:21" s="6" customFormat="1" ht="14.1" customHeight="1">
      <c r="A3" s="3"/>
      <c r="B3" s="16"/>
      <c r="C3" s="16"/>
      <c r="D3" s="23"/>
      <c r="E3" s="16"/>
      <c r="F3" s="23"/>
      <c r="G3" s="15"/>
      <c r="H3" s="25"/>
      <c r="I3" s="15"/>
      <c r="J3" s="25"/>
      <c r="K3" s="25"/>
      <c r="L3" s="25"/>
      <c r="M3" s="25"/>
      <c r="N3" s="25"/>
      <c r="O3" s="25"/>
      <c r="P3" s="25"/>
      <c r="Q3" s="2"/>
      <c r="R3" s="355" t="s">
        <v>2</v>
      </c>
      <c r="S3" s="2"/>
      <c r="T3" s="2"/>
      <c r="U3" s="2"/>
    </row>
    <row r="4" spans="1:21" s="5" customFormat="1" ht="33" customHeight="1">
      <c r="A4" s="21" t="s">
        <v>3</v>
      </c>
      <c r="B4" s="52" t="s">
        <v>4</v>
      </c>
      <c r="C4" s="52" t="s">
        <v>5</v>
      </c>
      <c r="D4" s="21" t="s">
        <v>6</v>
      </c>
      <c r="E4" s="21" t="s">
        <v>7</v>
      </c>
      <c r="F4" s="21" t="s">
        <v>8</v>
      </c>
      <c r="G4" s="21" t="s">
        <v>9</v>
      </c>
      <c r="H4" s="21" t="s">
        <v>10</v>
      </c>
      <c r="I4" s="21" t="s">
        <v>11</v>
      </c>
      <c r="J4" s="21" t="s">
        <v>12</v>
      </c>
      <c r="K4" s="21" t="s">
        <v>13</v>
      </c>
      <c r="L4" s="21" t="s">
        <v>14</v>
      </c>
      <c r="M4" s="21" t="s">
        <v>15</v>
      </c>
      <c r="N4" s="21" t="s">
        <v>16</v>
      </c>
      <c r="O4" s="21" t="s">
        <v>17</v>
      </c>
      <c r="P4" s="21" t="s">
        <v>18</v>
      </c>
      <c r="Q4" s="3"/>
      <c r="R4" s="41" t="s">
        <v>19</v>
      </c>
      <c r="S4" s="3"/>
      <c r="T4" s="42" t="s">
        <v>20</v>
      </c>
      <c r="U4" s="42" t="s">
        <v>21</v>
      </c>
    </row>
    <row r="5" spans="1:21" ht="14.1" customHeight="1">
      <c r="A5" s="7">
        <v>1</v>
      </c>
      <c r="B5" s="14" t="s">
        <v>357</v>
      </c>
      <c r="C5" s="14" t="s">
        <v>3498</v>
      </c>
      <c r="D5" s="7" t="s">
        <v>684</v>
      </c>
      <c r="E5" s="62" t="s">
        <v>3499</v>
      </c>
      <c r="F5" s="7" t="s">
        <v>3500</v>
      </c>
      <c r="G5" s="8" t="s">
        <v>3501</v>
      </c>
      <c r="H5" s="7" t="s">
        <v>3502</v>
      </c>
      <c r="I5" s="8" t="s">
        <v>3503</v>
      </c>
      <c r="J5" s="7" t="s">
        <v>30</v>
      </c>
      <c r="K5" s="7" t="s">
        <v>3504</v>
      </c>
      <c r="L5" s="7" t="s">
        <v>360</v>
      </c>
      <c r="M5" s="7" t="s">
        <v>3505</v>
      </c>
      <c r="N5" s="7">
        <v>1</v>
      </c>
      <c r="O5" s="7">
        <v>60</v>
      </c>
      <c r="P5" s="7" t="s">
        <v>286</v>
      </c>
      <c r="R5" s="9">
        <v>665.30349383983321</v>
      </c>
      <c r="T5" s="7" t="s">
        <v>34</v>
      </c>
      <c r="U5" s="8"/>
    </row>
    <row r="6" spans="1:21" ht="14.1" customHeight="1">
      <c r="A6" s="7">
        <v>2</v>
      </c>
      <c r="B6" s="14" t="s">
        <v>357</v>
      </c>
      <c r="C6" s="14" t="s">
        <v>3498</v>
      </c>
      <c r="D6" s="7" t="s">
        <v>684</v>
      </c>
      <c r="E6" s="62" t="s">
        <v>3499</v>
      </c>
      <c r="F6" s="7" t="s">
        <v>3500</v>
      </c>
      <c r="G6" s="8" t="s">
        <v>3506</v>
      </c>
      <c r="H6" s="7" t="s">
        <v>3502</v>
      </c>
      <c r="I6" s="8" t="s">
        <v>3507</v>
      </c>
      <c r="J6" s="7" t="s">
        <v>30</v>
      </c>
      <c r="K6" s="7" t="s">
        <v>3504</v>
      </c>
      <c r="L6" s="7" t="s">
        <v>360</v>
      </c>
      <c r="M6" s="7" t="s">
        <v>3505</v>
      </c>
      <c r="N6" s="7">
        <v>1</v>
      </c>
      <c r="O6" s="7">
        <v>60</v>
      </c>
      <c r="P6" s="7" t="s">
        <v>286</v>
      </c>
      <c r="R6" s="9">
        <v>808.94989998905828</v>
      </c>
      <c r="T6" s="7" t="s">
        <v>34</v>
      </c>
      <c r="U6" s="8"/>
    </row>
    <row r="7" spans="1:21" ht="14.1" customHeight="1">
      <c r="A7" s="7">
        <v>3</v>
      </c>
      <c r="B7" s="14" t="s">
        <v>357</v>
      </c>
      <c r="C7" s="14" t="s">
        <v>3498</v>
      </c>
      <c r="D7" s="7" t="s">
        <v>684</v>
      </c>
      <c r="E7" s="62" t="s">
        <v>3499</v>
      </c>
      <c r="F7" s="7" t="s">
        <v>3500</v>
      </c>
      <c r="G7" s="8" t="s">
        <v>3508</v>
      </c>
      <c r="H7" s="7" t="s">
        <v>3502</v>
      </c>
      <c r="I7" s="8" t="s">
        <v>3509</v>
      </c>
      <c r="J7" s="7" t="s">
        <v>30</v>
      </c>
      <c r="K7" s="7" t="s">
        <v>3504</v>
      </c>
      <c r="L7" s="7" t="s">
        <v>360</v>
      </c>
      <c r="M7" s="7" t="s">
        <v>3505</v>
      </c>
      <c r="N7" s="7">
        <v>1</v>
      </c>
      <c r="O7" s="7">
        <v>60</v>
      </c>
      <c r="P7" s="7" t="s">
        <v>286</v>
      </c>
      <c r="R7" s="9">
        <v>885.58478823696964</v>
      </c>
      <c r="T7" s="7" t="s">
        <v>34</v>
      </c>
      <c r="U7" s="8"/>
    </row>
    <row r="8" spans="1:21" ht="14.1" customHeight="1">
      <c r="A8" s="7">
        <v>4</v>
      </c>
      <c r="B8" s="14" t="s">
        <v>357</v>
      </c>
      <c r="C8" s="14" t="s">
        <v>3498</v>
      </c>
      <c r="D8" s="7" t="s">
        <v>684</v>
      </c>
      <c r="E8" s="62" t="s">
        <v>3499</v>
      </c>
      <c r="F8" s="7" t="s">
        <v>3500</v>
      </c>
      <c r="G8" s="8" t="s">
        <v>3510</v>
      </c>
      <c r="H8" s="7" t="s">
        <v>3511</v>
      </c>
      <c r="I8" s="8" t="s">
        <v>3503</v>
      </c>
      <c r="J8" s="7" t="s">
        <v>30</v>
      </c>
      <c r="K8" s="7" t="s">
        <v>536</v>
      </c>
      <c r="L8" s="7" t="s">
        <v>360</v>
      </c>
      <c r="M8" s="7" t="s">
        <v>3505</v>
      </c>
      <c r="N8" s="7">
        <v>1</v>
      </c>
      <c r="O8" s="7">
        <v>60</v>
      </c>
      <c r="P8" s="7" t="s">
        <v>286</v>
      </c>
      <c r="R8" s="9">
        <v>610.02779343437169</v>
      </c>
      <c r="T8" s="7" t="s">
        <v>34</v>
      </c>
      <c r="U8" s="8"/>
    </row>
    <row r="9" spans="1:21" ht="14.1" customHeight="1">
      <c r="A9" s="7">
        <v>5</v>
      </c>
      <c r="B9" s="14" t="s">
        <v>357</v>
      </c>
      <c r="C9" s="14" t="s">
        <v>3498</v>
      </c>
      <c r="D9" s="7" t="s">
        <v>684</v>
      </c>
      <c r="E9" s="62" t="s">
        <v>3499</v>
      </c>
      <c r="F9" s="7" t="s">
        <v>3500</v>
      </c>
      <c r="G9" s="8" t="s">
        <v>3512</v>
      </c>
      <c r="H9" s="7" t="s">
        <v>3511</v>
      </c>
      <c r="I9" s="8" t="s">
        <v>3507</v>
      </c>
      <c r="J9" s="7" t="s">
        <v>30</v>
      </c>
      <c r="K9" s="7" t="s">
        <v>536</v>
      </c>
      <c r="L9" s="7" t="s">
        <v>360</v>
      </c>
      <c r="M9" s="7" t="s">
        <v>3505</v>
      </c>
      <c r="N9" s="7">
        <v>1</v>
      </c>
      <c r="O9" s="7">
        <v>60</v>
      </c>
      <c r="P9" s="7" t="s">
        <v>286</v>
      </c>
      <c r="R9" s="9">
        <v>753.67419958359653</v>
      </c>
      <c r="T9" s="7" t="s">
        <v>34</v>
      </c>
      <c r="U9" s="8"/>
    </row>
    <row r="10" spans="1:21" ht="14.1" customHeight="1">
      <c r="A10" s="7">
        <v>6</v>
      </c>
      <c r="B10" s="14" t="s">
        <v>357</v>
      </c>
      <c r="C10" s="14" t="s">
        <v>3498</v>
      </c>
      <c r="D10" s="7" t="s">
        <v>684</v>
      </c>
      <c r="E10" s="62" t="s">
        <v>3499</v>
      </c>
      <c r="F10" s="7" t="s">
        <v>3500</v>
      </c>
      <c r="G10" s="8" t="s">
        <v>3513</v>
      </c>
      <c r="H10" s="7" t="s">
        <v>3511</v>
      </c>
      <c r="I10" s="8" t="s">
        <v>3509</v>
      </c>
      <c r="J10" s="7" t="s">
        <v>30</v>
      </c>
      <c r="K10" s="7" t="s">
        <v>536</v>
      </c>
      <c r="L10" s="7" t="s">
        <v>360</v>
      </c>
      <c r="M10" s="7" t="s">
        <v>3505</v>
      </c>
      <c r="N10" s="7">
        <v>1</v>
      </c>
      <c r="O10" s="7">
        <v>60</v>
      </c>
      <c r="P10" s="7" t="s">
        <v>286</v>
      </c>
      <c r="R10" s="9">
        <v>830.30908783150812</v>
      </c>
      <c r="T10" s="7" t="s">
        <v>34</v>
      </c>
      <c r="U10" s="8"/>
    </row>
    <row r="11" spans="1:21" ht="14.1" customHeight="1">
      <c r="A11" s="7">
        <v>7</v>
      </c>
      <c r="B11" s="14" t="s">
        <v>357</v>
      </c>
      <c r="C11" s="14" t="s">
        <v>3498</v>
      </c>
      <c r="D11" s="7" t="s">
        <v>684</v>
      </c>
      <c r="E11" s="14" t="s">
        <v>3514</v>
      </c>
      <c r="F11" s="7" t="s">
        <v>3500</v>
      </c>
      <c r="G11" s="8" t="s">
        <v>3515</v>
      </c>
      <c r="H11" s="7" t="s">
        <v>3502</v>
      </c>
      <c r="I11" s="8" t="s">
        <v>3516</v>
      </c>
      <c r="J11" s="7" t="s">
        <v>123</v>
      </c>
      <c r="K11" s="7" t="s">
        <v>3504</v>
      </c>
      <c r="L11" s="7" t="s">
        <v>360</v>
      </c>
      <c r="M11" s="7" t="s">
        <v>3505</v>
      </c>
      <c r="N11" s="7">
        <v>1</v>
      </c>
      <c r="O11" s="7">
        <v>60</v>
      </c>
      <c r="P11" s="7" t="s">
        <v>286</v>
      </c>
      <c r="R11" s="9">
        <v>901.08038611233246</v>
      </c>
      <c r="T11" s="7" t="s">
        <v>34</v>
      </c>
      <c r="U11" s="8"/>
    </row>
    <row r="12" spans="1:21" ht="14.1" customHeight="1">
      <c r="A12" s="7">
        <v>8</v>
      </c>
      <c r="B12" s="14" t="s">
        <v>357</v>
      </c>
      <c r="C12" s="14" t="s">
        <v>3498</v>
      </c>
      <c r="D12" s="7" t="s">
        <v>684</v>
      </c>
      <c r="E12" s="14" t="s">
        <v>3514</v>
      </c>
      <c r="F12" s="7" t="s">
        <v>3500</v>
      </c>
      <c r="G12" s="8" t="s">
        <v>3517</v>
      </c>
      <c r="H12" s="7" t="s">
        <v>3502</v>
      </c>
      <c r="I12" s="8" t="s">
        <v>3518</v>
      </c>
      <c r="J12" s="7" t="s">
        <v>30</v>
      </c>
      <c r="K12" s="7" t="s">
        <v>3504</v>
      </c>
      <c r="L12" s="7" t="s">
        <v>360</v>
      </c>
      <c r="M12" s="7" t="s">
        <v>3505</v>
      </c>
      <c r="N12" s="7">
        <v>1</v>
      </c>
      <c r="O12" s="7">
        <v>60</v>
      </c>
      <c r="P12" s="7" t="s">
        <v>286</v>
      </c>
      <c r="R12" s="9">
        <v>858.12722366261016</v>
      </c>
      <c r="T12" s="7" t="s">
        <v>34</v>
      </c>
      <c r="U12" s="8"/>
    </row>
    <row r="13" spans="1:21" ht="14.1" customHeight="1">
      <c r="A13" s="7">
        <v>9</v>
      </c>
      <c r="B13" s="14" t="s">
        <v>357</v>
      </c>
      <c r="C13" s="14" t="s">
        <v>3498</v>
      </c>
      <c r="D13" s="7" t="s">
        <v>684</v>
      </c>
      <c r="E13" s="14" t="s">
        <v>3514</v>
      </c>
      <c r="F13" s="7" t="s">
        <v>3500</v>
      </c>
      <c r="G13" s="8" t="s">
        <v>3519</v>
      </c>
      <c r="H13" s="7" t="s">
        <v>3502</v>
      </c>
      <c r="I13" s="8" t="s">
        <v>3520</v>
      </c>
      <c r="J13" s="7" t="s">
        <v>30</v>
      </c>
      <c r="K13" s="7" t="s">
        <v>3504</v>
      </c>
      <c r="L13" s="7" t="s">
        <v>360</v>
      </c>
      <c r="M13" s="7" t="s">
        <v>3505</v>
      </c>
      <c r="N13" s="7">
        <v>1</v>
      </c>
      <c r="O13" s="7">
        <v>60</v>
      </c>
      <c r="P13" s="7" t="s">
        <v>286</v>
      </c>
      <c r="R13" s="9">
        <v>836.70264384507323</v>
      </c>
      <c r="T13" s="7" t="s">
        <v>34</v>
      </c>
      <c r="U13" s="8"/>
    </row>
    <row r="14" spans="1:21" ht="14.1" customHeight="1">
      <c r="A14" s="7">
        <v>10</v>
      </c>
      <c r="B14" s="14" t="s">
        <v>357</v>
      </c>
      <c r="C14" s="14" t="s">
        <v>3498</v>
      </c>
      <c r="D14" s="7" t="s">
        <v>684</v>
      </c>
      <c r="E14" s="14" t="s">
        <v>3514</v>
      </c>
      <c r="F14" s="7" t="s">
        <v>3500</v>
      </c>
      <c r="G14" s="8" t="s">
        <v>3521</v>
      </c>
      <c r="H14" s="7" t="s">
        <v>3502</v>
      </c>
      <c r="I14" s="8" t="s">
        <v>3522</v>
      </c>
      <c r="J14" s="7" t="s">
        <v>30</v>
      </c>
      <c r="K14" s="7" t="s">
        <v>3504</v>
      </c>
      <c r="L14" s="7" t="s">
        <v>360</v>
      </c>
      <c r="M14" s="7" t="s">
        <v>3505</v>
      </c>
      <c r="N14" s="7">
        <v>1</v>
      </c>
      <c r="O14" s="7">
        <v>60</v>
      </c>
      <c r="P14" s="7" t="s">
        <v>286</v>
      </c>
      <c r="R14" s="9">
        <v>944.03354856205465</v>
      </c>
      <c r="T14" s="7" t="s">
        <v>34</v>
      </c>
      <c r="U14" s="8"/>
    </row>
    <row r="15" spans="1:21" ht="14.1" customHeight="1">
      <c r="A15" s="7">
        <v>11</v>
      </c>
      <c r="B15" s="14" t="s">
        <v>357</v>
      </c>
      <c r="C15" s="14" t="s">
        <v>3498</v>
      </c>
      <c r="D15" s="7" t="s">
        <v>684</v>
      </c>
      <c r="E15" s="62" t="s">
        <v>3499</v>
      </c>
      <c r="F15" s="7" t="s">
        <v>3500</v>
      </c>
      <c r="G15" s="8" t="s">
        <v>3523</v>
      </c>
      <c r="H15" s="7" t="s">
        <v>3502</v>
      </c>
      <c r="I15" s="8" t="s">
        <v>3524</v>
      </c>
      <c r="J15" s="7" t="s">
        <v>30</v>
      </c>
      <c r="K15" s="7" t="s">
        <v>3504</v>
      </c>
      <c r="L15" s="7" t="s">
        <v>360</v>
      </c>
      <c r="M15" s="7" t="s">
        <v>3505</v>
      </c>
      <c r="N15" s="7">
        <v>1</v>
      </c>
      <c r="O15" s="7">
        <v>60</v>
      </c>
      <c r="P15" s="7" t="s">
        <v>286</v>
      </c>
      <c r="R15" s="9">
        <v>1128.770256332775</v>
      </c>
      <c r="T15" s="7" t="s">
        <v>34</v>
      </c>
      <c r="U15" s="8"/>
    </row>
    <row r="16" spans="1:21" ht="14.1" customHeight="1">
      <c r="A16" s="7">
        <v>12</v>
      </c>
      <c r="B16" s="14" t="s">
        <v>357</v>
      </c>
      <c r="C16" s="14" t="s">
        <v>3498</v>
      </c>
      <c r="D16" s="7" t="s">
        <v>684</v>
      </c>
      <c r="E16" s="62" t="s">
        <v>3499</v>
      </c>
      <c r="F16" s="7" t="s">
        <v>3500</v>
      </c>
      <c r="G16" s="8" t="s">
        <v>3525</v>
      </c>
      <c r="H16" s="7" t="s">
        <v>3502</v>
      </c>
      <c r="I16" s="8" t="s">
        <v>3526</v>
      </c>
      <c r="J16" s="7" t="s">
        <v>30</v>
      </c>
      <c r="K16" s="7" t="s">
        <v>3504</v>
      </c>
      <c r="L16" s="7" t="s">
        <v>360</v>
      </c>
      <c r="M16" s="7" t="s">
        <v>3505</v>
      </c>
      <c r="N16" s="7">
        <v>1</v>
      </c>
      <c r="O16" s="7">
        <v>60</v>
      </c>
      <c r="P16" s="7" t="s">
        <v>286</v>
      </c>
      <c r="R16" s="9">
        <v>1359.1982004683839</v>
      </c>
      <c r="T16" s="7" t="s">
        <v>34</v>
      </c>
      <c r="U16" s="8"/>
    </row>
    <row r="17" spans="1:21" ht="14.1" customHeight="1">
      <c r="A17" s="7">
        <v>13</v>
      </c>
      <c r="B17" s="14" t="s">
        <v>357</v>
      </c>
      <c r="C17" s="14" t="s">
        <v>3498</v>
      </c>
      <c r="D17" s="7" t="s">
        <v>684</v>
      </c>
      <c r="E17" s="62" t="s">
        <v>3499</v>
      </c>
      <c r="F17" s="7" t="s">
        <v>3500</v>
      </c>
      <c r="G17" s="8" t="s">
        <v>3527</v>
      </c>
      <c r="H17" s="7" t="s">
        <v>3502</v>
      </c>
      <c r="I17" s="8" t="s">
        <v>3528</v>
      </c>
      <c r="J17" s="7" t="s">
        <v>30</v>
      </c>
      <c r="K17" s="7" t="s">
        <v>3504</v>
      </c>
      <c r="L17" s="7" t="s">
        <v>360</v>
      </c>
      <c r="M17" s="7" t="s">
        <v>3505</v>
      </c>
      <c r="N17" s="7">
        <v>1</v>
      </c>
      <c r="O17" s="7">
        <v>60</v>
      </c>
      <c r="P17" s="7" t="s">
        <v>286</v>
      </c>
      <c r="R17" s="9">
        <v>1493.384157031541</v>
      </c>
      <c r="T17" s="7" t="s">
        <v>34</v>
      </c>
      <c r="U17" s="8"/>
    </row>
    <row r="18" spans="1:21" ht="14.1" customHeight="1">
      <c r="A18" s="7">
        <v>14</v>
      </c>
      <c r="B18" s="14" t="s">
        <v>357</v>
      </c>
      <c r="C18" s="14" t="s">
        <v>3498</v>
      </c>
      <c r="D18" s="7" t="s">
        <v>684</v>
      </c>
      <c r="E18" s="62" t="s">
        <v>3499</v>
      </c>
      <c r="F18" s="7" t="s">
        <v>3500</v>
      </c>
      <c r="G18" s="8" t="s">
        <v>3529</v>
      </c>
      <c r="H18" s="7" t="s">
        <v>3511</v>
      </c>
      <c r="I18" s="8" t="s">
        <v>3524</v>
      </c>
      <c r="J18" s="7" t="s">
        <v>30</v>
      </c>
      <c r="K18" s="7" t="s">
        <v>536</v>
      </c>
      <c r="L18" s="7" t="s">
        <v>360</v>
      </c>
      <c r="M18" s="7" t="s">
        <v>3505</v>
      </c>
      <c r="N18" s="7">
        <v>1</v>
      </c>
      <c r="O18" s="7">
        <v>60</v>
      </c>
      <c r="P18" s="7" t="s">
        <v>286</v>
      </c>
      <c r="R18" s="9">
        <v>1046.851488842907</v>
      </c>
      <c r="T18" s="7" t="s">
        <v>34</v>
      </c>
      <c r="U18" s="8"/>
    </row>
    <row r="19" spans="1:21" ht="14.1" customHeight="1">
      <c r="A19" s="7">
        <v>15</v>
      </c>
      <c r="B19" s="14" t="s">
        <v>357</v>
      </c>
      <c r="C19" s="14" t="s">
        <v>3498</v>
      </c>
      <c r="D19" s="7" t="s">
        <v>684</v>
      </c>
      <c r="E19" s="62" t="s">
        <v>3499</v>
      </c>
      <c r="F19" s="7" t="s">
        <v>3500</v>
      </c>
      <c r="G19" s="8" t="s">
        <v>3530</v>
      </c>
      <c r="H19" s="7" t="s">
        <v>3511</v>
      </c>
      <c r="I19" s="8" t="s">
        <v>3526</v>
      </c>
      <c r="J19" s="7" t="s">
        <v>30</v>
      </c>
      <c r="K19" s="7" t="s">
        <v>536</v>
      </c>
      <c r="L19" s="7" t="s">
        <v>360</v>
      </c>
      <c r="M19" s="7" t="s">
        <v>3505</v>
      </c>
      <c r="N19" s="7">
        <v>1</v>
      </c>
      <c r="O19" s="7">
        <v>60</v>
      </c>
      <c r="P19" s="7" t="s">
        <v>286</v>
      </c>
      <c r="R19" s="9">
        <v>1277.2794329785161</v>
      </c>
      <c r="T19" s="7" t="s">
        <v>34</v>
      </c>
      <c r="U19" s="8"/>
    </row>
    <row r="20" spans="1:21" ht="14.1" customHeight="1">
      <c r="A20" s="7">
        <v>16</v>
      </c>
      <c r="B20" s="14" t="s">
        <v>357</v>
      </c>
      <c r="C20" s="14" t="s">
        <v>3498</v>
      </c>
      <c r="D20" s="7" t="s">
        <v>684</v>
      </c>
      <c r="E20" s="62" t="s">
        <v>3499</v>
      </c>
      <c r="F20" s="7" t="s">
        <v>3500</v>
      </c>
      <c r="G20" s="8" t="s">
        <v>3531</v>
      </c>
      <c r="H20" s="7" t="s">
        <v>3511</v>
      </c>
      <c r="I20" s="8" t="s">
        <v>3528</v>
      </c>
      <c r="J20" s="7" t="s">
        <v>30</v>
      </c>
      <c r="K20" s="7" t="s">
        <v>536</v>
      </c>
      <c r="L20" s="7" t="s">
        <v>360</v>
      </c>
      <c r="M20" s="7" t="s">
        <v>3505</v>
      </c>
      <c r="N20" s="7">
        <v>1</v>
      </c>
      <c r="O20" s="7">
        <v>60</v>
      </c>
      <c r="P20" s="7" t="s">
        <v>286</v>
      </c>
      <c r="R20" s="9">
        <v>1411.4653895416741</v>
      </c>
      <c r="T20" s="7" t="s">
        <v>34</v>
      </c>
      <c r="U20" s="8"/>
    </row>
    <row r="21" spans="1:21" ht="14.1" customHeight="1">
      <c r="A21" s="7">
        <v>17</v>
      </c>
      <c r="B21" s="14" t="s">
        <v>357</v>
      </c>
      <c r="C21" s="14" t="s">
        <v>3498</v>
      </c>
      <c r="D21" s="7" t="s">
        <v>684</v>
      </c>
      <c r="E21" s="14" t="s">
        <v>3514</v>
      </c>
      <c r="F21" s="7" t="s">
        <v>3500</v>
      </c>
      <c r="G21" s="8" t="s">
        <v>3532</v>
      </c>
      <c r="H21" s="7" t="s">
        <v>3502</v>
      </c>
      <c r="I21" s="8" t="s">
        <v>3533</v>
      </c>
      <c r="J21" s="7" t="s">
        <v>30</v>
      </c>
      <c r="K21" s="7" t="s">
        <v>3504</v>
      </c>
      <c r="L21" s="7" t="s">
        <v>360</v>
      </c>
      <c r="M21" s="7" t="s">
        <v>3505</v>
      </c>
      <c r="N21" s="7">
        <v>1</v>
      </c>
      <c r="O21" s="7">
        <v>60</v>
      </c>
      <c r="P21" s="7" t="s">
        <v>286</v>
      </c>
      <c r="R21" s="9">
        <v>1675.3818340727969</v>
      </c>
      <c r="T21" s="7" t="s">
        <v>34</v>
      </c>
      <c r="U21" s="8"/>
    </row>
    <row r="22" spans="1:21" ht="14.1" customHeight="1">
      <c r="A22" s="7">
        <v>18</v>
      </c>
      <c r="B22" s="14" t="s">
        <v>357</v>
      </c>
      <c r="C22" s="14" t="s">
        <v>3498</v>
      </c>
      <c r="D22" s="7" t="s">
        <v>684</v>
      </c>
      <c r="E22" s="14" t="s">
        <v>3514</v>
      </c>
      <c r="F22" s="7" t="s">
        <v>3500</v>
      </c>
      <c r="G22" s="8" t="s">
        <v>3534</v>
      </c>
      <c r="H22" s="7" t="s">
        <v>3502</v>
      </c>
      <c r="I22" s="8" t="s">
        <v>3535</v>
      </c>
      <c r="J22" s="7" t="s">
        <v>30</v>
      </c>
      <c r="K22" s="7" t="s">
        <v>3504</v>
      </c>
      <c r="L22" s="7" t="s">
        <v>360</v>
      </c>
      <c r="M22" s="7" t="s">
        <v>3505</v>
      </c>
      <c r="N22" s="7">
        <v>1</v>
      </c>
      <c r="O22" s="7">
        <v>60</v>
      </c>
      <c r="P22" s="7" t="s">
        <v>286</v>
      </c>
      <c r="R22" s="9">
        <v>1675.3818340727969</v>
      </c>
      <c r="T22" s="7" t="s">
        <v>34</v>
      </c>
      <c r="U22" s="8"/>
    </row>
    <row r="23" spans="1:21" ht="14.1" customHeight="1">
      <c r="A23" s="7">
        <v>19</v>
      </c>
      <c r="B23" s="14" t="s">
        <v>357</v>
      </c>
      <c r="C23" s="14" t="s">
        <v>3498</v>
      </c>
      <c r="D23" s="7" t="s">
        <v>684</v>
      </c>
      <c r="E23" s="14" t="s">
        <v>3514</v>
      </c>
      <c r="F23" s="7" t="s">
        <v>3500</v>
      </c>
      <c r="G23" s="8" t="s">
        <v>3536</v>
      </c>
      <c r="H23" s="7" t="s">
        <v>3502</v>
      </c>
      <c r="I23" s="8" t="s">
        <v>3537</v>
      </c>
      <c r="J23" s="7" t="s">
        <v>30</v>
      </c>
      <c r="K23" s="7" t="s">
        <v>3504</v>
      </c>
      <c r="L23" s="7" t="s">
        <v>360</v>
      </c>
      <c r="M23" s="7" t="s">
        <v>3505</v>
      </c>
      <c r="N23" s="7">
        <v>1</v>
      </c>
      <c r="O23" s="7">
        <v>60</v>
      </c>
      <c r="P23" s="7" t="s">
        <v>286</v>
      </c>
      <c r="R23" s="9">
        <v>1675.3818340727969</v>
      </c>
      <c r="T23" s="7" t="s">
        <v>34</v>
      </c>
      <c r="U23" s="8"/>
    </row>
    <row r="24" spans="1:21" ht="14.1" customHeight="1">
      <c r="A24" s="7">
        <v>20</v>
      </c>
      <c r="B24" s="14" t="s">
        <v>357</v>
      </c>
      <c r="C24" s="14" t="s">
        <v>3498</v>
      </c>
      <c r="D24" s="7" t="s">
        <v>684</v>
      </c>
      <c r="E24" s="14" t="s">
        <v>3514</v>
      </c>
      <c r="F24" s="7" t="s">
        <v>3500</v>
      </c>
      <c r="G24" s="8" t="s">
        <v>3538</v>
      </c>
      <c r="H24" s="7" t="s">
        <v>3502</v>
      </c>
      <c r="I24" s="8" t="s">
        <v>3539</v>
      </c>
      <c r="J24" s="7" t="s">
        <v>30</v>
      </c>
      <c r="K24" s="7" t="s">
        <v>3504</v>
      </c>
      <c r="L24" s="7" t="s">
        <v>360</v>
      </c>
      <c r="M24" s="7" t="s">
        <v>3505</v>
      </c>
      <c r="N24" s="7">
        <v>1</v>
      </c>
      <c r="O24" s="7">
        <v>60</v>
      </c>
      <c r="P24" s="7" t="s">
        <v>286</v>
      </c>
      <c r="R24" s="9">
        <v>1675.3818340727969</v>
      </c>
      <c r="T24" s="7" t="s">
        <v>34</v>
      </c>
      <c r="U24" s="8"/>
    </row>
    <row r="25" spans="1:21" ht="14.1" customHeight="1">
      <c r="A25" s="7">
        <v>21</v>
      </c>
      <c r="B25" s="14" t="s">
        <v>357</v>
      </c>
      <c r="C25" s="14" t="s">
        <v>3498</v>
      </c>
      <c r="D25" s="7" t="s">
        <v>684</v>
      </c>
      <c r="E25" s="62" t="s">
        <v>3499</v>
      </c>
      <c r="F25" s="7" t="s">
        <v>3500</v>
      </c>
      <c r="G25" s="8" t="s">
        <v>3540</v>
      </c>
      <c r="H25" s="7" t="s">
        <v>3502</v>
      </c>
      <c r="I25" s="8" t="s">
        <v>3541</v>
      </c>
      <c r="J25" s="7" t="s">
        <v>30</v>
      </c>
      <c r="K25" s="7" t="s">
        <v>3504</v>
      </c>
      <c r="L25" s="7" t="s">
        <v>360</v>
      </c>
      <c r="M25" s="7" t="s">
        <v>3505</v>
      </c>
      <c r="N25" s="7">
        <v>1</v>
      </c>
      <c r="O25" s="7">
        <v>60</v>
      </c>
      <c r="P25" s="7"/>
      <c r="R25" s="9">
        <v>175.9668475328005</v>
      </c>
      <c r="T25" s="7" t="s">
        <v>34</v>
      </c>
      <c r="U25" s="8"/>
    </row>
    <row r="26" spans="1:21" ht="14.1" customHeight="1">
      <c r="A26" s="7">
        <v>22</v>
      </c>
      <c r="B26" s="14" t="s">
        <v>357</v>
      </c>
      <c r="C26" s="14" t="s">
        <v>3498</v>
      </c>
      <c r="D26" s="7" t="s">
        <v>684</v>
      </c>
      <c r="E26" s="62" t="s">
        <v>3499</v>
      </c>
      <c r="F26" s="7" t="s">
        <v>3500</v>
      </c>
      <c r="G26" s="8" t="s">
        <v>3542</v>
      </c>
      <c r="H26" s="7" t="s">
        <v>3502</v>
      </c>
      <c r="I26" s="8" t="s">
        <v>3543</v>
      </c>
      <c r="J26" s="7" t="s">
        <v>30</v>
      </c>
      <c r="K26" s="7" t="s">
        <v>3504</v>
      </c>
      <c r="L26" s="7" t="s">
        <v>360</v>
      </c>
      <c r="M26" s="7" t="s">
        <v>3505</v>
      </c>
      <c r="N26" s="7">
        <v>1</v>
      </c>
      <c r="O26" s="7">
        <v>60</v>
      </c>
      <c r="P26" s="7"/>
      <c r="R26" s="9">
        <v>202.33722944597929</v>
      </c>
      <c r="T26" s="7" t="s">
        <v>34</v>
      </c>
      <c r="U26" s="8"/>
    </row>
    <row r="27" spans="1:21" ht="14.1" customHeight="1">
      <c r="A27" s="7">
        <v>23</v>
      </c>
      <c r="B27" s="14" t="s">
        <v>357</v>
      </c>
      <c r="C27" s="14" t="s">
        <v>3498</v>
      </c>
      <c r="D27" s="7" t="s">
        <v>684</v>
      </c>
      <c r="E27" s="62" t="s">
        <v>3499</v>
      </c>
      <c r="F27" s="7" t="s">
        <v>3500</v>
      </c>
      <c r="G27" s="8" t="s">
        <v>3544</v>
      </c>
      <c r="H27" s="7" t="s">
        <v>3502</v>
      </c>
      <c r="I27" s="8" t="s">
        <v>3545</v>
      </c>
      <c r="J27" s="7" t="s">
        <v>30</v>
      </c>
      <c r="K27" s="7" t="s">
        <v>3504</v>
      </c>
      <c r="L27" s="7" t="s">
        <v>360</v>
      </c>
      <c r="M27" s="7" t="s">
        <v>3505</v>
      </c>
      <c r="N27" s="7">
        <v>1</v>
      </c>
      <c r="O27" s="7">
        <v>60</v>
      </c>
      <c r="P27" s="7"/>
      <c r="R27" s="9">
        <v>281.4483751855156</v>
      </c>
      <c r="T27" s="7" t="s">
        <v>34</v>
      </c>
      <c r="U27" s="8"/>
    </row>
    <row r="28" spans="1:21" ht="14.1" customHeight="1">
      <c r="A28" s="7">
        <v>24</v>
      </c>
      <c r="B28" s="14" t="s">
        <v>357</v>
      </c>
      <c r="C28" s="14" t="s">
        <v>3498</v>
      </c>
      <c r="D28" s="7" t="s">
        <v>684</v>
      </c>
      <c r="E28" s="62" t="s">
        <v>3499</v>
      </c>
      <c r="F28" s="7" t="s">
        <v>3500</v>
      </c>
      <c r="G28" s="8" t="s">
        <v>3546</v>
      </c>
      <c r="H28" s="7" t="s">
        <v>3511</v>
      </c>
      <c r="I28" s="8" t="s">
        <v>3541</v>
      </c>
      <c r="J28" s="7" t="s">
        <v>30</v>
      </c>
      <c r="K28" s="7" t="s">
        <v>536</v>
      </c>
      <c r="L28" s="7" t="s">
        <v>360</v>
      </c>
      <c r="M28" s="7" t="s">
        <v>3505</v>
      </c>
      <c r="N28" s="7">
        <v>1</v>
      </c>
      <c r="O28" s="7">
        <v>60</v>
      </c>
      <c r="P28" s="7"/>
      <c r="R28" s="9">
        <v>149.3500134522088</v>
      </c>
      <c r="T28" s="7" t="s">
        <v>34</v>
      </c>
      <c r="U28" s="8"/>
    </row>
    <row r="29" spans="1:21" ht="14.1" customHeight="1">
      <c r="A29" s="7">
        <v>25</v>
      </c>
      <c r="B29" s="14" t="s">
        <v>357</v>
      </c>
      <c r="C29" s="14" t="s">
        <v>3498</v>
      </c>
      <c r="D29" s="7" t="s">
        <v>684</v>
      </c>
      <c r="E29" s="62" t="s">
        <v>3499</v>
      </c>
      <c r="F29" s="7" t="s">
        <v>3500</v>
      </c>
      <c r="G29" s="8" t="s">
        <v>3547</v>
      </c>
      <c r="H29" s="7" t="s">
        <v>3511</v>
      </c>
      <c r="I29" s="8" t="s">
        <v>3543</v>
      </c>
      <c r="J29" s="7" t="s">
        <v>30</v>
      </c>
      <c r="K29" s="7" t="s">
        <v>536</v>
      </c>
      <c r="L29" s="7" t="s">
        <v>360</v>
      </c>
      <c r="M29" s="7" t="s">
        <v>3505</v>
      </c>
      <c r="N29" s="7">
        <v>1</v>
      </c>
      <c r="O29" s="7">
        <v>60</v>
      </c>
      <c r="P29" s="7"/>
      <c r="R29" s="9">
        <v>175.72039536538759</v>
      </c>
      <c r="T29" s="7" t="s">
        <v>34</v>
      </c>
      <c r="U29" s="8"/>
    </row>
    <row r="30" spans="1:21" ht="14.1" customHeight="1">
      <c r="A30" s="7">
        <v>26</v>
      </c>
      <c r="B30" s="14" t="s">
        <v>357</v>
      </c>
      <c r="C30" s="14" t="s">
        <v>3498</v>
      </c>
      <c r="D30" s="7" t="s">
        <v>684</v>
      </c>
      <c r="E30" s="62" t="s">
        <v>3499</v>
      </c>
      <c r="F30" s="7" t="s">
        <v>3500</v>
      </c>
      <c r="G30" s="8" t="s">
        <v>3548</v>
      </c>
      <c r="H30" s="7" t="s">
        <v>3511</v>
      </c>
      <c r="I30" s="8" t="s">
        <v>3545</v>
      </c>
      <c r="J30" s="7" t="s">
        <v>30</v>
      </c>
      <c r="K30" s="7" t="s">
        <v>536</v>
      </c>
      <c r="L30" s="7" t="s">
        <v>360</v>
      </c>
      <c r="M30" s="7" t="s">
        <v>3505</v>
      </c>
      <c r="N30" s="7">
        <v>1</v>
      </c>
      <c r="O30" s="7">
        <v>60</v>
      </c>
      <c r="P30" s="7"/>
      <c r="R30" s="9">
        <v>254.5850889375111</v>
      </c>
      <c r="T30" s="7" t="s">
        <v>34</v>
      </c>
      <c r="U30" s="8"/>
    </row>
    <row r="31" spans="1:21" ht="14.1" customHeight="1">
      <c r="A31" s="7">
        <v>27</v>
      </c>
      <c r="B31" s="14" t="s">
        <v>357</v>
      </c>
      <c r="C31" s="14" t="s">
        <v>3498</v>
      </c>
      <c r="D31" s="7" t="s">
        <v>35</v>
      </c>
      <c r="E31" s="14" t="s">
        <v>864</v>
      </c>
      <c r="F31" s="7" t="s">
        <v>3500</v>
      </c>
      <c r="G31" s="8" t="s">
        <v>3549</v>
      </c>
      <c r="H31" s="7" t="s">
        <v>3550</v>
      </c>
      <c r="I31" s="8" t="s">
        <v>3551</v>
      </c>
      <c r="J31" s="7" t="s">
        <v>30</v>
      </c>
      <c r="K31" s="7" t="s">
        <v>31</v>
      </c>
      <c r="L31" s="7" t="s">
        <v>360</v>
      </c>
      <c r="M31" s="7" t="s">
        <v>3505</v>
      </c>
      <c r="N31" s="7">
        <v>1</v>
      </c>
      <c r="O31" s="7">
        <v>45</v>
      </c>
      <c r="P31" s="7" t="s">
        <v>286</v>
      </c>
      <c r="R31" s="9">
        <v>273.16927369884638</v>
      </c>
      <c r="T31" s="7" t="s">
        <v>34</v>
      </c>
      <c r="U31" s="8"/>
    </row>
    <row r="32" spans="1:21" ht="14.1" customHeight="1">
      <c r="A32" s="7">
        <v>28</v>
      </c>
      <c r="B32" s="14" t="s">
        <v>357</v>
      </c>
      <c r="C32" s="14" t="s">
        <v>3498</v>
      </c>
      <c r="D32" s="7" t="s">
        <v>35</v>
      </c>
      <c r="E32" s="14" t="s">
        <v>864</v>
      </c>
      <c r="F32" s="7" t="s">
        <v>3500</v>
      </c>
      <c r="G32" s="8" t="s">
        <v>3552</v>
      </c>
      <c r="H32" s="7" t="s">
        <v>3427</v>
      </c>
      <c r="I32" s="8" t="s">
        <v>3551</v>
      </c>
      <c r="J32" s="7" t="s">
        <v>30</v>
      </c>
      <c r="K32" s="7" t="s">
        <v>461</v>
      </c>
      <c r="L32" s="7" t="s">
        <v>360</v>
      </c>
      <c r="M32" s="7" t="s">
        <v>3505</v>
      </c>
      <c r="N32" s="7">
        <v>1</v>
      </c>
      <c r="O32" s="7">
        <v>45</v>
      </c>
      <c r="P32" s="7" t="s">
        <v>286</v>
      </c>
      <c r="R32" s="9">
        <v>273.16927369884638</v>
      </c>
      <c r="T32" s="7" t="s">
        <v>34</v>
      </c>
      <c r="U32" s="8"/>
    </row>
    <row r="33" spans="1:21" ht="14.1" customHeight="1">
      <c r="A33" s="7">
        <v>29</v>
      </c>
      <c r="B33" s="14" t="s">
        <v>357</v>
      </c>
      <c r="C33" s="14" t="s">
        <v>3498</v>
      </c>
      <c r="D33" s="7" t="s">
        <v>35</v>
      </c>
      <c r="E33" s="14" t="s">
        <v>864</v>
      </c>
      <c r="F33" s="7" t="s">
        <v>3500</v>
      </c>
      <c r="G33" s="8" t="s">
        <v>3553</v>
      </c>
      <c r="H33" s="7" t="s">
        <v>3554</v>
      </c>
      <c r="I33" s="8" t="s">
        <v>3551</v>
      </c>
      <c r="J33" s="7" t="s">
        <v>30</v>
      </c>
      <c r="K33" s="7" t="s">
        <v>1001</v>
      </c>
      <c r="L33" s="7" t="s">
        <v>360</v>
      </c>
      <c r="M33" s="7" t="s">
        <v>3505</v>
      </c>
      <c r="N33" s="7">
        <v>1</v>
      </c>
      <c r="O33" s="7">
        <v>45</v>
      </c>
      <c r="P33" s="7" t="s">
        <v>286</v>
      </c>
      <c r="R33" s="9">
        <v>273.16927369884638</v>
      </c>
      <c r="T33" s="7" t="s">
        <v>34</v>
      </c>
      <c r="U33" s="8"/>
    </row>
    <row r="34" spans="1:21" ht="14.1" customHeight="1">
      <c r="A34" s="7">
        <v>30</v>
      </c>
      <c r="B34" s="14" t="s">
        <v>357</v>
      </c>
      <c r="C34" s="14" t="s">
        <v>3498</v>
      </c>
      <c r="D34" s="7" t="s">
        <v>35</v>
      </c>
      <c r="E34" s="14" t="s">
        <v>864</v>
      </c>
      <c r="F34" s="7" t="s">
        <v>3500</v>
      </c>
      <c r="G34" s="8" t="s">
        <v>3555</v>
      </c>
      <c r="H34" s="7" t="s">
        <v>3550</v>
      </c>
      <c r="I34" s="8" t="s">
        <v>3556</v>
      </c>
      <c r="J34" s="7" t="s">
        <v>30</v>
      </c>
      <c r="K34" s="7" t="s">
        <v>31</v>
      </c>
      <c r="L34" s="7" t="s">
        <v>360</v>
      </c>
      <c r="M34" s="7" t="s">
        <v>3505</v>
      </c>
      <c r="N34" s="7">
        <v>1</v>
      </c>
      <c r="O34" s="7">
        <v>45</v>
      </c>
      <c r="P34" s="7" t="s">
        <v>286</v>
      </c>
      <c r="R34" s="9">
        <v>375.0284032130258</v>
      </c>
      <c r="T34" s="7" t="s">
        <v>34</v>
      </c>
      <c r="U34" s="8"/>
    </row>
    <row r="35" spans="1:21" ht="14.1" customHeight="1">
      <c r="A35" s="7">
        <v>31</v>
      </c>
      <c r="B35" s="14" t="s">
        <v>357</v>
      </c>
      <c r="C35" s="14" t="s">
        <v>3498</v>
      </c>
      <c r="D35" s="7" t="s">
        <v>35</v>
      </c>
      <c r="E35" s="14" t="s">
        <v>864</v>
      </c>
      <c r="F35" s="7" t="s">
        <v>3500</v>
      </c>
      <c r="G35" s="8" t="s">
        <v>3557</v>
      </c>
      <c r="H35" s="7" t="s">
        <v>3550</v>
      </c>
      <c r="I35" s="8" t="s">
        <v>3558</v>
      </c>
      <c r="J35" s="7" t="s">
        <v>30</v>
      </c>
      <c r="K35" s="7" t="s">
        <v>31</v>
      </c>
      <c r="L35" s="7" t="s">
        <v>360</v>
      </c>
      <c r="M35" s="7" t="s">
        <v>3505</v>
      </c>
      <c r="N35" s="7">
        <v>1</v>
      </c>
      <c r="O35" s="7">
        <v>45</v>
      </c>
      <c r="P35" s="7" t="s">
        <v>286</v>
      </c>
      <c r="R35" s="9">
        <v>195.1562898229293</v>
      </c>
      <c r="T35" s="7" t="s">
        <v>34</v>
      </c>
      <c r="U35" s="8"/>
    </row>
    <row r="36" spans="1:21" ht="14.1" customHeight="1">
      <c r="A36" s="7">
        <v>32</v>
      </c>
      <c r="B36" s="14" t="s">
        <v>357</v>
      </c>
      <c r="C36" s="14" t="s">
        <v>3498</v>
      </c>
      <c r="D36" s="7" t="s">
        <v>35</v>
      </c>
      <c r="E36" s="14" t="s">
        <v>864</v>
      </c>
      <c r="F36" s="7" t="s">
        <v>3500</v>
      </c>
      <c r="G36" s="8" t="s">
        <v>3559</v>
      </c>
      <c r="H36" s="7" t="s">
        <v>3550</v>
      </c>
      <c r="I36" s="8" t="s">
        <v>3560</v>
      </c>
      <c r="J36" s="7" t="s">
        <v>30</v>
      </c>
      <c r="K36" s="7" t="s">
        <v>31</v>
      </c>
      <c r="L36" s="7" t="s">
        <v>360</v>
      </c>
      <c r="M36" s="7" t="s">
        <v>3505</v>
      </c>
      <c r="N36" s="7">
        <v>1</v>
      </c>
      <c r="O36" s="7">
        <v>45</v>
      </c>
      <c r="P36" s="7" t="s">
        <v>286</v>
      </c>
      <c r="R36" s="9">
        <v>401.09169790172979</v>
      </c>
      <c r="T36" s="7" t="s">
        <v>34</v>
      </c>
      <c r="U36" s="8"/>
    </row>
    <row r="37" spans="1:21" ht="14.1" customHeight="1">
      <c r="A37" s="7">
        <v>33</v>
      </c>
      <c r="B37" s="14" t="s">
        <v>357</v>
      </c>
      <c r="C37" s="14" t="s">
        <v>3498</v>
      </c>
      <c r="D37" s="7" t="s">
        <v>35</v>
      </c>
      <c r="E37" s="14" t="s">
        <v>864</v>
      </c>
      <c r="F37" s="7" t="s">
        <v>3500</v>
      </c>
      <c r="G37" s="8" t="s">
        <v>3561</v>
      </c>
      <c r="H37" s="7" t="s">
        <v>3550</v>
      </c>
      <c r="I37" s="8" t="s">
        <v>3562</v>
      </c>
      <c r="J37" s="7" t="s">
        <v>30</v>
      </c>
      <c r="K37" s="7" t="s">
        <v>31</v>
      </c>
      <c r="L37" s="7" t="s">
        <v>360</v>
      </c>
      <c r="M37" s="7" t="s">
        <v>3505</v>
      </c>
      <c r="N37" s="7">
        <v>1</v>
      </c>
      <c r="O37" s="7">
        <v>45</v>
      </c>
      <c r="P37" s="7" t="s">
        <v>286</v>
      </c>
      <c r="R37" s="9">
        <v>816.0995440987856</v>
      </c>
      <c r="T37" s="7" t="s">
        <v>34</v>
      </c>
      <c r="U37" s="8"/>
    </row>
    <row r="38" spans="1:21" ht="14.1" customHeight="1">
      <c r="A38" s="7">
        <v>34</v>
      </c>
      <c r="B38" s="14" t="s">
        <v>357</v>
      </c>
      <c r="C38" s="14" t="s">
        <v>3498</v>
      </c>
      <c r="D38" s="7" t="s">
        <v>35</v>
      </c>
      <c r="E38" s="14" t="s">
        <v>864</v>
      </c>
      <c r="F38" s="7" t="s">
        <v>3500</v>
      </c>
      <c r="G38" s="8" t="s">
        <v>3563</v>
      </c>
      <c r="H38" s="7" t="s">
        <v>3427</v>
      </c>
      <c r="I38" s="8" t="s">
        <v>3562</v>
      </c>
      <c r="J38" s="7" t="s">
        <v>30</v>
      </c>
      <c r="K38" s="7" t="s">
        <v>461</v>
      </c>
      <c r="L38" s="7" t="s">
        <v>360</v>
      </c>
      <c r="M38" s="7" t="s">
        <v>3505</v>
      </c>
      <c r="N38" s="7">
        <v>1</v>
      </c>
      <c r="O38" s="7">
        <v>45</v>
      </c>
      <c r="P38" s="7" t="s">
        <v>286</v>
      </c>
      <c r="R38" s="9">
        <v>758.6659490155331</v>
      </c>
      <c r="T38" s="7" t="s">
        <v>34</v>
      </c>
      <c r="U38" s="8"/>
    </row>
    <row r="39" spans="1:21" ht="14.1" customHeight="1">
      <c r="A39" s="7">
        <v>35</v>
      </c>
      <c r="B39" s="14" t="s">
        <v>357</v>
      </c>
      <c r="C39" s="14" t="s">
        <v>3498</v>
      </c>
      <c r="D39" s="7" t="s">
        <v>35</v>
      </c>
      <c r="E39" s="14" t="s">
        <v>864</v>
      </c>
      <c r="F39" s="7" t="s">
        <v>3500</v>
      </c>
      <c r="G39" s="8" t="s">
        <v>3564</v>
      </c>
      <c r="H39" s="7" t="s">
        <v>3550</v>
      </c>
      <c r="I39" s="8" t="s">
        <v>3565</v>
      </c>
      <c r="J39" s="7" t="s">
        <v>30</v>
      </c>
      <c r="K39" s="7" t="s">
        <v>31</v>
      </c>
      <c r="L39" s="7" t="s">
        <v>360</v>
      </c>
      <c r="M39" s="7" t="s">
        <v>3505</v>
      </c>
      <c r="N39" s="7">
        <v>1</v>
      </c>
      <c r="O39" s="7">
        <v>45</v>
      </c>
      <c r="P39" s="7" t="s">
        <v>286</v>
      </c>
      <c r="R39" s="9">
        <v>845.34704221099651</v>
      </c>
      <c r="T39" s="7" t="s">
        <v>34</v>
      </c>
      <c r="U39" s="8"/>
    </row>
    <row r="40" spans="1:21" ht="14.1" customHeight="1">
      <c r="A40" s="7">
        <v>36</v>
      </c>
      <c r="B40" s="14" t="s">
        <v>357</v>
      </c>
      <c r="C40" s="14" t="s">
        <v>3498</v>
      </c>
      <c r="D40" s="7" t="s">
        <v>35</v>
      </c>
      <c r="E40" s="14" t="s">
        <v>864</v>
      </c>
      <c r="F40" s="7" t="s">
        <v>3500</v>
      </c>
      <c r="G40" s="8" t="s">
        <v>3566</v>
      </c>
      <c r="H40" s="7" t="s">
        <v>3550</v>
      </c>
      <c r="I40" s="8" t="s">
        <v>3567</v>
      </c>
      <c r="J40" s="7" t="s">
        <v>30</v>
      </c>
      <c r="K40" s="7" t="s">
        <v>31</v>
      </c>
      <c r="L40" s="7" t="s">
        <v>360</v>
      </c>
      <c r="M40" s="7" t="s">
        <v>3505</v>
      </c>
      <c r="N40" s="7">
        <v>1</v>
      </c>
      <c r="O40" s="7">
        <v>45</v>
      </c>
      <c r="P40" s="7" t="s">
        <v>286</v>
      </c>
      <c r="R40" s="9">
        <v>648.280230333963</v>
      </c>
      <c r="T40" s="7" t="s">
        <v>34</v>
      </c>
      <c r="U40" s="8"/>
    </row>
    <row r="41" spans="1:21" ht="14.1" customHeight="1">
      <c r="A41" s="7">
        <v>37</v>
      </c>
      <c r="B41" s="14" t="s">
        <v>357</v>
      </c>
      <c r="C41" s="14" t="s">
        <v>3498</v>
      </c>
      <c r="D41" s="7" t="s">
        <v>35</v>
      </c>
      <c r="E41" s="14" t="s">
        <v>864</v>
      </c>
      <c r="F41" s="7" t="s">
        <v>3500</v>
      </c>
      <c r="G41" s="8" t="s">
        <v>3568</v>
      </c>
      <c r="H41" s="7" t="s">
        <v>3550</v>
      </c>
      <c r="I41" s="8" t="s">
        <v>3569</v>
      </c>
      <c r="J41" s="7" t="s">
        <v>30</v>
      </c>
      <c r="K41" s="7" t="s">
        <v>31</v>
      </c>
      <c r="L41" s="7" t="s">
        <v>360</v>
      </c>
      <c r="M41" s="7" t="s">
        <v>3505</v>
      </c>
      <c r="N41" s="7">
        <v>1</v>
      </c>
      <c r="O41" s="7">
        <v>45</v>
      </c>
      <c r="P41" s="7" t="s">
        <v>286</v>
      </c>
      <c r="R41" s="9">
        <v>512.77468464472827</v>
      </c>
      <c r="T41" s="7" t="s">
        <v>34</v>
      </c>
      <c r="U41" s="8"/>
    </row>
    <row r="42" spans="1:21" ht="14.1" customHeight="1">
      <c r="A42" s="7">
        <v>38</v>
      </c>
      <c r="B42" s="14" t="s">
        <v>357</v>
      </c>
      <c r="C42" s="14" t="s">
        <v>3498</v>
      </c>
      <c r="D42" s="7" t="s">
        <v>35</v>
      </c>
      <c r="E42" s="14" t="s">
        <v>864</v>
      </c>
      <c r="F42" s="7" t="s">
        <v>3500</v>
      </c>
      <c r="G42" s="8" t="s">
        <v>3570</v>
      </c>
      <c r="H42" s="7" t="s">
        <v>3550</v>
      </c>
      <c r="I42" s="8" t="s">
        <v>3571</v>
      </c>
      <c r="J42" s="7" t="s">
        <v>30</v>
      </c>
      <c r="K42" s="7" t="s">
        <v>31</v>
      </c>
      <c r="L42" s="7" t="s">
        <v>360</v>
      </c>
      <c r="M42" s="7" t="s">
        <v>3505</v>
      </c>
      <c r="N42" s="7">
        <v>1</v>
      </c>
      <c r="O42" s="7">
        <v>45</v>
      </c>
      <c r="P42" s="7" t="s">
        <v>286</v>
      </c>
      <c r="R42" s="9">
        <v>860.20665818736165</v>
      </c>
      <c r="T42" s="7" t="s">
        <v>34</v>
      </c>
      <c r="U42" s="8"/>
    </row>
    <row r="43" spans="1:21" ht="14.1" customHeight="1">
      <c r="A43" s="7">
        <v>39</v>
      </c>
      <c r="B43" s="14" t="s">
        <v>357</v>
      </c>
      <c r="C43" s="14" t="s">
        <v>3498</v>
      </c>
      <c r="D43" s="7" t="s">
        <v>35</v>
      </c>
      <c r="E43" s="14" t="s">
        <v>864</v>
      </c>
      <c r="F43" s="7" t="s">
        <v>3500</v>
      </c>
      <c r="G43" s="8" t="s">
        <v>3572</v>
      </c>
      <c r="H43" s="7" t="s">
        <v>3550</v>
      </c>
      <c r="I43" s="8" t="s">
        <v>3573</v>
      </c>
      <c r="J43" s="7" t="s">
        <v>30</v>
      </c>
      <c r="K43" s="7" t="s">
        <v>31</v>
      </c>
      <c r="L43" s="7" t="s">
        <v>360</v>
      </c>
      <c r="M43" s="7" t="s">
        <v>3505</v>
      </c>
      <c r="N43" s="7">
        <v>1</v>
      </c>
      <c r="O43" s="7">
        <v>45</v>
      </c>
      <c r="P43" s="7" t="s">
        <v>286</v>
      </c>
      <c r="R43" s="9">
        <v>375.94828420203879</v>
      </c>
      <c r="T43" s="7" t="s">
        <v>34</v>
      </c>
      <c r="U43" s="8"/>
    </row>
    <row r="44" spans="1:21" ht="14.1" customHeight="1">
      <c r="A44" s="7">
        <v>40</v>
      </c>
      <c r="B44" s="14" t="s">
        <v>357</v>
      </c>
      <c r="C44" s="14" t="s">
        <v>3498</v>
      </c>
      <c r="D44" s="7" t="s">
        <v>35</v>
      </c>
      <c r="E44" s="14" t="s">
        <v>864</v>
      </c>
      <c r="F44" s="7" t="s">
        <v>3500</v>
      </c>
      <c r="G44" s="8" t="s">
        <v>3574</v>
      </c>
      <c r="H44" s="7" t="s">
        <v>3550</v>
      </c>
      <c r="I44" s="8" t="s">
        <v>3575</v>
      </c>
      <c r="J44" s="7" t="s">
        <v>30</v>
      </c>
      <c r="K44" s="7" t="s">
        <v>31</v>
      </c>
      <c r="L44" s="7" t="s">
        <v>360</v>
      </c>
      <c r="M44" s="7" t="s">
        <v>3505</v>
      </c>
      <c r="N44" s="7">
        <v>1</v>
      </c>
      <c r="O44" s="7">
        <v>45</v>
      </c>
      <c r="P44" s="7" t="s">
        <v>286</v>
      </c>
      <c r="R44" s="9">
        <v>656.77143946331466</v>
      </c>
      <c r="T44" s="7" t="s">
        <v>34</v>
      </c>
      <c r="U44" s="8"/>
    </row>
    <row r="45" spans="1:21" ht="14.1" customHeight="1">
      <c r="A45" s="7">
        <v>41</v>
      </c>
      <c r="B45" s="14" t="s">
        <v>357</v>
      </c>
      <c r="C45" s="14" t="s">
        <v>3498</v>
      </c>
      <c r="D45" s="7" t="s">
        <v>252</v>
      </c>
      <c r="E45" s="14" t="s">
        <v>409</v>
      </c>
      <c r="F45" s="7" t="s">
        <v>3500</v>
      </c>
      <c r="G45" s="8" t="s">
        <v>3576</v>
      </c>
      <c r="H45" s="7" t="s">
        <v>3577</v>
      </c>
      <c r="I45" s="8" t="s">
        <v>3578</v>
      </c>
      <c r="J45" s="7" t="s">
        <v>30</v>
      </c>
      <c r="K45" s="7" t="s">
        <v>2329</v>
      </c>
      <c r="L45" s="7" t="s">
        <v>360</v>
      </c>
      <c r="M45" s="7" t="s">
        <v>3579</v>
      </c>
      <c r="N45" s="7">
        <v>1</v>
      </c>
      <c r="O45" s="7">
        <v>45</v>
      </c>
      <c r="P45" s="7" t="s">
        <v>286</v>
      </c>
      <c r="R45" s="9">
        <v>254.59475372838989</v>
      </c>
      <c r="T45" s="7" t="s">
        <v>34</v>
      </c>
      <c r="U45" s="8"/>
    </row>
    <row r="46" spans="1:21" ht="14.1" customHeight="1">
      <c r="A46" s="7">
        <v>42</v>
      </c>
      <c r="B46" s="14" t="s">
        <v>357</v>
      </c>
      <c r="C46" s="14" t="s">
        <v>3498</v>
      </c>
      <c r="D46" s="7" t="s">
        <v>252</v>
      </c>
      <c r="E46" s="14" t="s">
        <v>409</v>
      </c>
      <c r="F46" s="7" t="s">
        <v>3500</v>
      </c>
      <c r="G46" s="8" t="s">
        <v>3580</v>
      </c>
      <c r="H46" s="135" t="s">
        <v>42</v>
      </c>
      <c r="I46" s="8" t="s">
        <v>3581</v>
      </c>
      <c r="J46" s="7" t="s">
        <v>30</v>
      </c>
      <c r="K46" s="135" t="s">
        <v>42</v>
      </c>
      <c r="L46" s="7" t="s">
        <v>360</v>
      </c>
      <c r="M46" s="7" t="s">
        <v>3579</v>
      </c>
      <c r="N46" s="7">
        <v>1</v>
      </c>
      <c r="O46" s="7">
        <v>45</v>
      </c>
      <c r="P46" s="7"/>
      <c r="R46" s="9">
        <v>68.637273795591511</v>
      </c>
      <c r="T46" s="7" t="s">
        <v>34</v>
      </c>
      <c r="U46" s="8"/>
    </row>
    <row r="47" spans="1:21" ht="14.1" customHeight="1">
      <c r="A47" s="7">
        <v>43</v>
      </c>
      <c r="B47" s="14" t="s">
        <v>357</v>
      </c>
      <c r="C47" s="14" t="s">
        <v>3498</v>
      </c>
      <c r="D47" s="7" t="s">
        <v>252</v>
      </c>
      <c r="E47" s="14" t="s">
        <v>409</v>
      </c>
      <c r="F47" s="7" t="s">
        <v>3500</v>
      </c>
      <c r="G47" s="8" t="s">
        <v>3582</v>
      </c>
      <c r="H47" s="7" t="s">
        <v>3583</v>
      </c>
      <c r="I47" s="8" t="s">
        <v>3584</v>
      </c>
      <c r="J47" s="7" t="s">
        <v>30</v>
      </c>
      <c r="K47" s="7" t="s">
        <v>520</v>
      </c>
      <c r="L47" s="7" t="s">
        <v>360</v>
      </c>
      <c r="M47" s="7" t="s">
        <v>3579</v>
      </c>
      <c r="N47" s="7">
        <v>1</v>
      </c>
      <c r="O47" s="7">
        <v>45</v>
      </c>
      <c r="P47" s="7" t="s">
        <v>286</v>
      </c>
      <c r="R47" s="9">
        <v>4818.643247446862</v>
      </c>
      <c r="T47" s="7" t="s">
        <v>34</v>
      </c>
      <c r="U47" s="8"/>
    </row>
    <row r="48" spans="1:21" ht="14.1" customHeight="1">
      <c r="A48" s="7">
        <v>44</v>
      </c>
      <c r="B48" s="14" t="s">
        <v>357</v>
      </c>
      <c r="C48" s="14" t="s">
        <v>3498</v>
      </c>
      <c r="D48" s="7" t="s">
        <v>252</v>
      </c>
      <c r="E48" s="14" t="s">
        <v>409</v>
      </c>
      <c r="F48" s="7" t="s">
        <v>3500</v>
      </c>
      <c r="G48" s="8" t="s">
        <v>3585</v>
      </c>
      <c r="H48" s="7" t="s">
        <v>3550</v>
      </c>
      <c r="I48" s="8" t="s">
        <v>3584</v>
      </c>
      <c r="J48" s="7" t="s">
        <v>30</v>
      </c>
      <c r="K48" s="7" t="s">
        <v>31</v>
      </c>
      <c r="L48" s="7" t="s">
        <v>360</v>
      </c>
      <c r="M48" s="7" t="s">
        <v>3579</v>
      </c>
      <c r="N48" s="7">
        <v>1</v>
      </c>
      <c r="O48" s="7">
        <v>45</v>
      </c>
      <c r="P48" s="7" t="s">
        <v>286</v>
      </c>
      <c r="R48" s="9">
        <v>9721.1371850460673</v>
      </c>
      <c r="T48" s="7" t="s">
        <v>34</v>
      </c>
      <c r="U48" s="8"/>
    </row>
    <row r="49" spans="1:21" ht="14.1" customHeight="1">
      <c r="A49" s="7">
        <v>45</v>
      </c>
      <c r="B49" s="14" t="s">
        <v>357</v>
      </c>
      <c r="C49" s="14" t="s">
        <v>3498</v>
      </c>
      <c r="D49" s="7" t="s">
        <v>252</v>
      </c>
      <c r="E49" s="14" t="s">
        <v>409</v>
      </c>
      <c r="F49" s="7" t="s">
        <v>3500</v>
      </c>
      <c r="G49" s="8" t="s">
        <v>3586</v>
      </c>
      <c r="H49" s="7" t="s">
        <v>3583</v>
      </c>
      <c r="I49" s="8" t="s">
        <v>3587</v>
      </c>
      <c r="J49" s="7" t="s">
        <v>30</v>
      </c>
      <c r="K49" s="7" t="s">
        <v>520</v>
      </c>
      <c r="L49" s="7" t="s">
        <v>360</v>
      </c>
      <c r="M49" s="7" t="s">
        <v>3579</v>
      </c>
      <c r="N49" s="7">
        <v>1</v>
      </c>
      <c r="O49" s="7">
        <v>45</v>
      </c>
      <c r="P49" s="7" t="s">
        <v>286</v>
      </c>
      <c r="R49" s="9">
        <v>8098.3727736588908</v>
      </c>
      <c r="T49" s="7" t="s">
        <v>34</v>
      </c>
      <c r="U49" s="8"/>
    </row>
    <row r="50" spans="1:21" ht="14.1" customHeight="1">
      <c r="A50" s="7">
        <v>46</v>
      </c>
      <c r="B50" s="14" t="s">
        <v>357</v>
      </c>
      <c r="C50" s="14" t="s">
        <v>3498</v>
      </c>
      <c r="D50" s="7" t="s">
        <v>252</v>
      </c>
      <c r="E50" s="14" t="s">
        <v>409</v>
      </c>
      <c r="F50" s="7" t="s">
        <v>3500</v>
      </c>
      <c r="G50" s="8" t="s">
        <v>3588</v>
      </c>
      <c r="H50" s="7" t="s">
        <v>3550</v>
      </c>
      <c r="I50" s="8" t="s">
        <v>3587</v>
      </c>
      <c r="J50" s="7" t="s">
        <v>30</v>
      </c>
      <c r="K50" s="7" t="s">
        <v>31</v>
      </c>
      <c r="L50" s="7" t="s">
        <v>360</v>
      </c>
      <c r="M50" s="7" t="s">
        <v>3579</v>
      </c>
      <c r="N50" s="7">
        <v>1</v>
      </c>
      <c r="O50" s="7">
        <v>45</v>
      </c>
      <c r="P50" s="7" t="s">
        <v>286</v>
      </c>
      <c r="R50" s="9">
        <v>13545.4834301379</v>
      </c>
      <c r="T50" s="7" t="s">
        <v>34</v>
      </c>
      <c r="U50" s="8"/>
    </row>
    <row r="51" spans="1:21" ht="14.1" customHeight="1">
      <c r="A51" s="7">
        <v>47</v>
      </c>
      <c r="B51" s="14" t="s">
        <v>357</v>
      </c>
      <c r="C51" s="14" t="s">
        <v>3498</v>
      </c>
      <c r="D51" s="7" t="s">
        <v>252</v>
      </c>
      <c r="E51" s="14" t="s">
        <v>409</v>
      </c>
      <c r="F51" s="7" t="s">
        <v>3500</v>
      </c>
      <c r="G51" s="8" t="s">
        <v>3589</v>
      </c>
      <c r="H51" s="7" t="s">
        <v>3583</v>
      </c>
      <c r="I51" s="8" t="s">
        <v>3590</v>
      </c>
      <c r="J51" s="7" t="s">
        <v>30</v>
      </c>
      <c r="K51" s="7" t="s">
        <v>520</v>
      </c>
      <c r="L51" s="7" t="s">
        <v>360</v>
      </c>
      <c r="M51" s="7" t="s">
        <v>3579</v>
      </c>
      <c r="N51" s="7">
        <v>1</v>
      </c>
      <c r="O51" s="7">
        <v>45</v>
      </c>
      <c r="P51" s="7" t="s">
        <v>286</v>
      </c>
      <c r="R51" s="9">
        <v>3141.2756440195458</v>
      </c>
      <c r="T51" s="7" t="s">
        <v>34</v>
      </c>
      <c r="U51" s="8"/>
    </row>
    <row r="52" spans="1:21" ht="14.1" customHeight="1">
      <c r="A52" s="7">
        <v>48</v>
      </c>
      <c r="B52" s="14" t="s">
        <v>357</v>
      </c>
      <c r="C52" s="14" t="s">
        <v>3498</v>
      </c>
      <c r="D52" s="7" t="s">
        <v>252</v>
      </c>
      <c r="E52" s="14" t="s">
        <v>409</v>
      </c>
      <c r="F52" s="7" t="s">
        <v>3500</v>
      </c>
      <c r="G52" s="8" t="s">
        <v>3591</v>
      </c>
      <c r="H52" s="7" t="s">
        <v>3550</v>
      </c>
      <c r="I52" s="8" t="s">
        <v>3590</v>
      </c>
      <c r="J52" s="7" t="s">
        <v>30</v>
      </c>
      <c r="K52" s="7" t="s">
        <v>31</v>
      </c>
      <c r="L52" s="7" t="s">
        <v>360</v>
      </c>
      <c r="M52" s="7" t="s">
        <v>3579</v>
      </c>
      <c r="N52" s="7">
        <v>1</v>
      </c>
      <c r="O52" s="7">
        <v>45</v>
      </c>
      <c r="P52" s="7" t="s">
        <v>286</v>
      </c>
      <c r="R52" s="9">
        <v>8043.7695816187534</v>
      </c>
      <c r="T52" s="7" t="s">
        <v>34</v>
      </c>
      <c r="U52" s="8"/>
    </row>
    <row r="53" spans="1:21" ht="14.1" customHeight="1">
      <c r="A53" s="7">
        <v>49</v>
      </c>
      <c r="B53" s="14" t="s">
        <v>357</v>
      </c>
      <c r="C53" s="14" t="s">
        <v>3498</v>
      </c>
      <c r="D53" s="7" t="s">
        <v>252</v>
      </c>
      <c r="E53" s="14" t="s">
        <v>409</v>
      </c>
      <c r="F53" s="7" t="s">
        <v>3500</v>
      </c>
      <c r="G53" s="8" t="s">
        <v>3592</v>
      </c>
      <c r="H53" s="7" t="s">
        <v>3583</v>
      </c>
      <c r="I53" s="8" t="s">
        <v>3593</v>
      </c>
      <c r="J53" s="7" t="s">
        <v>30</v>
      </c>
      <c r="K53" s="7" t="s">
        <v>520</v>
      </c>
      <c r="L53" s="7" t="s">
        <v>360</v>
      </c>
      <c r="M53" s="7" t="s">
        <v>3579</v>
      </c>
      <c r="N53" s="7">
        <v>1</v>
      </c>
      <c r="O53" s="7">
        <v>45</v>
      </c>
      <c r="P53" s="7" t="s">
        <v>286</v>
      </c>
      <c r="R53" s="9">
        <v>35915.338014494228</v>
      </c>
      <c r="T53" s="7" t="s">
        <v>34</v>
      </c>
      <c r="U53" s="8"/>
    </row>
    <row r="54" spans="1:21" ht="14.1" customHeight="1">
      <c r="A54" s="7">
        <v>50</v>
      </c>
      <c r="B54" s="14" t="s">
        <v>357</v>
      </c>
      <c r="C54" s="14" t="s">
        <v>3498</v>
      </c>
      <c r="D54" s="7" t="s">
        <v>252</v>
      </c>
      <c r="E54" s="14" t="s">
        <v>409</v>
      </c>
      <c r="F54" s="7" t="s">
        <v>3500</v>
      </c>
      <c r="G54" s="8" t="s">
        <v>3594</v>
      </c>
      <c r="H54" s="7" t="s">
        <v>3550</v>
      </c>
      <c r="I54" s="8" t="s">
        <v>3593</v>
      </c>
      <c r="J54" s="7" t="s">
        <v>30</v>
      </c>
      <c r="K54" s="7" t="s">
        <v>31</v>
      </c>
      <c r="L54" s="7" t="s">
        <v>360</v>
      </c>
      <c r="M54" s="7" t="s">
        <v>3579</v>
      </c>
      <c r="N54" s="7">
        <v>1</v>
      </c>
      <c r="O54" s="7">
        <v>45</v>
      </c>
      <c r="P54" s="7" t="s">
        <v>286</v>
      </c>
      <c r="R54" s="9">
        <v>40911.235252516301</v>
      </c>
      <c r="T54" s="7" t="s">
        <v>34</v>
      </c>
      <c r="U54" s="8"/>
    </row>
    <row r="55" spans="1:21" ht="14.1" customHeight="1">
      <c r="A55" s="7">
        <v>51</v>
      </c>
      <c r="B55" s="14" t="s">
        <v>357</v>
      </c>
      <c r="C55" s="14" t="s">
        <v>3498</v>
      </c>
      <c r="D55" s="7" t="s">
        <v>252</v>
      </c>
      <c r="E55" s="14" t="s">
        <v>409</v>
      </c>
      <c r="F55" s="7" t="s">
        <v>3500</v>
      </c>
      <c r="G55" s="8" t="s">
        <v>3595</v>
      </c>
      <c r="H55" s="7" t="s">
        <v>3583</v>
      </c>
      <c r="I55" s="8" t="s">
        <v>3596</v>
      </c>
      <c r="J55" s="7" t="s">
        <v>30</v>
      </c>
      <c r="K55" s="7" t="s">
        <v>520</v>
      </c>
      <c r="L55" s="7" t="s">
        <v>360</v>
      </c>
      <c r="M55" s="7" t="s">
        <v>3579</v>
      </c>
      <c r="N55" s="7">
        <v>1</v>
      </c>
      <c r="O55" s="7">
        <v>45</v>
      </c>
      <c r="P55" s="7" t="s">
        <v>286</v>
      </c>
      <c r="R55" s="9">
        <v>39195.067540706252</v>
      </c>
      <c r="T55" s="7" t="s">
        <v>34</v>
      </c>
      <c r="U55" s="8"/>
    </row>
    <row r="56" spans="1:21" ht="14.1" customHeight="1">
      <c r="A56" s="7">
        <v>52</v>
      </c>
      <c r="B56" s="14" t="s">
        <v>357</v>
      </c>
      <c r="C56" s="14" t="s">
        <v>3498</v>
      </c>
      <c r="D56" s="7" t="s">
        <v>252</v>
      </c>
      <c r="E56" s="14" t="s">
        <v>409</v>
      </c>
      <c r="F56" s="7" t="s">
        <v>3500</v>
      </c>
      <c r="G56" s="8" t="s">
        <v>3597</v>
      </c>
      <c r="H56" s="7" t="s">
        <v>3550</v>
      </c>
      <c r="I56" s="8" t="s">
        <v>3596</v>
      </c>
      <c r="J56" s="7" t="s">
        <v>30</v>
      </c>
      <c r="K56" s="7" t="s">
        <v>31</v>
      </c>
      <c r="L56" s="7" t="s">
        <v>360</v>
      </c>
      <c r="M56" s="7" t="s">
        <v>3579</v>
      </c>
      <c r="N56" s="7">
        <v>1</v>
      </c>
      <c r="O56" s="7">
        <v>45</v>
      </c>
      <c r="P56" s="7" t="s">
        <v>286</v>
      </c>
      <c r="R56" s="9">
        <v>44642.178197185262</v>
      </c>
      <c r="T56" s="7" t="s">
        <v>34</v>
      </c>
      <c r="U56" s="8"/>
    </row>
    <row r="57" spans="1:21" ht="14.1" customHeight="1">
      <c r="A57" s="7">
        <v>53</v>
      </c>
      <c r="B57" s="14" t="s">
        <v>357</v>
      </c>
      <c r="C57" s="14" t="s">
        <v>3498</v>
      </c>
      <c r="D57" s="7" t="s">
        <v>252</v>
      </c>
      <c r="E57" s="14" t="s">
        <v>409</v>
      </c>
      <c r="F57" s="7" t="s">
        <v>3500</v>
      </c>
      <c r="G57" s="8" t="s">
        <v>3598</v>
      </c>
      <c r="H57" s="7" t="s">
        <v>3583</v>
      </c>
      <c r="I57" s="8" t="s">
        <v>3599</v>
      </c>
      <c r="J57" s="7" t="s">
        <v>30</v>
      </c>
      <c r="K57" s="7" t="s">
        <v>520</v>
      </c>
      <c r="L57" s="7" t="s">
        <v>360</v>
      </c>
      <c r="M57" s="7" t="s">
        <v>3579</v>
      </c>
      <c r="N57" s="7">
        <v>1</v>
      </c>
      <c r="O57" s="7">
        <v>45</v>
      </c>
      <c r="P57" s="7" t="s">
        <v>286</v>
      </c>
      <c r="R57" s="9">
        <v>1819.4774228838239</v>
      </c>
      <c r="T57" s="7" t="s">
        <v>34</v>
      </c>
      <c r="U57" s="8"/>
    </row>
    <row r="58" spans="1:21" ht="14.1" customHeight="1">
      <c r="A58" s="7">
        <v>54</v>
      </c>
      <c r="B58" s="14" t="s">
        <v>357</v>
      </c>
      <c r="C58" s="14" t="s">
        <v>3498</v>
      </c>
      <c r="D58" s="7" t="s">
        <v>252</v>
      </c>
      <c r="E58" s="14" t="s">
        <v>409</v>
      </c>
      <c r="F58" s="7" t="s">
        <v>3500</v>
      </c>
      <c r="G58" s="8" t="s">
        <v>3600</v>
      </c>
      <c r="H58" s="7" t="s">
        <v>3601</v>
      </c>
      <c r="I58" s="8" t="s">
        <v>3599</v>
      </c>
      <c r="J58" s="7" t="s">
        <v>30</v>
      </c>
      <c r="K58" s="7" t="s">
        <v>1426</v>
      </c>
      <c r="L58" s="7" t="s">
        <v>360</v>
      </c>
      <c r="M58" s="7" t="s">
        <v>3579</v>
      </c>
      <c r="N58" s="7">
        <v>1</v>
      </c>
      <c r="O58" s="7">
        <v>45</v>
      </c>
      <c r="P58" s="7" t="s">
        <v>286</v>
      </c>
      <c r="R58" s="9">
        <v>2976.7584671383588</v>
      </c>
      <c r="T58" s="7" t="s">
        <v>34</v>
      </c>
      <c r="U58" s="8"/>
    </row>
    <row r="59" spans="1:21" ht="14.1" customHeight="1">
      <c r="A59" s="7">
        <v>55</v>
      </c>
      <c r="B59" s="14" t="s">
        <v>357</v>
      </c>
      <c r="C59" s="14" t="s">
        <v>3498</v>
      </c>
      <c r="D59" s="7" t="s">
        <v>252</v>
      </c>
      <c r="E59" s="14" t="s">
        <v>409</v>
      </c>
      <c r="F59" s="7" t="s">
        <v>3500</v>
      </c>
      <c r="G59" s="8" t="s">
        <v>3602</v>
      </c>
      <c r="H59" s="7" t="s">
        <v>3583</v>
      </c>
      <c r="I59" s="8" t="s">
        <v>3603</v>
      </c>
      <c r="J59" s="7" t="s">
        <v>30</v>
      </c>
      <c r="K59" s="7" t="s">
        <v>520</v>
      </c>
      <c r="L59" s="7" t="s">
        <v>360</v>
      </c>
      <c r="M59" s="7" t="s">
        <v>3579</v>
      </c>
      <c r="N59" s="7">
        <v>1</v>
      </c>
      <c r="O59" s="7">
        <v>45</v>
      </c>
      <c r="P59" s="7" t="s">
        <v>286</v>
      </c>
      <c r="R59" s="9">
        <v>700.4068197113711</v>
      </c>
      <c r="T59" s="7" t="s">
        <v>34</v>
      </c>
      <c r="U59" s="8"/>
    </row>
    <row r="60" spans="1:21" ht="14.1" customHeight="1">
      <c r="A60" s="7">
        <v>56</v>
      </c>
      <c r="B60" s="14" t="s">
        <v>357</v>
      </c>
      <c r="C60" s="14" t="s">
        <v>3498</v>
      </c>
      <c r="D60" s="7" t="s">
        <v>252</v>
      </c>
      <c r="E60" s="14" t="s">
        <v>409</v>
      </c>
      <c r="F60" s="7" t="s">
        <v>3500</v>
      </c>
      <c r="G60" s="8" t="s">
        <v>3604</v>
      </c>
      <c r="H60" s="7" t="s">
        <v>3605</v>
      </c>
      <c r="I60" s="8" t="s">
        <v>3603</v>
      </c>
      <c r="J60" s="7" t="s">
        <v>30</v>
      </c>
      <c r="K60" s="7" t="s">
        <v>1426</v>
      </c>
      <c r="L60" s="7" t="s">
        <v>360</v>
      </c>
      <c r="M60" s="7" t="s">
        <v>3579</v>
      </c>
      <c r="N60" s="7">
        <v>1</v>
      </c>
      <c r="O60" s="7">
        <v>45</v>
      </c>
      <c r="P60" s="7" t="s">
        <v>286</v>
      </c>
      <c r="R60" s="9">
        <v>1210.4690347731121</v>
      </c>
      <c r="T60" s="7" t="s">
        <v>34</v>
      </c>
      <c r="U60" s="8"/>
    </row>
    <row r="61" spans="1:21" ht="14.1" customHeight="1">
      <c r="A61" s="7">
        <v>57</v>
      </c>
      <c r="B61" s="14" t="s">
        <v>357</v>
      </c>
      <c r="C61" s="14" t="s">
        <v>3498</v>
      </c>
      <c r="D61" s="7" t="s">
        <v>252</v>
      </c>
      <c r="E61" s="14" t="s">
        <v>409</v>
      </c>
      <c r="F61" s="7" t="s">
        <v>3500</v>
      </c>
      <c r="G61" s="8" t="s">
        <v>3606</v>
      </c>
      <c r="H61" s="7" t="s">
        <v>3583</v>
      </c>
      <c r="I61" s="8" t="s">
        <v>3607</v>
      </c>
      <c r="J61" s="7" t="s">
        <v>30</v>
      </c>
      <c r="K61" s="7" t="s">
        <v>520</v>
      </c>
      <c r="L61" s="7" t="s">
        <v>360</v>
      </c>
      <c r="M61" s="7" t="s">
        <v>3579</v>
      </c>
      <c r="N61" s="7">
        <v>1</v>
      </c>
      <c r="O61" s="7">
        <v>45</v>
      </c>
      <c r="P61" s="7" t="s">
        <v>286</v>
      </c>
      <c r="R61" s="9">
        <v>380.45334237900039</v>
      </c>
      <c r="T61" s="7" t="s">
        <v>34</v>
      </c>
      <c r="U61" s="8"/>
    </row>
    <row r="62" spans="1:21" ht="14.1" customHeight="1">
      <c r="A62" s="7">
        <v>58</v>
      </c>
      <c r="B62" s="14" t="s">
        <v>357</v>
      </c>
      <c r="C62" s="14" t="s">
        <v>3498</v>
      </c>
      <c r="D62" s="7" t="s">
        <v>252</v>
      </c>
      <c r="E62" s="14" t="s">
        <v>409</v>
      </c>
      <c r="F62" s="7" t="s">
        <v>3500</v>
      </c>
      <c r="G62" s="8" t="s">
        <v>3608</v>
      </c>
      <c r="H62" s="7" t="s">
        <v>3550</v>
      </c>
      <c r="I62" s="8" t="s">
        <v>3607</v>
      </c>
      <c r="J62" s="7" t="s">
        <v>30</v>
      </c>
      <c r="K62" s="7" t="s">
        <v>31</v>
      </c>
      <c r="L62" s="7" t="s">
        <v>360</v>
      </c>
      <c r="M62" s="7" t="s">
        <v>3579</v>
      </c>
      <c r="N62" s="7">
        <v>1</v>
      </c>
      <c r="O62" s="7">
        <v>45</v>
      </c>
      <c r="P62" s="7" t="s">
        <v>286</v>
      </c>
      <c r="R62" s="9">
        <v>461.63873633241138</v>
      </c>
      <c r="T62" s="7" t="s">
        <v>34</v>
      </c>
      <c r="U62" s="8"/>
    </row>
    <row r="63" spans="1:21" ht="14.1" customHeight="1">
      <c r="A63" s="7">
        <v>59</v>
      </c>
      <c r="B63" s="14" t="s">
        <v>357</v>
      </c>
      <c r="C63" s="14" t="s">
        <v>3498</v>
      </c>
      <c r="D63" s="7" t="s">
        <v>611</v>
      </c>
      <c r="E63" s="14" t="s">
        <v>355</v>
      </c>
      <c r="F63" s="7" t="s">
        <v>3500</v>
      </c>
      <c r="G63" s="8" t="s">
        <v>3609</v>
      </c>
      <c r="H63" s="7" t="s">
        <v>3583</v>
      </c>
      <c r="I63" s="8" t="s">
        <v>3610</v>
      </c>
      <c r="J63" s="7" t="s">
        <v>3611</v>
      </c>
      <c r="K63" s="7" t="s">
        <v>520</v>
      </c>
      <c r="L63" s="7" t="s">
        <v>3612</v>
      </c>
      <c r="M63" s="7" t="s">
        <v>2104</v>
      </c>
      <c r="N63" s="7">
        <v>1</v>
      </c>
      <c r="O63" s="7">
        <v>60</v>
      </c>
      <c r="P63" s="7"/>
      <c r="R63" s="9">
        <v>508.69418692423437</v>
      </c>
      <c r="T63" s="7" t="s">
        <v>34</v>
      </c>
      <c r="U63" s="8"/>
    </row>
    <row r="64" spans="1:21" ht="14.1" customHeight="1">
      <c r="A64" s="7">
        <v>60</v>
      </c>
      <c r="B64" s="14" t="s">
        <v>357</v>
      </c>
      <c r="C64" s="14" t="s">
        <v>3498</v>
      </c>
      <c r="D64" s="7" t="s">
        <v>611</v>
      </c>
      <c r="E64" s="14" t="s">
        <v>355</v>
      </c>
      <c r="F64" s="7" t="s">
        <v>3500</v>
      </c>
      <c r="G64" s="8" t="s">
        <v>3613</v>
      </c>
      <c r="H64" s="7" t="s">
        <v>3583</v>
      </c>
      <c r="I64" s="8" t="s">
        <v>3614</v>
      </c>
      <c r="J64" s="7" t="s">
        <v>3611</v>
      </c>
      <c r="K64" s="7" t="s">
        <v>520</v>
      </c>
      <c r="L64" s="7" t="s">
        <v>3612</v>
      </c>
      <c r="M64" s="7" t="s">
        <v>2104</v>
      </c>
      <c r="N64" s="7">
        <v>1</v>
      </c>
      <c r="O64" s="7">
        <v>60</v>
      </c>
      <c r="P64" s="7"/>
      <c r="R64" s="9">
        <v>1193.486616514409</v>
      </c>
      <c r="T64" s="7" t="s">
        <v>34</v>
      </c>
      <c r="U64" s="8"/>
    </row>
    <row r="65" spans="1:21" ht="14.1" customHeight="1">
      <c r="A65" s="7">
        <v>61</v>
      </c>
      <c r="B65" s="14" t="s">
        <v>357</v>
      </c>
      <c r="C65" s="14" t="s">
        <v>3498</v>
      </c>
      <c r="D65" s="7" t="s">
        <v>611</v>
      </c>
      <c r="E65" s="14" t="s">
        <v>355</v>
      </c>
      <c r="F65" s="7" t="s">
        <v>3500</v>
      </c>
      <c r="G65" s="8" t="s">
        <v>3615</v>
      </c>
      <c r="H65" s="7" t="s">
        <v>3583</v>
      </c>
      <c r="I65" s="8" t="s">
        <v>3616</v>
      </c>
      <c r="J65" s="7" t="s">
        <v>3611</v>
      </c>
      <c r="K65" s="7" t="s">
        <v>520</v>
      </c>
      <c r="L65" s="7" t="s">
        <v>58</v>
      </c>
      <c r="M65" s="7" t="s">
        <v>2104</v>
      </c>
      <c r="N65" s="7">
        <v>1</v>
      </c>
      <c r="O65" s="7">
        <v>60</v>
      </c>
      <c r="P65" s="7" t="s">
        <v>286</v>
      </c>
      <c r="R65" s="9">
        <v>2255.4774249839988</v>
      </c>
      <c r="T65" s="7" t="s">
        <v>34</v>
      </c>
      <c r="U65" s="8"/>
    </row>
    <row r="66" spans="1:21" ht="14.1" customHeight="1">
      <c r="A66" s="7">
        <v>62</v>
      </c>
      <c r="B66" s="14" t="s">
        <v>357</v>
      </c>
      <c r="C66" s="14" t="s">
        <v>3498</v>
      </c>
      <c r="D66" s="7" t="s">
        <v>611</v>
      </c>
      <c r="E66" s="14" t="s">
        <v>355</v>
      </c>
      <c r="F66" s="7" t="s">
        <v>3500</v>
      </c>
      <c r="G66" s="8" t="s">
        <v>3617</v>
      </c>
      <c r="H66" s="7" t="s">
        <v>3583</v>
      </c>
      <c r="I66" s="8" t="s">
        <v>3618</v>
      </c>
      <c r="J66" s="7" t="s">
        <v>3611</v>
      </c>
      <c r="K66" s="7" t="s">
        <v>520</v>
      </c>
      <c r="L66" s="7" t="s">
        <v>58</v>
      </c>
      <c r="M66" s="7" t="s">
        <v>2104</v>
      </c>
      <c r="N66" s="7">
        <v>1</v>
      </c>
      <c r="O66" s="7">
        <v>60</v>
      </c>
      <c r="P66" s="7" t="s">
        <v>286</v>
      </c>
      <c r="R66" s="9">
        <v>1528.311503169158</v>
      </c>
      <c r="T66" s="7" t="s">
        <v>34</v>
      </c>
      <c r="U66" s="8"/>
    </row>
    <row r="67" spans="1:21" ht="14.1" customHeight="1">
      <c r="A67" s="7">
        <v>63</v>
      </c>
      <c r="B67" s="14" t="s">
        <v>357</v>
      </c>
      <c r="C67" s="14" t="s">
        <v>3498</v>
      </c>
      <c r="D67" s="7" t="s">
        <v>611</v>
      </c>
      <c r="E67" s="14" t="s">
        <v>355</v>
      </c>
      <c r="F67" s="7" t="s">
        <v>3500</v>
      </c>
      <c r="G67" s="8" t="s">
        <v>3619</v>
      </c>
      <c r="H67" s="7" t="s">
        <v>3583</v>
      </c>
      <c r="I67" s="8" t="s">
        <v>3620</v>
      </c>
      <c r="J67" s="7" t="s">
        <v>3611</v>
      </c>
      <c r="K67" s="7" t="s">
        <v>520</v>
      </c>
      <c r="L67" s="7" t="s">
        <v>58</v>
      </c>
      <c r="M67" s="7" t="s">
        <v>2104</v>
      </c>
      <c r="N67" s="7">
        <v>1</v>
      </c>
      <c r="O67" s="7">
        <v>60</v>
      </c>
      <c r="P67" s="7" t="s">
        <v>286</v>
      </c>
      <c r="R67" s="9">
        <v>500.98133863174007</v>
      </c>
      <c r="T67" s="7" t="s">
        <v>34</v>
      </c>
      <c r="U67" s="8"/>
    </row>
    <row r="68" spans="1:21" ht="14.1" customHeight="1">
      <c r="A68" s="7">
        <v>64</v>
      </c>
      <c r="B68" s="14" t="s">
        <v>357</v>
      </c>
      <c r="C68" s="14" t="s">
        <v>3498</v>
      </c>
      <c r="D68" s="7" t="s">
        <v>1601</v>
      </c>
      <c r="E68" s="14" t="s">
        <v>3621</v>
      </c>
      <c r="F68" s="7" t="s">
        <v>3500</v>
      </c>
      <c r="G68" s="8" t="s">
        <v>3622</v>
      </c>
      <c r="H68" s="7" t="s">
        <v>3623</v>
      </c>
      <c r="I68" s="8" t="s">
        <v>3624</v>
      </c>
      <c r="J68" s="7" t="s">
        <v>3611</v>
      </c>
      <c r="K68" s="7" t="s">
        <v>31</v>
      </c>
      <c r="L68" s="7" t="s">
        <v>360</v>
      </c>
      <c r="M68" s="7" t="s">
        <v>3579</v>
      </c>
      <c r="N68" s="7">
        <v>1</v>
      </c>
      <c r="O68" s="7">
        <v>45</v>
      </c>
      <c r="P68" s="7" t="s">
        <v>286</v>
      </c>
      <c r="R68" s="9">
        <v>330.37879520785231</v>
      </c>
      <c r="T68" s="7" t="s">
        <v>34</v>
      </c>
      <c r="U68" s="8"/>
    </row>
    <row r="69" spans="1:21" ht="14.1" customHeight="1">
      <c r="A69" s="7">
        <v>65</v>
      </c>
      <c r="B69" s="14" t="s">
        <v>357</v>
      </c>
      <c r="C69" s="14" t="s">
        <v>3498</v>
      </c>
      <c r="D69" s="7" t="s">
        <v>1601</v>
      </c>
      <c r="E69" s="14" t="s">
        <v>3621</v>
      </c>
      <c r="F69" s="7" t="s">
        <v>3500</v>
      </c>
      <c r="G69" s="8" t="s">
        <v>3625</v>
      </c>
      <c r="H69" s="7" t="s">
        <v>3623</v>
      </c>
      <c r="I69" s="8" t="s">
        <v>3626</v>
      </c>
      <c r="J69" s="7" t="s">
        <v>3611</v>
      </c>
      <c r="K69" s="7" t="s">
        <v>31</v>
      </c>
      <c r="L69" s="7" t="s">
        <v>360</v>
      </c>
      <c r="M69" s="7" t="s">
        <v>3579</v>
      </c>
      <c r="N69" s="7">
        <v>1</v>
      </c>
      <c r="O69" s="7">
        <v>45</v>
      </c>
      <c r="P69" s="7" t="s">
        <v>286</v>
      </c>
      <c r="R69" s="9">
        <v>118.5231274305317</v>
      </c>
      <c r="T69" s="7" t="s">
        <v>34</v>
      </c>
      <c r="U69" s="8"/>
    </row>
    <row r="70" spans="1:21" ht="14.1" customHeight="1">
      <c r="A70" s="7">
        <v>66</v>
      </c>
      <c r="B70" s="14" t="s">
        <v>357</v>
      </c>
      <c r="C70" s="14" t="s">
        <v>3498</v>
      </c>
      <c r="D70" s="7" t="s">
        <v>1601</v>
      </c>
      <c r="E70" s="14" t="s">
        <v>3621</v>
      </c>
      <c r="F70" s="7" t="s">
        <v>3500</v>
      </c>
      <c r="G70" s="8" t="s">
        <v>3627</v>
      </c>
      <c r="H70" s="7" t="s">
        <v>3623</v>
      </c>
      <c r="I70" s="8" t="s">
        <v>3628</v>
      </c>
      <c r="J70" s="7" t="s">
        <v>3611</v>
      </c>
      <c r="K70" s="7" t="s">
        <v>31</v>
      </c>
      <c r="L70" s="7" t="s">
        <v>360</v>
      </c>
      <c r="M70" s="7" t="s">
        <v>3579</v>
      </c>
      <c r="N70" s="7">
        <v>1</v>
      </c>
      <c r="O70" s="7">
        <v>45</v>
      </c>
      <c r="P70" s="7" t="s">
        <v>286</v>
      </c>
      <c r="R70" s="9">
        <v>685.02829651043453</v>
      </c>
      <c r="T70" s="7" t="s">
        <v>34</v>
      </c>
      <c r="U70" s="8"/>
    </row>
    <row r="71" spans="1:21" ht="14.1" customHeight="1">
      <c r="A71" s="7">
        <v>67</v>
      </c>
      <c r="B71" s="14" t="s">
        <v>357</v>
      </c>
      <c r="C71" s="14" t="s">
        <v>3498</v>
      </c>
      <c r="D71" s="7" t="s">
        <v>1601</v>
      </c>
      <c r="E71" s="14" t="s">
        <v>3621</v>
      </c>
      <c r="F71" s="7" t="s">
        <v>3500</v>
      </c>
      <c r="G71" s="8" t="s">
        <v>3629</v>
      </c>
      <c r="H71" s="7" t="s">
        <v>3623</v>
      </c>
      <c r="I71" s="8" t="s">
        <v>3630</v>
      </c>
      <c r="J71" s="7" t="s">
        <v>3611</v>
      </c>
      <c r="K71" s="7" t="s">
        <v>31</v>
      </c>
      <c r="L71" s="7" t="s">
        <v>360</v>
      </c>
      <c r="M71" s="7" t="s">
        <v>3579</v>
      </c>
      <c r="N71" s="7">
        <v>1</v>
      </c>
      <c r="O71" s="7">
        <v>45</v>
      </c>
      <c r="P71" s="7" t="s">
        <v>286</v>
      </c>
      <c r="R71" s="9">
        <v>685.02829651043453</v>
      </c>
      <c r="T71" s="7" t="s">
        <v>34</v>
      </c>
      <c r="U71" s="8"/>
    </row>
    <row r="72" spans="1:21" ht="14.1" customHeight="1">
      <c r="A72" s="7">
        <v>68</v>
      </c>
      <c r="B72" s="14" t="s">
        <v>357</v>
      </c>
      <c r="C72" s="14" t="s">
        <v>3498</v>
      </c>
      <c r="D72" s="7" t="s">
        <v>1601</v>
      </c>
      <c r="E72" s="14" t="s">
        <v>3621</v>
      </c>
      <c r="F72" s="7" t="s">
        <v>3500</v>
      </c>
      <c r="G72" s="8" t="s">
        <v>3631</v>
      </c>
      <c r="H72" s="7" t="s">
        <v>3632</v>
      </c>
      <c r="I72" s="8" t="s">
        <v>3624</v>
      </c>
      <c r="J72" s="7" t="s">
        <v>3611</v>
      </c>
      <c r="K72" s="7" t="s">
        <v>31</v>
      </c>
      <c r="L72" s="7" t="s">
        <v>360</v>
      </c>
      <c r="M72" s="7" t="s">
        <v>3579</v>
      </c>
      <c r="N72" s="7">
        <v>1</v>
      </c>
      <c r="O72" s="7">
        <v>45</v>
      </c>
      <c r="P72" s="7" t="s">
        <v>286</v>
      </c>
      <c r="R72" s="9">
        <v>357.86908476412788</v>
      </c>
      <c r="T72" s="7" t="s">
        <v>34</v>
      </c>
      <c r="U72" s="8"/>
    </row>
    <row r="73" spans="1:21" ht="14.1" customHeight="1">
      <c r="A73" s="7">
        <v>69</v>
      </c>
      <c r="B73" s="14" t="s">
        <v>357</v>
      </c>
      <c r="C73" s="14" t="s">
        <v>3498</v>
      </c>
      <c r="D73" s="7" t="s">
        <v>1601</v>
      </c>
      <c r="E73" s="14" t="s">
        <v>3621</v>
      </c>
      <c r="F73" s="7" t="s">
        <v>3500</v>
      </c>
      <c r="G73" s="8" t="s">
        <v>3633</v>
      </c>
      <c r="H73" s="7" t="s">
        <v>3632</v>
      </c>
      <c r="I73" s="8" t="s">
        <v>3626</v>
      </c>
      <c r="J73" s="7" t="s">
        <v>30</v>
      </c>
      <c r="K73" s="7" t="s">
        <v>31</v>
      </c>
      <c r="L73" s="7" t="s">
        <v>360</v>
      </c>
      <c r="M73" s="7" t="s">
        <v>3579</v>
      </c>
      <c r="N73" s="7">
        <v>1</v>
      </c>
      <c r="O73" s="7">
        <v>45</v>
      </c>
      <c r="P73" s="7" t="s">
        <v>286</v>
      </c>
      <c r="R73" s="9">
        <v>146.94509132183339</v>
      </c>
      <c r="T73" s="7" t="s">
        <v>34</v>
      </c>
      <c r="U73" s="8"/>
    </row>
    <row r="74" spans="1:21" ht="14.1" customHeight="1">
      <c r="A74" s="7">
        <v>70</v>
      </c>
      <c r="B74" s="14" t="s">
        <v>357</v>
      </c>
      <c r="C74" s="14" t="s">
        <v>3498</v>
      </c>
      <c r="D74" s="7" t="s">
        <v>1601</v>
      </c>
      <c r="E74" s="14" t="s">
        <v>3621</v>
      </c>
      <c r="F74" s="7" t="s">
        <v>3500</v>
      </c>
      <c r="G74" s="8" t="s">
        <v>3634</v>
      </c>
      <c r="H74" s="7" t="s">
        <v>3632</v>
      </c>
      <c r="I74" s="8" t="s">
        <v>3628</v>
      </c>
      <c r="J74" s="7" t="s">
        <v>1550</v>
      </c>
      <c r="K74" s="7" t="s">
        <v>31</v>
      </c>
      <c r="L74" s="7" t="s">
        <v>360</v>
      </c>
      <c r="M74" s="7" t="s">
        <v>3579</v>
      </c>
      <c r="N74" s="7">
        <v>1</v>
      </c>
      <c r="O74" s="7">
        <v>45</v>
      </c>
      <c r="P74" s="7" t="s">
        <v>286</v>
      </c>
      <c r="R74" s="9">
        <v>712.26126100955832</v>
      </c>
      <c r="T74" s="7" t="s">
        <v>34</v>
      </c>
      <c r="U74" s="8"/>
    </row>
    <row r="75" spans="1:21" ht="14.1" customHeight="1">
      <c r="A75" s="7">
        <v>71</v>
      </c>
      <c r="B75" s="14" t="s">
        <v>357</v>
      </c>
      <c r="C75" s="14" t="s">
        <v>3498</v>
      </c>
      <c r="D75" s="7" t="s">
        <v>1601</v>
      </c>
      <c r="E75" s="14" t="s">
        <v>3621</v>
      </c>
      <c r="F75" s="7" t="s">
        <v>3500</v>
      </c>
      <c r="G75" s="8" t="s">
        <v>3635</v>
      </c>
      <c r="H75" s="7" t="s">
        <v>3632</v>
      </c>
      <c r="I75" s="8" t="s">
        <v>3630</v>
      </c>
      <c r="J75" s="7" t="s">
        <v>1550</v>
      </c>
      <c r="K75" s="7" t="s">
        <v>31</v>
      </c>
      <c r="L75" s="7" t="s">
        <v>360</v>
      </c>
      <c r="M75" s="7" t="s">
        <v>3579</v>
      </c>
      <c r="N75" s="7">
        <v>1</v>
      </c>
      <c r="O75" s="7">
        <v>45</v>
      </c>
      <c r="P75" s="7" t="s">
        <v>286</v>
      </c>
      <c r="R75" s="9">
        <v>712.26126100955832</v>
      </c>
      <c r="T75" s="7" t="s">
        <v>34</v>
      </c>
      <c r="U75" s="8"/>
    </row>
    <row r="76" spans="1:21" ht="14.1" customHeight="1">
      <c r="A76" s="7">
        <v>72</v>
      </c>
      <c r="B76" s="14" t="s">
        <v>357</v>
      </c>
      <c r="C76" s="14" t="s">
        <v>3498</v>
      </c>
      <c r="D76" s="7" t="s">
        <v>1601</v>
      </c>
      <c r="E76" s="14" t="s">
        <v>3621</v>
      </c>
      <c r="F76" s="7" t="s">
        <v>3500</v>
      </c>
      <c r="G76" s="8" t="s">
        <v>3636</v>
      </c>
      <c r="H76" s="7" t="s">
        <v>3623</v>
      </c>
      <c r="I76" s="8" t="s">
        <v>3637</v>
      </c>
      <c r="J76" s="7" t="s">
        <v>1550</v>
      </c>
      <c r="K76" s="7" t="s">
        <v>31</v>
      </c>
      <c r="L76" s="7" t="s">
        <v>360</v>
      </c>
      <c r="M76" s="7" t="s">
        <v>3579</v>
      </c>
      <c r="N76" s="7">
        <v>1</v>
      </c>
      <c r="O76" s="7">
        <v>45</v>
      </c>
      <c r="P76" s="7" t="s">
        <v>286</v>
      </c>
      <c r="R76" s="9">
        <v>590.17355160021293</v>
      </c>
      <c r="T76" s="7" t="s">
        <v>34</v>
      </c>
      <c r="U76" s="8"/>
    </row>
    <row r="77" spans="1:21" ht="14.1" customHeight="1">
      <c r="A77" s="7">
        <v>73</v>
      </c>
      <c r="B77" s="14" t="s">
        <v>357</v>
      </c>
      <c r="C77" s="14" t="s">
        <v>3498</v>
      </c>
      <c r="D77" s="7" t="s">
        <v>1601</v>
      </c>
      <c r="E77" s="14" t="s">
        <v>3621</v>
      </c>
      <c r="F77" s="7" t="s">
        <v>3500</v>
      </c>
      <c r="G77" s="8" t="s">
        <v>3638</v>
      </c>
      <c r="H77" s="7" t="s">
        <v>3623</v>
      </c>
      <c r="I77" s="8" t="s">
        <v>3639</v>
      </c>
      <c r="J77" s="7" t="s">
        <v>1550</v>
      </c>
      <c r="K77" s="7" t="s">
        <v>31</v>
      </c>
      <c r="L77" s="7" t="s">
        <v>360</v>
      </c>
      <c r="M77" s="7" t="s">
        <v>3579</v>
      </c>
      <c r="N77" s="7">
        <v>1</v>
      </c>
      <c r="O77" s="7">
        <v>45</v>
      </c>
      <c r="P77" s="7" t="s">
        <v>286</v>
      </c>
      <c r="R77" s="9">
        <v>390.22559652794803</v>
      </c>
      <c r="T77" s="7" t="s">
        <v>34</v>
      </c>
      <c r="U77" s="8"/>
    </row>
    <row r="78" spans="1:21" ht="14.1" customHeight="1">
      <c r="A78" s="7">
        <v>74</v>
      </c>
      <c r="B78" s="14" t="s">
        <v>357</v>
      </c>
      <c r="C78" s="14" t="s">
        <v>3498</v>
      </c>
      <c r="D78" s="7" t="s">
        <v>1601</v>
      </c>
      <c r="E78" s="14" t="s">
        <v>3621</v>
      </c>
      <c r="F78" s="7" t="s">
        <v>3500</v>
      </c>
      <c r="G78" s="8" t="s">
        <v>3640</v>
      </c>
      <c r="H78" s="7" t="s">
        <v>3623</v>
      </c>
      <c r="I78" s="8" t="s">
        <v>3641</v>
      </c>
      <c r="J78" s="7" t="s">
        <v>30</v>
      </c>
      <c r="K78" s="7" t="s">
        <v>31</v>
      </c>
      <c r="L78" s="7" t="s">
        <v>360</v>
      </c>
      <c r="M78" s="7" t="s">
        <v>3579</v>
      </c>
      <c r="N78" s="7">
        <v>1</v>
      </c>
      <c r="O78" s="7">
        <v>45</v>
      </c>
      <c r="P78" s="7" t="s">
        <v>286</v>
      </c>
      <c r="R78" s="9">
        <v>1189.946311569827</v>
      </c>
      <c r="T78" s="7" t="s">
        <v>34</v>
      </c>
      <c r="U78" s="8"/>
    </row>
    <row r="79" spans="1:21" ht="14.1" customHeight="1">
      <c r="A79" s="7">
        <v>75</v>
      </c>
      <c r="B79" s="14" t="s">
        <v>357</v>
      </c>
      <c r="C79" s="14" t="s">
        <v>3498</v>
      </c>
      <c r="D79" s="7" t="s">
        <v>1601</v>
      </c>
      <c r="E79" s="14" t="s">
        <v>3621</v>
      </c>
      <c r="F79" s="7" t="s">
        <v>3500</v>
      </c>
      <c r="G79" s="8" t="s">
        <v>3642</v>
      </c>
      <c r="H79" s="7" t="s">
        <v>3623</v>
      </c>
      <c r="I79" s="8" t="s">
        <v>3643</v>
      </c>
      <c r="J79" s="7" t="s">
        <v>30</v>
      </c>
      <c r="K79" s="7" t="s">
        <v>31</v>
      </c>
      <c r="L79" s="7" t="s">
        <v>360</v>
      </c>
      <c r="M79" s="7" t="s">
        <v>3579</v>
      </c>
      <c r="N79" s="7">
        <v>1</v>
      </c>
      <c r="O79" s="7">
        <v>45</v>
      </c>
      <c r="P79" s="7" t="s">
        <v>286</v>
      </c>
      <c r="R79" s="9">
        <v>769.83280947690457</v>
      </c>
      <c r="T79" s="7" t="s">
        <v>34</v>
      </c>
      <c r="U79" s="8"/>
    </row>
    <row r="80" spans="1:21" ht="14.1" customHeight="1">
      <c r="A80" s="7">
        <v>76</v>
      </c>
      <c r="B80" s="14" t="s">
        <v>357</v>
      </c>
      <c r="C80" s="14" t="s">
        <v>3498</v>
      </c>
      <c r="D80" s="7" t="s">
        <v>1601</v>
      </c>
      <c r="E80" s="14" t="s">
        <v>3621</v>
      </c>
      <c r="F80" s="7" t="s">
        <v>3500</v>
      </c>
      <c r="G80" s="8" t="s">
        <v>3644</v>
      </c>
      <c r="H80" s="7" t="s">
        <v>3623</v>
      </c>
      <c r="I80" s="8" t="s">
        <v>3645</v>
      </c>
      <c r="J80" s="7" t="s">
        <v>30</v>
      </c>
      <c r="K80" s="7" t="s">
        <v>31</v>
      </c>
      <c r="L80" s="7" t="s">
        <v>360</v>
      </c>
      <c r="M80" s="7" t="s">
        <v>3579</v>
      </c>
      <c r="N80" s="7">
        <v>1</v>
      </c>
      <c r="O80" s="7">
        <v>45</v>
      </c>
      <c r="P80" s="7" t="s">
        <v>286</v>
      </c>
      <c r="R80" s="9">
        <v>934.55996544563845</v>
      </c>
      <c r="T80" s="7" t="s">
        <v>34</v>
      </c>
      <c r="U80" s="8"/>
    </row>
    <row r="81" spans="1:21" ht="14.1" customHeight="1">
      <c r="A81" s="7">
        <v>77</v>
      </c>
      <c r="B81" s="14" t="s">
        <v>357</v>
      </c>
      <c r="C81" s="14" t="s">
        <v>3498</v>
      </c>
      <c r="D81" s="7" t="s">
        <v>773</v>
      </c>
      <c r="E81" s="14" t="s">
        <v>399</v>
      </c>
      <c r="F81" s="7" t="s">
        <v>3500</v>
      </c>
      <c r="G81" s="8" t="s">
        <v>3646</v>
      </c>
      <c r="H81" s="7" t="s">
        <v>3623</v>
      </c>
      <c r="I81" s="8" t="s">
        <v>3647</v>
      </c>
      <c r="J81" s="7" t="s">
        <v>30</v>
      </c>
      <c r="K81" s="7" t="s">
        <v>31</v>
      </c>
      <c r="L81" s="7" t="s">
        <v>148</v>
      </c>
      <c r="M81" s="7" t="s">
        <v>2108</v>
      </c>
      <c r="N81" s="7">
        <v>1</v>
      </c>
      <c r="O81" s="7">
        <v>90</v>
      </c>
      <c r="P81" s="7"/>
      <c r="R81" s="9">
        <v>329.09878570156462</v>
      </c>
      <c r="T81" s="7" t="s">
        <v>34</v>
      </c>
      <c r="U81" s="8"/>
    </row>
    <row r="82" spans="1:21" ht="14.1" customHeight="1">
      <c r="A82" s="7">
        <v>78</v>
      </c>
      <c r="B82" s="14" t="s">
        <v>357</v>
      </c>
      <c r="C82" s="14" t="s">
        <v>3498</v>
      </c>
      <c r="D82" s="7" t="s">
        <v>773</v>
      </c>
      <c r="E82" s="14" t="s">
        <v>399</v>
      </c>
      <c r="F82" s="7" t="s">
        <v>3500</v>
      </c>
      <c r="G82" s="8" t="s">
        <v>3648</v>
      </c>
      <c r="H82" s="7" t="s">
        <v>3623</v>
      </c>
      <c r="I82" s="8" t="s">
        <v>3649</v>
      </c>
      <c r="J82" s="7" t="s">
        <v>30</v>
      </c>
      <c r="K82" s="7" t="s">
        <v>31</v>
      </c>
      <c r="L82" s="7" t="s">
        <v>148</v>
      </c>
      <c r="M82" s="7" t="s">
        <v>2108</v>
      </c>
      <c r="N82" s="7">
        <v>1</v>
      </c>
      <c r="O82" s="7">
        <v>90</v>
      </c>
      <c r="P82" s="7"/>
      <c r="R82" s="9">
        <v>382.42772108712609</v>
      </c>
      <c r="T82" s="7" t="s">
        <v>34</v>
      </c>
      <c r="U82" s="8"/>
    </row>
    <row r="83" spans="1:21" ht="14.1" customHeight="1">
      <c r="A83" s="7">
        <v>79</v>
      </c>
      <c r="B83" s="14" t="s">
        <v>357</v>
      </c>
      <c r="C83" s="14" t="s">
        <v>3498</v>
      </c>
      <c r="D83" s="7" t="s">
        <v>773</v>
      </c>
      <c r="E83" s="14" t="s">
        <v>399</v>
      </c>
      <c r="F83" s="7" t="s">
        <v>3500</v>
      </c>
      <c r="G83" s="8" t="s">
        <v>3650</v>
      </c>
      <c r="H83" s="7" t="s">
        <v>3550</v>
      </c>
      <c r="I83" s="8" t="s">
        <v>3651</v>
      </c>
      <c r="J83" s="7" t="s">
        <v>30</v>
      </c>
      <c r="K83" s="7" t="s">
        <v>31</v>
      </c>
      <c r="L83" s="7" t="s">
        <v>148</v>
      </c>
      <c r="M83" s="7" t="s">
        <v>2108</v>
      </c>
      <c r="N83" s="7">
        <v>1</v>
      </c>
      <c r="O83" s="7">
        <v>90</v>
      </c>
      <c r="P83" s="7"/>
      <c r="R83" s="9">
        <v>344.03088760952193</v>
      </c>
      <c r="T83" s="7" t="s">
        <v>34</v>
      </c>
      <c r="U83" s="8"/>
    </row>
    <row r="84" spans="1:21" ht="14.1" customHeight="1">
      <c r="A84" s="7">
        <v>80</v>
      </c>
      <c r="B84" s="14" t="s">
        <v>357</v>
      </c>
      <c r="C84" s="14" t="s">
        <v>3498</v>
      </c>
      <c r="D84" s="7" t="s">
        <v>773</v>
      </c>
      <c r="E84" s="14" t="s">
        <v>399</v>
      </c>
      <c r="F84" s="7" t="s">
        <v>3500</v>
      </c>
      <c r="G84" s="8" t="s">
        <v>3652</v>
      </c>
      <c r="H84" s="7" t="s">
        <v>3550</v>
      </c>
      <c r="I84" s="8" t="s">
        <v>3653</v>
      </c>
      <c r="J84" s="7" t="s">
        <v>30</v>
      </c>
      <c r="K84" s="7" t="s">
        <v>31</v>
      </c>
      <c r="L84" s="7" t="s">
        <v>148</v>
      </c>
      <c r="M84" s="7" t="s">
        <v>2108</v>
      </c>
      <c r="N84" s="7">
        <v>1</v>
      </c>
      <c r="O84" s="7">
        <v>90</v>
      </c>
      <c r="P84" s="7"/>
      <c r="R84" s="9">
        <v>352.80053476181411</v>
      </c>
      <c r="T84" s="7" t="s">
        <v>34</v>
      </c>
      <c r="U84" s="8"/>
    </row>
    <row r="85" spans="1:21" ht="14.1" customHeight="1">
      <c r="A85" s="7">
        <v>81</v>
      </c>
      <c r="B85" s="14" t="s">
        <v>357</v>
      </c>
      <c r="C85" s="14" t="s">
        <v>3498</v>
      </c>
      <c r="D85" s="7" t="s">
        <v>45</v>
      </c>
      <c r="E85" s="136" t="s">
        <v>46</v>
      </c>
      <c r="F85" s="7" t="s">
        <v>3500</v>
      </c>
      <c r="G85" s="8" t="s">
        <v>3654</v>
      </c>
      <c r="H85" s="7" t="s">
        <v>3550</v>
      </c>
      <c r="I85" s="8" t="s">
        <v>3655</v>
      </c>
      <c r="J85" s="7" t="s">
        <v>30</v>
      </c>
      <c r="K85" s="7" t="s">
        <v>31</v>
      </c>
      <c r="L85" s="7" t="s">
        <v>360</v>
      </c>
      <c r="M85" s="7" t="s">
        <v>3505</v>
      </c>
      <c r="N85" s="7">
        <v>1</v>
      </c>
      <c r="O85" s="7">
        <v>45</v>
      </c>
      <c r="P85" s="7" t="s">
        <v>286</v>
      </c>
      <c r="R85" s="9">
        <v>1192.328337350383</v>
      </c>
      <c r="T85" s="7" t="s">
        <v>34</v>
      </c>
      <c r="U85" s="8"/>
    </row>
    <row r="86" spans="1:21" ht="14.1" customHeight="1">
      <c r="A86" s="7">
        <v>82</v>
      </c>
      <c r="B86" s="14" t="s">
        <v>357</v>
      </c>
      <c r="C86" s="14" t="s">
        <v>3498</v>
      </c>
      <c r="D86" s="7" t="s">
        <v>45</v>
      </c>
      <c r="E86" s="136" t="s">
        <v>46</v>
      </c>
      <c r="F86" s="7" t="s">
        <v>3500</v>
      </c>
      <c r="G86" s="8" t="s">
        <v>3656</v>
      </c>
      <c r="H86" s="7" t="s">
        <v>3577</v>
      </c>
      <c r="I86" s="8" t="s">
        <v>3655</v>
      </c>
      <c r="J86" s="7" t="s">
        <v>30</v>
      </c>
      <c r="K86" s="7" t="s">
        <v>2329</v>
      </c>
      <c r="L86" s="7" t="s">
        <v>360</v>
      </c>
      <c r="M86" s="7" t="s">
        <v>3505</v>
      </c>
      <c r="N86" s="7">
        <v>1</v>
      </c>
      <c r="O86" s="7">
        <v>45</v>
      </c>
      <c r="P86" s="7" t="s">
        <v>286</v>
      </c>
      <c r="R86" s="9">
        <v>955.65452210926071</v>
      </c>
      <c r="T86" s="7" t="s">
        <v>34</v>
      </c>
      <c r="U86" s="8"/>
    </row>
    <row r="87" spans="1:21" ht="14.1" customHeight="1">
      <c r="A87" s="7">
        <v>83</v>
      </c>
      <c r="B87" s="14" t="s">
        <v>357</v>
      </c>
      <c r="C87" s="14" t="s">
        <v>3498</v>
      </c>
      <c r="D87" s="7" t="s">
        <v>45</v>
      </c>
      <c r="E87" s="136" t="s">
        <v>46</v>
      </c>
      <c r="F87" s="7" t="s">
        <v>3500</v>
      </c>
      <c r="G87" s="8" t="s">
        <v>3657</v>
      </c>
      <c r="H87" s="135" t="s">
        <v>42</v>
      </c>
      <c r="I87" s="8" t="s">
        <v>3658</v>
      </c>
      <c r="J87" s="7" t="s">
        <v>30</v>
      </c>
      <c r="K87" s="135" t="s">
        <v>42</v>
      </c>
      <c r="L87" s="7" t="s">
        <v>360</v>
      </c>
      <c r="M87" s="7" t="s">
        <v>3659</v>
      </c>
      <c r="N87" s="7">
        <v>1</v>
      </c>
      <c r="O87" s="7">
        <v>90</v>
      </c>
      <c r="P87" s="7" t="s">
        <v>286</v>
      </c>
      <c r="R87" s="9">
        <v>3858.1707120274159</v>
      </c>
      <c r="T87" s="7" t="s">
        <v>34</v>
      </c>
      <c r="U87" s="8"/>
    </row>
    <row r="88" spans="1:21" ht="14.1" customHeight="1">
      <c r="A88" s="7">
        <v>84</v>
      </c>
      <c r="B88" s="14" t="s">
        <v>357</v>
      </c>
      <c r="C88" s="14" t="s">
        <v>3498</v>
      </c>
      <c r="D88" s="7" t="s">
        <v>45</v>
      </c>
      <c r="E88" s="136" t="s">
        <v>46</v>
      </c>
      <c r="F88" s="7" t="s">
        <v>3500</v>
      </c>
      <c r="G88" s="8" t="s">
        <v>3660</v>
      </c>
      <c r="H88" s="135" t="s">
        <v>42</v>
      </c>
      <c r="I88" s="8" t="s">
        <v>3661</v>
      </c>
      <c r="J88" s="7" t="s">
        <v>30</v>
      </c>
      <c r="K88" s="135" t="s">
        <v>42</v>
      </c>
      <c r="L88" s="7" t="s">
        <v>360</v>
      </c>
      <c r="M88" s="7" t="s">
        <v>3659</v>
      </c>
      <c r="N88" s="7">
        <v>1</v>
      </c>
      <c r="O88" s="7">
        <v>90</v>
      </c>
      <c r="P88" s="7" t="s">
        <v>286</v>
      </c>
      <c r="R88" s="9">
        <v>3935.6754314544328</v>
      </c>
      <c r="T88" s="7" t="s">
        <v>34</v>
      </c>
      <c r="U88" s="8"/>
    </row>
    <row r="89" spans="1:21" ht="14.1" customHeight="1">
      <c r="A89" s="7">
        <v>85</v>
      </c>
      <c r="B89" s="14" t="s">
        <v>357</v>
      </c>
      <c r="C89" s="14" t="s">
        <v>3498</v>
      </c>
      <c r="D89" s="7" t="s">
        <v>45</v>
      </c>
      <c r="E89" s="136" t="s">
        <v>46</v>
      </c>
      <c r="F89" s="7" t="s">
        <v>3500</v>
      </c>
      <c r="G89" s="8" t="s">
        <v>3662</v>
      </c>
      <c r="H89" s="135" t="s">
        <v>42</v>
      </c>
      <c r="I89" s="8" t="s">
        <v>3663</v>
      </c>
      <c r="J89" s="7" t="s">
        <v>30</v>
      </c>
      <c r="K89" s="135" t="s">
        <v>42</v>
      </c>
      <c r="L89" s="7" t="s">
        <v>360</v>
      </c>
      <c r="M89" s="7" t="s">
        <v>3659</v>
      </c>
      <c r="N89" s="7">
        <v>1</v>
      </c>
      <c r="O89" s="7">
        <v>90</v>
      </c>
      <c r="P89" s="7" t="s">
        <v>286</v>
      </c>
      <c r="R89" s="9">
        <v>4810.5069892682432</v>
      </c>
      <c r="T89" s="7" t="s">
        <v>34</v>
      </c>
      <c r="U89" s="8"/>
    </row>
    <row r="90" spans="1:21" ht="14.1" customHeight="1">
      <c r="A90" s="7">
        <v>86</v>
      </c>
      <c r="B90" s="14" t="s">
        <v>357</v>
      </c>
      <c r="C90" s="14" t="s">
        <v>3498</v>
      </c>
      <c r="D90" s="7" t="s">
        <v>45</v>
      </c>
      <c r="E90" s="136" t="s">
        <v>46</v>
      </c>
      <c r="F90" s="7" t="s">
        <v>3500</v>
      </c>
      <c r="G90" s="8" t="s">
        <v>3664</v>
      </c>
      <c r="H90" s="135" t="s">
        <v>42</v>
      </c>
      <c r="I90" s="8" t="s">
        <v>3665</v>
      </c>
      <c r="J90" s="7" t="s">
        <v>30</v>
      </c>
      <c r="K90" s="135" t="s">
        <v>42</v>
      </c>
      <c r="L90" s="7" t="s">
        <v>360</v>
      </c>
      <c r="M90" s="7" t="s">
        <v>3659</v>
      </c>
      <c r="N90" s="7">
        <v>1</v>
      </c>
      <c r="O90" s="7">
        <v>90</v>
      </c>
      <c r="P90" s="7" t="s">
        <v>286</v>
      </c>
      <c r="R90" s="9">
        <v>4858.6215398605491</v>
      </c>
      <c r="T90" s="7" t="s">
        <v>34</v>
      </c>
      <c r="U90" s="8"/>
    </row>
    <row r="91" spans="1:21" ht="14.1" customHeight="1">
      <c r="A91" s="7">
        <v>87</v>
      </c>
      <c r="B91" s="14" t="s">
        <v>357</v>
      </c>
      <c r="C91" s="14" t="s">
        <v>3498</v>
      </c>
      <c r="D91" s="7" t="s">
        <v>45</v>
      </c>
      <c r="E91" s="136" t="s">
        <v>46</v>
      </c>
      <c r="F91" s="7" t="s">
        <v>3500</v>
      </c>
      <c r="G91" s="8" t="s">
        <v>3666</v>
      </c>
      <c r="H91" s="135" t="s">
        <v>42</v>
      </c>
      <c r="I91" s="8" t="s">
        <v>3667</v>
      </c>
      <c r="J91" s="7" t="s">
        <v>30</v>
      </c>
      <c r="K91" s="135" t="s">
        <v>42</v>
      </c>
      <c r="L91" s="7" t="s">
        <v>360</v>
      </c>
      <c r="M91" s="7" t="s">
        <v>3659</v>
      </c>
      <c r="N91" s="7">
        <v>1</v>
      </c>
      <c r="O91" s="7">
        <v>90</v>
      </c>
      <c r="P91" s="7" t="s">
        <v>286</v>
      </c>
      <c r="R91" s="9">
        <v>9717.4800972117027</v>
      </c>
      <c r="T91" s="7" t="s">
        <v>34</v>
      </c>
      <c r="U91" s="8"/>
    </row>
    <row r="92" spans="1:21" ht="14.1" customHeight="1">
      <c r="A92" s="7">
        <v>88</v>
      </c>
      <c r="B92" s="14" t="s">
        <v>357</v>
      </c>
      <c r="C92" s="14" t="s">
        <v>3498</v>
      </c>
      <c r="D92" s="7" t="s">
        <v>45</v>
      </c>
      <c r="E92" s="136" t="s">
        <v>46</v>
      </c>
      <c r="F92" s="7" t="s">
        <v>3500</v>
      </c>
      <c r="G92" s="8" t="s">
        <v>3668</v>
      </c>
      <c r="H92" s="7" t="s">
        <v>3669</v>
      </c>
      <c r="I92" s="8" t="s">
        <v>3670</v>
      </c>
      <c r="J92" s="7" t="s">
        <v>30</v>
      </c>
      <c r="K92" s="7"/>
      <c r="L92" s="7" t="s">
        <v>360</v>
      </c>
      <c r="M92" s="7" t="s">
        <v>3579</v>
      </c>
      <c r="N92" s="7">
        <v>1</v>
      </c>
      <c r="O92" s="7">
        <v>45</v>
      </c>
      <c r="P92" s="7" t="s">
        <v>286</v>
      </c>
      <c r="R92" s="9">
        <v>2042.0241902857981</v>
      </c>
      <c r="T92" s="7" t="s">
        <v>34</v>
      </c>
      <c r="U92" s="8"/>
    </row>
    <row r="93" spans="1:21" ht="14.1" customHeight="1">
      <c r="A93" s="7">
        <v>89</v>
      </c>
      <c r="B93" s="14" t="s">
        <v>357</v>
      </c>
      <c r="C93" s="14" t="s">
        <v>3498</v>
      </c>
      <c r="D93" s="7" t="s">
        <v>45</v>
      </c>
      <c r="E93" s="136" t="s">
        <v>46</v>
      </c>
      <c r="F93" s="7" t="s">
        <v>3500</v>
      </c>
      <c r="G93" s="8" t="s">
        <v>3671</v>
      </c>
      <c r="H93" s="7" t="s">
        <v>3669</v>
      </c>
      <c r="I93" s="8" t="s">
        <v>3672</v>
      </c>
      <c r="J93" s="7" t="s">
        <v>30</v>
      </c>
      <c r="K93" s="7"/>
      <c r="L93" s="7" t="s">
        <v>360</v>
      </c>
      <c r="M93" s="7" t="s">
        <v>3673</v>
      </c>
      <c r="N93" s="7">
        <v>1</v>
      </c>
      <c r="O93" s="7">
        <v>45</v>
      </c>
      <c r="P93" s="7" t="s">
        <v>286</v>
      </c>
      <c r="R93" s="9">
        <v>2707.213777661701</v>
      </c>
      <c r="T93" s="7" t="s">
        <v>34</v>
      </c>
      <c r="U93" s="8"/>
    </row>
    <row r="94" spans="1:21" ht="14.1" customHeight="1">
      <c r="A94" s="7">
        <v>90</v>
      </c>
      <c r="B94" s="14" t="s">
        <v>357</v>
      </c>
      <c r="C94" s="14" t="s">
        <v>3498</v>
      </c>
      <c r="D94" s="7" t="s">
        <v>684</v>
      </c>
      <c r="E94" s="62" t="s">
        <v>3499</v>
      </c>
      <c r="F94" s="7" t="s">
        <v>3500</v>
      </c>
      <c r="G94" s="8" t="s">
        <v>3674</v>
      </c>
      <c r="H94" s="7" t="s">
        <v>3502</v>
      </c>
      <c r="I94" s="8" t="s">
        <v>3675</v>
      </c>
      <c r="J94" s="7" t="s">
        <v>30</v>
      </c>
      <c r="K94" s="7" t="s">
        <v>3504</v>
      </c>
      <c r="L94" s="7" t="s">
        <v>360</v>
      </c>
      <c r="M94" s="7" t="s">
        <v>3505</v>
      </c>
      <c r="N94" s="7">
        <v>1</v>
      </c>
      <c r="O94" s="7">
        <v>60</v>
      </c>
      <c r="P94" s="7" t="s">
        <v>286</v>
      </c>
      <c r="R94" s="9">
        <v>545.95022990702137</v>
      </c>
      <c r="T94" s="7" t="s">
        <v>34</v>
      </c>
      <c r="U94" s="8"/>
    </row>
    <row r="95" spans="1:21" ht="14.1" customHeight="1">
      <c r="A95" s="7">
        <v>91</v>
      </c>
      <c r="B95" s="14" t="s">
        <v>357</v>
      </c>
      <c r="C95" s="14" t="s">
        <v>3498</v>
      </c>
      <c r="D95" s="7" t="s">
        <v>684</v>
      </c>
      <c r="E95" s="62" t="s">
        <v>3499</v>
      </c>
      <c r="F95" s="7" t="s">
        <v>3500</v>
      </c>
      <c r="G95" s="8" t="s">
        <v>3676</v>
      </c>
      <c r="H95" s="7" t="s">
        <v>3502</v>
      </c>
      <c r="I95" s="8" t="s">
        <v>3677</v>
      </c>
      <c r="J95" s="7" t="s">
        <v>30</v>
      </c>
      <c r="K95" s="7" t="s">
        <v>3504</v>
      </c>
      <c r="L95" s="7" t="s">
        <v>360</v>
      </c>
      <c r="M95" s="7" t="s">
        <v>3505</v>
      </c>
      <c r="N95" s="7">
        <v>1</v>
      </c>
      <c r="O95" s="7">
        <v>60</v>
      </c>
      <c r="P95" s="7" t="s">
        <v>286</v>
      </c>
      <c r="R95" s="9">
        <v>542.89891735809988</v>
      </c>
      <c r="T95" s="7" t="s">
        <v>34</v>
      </c>
      <c r="U95" s="8"/>
    </row>
    <row r="96" spans="1:21" ht="14.1" customHeight="1">
      <c r="A96" s="7">
        <v>92</v>
      </c>
      <c r="B96" s="14" t="s">
        <v>357</v>
      </c>
      <c r="C96" s="14" t="s">
        <v>3498</v>
      </c>
      <c r="D96" s="7" t="s">
        <v>684</v>
      </c>
      <c r="E96" s="62" t="s">
        <v>3499</v>
      </c>
      <c r="F96" s="7" t="s">
        <v>3500</v>
      </c>
      <c r="G96" s="8" t="s">
        <v>3678</v>
      </c>
      <c r="H96" s="7" t="s">
        <v>3502</v>
      </c>
      <c r="I96" s="8" t="s">
        <v>3679</v>
      </c>
      <c r="J96" s="7" t="s">
        <v>30</v>
      </c>
      <c r="K96" s="7" t="s">
        <v>3504</v>
      </c>
      <c r="L96" s="7" t="s">
        <v>360</v>
      </c>
      <c r="M96" s="7" t="s">
        <v>3505</v>
      </c>
      <c r="N96" s="7">
        <v>1</v>
      </c>
      <c r="O96" s="7">
        <v>60</v>
      </c>
      <c r="P96" s="7" t="s">
        <v>286</v>
      </c>
      <c r="R96" s="9">
        <v>603.45573563669461</v>
      </c>
      <c r="T96" s="7" t="s">
        <v>34</v>
      </c>
      <c r="U96" s="8"/>
    </row>
    <row r="97" spans="1:21" ht="14.1" customHeight="1">
      <c r="A97" s="7">
        <v>93</v>
      </c>
      <c r="B97" s="14" t="s">
        <v>357</v>
      </c>
      <c r="C97" s="14" t="s">
        <v>3498</v>
      </c>
      <c r="D97" s="7" t="s">
        <v>684</v>
      </c>
      <c r="E97" s="62" t="s">
        <v>3499</v>
      </c>
      <c r="F97" s="7" t="s">
        <v>3500</v>
      </c>
      <c r="G97" s="8" t="s">
        <v>3680</v>
      </c>
      <c r="H97" s="7" t="s">
        <v>3502</v>
      </c>
      <c r="I97" s="8" t="s">
        <v>3681</v>
      </c>
      <c r="J97" s="7" t="s">
        <v>30</v>
      </c>
      <c r="K97" s="7" t="s">
        <v>3504</v>
      </c>
      <c r="L97" s="7" t="s">
        <v>360</v>
      </c>
      <c r="M97" s="7" t="s">
        <v>3505</v>
      </c>
      <c r="N97" s="7">
        <v>1</v>
      </c>
      <c r="O97" s="7">
        <v>60</v>
      </c>
      <c r="P97" s="7" t="s">
        <v>286</v>
      </c>
      <c r="R97" s="9">
        <v>606.74176453553321</v>
      </c>
      <c r="T97" s="7" t="s">
        <v>34</v>
      </c>
      <c r="U97" s="8"/>
    </row>
    <row r="98" spans="1:21" ht="14.1" customHeight="1">
      <c r="A98" s="7">
        <v>94</v>
      </c>
      <c r="B98" s="14" t="s">
        <v>357</v>
      </c>
      <c r="C98" s="14" t="s">
        <v>3498</v>
      </c>
      <c r="D98" s="7" t="s">
        <v>684</v>
      </c>
      <c r="E98" s="62" t="s">
        <v>3499</v>
      </c>
      <c r="F98" s="7" t="s">
        <v>3500</v>
      </c>
      <c r="G98" s="8" t="s">
        <v>3682</v>
      </c>
      <c r="H98" s="7" t="s">
        <v>3502</v>
      </c>
      <c r="I98" s="8" t="s">
        <v>3683</v>
      </c>
      <c r="J98" s="7" t="s">
        <v>30</v>
      </c>
      <c r="K98" s="7" t="s">
        <v>3504</v>
      </c>
      <c r="L98" s="7" t="s">
        <v>360</v>
      </c>
      <c r="M98" s="7" t="s">
        <v>3505</v>
      </c>
      <c r="N98" s="7">
        <v>1</v>
      </c>
      <c r="O98" s="7">
        <v>60</v>
      </c>
      <c r="P98" s="7" t="s">
        <v>286</v>
      </c>
      <c r="R98" s="9">
        <v>627.86623602806617</v>
      </c>
      <c r="T98" s="7" t="s">
        <v>34</v>
      </c>
      <c r="U98" s="8"/>
    </row>
    <row r="99" spans="1:21" ht="14.1" customHeight="1">
      <c r="A99" s="7">
        <v>95</v>
      </c>
      <c r="B99" s="14" t="s">
        <v>357</v>
      </c>
      <c r="C99" s="14" t="s">
        <v>3498</v>
      </c>
      <c r="D99" s="7" t="s">
        <v>684</v>
      </c>
      <c r="E99" s="62" t="s">
        <v>3499</v>
      </c>
      <c r="F99" s="7" t="s">
        <v>3500</v>
      </c>
      <c r="G99" s="8" t="s">
        <v>3684</v>
      </c>
      <c r="H99" s="7" t="s">
        <v>3502</v>
      </c>
      <c r="I99" s="8" t="s">
        <v>3685</v>
      </c>
      <c r="J99" s="7" t="s">
        <v>30</v>
      </c>
      <c r="K99" s="7" t="s">
        <v>3504</v>
      </c>
      <c r="L99" s="7" t="s">
        <v>360</v>
      </c>
      <c r="M99" s="7" t="s">
        <v>3505</v>
      </c>
      <c r="N99" s="7">
        <v>1</v>
      </c>
      <c r="O99" s="7">
        <v>60</v>
      </c>
      <c r="P99" s="7" t="s">
        <v>286</v>
      </c>
      <c r="R99" s="9">
        <v>687.95362160682691</v>
      </c>
      <c r="T99" s="7" t="s">
        <v>34</v>
      </c>
      <c r="U99" s="8"/>
    </row>
    <row r="100" spans="1:21" ht="14.1" customHeight="1">
      <c r="A100" s="7">
        <v>96</v>
      </c>
      <c r="B100" s="14" t="s">
        <v>357</v>
      </c>
      <c r="C100" s="14" t="s">
        <v>3498</v>
      </c>
      <c r="D100" s="7" t="s">
        <v>684</v>
      </c>
      <c r="E100" s="62" t="s">
        <v>3499</v>
      </c>
      <c r="F100" s="7" t="s">
        <v>3500</v>
      </c>
      <c r="G100" s="8" t="s">
        <v>3686</v>
      </c>
      <c r="H100" s="7" t="s">
        <v>3502</v>
      </c>
      <c r="I100" s="8" t="s">
        <v>3687</v>
      </c>
      <c r="J100" s="7" t="s">
        <v>30</v>
      </c>
      <c r="K100" s="7" t="s">
        <v>3504</v>
      </c>
      <c r="L100" s="7" t="s">
        <v>360</v>
      </c>
      <c r="M100" s="7" t="s">
        <v>3505</v>
      </c>
      <c r="N100" s="7">
        <v>1</v>
      </c>
      <c r="O100" s="7">
        <v>60</v>
      </c>
      <c r="P100" s="7" t="s">
        <v>286</v>
      </c>
      <c r="R100" s="9">
        <v>684.66759270798855</v>
      </c>
      <c r="T100" s="7" t="s">
        <v>34</v>
      </c>
      <c r="U100" s="8"/>
    </row>
    <row r="101" spans="1:21" ht="14.1" customHeight="1">
      <c r="A101" s="7">
        <v>97</v>
      </c>
      <c r="B101" s="14" t="s">
        <v>357</v>
      </c>
      <c r="C101" s="14" t="s">
        <v>3498</v>
      </c>
      <c r="D101" s="7" t="s">
        <v>684</v>
      </c>
      <c r="E101" s="62" t="s">
        <v>3499</v>
      </c>
      <c r="F101" s="7" t="s">
        <v>3500</v>
      </c>
      <c r="G101" s="8" t="s">
        <v>3688</v>
      </c>
      <c r="H101" s="7" t="s">
        <v>3502</v>
      </c>
      <c r="I101" s="8" t="s">
        <v>3689</v>
      </c>
      <c r="J101" s="7" t="s">
        <v>30</v>
      </c>
      <c r="K101" s="7" t="s">
        <v>3504</v>
      </c>
      <c r="L101" s="7" t="s">
        <v>360</v>
      </c>
      <c r="M101" s="7" t="s">
        <v>3505</v>
      </c>
      <c r="N101" s="7">
        <v>1</v>
      </c>
      <c r="O101" s="7">
        <v>60</v>
      </c>
      <c r="P101" s="7" t="s">
        <v>286</v>
      </c>
      <c r="R101" s="9">
        <v>745.45912733650027</v>
      </c>
      <c r="T101" s="7" t="s">
        <v>34</v>
      </c>
      <c r="U101" s="8"/>
    </row>
    <row r="102" spans="1:21" ht="14.1" customHeight="1"/>
    <row r="103" spans="1:21" ht="14.1" customHeight="1"/>
    <row r="104" spans="1:21" ht="14.1" customHeight="1"/>
    <row r="105" spans="1:21" ht="14.1" customHeight="1"/>
    <row r="106" spans="1:21" ht="14.1" customHeight="1"/>
    <row r="107" spans="1:21" ht="14.1" customHeight="1"/>
    <row r="108" spans="1:21" ht="14.1" customHeight="1"/>
    <row r="109" spans="1:21" ht="14.1" customHeight="1"/>
    <row r="110" spans="1:21" ht="14.1" customHeight="1"/>
    <row r="111" spans="1:21" ht="14.1" customHeight="1"/>
    <row r="112" spans="1:21" ht="14.1" customHeight="1"/>
    <row r="113" ht="14.1" customHeight="1"/>
    <row r="114" ht="14.1" customHeight="1"/>
    <row r="115" ht="14.1" customHeight="1"/>
    <row r="116" ht="14.1" customHeight="1"/>
    <row r="117" ht="14.1" customHeight="1"/>
    <row r="118" ht="14.1" customHeight="1"/>
    <row r="119" ht="14.1" customHeight="1"/>
    <row r="120" ht="14.1" customHeight="1"/>
    <row r="121" ht="14.1" customHeight="1"/>
    <row r="122" ht="14.1" customHeight="1"/>
    <row r="123" ht="14.1" customHeight="1"/>
    <row r="124" ht="14.1" customHeight="1"/>
    <row r="125" ht="14.1" customHeight="1"/>
    <row r="126" ht="14.1" customHeight="1"/>
    <row r="127" ht="14.1" customHeight="1"/>
    <row r="128" ht="14.1" customHeight="1"/>
    <row r="129" ht="14.1" customHeight="1"/>
    <row r="130" ht="14.1" customHeight="1"/>
    <row r="131" ht="14.1" customHeight="1"/>
    <row r="132" ht="14.1" customHeight="1"/>
    <row r="133" ht="14.1" customHeight="1"/>
    <row r="134" ht="14.1" customHeight="1"/>
    <row r="135" ht="14.1" customHeight="1"/>
    <row r="136" ht="14.1" customHeight="1"/>
    <row r="137" ht="14.1" customHeight="1"/>
    <row r="138" ht="14.1" customHeight="1"/>
    <row r="139" ht="14.1" customHeight="1"/>
    <row r="140" ht="14.1" customHeight="1"/>
    <row r="141" ht="14.1" customHeight="1"/>
    <row r="142" ht="14.1" customHeight="1"/>
    <row r="143" ht="14.1" customHeight="1"/>
    <row r="144" ht="14.1" customHeight="1"/>
    <row r="145" ht="14.1" customHeight="1"/>
    <row r="146" ht="14.1" customHeight="1"/>
    <row r="147" ht="14.1" customHeight="1"/>
    <row r="148" ht="14.1" customHeight="1"/>
    <row r="149" ht="14.1" customHeight="1"/>
    <row r="150" ht="14.1" customHeight="1"/>
    <row r="151" ht="14.1" customHeight="1"/>
    <row r="152" ht="14.1" customHeight="1"/>
    <row r="153" ht="14.1" customHeight="1"/>
    <row r="154" ht="14.1" customHeight="1"/>
    <row r="155" ht="14.1" customHeight="1"/>
    <row r="156" ht="14.1" customHeight="1"/>
    <row r="157" ht="14.1" customHeight="1"/>
    <row r="158" ht="14.1" customHeight="1"/>
    <row r="159" ht="14.1" customHeight="1"/>
    <row r="160" ht="14.1" customHeight="1"/>
    <row r="161" ht="14.1" customHeight="1"/>
    <row r="162" ht="14.1" customHeight="1"/>
    <row r="163" ht="14.1" customHeight="1"/>
    <row r="164" ht="14.1" customHeight="1"/>
    <row r="165" ht="14.1" customHeight="1"/>
    <row r="166" ht="14.1" customHeight="1"/>
    <row r="167" ht="14.1" customHeight="1"/>
    <row r="168" ht="14.1" customHeight="1"/>
    <row r="169" ht="14.1" customHeight="1"/>
    <row r="170" ht="14.1" customHeight="1"/>
    <row r="171" ht="14.1" customHeight="1"/>
    <row r="172" ht="14.1" customHeight="1"/>
    <row r="173" ht="14.1" customHeight="1"/>
    <row r="174" ht="14.1" customHeight="1"/>
    <row r="175" ht="14.1" customHeight="1"/>
    <row r="176" ht="14.1" customHeight="1"/>
    <row r="177" ht="14.1" customHeight="1"/>
    <row r="178" ht="14.1" customHeight="1"/>
    <row r="179" ht="14.1" customHeight="1"/>
    <row r="180" ht="14.1" customHeight="1"/>
    <row r="181" ht="14.1" customHeight="1"/>
    <row r="182" ht="14.1" customHeight="1"/>
    <row r="183" ht="14.1" customHeight="1"/>
    <row r="184" ht="14.1" customHeight="1"/>
    <row r="185" ht="14.1" customHeight="1"/>
    <row r="186" ht="14.1" customHeight="1"/>
    <row r="187" ht="14.1" customHeight="1"/>
    <row r="188" ht="14.1" customHeight="1"/>
    <row r="189" ht="14.1" customHeight="1"/>
    <row r="190" ht="14.1" customHeight="1"/>
    <row r="191" ht="14.1" customHeight="1"/>
    <row r="192" ht="14.1" customHeight="1"/>
    <row r="193" ht="14.1" customHeight="1"/>
    <row r="194" ht="14.1" customHeight="1"/>
    <row r="195" ht="14.1" customHeight="1"/>
    <row r="196" ht="14.1" customHeight="1"/>
    <row r="197" ht="14.1" customHeight="1"/>
    <row r="198" ht="14.1" customHeight="1"/>
    <row r="199" ht="14.1" customHeight="1"/>
    <row r="200" ht="14.1" customHeight="1"/>
    <row r="201" ht="14.1" customHeight="1"/>
    <row r="202" ht="14.1" customHeight="1"/>
    <row r="203" ht="14.1" customHeight="1"/>
    <row r="204" ht="14.1" customHeight="1"/>
    <row r="205" ht="14.1" customHeight="1"/>
    <row r="206" ht="14.1" customHeight="1"/>
    <row r="207" ht="14.1" customHeight="1"/>
    <row r="208" ht="14.1" customHeight="1"/>
    <row r="209" ht="14.1" customHeight="1"/>
    <row r="210" ht="14.1" customHeight="1"/>
    <row r="211" ht="14.1" customHeight="1"/>
    <row r="212" ht="14.1" customHeight="1"/>
    <row r="213" ht="14.1" customHeight="1"/>
    <row r="214" ht="14.1" customHeight="1"/>
    <row r="215" ht="14.1" customHeight="1"/>
    <row r="216" ht="14.1" customHeight="1"/>
    <row r="217" ht="14.1" customHeight="1"/>
    <row r="218" ht="14.1" customHeight="1"/>
    <row r="219" ht="14.1" customHeight="1"/>
    <row r="220" ht="14.1" customHeight="1"/>
    <row r="221" ht="14.1" customHeight="1"/>
    <row r="222" ht="14.1" customHeight="1"/>
    <row r="223" ht="14.1" customHeight="1"/>
    <row r="224" ht="14.1" customHeight="1"/>
    <row r="225" ht="14.1" customHeight="1"/>
    <row r="226" ht="14.1" customHeight="1"/>
    <row r="227" ht="14.1" customHeight="1"/>
    <row r="228" ht="14.1" customHeight="1"/>
    <row r="229" ht="14.1" customHeight="1"/>
    <row r="230" ht="14.1" customHeight="1"/>
    <row r="231" ht="14.1" customHeight="1"/>
    <row r="232" ht="14.1" customHeight="1"/>
    <row r="233" ht="14.1" customHeight="1"/>
    <row r="234" ht="14.1" customHeight="1"/>
    <row r="235" ht="14.1" customHeight="1"/>
    <row r="236" ht="14.1" customHeight="1"/>
    <row r="237" ht="14.1" customHeight="1"/>
    <row r="238" ht="14.1" customHeight="1"/>
    <row r="239" ht="14.1" customHeight="1"/>
    <row r="240" ht="14.1" customHeight="1"/>
    <row r="241" ht="14.1" customHeight="1"/>
    <row r="242" ht="14.1" customHeight="1"/>
    <row r="243" ht="14.1" customHeight="1"/>
    <row r="244" ht="14.1" customHeight="1"/>
    <row r="245" ht="14.1" customHeight="1"/>
    <row r="246" ht="14.1" customHeight="1"/>
    <row r="247" ht="14.1" customHeight="1"/>
    <row r="248" ht="14.1" customHeight="1"/>
    <row r="249" ht="14.1" customHeight="1"/>
    <row r="250" ht="14.1" customHeight="1"/>
    <row r="251" ht="14.1" customHeight="1"/>
    <row r="252" ht="14.1" customHeight="1"/>
    <row r="253" ht="14.1" customHeight="1"/>
    <row r="254" ht="14.1" customHeight="1"/>
    <row r="255" ht="14.1" customHeight="1"/>
    <row r="256" ht="14.1" customHeight="1"/>
    <row r="257" ht="14.1" customHeight="1"/>
    <row r="258" ht="14.1" customHeight="1"/>
    <row r="259" ht="14.1" customHeight="1"/>
    <row r="260" ht="14.1" customHeight="1"/>
    <row r="261" ht="14.1" customHeight="1"/>
    <row r="262" ht="14.1" customHeight="1"/>
    <row r="263" ht="14.1" customHeight="1"/>
    <row r="264" ht="14.1" customHeight="1"/>
    <row r="265" ht="14.1" customHeight="1"/>
    <row r="266" ht="14.1" customHeight="1"/>
    <row r="267" ht="14.1" customHeight="1"/>
    <row r="268" ht="14.1" customHeight="1"/>
    <row r="269" ht="14.1" customHeight="1"/>
    <row r="270" ht="14.1" customHeight="1"/>
    <row r="271" ht="14.1" customHeight="1"/>
    <row r="272" ht="14.1" customHeight="1"/>
    <row r="273" ht="14.1" customHeight="1"/>
    <row r="274" ht="14.1" customHeight="1"/>
    <row r="275" ht="14.1" customHeight="1"/>
    <row r="276" ht="14.1" customHeight="1"/>
    <row r="277" ht="14.1" customHeight="1"/>
    <row r="278" ht="14.1" customHeight="1"/>
    <row r="279" ht="14.1" customHeight="1"/>
    <row r="280" ht="14.1" customHeight="1"/>
    <row r="281" ht="14.1" customHeight="1"/>
    <row r="282" ht="14.1" customHeight="1"/>
    <row r="283" ht="14.1" customHeight="1"/>
    <row r="284" ht="14.1" customHeight="1"/>
    <row r="285" ht="14.1" customHeight="1"/>
    <row r="286" ht="14.1" customHeight="1"/>
    <row r="287" ht="14.1" customHeight="1"/>
    <row r="288" ht="14.1" customHeight="1"/>
    <row r="289" ht="14.1" customHeight="1"/>
    <row r="290" ht="14.1" customHeight="1"/>
    <row r="291" ht="14.1" customHeight="1"/>
    <row r="292" ht="14.1" customHeight="1"/>
    <row r="293" ht="14.1" customHeight="1"/>
    <row r="294" ht="14.1" customHeight="1"/>
    <row r="295" ht="14.1" customHeight="1"/>
    <row r="296" ht="14.1" customHeight="1"/>
    <row r="297" ht="14.1" customHeight="1"/>
    <row r="298" ht="14.1" customHeight="1"/>
    <row r="299" ht="14.1" customHeight="1"/>
    <row r="300" ht="14.1" customHeight="1"/>
    <row r="301" ht="14.1" customHeight="1"/>
    <row r="302" ht="14.1" customHeight="1"/>
    <row r="303" ht="14.1" customHeight="1"/>
    <row r="304" ht="14.1" customHeight="1"/>
    <row r="305" ht="14.1" customHeight="1"/>
    <row r="306" ht="14.1" customHeight="1"/>
    <row r="307" ht="14.1" customHeight="1"/>
    <row r="308" ht="14.1" customHeight="1"/>
    <row r="309" ht="14.1" customHeight="1"/>
    <row r="310" ht="14.1" customHeight="1"/>
    <row r="311" ht="14.1" customHeight="1"/>
    <row r="312" ht="14.1" customHeight="1"/>
    <row r="313" ht="14.1" customHeight="1"/>
    <row r="314" ht="14.1" customHeight="1"/>
    <row r="315" ht="14.1" customHeight="1"/>
    <row r="316" ht="14.1" customHeight="1"/>
    <row r="317" ht="14.1" customHeight="1"/>
    <row r="318" ht="14.1" customHeight="1"/>
    <row r="319" ht="14.1" customHeight="1"/>
    <row r="320" ht="14.1" customHeight="1"/>
    <row r="321" ht="14.1" customHeight="1"/>
    <row r="322" ht="14.1" customHeight="1"/>
    <row r="323" ht="14.1" customHeight="1"/>
    <row r="324" ht="14.1" customHeight="1"/>
    <row r="325" ht="14.1" customHeight="1"/>
    <row r="326" ht="14.1" customHeight="1"/>
    <row r="327" ht="14.1" customHeight="1"/>
    <row r="328" ht="14.1" customHeight="1"/>
    <row r="329" ht="14.1" customHeight="1"/>
    <row r="330" ht="14.1" customHeight="1"/>
    <row r="331" ht="14.1" customHeight="1"/>
    <row r="332" ht="14.1" customHeight="1"/>
    <row r="333" ht="14.1" customHeight="1"/>
    <row r="334" ht="14.1" customHeight="1"/>
    <row r="335" ht="14.1" customHeight="1"/>
    <row r="336" ht="14.1" customHeight="1"/>
    <row r="337" ht="14.1" customHeight="1"/>
    <row r="338" ht="14.1" customHeight="1"/>
    <row r="339" ht="14.1" customHeight="1"/>
    <row r="340" ht="14.1" customHeight="1"/>
    <row r="341" ht="14.1" customHeight="1"/>
    <row r="342" ht="14.1" customHeight="1"/>
    <row r="343" ht="14.1" customHeight="1"/>
    <row r="344" ht="14.1" customHeight="1"/>
    <row r="345" ht="14.1" customHeight="1"/>
    <row r="346" ht="14.1" customHeight="1"/>
    <row r="347" ht="14.1" customHeight="1"/>
    <row r="348" ht="14.1" customHeight="1"/>
    <row r="349" ht="14.1" customHeight="1"/>
    <row r="350" ht="14.1" customHeight="1"/>
    <row r="351" ht="14.1" customHeight="1"/>
    <row r="352" ht="14.1" customHeight="1"/>
    <row r="353" ht="14.1" customHeight="1"/>
    <row r="354" ht="14.1" customHeight="1"/>
    <row r="355" ht="14.1" customHeight="1"/>
    <row r="356" ht="14.1" customHeight="1"/>
    <row r="357" ht="14.1" customHeight="1"/>
    <row r="358" ht="14.1" customHeight="1"/>
    <row r="359" ht="14.1" customHeight="1"/>
    <row r="360" ht="14.1" customHeight="1"/>
    <row r="361" ht="14.1" customHeight="1"/>
    <row r="362" ht="14.1" customHeight="1"/>
    <row r="363" ht="14.1" customHeight="1"/>
    <row r="364" ht="14.1" customHeight="1"/>
    <row r="365" ht="14.1" customHeight="1"/>
    <row r="366" ht="14.1" customHeight="1"/>
    <row r="367" ht="14.1" customHeight="1"/>
    <row r="368" ht="14.1" customHeight="1"/>
    <row r="369" ht="14.1" customHeight="1"/>
    <row r="370" ht="14.1" customHeight="1"/>
    <row r="371" ht="14.1" customHeight="1"/>
    <row r="372" ht="14.1" customHeight="1"/>
    <row r="373" ht="14.1" customHeight="1"/>
    <row r="374" ht="14.1" customHeight="1"/>
    <row r="375" ht="14.1" customHeight="1"/>
    <row r="376" ht="14.1" customHeight="1"/>
    <row r="377" ht="14.1" customHeight="1"/>
    <row r="378" ht="14.1" customHeight="1"/>
    <row r="379" ht="14.1" customHeight="1"/>
    <row r="380" ht="14.1" customHeight="1"/>
    <row r="381" ht="14.1" customHeight="1"/>
    <row r="382" ht="14.1" customHeight="1"/>
    <row r="383" ht="14.1" customHeight="1"/>
    <row r="384" ht="14.1" customHeight="1"/>
    <row r="385" ht="14.1" customHeight="1"/>
    <row r="386" ht="14.1" customHeight="1"/>
    <row r="387" ht="14.1" customHeight="1"/>
    <row r="388" ht="14.1" customHeight="1"/>
    <row r="389" ht="14.1" customHeight="1"/>
    <row r="390" ht="14.1" customHeight="1"/>
    <row r="391" ht="14.1" customHeight="1"/>
    <row r="392" ht="14.1" customHeight="1"/>
    <row r="393" ht="14.1" customHeight="1"/>
    <row r="394" ht="14.1" customHeight="1"/>
    <row r="395" ht="14.1" customHeight="1"/>
    <row r="396" ht="14.1" customHeight="1"/>
    <row r="397" ht="14.1" customHeight="1"/>
    <row r="398" ht="14.1" customHeight="1"/>
    <row r="399" ht="14.1" customHeight="1"/>
    <row r="400" ht="14.1" customHeight="1"/>
    <row r="401" ht="14.1" customHeight="1"/>
    <row r="402" ht="14.1" customHeight="1"/>
    <row r="403" ht="14.1" customHeight="1"/>
    <row r="404" ht="14.1" customHeight="1"/>
    <row r="405" ht="14.1" customHeight="1"/>
    <row r="406" ht="14.1" customHeight="1"/>
    <row r="407" ht="14.1" customHeight="1"/>
    <row r="408" ht="14.1" customHeight="1"/>
    <row r="409" ht="14.1" customHeight="1"/>
    <row r="410" ht="14.1" customHeight="1"/>
    <row r="411" ht="14.1" customHeight="1"/>
    <row r="412" ht="14.1" customHeight="1"/>
    <row r="413" ht="14.1" customHeight="1"/>
    <row r="414" ht="14.1" customHeight="1"/>
    <row r="415" ht="14.1" customHeight="1"/>
    <row r="416" ht="14.1" customHeight="1"/>
    <row r="417" ht="14.1" customHeight="1"/>
    <row r="418" ht="14.1" customHeight="1"/>
    <row r="419" ht="14.1" customHeight="1"/>
    <row r="420" ht="14.1" customHeight="1"/>
    <row r="421" ht="14.1" customHeight="1"/>
    <row r="422" ht="14.1" customHeight="1"/>
    <row r="423" ht="14.1" customHeight="1"/>
    <row r="424" ht="14.1" customHeight="1"/>
    <row r="425" ht="14.1" customHeight="1"/>
    <row r="426" ht="14.1" customHeight="1"/>
    <row r="427" ht="14.1" customHeight="1"/>
    <row r="428" ht="14.1" customHeight="1"/>
    <row r="429" ht="14.1" customHeight="1"/>
    <row r="430" ht="14.1" customHeight="1"/>
    <row r="431" ht="14.1" customHeight="1"/>
    <row r="432" ht="14.1" customHeight="1"/>
    <row r="433" ht="14.1" customHeight="1"/>
    <row r="434" ht="14.1" customHeight="1"/>
    <row r="435" ht="14.1" customHeight="1"/>
    <row r="436" ht="14.1" customHeight="1"/>
    <row r="437" ht="14.1" customHeight="1"/>
    <row r="438" ht="14.1" customHeight="1"/>
    <row r="439" ht="14.1" customHeight="1"/>
    <row r="440" ht="14.1" customHeight="1"/>
    <row r="441" ht="14.1" customHeight="1"/>
    <row r="442" ht="14.1" customHeight="1"/>
    <row r="443" ht="14.1" customHeight="1"/>
    <row r="444" ht="14.1" customHeight="1"/>
    <row r="445" ht="14.1" customHeight="1"/>
    <row r="446" ht="14.1" customHeight="1"/>
    <row r="447" ht="14.1" customHeight="1"/>
    <row r="448" ht="14.1" customHeight="1"/>
    <row r="449" ht="14.1" customHeight="1"/>
    <row r="450" ht="14.1" customHeight="1"/>
    <row r="451" ht="14.1" customHeight="1"/>
    <row r="452" ht="14.1" customHeight="1"/>
    <row r="453" ht="14.1" customHeight="1"/>
    <row r="454" ht="14.1" customHeight="1"/>
    <row r="455" ht="14.1" customHeight="1"/>
    <row r="456" ht="14.1" customHeight="1"/>
    <row r="457" ht="14.1" customHeight="1"/>
    <row r="458" ht="14.1" customHeight="1"/>
    <row r="459" ht="14.1" customHeight="1"/>
    <row r="460" ht="14.1" customHeight="1"/>
    <row r="461" ht="14.1" customHeight="1"/>
    <row r="462" ht="14.1" customHeight="1"/>
    <row r="463" ht="14.1" customHeight="1"/>
    <row r="464" ht="14.1" customHeight="1"/>
    <row r="465" ht="14.1" customHeight="1"/>
    <row r="466" ht="14.1" customHeight="1"/>
    <row r="467" ht="14.1" customHeight="1"/>
    <row r="468" ht="14.1" customHeight="1"/>
    <row r="469" ht="14.1" customHeight="1"/>
    <row r="470" ht="14.1" customHeight="1"/>
    <row r="471" ht="14.1" customHeight="1"/>
    <row r="472" ht="14.1" customHeight="1"/>
    <row r="473" ht="14.1" customHeight="1"/>
    <row r="474" ht="14.1" customHeight="1"/>
    <row r="475" ht="14.1" customHeight="1"/>
    <row r="476" ht="14.1" customHeight="1"/>
    <row r="477" ht="14.1" customHeight="1"/>
    <row r="478" ht="14.1" customHeight="1"/>
    <row r="479" ht="14.1" customHeight="1"/>
    <row r="480" ht="14.1" customHeight="1"/>
    <row r="481" ht="14.1" customHeight="1"/>
    <row r="482" ht="14.1" customHeight="1"/>
    <row r="483" ht="14.1" customHeight="1"/>
    <row r="484" ht="14.1" customHeight="1"/>
    <row r="485" ht="14.1" customHeight="1"/>
    <row r="486" ht="14.1" customHeight="1"/>
    <row r="487" ht="14.1" customHeight="1"/>
    <row r="488" ht="14.1" customHeight="1"/>
    <row r="489" ht="14.1" customHeight="1"/>
    <row r="490" ht="14.1" customHeight="1"/>
    <row r="491" ht="14.1" customHeight="1"/>
    <row r="492" ht="14.1" customHeight="1"/>
    <row r="493" ht="14.1" customHeight="1"/>
    <row r="494" ht="14.1" customHeight="1"/>
    <row r="495" ht="14.1" customHeight="1"/>
    <row r="496" ht="14.1" customHeight="1"/>
    <row r="497" ht="14.1" customHeight="1"/>
    <row r="498" ht="14.1" customHeight="1"/>
    <row r="499" ht="14.1" customHeight="1"/>
    <row r="500" ht="14.1" customHeight="1"/>
    <row r="501" ht="14.1" customHeight="1"/>
    <row r="502" ht="14.1" customHeight="1"/>
    <row r="503" ht="14.1" customHeight="1"/>
    <row r="504" ht="14.1" customHeight="1"/>
    <row r="505" ht="14.1" customHeight="1"/>
    <row r="506" ht="14.1" customHeight="1"/>
    <row r="507" ht="14.1" customHeight="1"/>
    <row r="508" ht="14.1" customHeight="1"/>
    <row r="509" ht="14.1" customHeight="1"/>
    <row r="510" ht="14.1" customHeight="1"/>
    <row r="511" ht="14.1" customHeight="1"/>
    <row r="512" ht="14.1" customHeight="1"/>
    <row r="513" ht="14.1" customHeight="1"/>
    <row r="514" ht="14.1" customHeight="1"/>
    <row r="515" ht="14.1" customHeight="1"/>
    <row r="516" ht="14.1" customHeight="1"/>
    <row r="517" ht="14.1" customHeight="1"/>
    <row r="518" ht="14.1" customHeight="1"/>
    <row r="519" ht="14.1" customHeight="1"/>
    <row r="520" ht="14.1" customHeight="1"/>
    <row r="521" ht="14.1" customHeight="1"/>
    <row r="522" ht="14.1" customHeight="1"/>
    <row r="523" ht="14.1" customHeight="1"/>
    <row r="524" ht="14.1" customHeight="1"/>
    <row r="525" ht="14.1" customHeight="1"/>
    <row r="526" ht="14.1" customHeight="1"/>
    <row r="527" ht="14.1" customHeight="1"/>
    <row r="528" ht="14.1" customHeight="1"/>
    <row r="529" ht="14.1" customHeight="1"/>
    <row r="530" ht="14.1" customHeight="1"/>
    <row r="531" ht="14.1" customHeight="1"/>
    <row r="532" ht="14.1" customHeight="1"/>
    <row r="533" ht="14.1" customHeight="1"/>
    <row r="534" ht="14.1" customHeight="1"/>
    <row r="535" ht="14.1" customHeight="1"/>
    <row r="536" ht="14.1" customHeight="1"/>
    <row r="537" ht="14.1" customHeight="1"/>
    <row r="538" ht="14.1" customHeight="1"/>
    <row r="539" ht="14.1" customHeight="1"/>
    <row r="540" ht="14.1" customHeight="1"/>
    <row r="541" ht="14.1" customHeight="1"/>
    <row r="542" ht="14.1" customHeight="1"/>
    <row r="543" ht="14.1" customHeight="1"/>
    <row r="544" ht="14.1" customHeight="1"/>
    <row r="545" ht="14.1" customHeight="1"/>
    <row r="546" ht="14.1" customHeight="1"/>
    <row r="547" ht="14.1" customHeight="1"/>
    <row r="548" ht="14.1" customHeight="1"/>
    <row r="549" ht="14.1" customHeight="1"/>
    <row r="550" ht="14.1" customHeight="1"/>
    <row r="551" ht="14.1" customHeight="1"/>
    <row r="552" ht="14.1" customHeight="1"/>
    <row r="553" ht="14.1" customHeight="1"/>
    <row r="554" ht="14.1" customHeight="1"/>
    <row r="555" ht="14.1" customHeight="1"/>
    <row r="556" ht="14.1" customHeight="1"/>
    <row r="557" ht="14.1" customHeight="1"/>
    <row r="558" ht="14.1" customHeight="1"/>
    <row r="559" ht="14.1" customHeight="1"/>
    <row r="560" ht="14.1" customHeight="1"/>
    <row r="561" ht="14.1" customHeight="1"/>
    <row r="562" ht="14.1" customHeight="1"/>
    <row r="563" ht="14.1" customHeight="1"/>
    <row r="564" ht="14.1" customHeight="1"/>
    <row r="565" ht="14.1" customHeight="1"/>
    <row r="566" ht="14.1" customHeight="1"/>
    <row r="567" ht="14.1" customHeight="1"/>
    <row r="568" ht="14.1" customHeight="1"/>
    <row r="569" ht="14.1" customHeight="1"/>
    <row r="570" ht="14.1" customHeight="1"/>
    <row r="571" ht="14.1" customHeight="1"/>
    <row r="572" ht="14.1" customHeight="1"/>
    <row r="573" ht="14.1" customHeight="1"/>
    <row r="574" ht="14.1" customHeight="1"/>
    <row r="575" ht="14.1" customHeight="1"/>
    <row r="576" ht="14.1" customHeight="1"/>
    <row r="577" ht="14.1" customHeight="1"/>
    <row r="578" ht="14.1" customHeight="1"/>
    <row r="579" ht="14.1" customHeight="1"/>
    <row r="580" ht="14.1" customHeight="1"/>
    <row r="581" ht="14.1" customHeight="1"/>
    <row r="582" ht="14.1" customHeight="1"/>
    <row r="583" ht="14.1" customHeight="1"/>
    <row r="584" ht="14.1" customHeight="1"/>
    <row r="585" ht="14.1" customHeight="1"/>
    <row r="586" ht="14.1" customHeight="1"/>
    <row r="587" ht="14.1" customHeight="1"/>
    <row r="588" ht="14.1" customHeight="1"/>
    <row r="589" ht="14.1" customHeight="1"/>
    <row r="590" ht="14.1" customHeight="1"/>
    <row r="591" ht="14.1" customHeight="1"/>
    <row r="592" ht="14.1" customHeight="1"/>
    <row r="593" ht="14.1" customHeight="1"/>
    <row r="594" ht="14.1" customHeight="1"/>
    <row r="595" ht="14.1" customHeight="1"/>
    <row r="596" ht="14.1" customHeight="1"/>
    <row r="597" ht="14.1" customHeight="1"/>
    <row r="598" ht="14.1" customHeight="1"/>
    <row r="599" ht="14.1" customHeight="1"/>
    <row r="600" ht="14.1" customHeight="1"/>
    <row r="601" ht="14.1" customHeight="1"/>
    <row r="602" ht="14.1" customHeight="1"/>
    <row r="603" ht="14.1" customHeight="1"/>
    <row r="604" ht="14.1" customHeight="1"/>
    <row r="605" ht="14.1" customHeight="1"/>
    <row r="606" ht="14.1" customHeight="1"/>
    <row r="607" ht="14.1" customHeight="1"/>
    <row r="608" ht="14.1" customHeight="1"/>
    <row r="609" ht="14.1" customHeight="1"/>
    <row r="610" ht="14.1" customHeight="1"/>
    <row r="611" ht="14.1" customHeight="1"/>
    <row r="612" ht="14.1" customHeight="1"/>
    <row r="613" ht="14.1" customHeight="1"/>
    <row r="614" ht="14.1" customHeight="1"/>
    <row r="615" ht="14.1" customHeight="1"/>
    <row r="616" ht="14.1" customHeight="1"/>
    <row r="617" ht="14.1" customHeight="1"/>
    <row r="618" ht="14.1" customHeight="1"/>
    <row r="619" ht="14.1" customHeight="1"/>
    <row r="620" ht="14.1" customHeight="1"/>
    <row r="621" ht="14.1" customHeight="1"/>
    <row r="622" ht="14.1" customHeight="1"/>
    <row r="623" ht="14.1" customHeight="1"/>
    <row r="624" ht="14.1" customHeight="1"/>
    <row r="625" ht="14.1" customHeight="1"/>
    <row r="626" ht="14.1" customHeight="1"/>
    <row r="627" ht="14.1" customHeight="1"/>
    <row r="628" ht="14.1" customHeight="1"/>
    <row r="629" ht="14.1" customHeight="1"/>
    <row r="630" ht="14.1" customHeight="1"/>
    <row r="631" ht="14.1" customHeight="1"/>
    <row r="632" ht="14.1" customHeight="1"/>
    <row r="633" ht="14.1" customHeight="1"/>
    <row r="634" ht="14.1" customHeight="1"/>
    <row r="635" ht="14.1" customHeight="1"/>
    <row r="636" ht="14.1" customHeight="1"/>
    <row r="637" ht="14.1" customHeight="1"/>
    <row r="638" ht="14.1" customHeight="1"/>
    <row r="639" ht="14.1" customHeight="1"/>
    <row r="640" ht="14.1" customHeight="1"/>
    <row r="641" ht="14.1" customHeight="1"/>
    <row r="642" ht="14.1" customHeight="1"/>
    <row r="643" ht="14.1" customHeight="1"/>
    <row r="644" ht="14.1" customHeight="1"/>
    <row r="645" ht="14.1" customHeight="1"/>
    <row r="646" ht="14.1" customHeight="1"/>
    <row r="647" ht="14.1" customHeight="1"/>
    <row r="648" ht="14.1" customHeight="1"/>
    <row r="649" ht="14.1" customHeight="1"/>
    <row r="650" ht="14.1" customHeight="1"/>
    <row r="651" ht="14.1" customHeight="1"/>
    <row r="652" ht="14.1" customHeight="1"/>
    <row r="653" ht="14.1" customHeight="1"/>
    <row r="654" ht="14.1" customHeight="1"/>
    <row r="655" ht="14.1" customHeight="1"/>
    <row r="656" ht="14.1" customHeight="1"/>
    <row r="657" ht="14.1" customHeight="1"/>
    <row r="658" ht="14.1" customHeight="1"/>
    <row r="659" ht="14.1" customHeight="1"/>
    <row r="660" ht="14.1" customHeight="1"/>
    <row r="661" ht="14.1" customHeight="1"/>
    <row r="662" ht="14.1" customHeight="1"/>
    <row r="663" ht="14.1" customHeight="1"/>
    <row r="664" ht="14.1" customHeight="1"/>
    <row r="665" ht="14.1" customHeight="1"/>
    <row r="666" ht="14.1" customHeight="1"/>
    <row r="667" ht="14.1" customHeight="1"/>
    <row r="668" ht="14.1" customHeight="1"/>
    <row r="669" ht="14.1" customHeight="1"/>
    <row r="670" ht="14.1" customHeight="1"/>
    <row r="671" ht="14.1" customHeight="1"/>
    <row r="672" ht="14.1" customHeight="1"/>
    <row r="673" ht="14.1" customHeight="1"/>
    <row r="674" ht="14.1" customHeight="1"/>
    <row r="675" ht="14.1" customHeight="1"/>
    <row r="676" ht="14.1" customHeight="1"/>
    <row r="677" ht="14.1" customHeight="1"/>
    <row r="678" ht="14.1" customHeight="1"/>
    <row r="679" ht="14.1" customHeight="1"/>
    <row r="680" ht="14.1" customHeight="1"/>
    <row r="681" ht="14.1" customHeight="1"/>
    <row r="682" ht="14.1" customHeight="1"/>
    <row r="683" ht="14.1" customHeight="1"/>
    <row r="684" ht="14.1" customHeight="1"/>
    <row r="685" ht="14.1" customHeight="1"/>
    <row r="686" ht="14.1" customHeight="1"/>
    <row r="687" ht="14.1" customHeight="1"/>
    <row r="688" ht="14.1" customHeight="1"/>
    <row r="689" ht="14.1" customHeight="1"/>
    <row r="690" ht="14.1" customHeight="1"/>
    <row r="691" ht="14.1" customHeight="1"/>
    <row r="692" ht="14.1" customHeight="1"/>
    <row r="693" ht="14.1" customHeight="1"/>
    <row r="694" ht="14.1" customHeight="1"/>
    <row r="695" ht="14.1" customHeight="1"/>
    <row r="696" ht="14.1" customHeight="1"/>
    <row r="697" ht="14.1" customHeight="1"/>
    <row r="698" ht="14.1" customHeight="1"/>
    <row r="699" ht="14.1" customHeight="1"/>
    <row r="700" ht="14.1" customHeight="1"/>
    <row r="701" ht="14.1" customHeight="1"/>
    <row r="702" ht="14.1" customHeight="1"/>
    <row r="703" ht="14.1" customHeight="1"/>
    <row r="704" ht="14.1" customHeight="1"/>
    <row r="705" ht="14.1" customHeight="1"/>
    <row r="706" ht="14.1" customHeight="1"/>
    <row r="707" ht="14.1" customHeight="1"/>
    <row r="708" ht="14.1" customHeight="1"/>
    <row r="709" ht="14.1" customHeight="1"/>
    <row r="710" ht="14.1" customHeight="1"/>
    <row r="711" ht="14.1" customHeight="1"/>
    <row r="712" ht="14.1" customHeight="1"/>
    <row r="713" ht="14.1" customHeight="1"/>
    <row r="714" ht="14.1" customHeight="1"/>
    <row r="715" ht="14.1" customHeight="1"/>
    <row r="716" ht="14.1" customHeight="1"/>
    <row r="717" ht="14.1" customHeight="1"/>
    <row r="718" ht="14.1" customHeight="1"/>
    <row r="719" ht="14.1" customHeight="1"/>
    <row r="720" ht="14.1" customHeight="1"/>
    <row r="721" ht="14.1" customHeight="1"/>
    <row r="722" ht="14.1" customHeight="1"/>
    <row r="723" ht="14.1" customHeight="1"/>
    <row r="724" ht="14.1" customHeight="1"/>
    <row r="725" ht="14.1" customHeight="1"/>
    <row r="726" ht="14.1" customHeight="1"/>
    <row r="727" ht="14.1" customHeight="1"/>
    <row r="728" ht="14.1" customHeight="1"/>
    <row r="729" ht="14.1" customHeight="1"/>
    <row r="730" ht="14.1" customHeight="1"/>
    <row r="731" ht="14.1" customHeight="1"/>
    <row r="732" ht="14.1" customHeight="1"/>
    <row r="733" ht="14.1" customHeight="1"/>
    <row r="734" ht="14.1" customHeight="1"/>
    <row r="735" ht="14.1" customHeight="1"/>
    <row r="736" ht="14.1" customHeight="1"/>
    <row r="737" ht="14.1" customHeight="1"/>
    <row r="738" ht="14.1" customHeight="1"/>
    <row r="739" ht="14.1" customHeight="1"/>
    <row r="740" ht="14.1" customHeight="1"/>
    <row r="741" ht="14.1" customHeight="1"/>
    <row r="742" ht="14.1" customHeight="1"/>
    <row r="743" ht="14.1" customHeight="1"/>
    <row r="744" ht="14.1" customHeight="1"/>
    <row r="745" ht="14.1" customHeight="1"/>
    <row r="746" ht="14.1" customHeight="1"/>
    <row r="747" ht="14.1" customHeight="1"/>
    <row r="748" ht="14.1" customHeight="1"/>
    <row r="749" ht="14.1" customHeight="1"/>
    <row r="750" ht="14.1" customHeight="1"/>
    <row r="751" ht="14.1" customHeight="1"/>
    <row r="752" ht="14.1" customHeight="1"/>
    <row r="753" ht="14.1" customHeight="1"/>
    <row r="754" ht="14.1" customHeight="1"/>
    <row r="755" ht="14.1" customHeight="1"/>
    <row r="756" ht="14.1" customHeight="1"/>
    <row r="757" ht="14.1" customHeight="1"/>
    <row r="758" ht="14.1" customHeight="1"/>
    <row r="759" ht="14.1" customHeight="1"/>
    <row r="760" ht="14.1" customHeight="1"/>
    <row r="761" ht="14.1" customHeight="1"/>
    <row r="762" ht="14.1" customHeight="1"/>
    <row r="763" ht="14.1" customHeight="1"/>
    <row r="764" ht="14.1" customHeight="1"/>
    <row r="765" ht="14.1" customHeight="1"/>
    <row r="766" ht="14.1" customHeight="1"/>
    <row r="767" ht="14.1" customHeight="1"/>
    <row r="768" ht="14.1" customHeight="1"/>
    <row r="769" ht="14.1" customHeight="1"/>
    <row r="770" ht="14.1" customHeight="1"/>
    <row r="771" ht="14.1" customHeight="1"/>
    <row r="772" ht="14.1" customHeight="1"/>
    <row r="773" ht="14.1" customHeight="1"/>
    <row r="774" ht="14.1" customHeight="1"/>
    <row r="775" ht="14.1" customHeight="1"/>
    <row r="776" ht="14.1" customHeight="1"/>
    <row r="777" ht="14.1" customHeight="1"/>
    <row r="778" ht="14.1" customHeight="1"/>
    <row r="779" ht="14.1" customHeight="1"/>
    <row r="780" ht="14.1" customHeight="1"/>
    <row r="781" ht="14.1" customHeight="1"/>
    <row r="782" ht="14.1" customHeight="1"/>
    <row r="783" ht="14.1" customHeight="1"/>
    <row r="784" ht="14.1" customHeight="1"/>
    <row r="785" ht="14.1" customHeight="1"/>
    <row r="786" ht="14.1" customHeight="1"/>
    <row r="787" ht="14.1" customHeight="1"/>
    <row r="788" ht="14.1" customHeight="1"/>
    <row r="789" ht="14.1" customHeight="1"/>
    <row r="790" ht="14.1" customHeight="1"/>
    <row r="791" ht="14.1" customHeight="1"/>
    <row r="792" ht="14.1" customHeight="1"/>
    <row r="793" ht="14.1" customHeight="1"/>
  </sheetData>
  <pageMargins left="0.61" right="0.16" top="0.87" bottom="0.21" header="0.16" footer="0.16"/>
  <pageSetup paperSize="8" scale="44" orientation="portrait"/>
  <headerFooter alignWithMargins="0">
    <oddFooter>&amp;L_x000D_&amp;1#&amp;"Arial"&amp;7&amp;KDAD4CE Public&amp;C&amp;"Verdana"&amp;10 &amp;KC1C1C1_x000D_# Restricted</oddFooter>
  </headerFooter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600-000000000000}">
  <sheetPr codeName="Sheet19">
    <tabColor rgb="FF92D050"/>
    <pageSetUpPr fitToPage="1"/>
  </sheetPr>
  <dimension ref="A1:U793"/>
  <sheetViews>
    <sheetView zoomScale="80" zoomScaleNormal="80" workbookViewId="0">
      <pane ySplit="4" topLeftCell="A5" activePane="bottomLeft" state="frozen"/>
      <selection activeCell="A16" sqref="A16"/>
      <selection pane="bottomLeft" activeCell="A4" sqref="A4:U29"/>
    </sheetView>
  </sheetViews>
  <sheetFormatPr defaultColWidth="8.85546875" defaultRowHeight="15" customHeight="1"/>
  <cols>
    <col min="1" max="1" width="4.140625" style="3" customWidth="1"/>
    <col min="2" max="3" width="8.5703125" style="20" customWidth="1"/>
    <col min="4" max="4" width="14.5703125" style="3" customWidth="1"/>
    <col min="5" max="5" width="20.5703125" style="20" customWidth="1"/>
    <col min="6" max="6" width="8.5703125" style="3" customWidth="1"/>
    <col min="7" max="7" width="32.5703125" style="2" customWidth="1"/>
    <col min="8" max="8" width="18.5703125" style="3" customWidth="1"/>
    <col min="9" max="9" width="62.5703125" style="2" customWidth="1"/>
    <col min="10" max="12" width="9.5703125" style="3" customWidth="1"/>
    <col min="13" max="13" width="10.5703125" style="3" customWidth="1"/>
    <col min="14" max="14" width="8.5703125" style="3" customWidth="1"/>
    <col min="15" max="15" width="10.5703125" style="3" customWidth="1"/>
    <col min="16" max="16" width="5.5703125" style="3" customWidth="1"/>
    <col min="17" max="17" width="1.5703125" style="2" customWidth="1"/>
    <col min="18" max="18" width="10.5703125" style="30" customWidth="1"/>
    <col min="19" max="19" width="1.5703125" style="2" customWidth="1"/>
    <col min="20" max="21" width="10.5703125" style="2" customWidth="1"/>
    <col min="22" max="220" width="8.85546875" style="2" customWidth="1"/>
    <col min="221" max="221" width="8.140625" style="2" customWidth="1"/>
    <col min="222" max="222" width="14.5703125" style="2" customWidth="1"/>
    <col min="223" max="223" width="37.42578125" style="2" customWidth="1"/>
    <col min="224" max="224" width="63.140625" style="2" customWidth="1"/>
    <col min="225" max="225" width="20" style="2" customWidth="1"/>
    <col min="226" max="226" width="11.140625" style="2" customWidth="1"/>
    <col min="227" max="227" width="10.85546875" style="2" customWidth="1"/>
    <col min="228" max="228" width="21" style="2" customWidth="1"/>
    <col min="229" max="229" width="10.85546875" style="2" customWidth="1"/>
    <col min="230" max="230" width="17.42578125" style="2" customWidth="1"/>
    <col min="231" max="231" width="14.85546875" style="2" customWidth="1"/>
    <col min="232" max="232" width="15" style="2" customWidth="1"/>
    <col min="233" max="233" width="14.85546875" style="2" customWidth="1"/>
    <col min="234" max="234" width="7.140625" style="2" customWidth="1"/>
    <col min="235" max="236" width="20.140625" style="2" customWidth="1"/>
    <col min="237" max="237" width="18.42578125" style="2" customWidth="1"/>
    <col min="238" max="238" width="9.140625" style="2" customWidth="1"/>
    <col min="239" max="239" width="12" style="2" customWidth="1"/>
    <col min="240" max="240" width="14.85546875" style="2" customWidth="1"/>
    <col min="241" max="241" width="22.42578125" style="2" customWidth="1"/>
    <col min="242" max="242" width="14.85546875" style="2" customWidth="1"/>
    <col min="243" max="243" width="7.140625" style="2" customWidth="1"/>
    <col min="244" max="244" width="20.140625" style="2" customWidth="1"/>
    <col min="245" max="476" width="8.85546875" style="2" customWidth="1"/>
    <col min="477" max="477" width="8.140625" style="2" customWidth="1"/>
    <col min="478" max="478" width="14.5703125" style="2" customWidth="1"/>
    <col min="479" max="479" width="37.42578125" style="2" customWidth="1"/>
    <col min="480" max="480" width="63.140625" style="2" customWidth="1"/>
    <col min="481" max="481" width="20" style="2" customWidth="1"/>
    <col min="482" max="482" width="11.140625" style="2" customWidth="1"/>
    <col min="483" max="483" width="10.85546875" style="2" customWidth="1"/>
    <col min="484" max="484" width="21" style="2" customWidth="1"/>
    <col min="485" max="485" width="10.85546875" style="2" customWidth="1"/>
    <col min="486" max="486" width="17.42578125" style="2" customWidth="1"/>
    <col min="487" max="487" width="14.85546875" style="2" customWidth="1"/>
    <col min="488" max="488" width="15" style="2" customWidth="1"/>
    <col min="489" max="489" width="14.85546875" style="2" customWidth="1"/>
    <col min="490" max="490" width="7.140625" style="2" customWidth="1"/>
    <col min="491" max="492" width="20.140625" style="2" customWidth="1"/>
    <col min="493" max="493" width="18.42578125" style="2" customWidth="1"/>
    <col min="494" max="494" width="9.140625" style="2" customWidth="1"/>
    <col min="495" max="495" width="12" style="2" customWidth="1"/>
    <col min="496" max="496" width="14.85546875" style="2" customWidth="1"/>
    <col min="497" max="497" width="22.42578125" style="2" customWidth="1"/>
    <col min="498" max="498" width="14.85546875" style="2" customWidth="1"/>
    <col min="499" max="499" width="7.140625" style="2" customWidth="1"/>
    <col min="500" max="500" width="20.140625" style="2" customWidth="1"/>
    <col min="501" max="732" width="8.85546875" style="2" customWidth="1"/>
    <col min="733" max="733" width="8.140625" style="2" customWidth="1"/>
    <col min="734" max="734" width="14.5703125" style="2" customWidth="1"/>
    <col min="735" max="735" width="37.42578125" style="2" customWidth="1"/>
    <col min="736" max="736" width="63.140625" style="2" customWidth="1"/>
    <col min="737" max="737" width="20" style="2" customWidth="1"/>
    <col min="738" max="738" width="11.140625" style="2" customWidth="1"/>
    <col min="739" max="739" width="10.85546875" style="2" customWidth="1"/>
    <col min="740" max="740" width="21" style="2" customWidth="1"/>
    <col min="741" max="741" width="10.85546875" style="2" customWidth="1"/>
    <col min="742" max="742" width="17.42578125" style="2" customWidth="1"/>
    <col min="743" max="743" width="14.85546875" style="2" customWidth="1"/>
    <col min="744" max="744" width="15" style="2" customWidth="1"/>
    <col min="745" max="745" width="14.85546875" style="2" customWidth="1"/>
    <col min="746" max="746" width="7.140625" style="2" customWidth="1"/>
    <col min="747" max="748" width="20.140625" style="2" customWidth="1"/>
    <col min="749" max="749" width="18.42578125" style="2" customWidth="1"/>
    <col min="750" max="750" width="9.140625" style="2" customWidth="1"/>
    <col min="751" max="751" width="12" style="2" customWidth="1"/>
    <col min="752" max="752" width="14.85546875" style="2" customWidth="1"/>
    <col min="753" max="753" width="22.42578125" style="2" customWidth="1"/>
    <col min="754" max="754" width="14.85546875" style="2" customWidth="1"/>
    <col min="755" max="755" width="7.140625" style="2" customWidth="1"/>
    <col min="756" max="756" width="20.140625" style="2" customWidth="1"/>
    <col min="757" max="988" width="8.85546875" style="2" customWidth="1"/>
    <col min="989" max="989" width="8.140625" style="2" customWidth="1"/>
    <col min="990" max="990" width="14.5703125" style="2" customWidth="1"/>
    <col min="991" max="991" width="37.42578125" style="2" customWidth="1"/>
    <col min="992" max="992" width="63.140625" style="2" customWidth="1"/>
    <col min="993" max="993" width="20" style="2" customWidth="1"/>
    <col min="994" max="994" width="11.140625" style="2" customWidth="1"/>
    <col min="995" max="995" width="10.85546875" style="2" customWidth="1"/>
    <col min="996" max="996" width="21" style="2" customWidth="1"/>
    <col min="997" max="997" width="10.85546875" style="2" customWidth="1"/>
    <col min="998" max="998" width="17.42578125" style="2" customWidth="1"/>
    <col min="999" max="999" width="14.85546875" style="2" customWidth="1"/>
    <col min="1000" max="1000" width="15" style="2" customWidth="1"/>
    <col min="1001" max="1001" width="14.85546875" style="2" customWidth="1"/>
    <col min="1002" max="1002" width="7.140625" style="2" customWidth="1"/>
    <col min="1003" max="1004" width="20.140625" style="2" customWidth="1"/>
    <col min="1005" max="1005" width="18.42578125" style="2" customWidth="1"/>
    <col min="1006" max="1006" width="9.140625" style="2" customWidth="1"/>
    <col min="1007" max="1007" width="12" style="2" customWidth="1"/>
    <col min="1008" max="1008" width="14.85546875" style="2" customWidth="1"/>
    <col min="1009" max="1009" width="22.42578125" style="2" customWidth="1"/>
    <col min="1010" max="1010" width="14.85546875" style="2" customWidth="1"/>
    <col min="1011" max="1011" width="7.140625" style="2" customWidth="1"/>
    <col min="1012" max="1012" width="20.140625" style="2" customWidth="1"/>
    <col min="1013" max="1244" width="8.85546875" style="2" customWidth="1"/>
    <col min="1245" max="1245" width="8.140625" style="2" customWidth="1"/>
    <col min="1246" max="1246" width="14.5703125" style="2" customWidth="1"/>
    <col min="1247" max="1247" width="37.42578125" style="2" customWidth="1"/>
    <col min="1248" max="1248" width="63.140625" style="2" customWidth="1"/>
    <col min="1249" max="1249" width="20" style="2" customWidth="1"/>
    <col min="1250" max="1250" width="11.140625" style="2" customWidth="1"/>
    <col min="1251" max="1251" width="10.85546875" style="2" customWidth="1"/>
    <col min="1252" max="1252" width="21" style="2" customWidth="1"/>
    <col min="1253" max="1253" width="10.85546875" style="2" customWidth="1"/>
    <col min="1254" max="1254" width="17.42578125" style="2" customWidth="1"/>
    <col min="1255" max="1255" width="14.85546875" style="2" customWidth="1"/>
    <col min="1256" max="1256" width="15" style="2" customWidth="1"/>
    <col min="1257" max="1257" width="14.85546875" style="2" customWidth="1"/>
    <col min="1258" max="1258" width="7.140625" style="2" customWidth="1"/>
    <col min="1259" max="1260" width="20.140625" style="2" customWidth="1"/>
    <col min="1261" max="1261" width="18.42578125" style="2" customWidth="1"/>
    <col min="1262" max="1262" width="9.140625" style="2" customWidth="1"/>
    <col min="1263" max="1263" width="12" style="2" customWidth="1"/>
    <col min="1264" max="1264" width="14.85546875" style="2" customWidth="1"/>
    <col min="1265" max="1265" width="22.42578125" style="2" customWidth="1"/>
    <col min="1266" max="1266" width="14.85546875" style="2" customWidth="1"/>
    <col min="1267" max="1267" width="7.140625" style="2" customWidth="1"/>
    <col min="1268" max="1268" width="20.140625" style="2" customWidth="1"/>
    <col min="1269" max="1500" width="8.85546875" style="2" customWidth="1"/>
    <col min="1501" max="1501" width="8.140625" style="2" customWidth="1"/>
    <col min="1502" max="1502" width="14.5703125" style="2" customWidth="1"/>
    <col min="1503" max="1503" width="37.42578125" style="2" customWidth="1"/>
    <col min="1504" max="1504" width="63.140625" style="2" customWidth="1"/>
    <col min="1505" max="1505" width="20" style="2" customWidth="1"/>
    <col min="1506" max="1506" width="11.140625" style="2" customWidth="1"/>
    <col min="1507" max="1507" width="10.85546875" style="2" customWidth="1"/>
    <col min="1508" max="1508" width="21" style="2" customWidth="1"/>
    <col min="1509" max="1509" width="10.85546875" style="2" customWidth="1"/>
    <col min="1510" max="1510" width="17.42578125" style="2" customWidth="1"/>
    <col min="1511" max="1511" width="14.85546875" style="2" customWidth="1"/>
    <col min="1512" max="1512" width="15" style="2" customWidth="1"/>
    <col min="1513" max="1513" width="14.85546875" style="2" customWidth="1"/>
    <col min="1514" max="1514" width="7.140625" style="2" customWidth="1"/>
    <col min="1515" max="1516" width="20.140625" style="2" customWidth="1"/>
    <col min="1517" max="1517" width="18.42578125" style="2" customWidth="1"/>
    <col min="1518" max="1518" width="9.140625" style="2" customWidth="1"/>
    <col min="1519" max="1519" width="12" style="2" customWidth="1"/>
    <col min="1520" max="1520" width="14.85546875" style="2" customWidth="1"/>
    <col min="1521" max="1521" width="22.42578125" style="2" customWidth="1"/>
    <col min="1522" max="1522" width="14.85546875" style="2" customWidth="1"/>
    <col min="1523" max="1523" width="7.140625" style="2" customWidth="1"/>
    <col min="1524" max="1524" width="20.140625" style="2" customWidth="1"/>
    <col min="1525" max="1756" width="8.85546875" style="2" customWidth="1"/>
    <col min="1757" max="1757" width="8.140625" style="2" customWidth="1"/>
    <col min="1758" max="1758" width="14.5703125" style="2" customWidth="1"/>
    <col min="1759" max="1759" width="37.42578125" style="2" customWidth="1"/>
    <col min="1760" max="1760" width="63.140625" style="2" customWidth="1"/>
    <col min="1761" max="1761" width="20" style="2" customWidth="1"/>
    <col min="1762" max="1762" width="11.140625" style="2" customWidth="1"/>
    <col min="1763" max="1763" width="10.85546875" style="2" customWidth="1"/>
    <col min="1764" max="1764" width="21" style="2" customWidth="1"/>
    <col min="1765" max="1765" width="10.85546875" style="2" customWidth="1"/>
    <col min="1766" max="1766" width="17.42578125" style="2" customWidth="1"/>
    <col min="1767" max="1767" width="14.85546875" style="2" customWidth="1"/>
    <col min="1768" max="1768" width="15" style="2" customWidth="1"/>
    <col min="1769" max="1769" width="14.85546875" style="2" customWidth="1"/>
    <col min="1770" max="1770" width="7.140625" style="2" customWidth="1"/>
    <col min="1771" max="1772" width="20.140625" style="2" customWidth="1"/>
    <col min="1773" max="1773" width="18.42578125" style="2" customWidth="1"/>
    <col min="1774" max="1774" width="9.140625" style="2" customWidth="1"/>
    <col min="1775" max="1775" width="12" style="2" customWidth="1"/>
    <col min="1776" max="1776" width="14.85546875" style="2" customWidth="1"/>
    <col min="1777" max="1777" width="22.42578125" style="2" customWidth="1"/>
    <col min="1778" max="1778" width="14.85546875" style="2" customWidth="1"/>
    <col min="1779" max="1779" width="7.140625" style="2" customWidth="1"/>
    <col min="1780" max="1780" width="20.140625" style="2" customWidth="1"/>
    <col min="1781" max="2012" width="8.85546875" style="2" customWidth="1"/>
    <col min="2013" max="2013" width="8.140625" style="2" customWidth="1"/>
    <col min="2014" max="2014" width="14.5703125" style="2" customWidth="1"/>
    <col min="2015" max="2015" width="37.42578125" style="2" customWidth="1"/>
    <col min="2016" max="2016" width="63.140625" style="2" customWidth="1"/>
    <col min="2017" max="2017" width="20" style="2" customWidth="1"/>
    <col min="2018" max="2018" width="11.140625" style="2" customWidth="1"/>
    <col min="2019" max="2019" width="10.85546875" style="2" customWidth="1"/>
    <col min="2020" max="2020" width="21" style="2" customWidth="1"/>
    <col min="2021" max="2021" width="10.85546875" style="2" customWidth="1"/>
    <col min="2022" max="2022" width="17.42578125" style="2" customWidth="1"/>
    <col min="2023" max="2023" width="14.85546875" style="2" customWidth="1"/>
    <col min="2024" max="2024" width="15" style="2" customWidth="1"/>
    <col min="2025" max="2025" width="14.85546875" style="2" customWidth="1"/>
    <col min="2026" max="2026" width="7.140625" style="2" customWidth="1"/>
    <col min="2027" max="2028" width="20.140625" style="2" customWidth="1"/>
    <col min="2029" max="2029" width="18.42578125" style="2" customWidth="1"/>
    <col min="2030" max="2030" width="9.140625" style="2" customWidth="1"/>
    <col min="2031" max="2031" width="12" style="2" customWidth="1"/>
    <col min="2032" max="2032" width="14.85546875" style="2" customWidth="1"/>
    <col min="2033" max="2033" width="22.42578125" style="2" customWidth="1"/>
    <col min="2034" max="2034" width="14.85546875" style="2" customWidth="1"/>
    <col min="2035" max="2035" width="7.140625" style="2" customWidth="1"/>
    <col min="2036" max="2036" width="20.140625" style="2" customWidth="1"/>
    <col min="2037" max="2268" width="8.85546875" style="2" customWidth="1"/>
    <col min="2269" max="2269" width="8.140625" style="2" customWidth="1"/>
    <col min="2270" max="2270" width="14.5703125" style="2" customWidth="1"/>
    <col min="2271" max="2271" width="37.42578125" style="2" customWidth="1"/>
    <col min="2272" max="2272" width="63.140625" style="2" customWidth="1"/>
    <col min="2273" max="2273" width="20" style="2" customWidth="1"/>
    <col min="2274" max="2274" width="11.140625" style="2" customWidth="1"/>
    <col min="2275" max="2275" width="10.85546875" style="2" customWidth="1"/>
    <col min="2276" max="2276" width="21" style="2" customWidth="1"/>
    <col min="2277" max="2277" width="10.85546875" style="2" customWidth="1"/>
    <col min="2278" max="2278" width="17.42578125" style="2" customWidth="1"/>
    <col min="2279" max="2279" width="14.85546875" style="2" customWidth="1"/>
    <col min="2280" max="2280" width="15" style="2" customWidth="1"/>
    <col min="2281" max="2281" width="14.85546875" style="2" customWidth="1"/>
    <col min="2282" max="2282" width="7.140625" style="2" customWidth="1"/>
    <col min="2283" max="2284" width="20.140625" style="2" customWidth="1"/>
    <col min="2285" max="2285" width="18.42578125" style="2" customWidth="1"/>
    <col min="2286" max="2286" width="9.140625" style="2" customWidth="1"/>
    <col min="2287" max="2287" width="12" style="2" customWidth="1"/>
    <col min="2288" max="2288" width="14.85546875" style="2" customWidth="1"/>
    <col min="2289" max="2289" width="22.42578125" style="2" customWidth="1"/>
    <col min="2290" max="2290" width="14.85546875" style="2" customWidth="1"/>
    <col min="2291" max="2291" width="7.140625" style="2" customWidth="1"/>
    <col min="2292" max="2292" width="20.140625" style="2" customWidth="1"/>
    <col min="2293" max="2524" width="8.85546875" style="2" customWidth="1"/>
    <col min="2525" max="2525" width="8.140625" style="2" customWidth="1"/>
    <col min="2526" max="2526" width="14.5703125" style="2" customWidth="1"/>
    <col min="2527" max="2527" width="37.42578125" style="2" customWidth="1"/>
    <col min="2528" max="2528" width="63.140625" style="2" customWidth="1"/>
    <col min="2529" max="2529" width="20" style="2" customWidth="1"/>
    <col min="2530" max="2530" width="11.140625" style="2" customWidth="1"/>
    <col min="2531" max="2531" width="10.85546875" style="2" customWidth="1"/>
    <col min="2532" max="2532" width="21" style="2" customWidth="1"/>
    <col min="2533" max="2533" width="10.85546875" style="2" customWidth="1"/>
    <col min="2534" max="2534" width="17.42578125" style="2" customWidth="1"/>
    <col min="2535" max="2535" width="14.85546875" style="2" customWidth="1"/>
    <col min="2536" max="2536" width="15" style="2" customWidth="1"/>
    <col min="2537" max="2537" width="14.85546875" style="2" customWidth="1"/>
    <col min="2538" max="2538" width="7.140625" style="2" customWidth="1"/>
    <col min="2539" max="2540" width="20.140625" style="2" customWidth="1"/>
    <col min="2541" max="2541" width="18.42578125" style="2" customWidth="1"/>
    <col min="2542" max="2542" width="9.140625" style="2" customWidth="1"/>
    <col min="2543" max="2543" width="12" style="2" customWidth="1"/>
    <col min="2544" max="2544" width="14.85546875" style="2" customWidth="1"/>
    <col min="2545" max="2545" width="22.42578125" style="2" customWidth="1"/>
    <col min="2546" max="2546" width="14.85546875" style="2" customWidth="1"/>
    <col min="2547" max="2547" width="7.140625" style="2" customWidth="1"/>
    <col min="2548" max="2548" width="20.140625" style="2" customWidth="1"/>
    <col min="2549" max="2780" width="8.85546875" style="2" customWidth="1"/>
    <col min="2781" max="2781" width="8.140625" style="2" customWidth="1"/>
    <col min="2782" max="2782" width="14.5703125" style="2" customWidth="1"/>
    <col min="2783" max="2783" width="37.42578125" style="2" customWidth="1"/>
    <col min="2784" max="2784" width="63.140625" style="2" customWidth="1"/>
    <col min="2785" max="2785" width="20" style="2" customWidth="1"/>
    <col min="2786" max="2786" width="11.140625" style="2" customWidth="1"/>
    <col min="2787" max="2787" width="10.85546875" style="2" customWidth="1"/>
    <col min="2788" max="2788" width="21" style="2" customWidth="1"/>
    <col min="2789" max="2789" width="10.85546875" style="2" customWidth="1"/>
    <col min="2790" max="2790" width="17.42578125" style="2" customWidth="1"/>
    <col min="2791" max="2791" width="14.85546875" style="2" customWidth="1"/>
    <col min="2792" max="2792" width="15" style="2" customWidth="1"/>
    <col min="2793" max="2793" width="14.85546875" style="2" customWidth="1"/>
    <col min="2794" max="2794" width="7.140625" style="2" customWidth="1"/>
    <col min="2795" max="2796" width="20.140625" style="2" customWidth="1"/>
    <col min="2797" max="2797" width="18.42578125" style="2" customWidth="1"/>
    <col min="2798" max="2798" width="9.140625" style="2" customWidth="1"/>
    <col min="2799" max="2799" width="12" style="2" customWidth="1"/>
    <col min="2800" max="2800" width="14.85546875" style="2" customWidth="1"/>
    <col min="2801" max="2801" width="22.42578125" style="2" customWidth="1"/>
    <col min="2802" max="2802" width="14.85546875" style="2" customWidth="1"/>
    <col min="2803" max="2803" width="7.140625" style="2" customWidth="1"/>
    <col min="2804" max="2804" width="20.140625" style="2" customWidth="1"/>
    <col min="2805" max="3036" width="8.85546875" style="2" customWidth="1"/>
    <col min="3037" max="3037" width="8.140625" style="2" customWidth="1"/>
    <col min="3038" max="3038" width="14.5703125" style="2" customWidth="1"/>
    <col min="3039" max="3039" width="37.42578125" style="2" customWidth="1"/>
    <col min="3040" max="3040" width="63.140625" style="2" customWidth="1"/>
    <col min="3041" max="3041" width="20" style="2" customWidth="1"/>
    <col min="3042" max="3042" width="11.140625" style="2" customWidth="1"/>
    <col min="3043" max="3043" width="10.85546875" style="2" customWidth="1"/>
    <col min="3044" max="3044" width="21" style="2" customWidth="1"/>
    <col min="3045" max="3045" width="10.85546875" style="2" customWidth="1"/>
    <col min="3046" max="3046" width="17.42578125" style="2" customWidth="1"/>
    <col min="3047" max="3047" width="14.85546875" style="2" customWidth="1"/>
    <col min="3048" max="3048" width="15" style="2" customWidth="1"/>
    <col min="3049" max="3049" width="14.85546875" style="2" customWidth="1"/>
    <col min="3050" max="3050" width="7.140625" style="2" customWidth="1"/>
    <col min="3051" max="3052" width="20.140625" style="2" customWidth="1"/>
    <col min="3053" max="3053" width="18.42578125" style="2" customWidth="1"/>
    <col min="3054" max="3054" width="9.140625" style="2" customWidth="1"/>
    <col min="3055" max="3055" width="12" style="2" customWidth="1"/>
    <col min="3056" max="3056" width="14.85546875" style="2" customWidth="1"/>
    <col min="3057" max="3057" width="22.42578125" style="2" customWidth="1"/>
    <col min="3058" max="3058" width="14.85546875" style="2" customWidth="1"/>
    <col min="3059" max="3059" width="7.140625" style="2" customWidth="1"/>
    <col min="3060" max="3060" width="20.140625" style="2" customWidth="1"/>
    <col min="3061" max="3292" width="8.85546875" style="2" customWidth="1"/>
    <col min="3293" max="3293" width="8.140625" style="2" customWidth="1"/>
    <col min="3294" max="3294" width="14.5703125" style="2" customWidth="1"/>
    <col min="3295" max="3295" width="37.42578125" style="2" customWidth="1"/>
    <col min="3296" max="3296" width="63.140625" style="2" customWidth="1"/>
    <col min="3297" max="3297" width="20" style="2" customWidth="1"/>
    <col min="3298" max="3298" width="11.140625" style="2" customWidth="1"/>
    <col min="3299" max="3299" width="10.85546875" style="2" customWidth="1"/>
    <col min="3300" max="3300" width="21" style="2" customWidth="1"/>
    <col min="3301" max="3301" width="10.85546875" style="2" customWidth="1"/>
    <col min="3302" max="3302" width="17.42578125" style="2" customWidth="1"/>
    <col min="3303" max="3303" width="14.85546875" style="2" customWidth="1"/>
    <col min="3304" max="3304" width="15" style="2" customWidth="1"/>
    <col min="3305" max="3305" width="14.85546875" style="2" customWidth="1"/>
    <col min="3306" max="3306" width="7.140625" style="2" customWidth="1"/>
    <col min="3307" max="3308" width="20.140625" style="2" customWidth="1"/>
    <col min="3309" max="3309" width="18.42578125" style="2" customWidth="1"/>
    <col min="3310" max="3310" width="9.140625" style="2" customWidth="1"/>
    <col min="3311" max="3311" width="12" style="2" customWidth="1"/>
    <col min="3312" max="3312" width="14.85546875" style="2" customWidth="1"/>
    <col min="3313" max="3313" width="22.42578125" style="2" customWidth="1"/>
    <col min="3314" max="3314" width="14.85546875" style="2" customWidth="1"/>
    <col min="3315" max="3315" width="7.140625" style="2" customWidth="1"/>
    <col min="3316" max="3316" width="20.140625" style="2" customWidth="1"/>
    <col min="3317" max="3548" width="8.85546875" style="2" customWidth="1"/>
    <col min="3549" max="3549" width="8.140625" style="2" customWidth="1"/>
    <col min="3550" max="3550" width="14.5703125" style="2" customWidth="1"/>
    <col min="3551" max="3551" width="37.42578125" style="2" customWidth="1"/>
    <col min="3552" max="3552" width="63.140625" style="2" customWidth="1"/>
    <col min="3553" max="3553" width="20" style="2" customWidth="1"/>
    <col min="3554" max="3554" width="11.140625" style="2" customWidth="1"/>
    <col min="3555" max="3555" width="10.85546875" style="2" customWidth="1"/>
    <col min="3556" max="3556" width="21" style="2" customWidth="1"/>
    <col min="3557" max="3557" width="10.85546875" style="2" customWidth="1"/>
    <col min="3558" max="3558" width="17.42578125" style="2" customWidth="1"/>
    <col min="3559" max="3559" width="14.85546875" style="2" customWidth="1"/>
    <col min="3560" max="3560" width="15" style="2" customWidth="1"/>
    <col min="3561" max="3561" width="14.85546875" style="2" customWidth="1"/>
    <col min="3562" max="3562" width="7.140625" style="2" customWidth="1"/>
    <col min="3563" max="3564" width="20.140625" style="2" customWidth="1"/>
    <col min="3565" max="3565" width="18.42578125" style="2" customWidth="1"/>
    <col min="3566" max="3566" width="9.140625" style="2" customWidth="1"/>
    <col min="3567" max="3567" width="12" style="2" customWidth="1"/>
    <col min="3568" max="3568" width="14.85546875" style="2" customWidth="1"/>
    <col min="3569" max="3569" width="22.42578125" style="2" customWidth="1"/>
    <col min="3570" max="3570" width="14.85546875" style="2" customWidth="1"/>
    <col min="3571" max="3571" width="7.140625" style="2" customWidth="1"/>
    <col min="3572" max="3572" width="20.140625" style="2" customWidth="1"/>
    <col min="3573" max="3804" width="8.85546875" style="2" customWidth="1"/>
    <col min="3805" max="3805" width="8.140625" style="2" customWidth="1"/>
    <col min="3806" max="3806" width="14.5703125" style="2" customWidth="1"/>
    <col min="3807" max="3807" width="37.42578125" style="2" customWidth="1"/>
    <col min="3808" max="3808" width="63.140625" style="2" customWidth="1"/>
    <col min="3809" max="3809" width="20" style="2" customWidth="1"/>
    <col min="3810" max="3810" width="11.140625" style="2" customWidth="1"/>
    <col min="3811" max="3811" width="10.85546875" style="2" customWidth="1"/>
    <col min="3812" max="3812" width="21" style="2" customWidth="1"/>
    <col min="3813" max="3813" width="10.85546875" style="2" customWidth="1"/>
    <col min="3814" max="3814" width="17.42578125" style="2" customWidth="1"/>
    <col min="3815" max="3815" width="14.85546875" style="2" customWidth="1"/>
    <col min="3816" max="3816" width="15" style="2" customWidth="1"/>
    <col min="3817" max="3817" width="14.85546875" style="2" customWidth="1"/>
    <col min="3818" max="3818" width="7.140625" style="2" customWidth="1"/>
    <col min="3819" max="3820" width="20.140625" style="2" customWidth="1"/>
    <col min="3821" max="3821" width="18.42578125" style="2" customWidth="1"/>
    <col min="3822" max="3822" width="9.140625" style="2" customWidth="1"/>
    <col min="3823" max="3823" width="12" style="2" customWidth="1"/>
    <col min="3824" max="3824" width="14.85546875" style="2" customWidth="1"/>
    <col min="3825" max="3825" width="22.42578125" style="2" customWidth="1"/>
    <col min="3826" max="3826" width="14.85546875" style="2" customWidth="1"/>
    <col min="3827" max="3827" width="7.140625" style="2" customWidth="1"/>
    <col min="3828" max="3828" width="20.140625" style="2" customWidth="1"/>
    <col min="3829" max="4060" width="8.85546875" style="2" customWidth="1"/>
    <col min="4061" max="4061" width="8.140625" style="2" customWidth="1"/>
    <col min="4062" max="4062" width="14.5703125" style="2" customWidth="1"/>
    <col min="4063" max="4063" width="37.42578125" style="2" customWidth="1"/>
    <col min="4064" max="4064" width="63.140625" style="2" customWidth="1"/>
    <col min="4065" max="4065" width="20" style="2" customWidth="1"/>
    <col min="4066" max="4066" width="11.140625" style="2" customWidth="1"/>
    <col min="4067" max="4067" width="10.85546875" style="2" customWidth="1"/>
    <col min="4068" max="4068" width="21" style="2" customWidth="1"/>
    <col min="4069" max="4069" width="10.85546875" style="2" customWidth="1"/>
    <col min="4070" max="4070" width="17.42578125" style="2" customWidth="1"/>
    <col min="4071" max="4071" width="14.85546875" style="2" customWidth="1"/>
    <col min="4072" max="4072" width="15" style="2" customWidth="1"/>
    <col min="4073" max="4073" width="14.85546875" style="2" customWidth="1"/>
    <col min="4074" max="4074" width="7.140625" style="2" customWidth="1"/>
    <col min="4075" max="4076" width="20.140625" style="2" customWidth="1"/>
    <col min="4077" max="4077" width="18.42578125" style="2" customWidth="1"/>
    <col min="4078" max="4078" width="9.140625" style="2" customWidth="1"/>
    <col min="4079" max="4079" width="12" style="2" customWidth="1"/>
    <col min="4080" max="4080" width="14.85546875" style="2" customWidth="1"/>
    <col min="4081" max="4081" width="22.42578125" style="2" customWidth="1"/>
    <col min="4082" max="4082" width="14.85546875" style="2" customWidth="1"/>
    <col min="4083" max="4083" width="7.140625" style="2" customWidth="1"/>
    <col min="4084" max="4084" width="20.140625" style="2" customWidth="1"/>
    <col min="4085" max="4316" width="8.85546875" style="2" customWidth="1"/>
    <col min="4317" max="4317" width="8.140625" style="2" customWidth="1"/>
    <col min="4318" max="4318" width="14.5703125" style="2" customWidth="1"/>
    <col min="4319" max="4319" width="37.42578125" style="2" customWidth="1"/>
    <col min="4320" max="4320" width="63.140625" style="2" customWidth="1"/>
    <col min="4321" max="4321" width="20" style="2" customWidth="1"/>
    <col min="4322" max="4322" width="11.140625" style="2" customWidth="1"/>
    <col min="4323" max="4323" width="10.85546875" style="2" customWidth="1"/>
    <col min="4324" max="4324" width="21" style="2" customWidth="1"/>
    <col min="4325" max="4325" width="10.85546875" style="2" customWidth="1"/>
    <col min="4326" max="4326" width="17.42578125" style="2" customWidth="1"/>
    <col min="4327" max="4327" width="14.85546875" style="2" customWidth="1"/>
    <col min="4328" max="4328" width="15" style="2" customWidth="1"/>
    <col min="4329" max="4329" width="14.85546875" style="2" customWidth="1"/>
    <col min="4330" max="4330" width="7.140625" style="2" customWidth="1"/>
    <col min="4331" max="4332" width="20.140625" style="2" customWidth="1"/>
    <col min="4333" max="4333" width="18.42578125" style="2" customWidth="1"/>
    <col min="4334" max="4334" width="9.140625" style="2" customWidth="1"/>
    <col min="4335" max="4335" width="12" style="2" customWidth="1"/>
    <col min="4336" max="4336" width="14.85546875" style="2" customWidth="1"/>
    <col min="4337" max="4337" width="22.42578125" style="2" customWidth="1"/>
    <col min="4338" max="4338" width="14.85546875" style="2" customWidth="1"/>
    <col min="4339" max="4339" width="7.140625" style="2" customWidth="1"/>
    <col min="4340" max="4340" width="20.140625" style="2" customWidth="1"/>
    <col min="4341" max="4572" width="8.85546875" style="2" customWidth="1"/>
    <col min="4573" max="4573" width="8.140625" style="2" customWidth="1"/>
    <col min="4574" max="4574" width="14.5703125" style="2" customWidth="1"/>
    <col min="4575" max="4575" width="37.42578125" style="2" customWidth="1"/>
    <col min="4576" max="4576" width="63.140625" style="2" customWidth="1"/>
    <col min="4577" max="4577" width="20" style="2" customWidth="1"/>
    <col min="4578" max="4578" width="11.140625" style="2" customWidth="1"/>
    <col min="4579" max="4579" width="10.85546875" style="2" customWidth="1"/>
    <col min="4580" max="4580" width="21" style="2" customWidth="1"/>
    <col min="4581" max="4581" width="10.85546875" style="2" customWidth="1"/>
    <col min="4582" max="4582" width="17.42578125" style="2" customWidth="1"/>
    <col min="4583" max="4583" width="14.85546875" style="2" customWidth="1"/>
    <col min="4584" max="4584" width="15" style="2" customWidth="1"/>
    <col min="4585" max="4585" width="14.85546875" style="2" customWidth="1"/>
    <col min="4586" max="4586" width="7.140625" style="2" customWidth="1"/>
    <col min="4587" max="4588" width="20.140625" style="2" customWidth="1"/>
    <col min="4589" max="4589" width="18.42578125" style="2" customWidth="1"/>
    <col min="4590" max="4590" width="9.140625" style="2" customWidth="1"/>
    <col min="4591" max="4591" width="12" style="2" customWidth="1"/>
    <col min="4592" max="4592" width="14.85546875" style="2" customWidth="1"/>
    <col min="4593" max="4593" width="22.42578125" style="2" customWidth="1"/>
    <col min="4594" max="4594" width="14.85546875" style="2" customWidth="1"/>
    <col min="4595" max="4595" width="7.140625" style="2" customWidth="1"/>
    <col min="4596" max="4596" width="20.140625" style="2" customWidth="1"/>
    <col min="4597" max="4828" width="8.85546875" style="2" customWidth="1"/>
    <col min="4829" max="4829" width="8.140625" style="2" customWidth="1"/>
    <col min="4830" max="4830" width="14.5703125" style="2" customWidth="1"/>
    <col min="4831" max="4831" width="37.42578125" style="2" customWidth="1"/>
    <col min="4832" max="4832" width="63.140625" style="2" customWidth="1"/>
    <col min="4833" max="4833" width="20" style="2" customWidth="1"/>
    <col min="4834" max="4834" width="11.140625" style="2" customWidth="1"/>
    <col min="4835" max="4835" width="10.85546875" style="2" customWidth="1"/>
    <col min="4836" max="4836" width="21" style="2" customWidth="1"/>
    <col min="4837" max="4837" width="10.85546875" style="2" customWidth="1"/>
    <col min="4838" max="4838" width="17.42578125" style="2" customWidth="1"/>
    <col min="4839" max="4839" width="14.85546875" style="2" customWidth="1"/>
    <col min="4840" max="4840" width="15" style="2" customWidth="1"/>
    <col min="4841" max="4841" width="14.85546875" style="2" customWidth="1"/>
    <col min="4842" max="4842" width="7.140625" style="2" customWidth="1"/>
    <col min="4843" max="4844" width="20.140625" style="2" customWidth="1"/>
    <col min="4845" max="4845" width="18.42578125" style="2" customWidth="1"/>
    <col min="4846" max="4846" width="9.140625" style="2" customWidth="1"/>
    <col min="4847" max="4847" width="12" style="2" customWidth="1"/>
    <col min="4848" max="4848" width="14.85546875" style="2" customWidth="1"/>
    <col min="4849" max="4849" width="22.42578125" style="2" customWidth="1"/>
    <col min="4850" max="4850" width="14.85546875" style="2" customWidth="1"/>
    <col min="4851" max="4851" width="7.140625" style="2" customWidth="1"/>
    <col min="4852" max="4852" width="20.140625" style="2" customWidth="1"/>
    <col min="4853" max="5084" width="8.85546875" style="2" customWidth="1"/>
    <col min="5085" max="5085" width="8.140625" style="2" customWidth="1"/>
    <col min="5086" max="5086" width="14.5703125" style="2" customWidth="1"/>
    <col min="5087" max="5087" width="37.42578125" style="2" customWidth="1"/>
    <col min="5088" max="5088" width="63.140625" style="2" customWidth="1"/>
    <col min="5089" max="5089" width="20" style="2" customWidth="1"/>
    <col min="5090" max="5090" width="11.140625" style="2" customWidth="1"/>
    <col min="5091" max="5091" width="10.85546875" style="2" customWidth="1"/>
    <col min="5092" max="5092" width="21" style="2" customWidth="1"/>
    <col min="5093" max="5093" width="10.85546875" style="2" customWidth="1"/>
    <col min="5094" max="5094" width="17.42578125" style="2" customWidth="1"/>
    <col min="5095" max="5095" width="14.85546875" style="2" customWidth="1"/>
    <col min="5096" max="5096" width="15" style="2" customWidth="1"/>
    <col min="5097" max="5097" width="14.85546875" style="2" customWidth="1"/>
    <col min="5098" max="5098" width="7.140625" style="2" customWidth="1"/>
    <col min="5099" max="5100" width="20.140625" style="2" customWidth="1"/>
    <col min="5101" max="5101" width="18.42578125" style="2" customWidth="1"/>
    <col min="5102" max="5102" width="9.140625" style="2" customWidth="1"/>
    <col min="5103" max="5103" width="12" style="2" customWidth="1"/>
    <col min="5104" max="5104" width="14.85546875" style="2" customWidth="1"/>
    <col min="5105" max="5105" width="22.42578125" style="2" customWidth="1"/>
    <col min="5106" max="5106" width="14.85546875" style="2" customWidth="1"/>
    <col min="5107" max="5107" width="7.140625" style="2" customWidth="1"/>
    <col min="5108" max="5108" width="20.140625" style="2" customWidth="1"/>
    <col min="5109" max="5340" width="8.85546875" style="2" customWidth="1"/>
    <col min="5341" max="5341" width="8.140625" style="2" customWidth="1"/>
    <col min="5342" max="5342" width="14.5703125" style="2" customWidth="1"/>
    <col min="5343" max="5343" width="37.42578125" style="2" customWidth="1"/>
    <col min="5344" max="5344" width="63.140625" style="2" customWidth="1"/>
    <col min="5345" max="5345" width="20" style="2" customWidth="1"/>
    <col min="5346" max="5346" width="11.140625" style="2" customWidth="1"/>
    <col min="5347" max="5347" width="10.85546875" style="2" customWidth="1"/>
    <col min="5348" max="5348" width="21" style="2" customWidth="1"/>
    <col min="5349" max="5349" width="10.85546875" style="2" customWidth="1"/>
    <col min="5350" max="5350" width="17.42578125" style="2" customWidth="1"/>
    <col min="5351" max="5351" width="14.85546875" style="2" customWidth="1"/>
    <col min="5352" max="5352" width="15" style="2" customWidth="1"/>
    <col min="5353" max="5353" width="14.85546875" style="2" customWidth="1"/>
    <col min="5354" max="5354" width="7.140625" style="2" customWidth="1"/>
    <col min="5355" max="5356" width="20.140625" style="2" customWidth="1"/>
    <col min="5357" max="5357" width="18.42578125" style="2" customWidth="1"/>
    <col min="5358" max="5358" width="9.140625" style="2" customWidth="1"/>
    <col min="5359" max="5359" width="12" style="2" customWidth="1"/>
    <col min="5360" max="5360" width="14.85546875" style="2" customWidth="1"/>
    <col min="5361" max="5361" width="22.42578125" style="2" customWidth="1"/>
    <col min="5362" max="5362" width="14.85546875" style="2" customWidth="1"/>
    <col min="5363" max="5363" width="7.140625" style="2" customWidth="1"/>
    <col min="5364" max="5364" width="20.140625" style="2" customWidth="1"/>
    <col min="5365" max="5596" width="8.85546875" style="2" customWidth="1"/>
    <col min="5597" max="5597" width="8.140625" style="2" customWidth="1"/>
    <col min="5598" max="5598" width="14.5703125" style="2" customWidth="1"/>
    <col min="5599" max="5599" width="37.42578125" style="2" customWidth="1"/>
    <col min="5600" max="5600" width="63.140625" style="2" customWidth="1"/>
    <col min="5601" max="5601" width="20" style="2" customWidth="1"/>
    <col min="5602" max="5602" width="11.140625" style="2" customWidth="1"/>
    <col min="5603" max="5603" width="10.85546875" style="2" customWidth="1"/>
    <col min="5604" max="5604" width="21" style="2" customWidth="1"/>
    <col min="5605" max="5605" width="10.85546875" style="2" customWidth="1"/>
    <col min="5606" max="5606" width="17.42578125" style="2" customWidth="1"/>
    <col min="5607" max="5607" width="14.85546875" style="2" customWidth="1"/>
    <col min="5608" max="5608" width="15" style="2" customWidth="1"/>
    <col min="5609" max="5609" width="14.85546875" style="2" customWidth="1"/>
    <col min="5610" max="5610" width="7.140625" style="2" customWidth="1"/>
    <col min="5611" max="5612" width="20.140625" style="2" customWidth="1"/>
    <col min="5613" max="5613" width="18.42578125" style="2" customWidth="1"/>
    <col min="5614" max="5614" width="9.140625" style="2" customWidth="1"/>
    <col min="5615" max="5615" width="12" style="2" customWidth="1"/>
    <col min="5616" max="5616" width="14.85546875" style="2" customWidth="1"/>
    <col min="5617" max="5617" width="22.42578125" style="2" customWidth="1"/>
    <col min="5618" max="5618" width="14.85546875" style="2" customWidth="1"/>
    <col min="5619" max="5619" width="7.140625" style="2" customWidth="1"/>
    <col min="5620" max="5620" width="20.140625" style="2" customWidth="1"/>
    <col min="5621" max="5852" width="8.85546875" style="2" customWidth="1"/>
    <col min="5853" max="5853" width="8.140625" style="2" customWidth="1"/>
    <col min="5854" max="5854" width="14.5703125" style="2" customWidth="1"/>
    <col min="5855" max="5855" width="37.42578125" style="2" customWidth="1"/>
    <col min="5856" max="5856" width="63.140625" style="2" customWidth="1"/>
    <col min="5857" max="5857" width="20" style="2" customWidth="1"/>
    <col min="5858" max="5858" width="11.140625" style="2" customWidth="1"/>
    <col min="5859" max="5859" width="10.85546875" style="2" customWidth="1"/>
    <col min="5860" max="5860" width="21" style="2" customWidth="1"/>
    <col min="5861" max="5861" width="10.85546875" style="2" customWidth="1"/>
    <col min="5862" max="5862" width="17.42578125" style="2" customWidth="1"/>
    <col min="5863" max="5863" width="14.85546875" style="2" customWidth="1"/>
    <col min="5864" max="5864" width="15" style="2" customWidth="1"/>
    <col min="5865" max="5865" width="14.85546875" style="2" customWidth="1"/>
    <col min="5866" max="5866" width="7.140625" style="2" customWidth="1"/>
    <col min="5867" max="5868" width="20.140625" style="2" customWidth="1"/>
    <col min="5869" max="5869" width="18.42578125" style="2" customWidth="1"/>
    <col min="5870" max="5870" width="9.140625" style="2" customWidth="1"/>
    <col min="5871" max="5871" width="12" style="2" customWidth="1"/>
    <col min="5872" max="5872" width="14.85546875" style="2" customWidth="1"/>
    <col min="5873" max="5873" width="22.42578125" style="2" customWidth="1"/>
    <col min="5874" max="5874" width="14.85546875" style="2" customWidth="1"/>
    <col min="5875" max="5875" width="7.140625" style="2" customWidth="1"/>
    <col min="5876" max="5876" width="20.140625" style="2" customWidth="1"/>
    <col min="5877" max="6108" width="8.85546875" style="2" customWidth="1"/>
    <col min="6109" max="6109" width="8.140625" style="2" customWidth="1"/>
    <col min="6110" max="6110" width="14.5703125" style="2" customWidth="1"/>
    <col min="6111" max="6111" width="37.42578125" style="2" customWidth="1"/>
    <col min="6112" max="6112" width="63.140625" style="2" customWidth="1"/>
    <col min="6113" max="6113" width="20" style="2" customWidth="1"/>
    <col min="6114" max="6114" width="11.140625" style="2" customWidth="1"/>
    <col min="6115" max="6115" width="10.85546875" style="2" customWidth="1"/>
    <col min="6116" max="6116" width="21" style="2" customWidth="1"/>
    <col min="6117" max="6117" width="10.85546875" style="2" customWidth="1"/>
    <col min="6118" max="6118" width="17.42578125" style="2" customWidth="1"/>
    <col min="6119" max="6119" width="14.85546875" style="2" customWidth="1"/>
    <col min="6120" max="6120" width="15" style="2" customWidth="1"/>
    <col min="6121" max="6121" width="14.85546875" style="2" customWidth="1"/>
    <col min="6122" max="6122" width="7.140625" style="2" customWidth="1"/>
    <col min="6123" max="6124" width="20.140625" style="2" customWidth="1"/>
    <col min="6125" max="6125" width="18.42578125" style="2" customWidth="1"/>
    <col min="6126" max="6126" width="9.140625" style="2" customWidth="1"/>
    <col min="6127" max="6127" width="12" style="2" customWidth="1"/>
    <col min="6128" max="6128" width="14.85546875" style="2" customWidth="1"/>
    <col min="6129" max="6129" width="22.42578125" style="2" customWidth="1"/>
    <col min="6130" max="6130" width="14.85546875" style="2" customWidth="1"/>
    <col min="6131" max="6131" width="7.140625" style="2" customWidth="1"/>
    <col min="6132" max="6132" width="20.140625" style="2" customWidth="1"/>
    <col min="6133" max="6364" width="8.85546875" style="2" customWidth="1"/>
    <col min="6365" max="6365" width="8.140625" style="2" customWidth="1"/>
    <col min="6366" max="6366" width="14.5703125" style="2" customWidth="1"/>
    <col min="6367" max="6367" width="37.42578125" style="2" customWidth="1"/>
    <col min="6368" max="6368" width="63.140625" style="2" customWidth="1"/>
    <col min="6369" max="6369" width="20" style="2" customWidth="1"/>
    <col min="6370" max="6370" width="11.140625" style="2" customWidth="1"/>
    <col min="6371" max="6371" width="10.85546875" style="2" customWidth="1"/>
    <col min="6372" max="6372" width="21" style="2" customWidth="1"/>
    <col min="6373" max="6373" width="10.85546875" style="2" customWidth="1"/>
    <col min="6374" max="6374" width="17.42578125" style="2" customWidth="1"/>
    <col min="6375" max="6375" width="14.85546875" style="2" customWidth="1"/>
    <col min="6376" max="6376" width="15" style="2" customWidth="1"/>
    <col min="6377" max="6377" width="14.85546875" style="2" customWidth="1"/>
    <col min="6378" max="6378" width="7.140625" style="2" customWidth="1"/>
    <col min="6379" max="6380" width="20.140625" style="2" customWidth="1"/>
    <col min="6381" max="6381" width="18.42578125" style="2" customWidth="1"/>
    <col min="6382" max="6382" width="9.140625" style="2" customWidth="1"/>
    <col min="6383" max="6383" width="12" style="2" customWidth="1"/>
    <col min="6384" max="6384" width="14.85546875" style="2" customWidth="1"/>
    <col min="6385" max="6385" width="22.42578125" style="2" customWidth="1"/>
    <col min="6386" max="6386" width="14.85546875" style="2" customWidth="1"/>
    <col min="6387" max="6387" width="7.140625" style="2" customWidth="1"/>
    <col min="6388" max="6388" width="20.140625" style="2" customWidth="1"/>
    <col min="6389" max="6620" width="8.85546875" style="2" customWidth="1"/>
    <col min="6621" max="6621" width="8.140625" style="2" customWidth="1"/>
    <col min="6622" max="6622" width="14.5703125" style="2" customWidth="1"/>
    <col min="6623" max="6623" width="37.42578125" style="2" customWidth="1"/>
    <col min="6624" max="6624" width="63.140625" style="2" customWidth="1"/>
    <col min="6625" max="6625" width="20" style="2" customWidth="1"/>
    <col min="6626" max="6626" width="11.140625" style="2" customWidth="1"/>
    <col min="6627" max="6627" width="10.85546875" style="2" customWidth="1"/>
    <col min="6628" max="6628" width="21" style="2" customWidth="1"/>
    <col min="6629" max="6629" width="10.85546875" style="2" customWidth="1"/>
    <col min="6630" max="6630" width="17.42578125" style="2" customWidth="1"/>
    <col min="6631" max="6631" width="14.85546875" style="2" customWidth="1"/>
    <col min="6632" max="6632" width="15" style="2" customWidth="1"/>
    <col min="6633" max="6633" width="14.85546875" style="2" customWidth="1"/>
    <col min="6634" max="6634" width="7.140625" style="2" customWidth="1"/>
    <col min="6635" max="6636" width="20.140625" style="2" customWidth="1"/>
    <col min="6637" max="6637" width="18.42578125" style="2" customWidth="1"/>
    <col min="6638" max="6638" width="9.140625" style="2" customWidth="1"/>
    <col min="6639" max="6639" width="12" style="2" customWidth="1"/>
    <col min="6640" max="6640" width="14.85546875" style="2" customWidth="1"/>
    <col min="6641" max="6641" width="22.42578125" style="2" customWidth="1"/>
    <col min="6642" max="6642" width="14.85546875" style="2" customWidth="1"/>
    <col min="6643" max="6643" width="7.140625" style="2" customWidth="1"/>
    <col min="6644" max="6644" width="20.140625" style="2" customWidth="1"/>
    <col min="6645" max="6876" width="8.85546875" style="2" customWidth="1"/>
    <col min="6877" max="6877" width="8.140625" style="2" customWidth="1"/>
    <col min="6878" max="6878" width="14.5703125" style="2" customWidth="1"/>
    <col min="6879" max="6879" width="37.42578125" style="2" customWidth="1"/>
    <col min="6880" max="6880" width="63.140625" style="2" customWidth="1"/>
    <col min="6881" max="6881" width="20" style="2" customWidth="1"/>
    <col min="6882" max="6882" width="11.140625" style="2" customWidth="1"/>
    <col min="6883" max="6883" width="10.85546875" style="2" customWidth="1"/>
    <col min="6884" max="6884" width="21" style="2" customWidth="1"/>
    <col min="6885" max="6885" width="10.85546875" style="2" customWidth="1"/>
    <col min="6886" max="6886" width="17.42578125" style="2" customWidth="1"/>
    <col min="6887" max="6887" width="14.85546875" style="2" customWidth="1"/>
    <col min="6888" max="6888" width="15" style="2" customWidth="1"/>
    <col min="6889" max="6889" width="14.85546875" style="2" customWidth="1"/>
    <col min="6890" max="6890" width="7.140625" style="2" customWidth="1"/>
    <col min="6891" max="6892" width="20.140625" style="2" customWidth="1"/>
    <col min="6893" max="6893" width="18.42578125" style="2" customWidth="1"/>
    <col min="6894" max="6894" width="9.140625" style="2" customWidth="1"/>
    <col min="6895" max="6895" width="12" style="2" customWidth="1"/>
    <col min="6896" max="6896" width="14.85546875" style="2" customWidth="1"/>
    <col min="6897" max="6897" width="22.42578125" style="2" customWidth="1"/>
    <col min="6898" max="6898" width="14.85546875" style="2" customWidth="1"/>
    <col min="6899" max="6899" width="7.140625" style="2" customWidth="1"/>
    <col min="6900" max="6900" width="20.140625" style="2" customWidth="1"/>
    <col min="6901" max="7132" width="8.85546875" style="2" customWidth="1"/>
    <col min="7133" max="7133" width="8.140625" style="2" customWidth="1"/>
    <col min="7134" max="7134" width="14.5703125" style="2" customWidth="1"/>
    <col min="7135" max="7135" width="37.42578125" style="2" customWidth="1"/>
    <col min="7136" max="7136" width="63.140625" style="2" customWidth="1"/>
    <col min="7137" max="7137" width="20" style="2" customWidth="1"/>
    <col min="7138" max="7138" width="11.140625" style="2" customWidth="1"/>
    <col min="7139" max="7139" width="10.85546875" style="2" customWidth="1"/>
    <col min="7140" max="7140" width="21" style="2" customWidth="1"/>
    <col min="7141" max="7141" width="10.85546875" style="2" customWidth="1"/>
    <col min="7142" max="7142" width="17.42578125" style="2" customWidth="1"/>
    <col min="7143" max="7143" width="14.85546875" style="2" customWidth="1"/>
    <col min="7144" max="7144" width="15" style="2" customWidth="1"/>
    <col min="7145" max="7145" width="14.85546875" style="2" customWidth="1"/>
    <col min="7146" max="7146" width="7.140625" style="2" customWidth="1"/>
    <col min="7147" max="7148" width="20.140625" style="2" customWidth="1"/>
    <col min="7149" max="7149" width="18.42578125" style="2" customWidth="1"/>
    <col min="7150" max="7150" width="9.140625" style="2" customWidth="1"/>
    <col min="7151" max="7151" width="12" style="2" customWidth="1"/>
    <col min="7152" max="7152" width="14.85546875" style="2" customWidth="1"/>
    <col min="7153" max="7153" width="22.42578125" style="2" customWidth="1"/>
    <col min="7154" max="7154" width="14.85546875" style="2" customWidth="1"/>
    <col min="7155" max="7155" width="7.140625" style="2" customWidth="1"/>
    <col min="7156" max="7156" width="20.140625" style="2" customWidth="1"/>
    <col min="7157" max="7388" width="8.85546875" style="2" customWidth="1"/>
    <col min="7389" max="7389" width="8.140625" style="2" customWidth="1"/>
    <col min="7390" max="7390" width="14.5703125" style="2" customWidth="1"/>
    <col min="7391" max="7391" width="37.42578125" style="2" customWidth="1"/>
    <col min="7392" max="7392" width="63.140625" style="2" customWidth="1"/>
    <col min="7393" max="7393" width="20" style="2" customWidth="1"/>
    <col min="7394" max="7394" width="11.140625" style="2" customWidth="1"/>
    <col min="7395" max="7395" width="10.85546875" style="2" customWidth="1"/>
    <col min="7396" max="7396" width="21" style="2" customWidth="1"/>
    <col min="7397" max="7397" width="10.85546875" style="2" customWidth="1"/>
    <col min="7398" max="7398" width="17.42578125" style="2" customWidth="1"/>
    <col min="7399" max="7399" width="14.85546875" style="2" customWidth="1"/>
    <col min="7400" max="7400" width="15" style="2" customWidth="1"/>
    <col min="7401" max="7401" width="14.85546875" style="2" customWidth="1"/>
    <col min="7402" max="7402" width="7.140625" style="2" customWidth="1"/>
    <col min="7403" max="7404" width="20.140625" style="2" customWidth="1"/>
    <col min="7405" max="7405" width="18.42578125" style="2" customWidth="1"/>
    <col min="7406" max="7406" width="9.140625" style="2" customWidth="1"/>
    <col min="7407" max="7407" width="12" style="2" customWidth="1"/>
    <col min="7408" max="7408" width="14.85546875" style="2" customWidth="1"/>
    <col min="7409" max="7409" width="22.42578125" style="2" customWidth="1"/>
    <col min="7410" max="7410" width="14.85546875" style="2" customWidth="1"/>
    <col min="7411" max="7411" width="7.140625" style="2" customWidth="1"/>
    <col min="7412" max="7412" width="20.140625" style="2" customWidth="1"/>
    <col min="7413" max="7644" width="8.85546875" style="2" customWidth="1"/>
    <col min="7645" max="7645" width="8.140625" style="2" customWidth="1"/>
    <col min="7646" max="7646" width="14.5703125" style="2" customWidth="1"/>
    <col min="7647" max="7647" width="37.42578125" style="2" customWidth="1"/>
    <col min="7648" max="7648" width="63.140625" style="2" customWidth="1"/>
    <col min="7649" max="7649" width="20" style="2" customWidth="1"/>
    <col min="7650" max="7650" width="11.140625" style="2" customWidth="1"/>
    <col min="7651" max="7651" width="10.85546875" style="2" customWidth="1"/>
    <col min="7652" max="7652" width="21" style="2" customWidth="1"/>
    <col min="7653" max="7653" width="10.85546875" style="2" customWidth="1"/>
    <col min="7654" max="7654" width="17.42578125" style="2" customWidth="1"/>
    <col min="7655" max="7655" width="14.85546875" style="2" customWidth="1"/>
    <col min="7656" max="7656" width="15" style="2" customWidth="1"/>
    <col min="7657" max="7657" width="14.85546875" style="2" customWidth="1"/>
    <col min="7658" max="7658" width="7.140625" style="2" customWidth="1"/>
    <col min="7659" max="7660" width="20.140625" style="2" customWidth="1"/>
    <col min="7661" max="7661" width="18.42578125" style="2" customWidth="1"/>
    <col min="7662" max="7662" width="9.140625" style="2" customWidth="1"/>
    <col min="7663" max="7663" width="12" style="2" customWidth="1"/>
    <col min="7664" max="7664" width="14.85546875" style="2" customWidth="1"/>
    <col min="7665" max="7665" width="22.42578125" style="2" customWidth="1"/>
    <col min="7666" max="7666" width="14.85546875" style="2" customWidth="1"/>
    <col min="7667" max="7667" width="7.140625" style="2" customWidth="1"/>
    <col min="7668" max="7668" width="20.140625" style="2" customWidth="1"/>
    <col min="7669" max="7900" width="8.85546875" style="2" customWidth="1"/>
    <col min="7901" max="7901" width="8.140625" style="2" customWidth="1"/>
    <col min="7902" max="7902" width="14.5703125" style="2" customWidth="1"/>
    <col min="7903" max="7903" width="37.42578125" style="2" customWidth="1"/>
    <col min="7904" max="7904" width="63.140625" style="2" customWidth="1"/>
    <col min="7905" max="7905" width="20" style="2" customWidth="1"/>
    <col min="7906" max="7906" width="11.140625" style="2" customWidth="1"/>
    <col min="7907" max="7907" width="10.85546875" style="2" customWidth="1"/>
    <col min="7908" max="7908" width="21" style="2" customWidth="1"/>
    <col min="7909" max="7909" width="10.85546875" style="2" customWidth="1"/>
    <col min="7910" max="7910" width="17.42578125" style="2" customWidth="1"/>
    <col min="7911" max="7911" width="14.85546875" style="2" customWidth="1"/>
    <col min="7912" max="7912" width="15" style="2" customWidth="1"/>
    <col min="7913" max="7913" width="14.85546875" style="2" customWidth="1"/>
    <col min="7914" max="7914" width="7.140625" style="2" customWidth="1"/>
    <col min="7915" max="7916" width="20.140625" style="2" customWidth="1"/>
    <col min="7917" max="7917" width="18.42578125" style="2" customWidth="1"/>
    <col min="7918" max="7918" width="9.140625" style="2" customWidth="1"/>
    <col min="7919" max="7919" width="12" style="2" customWidth="1"/>
    <col min="7920" max="7920" width="14.85546875" style="2" customWidth="1"/>
    <col min="7921" max="7921" width="22.42578125" style="2" customWidth="1"/>
    <col min="7922" max="7922" width="14.85546875" style="2" customWidth="1"/>
    <col min="7923" max="7923" width="7.140625" style="2" customWidth="1"/>
    <col min="7924" max="7924" width="20.140625" style="2" customWidth="1"/>
    <col min="7925" max="8156" width="8.85546875" style="2" customWidth="1"/>
    <col min="8157" max="8157" width="8.140625" style="2" customWidth="1"/>
    <col min="8158" max="8158" width="14.5703125" style="2" customWidth="1"/>
    <col min="8159" max="8159" width="37.42578125" style="2" customWidth="1"/>
    <col min="8160" max="8160" width="63.140625" style="2" customWidth="1"/>
    <col min="8161" max="8161" width="20" style="2" customWidth="1"/>
    <col min="8162" max="8162" width="11.140625" style="2" customWidth="1"/>
    <col min="8163" max="8163" width="10.85546875" style="2" customWidth="1"/>
    <col min="8164" max="8164" width="21" style="2" customWidth="1"/>
    <col min="8165" max="8165" width="10.85546875" style="2" customWidth="1"/>
    <col min="8166" max="8166" width="17.42578125" style="2" customWidth="1"/>
    <col min="8167" max="8167" width="14.85546875" style="2" customWidth="1"/>
    <col min="8168" max="8168" width="15" style="2" customWidth="1"/>
    <col min="8169" max="8169" width="14.85546875" style="2" customWidth="1"/>
    <col min="8170" max="8170" width="7.140625" style="2" customWidth="1"/>
    <col min="8171" max="8172" width="20.140625" style="2" customWidth="1"/>
    <col min="8173" max="8173" width="18.42578125" style="2" customWidth="1"/>
    <col min="8174" max="8174" width="9.140625" style="2" customWidth="1"/>
    <col min="8175" max="8175" width="12" style="2" customWidth="1"/>
    <col min="8176" max="8176" width="14.85546875" style="2" customWidth="1"/>
    <col min="8177" max="8177" width="22.42578125" style="2" customWidth="1"/>
    <col min="8178" max="8178" width="14.85546875" style="2" customWidth="1"/>
    <col min="8179" max="8179" width="7.140625" style="2" customWidth="1"/>
    <col min="8180" max="8180" width="20.140625" style="2" customWidth="1"/>
    <col min="8181" max="8412" width="8.85546875" style="2" customWidth="1"/>
    <col min="8413" max="8413" width="8.140625" style="2" customWidth="1"/>
    <col min="8414" max="8414" width="14.5703125" style="2" customWidth="1"/>
    <col min="8415" max="8415" width="37.42578125" style="2" customWidth="1"/>
    <col min="8416" max="8416" width="63.140625" style="2" customWidth="1"/>
    <col min="8417" max="8417" width="20" style="2" customWidth="1"/>
    <col min="8418" max="8418" width="11.140625" style="2" customWidth="1"/>
    <col min="8419" max="8419" width="10.85546875" style="2" customWidth="1"/>
    <col min="8420" max="8420" width="21" style="2" customWidth="1"/>
    <col min="8421" max="8421" width="10.85546875" style="2" customWidth="1"/>
    <col min="8422" max="8422" width="17.42578125" style="2" customWidth="1"/>
    <col min="8423" max="8423" width="14.85546875" style="2" customWidth="1"/>
    <col min="8424" max="8424" width="15" style="2" customWidth="1"/>
    <col min="8425" max="8425" width="14.85546875" style="2" customWidth="1"/>
    <col min="8426" max="8426" width="7.140625" style="2" customWidth="1"/>
    <col min="8427" max="8428" width="20.140625" style="2" customWidth="1"/>
    <col min="8429" max="8429" width="18.42578125" style="2" customWidth="1"/>
    <col min="8430" max="8430" width="9.140625" style="2" customWidth="1"/>
    <col min="8431" max="8431" width="12" style="2" customWidth="1"/>
    <col min="8432" max="8432" width="14.85546875" style="2" customWidth="1"/>
    <col min="8433" max="8433" width="22.42578125" style="2" customWidth="1"/>
    <col min="8434" max="8434" width="14.85546875" style="2" customWidth="1"/>
    <col min="8435" max="8435" width="7.140625" style="2" customWidth="1"/>
    <col min="8436" max="8436" width="20.140625" style="2" customWidth="1"/>
    <col min="8437" max="8668" width="8.85546875" style="2" customWidth="1"/>
    <col min="8669" max="8669" width="8.140625" style="2" customWidth="1"/>
    <col min="8670" max="8670" width="14.5703125" style="2" customWidth="1"/>
    <col min="8671" max="8671" width="37.42578125" style="2" customWidth="1"/>
    <col min="8672" max="8672" width="63.140625" style="2" customWidth="1"/>
    <col min="8673" max="8673" width="20" style="2" customWidth="1"/>
    <col min="8674" max="8674" width="11.140625" style="2" customWidth="1"/>
    <col min="8675" max="8675" width="10.85546875" style="2" customWidth="1"/>
    <col min="8676" max="8676" width="21" style="2" customWidth="1"/>
    <col min="8677" max="8677" width="10.85546875" style="2" customWidth="1"/>
    <col min="8678" max="8678" width="17.42578125" style="2" customWidth="1"/>
    <col min="8679" max="8679" width="14.85546875" style="2" customWidth="1"/>
    <col min="8680" max="8680" width="15" style="2" customWidth="1"/>
    <col min="8681" max="8681" width="14.85546875" style="2" customWidth="1"/>
    <col min="8682" max="8682" width="7.140625" style="2" customWidth="1"/>
    <col min="8683" max="8684" width="20.140625" style="2" customWidth="1"/>
    <col min="8685" max="8685" width="18.42578125" style="2" customWidth="1"/>
    <col min="8686" max="8686" width="9.140625" style="2" customWidth="1"/>
    <col min="8687" max="8687" width="12" style="2" customWidth="1"/>
    <col min="8688" max="8688" width="14.85546875" style="2" customWidth="1"/>
    <col min="8689" max="8689" width="22.42578125" style="2" customWidth="1"/>
    <col min="8690" max="8690" width="14.85546875" style="2" customWidth="1"/>
    <col min="8691" max="8691" width="7.140625" style="2" customWidth="1"/>
    <col min="8692" max="8692" width="20.140625" style="2" customWidth="1"/>
    <col min="8693" max="8924" width="8.85546875" style="2" customWidth="1"/>
    <col min="8925" max="8925" width="8.140625" style="2" customWidth="1"/>
    <col min="8926" max="8926" width="14.5703125" style="2" customWidth="1"/>
    <col min="8927" max="8927" width="37.42578125" style="2" customWidth="1"/>
    <col min="8928" max="8928" width="63.140625" style="2" customWidth="1"/>
    <col min="8929" max="8929" width="20" style="2" customWidth="1"/>
    <col min="8930" max="8930" width="11.140625" style="2" customWidth="1"/>
    <col min="8931" max="8931" width="10.85546875" style="2" customWidth="1"/>
    <col min="8932" max="8932" width="21" style="2" customWidth="1"/>
    <col min="8933" max="8933" width="10.85546875" style="2" customWidth="1"/>
    <col min="8934" max="8934" width="17.42578125" style="2" customWidth="1"/>
    <col min="8935" max="8935" width="14.85546875" style="2" customWidth="1"/>
    <col min="8936" max="8936" width="15" style="2" customWidth="1"/>
    <col min="8937" max="8937" width="14.85546875" style="2" customWidth="1"/>
    <col min="8938" max="8938" width="7.140625" style="2" customWidth="1"/>
    <col min="8939" max="8940" width="20.140625" style="2" customWidth="1"/>
    <col min="8941" max="8941" width="18.42578125" style="2" customWidth="1"/>
    <col min="8942" max="8942" width="9.140625" style="2" customWidth="1"/>
    <col min="8943" max="8943" width="12" style="2" customWidth="1"/>
    <col min="8944" max="8944" width="14.85546875" style="2" customWidth="1"/>
    <col min="8945" max="8945" width="22.42578125" style="2" customWidth="1"/>
    <col min="8946" max="8946" width="14.85546875" style="2" customWidth="1"/>
    <col min="8947" max="8947" width="7.140625" style="2" customWidth="1"/>
    <col min="8948" max="8948" width="20.140625" style="2" customWidth="1"/>
    <col min="8949" max="9180" width="8.85546875" style="2" customWidth="1"/>
    <col min="9181" max="9181" width="8.140625" style="2" customWidth="1"/>
    <col min="9182" max="9182" width="14.5703125" style="2" customWidth="1"/>
    <col min="9183" max="9183" width="37.42578125" style="2" customWidth="1"/>
    <col min="9184" max="9184" width="63.140625" style="2" customWidth="1"/>
    <col min="9185" max="9185" width="20" style="2" customWidth="1"/>
    <col min="9186" max="9186" width="11.140625" style="2" customWidth="1"/>
    <col min="9187" max="9187" width="10.85546875" style="2" customWidth="1"/>
    <col min="9188" max="9188" width="21" style="2" customWidth="1"/>
    <col min="9189" max="9189" width="10.85546875" style="2" customWidth="1"/>
    <col min="9190" max="9190" width="17.42578125" style="2" customWidth="1"/>
    <col min="9191" max="9191" width="14.85546875" style="2" customWidth="1"/>
    <col min="9192" max="9192" width="15" style="2" customWidth="1"/>
    <col min="9193" max="9193" width="14.85546875" style="2" customWidth="1"/>
    <col min="9194" max="9194" width="7.140625" style="2" customWidth="1"/>
    <col min="9195" max="9196" width="20.140625" style="2" customWidth="1"/>
    <col min="9197" max="9197" width="18.42578125" style="2" customWidth="1"/>
    <col min="9198" max="9198" width="9.140625" style="2" customWidth="1"/>
    <col min="9199" max="9199" width="12" style="2" customWidth="1"/>
    <col min="9200" max="9200" width="14.85546875" style="2" customWidth="1"/>
    <col min="9201" max="9201" width="22.42578125" style="2" customWidth="1"/>
    <col min="9202" max="9202" width="14.85546875" style="2" customWidth="1"/>
    <col min="9203" max="9203" width="7.140625" style="2" customWidth="1"/>
    <col min="9204" max="9204" width="20.140625" style="2" customWidth="1"/>
    <col min="9205" max="9436" width="8.85546875" style="2" customWidth="1"/>
    <col min="9437" max="9437" width="8.140625" style="2" customWidth="1"/>
    <col min="9438" max="9438" width="14.5703125" style="2" customWidth="1"/>
    <col min="9439" max="9439" width="37.42578125" style="2" customWidth="1"/>
    <col min="9440" max="9440" width="63.140625" style="2" customWidth="1"/>
    <col min="9441" max="9441" width="20" style="2" customWidth="1"/>
    <col min="9442" max="9442" width="11.140625" style="2" customWidth="1"/>
    <col min="9443" max="9443" width="10.85546875" style="2" customWidth="1"/>
    <col min="9444" max="9444" width="21" style="2" customWidth="1"/>
    <col min="9445" max="9445" width="10.85546875" style="2" customWidth="1"/>
    <col min="9446" max="9446" width="17.42578125" style="2" customWidth="1"/>
    <col min="9447" max="9447" width="14.85546875" style="2" customWidth="1"/>
    <col min="9448" max="9448" width="15" style="2" customWidth="1"/>
    <col min="9449" max="9449" width="14.85546875" style="2" customWidth="1"/>
    <col min="9450" max="9450" width="7.140625" style="2" customWidth="1"/>
    <col min="9451" max="9452" width="20.140625" style="2" customWidth="1"/>
    <col min="9453" max="9453" width="18.42578125" style="2" customWidth="1"/>
    <col min="9454" max="9454" width="9.140625" style="2" customWidth="1"/>
    <col min="9455" max="9455" width="12" style="2" customWidth="1"/>
    <col min="9456" max="9456" width="14.85546875" style="2" customWidth="1"/>
    <col min="9457" max="9457" width="22.42578125" style="2" customWidth="1"/>
    <col min="9458" max="9458" width="14.85546875" style="2" customWidth="1"/>
    <col min="9459" max="9459" width="7.140625" style="2" customWidth="1"/>
    <col min="9460" max="9460" width="20.140625" style="2" customWidth="1"/>
    <col min="9461" max="9692" width="8.85546875" style="2" customWidth="1"/>
    <col min="9693" max="9693" width="8.140625" style="2" customWidth="1"/>
    <col min="9694" max="9694" width="14.5703125" style="2" customWidth="1"/>
    <col min="9695" max="9695" width="37.42578125" style="2" customWidth="1"/>
    <col min="9696" max="9696" width="63.140625" style="2" customWidth="1"/>
    <col min="9697" max="9697" width="20" style="2" customWidth="1"/>
    <col min="9698" max="9698" width="11.140625" style="2" customWidth="1"/>
    <col min="9699" max="9699" width="10.85546875" style="2" customWidth="1"/>
    <col min="9700" max="9700" width="21" style="2" customWidth="1"/>
    <col min="9701" max="9701" width="10.85546875" style="2" customWidth="1"/>
    <col min="9702" max="9702" width="17.42578125" style="2" customWidth="1"/>
    <col min="9703" max="9703" width="14.85546875" style="2" customWidth="1"/>
    <col min="9704" max="9704" width="15" style="2" customWidth="1"/>
    <col min="9705" max="9705" width="14.85546875" style="2" customWidth="1"/>
    <col min="9706" max="9706" width="7.140625" style="2" customWidth="1"/>
    <col min="9707" max="9708" width="20.140625" style="2" customWidth="1"/>
    <col min="9709" max="9709" width="18.42578125" style="2" customWidth="1"/>
    <col min="9710" max="9710" width="9.140625" style="2" customWidth="1"/>
    <col min="9711" max="9711" width="12" style="2" customWidth="1"/>
    <col min="9712" max="9712" width="14.85546875" style="2" customWidth="1"/>
    <col min="9713" max="9713" width="22.42578125" style="2" customWidth="1"/>
    <col min="9714" max="9714" width="14.85546875" style="2" customWidth="1"/>
    <col min="9715" max="9715" width="7.140625" style="2" customWidth="1"/>
    <col min="9716" max="9716" width="20.140625" style="2" customWidth="1"/>
    <col min="9717" max="9948" width="8.85546875" style="2" customWidth="1"/>
    <col min="9949" max="9949" width="8.140625" style="2" customWidth="1"/>
    <col min="9950" max="9950" width="14.5703125" style="2" customWidth="1"/>
    <col min="9951" max="9951" width="37.42578125" style="2" customWidth="1"/>
    <col min="9952" max="9952" width="63.140625" style="2" customWidth="1"/>
    <col min="9953" max="9953" width="20" style="2" customWidth="1"/>
    <col min="9954" max="9954" width="11.140625" style="2" customWidth="1"/>
    <col min="9955" max="9955" width="10.85546875" style="2" customWidth="1"/>
    <col min="9956" max="9956" width="21" style="2" customWidth="1"/>
    <col min="9957" max="9957" width="10.85546875" style="2" customWidth="1"/>
    <col min="9958" max="9958" width="17.42578125" style="2" customWidth="1"/>
    <col min="9959" max="9959" width="14.85546875" style="2" customWidth="1"/>
    <col min="9960" max="9960" width="15" style="2" customWidth="1"/>
    <col min="9961" max="9961" width="14.85546875" style="2" customWidth="1"/>
    <col min="9962" max="9962" width="7.140625" style="2" customWidth="1"/>
    <col min="9963" max="9964" width="20.140625" style="2" customWidth="1"/>
    <col min="9965" max="9965" width="18.42578125" style="2" customWidth="1"/>
    <col min="9966" max="9966" width="9.140625" style="2" customWidth="1"/>
    <col min="9967" max="9967" width="12" style="2" customWidth="1"/>
    <col min="9968" max="9968" width="14.85546875" style="2" customWidth="1"/>
    <col min="9969" max="9969" width="22.42578125" style="2" customWidth="1"/>
    <col min="9970" max="9970" width="14.85546875" style="2" customWidth="1"/>
    <col min="9971" max="9971" width="7.140625" style="2" customWidth="1"/>
    <col min="9972" max="9972" width="20.140625" style="2" customWidth="1"/>
    <col min="9973" max="10204" width="8.85546875" style="2" customWidth="1"/>
    <col min="10205" max="10205" width="8.140625" style="2" customWidth="1"/>
    <col min="10206" max="10206" width="14.5703125" style="2" customWidth="1"/>
    <col min="10207" max="10207" width="37.42578125" style="2" customWidth="1"/>
    <col min="10208" max="10208" width="63.140625" style="2" customWidth="1"/>
    <col min="10209" max="10209" width="20" style="2" customWidth="1"/>
    <col min="10210" max="10210" width="11.140625" style="2" customWidth="1"/>
    <col min="10211" max="10211" width="10.85546875" style="2" customWidth="1"/>
    <col min="10212" max="10212" width="21" style="2" customWidth="1"/>
    <col min="10213" max="10213" width="10.85546875" style="2" customWidth="1"/>
    <col min="10214" max="10214" width="17.42578125" style="2" customWidth="1"/>
    <col min="10215" max="10215" width="14.85546875" style="2" customWidth="1"/>
    <col min="10216" max="10216" width="15" style="2" customWidth="1"/>
    <col min="10217" max="10217" width="14.85546875" style="2" customWidth="1"/>
    <col min="10218" max="10218" width="7.140625" style="2" customWidth="1"/>
    <col min="10219" max="10220" width="20.140625" style="2" customWidth="1"/>
    <col min="10221" max="10221" width="18.42578125" style="2" customWidth="1"/>
    <col min="10222" max="10222" width="9.140625" style="2" customWidth="1"/>
    <col min="10223" max="10223" width="12" style="2" customWidth="1"/>
    <col min="10224" max="10224" width="14.85546875" style="2" customWidth="1"/>
    <col min="10225" max="10225" width="22.42578125" style="2" customWidth="1"/>
    <col min="10226" max="10226" width="14.85546875" style="2" customWidth="1"/>
    <col min="10227" max="10227" width="7.140625" style="2" customWidth="1"/>
    <col min="10228" max="10228" width="20.140625" style="2" customWidth="1"/>
    <col min="10229" max="10460" width="8.85546875" style="2" customWidth="1"/>
    <col min="10461" max="10461" width="8.140625" style="2" customWidth="1"/>
    <col min="10462" max="10462" width="14.5703125" style="2" customWidth="1"/>
    <col min="10463" max="10463" width="37.42578125" style="2" customWidth="1"/>
    <col min="10464" max="10464" width="63.140625" style="2" customWidth="1"/>
    <col min="10465" max="10465" width="20" style="2" customWidth="1"/>
    <col min="10466" max="10466" width="11.140625" style="2" customWidth="1"/>
    <col min="10467" max="10467" width="10.85546875" style="2" customWidth="1"/>
    <col min="10468" max="10468" width="21" style="2" customWidth="1"/>
    <col min="10469" max="10469" width="10.85546875" style="2" customWidth="1"/>
    <col min="10470" max="10470" width="17.42578125" style="2" customWidth="1"/>
    <col min="10471" max="10471" width="14.85546875" style="2" customWidth="1"/>
    <col min="10472" max="10472" width="15" style="2" customWidth="1"/>
    <col min="10473" max="10473" width="14.85546875" style="2" customWidth="1"/>
    <col min="10474" max="10474" width="7.140625" style="2" customWidth="1"/>
    <col min="10475" max="10476" width="20.140625" style="2" customWidth="1"/>
    <col min="10477" max="10477" width="18.42578125" style="2" customWidth="1"/>
    <col min="10478" max="10478" width="9.140625" style="2" customWidth="1"/>
    <col min="10479" max="10479" width="12" style="2" customWidth="1"/>
    <col min="10480" max="10480" width="14.85546875" style="2" customWidth="1"/>
    <col min="10481" max="10481" width="22.42578125" style="2" customWidth="1"/>
    <col min="10482" max="10482" width="14.85546875" style="2" customWidth="1"/>
    <col min="10483" max="10483" width="7.140625" style="2" customWidth="1"/>
    <col min="10484" max="10484" width="20.140625" style="2" customWidth="1"/>
    <col min="10485" max="10716" width="8.85546875" style="2" customWidth="1"/>
    <col min="10717" max="10717" width="8.140625" style="2" customWidth="1"/>
    <col min="10718" max="10718" width="14.5703125" style="2" customWidth="1"/>
    <col min="10719" max="10719" width="37.42578125" style="2" customWidth="1"/>
    <col min="10720" max="10720" width="63.140625" style="2" customWidth="1"/>
    <col min="10721" max="10721" width="20" style="2" customWidth="1"/>
    <col min="10722" max="10722" width="11.140625" style="2" customWidth="1"/>
    <col min="10723" max="10723" width="10.85546875" style="2" customWidth="1"/>
    <col min="10724" max="10724" width="21" style="2" customWidth="1"/>
    <col min="10725" max="10725" width="10.85546875" style="2" customWidth="1"/>
    <col min="10726" max="10726" width="17.42578125" style="2" customWidth="1"/>
    <col min="10727" max="10727" width="14.85546875" style="2" customWidth="1"/>
    <col min="10728" max="10728" width="15" style="2" customWidth="1"/>
    <col min="10729" max="10729" width="14.85546875" style="2" customWidth="1"/>
    <col min="10730" max="10730" width="7.140625" style="2" customWidth="1"/>
    <col min="10731" max="10732" width="20.140625" style="2" customWidth="1"/>
    <col min="10733" max="10733" width="18.42578125" style="2" customWidth="1"/>
    <col min="10734" max="10734" width="9.140625" style="2" customWidth="1"/>
    <col min="10735" max="10735" width="12" style="2" customWidth="1"/>
    <col min="10736" max="10736" width="14.85546875" style="2" customWidth="1"/>
    <col min="10737" max="10737" width="22.42578125" style="2" customWidth="1"/>
    <col min="10738" max="10738" width="14.85546875" style="2" customWidth="1"/>
    <col min="10739" max="10739" width="7.140625" style="2" customWidth="1"/>
    <col min="10740" max="10740" width="20.140625" style="2" customWidth="1"/>
    <col min="10741" max="10972" width="8.85546875" style="2" customWidth="1"/>
    <col min="10973" max="10973" width="8.140625" style="2" customWidth="1"/>
    <col min="10974" max="10974" width="14.5703125" style="2" customWidth="1"/>
    <col min="10975" max="10975" width="37.42578125" style="2" customWidth="1"/>
    <col min="10976" max="10976" width="63.140625" style="2" customWidth="1"/>
    <col min="10977" max="10977" width="20" style="2" customWidth="1"/>
    <col min="10978" max="10978" width="11.140625" style="2" customWidth="1"/>
    <col min="10979" max="10979" width="10.85546875" style="2" customWidth="1"/>
    <col min="10980" max="10980" width="21" style="2" customWidth="1"/>
    <col min="10981" max="10981" width="10.85546875" style="2" customWidth="1"/>
    <col min="10982" max="10982" width="17.42578125" style="2" customWidth="1"/>
    <col min="10983" max="10983" width="14.85546875" style="2" customWidth="1"/>
    <col min="10984" max="10984" width="15" style="2" customWidth="1"/>
    <col min="10985" max="10985" width="14.85546875" style="2" customWidth="1"/>
    <col min="10986" max="10986" width="7.140625" style="2" customWidth="1"/>
    <col min="10987" max="10988" width="20.140625" style="2" customWidth="1"/>
    <col min="10989" max="10989" width="18.42578125" style="2" customWidth="1"/>
    <col min="10990" max="10990" width="9.140625" style="2" customWidth="1"/>
    <col min="10991" max="10991" width="12" style="2" customWidth="1"/>
    <col min="10992" max="10992" width="14.85546875" style="2" customWidth="1"/>
    <col min="10993" max="10993" width="22.42578125" style="2" customWidth="1"/>
    <col min="10994" max="10994" width="14.85546875" style="2" customWidth="1"/>
    <col min="10995" max="10995" width="7.140625" style="2" customWidth="1"/>
    <col min="10996" max="10996" width="20.140625" style="2" customWidth="1"/>
    <col min="10997" max="11228" width="8.85546875" style="2" customWidth="1"/>
    <col min="11229" max="11229" width="8.140625" style="2" customWidth="1"/>
    <col min="11230" max="11230" width="14.5703125" style="2" customWidth="1"/>
    <col min="11231" max="11231" width="37.42578125" style="2" customWidth="1"/>
    <col min="11232" max="11232" width="63.140625" style="2" customWidth="1"/>
    <col min="11233" max="11233" width="20" style="2" customWidth="1"/>
    <col min="11234" max="11234" width="11.140625" style="2" customWidth="1"/>
    <col min="11235" max="11235" width="10.85546875" style="2" customWidth="1"/>
    <col min="11236" max="11236" width="21" style="2" customWidth="1"/>
    <col min="11237" max="11237" width="10.85546875" style="2" customWidth="1"/>
    <col min="11238" max="11238" width="17.42578125" style="2" customWidth="1"/>
    <col min="11239" max="11239" width="14.85546875" style="2" customWidth="1"/>
    <col min="11240" max="11240" width="15" style="2" customWidth="1"/>
    <col min="11241" max="11241" width="14.85546875" style="2" customWidth="1"/>
    <col min="11242" max="11242" width="7.140625" style="2" customWidth="1"/>
    <col min="11243" max="11244" width="20.140625" style="2" customWidth="1"/>
    <col min="11245" max="11245" width="18.42578125" style="2" customWidth="1"/>
    <col min="11246" max="11246" width="9.140625" style="2" customWidth="1"/>
    <col min="11247" max="11247" width="12" style="2" customWidth="1"/>
    <col min="11248" max="11248" width="14.85546875" style="2" customWidth="1"/>
    <col min="11249" max="11249" width="22.42578125" style="2" customWidth="1"/>
    <col min="11250" max="11250" width="14.85546875" style="2" customWidth="1"/>
    <col min="11251" max="11251" width="7.140625" style="2" customWidth="1"/>
    <col min="11252" max="11252" width="20.140625" style="2" customWidth="1"/>
    <col min="11253" max="11484" width="8.85546875" style="2" customWidth="1"/>
    <col min="11485" max="11485" width="8.140625" style="2" customWidth="1"/>
    <col min="11486" max="11486" width="14.5703125" style="2" customWidth="1"/>
    <col min="11487" max="11487" width="37.42578125" style="2" customWidth="1"/>
    <col min="11488" max="11488" width="63.140625" style="2" customWidth="1"/>
    <col min="11489" max="11489" width="20" style="2" customWidth="1"/>
    <col min="11490" max="11490" width="11.140625" style="2" customWidth="1"/>
    <col min="11491" max="11491" width="10.85546875" style="2" customWidth="1"/>
    <col min="11492" max="11492" width="21" style="2" customWidth="1"/>
    <col min="11493" max="11493" width="10.85546875" style="2" customWidth="1"/>
    <col min="11494" max="11494" width="17.42578125" style="2" customWidth="1"/>
    <col min="11495" max="11495" width="14.85546875" style="2" customWidth="1"/>
    <col min="11496" max="11496" width="15" style="2" customWidth="1"/>
    <col min="11497" max="11497" width="14.85546875" style="2" customWidth="1"/>
    <col min="11498" max="11498" width="7.140625" style="2" customWidth="1"/>
    <col min="11499" max="11500" width="20.140625" style="2" customWidth="1"/>
    <col min="11501" max="11501" width="18.42578125" style="2" customWidth="1"/>
    <col min="11502" max="11502" width="9.140625" style="2" customWidth="1"/>
    <col min="11503" max="11503" width="12" style="2" customWidth="1"/>
    <col min="11504" max="11504" width="14.85546875" style="2" customWidth="1"/>
    <col min="11505" max="11505" width="22.42578125" style="2" customWidth="1"/>
    <col min="11506" max="11506" width="14.85546875" style="2" customWidth="1"/>
    <col min="11507" max="11507" width="7.140625" style="2" customWidth="1"/>
    <col min="11508" max="11508" width="20.140625" style="2" customWidth="1"/>
    <col min="11509" max="11740" width="8.85546875" style="2" customWidth="1"/>
    <col min="11741" max="11741" width="8.140625" style="2" customWidth="1"/>
    <col min="11742" max="11742" width="14.5703125" style="2" customWidth="1"/>
    <col min="11743" max="11743" width="37.42578125" style="2" customWidth="1"/>
    <col min="11744" max="11744" width="63.140625" style="2" customWidth="1"/>
    <col min="11745" max="11745" width="20" style="2" customWidth="1"/>
    <col min="11746" max="11746" width="11.140625" style="2" customWidth="1"/>
    <col min="11747" max="11747" width="10.85546875" style="2" customWidth="1"/>
    <col min="11748" max="11748" width="21" style="2" customWidth="1"/>
    <col min="11749" max="11749" width="10.85546875" style="2" customWidth="1"/>
    <col min="11750" max="11750" width="17.42578125" style="2" customWidth="1"/>
    <col min="11751" max="11751" width="14.85546875" style="2" customWidth="1"/>
    <col min="11752" max="11752" width="15" style="2" customWidth="1"/>
    <col min="11753" max="11753" width="14.85546875" style="2" customWidth="1"/>
    <col min="11754" max="11754" width="7.140625" style="2" customWidth="1"/>
    <col min="11755" max="11756" width="20.140625" style="2" customWidth="1"/>
    <col min="11757" max="11757" width="18.42578125" style="2" customWidth="1"/>
    <col min="11758" max="11758" width="9.140625" style="2" customWidth="1"/>
    <col min="11759" max="11759" width="12" style="2" customWidth="1"/>
    <col min="11760" max="11760" width="14.85546875" style="2" customWidth="1"/>
    <col min="11761" max="11761" width="22.42578125" style="2" customWidth="1"/>
    <col min="11762" max="11762" width="14.85546875" style="2" customWidth="1"/>
    <col min="11763" max="11763" width="7.140625" style="2" customWidth="1"/>
    <col min="11764" max="11764" width="20.140625" style="2" customWidth="1"/>
    <col min="11765" max="11996" width="8.85546875" style="2" customWidth="1"/>
    <col min="11997" max="11997" width="8.140625" style="2" customWidth="1"/>
    <col min="11998" max="11998" width="14.5703125" style="2" customWidth="1"/>
    <col min="11999" max="11999" width="37.42578125" style="2" customWidth="1"/>
    <col min="12000" max="12000" width="63.140625" style="2" customWidth="1"/>
    <col min="12001" max="12001" width="20" style="2" customWidth="1"/>
    <col min="12002" max="12002" width="11.140625" style="2" customWidth="1"/>
    <col min="12003" max="12003" width="10.85546875" style="2" customWidth="1"/>
    <col min="12004" max="12004" width="21" style="2" customWidth="1"/>
    <col min="12005" max="12005" width="10.85546875" style="2" customWidth="1"/>
    <col min="12006" max="12006" width="17.42578125" style="2" customWidth="1"/>
    <col min="12007" max="12007" width="14.85546875" style="2" customWidth="1"/>
    <col min="12008" max="12008" width="15" style="2" customWidth="1"/>
    <col min="12009" max="12009" width="14.85546875" style="2" customWidth="1"/>
    <col min="12010" max="12010" width="7.140625" style="2" customWidth="1"/>
    <col min="12011" max="12012" width="20.140625" style="2" customWidth="1"/>
    <col min="12013" max="12013" width="18.42578125" style="2" customWidth="1"/>
    <col min="12014" max="12014" width="9.140625" style="2" customWidth="1"/>
    <col min="12015" max="12015" width="12" style="2" customWidth="1"/>
    <col min="12016" max="12016" width="14.85546875" style="2" customWidth="1"/>
    <col min="12017" max="12017" width="22.42578125" style="2" customWidth="1"/>
    <col min="12018" max="12018" width="14.85546875" style="2" customWidth="1"/>
    <col min="12019" max="12019" width="7.140625" style="2" customWidth="1"/>
    <col min="12020" max="12020" width="20.140625" style="2" customWidth="1"/>
    <col min="12021" max="12252" width="8.85546875" style="2" customWidth="1"/>
    <col min="12253" max="12253" width="8.140625" style="2" customWidth="1"/>
    <col min="12254" max="12254" width="14.5703125" style="2" customWidth="1"/>
    <col min="12255" max="12255" width="37.42578125" style="2" customWidth="1"/>
    <col min="12256" max="12256" width="63.140625" style="2" customWidth="1"/>
    <col min="12257" max="12257" width="20" style="2" customWidth="1"/>
    <col min="12258" max="12258" width="11.140625" style="2" customWidth="1"/>
    <col min="12259" max="12259" width="10.85546875" style="2" customWidth="1"/>
    <col min="12260" max="12260" width="21" style="2" customWidth="1"/>
    <col min="12261" max="12261" width="10.85546875" style="2" customWidth="1"/>
    <col min="12262" max="12262" width="17.42578125" style="2" customWidth="1"/>
    <col min="12263" max="12263" width="14.85546875" style="2" customWidth="1"/>
    <col min="12264" max="12264" width="15" style="2" customWidth="1"/>
    <col min="12265" max="12265" width="14.85546875" style="2" customWidth="1"/>
    <col min="12266" max="12266" width="7.140625" style="2" customWidth="1"/>
    <col min="12267" max="12268" width="20.140625" style="2" customWidth="1"/>
    <col min="12269" max="12269" width="18.42578125" style="2" customWidth="1"/>
    <col min="12270" max="12270" width="9.140625" style="2" customWidth="1"/>
    <col min="12271" max="12271" width="12" style="2" customWidth="1"/>
    <col min="12272" max="12272" width="14.85546875" style="2" customWidth="1"/>
    <col min="12273" max="12273" width="22.42578125" style="2" customWidth="1"/>
    <col min="12274" max="12274" width="14.85546875" style="2" customWidth="1"/>
    <col min="12275" max="12275" width="7.140625" style="2" customWidth="1"/>
    <col min="12276" max="12276" width="20.140625" style="2" customWidth="1"/>
    <col min="12277" max="12508" width="8.85546875" style="2" customWidth="1"/>
    <col min="12509" max="12509" width="8.140625" style="2" customWidth="1"/>
    <col min="12510" max="12510" width="14.5703125" style="2" customWidth="1"/>
    <col min="12511" max="12511" width="37.42578125" style="2" customWidth="1"/>
    <col min="12512" max="12512" width="63.140625" style="2" customWidth="1"/>
    <col min="12513" max="12513" width="20" style="2" customWidth="1"/>
    <col min="12514" max="12514" width="11.140625" style="2" customWidth="1"/>
    <col min="12515" max="12515" width="10.85546875" style="2" customWidth="1"/>
    <col min="12516" max="12516" width="21" style="2" customWidth="1"/>
    <col min="12517" max="12517" width="10.85546875" style="2" customWidth="1"/>
    <col min="12518" max="12518" width="17.42578125" style="2" customWidth="1"/>
    <col min="12519" max="12519" width="14.85546875" style="2" customWidth="1"/>
    <col min="12520" max="12520" width="15" style="2" customWidth="1"/>
    <col min="12521" max="12521" width="14.85546875" style="2" customWidth="1"/>
    <col min="12522" max="12522" width="7.140625" style="2" customWidth="1"/>
    <col min="12523" max="12524" width="20.140625" style="2" customWidth="1"/>
    <col min="12525" max="12525" width="18.42578125" style="2" customWidth="1"/>
    <col min="12526" max="12526" width="9.140625" style="2" customWidth="1"/>
    <col min="12527" max="12527" width="12" style="2" customWidth="1"/>
    <col min="12528" max="12528" width="14.85546875" style="2" customWidth="1"/>
    <col min="12529" max="12529" width="22.42578125" style="2" customWidth="1"/>
    <col min="12530" max="12530" width="14.85546875" style="2" customWidth="1"/>
    <col min="12531" max="12531" width="7.140625" style="2" customWidth="1"/>
    <col min="12532" max="12532" width="20.140625" style="2" customWidth="1"/>
    <col min="12533" max="12764" width="8.85546875" style="2" customWidth="1"/>
    <col min="12765" max="12765" width="8.140625" style="2" customWidth="1"/>
    <col min="12766" max="12766" width="14.5703125" style="2" customWidth="1"/>
    <col min="12767" max="12767" width="37.42578125" style="2" customWidth="1"/>
    <col min="12768" max="12768" width="63.140625" style="2" customWidth="1"/>
    <col min="12769" max="12769" width="20" style="2" customWidth="1"/>
    <col min="12770" max="12770" width="11.140625" style="2" customWidth="1"/>
    <col min="12771" max="12771" width="10.85546875" style="2" customWidth="1"/>
    <col min="12772" max="12772" width="21" style="2" customWidth="1"/>
    <col min="12773" max="12773" width="10.85546875" style="2" customWidth="1"/>
    <col min="12774" max="12774" width="17.42578125" style="2" customWidth="1"/>
    <col min="12775" max="12775" width="14.85546875" style="2" customWidth="1"/>
    <col min="12776" max="12776" width="15" style="2" customWidth="1"/>
    <col min="12777" max="12777" width="14.85546875" style="2" customWidth="1"/>
    <col min="12778" max="12778" width="7.140625" style="2" customWidth="1"/>
    <col min="12779" max="12780" width="20.140625" style="2" customWidth="1"/>
    <col min="12781" max="12781" width="18.42578125" style="2" customWidth="1"/>
    <col min="12782" max="12782" width="9.140625" style="2" customWidth="1"/>
    <col min="12783" max="12783" width="12" style="2" customWidth="1"/>
    <col min="12784" max="12784" width="14.85546875" style="2" customWidth="1"/>
    <col min="12785" max="12785" width="22.42578125" style="2" customWidth="1"/>
    <col min="12786" max="12786" width="14.85546875" style="2" customWidth="1"/>
    <col min="12787" max="12787" width="7.140625" style="2" customWidth="1"/>
    <col min="12788" max="12788" width="20.140625" style="2" customWidth="1"/>
    <col min="12789" max="13020" width="8.85546875" style="2" customWidth="1"/>
    <col min="13021" max="13021" width="8.140625" style="2" customWidth="1"/>
    <col min="13022" max="13022" width="14.5703125" style="2" customWidth="1"/>
    <col min="13023" max="13023" width="37.42578125" style="2" customWidth="1"/>
    <col min="13024" max="13024" width="63.140625" style="2" customWidth="1"/>
    <col min="13025" max="13025" width="20" style="2" customWidth="1"/>
    <col min="13026" max="13026" width="11.140625" style="2" customWidth="1"/>
    <col min="13027" max="13027" width="10.85546875" style="2" customWidth="1"/>
    <col min="13028" max="13028" width="21" style="2" customWidth="1"/>
    <col min="13029" max="13029" width="10.85546875" style="2" customWidth="1"/>
    <col min="13030" max="13030" width="17.42578125" style="2" customWidth="1"/>
    <col min="13031" max="13031" width="14.85546875" style="2" customWidth="1"/>
    <col min="13032" max="13032" width="15" style="2" customWidth="1"/>
    <col min="13033" max="13033" width="14.85546875" style="2" customWidth="1"/>
    <col min="13034" max="13034" width="7.140625" style="2" customWidth="1"/>
    <col min="13035" max="13036" width="20.140625" style="2" customWidth="1"/>
    <col min="13037" max="13037" width="18.42578125" style="2" customWidth="1"/>
    <col min="13038" max="13038" width="9.140625" style="2" customWidth="1"/>
    <col min="13039" max="13039" width="12" style="2" customWidth="1"/>
    <col min="13040" max="13040" width="14.85546875" style="2" customWidth="1"/>
    <col min="13041" max="13041" width="22.42578125" style="2" customWidth="1"/>
    <col min="13042" max="13042" width="14.85546875" style="2" customWidth="1"/>
    <col min="13043" max="13043" width="7.140625" style="2" customWidth="1"/>
    <col min="13044" max="13044" width="20.140625" style="2" customWidth="1"/>
    <col min="13045" max="13276" width="8.85546875" style="2" customWidth="1"/>
    <col min="13277" max="13277" width="8.140625" style="2" customWidth="1"/>
    <col min="13278" max="13278" width="14.5703125" style="2" customWidth="1"/>
    <col min="13279" max="13279" width="37.42578125" style="2" customWidth="1"/>
    <col min="13280" max="13280" width="63.140625" style="2" customWidth="1"/>
    <col min="13281" max="13281" width="20" style="2" customWidth="1"/>
    <col min="13282" max="13282" width="11.140625" style="2" customWidth="1"/>
    <col min="13283" max="13283" width="10.85546875" style="2" customWidth="1"/>
    <col min="13284" max="13284" width="21" style="2" customWidth="1"/>
    <col min="13285" max="13285" width="10.85546875" style="2" customWidth="1"/>
    <col min="13286" max="13286" width="17.42578125" style="2" customWidth="1"/>
    <col min="13287" max="13287" width="14.85546875" style="2" customWidth="1"/>
    <col min="13288" max="13288" width="15" style="2" customWidth="1"/>
    <col min="13289" max="13289" width="14.85546875" style="2" customWidth="1"/>
    <col min="13290" max="13290" width="7.140625" style="2" customWidth="1"/>
    <col min="13291" max="13292" width="20.140625" style="2" customWidth="1"/>
    <col min="13293" max="13293" width="18.42578125" style="2" customWidth="1"/>
    <col min="13294" max="13294" width="9.140625" style="2" customWidth="1"/>
    <col min="13295" max="13295" width="12" style="2" customWidth="1"/>
    <col min="13296" max="13296" width="14.85546875" style="2" customWidth="1"/>
    <col min="13297" max="13297" width="22.42578125" style="2" customWidth="1"/>
    <col min="13298" max="13298" width="14.85546875" style="2" customWidth="1"/>
    <col min="13299" max="13299" width="7.140625" style="2" customWidth="1"/>
    <col min="13300" max="13300" width="20.140625" style="2" customWidth="1"/>
    <col min="13301" max="13532" width="8.85546875" style="2" customWidth="1"/>
    <col min="13533" max="13533" width="8.140625" style="2" customWidth="1"/>
    <col min="13534" max="13534" width="14.5703125" style="2" customWidth="1"/>
    <col min="13535" max="13535" width="37.42578125" style="2" customWidth="1"/>
    <col min="13536" max="13536" width="63.140625" style="2" customWidth="1"/>
    <col min="13537" max="13537" width="20" style="2" customWidth="1"/>
    <col min="13538" max="13538" width="11.140625" style="2" customWidth="1"/>
    <col min="13539" max="13539" width="10.85546875" style="2" customWidth="1"/>
    <col min="13540" max="13540" width="21" style="2" customWidth="1"/>
    <col min="13541" max="13541" width="10.85546875" style="2" customWidth="1"/>
    <col min="13542" max="13542" width="17.42578125" style="2" customWidth="1"/>
    <col min="13543" max="13543" width="14.85546875" style="2" customWidth="1"/>
    <col min="13544" max="13544" width="15" style="2" customWidth="1"/>
    <col min="13545" max="13545" width="14.85546875" style="2" customWidth="1"/>
    <col min="13546" max="13546" width="7.140625" style="2" customWidth="1"/>
    <col min="13547" max="13548" width="20.140625" style="2" customWidth="1"/>
    <col min="13549" max="13549" width="18.42578125" style="2" customWidth="1"/>
    <col min="13550" max="13550" width="9.140625" style="2" customWidth="1"/>
    <col min="13551" max="13551" width="12" style="2" customWidth="1"/>
    <col min="13552" max="13552" width="14.85546875" style="2" customWidth="1"/>
    <col min="13553" max="13553" width="22.42578125" style="2" customWidth="1"/>
    <col min="13554" max="13554" width="14.85546875" style="2" customWidth="1"/>
    <col min="13555" max="13555" width="7.140625" style="2" customWidth="1"/>
    <col min="13556" max="13556" width="20.140625" style="2" customWidth="1"/>
    <col min="13557" max="13788" width="8.85546875" style="2" customWidth="1"/>
    <col min="13789" max="13789" width="8.140625" style="2" customWidth="1"/>
    <col min="13790" max="13790" width="14.5703125" style="2" customWidth="1"/>
    <col min="13791" max="13791" width="37.42578125" style="2" customWidth="1"/>
    <col min="13792" max="13792" width="63.140625" style="2" customWidth="1"/>
    <col min="13793" max="13793" width="20" style="2" customWidth="1"/>
    <col min="13794" max="13794" width="11.140625" style="2" customWidth="1"/>
    <col min="13795" max="13795" width="10.85546875" style="2" customWidth="1"/>
    <col min="13796" max="13796" width="21" style="2" customWidth="1"/>
    <col min="13797" max="13797" width="10.85546875" style="2" customWidth="1"/>
    <col min="13798" max="13798" width="17.42578125" style="2" customWidth="1"/>
    <col min="13799" max="13799" width="14.85546875" style="2" customWidth="1"/>
    <col min="13800" max="13800" width="15" style="2" customWidth="1"/>
    <col min="13801" max="13801" width="14.85546875" style="2" customWidth="1"/>
    <col min="13802" max="13802" width="7.140625" style="2" customWidth="1"/>
    <col min="13803" max="13804" width="20.140625" style="2" customWidth="1"/>
    <col min="13805" max="13805" width="18.42578125" style="2" customWidth="1"/>
    <col min="13806" max="13806" width="9.140625" style="2" customWidth="1"/>
    <col min="13807" max="13807" width="12" style="2" customWidth="1"/>
    <col min="13808" max="13808" width="14.85546875" style="2" customWidth="1"/>
    <col min="13809" max="13809" width="22.42578125" style="2" customWidth="1"/>
    <col min="13810" max="13810" width="14.85546875" style="2" customWidth="1"/>
    <col min="13811" max="13811" width="7.140625" style="2" customWidth="1"/>
    <col min="13812" max="13812" width="20.140625" style="2" customWidth="1"/>
    <col min="13813" max="14044" width="8.85546875" style="2" customWidth="1"/>
    <col min="14045" max="14045" width="8.140625" style="2" customWidth="1"/>
    <col min="14046" max="14046" width="14.5703125" style="2" customWidth="1"/>
    <col min="14047" max="14047" width="37.42578125" style="2" customWidth="1"/>
    <col min="14048" max="14048" width="63.140625" style="2" customWidth="1"/>
    <col min="14049" max="14049" width="20" style="2" customWidth="1"/>
    <col min="14050" max="14050" width="11.140625" style="2" customWidth="1"/>
    <col min="14051" max="14051" width="10.85546875" style="2" customWidth="1"/>
    <col min="14052" max="14052" width="21" style="2" customWidth="1"/>
    <col min="14053" max="14053" width="10.85546875" style="2" customWidth="1"/>
    <col min="14054" max="14054" width="17.42578125" style="2" customWidth="1"/>
    <col min="14055" max="14055" width="14.85546875" style="2" customWidth="1"/>
    <col min="14056" max="14056" width="15" style="2" customWidth="1"/>
    <col min="14057" max="14057" width="14.85546875" style="2" customWidth="1"/>
    <col min="14058" max="14058" width="7.140625" style="2" customWidth="1"/>
    <col min="14059" max="14060" width="20.140625" style="2" customWidth="1"/>
    <col min="14061" max="14061" width="18.42578125" style="2" customWidth="1"/>
    <col min="14062" max="14062" width="9.140625" style="2" customWidth="1"/>
    <col min="14063" max="14063" width="12" style="2" customWidth="1"/>
    <col min="14064" max="14064" width="14.85546875" style="2" customWidth="1"/>
    <col min="14065" max="14065" width="22.42578125" style="2" customWidth="1"/>
    <col min="14066" max="14066" width="14.85546875" style="2" customWidth="1"/>
    <col min="14067" max="14067" width="7.140625" style="2" customWidth="1"/>
    <col min="14068" max="14068" width="20.140625" style="2" customWidth="1"/>
    <col min="14069" max="14300" width="8.85546875" style="2" customWidth="1"/>
    <col min="14301" max="14301" width="8.140625" style="2" customWidth="1"/>
    <col min="14302" max="14302" width="14.5703125" style="2" customWidth="1"/>
    <col min="14303" max="14303" width="37.42578125" style="2" customWidth="1"/>
    <col min="14304" max="14304" width="63.140625" style="2" customWidth="1"/>
    <col min="14305" max="14305" width="20" style="2" customWidth="1"/>
    <col min="14306" max="14306" width="11.140625" style="2" customWidth="1"/>
    <col min="14307" max="14307" width="10.85546875" style="2" customWidth="1"/>
    <col min="14308" max="14308" width="21" style="2" customWidth="1"/>
    <col min="14309" max="14309" width="10.85546875" style="2" customWidth="1"/>
    <col min="14310" max="14310" width="17.42578125" style="2" customWidth="1"/>
    <col min="14311" max="14311" width="14.85546875" style="2" customWidth="1"/>
    <col min="14312" max="14312" width="15" style="2" customWidth="1"/>
    <col min="14313" max="14313" width="14.85546875" style="2" customWidth="1"/>
    <col min="14314" max="14314" width="7.140625" style="2" customWidth="1"/>
    <col min="14315" max="14316" width="20.140625" style="2" customWidth="1"/>
    <col min="14317" max="14317" width="18.42578125" style="2" customWidth="1"/>
    <col min="14318" max="14318" width="9.140625" style="2" customWidth="1"/>
    <col min="14319" max="14319" width="12" style="2" customWidth="1"/>
    <col min="14320" max="14320" width="14.85546875" style="2" customWidth="1"/>
    <col min="14321" max="14321" width="22.42578125" style="2" customWidth="1"/>
    <col min="14322" max="14322" width="14.85546875" style="2" customWidth="1"/>
    <col min="14323" max="14323" width="7.140625" style="2" customWidth="1"/>
    <col min="14324" max="14324" width="20.140625" style="2" customWidth="1"/>
    <col min="14325" max="14556" width="8.85546875" style="2" customWidth="1"/>
    <col min="14557" max="14557" width="8.140625" style="2" customWidth="1"/>
    <col min="14558" max="14558" width="14.5703125" style="2" customWidth="1"/>
    <col min="14559" max="14559" width="37.42578125" style="2" customWidth="1"/>
    <col min="14560" max="14560" width="63.140625" style="2" customWidth="1"/>
    <col min="14561" max="14561" width="20" style="2" customWidth="1"/>
    <col min="14562" max="14562" width="11.140625" style="2" customWidth="1"/>
    <col min="14563" max="14563" width="10.85546875" style="2" customWidth="1"/>
    <col min="14564" max="14564" width="21" style="2" customWidth="1"/>
    <col min="14565" max="14565" width="10.85546875" style="2" customWidth="1"/>
    <col min="14566" max="14566" width="17.42578125" style="2" customWidth="1"/>
    <col min="14567" max="14567" width="14.85546875" style="2" customWidth="1"/>
    <col min="14568" max="14568" width="15" style="2" customWidth="1"/>
    <col min="14569" max="14569" width="14.85546875" style="2" customWidth="1"/>
    <col min="14570" max="14570" width="7.140625" style="2" customWidth="1"/>
    <col min="14571" max="14572" width="20.140625" style="2" customWidth="1"/>
    <col min="14573" max="14573" width="18.42578125" style="2" customWidth="1"/>
    <col min="14574" max="14574" width="9.140625" style="2" customWidth="1"/>
    <col min="14575" max="14575" width="12" style="2" customWidth="1"/>
    <col min="14576" max="14576" width="14.85546875" style="2" customWidth="1"/>
    <col min="14577" max="14577" width="22.42578125" style="2" customWidth="1"/>
    <col min="14578" max="14578" width="14.85546875" style="2" customWidth="1"/>
    <col min="14579" max="14579" width="7.140625" style="2" customWidth="1"/>
    <col min="14580" max="14580" width="20.140625" style="2" customWidth="1"/>
    <col min="14581" max="14812" width="8.85546875" style="2" customWidth="1"/>
    <col min="14813" max="14813" width="8.140625" style="2" customWidth="1"/>
    <col min="14814" max="14814" width="14.5703125" style="2" customWidth="1"/>
    <col min="14815" max="14815" width="37.42578125" style="2" customWidth="1"/>
    <col min="14816" max="14816" width="63.140625" style="2" customWidth="1"/>
    <col min="14817" max="14817" width="20" style="2" customWidth="1"/>
    <col min="14818" max="14818" width="11.140625" style="2" customWidth="1"/>
    <col min="14819" max="14819" width="10.85546875" style="2" customWidth="1"/>
    <col min="14820" max="14820" width="21" style="2" customWidth="1"/>
    <col min="14821" max="14821" width="10.85546875" style="2" customWidth="1"/>
    <col min="14822" max="14822" width="17.42578125" style="2" customWidth="1"/>
    <col min="14823" max="14823" width="14.85546875" style="2" customWidth="1"/>
    <col min="14824" max="14824" width="15" style="2" customWidth="1"/>
    <col min="14825" max="14825" width="14.85546875" style="2" customWidth="1"/>
    <col min="14826" max="14826" width="7.140625" style="2" customWidth="1"/>
    <col min="14827" max="14828" width="20.140625" style="2" customWidth="1"/>
    <col min="14829" max="14829" width="18.42578125" style="2" customWidth="1"/>
    <col min="14830" max="14830" width="9.140625" style="2" customWidth="1"/>
    <col min="14831" max="14831" width="12" style="2" customWidth="1"/>
    <col min="14832" max="14832" width="14.85546875" style="2" customWidth="1"/>
    <col min="14833" max="14833" width="22.42578125" style="2" customWidth="1"/>
    <col min="14834" max="14834" width="14.85546875" style="2" customWidth="1"/>
    <col min="14835" max="14835" width="7.140625" style="2" customWidth="1"/>
    <col min="14836" max="14836" width="20.140625" style="2" customWidth="1"/>
    <col min="14837" max="15068" width="8.85546875" style="2" customWidth="1"/>
    <col min="15069" max="15069" width="8.140625" style="2" customWidth="1"/>
    <col min="15070" max="15070" width="14.5703125" style="2" customWidth="1"/>
    <col min="15071" max="15071" width="37.42578125" style="2" customWidth="1"/>
    <col min="15072" max="15072" width="63.140625" style="2" customWidth="1"/>
    <col min="15073" max="15073" width="20" style="2" customWidth="1"/>
    <col min="15074" max="15074" width="11.140625" style="2" customWidth="1"/>
    <col min="15075" max="15075" width="10.85546875" style="2" customWidth="1"/>
    <col min="15076" max="15076" width="21" style="2" customWidth="1"/>
    <col min="15077" max="15077" width="10.85546875" style="2" customWidth="1"/>
    <col min="15078" max="15078" width="17.42578125" style="2" customWidth="1"/>
    <col min="15079" max="15079" width="14.85546875" style="2" customWidth="1"/>
    <col min="15080" max="15080" width="15" style="2" customWidth="1"/>
    <col min="15081" max="15081" width="14.85546875" style="2" customWidth="1"/>
    <col min="15082" max="15082" width="7.140625" style="2" customWidth="1"/>
    <col min="15083" max="15084" width="20.140625" style="2" customWidth="1"/>
    <col min="15085" max="15085" width="18.42578125" style="2" customWidth="1"/>
    <col min="15086" max="15086" width="9.140625" style="2" customWidth="1"/>
    <col min="15087" max="15087" width="12" style="2" customWidth="1"/>
    <col min="15088" max="15088" width="14.85546875" style="2" customWidth="1"/>
    <col min="15089" max="15089" width="22.42578125" style="2" customWidth="1"/>
    <col min="15090" max="15090" width="14.85546875" style="2" customWidth="1"/>
    <col min="15091" max="15091" width="7.140625" style="2" customWidth="1"/>
    <col min="15092" max="15092" width="20.140625" style="2" customWidth="1"/>
    <col min="15093" max="15324" width="8.85546875" style="2" customWidth="1"/>
    <col min="15325" max="15325" width="8.140625" style="2" customWidth="1"/>
    <col min="15326" max="15326" width="14.5703125" style="2" customWidth="1"/>
    <col min="15327" max="15327" width="37.42578125" style="2" customWidth="1"/>
    <col min="15328" max="15328" width="63.140625" style="2" customWidth="1"/>
    <col min="15329" max="15329" width="20" style="2" customWidth="1"/>
    <col min="15330" max="15330" width="11.140625" style="2" customWidth="1"/>
    <col min="15331" max="15331" width="10.85546875" style="2" customWidth="1"/>
    <col min="15332" max="15332" width="21" style="2" customWidth="1"/>
    <col min="15333" max="15333" width="10.85546875" style="2" customWidth="1"/>
    <col min="15334" max="15334" width="17.42578125" style="2" customWidth="1"/>
    <col min="15335" max="15335" width="14.85546875" style="2" customWidth="1"/>
    <col min="15336" max="15336" width="15" style="2" customWidth="1"/>
    <col min="15337" max="15337" width="14.85546875" style="2" customWidth="1"/>
    <col min="15338" max="15338" width="7.140625" style="2" customWidth="1"/>
    <col min="15339" max="15340" width="20.140625" style="2" customWidth="1"/>
    <col min="15341" max="15341" width="18.42578125" style="2" customWidth="1"/>
    <col min="15342" max="15342" width="9.140625" style="2" customWidth="1"/>
    <col min="15343" max="15343" width="12" style="2" customWidth="1"/>
    <col min="15344" max="15344" width="14.85546875" style="2" customWidth="1"/>
    <col min="15345" max="15345" width="22.42578125" style="2" customWidth="1"/>
    <col min="15346" max="15346" width="14.85546875" style="2" customWidth="1"/>
    <col min="15347" max="15347" width="7.140625" style="2" customWidth="1"/>
    <col min="15348" max="15348" width="20.140625" style="2" customWidth="1"/>
    <col min="15349" max="15580" width="8.85546875" style="2" customWidth="1"/>
    <col min="15581" max="15581" width="8.140625" style="2" customWidth="1"/>
    <col min="15582" max="15582" width="14.5703125" style="2" customWidth="1"/>
    <col min="15583" max="15583" width="37.42578125" style="2" customWidth="1"/>
    <col min="15584" max="15584" width="63.140625" style="2" customWidth="1"/>
    <col min="15585" max="15585" width="20" style="2" customWidth="1"/>
    <col min="15586" max="15586" width="11.140625" style="2" customWidth="1"/>
    <col min="15587" max="15587" width="10.85546875" style="2" customWidth="1"/>
    <col min="15588" max="15588" width="21" style="2" customWidth="1"/>
    <col min="15589" max="15589" width="10.85546875" style="2" customWidth="1"/>
    <col min="15590" max="15590" width="17.42578125" style="2" customWidth="1"/>
    <col min="15591" max="15591" width="14.85546875" style="2" customWidth="1"/>
    <col min="15592" max="15592" width="15" style="2" customWidth="1"/>
    <col min="15593" max="15593" width="14.85546875" style="2" customWidth="1"/>
    <col min="15594" max="15594" width="7.140625" style="2" customWidth="1"/>
    <col min="15595" max="15596" width="20.140625" style="2" customWidth="1"/>
    <col min="15597" max="15597" width="18.42578125" style="2" customWidth="1"/>
    <col min="15598" max="15598" width="9.140625" style="2" customWidth="1"/>
    <col min="15599" max="15599" width="12" style="2" customWidth="1"/>
    <col min="15600" max="15600" width="14.85546875" style="2" customWidth="1"/>
    <col min="15601" max="15601" width="22.42578125" style="2" customWidth="1"/>
    <col min="15602" max="15602" width="14.85546875" style="2" customWidth="1"/>
    <col min="15603" max="15603" width="7.140625" style="2" customWidth="1"/>
    <col min="15604" max="15604" width="20.140625" style="2" customWidth="1"/>
    <col min="15605" max="15836" width="8.85546875" style="2" customWidth="1"/>
    <col min="15837" max="15837" width="8.140625" style="2" customWidth="1"/>
    <col min="15838" max="15838" width="14.5703125" style="2" customWidth="1"/>
    <col min="15839" max="15839" width="37.42578125" style="2" customWidth="1"/>
    <col min="15840" max="15840" width="63.140625" style="2" customWidth="1"/>
    <col min="15841" max="15841" width="20" style="2" customWidth="1"/>
    <col min="15842" max="15842" width="11.140625" style="2" customWidth="1"/>
    <col min="15843" max="15843" width="10.85546875" style="2" customWidth="1"/>
    <col min="15844" max="15844" width="21" style="2" customWidth="1"/>
    <col min="15845" max="15845" width="10.85546875" style="2" customWidth="1"/>
    <col min="15846" max="15846" width="17.42578125" style="2" customWidth="1"/>
    <col min="15847" max="15847" width="14.85546875" style="2" customWidth="1"/>
    <col min="15848" max="15848" width="15" style="2" customWidth="1"/>
    <col min="15849" max="15849" width="14.85546875" style="2" customWidth="1"/>
    <col min="15850" max="15850" width="7.140625" style="2" customWidth="1"/>
    <col min="15851" max="15852" width="20.140625" style="2" customWidth="1"/>
    <col min="15853" max="15853" width="18.42578125" style="2" customWidth="1"/>
    <col min="15854" max="15854" width="9.140625" style="2" customWidth="1"/>
    <col min="15855" max="15855" width="12" style="2" customWidth="1"/>
    <col min="15856" max="15856" width="14.85546875" style="2" customWidth="1"/>
    <col min="15857" max="15857" width="22.42578125" style="2" customWidth="1"/>
    <col min="15858" max="15858" width="14.85546875" style="2" customWidth="1"/>
    <col min="15859" max="15859" width="7.140625" style="2" customWidth="1"/>
    <col min="15860" max="15860" width="20.140625" style="2" customWidth="1"/>
    <col min="15861" max="16092" width="8.85546875" style="2" customWidth="1"/>
    <col min="16093" max="16093" width="8.140625" style="2" customWidth="1"/>
    <col min="16094" max="16094" width="14.5703125" style="2" customWidth="1"/>
    <col min="16095" max="16095" width="37.42578125" style="2" customWidth="1"/>
    <col min="16096" max="16096" width="63.140625" style="2" customWidth="1"/>
    <col min="16097" max="16097" width="20" style="2" customWidth="1"/>
    <col min="16098" max="16098" width="11.140625" style="2" customWidth="1"/>
    <col min="16099" max="16099" width="10.85546875" style="2" customWidth="1"/>
    <col min="16100" max="16100" width="21" style="2" customWidth="1"/>
    <col min="16101" max="16101" width="10.85546875" style="2" customWidth="1"/>
    <col min="16102" max="16102" width="17.42578125" style="2" customWidth="1"/>
    <col min="16103" max="16103" width="14.85546875" style="2" customWidth="1"/>
    <col min="16104" max="16104" width="15" style="2" customWidth="1"/>
    <col min="16105" max="16105" width="14.85546875" style="2" customWidth="1"/>
    <col min="16106" max="16106" width="7.140625" style="2" customWidth="1"/>
    <col min="16107" max="16108" width="20.140625" style="2" customWidth="1"/>
    <col min="16109" max="16109" width="18.42578125" style="2" customWidth="1"/>
    <col min="16110" max="16110" width="9.140625" style="2" customWidth="1"/>
    <col min="16111" max="16111" width="12" style="2" customWidth="1"/>
    <col min="16112" max="16112" width="14.85546875" style="2" customWidth="1"/>
    <col min="16113" max="16113" width="22.42578125" style="2" customWidth="1"/>
    <col min="16114" max="16114" width="14.85546875" style="2" customWidth="1"/>
    <col min="16115" max="16115" width="7.140625" style="2" customWidth="1"/>
    <col min="16116" max="16116" width="20.140625" style="2" customWidth="1"/>
    <col min="16117" max="16384" width="8.85546875" style="2" customWidth="1"/>
  </cols>
  <sheetData>
    <row r="1" spans="1:21" ht="14.1" customHeight="1">
      <c r="A1" s="1" t="s">
        <v>3690</v>
      </c>
      <c r="B1" s="2"/>
      <c r="C1" s="2"/>
      <c r="D1" s="2"/>
      <c r="F1" s="2"/>
      <c r="H1" s="2"/>
      <c r="J1" s="2"/>
      <c r="K1" s="2"/>
      <c r="L1" s="2"/>
      <c r="M1" s="2"/>
      <c r="N1" s="2"/>
      <c r="O1" s="2"/>
      <c r="P1" s="2"/>
      <c r="R1" s="10"/>
    </row>
    <row r="2" spans="1:21" s="4" customFormat="1" ht="14.1" customHeight="1">
      <c r="A2" s="4" t="s">
        <v>3691</v>
      </c>
      <c r="E2" s="69"/>
      <c r="R2" s="336"/>
    </row>
    <row r="3" spans="1:21" s="6" customFormat="1" ht="14.1" customHeight="1">
      <c r="A3" s="3"/>
      <c r="B3" s="16"/>
      <c r="C3" s="16"/>
      <c r="D3" s="23"/>
      <c r="E3" s="16"/>
      <c r="F3" s="23"/>
      <c r="G3" s="15"/>
      <c r="H3" s="25"/>
      <c r="I3" s="15"/>
      <c r="J3" s="25"/>
      <c r="K3" s="25"/>
      <c r="L3" s="25"/>
      <c r="M3" s="25"/>
      <c r="N3" s="25"/>
      <c r="O3" s="25"/>
      <c r="P3" s="25"/>
      <c r="Q3" s="2"/>
      <c r="R3" s="355" t="s">
        <v>2</v>
      </c>
      <c r="S3" s="2"/>
      <c r="T3" s="2"/>
      <c r="U3" s="2"/>
    </row>
    <row r="4" spans="1:21" s="5" customFormat="1" ht="33" customHeight="1">
      <c r="A4" s="21" t="s">
        <v>3</v>
      </c>
      <c r="B4" s="52" t="s">
        <v>4</v>
      </c>
      <c r="C4" s="52" t="s">
        <v>5</v>
      </c>
      <c r="D4" s="21" t="s">
        <v>6</v>
      </c>
      <c r="E4" s="21" t="s">
        <v>7</v>
      </c>
      <c r="F4" s="21" t="s">
        <v>8</v>
      </c>
      <c r="G4" s="21" t="s">
        <v>9</v>
      </c>
      <c r="H4" s="21" t="s">
        <v>10</v>
      </c>
      <c r="I4" s="21" t="s">
        <v>11</v>
      </c>
      <c r="J4" s="21" t="s">
        <v>12</v>
      </c>
      <c r="K4" s="21" t="s">
        <v>13</v>
      </c>
      <c r="L4" s="21" t="s">
        <v>14</v>
      </c>
      <c r="M4" s="21" t="s">
        <v>15</v>
      </c>
      <c r="N4" s="21" t="s">
        <v>16</v>
      </c>
      <c r="O4" s="21" t="s">
        <v>17</v>
      </c>
      <c r="P4" s="21" t="s">
        <v>18</v>
      </c>
      <c r="Q4" s="3"/>
      <c r="R4" s="41" t="s">
        <v>19</v>
      </c>
      <c r="S4" s="20"/>
      <c r="T4" s="42" t="s">
        <v>20</v>
      </c>
      <c r="U4" s="42" t="s">
        <v>21</v>
      </c>
    </row>
    <row r="5" spans="1:21" ht="14.1" customHeight="1">
      <c r="A5" s="7">
        <v>1</v>
      </c>
      <c r="B5" s="14" t="s">
        <v>1481</v>
      </c>
      <c r="C5" s="14" t="s">
        <v>3692</v>
      </c>
      <c r="D5" s="7" t="s">
        <v>24</v>
      </c>
      <c r="E5" s="14" t="s">
        <v>25</v>
      </c>
      <c r="F5" s="7" t="s">
        <v>1482</v>
      </c>
      <c r="G5" s="8" t="s">
        <v>3693</v>
      </c>
      <c r="H5" s="7" t="s">
        <v>459</v>
      </c>
      <c r="I5" s="8" t="s">
        <v>25</v>
      </c>
      <c r="J5" s="7" t="s">
        <v>123</v>
      </c>
      <c r="K5" s="7" t="s">
        <v>461</v>
      </c>
      <c r="L5" s="7" t="s">
        <v>3694</v>
      </c>
      <c r="M5" s="7">
        <v>83014000</v>
      </c>
      <c r="N5" s="7">
        <v>1</v>
      </c>
      <c r="O5" s="7">
        <v>1</v>
      </c>
      <c r="P5" s="7"/>
      <c r="R5" s="9">
        <v>398.49124561938152</v>
      </c>
      <c r="S5" s="22"/>
      <c r="T5" s="7" t="s">
        <v>34</v>
      </c>
      <c r="U5" s="8"/>
    </row>
    <row r="6" spans="1:21" ht="14.1" customHeight="1">
      <c r="A6" s="7">
        <v>2</v>
      </c>
      <c r="B6" s="14" t="s">
        <v>1481</v>
      </c>
      <c r="C6" s="14" t="s">
        <v>3692</v>
      </c>
      <c r="D6" s="7" t="s">
        <v>24</v>
      </c>
      <c r="E6" s="14" t="s">
        <v>25</v>
      </c>
      <c r="F6" s="7" t="s">
        <v>1482</v>
      </c>
      <c r="G6" s="8" t="s">
        <v>3695</v>
      </c>
      <c r="H6" s="7" t="s">
        <v>459</v>
      </c>
      <c r="I6" s="8" t="s">
        <v>25</v>
      </c>
      <c r="J6" s="7" t="s">
        <v>123</v>
      </c>
      <c r="K6" s="7" t="s">
        <v>461</v>
      </c>
      <c r="L6" s="7" t="s">
        <v>3694</v>
      </c>
      <c r="M6" s="7">
        <v>83014000</v>
      </c>
      <c r="N6" s="7">
        <v>1</v>
      </c>
      <c r="O6" s="7">
        <v>1</v>
      </c>
      <c r="P6" s="7"/>
      <c r="R6" s="9">
        <v>344.17023588951048</v>
      </c>
      <c r="T6" s="7" t="s">
        <v>34</v>
      </c>
      <c r="U6" s="8"/>
    </row>
    <row r="7" spans="1:21" ht="14.1" customHeight="1">
      <c r="A7" s="7">
        <v>3</v>
      </c>
      <c r="B7" s="14" t="s">
        <v>1481</v>
      </c>
      <c r="C7" s="14" t="s">
        <v>3692</v>
      </c>
      <c r="D7" s="7" t="s">
        <v>24</v>
      </c>
      <c r="E7" s="14" t="s">
        <v>25</v>
      </c>
      <c r="F7" s="7" t="s">
        <v>1482</v>
      </c>
      <c r="G7" s="8" t="s">
        <v>3696</v>
      </c>
      <c r="H7" s="7" t="s">
        <v>459</v>
      </c>
      <c r="I7" s="8" t="s">
        <v>25</v>
      </c>
      <c r="J7" s="7" t="s">
        <v>123</v>
      </c>
      <c r="K7" s="7" t="s">
        <v>461</v>
      </c>
      <c r="L7" s="7" t="s">
        <v>3694</v>
      </c>
      <c r="M7" s="7">
        <v>83014000</v>
      </c>
      <c r="N7" s="7">
        <v>1</v>
      </c>
      <c r="O7" s="7">
        <v>1</v>
      </c>
      <c r="P7" s="7"/>
      <c r="R7" s="9">
        <v>373.93705182734391</v>
      </c>
      <c r="T7" s="7" t="s">
        <v>34</v>
      </c>
      <c r="U7" s="8"/>
    </row>
    <row r="8" spans="1:21" ht="14.1" customHeight="1">
      <c r="A8" s="7">
        <v>4</v>
      </c>
      <c r="B8" s="14" t="s">
        <v>1481</v>
      </c>
      <c r="C8" s="14" t="s">
        <v>3692</v>
      </c>
      <c r="D8" s="7" t="s">
        <v>24</v>
      </c>
      <c r="E8" s="14" t="s">
        <v>25</v>
      </c>
      <c r="F8" s="7" t="s">
        <v>1482</v>
      </c>
      <c r="G8" s="8" t="s">
        <v>3697</v>
      </c>
      <c r="H8" s="7" t="s">
        <v>459</v>
      </c>
      <c r="I8" s="8" t="s">
        <v>25</v>
      </c>
      <c r="J8" s="7" t="s">
        <v>123</v>
      </c>
      <c r="K8" s="7" t="s">
        <v>461</v>
      </c>
      <c r="L8" s="7" t="s">
        <v>3694</v>
      </c>
      <c r="M8" s="7">
        <v>83014000</v>
      </c>
      <c r="N8" s="7">
        <v>1</v>
      </c>
      <c r="O8" s="7">
        <v>1</v>
      </c>
      <c r="P8" s="7"/>
      <c r="R8" s="9">
        <v>648.28558581659104</v>
      </c>
      <c r="T8" s="7" t="s">
        <v>34</v>
      </c>
      <c r="U8" s="8"/>
    </row>
    <row r="9" spans="1:21" ht="14.1" customHeight="1">
      <c r="A9" s="7">
        <v>5</v>
      </c>
      <c r="B9" s="14" t="s">
        <v>1481</v>
      </c>
      <c r="C9" s="14" t="s">
        <v>3692</v>
      </c>
      <c r="D9" s="7" t="s">
        <v>24</v>
      </c>
      <c r="E9" s="14" t="s">
        <v>25</v>
      </c>
      <c r="F9" s="7" t="s">
        <v>1482</v>
      </c>
      <c r="G9" s="8" t="s">
        <v>3698</v>
      </c>
      <c r="H9" s="7" t="s">
        <v>459</v>
      </c>
      <c r="I9" s="8" t="s">
        <v>25</v>
      </c>
      <c r="J9" s="7" t="s">
        <v>123</v>
      </c>
      <c r="K9" s="7" t="s">
        <v>461</v>
      </c>
      <c r="L9" s="7" t="s">
        <v>3694</v>
      </c>
      <c r="M9" s="7">
        <v>83014000</v>
      </c>
      <c r="N9" s="7">
        <v>1</v>
      </c>
      <c r="O9" s="7">
        <v>1</v>
      </c>
      <c r="P9" s="7"/>
      <c r="R9" s="9">
        <v>761.59153035415011</v>
      </c>
      <c r="T9" s="7" t="s">
        <v>34</v>
      </c>
      <c r="U9" s="8"/>
    </row>
    <row r="10" spans="1:21" ht="14.1" customHeight="1">
      <c r="A10" s="7">
        <v>6</v>
      </c>
      <c r="B10" s="14" t="s">
        <v>1481</v>
      </c>
      <c r="C10" s="14" t="s">
        <v>3692</v>
      </c>
      <c r="D10" s="7" t="s">
        <v>24</v>
      </c>
      <c r="E10" s="14" t="s">
        <v>25</v>
      </c>
      <c r="F10" s="7" t="s">
        <v>1482</v>
      </c>
      <c r="G10" s="8" t="s">
        <v>3699</v>
      </c>
      <c r="H10" s="7" t="s">
        <v>459</v>
      </c>
      <c r="I10" s="8" t="s">
        <v>25</v>
      </c>
      <c r="J10" s="7" t="s">
        <v>123</v>
      </c>
      <c r="K10" s="7" t="s">
        <v>461</v>
      </c>
      <c r="L10" s="7" t="s">
        <v>3694</v>
      </c>
      <c r="M10" s="7">
        <v>83014000</v>
      </c>
      <c r="N10" s="7">
        <v>1</v>
      </c>
      <c r="O10" s="7">
        <v>1</v>
      </c>
      <c r="P10" s="7"/>
      <c r="R10" s="9">
        <v>1010.425650682397</v>
      </c>
      <c r="T10" s="7" t="s">
        <v>34</v>
      </c>
      <c r="U10" s="8"/>
    </row>
    <row r="11" spans="1:21" ht="14.1" customHeight="1">
      <c r="A11" s="7">
        <v>7</v>
      </c>
      <c r="B11" s="14" t="s">
        <v>1481</v>
      </c>
      <c r="C11" s="14" t="s">
        <v>3692</v>
      </c>
      <c r="D11" s="7" t="s">
        <v>24</v>
      </c>
      <c r="E11" s="14" t="s">
        <v>25</v>
      </c>
      <c r="F11" s="7" t="s">
        <v>1482</v>
      </c>
      <c r="G11" s="8" t="s">
        <v>3700</v>
      </c>
      <c r="H11" s="7" t="s">
        <v>459</v>
      </c>
      <c r="I11" s="8" t="s">
        <v>25</v>
      </c>
      <c r="J11" s="7" t="s">
        <v>123</v>
      </c>
      <c r="K11" s="7" t="s">
        <v>461</v>
      </c>
      <c r="L11" s="7" t="s">
        <v>364</v>
      </c>
      <c r="M11" s="7">
        <v>83014000</v>
      </c>
      <c r="N11" s="7">
        <v>1</v>
      </c>
      <c r="O11" s="7">
        <v>1</v>
      </c>
      <c r="P11" s="7"/>
      <c r="R11" s="9">
        <v>2705.213719400972</v>
      </c>
      <c r="T11" s="7" t="s">
        <v>34</v>
      </c>
      <c r="U11" s="8"/>
    </row>
    <row r="12" spans="1:21" ht="14.1" customHeight="1">
      <c r="A12" s="7">
        <v>8</v>
      </c>
      <c r="B12" s="14" t="s">
        <v>1481</v>
      </c>
      <c r="C12" s="14" t="s">
        <v>3692</v>
      </c>
      <c r="D12" s="7" t="s">
        <v>24</v>
      </c>
      <c r="E12" s="14" t="s">
        <v>25</v>
      </c>
      <c r="F12" s="7" t="s">
        <v>1482</v>
      </c>
      <c r="G12" s="8" t="s">
        <v>3701</v>
      </c>
      <c r="H12" s="7" t="s">
        <v>459</v>
      </c>
      <c r="I12" s="8" t="s">
        <v>3702</v>
      </c>
      <c r="J12" s="7" t="s">
        <v>123</v>
      </c>
      <c r="K12" s="7" t="s">
        <v>461</v>
      </c>
      <c r="L12" s="7" t="s">
        <v>364</v>
      </c>
      <c r="M12" s="7">
        <v>83014000</v>
      </c>
      <c r="N12" s="7">
        <v>1</v>
      </c>
      <c r="O12" s="7">
        <v>1</v>
      </c>
      <c r="P12" s="7"/>
      <c r="R12" s="9">
        <v>2942.6623755686651</v>
      </c>
      <c r="T12" s="7" t="s">
        <v>34</v>
      </c>
      <c r="U12" s="8"/>
    </row>
    <row r="13" spans="1:21" ht="14.1" customHeight="1">
      <c r="A13" s="7">
        <v>9</v>
      </c>
      <c r="B13" s="14" t="s">
        <v>609</v>
      </c>
      <c r="C13" s="14" t="s">
        <v>3692</v>
      </c>
      <c r="D13" s="7" t="s">
        <v>39</v>
      </c>
      <c r="E13" s="136" t="s">
        <v>3703</v>
      </c>
      <c r="F13" s="7" t="s">
        <v>26</v>
      </c>
      <c r="G13" s="8" t="s">
        <v>3704</v>
      </c>
      <c r="H13" s="7" t="s">
        <v>3705</v>
      </c>
      <c r="I13" s="8" t="s">
        <v>40</v>
      </c>
      <c r="J13" s="7" t="s">
        <v>123</v>
      </c>
      <c r="K13" s="7" t="s">
        <v>31</v>
      </c>
      <c r="L13" s="7" t="s">
        <v>364</v>
      </c>
      <c r="M13" s="7">
        <v>83014000</v>
      </c>
      <c r="N13" s="7">
        <v>1</v>
      </c>
      <c r="O13" s="7">
        <v>1</v>
      </c>
      <c r="P13" s="7"/>
      <c r="R13" s="9">
        <v>2991.7707631527401</v>
      </c>
      <c r="T13" s="7" t="s">
        <v>34</v>
      </c>
      <c r="U13" s="7" t="s">
        <v>34</v>
      </c>
    </row>
    <row r="14" spans="1:21" ht="14.1" customHeight="1">
      <c r="A14" s="7">
        <v>10</v>
      </c>
      <c r="B14" s="14" t="s">
        <v>609</v>
      </c>
      <c r="C14" s="14" t="s">
        <v>3692</v>
      </c>
      <c r="D14" s="7" t="s">
        <v>39</v>
      </c>
      <c r="E14" s="136" t="s">
        <v>3706</v>
      </c>
      <c r="F14" s="7" t="s">
        <v>26</v>
      </c>
      <c r="G14" s="14" t="s">
        <v>3707</v>
      </c>
      <c r="H14" s="7" t="s">
        <v>121</v>
      </c>
      <c r="I14" s="8" t="s">
        <v>3708</v>
      </c>
      <c r="J14" s="7" t="s">
        <v>123</v>
      </c>
      <c r="K14" s="7" t="s">
        <v>31</v>
      </c>
      <c r="L14" s="7" t="s">
        <v>364</v>
      </c>
      <c r="M14" s="7">
        <v>83014000</v>
      </c>
      <c r="N14" s="7">
        <v>1</v>
      </c>
      <c r="O14" s="7">
        <v>1</v>
      </c>
      <c r="P14" s="8"/>
      <c r="Q14" s="140"/>
      <c r="R14" s="9">
        <v>805.07577299144566</v>
      </c>
      <c r="S14" s="167"/>
      <c r="T14" s="7" t="s">
        <v>34</v>
      </c>
      <c r="U14" s="8"/>
    </row>
    <row r="15" spans="1:21" ht="14.1" customHeight="1">
      <c r="A15" s="7">
        <v>11</v>
      </c>
      <c r="B15" s="14" t="s">
        <v>1481</v>
      </c>
      <c r="C15" s="14" t="s">
        <v>3692</v>
      </c>
      <c r="D15" s="7" t="s">
        <v>35</v>
      </c>
      <c r="E15" s="136" t="s">
        <v>3709</v>
      </c>
      <c r="F15" s="7" t="s">
        <v>1482</v>
      </c>
      <c r="G15" s="14" t="s">
        <v>3710</v>
      </c>
      <c r="H15" s="7" t="s">
        <v>3711</v>
      </c>
      <c r="I15" s="8" t="s">
        <v>3712</v>
      </c>
      <c r="J15" s="7" t="s">
        <v>123</v>
      </c>
      <c r="K15" s="7" t="s">
        <v>461</v>
      </c>
      <c r="L15" s="7" t="s">
        <v>364</v>
      </c>
      <c r="M15" s="7">
        <v>83014000</v>
      </c>
      <c r="N15" s="7">
        <v>1</v>
      </c>
      <c r="O15" s="7">
        <v>10</v>
      </c>
      <c r="P15" s="8"/>
      <c r="Q15" s="140"/>
      <c r="R15" s="9">
        <v>4686.1473090703303</v>
      </c>
      <c r="S15" s="167"/>
      <c r="T15" s="7" t="s">
        <v>34</v>
      </c>
      <c r="U15" s="8"/>
    </row>
    <row r="16" spans="1:21" ht="14.1" customHeight="1">
      <c r="A16" s="7">
        <v>12</v>
      </c>
      <c r="B16" s="14" t="s">
        <v>1481</v>
      </c>
      <c r="C16" s="14" t="s">
        <v>3692</v>
      </c>
      <c r="D16" s="7" t="s">
        <v>35</v>
      </c>
      <c r="E16" s="136" t="s">
        <v>3709</v>
      </c>
      <c r="F16" s="7" t="s">
        <v>1482</v>
      </c>
      <c r="G16" s="14" t="s">
        <v>3713</v>
      </c>
      <c r="H16" s="7" t="s">
        <v>3711</v>
      </c>
      <c r="I16" s="8" t="s">
        <v>3714</v>
      </c>
      <c r="J16" s="7" t="s">
        <v>123</v>
      </c>
      <c r="K16" s="7" t="s">
        <v>461</v>
      </c>
      <c r="L16" s="7" t="s">
        <v>364</v>
      </c>
      <c r="M16" s="7">
        <v>83014000</v>
      </c>
      <c r="N16" s="7">
        <v>1</v>
      </c>
      <c r="O16" s="7">
        <v>10</v>
      </c>
      <c r="P16" s="7"/>
      <c r="R16" s="9">
        <v>4255.5572849742084</v>
      </c>
      <c r="T16" s="7" t="s">
        <v>34</v>
      </c>
      <c r="U16" s="8"/>
    </row>
    <row r="17" spans="1:21" ht="14.1" customHeight="1">
      <c r="A17" s="7">
        <v>13</v>
      </c>
      <c r="B17" s="14" t="s">
        <v>3715</v>
      </c>
      <c r="C17" s="14" t="s">
        <v>3692</v>
      </c>
      <c r="D17" s="7" t="s">
        <v>35</v>
      </c>
      <c r="E17" s="136" t="s">
        <v>36</v>
      </c>
      <c r="F17" s="7" t="s">
        <v>3716</v>
      </c>
      <c r="G17" s="8" t="s">
        <v>3717</v>
      </c>
      <c r="H17" s="7" t="s">
        <v>518</v>
      </c>
      <c r="I17" s="8" t="s">
        <v>3718</v>
      </c>
      <c r="J17" s="7" t="s">
        <v>123</v>
      </c>
      <c r="K17" s="7" t="s">
        <v>520</v>
      </c>
      <c r="L17" s="7" t="s">
        <v>364</v>
      </c>
      <c r="M17" s="7">
        <v>83014020</v>
      </c>
      <c r="N17" s="7">
        <v>1</v>
      </c>
      <c r="O17" s="7">
        <v>1</v>
      </c>
      <c r="P17" s="7"/>
      <c r="R17" s="9">
        <v>2017.2847704229339</v>
      </c>
      <c r="T17" s="7" t="s">
        <v>34</v>
      </c>
      <c r="U17" s="8"/>
    </row>
    <row r="18" spans="1:21" ht="14.1" customHeight="1">
      <c r="A18" s="7">
        <v>14</v>
      </c>
      <c r="B18" s="14" t="s">
        <v>1481</v>
      </c>
      <c r="C18" s="14" t="s">
        <v>3692</v>
      </c>
      <c r="D18" s="7" t="s">
        <v>118</v>
      </c>
      <c r="E18" s="136" t="s">
        <v>119</v>
      </c>
      <c r="F18" s="7" t="s">
        <v>1482</v>
      </c>
      <c r="G18" s="8" t="s">
        <v>3719</v>
      </c>
      <c r="H18" s="7" t="s">
        <v>518</v>
      </c>
      <c r="I18" s="8" t="s">
        <v>3720</v>
      </c>
      <c r="J18" s="7" t="s">
        <v>123</v>
      </c>
      <c r="K18" s="7" t="s">
        <v>520</v>
      </c>
      <c r="L18" s="7" t="s">
        <v>3694</v>
      </c>
      <c r="M18" s="7">
        <v>83014000</v>
      </c>
      <c r="N18" s="7">
        <v>1</v>
      </c>
      <c r="O18" s="7">
        <v>5</v>
      </c>
      <c r="P18" s="7"/>
      <c r="R18" s="9">
        <v>697.66832193465552</v>
      </c>
      <c r="T18" s="7" t="s">
        <v>34</v>
      </c>
      <c r="U18" s="8"/>
    </row>
    <row r="19" spans="1:21" ht="14.1" customHeight="1">
      <c r="A19" s="7">
        <v>15</v>
      </c>
      <c r="B19" s="14" t="s">
        <v>3715</v>
      </c>
      <c r="C19" s="14" t="s">
        <v>3692</v>
      </c>
      <c r="D19" s="7" t="s">
        <v>118</v>
      </c>
      <c r="E19" s="136" t="s">
        <v>119</v>
      </c>
      <c r="F19" s="7" t="s">
        <v>3716</v>
      </c>
      <c r="G19" s="8" t="s">
        <v>1439</v>
      </c>
      <c r="H19" s="7" t="s">
        <v>1304</v>
      </c>
      <c r="I19" s="8" t="s">
        <v>3721</v>
      </c>
      <c r="J19" s="7" t="s">
        <v>123</v>
      </c>
      <c r="K19" s="7"/>
      <c r="L19" s="7" t="s">
        <v>3694</v>
      </c>
      <c r="M19" s="7">
        <v>83014000</v>
      </c>
      <c r="N19" s="7">
        <v>1</v>
      </c>
      <c r="O19" s="7">
        <v>1</v>
      </c>
      <c r="P19" s="7"/>
      <c r="R19" s="9">
        <v>281.89311867395139</v>
      </c>
      <c r="T19" s="7" t="s">
        <v>34</v>
      </c>
      <c r="U19" s="8"/>
    </row>
    <row r="20" spans="1:21" ht="14.1" customHeight="1">
      <c r="A20" s="7">
        <v>16</v>
      </c>
      <c r="B20" s="14" t="s">
        <v>1481</v>
      </c>
      <c r="C20" s="14" t="s">
        <v>3692</v>
      </c>
      <c r="D20" s="7" t="s">
        <v>118</v>
      </c>
      <c r="E20" s="136" t="s">
        <v>119</v>
      </c>
      <c r="F20" s="7" t="s">
        <v>1482</v>
      </c>
      <c r="G20" s="8" t="s">
        <v>3722</v>
      </c>
      <c r="H20" s="7" t="s">
        <v>518</v>
      </c>
      <c r="I20" s="8" t="s">
        <v>3720</v>
      </c>
      <c r="J20" s="7" t="s">
        <v>123</v>
      </c>
      <c r="K20" s="7" t="s">
        <v>520</v>
      </c>
      <c r="L20" s="7" t="s">
        <v>3694</v>
      </c>
      <c r="M20" s="7">
        <v>83014000</v>
      </c>
      <c r="N20" s="7">
        <v>1</v>
      </c>
      <c r="O20" s="7">
        <v>5</v>
      </c>
      <c r="P20" s="7"/>
      <c r="R20" s="9">
        <v>1240.8784192333651</v>
      </c>
      <c r="T20" s="7" t="s">
        <v>34</v>
      </c>
      <c r="U20" s="8"/>
    </row>
    <row r="21" spans="1:21" ht="14.1" customHeight="1">
      <c r="A21" s="7">
        <v>17</v>
      </c>
      <c r="B21" s="14" t="s">
        <v>3715</v>
      </c>
      <c r="C21" s="14" t="s">
        <v>3692</v>
      </c>
      <c r="D21" s="7" t="s">
        <v>118</v>
      </c>
      <c r="E21" s="136" t="s">
        <v>119</v>
      </c>
      <c r="F21" s="7" t="s">
        <v>3716</v>
      </c>
      <c r="G21" s="8" t="s">
        <v>1435</v>
      </c>
      <c r="H21" s="7" t="s">
        <v>1304</v>
      </c>
      <c r="I21" s="8" t="s">
        <v>3723</v>
      </c>
      <c r="J21" s="7" t="s">
        <v>123</v>
      </c>
      <c r="K21" s="7"/>
      <c r="L21" s="7" t="s">
        <v>3694</v>
      </c>
      <c r="M21" s="7">
        <v>83014000</v>
      </c>
      <c r="N21" s="7">
        <v>1</v>
      </c>
      <c r="O21" s="7">
        <v>1</v>
      </c>
      <c r="P21" s="7"/>
      <c r="R21" s="9">
        <v>523.73135138547275</v>
      </c>
      <c r="T21" s="7" t="s">
        <v>34</v>
      </c>
      <c r="U21" s="8"/>
    </row>
    <row r="22" spans="1:21" ht="14.1" customHeight="1">
      <c r="A22" s="7">
        <v>18</v>
      </c>
      <c r="B22" s="14" t="s">
        <v>1481</v>
      </c>
      <c r="C22" s="14" t="s">
        <v>3692</v>
      </c>
      <c r="D22" s="7" t="s">
        <v>118</v>
      </c>
      <c r="E22" s="136" t="s">
        <v>119</v>
      </c>
      <c r="F22" s="7" t="s">
        <v>1482</v>
      </c>
      <c r="G22" s="8" t="s">
        <v>3724</v>
      </c>
      <c r="H22" s="7" t="s">
        <v>518</v>
      </c>
      <c r="I22" s="8" t="s">
        <v>3720</v>
      </c>
      <c r="J22" s="7" t="s">
        <v>123</v>
      </c>
      <c r="K22" s="7" t="s">
        <v>520</v>
      </c>
      <c r="L22" s="7" t="s">
        <v>3694</v>
      </c>
      <c r="M22" s="7">
        <v>83014000</v>
      </c>
      <c r="N22" s="7">
        <v>1</v>
      </c>
      <c r="O22" s="7">
        <v>5</v>
      </c>
      <c r="P22" s="7"/>
      <c r="R22" s="9">
        <v>1006.721945473542</v>
      </c>
      <c r="T22" s="7" t="s">
        <v>34</v>
      </c>
      <c r="U22" s="8"/>
    </row>
    <row r="23" spans="1:21" ht="14.1" customHeight="1">
      <c r="A23" s="7">
        <v>19</v>
      </c>
      <c r="B23" s="14" t="s">
        <v>3715</v>
      </c>
      <c r="C23" s="14" t="s">
        <v>3692</v>
      </c>
      <c r="D23" s="7" t="s">
        <v>118</v>
      </c>
      <c r="E23" s="136" t="s">
        <v>119</v>
      </c>
      <c r="F23" s="7" t="s">
        <v>3716</v>
      </c>
      <c r="G23" s="8" t="s">
        <v>1457</v>
      </c>
      <c r="H23" s="7" t="s">
        <v>1304</v>
      </c>
      <c r="I23" s="8" t="s">
        <v>3725</v>
      </c>
      <c r="J23" s="7" t="s">
        <v>123</v>
      </c>
      <c r="K23" s="7"/>
      <c r="L23" s="7" t="s">
        <v>3694</v>
      </c>
      <c r="M23" s="7">
        <v>83014000</v>
      </c>
      <c r="N23" s="7">
        <v>1</v>
      </c>
      <c r="O23" s="7">
        <v>1</v>
      </c>
      <c r="P23" s="7"/>
      <c r="R23" s="9">
        <v>353.22373751115572</v>
      </c>
      <c r="T23" s="7" t="s">
        <v>34</v>
      </c>
      <c r="U23" s="8"/>
    </row>
    <row r="24" spans="1:21" ht="14.1" customHeight="1">
      <c r="A24" s="7">
        <v>20</v>
      </c>
      <c r="B24" s="14" t="s">
        <v>1481</v>
      </c>
      <c r="C24" s="14" t="s">
        <v>3692</v>
      </c>
      <c r="D24" s="7" t="s">
        <v>118</v>
      </c>
      <c r="E24" s="136" t="s">
        <v>119</v>
      </c>
      <c r="F24" s="7" t="s">
        <v>1482</v>
      </c>
      <c r="G24" s="8" t="s">
        <v>3726</v>
      </c>
      <c r="H24" s="7" t="s">
        <v>518</v>
      </c>
      <c r="I24" s="8" t="s">
        <v>3720</v>
      </c>
      <c r="J24" s="7" t="s">
        <v>123</v>
      </c>
      <c r="K24" s="7" t="s">
        <v>520</v>
      </c>
      <c r="L24" s="7" t="s">
        <v>3694</v>
      </c>
      <c r="M24" s="7">
        <v>83014000</v>
      </c>
      <c r="N24" s="7">
        <v>1</v>
      </c>
      <c r="O24" s="7">
        <v>5</v>
      </c>
      <c r="P24" s="7"/>
      <c r="R24" s="9">
        <v>1877.5041923554129</v>
      </c>
      <c r="T24" s="7" t="s">
        <v>34</v>
      </c>
      <c r="U24" s="8"/>
    </row>
    <row r="25" spans="1:21" ht="14.1" customHeight="1">
      <c r="A25" s="7">
        <v>21</v>
      </c>
      <c r="B25" s="14" t="s">
        <v>3715</v>
      </c>
      <c r="C25" s="14" t="s">
        <v>3692</v>
      </c>
      <c r="D25" s="7" t="s">
        <v>118</v>
      </c>
      <c r="E25" s="136" t="s">
        <v>119</v>
      </c>
      <c r="F25" s="7" t="s">
        <v>3716</v>
      </c>
      <c r="G25" s="8" t="s">
        <v>1451</v>
      </c>
      <c r="H25" s="7" t="s">
        <v>1304</v>
      </c>
      <c r="I25" s="8" t="s">
        <v>3727</v>
      </c>
      <c r="J25" s="7" t="s">
        <v>123</v>
      </c>
      <c r="K25" s="7"/>
      <c r="L25" s="7" t="s">
        <v>3694</v>
      </c>
      <c r="M25" s="7">
        <v>83014000</v>
      </c>
      <c r="N25" s="7">
        <v>1</v>
      </c>
      <c r="O25" s="7">
        <v>1</v>
      </c>
      <c r="P25" s="7"/>
      <c r="R25" s="9">
        <v>665.84389199190264</v>
      </c>
      <c r="T25" s="7" t="s">
        <v>34</v>
      </c>
      <c r="U25" s="8"/>
    </row>
    <row r="26" spans="1:21" s="22" customFormat="1" ht="14.1" customHeight="1">
      <c r="A26" s="7">
        <v>22</v>
      </c>
      <c r="B26" s="14" t="s">
        <v>3715</v>
      </c>
      <c r="C26" s="14" t="s">
        <v>3692</v>
      </c>
      <c r="D26" s="29" t="s">
        <v>39</v>
      </c>
      <c r="E26" s="19" t="s">
        <v>3703</v>
      </c>
      <c r="F26" s="7" t="s">
        <v>3716</v>
      </c>
      <c r="G26" s="19" t="s">
        <v>3728</v>
      </c>
      <c r="H26" s="29" t="s">
        <v>3729</v>
      </c>
      <c r="I26" s="19" t="s">
        <v>3730</v>
      </c>
      <c r="J26" s="29" t="s">
        <v>123</v>
      </c>
      <c r="K26" s="29" t="s">
        <v>1322</v>
      </c>
      <c r="L26" s="29" t="s">
        <v>3694</v>
      </c>
      <c r="M26" s="29">
        <v>83024100</v>
      </c>
      <c r="N26" s="29">
        <v>1</v>
      </c>
      <c r="O26" s="29">
        <v>2</v>
      </c>
      <c r="P26" s="29"/>
      <c r="R26" s="9">
        <v>50.754478788010722</v>
      </c>
      <c r="T26" s="7" t="s">
        <v>34</v>
      </c>
      <c r="U26" s="29"/>
    </row>
    <row r="27" spans="1:21" ht="14.1" customHeight="1">
      <c r="A27" s="7">
        <v>23</v>
      </c>
      <c r="B27" s="14" t="s">
        <v>1481</v>
      </c>
      <c r="C27" s="14" t="s">
        <v>3692</v>
      </c>
      <c r="D27" s="7" t="s">
        <v>118</v>
      </c>
      <c r="E27" s="14" t="s">
        <v>3731</v>
      </c>
      <c r="F27" s="7" t="s">
        <v>1482</v>
      </c>
      <c r="G27" s="8" t="s">
        <v>3732</v>
      </c>
      <c r="H27" s="7" t="s">
        <v>42</v>
      </c>
      <c r="I27" s="8" t="s">
        <v>3733</v>
      </c>
      <c r="J27" s="7" t="s">
        <v>123</v>
      </c>
      <c r="K27" s="7"/>
      <c r="L27" s="7" t="s">
        <v>3734</v>
      </c>
      <c r="M27" s="7">
        <v>83014000</v>
      </c>
      <c r="N27" s="29">
        <v>1</v>
      </c>
      <c r="O27" s="29">
        <v>2</v>
      </c>
      <c r="P27" s="29"/>
      <c r="Q27" s="115"/>
      <c r="R27" s="9">
        <v>3331.825771032411</v>
      </c>
      <c r="S27" s="115"/>
      <c r="T27" s="7" t="s">
        <v>34</v>
      </c>
      <c r="U27" s="8"/>
    </row>
    <row r="28" spans="1:21" ht="14.1" customHeight="1">
      <c r="A28" s="7">
        <v>24</v>
      </c>
      <c r="B28" s="14" t="s">
        <v>1481</v>
      </c>
      <c r="C28" s="14" t="s">
        <v>3692</v>
      </c>
      <c r="D28" s="7" t="s">
        <v>118</v>
      </c>
      <c r="E28" s="14" t="s">
        <v>3731</v>
      </c>
      <c r="F28" s="7" t="s">
        <v>1482</v>
      </c>
      <c r="G28" s="8" t="s">
        <v>3735</v>
      </c>
      <c r="H28" s="7" t="s">
        <v>42</v>
      </c>
      <c r="I28" s="8" t="s">
        <v>3736</v>
      </c>
      <c r="J28" s="7" t="s">
        <v>123</v>
      </c>
      <c r="K28" s="7"/>
      <c r="L28" s="7" t="s">
        <v>3734</v>
      </c>
      <c r="M28" s="7">
        <v>83014000</v>
      </c>
      <c r="N28" s="29">
        <v>1</v>
      </c>
      <c r="O28" s="29">
        <v>2</v>
      </c>
      <c r="P28" s="29"/>
      <c r="Q28" s="115"/>
      <c r="R28" s="9">
        <v>4360.6327734920887</v>
      </c>
      <c r="S28" s="115"/>
      <c r="T28" s="7" t="s">
        <v>34</v>
      </c>
      <c r="U28" s="8"/>
    </row>
    <row r="29" spans="1:21" ht="14.1" customHeight="1">
      <c r="A29" s="7">
        <v>25</v>
      </c>
      <c r="B29" s="14" t="s">
        <v>1481</v>
      </c>
      <c r="C29" s="14" t="s">
        <v>3692</v>
      </c>
      <c r="D29" s="7" t="s">
        <v>118</v>
      </c>
      <c r="E29" s="14" t="s">
        <v>3731</v>
      </c>
      <c r="F29" s="7" t="s">
        <v>1482</v>
      </c>
      <c r="G29" s="8" t="s">
        <v>3737</v>
      </c>
      <c r="H29" s="7" t="s">
        <v>121</v>
      </c>
      <c r="I29" s="8" t="s">
        <v>3738</v>
      </c>
      <c r="J29" s="7" t="s">
        <v>123</v>
      </c>
      <c r="K29" s="7" t="s">
        <v>31</v>
      </c>
      <c r="L29" s="7" t="s">
        <v>3739</v>
      </c>
      <c r="M29" s="7">
        <v>83014000</v>
      </c>
      <c r="N29" s="29">
        <v>1</v>
      </c>
      <c r="O29" s="29">
        <v>30</v>
      </c>
      <c r="P29" s="29"/>
      <c r="Q29" s="115"/>
      <c r="R29" s="9">
        <v>24762.698677869452</v>
      </c>
      <c r="S29" s="115"/>
      <c r="T29" s="7" t="s">
        <v>34</v>
      </c>
      <c r="U29" s="8"/>
    </row>
    <row r="30" spans="1:21" ht="14.1" customHeight="1"/>
    <row r="31" spans="1:21" ht="14.1" customHeight="1"/>
    <row r="32" spans="1:21" ht="14.1" customHeight="1"/>
    <row r="33" ht="14.1" customHeight="1"/>
    <row r="34" ht="14.1" customHeight="1"/>
    <row r="35" ht="14.1" customHeight="1"/>
    <row r="36" ht="14.1" customHeight="1"/>
    <row r="37" ht="14.1" customHeight="1"/>
    <row r="38" ht="14.1" customHeight="1"/>
    <row r="39" ht="14.1" customHeight="1"/>
    <row r="40" ht="14.1" customHeight="1"/>
    <row r="41" ht="14.1" customHeight="1"/>
    <row r="42" ht="14.1" customHeight="1"/>
    <row r="43" ht="14.1" customHeight="1"/>
    <row r="44" ht="14.1" customHeight="1"/>
    <row r="45" ht="14.1" customHeight="1"/>
    <row r="46" ht="14.1" customHeight="1"/>
    <row r="47" ht="14.1" customHeight="1"/>
    <row r="48" ht="14.1" customHeight="1"/>
    <row r="49" ht="14.1" customHeight="1"/>
    <row r="50" ht="14.1" customHeight="1"/>
    <row r="51" ht="14.1" customHeight="1"/>
    <row r="52" ht="14.1" customHeight="1"/>
    <row r="53" ht="14.1" customHeight="1"/>
    <row r="54" ht="14.1" customHeight="1"/>
    <row r="55" ht="14.1" customHeight="1"/>
    <row r="56" ht="14.1" customHeight="1"/>
    <row r="57" ht="14.1" customHeight="1"/>
    <row r="58" ht="14.1" customHeight="1"/>
    <row r="59" ht="14.1" customHeight="1"/>
    <row r="60" ht="14.1" customHeight="1"/>
    <row r="61" ht="14.1" customHeight="1"/>
    <row r="62" ht="14.1" customHeight="1"/>
    <row r="63" ht="14.1" customHeight="1"/>
    <row r="64" ht="14.1" customHeight="1"/>
    <row r="65" ht="14.1" customHeight="1"/>
    <row r="66" ht="14.1" customHeight="1"/>
    <row r="67" ht="14.1" customHeight="1"/>
    <row r="68" ht="14.1" customHeight="1"/>
    <row r="69" ht="14.1" customHeight="1"/>
    <row r="70" ht="14.1" customHeight="1"/>
    <row r="71" ht="14.1" customHeight="1"/>
    <row r="72" ht="14.1" customHeight="1"/>
    <row r="73" ht="14.1" customHeight="1"/>
    <row r="74" ht="14.1" customHeight="1"/>
    <row r="75" ht="14.1" customHeight="1"/>
    <row r="76" ht="14.1" customHeight="1"/>
    <row r="77" ht="14.1" customHeight="1"/>
    <row r="78" ht="14.1" customHeight="1"/>
    <row r="79" ht="14.1" customHeight="1"/>
    <row r="80" ht="14.1" customHeight="1"/>
    <row r="81" ht="14.1" customHeight="1"/>
    <row r="82" ht="14.1" customHeight="1"/>
    <row r="83" ht="14.1" customHeight="1"/>
    <row r="84" ht="14.1" customHeight="1"/>
    <row r="85" ht="14.1" customHeight="1"/>
    <row r="86" ht="14.1" customHeight="1"/>
    <row r="87" ht="14.1" customHeight="1"/>
    <row r="88" ht="14.1" customHeight="1"/>
    <row r="89" ht="14.1" customHeight="1"/>
    <row r="90" ht="14.1" customHeight="1"/>
    <row r="91" ht="14.1" customHeight="1"/>
    <row r="92" ht="14.1" customHeight="1"/>
    <row r="93" ht="14.1" customHeight="1"/>
    <row r="94" ht="14.1" customHeight="1"/>
    <row r="95" ht="14.1" customHeight="1"/>
    <row r="96" ht="14.1" customHeight="1"/>
    <row r="97" ht="14.1" customHeight="1"/>
    <row r="98" ht="14.1" customHeight="1"/>
    <row r="99" ht="14.1" customHeight="1"/>
    <row r="100" ht="14.1" customHeight="1"/>
    <row r="101" ht="14.1" customHeight="1"/>
    <row r="102" ht="14.1" customHeight="1"/>
    <row r="103" ht="14.1" customHeight="1"/>
    <row r="104" ht="14.1" customHeight="1"/>
    <row r="105" ht="14.1" customHeight="1"/>
    <row r="106" ht="14.1" customHeight="1"/>
    <row r="107" ht="14.1" customHeight="1"/>
    <row r="108" ht="14.1" customHeight="1"/>
    <row r="109" ht="14.1" customHeight="1"/>
    <row r="110" ht="14.1" customHeight="1"/>
    <row r="111" ht="14.1" customHeight="1"/>
    <row r="112" ht="14.1" customHeight="1"/>
    <row r="113" ht="14.1" customHeight="1"/>
    <row r="114" ht="14.1" customHeight="1"/>
    <row r="115" ht="14.1" customHeight="1"/>
    <row r="116" ht="14.1" customHeight="1"/>
    <row r="117" ht="14.1" customHeight="1"/>
    <row r="118" ht="14.1" customHeight="1"/>
    <row r="119" ht="14.1" customHeight="1"/>
    <row r="120" ht="14.1" customHeight="1"/>
    <row r="121" ht="14.1" customHeight="1"/>
    <row r="122" ht="14.1" customHeight="1"/>
    <row r="123" ht="14.1" customHeight="1"/>
    <row r="124" ht="14.1" customHeight="1"/>
    <row r="125" ht="14.1" customHeight="1"/>
    <row r="126" ht="14.1" customHeight="1"/>
    <row r="127" ht="14.1" customHeight="1"/>
    <row r="128" ht="14.1" customHeight="1"/>
    <row r="129" ht="14.1" customHeight="1"/>
    <row r="130" ht="14.1" customHeight="1"/>
    <row r="131" ht="14.1" customHeight="1"/>
    <row r="132" ht="14.1" customHeight="1"/>
    <row r="133" ht="14.1" customHeight="1"/>
    <row r="134" ht="14.1" customHeight="1"/>
    <row r="135" ht="14.1" customHeight="1"/>
    <row r="136" ht="14.1" customHeight="1"/>
    <row r="137" ht="14.1" customHeight="1"/>
    <row r="138" ht="14.1" customHeight="1"/>
    <row r="139" ht="14.1" customHeight="1"/>
    <row r="140" ht="14.1" customHeight="1"/>
    <row r="141" ht="14.1" customHeight="1"/>
    <row r="142" ht="14.1" customHeight="1"/>
    <row r="143" ht="14.1" customHeight="1"/>
    <row r="144" ht="14.1" customHeight="1"/>
    <row r="145" ht="14.1" customHeight="1"/>
    <row r="146" ht="14.1" customHeight="1"/>
    <row r="147" ht="14.1" customHeight="1"/>
    <row r="148" ht="14.1" customHeight="1"/>
    <row r="149" ht="14.1" customHeight="1"/>
    <row r="150" ht="14.1" customHeight="1"/>
    <row r="151" ht="14.1" customHeight="1"/>
    <row r="152" ht="14.1" customHeight="1"/>
    <row r="153" ht="14.1" customHeight="1"/>
    <row r="154" ht="14.1" customHeight="1"/>
    <row r="155" ht="14.1" customHeight="1"/>
    <row r="156" ht="14.1" customHeight="1"/>
    <row r="157" ht="14.1" customHeight="1"/>
    <row r="158" ht="14.1" customHeight="1"/>
    <row r="159" ht="14.1" customHeight="1"/>
    <row r="160" ht="14.1" customHeight="1"/>
    <row r="161" ht="14.1" customHeight="1"/>
    <row r="162" ht="14.1" customHeight="1"/>
    <row r="163" ht="14.1" customHeight="1"/>
    <row r="164" ht="14.1" customHeight="1"/>
    <row r="165" ht="14.1" customHeight="1"/>
    <row r="166" ht="14.1" customHeight="1"/>
    <row r="167" ht="14.1" customHeight="1"/>
    <row r="168" ht="14.1" customHeight="1"/>
    <row r="169" ht="14.1" customHeight="1"/>
    <row r="170" ht="14.1" customHeight="1"/>
    <row r="171" ht="14.1" customHeight="1"/>
    <row r="172" ht="14.1" customHeight="1"/>
    <row r="173" ht="14.1" customHeight="1"/>
    <row r="174" ht="14.1" customHeight="1"/>
    <row r="175" ht="14.1" customHeight="1"/>
    <row r="176" ht="14.1" customHeight="1"/>
    <row r="177" ht="14.1" customHeight="1"/>
    <row r="178" ht="14.1" customHeight="1"/>
    <row r="179" ht="14.1" customHeight="1"/>
    <row r="180" ht="14.1" customHeight="1"/>
    <row r="181" ht="14.1" customHeight="1"/>
    <row r="182" ht="14.1" customHeight="1"/>
    <row r="183" ht="14.1" customHeight="1"/>
    <row r="184" ht="14.1" customHeight="1"/>
    <row r="185" ht="14.1" customHeight="1"/>
    <row r="186" ht="14.1" customHeight="1"/>
    <row r="187" ht="14.1" customHeight="1"/>
    <row r="188" ht="14.1" customHeight="1"/>
    <row r="189" ht="14.1" customHeight="1"/>
    <row r="190" ht="14.1" customHeight="1"/>
    <row r="191" ht="14.1" customHeight="1"/>
    <row r="192" ht="14.1" customHeight="1"/>
    <row r="193" ht="14.1" customHeight="1"/>
    <row r="194" ht="14.1" customHeight="1"/>
    <row r="195" ht="14.1" customHeight="1"/>
    <row r="196" ht="14.1" customHeight="1"/>
    <row r="197" ht="14.1" customHeight="1"/>
    <row r="198" ht="14.1" customHeight="1"/>
    <row r="199" ht="14.1" customHeight="1"/>
    <row r="200" ht="14.1" customHeight="1"/>
    <row r="201" ht="14.1" customHeight="1"/>
    <row r="202" ht="14.1" customHeight="1"/>
    <row r="203" ht="14.1" customHeight="1"/>
    <row r="204" ht="14.1" customHeight="1"/>
    <row r="205" ht="14.1" customHeight="1"/>
    <row r="206" ht="14.1" customHeight="1"/>
    <row r="207" ht="14.1" customHeight="1"/>
    <row r="208" ht="14.1" customHeight="1"/>
    <row r="209" ht="14.1" customHeight="1"/>
    <row r="210" ht="14.1" customHeight="1"/>
    <row r="211" ht="14.1" customHeight="1"/>
    <row r="212" ht="14.1" customHeight="1"/>
    <row r="213" ht="14.1" customHeight="1"/>
    <row r="214" ht="14.1" customHeight="1"/>
    <row r="215" ht="14.1" customHeight="1"/>
    <row r="216" ht="14.1" customHeight="1"/>
    <row r="217" ht="14.1" customHeight="1"/>
    <row r="218" ht="14.1" customHeight="1"/>
    <row r="219" ht="14.1" customHeight="1"/>
    <row r="220" ht="14.1" customHeight="1"/>
    <row r="221" ht="14.1" customHeight="1"/>
    <row r="222" ht="14.1" customHeight="1"/>
    <row r="223" ht="14.1" customHeight="1"/>
    <row r="224" ht="14.1" customHeight="1"/>
    <row r="225" ht="14.1" customHeight="1"/>
    <row r="226" ht="14.1" customHeight="1"/>
    <row r="227" ht="14.1" customHeight="1"/>
    <row r="228" ht="14.1" customHeight="1"/>
    <row r="229" ht="14.1" customHeight="1"/>
    <row r="230" ht="14.1" customHeight="1"/>
    <row r="231" ht="14.1" customHeight="1"/>
    <row r="232" ht="14.1" customHeight="1"/>
    <row r="233" ht="14.1" customHeight="1"/>
    <row r="234" ht="14.1" customHeight="1"/>
    <row r="235" ht="14.1" customHeight="1"/>
    <row r="236" ht="14.1" customHeight="1"/>
    <row r="237" ht="14.1" customHeight="1"/>
    <row r="238" ht="14.1" customHeight="1"/>
    <row r="239" ht="14.1" customHeight="1"/>
    <row r="240" ht="14.1" customHeight="1"/>
    <row r="241" ht="14.1" customHeight="1"/>
    <row r="242" ht="14.1" customHeight="1"/>
    <row r="243" ht="14.1" customHeight="1"/>
    <row r="244" ht="14.1" customHeight="1"/>
    <row r="245" ht="14.1" customHeight="1"/>
    <row r="246" ht="14.1" customHeight="1"/>
    <row r="247" ht="14.1" customHeight="1"/>
    <row r="248" ht="14.1" customHeight="1"/>
    <row r="249" ht="14.1" customHeight="1"/>
    <row r="250" ht="14.1" customHeight="1"/>
    <row r="251" ht="14.1" customHeight="1"/>
    <row r="252" ht="14.1" customHeight="1"/>
    <row r="253" ht="14.1" customHeight="1"/>
    <row r="254" ht="14.1" customHeight="1"/>
    <row r="255" ht="14.1" customHeight="1"/>
    <row r="256" ht="14.1" customHeight="1"/>
    <row r="257" ht="14.1" customHeight="1"/>
    <row r="258" ht="14.1" customHeight="1"/>
    <row r="259" ht="14.1" customHeight="1"/>
    <row r="260" ht="14.1" customHeight="1"/>
    <row r="261" ht="14.1" customHeight="1"/>
    <row r="262" ht="14.1" customHeight="1"/>
    <row r="263" ht="14.1" customHeight="1"/>
    <row r="264" ht="14.1" customHeight="1"/>
    <row r="265" ht="14.1" customHeight="1"/>
    <row r="266" ht="14.1" customHeight="1"/>
    <row r="267" ht="14.1" customHeight="1"/>
    <row r="268" ht="14.1" customHeight="1"/>
    <row r="269" ht="14.1" customHeight="1"/>
    <row r="270" ht="14.1" customHeight="1"/>
    <row r="271" ht="14.1" customHeight="1"/>
    <row r="272" ht="14.1" customHeight="1"/>
    <row r="273" ht="14.1" customHeight="1"/>
    <row r="274" ht="14.1" customHeight="1"/>
    <row r="275" ht="14.1" customHeight="1"/>
    <row r="276" ht="14.1" customHeight="1"/>
    <row r="277" ht="14.1" customHeight="1"/>
    <row r="278" ht="14.1" customHeight="1"/>
    <row r="279" ht="14.1" customHeight="1"/>
    <row r="280" ht="14.1" customHeight="1"/>
    <row r="281" ht="14.1" customHeight="1"/>
    <row r="282" ht="14.1" customHeight="1"/>
    <row r="283" ht="14.1" customHeight="1"/>
    <row r="284" ht="14.1" customHeight="1"/>
    <row r="285" ht="14.1" customHeight="1"/>
    <row r="286" ht="14.1" customHeight="1"/>
    <row r="287" ht="14.1" customHeight="1"/>
    <row r="288" ht="14.1" customHeight="1"/>
    <row r="289" ht="14.1" customHeight="1"/>
    <row r="290" ht="14.1" customHeight="1"/>
    <row r="291" ht="14.1" customHeight="1"/>
    <row r="292" ht="14.1" customHeight="1"/>
    <row r="293" ht="14.1" customHeight="1"/>
    <row r="294" ht="14.1" customHeight="1"/>
    <row r="295" ht="14.1" customHeight="1"/>
    <row r="296" ht="14.1" customHeight="1"/>
    <row r="297" ht="14.1" customHeight="1"/>
    <row r="298" ht="14.1" customHeight="1"/>
    <row r="299" ht="14.1" customHeight="1"/>
    <row r="300" ht="14.1" customHeight="1"/>
    <row r="301" ht="14.1" customHeight="1"/>
    <row r="302" ht="14.1" customHeight="1"/>
    <row r="303" ht="14.1" customHeight="1"/>
    <row r="304" ht="14.1" customHeight="1"/>
    <row r="305" ht="14.1" customHeight="1"/>
    <row r="306" ht="14.1" customHeight="1"/>
    <row r="307" ht="14.1" customHeight="1"/>
    <row r="308" ht="14.1" customHeight="1"/>
    <row r="309" ht="14.1" customHeight="1"/>
    <row r="310" ht="14.1" customHeight="1"/>
    <row r="311" ht="14.1" customHeight="1"/>
    <row r="312" ht="14.1" customHeight="1"/>
    <row r="313" ht="14.1" customHeight="1"/>
    <row r="314" ht="14.1" customHeight="1"/>
    <row r="315" ht="14.1" customHeight="1"/>
    <row r="316" ht="14.1" customHeight="1"/>
    <row r="317" ht="14.1" customHeight="1"/>
    <row r="318" ht="14.1" customHeight="1"/>
    <row r="319" ht="14.1" customHeight="1"/>
    <row r="320" ht="14.1" customHeight="1"/>
    <row r="321" ht="14.1" customHeight="1"/>
    <row r="322" ht="14.1" customHeight="1"/>
    <row r="323" ht="14.1" customHeight="1"/>
    <row r="324" ht="14.1" customHeight="1"/>
    <row r="325" ht="14.1" customHeight="1"/>
    <row r="326" ht="14.1" customHeight="1"/>
    <row r="327" ht="14.1" customHeight="1"/>
    <row r="328" ht="14.1" customHeight="1"/>
    <row r="329" ht="14.1" customHeight="1"/>
    <row r="330" ht="14.1" customHeight="1"/>
    <row r="331" ht="14.1" customHeight="1"/>
    <row r="332" ht="14.1" customHeight="1"/>
    <row r="333" ht="14.1" customHeight="1"/>
    <row r="334" ht="14.1" customHeight="1"/>
    <row r="335" ht="14.1" customHeight="1"/>
    <row r="336" ht="14.1" customHeight="1"/>
    <row r="337" ht="14.1" customHeight="1"/>
    <row r="338" ht="14.1" customHeight="1"/>
    <row r="339" ht="14.1" customHeight="1"/>
    <row r="340" ht="14.1" customHeight="1"/>
    <row r="341" ht="14.1" customHeight="1"/>
    <row r="342" ht="14.1" customHeight="1"/>
    <row r="343" ht="14.1" customHeight="1"/>
    <row r="344" ht="14.1" customHeight="1"/>
    <row r="345" ht="14.1" customHeight="1"/>
    <row r="346" ht="14.1" customHeight="1"/>
    <row r="347" ht="14.1" customHeight="1"/>
    <row r="348" ht="14.1" customHeight="1"/>
    <row r="349" ht="14.1" customHeight="1"/>
    <row r="350" ht="14.1" customHeight="1"/>
    <row r="351" ht="14.1" customHeight="1"/>
    <row r="352" ht="14.1" customHeight="1"/>
    <row r="353" ht="14.1" customHeight="1"/>
    <row r="354" ht="14.1" customHeight="1"/>
    <row r="355" ht="14.1" customHeight="1"/>
    <row r="356" ht="14.1" customHeight="1"/>
    <row r="357" ht="14.1" customHeight="1"/>
    <row r="358" ht="14.1" customHeight="1"/>
    <row r="359" ht="14.1" customHeight="1"/>
    <row r="360" ht="14.1" customHeight="1"/>
    <row r="361" ht="14.1" customHeight="1"/>
    <row r="362" ht="14.1" customHeight="1"/>
    <row r="363" ht="14.1" customHeight="1"/>
    <row r="364" ht="14.1" customHeight="1"/>
    <row r="365" ht="14.1" customHeight="1"/>
    <row r="366" ht="14.1" customHeight="1"/>
    <row r="367" ht="14.1" customHeight="1"/>
    <row r="368" ht="14.1" customHeight="1"/>
    <row r="369" ht="14.1" customHeight="1"/>
    <row r="370" ht="14.1" customHeight="1"/>
    <row r="371" ht="14.1" customHeight="1"/>
    <row r="372" ht="14.1" customHeight="1"/>
    <row r="373" ht="14.1" customHeight="1"/>
    <row r="374" ht="14.1" customHeight="1"/>
    <row r="375" ht="14.1" customHeight="1"/>
    <row r="376" ht="14.1" customHeight="1"/>
    <row r="377" ht="14.1" customHeight="1"/>
    <row r="378" ht="14.1" customHeight="1"/>
    <row r="379" ht="14.1" customHeight="1"/>
    <row r="380" ht="14.1" customHeight="1"/>
    <row r="381" ht="14.1" customHeight="1"/>
    <row r="382" ht="14.1" customHeight="1"/>
    <row r="383" ht="14.1" customHeight="1"/>
    <row r="384" ht="14.1" customHeight="1"/>
    <row r="385" ht="14.1" customHeight="1"/>
    <row r="386" ht="14.1" customHeight="1"/>
    <row r="387" ht="14.1" customHeight="1"/>
    <row r="388" ht="14.1" customHeight="1"/>
    <row r="389" ht="14.1" customHeight="1"/>
    <row r="390" ht="14.1" customHeight="1"/>
    <row r="391" ht="14.1" customHeight="1"/>
    <row r="392" ht="14.1" customHeight="1"/>
    <row r="393" ht="14.1" customHeight="1"/>
    <row r="394" ht="14.1" customHeight="1"/>
    <row r="395" ht="14.1" customHeight="1"/>
    <row r="396" ht="14.1" customHeight="1"/>
    <row r="397" ht="14.1" customHeight="1"/>
    <row r="398" ht="14.1" customHeight="1"/>
    <row r="399" ht="14.1" customHeight="1"/>
    <row r="400" ht="14.1" customHeight="1"/>
    <row r="401" ht="14.1" customHeight="1"/>
    <row r="402" ht="14.1" customHeight="1"/>
    <row r="403" ht="14.1" customHeight="1"/>
    <row r="404" ht="14.1" customHeight="1"/>
    <row r="405" ht="14.1" customHeight="1"/>
    <row r="406" ht="14.1" customHeight="1"/>
    <row r="407" ht="14.1" customHeight="1"/>
    <row r="408" ht="14.1" customHeight="1"/>
    <row r="409" ht="14.1" customHeight="1"/>
    <row r="410" ht="14.1" customHeight="1"/>
    <row r="411" ht="14.1" customHeight="1"/>
    <row r="412" ht="14.1" customHeight="1"/>
    <row r="413" ht="14.1" customHeight="1"/>
    <row r="414" ht="14.1" customHeight="1"/>
    <row r="415" ht="14.1" customHeight="1"/>
    <row r="416" ht="14.1" customHeight="1"/>
    <row r="417" ht="14.1" customHeight="1"/>
    <row r="418" ht="14.1" customHeight="1"/>
    <row r="419" ht="14.1" customHeight="1"/>
    <row r="420" ht="14.1" customHeight="1"/>
    <row r="421" ht="14.1" customHeight="1"/>
    <row r="422" ht="14.1" customHeight="1"/>
    <row r="423" ht="14.1" customHeight="1"/>
    <row r="424" ht="14.1" customHeight="1"/>
    <row r="425" ht="14.1" customHeight="1"/>
    <row r="426" ht="14.1" customHeight="1"/>
    <row r="427" ht="14.1" customHeight="1"/>
    <row r="428" ht="14.1" customHeight="1"/>
    <row r="429" ht="14.1" customHeight="1"/>
    <row r="430" ht="14.1" customHeight="1"/>
    <row r="431" ht="14.1" customHeight="1"/>
    <row r="432" ht="14.1" customHeight="1"/>
    <row r="433" ht="14.1" customHeight="1"/>
    <row r="434" ht="14.1" customHeight="1"/>
    <row r="435" ht="14.1" customHeight="1"/>
    <row r="436" ht="14.1" customHeight="1"/>
    <row r="437" ht="14.1" customHeight="1"/>
    <row r="438" ht="14.1" customHeight="1"/>
    <row r="439" ht="14.1" customHeight="1"/>
    <row r="440" ht="14.1" customHeight="1"/>
    <row r="441" ht="14.1" customHeight="1"/>
    <row r="442" ht="14.1" customHeight="1"/>
    <row r="443" ht="14.1" customHeight="1"/>
    <row r="444" ht="14.1" customHeight="1"/>
    <row r="445" ht="14.1" customHeight="1"/>
    <row r="446" ht="14.1" customHeight="1"/>
    <row r="447" ht="14.1" customHeight="1"/>
    <row r="448" ht="14.1" customHeight="1"/>
    <row r="449" ht="14.1" customHeight="1"/>
    <row r="450" ht="14.1" customHeight="1"/>
    <row r="451" ht="14.1" customHeight="1"/>
    <row r="452" ht="14.1" customHeight="1"/>
    <row r="453" ht="14.1" customHeight="1"/>
    <row r="454" ht="14.1" customHeight="1"/>
    <row r="455" ht="14.1" customHeight="1"/>
    <row r="456" ht="14.1" customHeight="1"/>
    <row r="457" ht="14.1" customHeight="1"/>
    <row r="458" ht="14.1" customHeight="1"/>
    <row r="459" ht="14.1" customHeight="1"/>
    <row r="460" ht="14.1" customHeight="1"/>
    <row r="461" ht="14.1" customHeight="1"/>
    <row r="462" ht="14.1" customHeight="1"/>
    <row r="463" ht="14.1" customHeight="1"/>
    <row r="464" ht="14.1" customHeight="1"/>
    <row r="465" ht="14.1" customHeight="1"/>
    <row r="466" ht="14.1" customHeight="1"/>
    <row r="467" ht="14.1" customHeight="1"/>
    <row r="468" ht="14.1" customHeight="1"/>
    <row r="469" ht="14.1" customHeight="1"/>
    <row r="470" ht="14.1" customHeight="1"/>
    <row r="471" ht="14.1" customHeight="1"/>
    <row r="472" ht="14.1" customHeight="1"/>
    <row r="473" ht="14.1" customHeight="1"/>
    <row r="474" ht="14.1" customHeight="1"/>
    <row r="475" ht="14.1" customHeight="1"/>
    <row r="476" ht="14.1" customHeight="1"/>
    <row r="477" ht="14.1" customHeight="1"/>
    <row r="478" ht="14.1" customHeight="1"/>
    <row r="479" ht="14.1" customHeight="1"/>
    <row r="480" ht="14.1" customHeight="1"/>
    <row r="481" ht="14.1" customHeight="1"/>
    <row r="482" ht="14.1" customHeight="1"/>
    <row r="483" ht="14.1" customHeight="1"/>
    <row r="484" ht="14.1" customHeight="1"/>
    <row r="485" ht="14.1" customHeight="1"/>
    <row r="486" ht="14.1" customHeight="1"/>
    <row r="487" ht="14.1" customHeight="1"/>
    <row r="488" ht="14.1" customHeight="1"/>
    <row r="489" ht="14.1" customHeight="1"/>
    <row r="490" ht="14.1" customHeight="1"/>
    <row r="491" ht="14.1" customHeight="1"/>
    <row r="492" ht="14.1" customHeight="1"/>
    <row r="493" ht="14.1" customHeight="1"/>
    <row r="494" ht="14.1" customHeight="1"/>
    <row r="495" ht="14.1" customHeight="1"/>
    <row r="496" ht="14.1" customHeight="1"/>
    <row r="497" ht="14.1" customHeight="1"/>
    <row r="498" ht="14.1" customHeight="1"/>
    <row r="499" ht="14.1" customHeight="1"/>
    <row r="500" ht="14.1" customHeight="1"/>
    <row r="501" ht="14.1" customHeight="1"/>
    <row r="502" ht="14.1" customHeight="1"/>
    <row r="503" ht="14.1" customHeight="1"/>
    <row r="504" ht="14.1" customHeight="1"/>
    <row r="505" ht="14.1" customHeight="1"/>
    <row r="506" ht="14.1" customHeight="1"/>
    <row r="507" ht="14.1" customHeight="1"/>
    <row r="508" ht="14.1" customHeight="1"/>
    <row r="509" ht="14.1" customHeight="1"/>
    <row r="510" ht="14.1" customHeight="1"/>
    <row r="511" ht="14.1" customHeight="1"/>
    <row r="512" ht="14.1" customHeight="1"/>
    <row r="513" ht="14.1" customHeight="1"/>
    <row r="514" ht="14.1" customHeight="1"/>
    <row r="515" ht="14.1" customHeight="1"/>
    <row r="516" ht="14.1" customHeight="1"/>
    <row r="517" ht="14.1" customHeight="1"/>
    <row r="518" ht="14.1" customHeight="1"/>
    <row r="519" ht="14.1" customHeight="1"/>
    <row r="520" ht="14.1" customHeight="1"/>
    <row r="521" ht="14.1" customHeight="1"/>
    <row r="522" ht="14.1" customHeight="1"/>
    <row r="523" ht="14.1" customHeight="1"/>
    <row r="524" ht="14.1" customHeight="1"/>
    <row r="525" ht="14.1" customHeight="1"/>
    <row r="526" ht="14.1" customHeight="1"/>
    <row r="527" ht="14.1" customHeight="1"/>
    <row r="528" ht="14.1" customHeight="1"/>
    <row r="529" ht="14.1" customHeight="1"/>
    <row r="530" ht="14.1" customHeight="1"/>
    <row r="531" ht="14.1" customHeight="1"/>
    <row r="532" ht="14.1" customHeight="1"/>
    <row r="533" ht="14.1" customHeight="1"/>
    <row r="534" ht="14.1" customHeight="1"/>
    <row r="535" ht="14.1" customHeight="1"/>
    <row r="536" ht="14.1" customHeight="1"/>
    <row r="537" ht="14.1" customHeight="1"/>
    <row r="538" ht="14.1" customHeight="1"/>
    <row r="539" ht="14.1" customHeight="1"/>
    <row r="540" ht="14.1" customHeight="1"/>
    <row r="541" ht="14.1" customHeight="1"/>
    <row r="542" ht="14.1" customHeight="1"/>
    <row r="543" ht="14.1" customHeight="1"/>
    <row r="544" ht="14.1" customHeight="1"/>
    <row r="545" ht="14.1" customHeight="1"/>
    <row r="546" ht="14.1" customHeight="1"/>
    <row r="547" ht="14.1" customHeight="1"/>
    <row r="548" ht="14.1" customHeight="1"/>
    <row r="549" ht="14.1" customHeight="1"/>
    <row r="550" ht="14.1" customHeight="1"/>
    <row r="551" ht="14.1" customHeight="1"/>
    <row r="552" ht="14.1" customHeight="1"/>
    <row r="553" ht="14.1" customHeight="1"/>
    <row r="554" ht="14.1" customHeight="1"/>
    <row r="555" ht="14.1" customHeight="1"/>
    <row r="556" ht="14.1" customHeight="1"/>
    <row r="557" ht="14.1" customHeight="1"/>
    <row r="558" ht="14.1" customHeight="1"/>
    <row r="559" ht="14.1" customHeight="1"/>
    <row r="560" ht="14.1" customHeight="1"/>
    <row r="561" ht="14.1" customHeight="1"/>
    <row r="562" ht="14.1" customHeight="1"/>
    <row r="563" ht="14.1" customHeight="1"/>
    <row r="564" ht="14.1" customHeight="1"/>
    <row r="565" ht="14.1" customHeight="1"/>
    <row r="566" ht="14.1" customHeight="1"/>
    <row r="567" ht="14.1" customHeight="1"/>
    <row r="568" ht="14.1" customHeight="1"/>
    <row r="569" ht="14.1" customHeight="1"/>
    <row r="570" ht="14.1" customHeight="1"/>
    <row r="571" ht="14.1" customHeight="1"/>
    <row r="572" ht="14.1" customHeight="1"/>
    <row r="573" ht="14.1" customHeight="1"/>
    <row r="574" ht="14.1" customHeight="1"/>
    <row r="575" ht="14.1" customHeight="1"/>
    <row r="576" ht="14.1" customHeight="1"/>
    <row r="577" ht="14.1" customHeight="1"/>
    <row r="578" ht="14.1" customHeight="1"/>
    <row r="579" ht="14.1" customHeight="1"/>
    <row r="580" ht="14.1" customHeight="1"/>
    <row r="581" ht="14.1" customHeight="1"/>
    <row r="582" ht="14.1" customHeight="1"/>
    <row r="583" ht="14.1" customHeight="1"/>
    <row r="584" ht="14.1" customHeight="1"/>
    <row r="585" ht="14.1" customHeight="1"/>
    <row r="586" ht="14.1" customHeight="1"/>
    <row r="587" ht="14.1" customHeight="1"/>
    <row r="588" ht="14.1" customHeight="1"/>
    <row r="589" ht="14.1" customHeight="1"/>
    <row r="590" ht="14.1" customHeight="1"/>
    <row r="591" ht="14.1" customHeight="1"/>
    <row r="592" ht="14.1" customHeight="1"/>
    <row r="593" ht="14.1" customHeight="1"/>
    <row r="594" ht="14.1" customHeight="1"/>
    <row r="595" ht="14.1" customHeight="1"/>
    <row r="596" ht="14.1" customHeight="1"/>
    <row r="597" ht="14.1" customHeight="1"/>
    <row r="598" ht="14.1" customHeight="1"/>
    <row r="599" ht="14.1" customHeight="1"/>
    <row r="600" ht="14.1" customHeight="1"/>
    <row r="601" ht="14.1" customHeight="1"/>
    <row r="602" ht="14.1" customHeight="1"/>
    <row r="603" ht="14.1" customHeight="1"/>
    <row r="604" ht="14.1" customHeight="1"/>
    <row r="605" ht="14.1" customHeight="1"/>
    <row r="606" ht="14.1" customHeight="1"/>
    <row r="607" ht="14.1" customHeight="1"/>
    <row r="608" ht="14.1" customHeight="1"/>
    <row r="609" ht="14.1" customHeight="1"/>
    <row r="610" ht="14.1" customHeight="1"/>
    <row r="611" ht="14.1" customHeight="1"/>
    <row r="612" ht="14.1" customHeight="1"/>
    <row r="613" ht="14.1" customHeight="1"/>
    <row r="614" ht="14.1" customHeight="1"/>
    <row r="615" ht="14.1" customHeight="1"/>
    <row r="616" ht="14.1" customHeight="1"/>
    <row r="617" ht="14.1" customHeight="1"/>
    <row r="618" ht="14.1" customHeight="1"/>
    <row r="619" ht="14.1" customHeight="1"/>
    <row r="620" ht="14.1" customHeight="1"/>
    <row r="621" ht="14.1" customHeight="1"/>
    <row r="622" ht="14.1" customHeight="1"/>
    <row r="623" ht="14.1" customHeight="1"/>
    <row r="624" ht="14.1" customHeight="1"/>
    <row r="625" ht="14.1" customHeight="1"/>
    <row r="626" ht="14.1" customHeight="1"/>
    <row r="627" ht="14.1" customHeight="1"/>
    <row r="628" ht="14.1" customHeight="1"/>
    <row r="629" ht="14.1" customHeight="1"/>
    <row r="630" ht="14.1" customHeight="1"/>
    <row r="631" ht="14.1" customHeight="1"/>
    <row r="632" ht="14.1" customHeight="1"/>
    <row r="633" ht="14.1" customHeight="1"/>
    <row r="634" ht="14.1" customHeight="1"/>
    <row r="635" ht="14.1" customHeight="1"/>
    <row r="636" ht="14.1" customHeight="1"/>
    <row r="637" ht="14.1" customHeight="1"/>
    <row r="638" ht="14.1" customHeight="1"/>
    <row r="639" ht="14.1" customHeight="1"/>
    <row r="640" ht="14.1" customHeight="1"/>
    <row r="641" ht="14.1" customHeight="1"/>
    <row r="642" ht="14.1" customHeight="1"/>
    <row r="643" ht="14.1" customHeight="1"/>
    <row r="644" ht="14.1" customHeight="1"/>
    <row r="645" ht="14.1" customHeight="1"/>
    <row r="646" ht="14.1" customHeight="1"/>
    <row r="647" ht="14.1" customHeight="1"/>
    <row r="648" ht="14.1" customHeight="1"/>
    <row r="649" ht="14.1" customHeight="1"/>
    <row r="650" ht="14.1" customHeight="1"/>
    <row r="651" ht="14.1" customHeight="1"/>
    <row r="652" ht="14.1" customHeight="1"/>
    <row r="653" ht="14.1" customHeight="1"/>
    <row r="654" ht="14.1" customHeight="1"/>
    <row r="655" ht="14.1" customHeight="1"/>
    <row r="656" ht="14.1" customHeight="1"/>
    <row r="657" ht="14.1" customHeight="1"/>
    <row r="658" ht="14.1" customHeight="1"/>
    <row r="659" ht="14.1" customHeight="1"/>
    <row r="660" ht="14.1" customHeight="1"/>
    <row r="661" ht="14.1" customHeight="1"/>
    <row r="662" ht="14.1" customHeight="1"/>
    <row r="663" ht="14.1" customHeight="1"/>
    <row r="664" ht="14.1" customHeight="1"/>
    <row r="665" ht="14.1" customHeight="1"/>
    <row r="666" ht="14.1" customHeight="1"/>
    <row r="667" ht="14.1" customHeight="1"/>
    <row r="668" ht="14.1" customHeight="1"/>
    <row r="669" ht="14.1" customHeight="1"/>
    <row r="670" ht="14.1" customHeight="1"/>
    <row r="671" ht="14.1" customHeight="1"/>
    <row r="672" ht="14.1" customHeight="1"/>
    <row r="673" ht="14.1" customHeight="1"/>
    <row r="674" ht="14.1" customHeight="1"/>
    <row r="675" ht="14.1" customHeight="1"/>
    <row r="676" ht="14.1" customHeight="1"/>
    <row r="677" ht="14.1" customHeight="1"/>
    <row r="678" ht="14.1" customHeight="1"/>
    <row r="679" ht="14.1" customHeight="1"/>
    <row r="680" ht="14.1" customHeight="1"/>
    <row r="681" ht="14.1" customHeight="1"/>
    <row r="682" ht="14.1" customHeight="1"/>
    <row r="683" ht="14.1" customHeight="1"/>
    <row r="684" ht="14.1" customHeight="1"/>
    <row r="685" ht="14.1" customHeight="1"/>
    <row r="686" ht="14.1" customHeight="1"/>
    <row r="687" ht="14.1" customHeight="1"/>
    <row r="688" ht="14.1" customHeight="1"/>
    <row r="689" ht="14.1" customHeight="1"/>
    <row r="690" ht="14.1" customHeight="1"/>
    <row r="691" ht="14.1" customHeight="1"/>
    <row r="692" ht="14.1" customHeight="1"/>
    <row r="693" ht="14.1" customHeight="1"/>
    <row r="694" ht="14.1" customHeight="1"/>
    <row r="695" ht="14.1" customHeight="1"/>
    <row r="696" ht="14.1" customHeight="1"/>
    <row r="697" ht="14.1" customHeight="1"/>
    <row r="698" ht="14.1" customHeight="1"/>
    <row r="699" ht="14.1" customHeight="1"/>
    <row r="700" ht="14.1" customHeight="1"/>
    <row r="701" ht="14.1" customHeight="1"/>
    <row r="702" ht="14.1" customHeight="1"/>
    <row r="703" ht="14.1" customHeight="1"/>
    <row r="704" ht="14.1" customHeight="1"/>
    <row r="705" ht="14.1" customHeight="1"/>
    <row r="706" ht="14.1" customHeight="1"/>
    <row r="707" ht="14.1" customHeight="1"/>
    <row r="708" ht="14.1" customHeight="1"/>
    <row r="709" ht="14.1" customHeight="1"/>
    <row r="710" ht="14.1" customHeight="1"/>
    <row r="711" ht="14.1" customHeight="1"/>
    <row r="712" ht="14.1" customHeight="1"/>
    <row r="713" ht="14.1" customHeight="1"/>
    <row r="714" ht="14.1" customHeight="1"/>
    <row r="715" ht="14.1" customHeight="1"/>
    <row r="716" ht="14.1" customHeight="1"/>
    <row r="717" ht="14.1" customHeight="1"/>
    <row r="718" ht="14.1" customHeight="1"/>
    <row r="719" ht="14.1" customHeight="1"/>
    <row r="720" ht="14.1" customHeight="1"/>
    <row r="721" ht="14.1" customHeight="1"/>
    <row r="722" ht="14.1" customHeight="1"/>
    <row r="723" ht="14.1" customHeight="1"/>
    <row r="724" ht="14.1" customHeight="1"/>
    <row r="725" ht="14.1" customHeight="1"/>
    <row r="726" ht="14.1" customHeight="1"/>
    <row r="727" ht="14.1" customHeight="1"/>
    <row r="728" ht="14.1" customHeight="1"/>
    <row r="729" ht="14.1" customHeight="1"/>
    <row r="730" ht="14.1" customHeight="1"/>
    <row r="731" ht="14.1" customHeight="1"/>
    <row r="732" ht="14.1" customHeight="1"/>
    <row r="733" ht="14.1" customHeight="1"/>
    <row r="734" ht="14.1" customHeight="1"/>
    <row r="735" ht="14.1" customHeight="1"/>
    <row r="736" ht="14.1" customHeight="1"/>
    <row r="737" ht="14.1" customHeight="1"/>
    <row r="738" ht="14.1" customHeight="1"/>
    <row r="739" ht="14.1" customHeight="1"/>
    <row r="740" ht="14.1" customHeight="1"/>
    <row r="741" ht="14.1" customHeight="1"/>
    <row r="742" ht="14.1" customHeight="1"/>
    <row r="743" ht="14.1" customHeight="1"/>
    <row r="744" ht="14.1" customHeight="1"/>
    <row r="745" ht="14.1" customHeight="1"/>
    <row r="746" ht="14.1" customHeight="1"/>
    <row r="747" ht="14.1" customHeight="1"/>
    <row r="748" ht="14.1" customHeight="1"/>
    <row r="749" ht="14.1" customHeight="1"/>
    <row r="750" ht="14.1" customHeight="1"/>
    <row r="751" ht="14.1" customHeight="1"/>
    <row r="752" ht="14.1" customHeight="1"/>
    <row r="753" ht="14.1" customHeight="1"/>
    <row r="754" ht="14.1" customHeight="1"/>
    <row r="755" ht="14.1" customHeight="1"/>
    <row r="756" ht="14.1" customHeight="1"/>
    <row r="757" ht="14.1" customHeight="1"/>
    <row r="758" ht="14.1" customHeight="1"/>
    <row r="759" ht="14.1" customHeight="1"/>
    <row r="760" ht="14.1" customHeight="1"/>
    <row r="761" ht="14.1" customHeight="1"/>
    <row r="762" ht="14.1" customHeight="1"/>
    <row r="763" ht="14.1" customHeight="1"/>
    <row r="764" ht="14.1" customHeight="1"/>
    <row r="765" ht="14.1" customHeight="1"/>
    <row r="766" ht="14.1" customHeight="1"/>
    <row r="767" ht="14.1" customHeight="1"/>
    <row r="768" ht="14.1" customHeight="1"/>
    <row r="769" ht="14.1" customHeight="1"/>
    <row r="770" ht="14.1" customHeight="1"/>
    <row r="771" ht="14.1" customHeight="1"/>
    <row r="772" ht="14.1" customHeight="1"/>
    <row r="773" ht="14.1" customHeight="1"/>
    <row r="774" ht="14.1" customHeight="1"/>
    <row r="775" ht="14.1" customHeight="1"/>
    <row r="776" ht="14.1" customHeight="1"/>
    <row r="777" ht="14.1" customHeight="1"/>
    <row r="778" ht="14.1" customHeight="1"/>
    <row r="779" ht="14.1" customHeight="1"/>
    <row r="780" ht="14.1" customHeight="1"/>
    <row r="781" ht="14.1" customHeight="1"/>
    <row r="782" ht="14.1" customHeight="1"/>
    <row r="783" ht="14.1" customHeight="1"/>
    <row r="784" ht="14.1" customHeight="1"/>
    <row r="785" ht="14.1" customHeight="1"/>
    <row r="786" ht="14.1" customHeight="1"/>
    <row r="787" ht="14.1" customHeight="1"/>
    <row r="788" ht="14.1" customHeight="1"/>
    <row r="789" ht="14.1" customHeight="1"/>
    <row r="790" ht="14.1" customHeight="1"/>
    <row r="791" ht="14.1" customHeight="1"/>
    <row r="792" ht="14.1" customHeight="1"/>
    <row r="793" ht="14.1" customHeight="1"/>
  </sheetData>
  <autoFilter ref="A4:U29" xr:uid="{00000000-0009-0000-0000-000016000000}"/>
  <pageMargins left="0.61" right="0.16" top="0.87" bottom="0.21" header="0.16" footer="0.16"/>
  <pageSetup paperSize="8" scale="69" orientation="landscape"/>
  <headerFooter alignWithMargins="0">
    <oddFooter>&amp;L_x000D_&amp;1#&amp;"Arial"&amp;7&amp;KDAD4CE Public&amp;C&amp;"Verdana"&amp;10 &amp;KC1C1C1_x000D_# Restricted</oddFooter>
  </headerFooter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700-000000000000}">
  <sheetPr codeName="Sheet20">
    <tabColor rgb="FF92D050"/>
    <pageSetUpPr fitToPage="1"/>
  </sheetPr>
  <dimension ref="A1:U793"/>
  <sheetViews>
    <sheetView zoomScale="80" zoomScaleNormal="80" workbookViewId="0">
      <pane ySplit="4" topLeftCell="A5" activePane="bottomLeft" state="frozen"/>
      <selection activeCell="A16" sqref="A16"/>
      <selection pane="bottomLeft" activeCell="A16" sqref="A16"/>
    </sheetView>
  </sheetViews>
  <sheetFormatPr defaultColWidth="8.85546875" defaultRowHeight="15" customHeight="1"/>
  <cols>
    <col min="1" max="1" width="4.140625" style="3" customWidth="1"/>
    <col min="2" max="3" width="8.5703125" style="20" customWidth="1"/>
    <col min="4" max="4" width="14.5703125" style="3" customWidth="1"/>
    <col min="5" max="5" width="20.5703125" style="20" customWidth="1"/>
    <col min="6" max="6" width="8.5703125" style="3" customWidth="1"/>
    <col min="7" max="7" width="32.5703125" style="2" customWidth="1"/>
    <col min="8" max="8" width="18.5703125" style="3" customWidth="1"/>
    <col min="9" max="9" width="62.5703125" style="2" customWidth="1"/>
    <col min="10" max="12" width="9.5703125" style="3" customWidth="1"/>
    <col min="13" max="13" width="10.5703125" style="3" customWidth="1"/>
    <col min="14" max="14" width="8.5703125" style="3" customWidth="1"/>
    <col min="15" max="15" width="10.5703125" style="3" customWidth="1"/>
    <col min="16" max="16" width="5.5703125" style="3" customWidth="1"/>
    <col min="17" max="17" width="1.5703125" style="2" customWidth="1"/>
    <col min="18" max="18" width="10.5703125" style="30" customWidth="1"/>
    <col min="19" max="19" width="1.5703125" style="2" customWidth="1"/>
    <col min="20" max="21" width="10.5703125" style="2" customWidth="1"/>
    <col min="22" max="220" width="8.85546875" style="2" customWidth="1"/>
    <col min="221" max="221" width="8.140625" style="2" customWidth="1"/>
    <col min="222" max="222" width="14.42578125" style="2" customWidth="1"/>
    <col min="223" max="223" width="37.42578125" style="2" customWidth="1"/>
    <col min="224" max="224" width="63.140625" style="2" customWidth="1"/>
    <col min="225" max="225" width="20" style="2" customWidth="1"/>
    <col min="226" max="226" width="11.140625" style="2" customWidth="1"/>
    <col min="227" max="227" width="10.85546875" style="2" customWidth="1"/>
    <col min="228" max="228" width="21" style="2" customWidth="1"/>
    <col min="229" max="229" width="10.85546875" style="2" customWidth="1"/>
    <col min="230" max="230" width="17.42578125" style="2" customWidth="1"/>
    <col min="231" max="231" width="14.85546875" style="2" customWidth="1"/>
    <col min="232" max="232" width="15" style="2" customWidth="1"/>
    <col min="233" max="233" width="14.85546875" style="2" customWidth="1"/>
    <col min="234" max="234" width="7.140625" style="2" customWidth="1"/>
    <col min="235" max="236" width="20.140625" style="2" customWidth="1"/>
    <col min="237" max="237" width="18.42578125" style="2" customWidth="1"/>
    <col min="238" max="238" width="9.140625" style="2" customWidth="1"/>
    <col min="239" max="239" width="12" style="2" customWidth="1"/>
    <col min="240" max="240" width="14.85546875" style="2" customWidth="1"/>
    <col min="241" max="241" width="22.42578125" style="2" customWidth="1"/>
    <col min="242" max="242" width="14.85546875" style="2" customWidth="1"/>
    <col min="243" max="243" width="7.140625" style="2" customWidth="1"/>
    <col min="244" max="244" width="20.140625" style="2" customWidth="1"/>
    <col min="245" max="476" width="8.85546875" style="2" customWidth="1"/>
    <col min="477" max="477" width="8.140625" style="2" customWidth="1"/>
    <col min="478" max="478" width="14.42578125" style="2" customWidth="1"/>
    <col min="479" max="479" width="37.42578125" style="2" customWidth="1"/>
    <col min="480" max="480" width="63.140625" style="2" customWidth="1"/>
    <col min="481" max="481" width="20" style="2" customWidth="1"/>
    <col min="482" max="482" width="11.140625" style="2" customWidth="1"/>
    <col min="483" max="483" width="10.85546875" style="2" customWidth="1"/>
    <col min="484" max="484" width="21" style="2" customWidth="1"/>
    <col min="485" max="485" width="10.85546875" style="2" customWidth="1"/>
    <col min="486" max="486" width="17.42578125" style="2" customWidth="1"/>
    <col min="487" max="487" width="14.85546875" style="2" customWidth="1"/>
    <col min="488" max="488" width="15" style="2" customWidth="1"/>
    <col min="489" max="489" width="14.85546875" style="2" customWidth="1"/>
    <col min="490" max="490" width="7.140625" style="2" customWidth="1"/>
    <col min="491" max="492" width="20.140625" style="2" customWidth="1"/>
    <col min="493" max="493" width="18.42578125" style="2" customWidth="1"/>
    <col min="494" max="494" width="9.140625" style="2" customWidth="1"/>
    <col min="495" max="495" width="12" style="2" customWidth="1"/>
    <col min="496" max="496" width="14.85546875" style="2" customWidth="1"/>
    <col min="497" max="497" width="22.42578125" style="2" customWidth="1"/>
    <col min="498" max="498" width="14.85546875" style="2" customWidth="1"/>
    <col min="499" max="499" width="7.140625" style="2" customWidth="1"/>
    <col min="500" max="500" width="20.140625" style="2" customWidth="1"/>
    <col min="501" max="732" width="8.85546875" style="2" customWidth="1"/>
    <col min="733" max="733" width="8.140625" style="2" customWidth="1"/>
    <col min="734" max="734" width="14.42578125" style="2" customWidth="1"/>
    <col min="735" max="735" width="37.42578125" style="2" customWidth="1"/>
    <col min="736" max="736" width="63.140625" style="2" customWidth="1"/>
    <col min="737" max="737" width="20" style="2" customWidth="1"/>
    <col min="738" max="738" width="11.140625" style="2" customWidth="1"/>
    <col min="739" max="739" width="10.85546875" style="2" customWidth="1"/>
    <col min="740" max="740" width="21" style="2" customWidth="1"/>
    <col min="741" max="741" width="10.85546875" style="2" customWidth="1"/>
    <col min="742" max="742" width="17.42578125" style="2" customWidth="1"/>
    <col min="743" max="743" width="14.85546875" style="2" customWidth="1"/>
    <col min="744" max="744" width="15" style="2" customWidth="1"/>
    <col min="745" max="745" width="14.85546875" style="2" customWidth="1"/>
    <col min="746" max="746" width="7.140625" style="2" customWidth="1"/>
    <col min="747" max="748" width="20.140625" style="2" customWidth="1"/>
    <col min="749" max="749" width="18.42578125" style="2" customWidth="1"/>
    <col min="750" max="750" width="9.140625" style="2" customWidth="1"/>
    <col min="751" max="751" width="12" style="2" customWidth="1"/>
    <col min="752" max="752" width="14.85546875" style="2" customWidth="1"/>
    <col min="753" max="753" width="22.42578125" style="2" customWidth="1"/>
    <col min="754" max="754" width="14.85546875" style="2" customWidth="1"/>
    <col min="755" max="755" width="7.140625" style="2" customWidth="1"/>
    <col min="756" max="756" width="20.140625" style="2" customWidth="1"/>
    <col min="757" max="988" width="8.85546875" style="2" customWidth="1"/>
    <col min="989" max="989" width="8.140625" style="2" customWidth="1"/>
    <col min="990" max="990" width="14.42578125" style="2" customWidth="1"/>
    <col min="991" max="991" width="37.42578125" style="2" customWidth="1"/>
    <col min="992" max="992" width="63.140625" style="2" customWidth="1"/>
    <col min="993" max="993" width="20" style="2" customWidth="1"/>
    <col min="994" max="994" width="11.140625" style="2" customWidth="1"/>
    <col min="995" max="995" width="10.85546875" style="2" customWidth="1"/>
    <col min="996" max="996" width="21" style="2" customWidth="1"/>
    <col min="997" max="997" width="10.85546875" style="2" customWidth="1"/>
    <col min="998" max="998" width="17.42578125" style="2" customWidth="1"/>
    <col min="999" max="999" width="14.85546875" style="2" customWidth="1"/>
    <col min="1000" max="1000" width="15" style="2" customWidth="1"/>
    <col min="1001" max="1001" width="14.85546875" style="2" customWidth="1"/>
    <col min="1002" max="1002" width="7.140625" style="2" customWidth="1"/>
    <col min="1003" max="1004" width="20.140625" style="2" customWidth="1"/>
    <col min="1005" max="1005" width="18.42578125" style="2" customWidth="1"/>
    <col min="1006" max="1006" width="9.140625" style="2" customWidth="1"/>
    <col min="1007" max="1007" width="12" style="2" customWidth="1"/>
    <col min="1008" max="1008" width="14.85546875" style="2" customWidth="1"/>
    <col min="1009" max="1009" width="22.42578125" style="2" customWidth="1"/>
    <col min="1010" max="1010" width="14.85546875" style="2" customWidth="1"/>
    <col min="1011" max="1011" width="7.140625" style="2" customWidth="1"/>
    <col min="1012" max="1012" width="20.140625" style="2" customWidth="1"/>
    <col min="1013" max="1244" width="8.85546875" style="2" customWidth="1"/>
    <col min="1245" max="1245" width="8.140625" style="2" customWidth="1"/>
    <col min="1246" max="1246" width="14.42578125" style="2" customWidth="1"/>
    <col min="1247" max="1247" width="37.42578125" style="2" customWidth="1"/>
    <col min="1248" max="1248" width="63.140625" style="2" customWidth="1"/>
    <col min="1249" max="1249" width="20" style="2" customWidth="1"/>
    <col min="1250" max="1250" width="11.140625" style="2" customWidth="1"/>
    <col min="1251" max="1251" width="10.85546875" style="2" customWidth="1"/>
    <col min="1252" max="1252" width="21" style="2" customWidth="1"/>
    <col min="1253" max="1253" width="10.85546875" style="2" customWidth="1"/>
    <col min="1254" max="1254" width="17.42578125" style="2" customWidth="1"/>
    <col min="1255" max="1255" width="14.85546875" style="2" customWidth="1"/>
    <col min="1256" max="1256" width="15" style="2" customWidth="1"/>
    <col min="1257" max="1257" width="14.85546875" style="2" customWidth="1"/>
    <col min="1258" max="1258" width="7.140625" style="2" customWidth="1"/>
    <col min="1259" max="1260" width="20.140625" style="2" customWidth="1"/>
    <col min="1261" max="1261" width="18.42578125" style="2" customWidth="1"/>
    <col min="1262" max="1262" width="9.140625" style="2" customWidth="1"/>
    <col min="1263" max="1263" width="12" style="2" customWidth="1"/>
    <col min="1264" max="1264" width="14.85546875" style="2" customWidth="1"/>
    <col min="1265" max="1265" width="22.42578125" style="2" customWidth="1"/>
    <col min="1266" max="1266" width="14.85546875" style="2" customWidth="1"/>
    <col min="1267" max="1267" width="7.140625" style="2" customWidth="1"/>
    <col min="1268" max="1268" width="20.140625" style="2" customWidth="1"/>
    <col min="1269" max="1500" width="8.85546875" style="2" customWidth="1"/>
    <col min="1501" max="1501" width="8.140625" style="2" customWidth="1"/>
    <col min="1502" max="1502" width="14.42578125" style="2" customWidth="1"/>
    <col min="1503" max="1503" width="37.42578125" style="2" customWidth="1"/>
    <col min="1504" max="1504" width="63.140625" style="2" customWidth="1"/>
    <col min="1505" max="1505" width="20" style="2" customWidth="1"/>
    <col min="1506" max="1506" width="11.140625" style="2" customWidth="1"/>
    <col min="1507" max="1507" width="10.85546875" style="2" customWidth="1"/>
    <col min="1508" max="1508" width="21" style="2" customWidth="1"/>
    <col min="1509" max="1509" width="10.85546875" style="2" customWidth="1"/>
    <col min="1510" max="1510" width="17.42578125" style="2" customWidth="1"/>
    <col min="1511" max="1511" width="14.85546875" style="2" customWidth="1"/>
    <col min="1512" max="1512" width="15" style="2" customWidth="1"/>
    <col min="1513" max="1513" width="14.85546875" style="2" customWidth="1"/>
    <col min="1514" max="1514" width="7.140625" style="2" customWidth="1"/>
    <col min="1515" max="1516" width="20.140625" style="2" customWidth="1"/>
    <col min="1517" max="1517" width="18.42578125" style="2" customWidth="1"/>
    <col min="1518" max="1518" width="9.140625" style="2" customWidth="1"/>
    <col min="1519" max="1519" width="12" style="2" customWidth="1"/>
    <col min="1520" max="1520" width="14.85546875" style="2" customWidth="1"/>
    <col min="1521" max="1521" width="22.42578125" style="2" customWidth="1"/>
    <col min="1522" max="1522" width="14.85546875" style="2" customWidth="1"/>
    <col min="1523" max="1523" width="7.140625" style="2" customWidth="1"/>
    <col min="1524" max="1524" width="20.140625" style="2" customWidth="1"/>
    <col min="1525" max="1756" width="8.85546875" style="2" customWidth="1"/>
    <col min="1757" max="1757" width="8.140625" style="2" customWidth="1"/>
    <col min="1758" max="1758" width="14.42578125" style="2" customWidth="1"/>
    <col min="1759" max="1759" width="37.42578125" style="2" customWidth="1"/>
    <col min="1760" max="1760" width="63.140625" style="2" customWidth="1"/>
    <col min="1761" max="1761" width="20" style="2" customWidth="1"/>
    <col min="1762" max="1762" width="11.140625" style="2" customWidth="1"/>
    <col min="1763" max="1763" width="10.85546875" style="2" customWidth="1"/>
    <col min="1764" max="1764" width="21" style="2" customWidth="1"/>
    <col min="1765" max="1765" width="10.85546875" style="2" customWidth="1"/>
    <col min="1766" max="1766" width="17.42578125" style="2" customWidth="1"/>
    <col min="1767" max="1767" width="14.85546875" style="2" customWidth="1"/>
    <col min="1768" max="1768" width="15" style="2" customWidth="1"/>
    <col min="1769" max="1769" width="14.85546875" style="2" customWidth="1"/>
    <col min="1770" max="1770" width="7.140625" style="2" customWidth="1"/>
    <col min="1771" max="1772" width="20.140625" style="2" customWidth="1"/>
    <col min="1773" max="1773" width="18.42578125" style="2" customWidth="1"/>
    <col min="1774" max="1774" width="9.140625" style="2" customWidth="1"/>
    <col min="1775" max="1775" width="12" style="2" customWidth="1"/>
    <col min="1776" max="1776" width="14.85546875" style="2" customWidth="1"/>
    <col min="1777" max="1777" width="22.42578125" style="2" customWidth="1"/>
    <col min="1778" max="1778" width="14.85546875" style="2" customWidth="1"/>
    <col min="1779" max="1779" width="7.140625" style="2" customWidth="1"/>
    <col min="1780" max="1780" width="20.140625" style="2" customWidth="1"/>
    <col min="1781" max="2012" width="8.85546875" style="2" customWidth="1"/>
    <col min="2013" max="2013" width="8.140625" style="2" customWidth="1"/>
    <col min="2014" max="2014" width="14.42578125" style="2" customWidth="1"/>
    <col min="2015" max="2015" width="37.42578125" style="2" customWidth="1"/>
    <col min="2016" max="2016" width="63.140625" style="2" customWidth="1"/>
    <col min="2017" max="2017" width="20" style="2" customWidth="1"/>
    <col min="2018" max="2018" width="11.140625" style="2" customWidth="1"/>
    <col min="2019" max="2019" width="10.85546875" style="2" customWidth="1"/>
    <col min="2020" max="2020" width="21" style="2" customWidth="1"/>
    <col min="2021" max="2021" width="10.85546875" style="2" customWidth="1"/>
    <col min="2022" max="2022" width="17.42578125" style="2" customWidth="1"/>
    <col min="2023" max="2023" width="14.85546875" style="2" customWidth="1"/>
    <col min="2024" max="2024" width="15" style="2" customWidth="1"/>
    <col min="2025" max="2025" width="14.85546875" style="2" customWidth="1"/>
    <col min="2026" max="2026" width="7.140625" style="2" customWidth="1"/>
    <col min="2027" max="2028" width="20.140625" style="2" customWidth="1"/>
    <col min="2029" max="2029" width="18.42578125" style="2" customWidth="1"/>
    <col min="2030" max="2030" width="9.140625" style="2" customWidth="1"/>
    <col min="2031" max="2031" width="12" style="2" customWidth="1"/>
    <col min="2032" max="2032" width="14.85546875" style="2" customWidth="1"/>
    <col min="2033" max="2033" width="22.42578125" style="2" customWidth="1"/>
    <col min="2034" max="2034" width="14.85546875" style="2" customWidth="1"/>
    <col min="2035" max="2035" width="7.140625" style="2" customWidth="1"/>
    <col min="2036" max="2036" width="20.140625" style="2" customWidth="1"/>
    <col min="2037" max="2268" width="8.85546875" style="2" customWidth="1"/>
    <col min="2269" max="2269" width="8.140625" style="2" customWidth="1"/>
    <col min="2270" max="2270" width="14.42578125" style="2" customWidth="1"/>
    <col min="2271" max="2271" width="37.42578125" style="2" customWidth="1"/>
    <col min="2272" max="2272" width="63.140625" style="2" customWidth="1"/>
    <col min="2273" max="2273" width="20" style="2" customWidth="1"/>
    <col min="2274" max="2274" width="11.140625" style="2" customWidth="1"/>
    <col min="2275" max="2275" width="10.85546875" style="2" customWidth="1"/>
    <col min="2276" max="2276" width="21" style="2" customWidth="1"/>
    <col min="2277" max="2277" width="10.85546875" style="2" customWidth="1"/>
    <col min="2278" max="2278" width="17.42578125" style="2" customWidth="1"/>
    <col min="2279" max="2279" width="14.85546875" style="2" customWidth="1"/>
    <col min="2280" max="2280" width="15" style="2" customWidth="1"/>
    <col min="2281" max="2281" width="14.85546875" style="2" customWidth="1"/>
    <col min="2282" max="2282" width="7.140625" style="2" customWidth="1"/>
    <col min="2283" max="2284" width="20.140625" style="2" customWidth="1"/>
    <col min="2285" max="2285" width="18.42578125" style="2" customWidth="1"/>
    <col min="2286" max="2286" width="9.140625" style="2" customWidth="1"/>
    <col min="2287" max="2287" width="12" style="2" customWidth="1"/>
    <col min="2288" max="2288" width="14.85546875" style="2" customWidth="1"/>
    <col min="2289" max="2289" width="22.42578125" style="2" customWidth="1"/>
    <col min="2290" max="2290" width="14.85546875" style="2" customWidth="1"/>
    <col min="2291" max="2291" width="7.140625" style="2" customWidth="1"/>
    <col min="2292" max="2292" width="20.140625" style="2" customWidth="1"/>
    <col min="2293" max="2524" width="8.85546875" style="2" customWidth="1"/>
    <col min="2525" max="2525" width="8.140625" style="2" customWidth="1"/>
    <col min="2526" max="2526" width="14.42578125" style="2" customWidth="1"/>
    <col min="2527" max="2527" width="37.42578125" style="2" customWidth="1"/>
    <col min="2528" max="2528" width="63.140625" style="2" customWidth="1"/>
    <col min="2529" max="2529" width="20" style="2" customWidth="1"/>
    <col min="2530" max="2530" width="11.140625" style="2" customWidth="1"/>
    <col min="2531" max="2531" width="10.85546875" style="2" customWidth="1"/>
    <col min="2532" max="2532" width="21" style="2" customWidth="1"/>
    <col min="2533" max="2533" width="10.85546875" style="2" customWidth="1"/>
    <col min="2534" max="2534" width="17.42578125" style="2" customWidth="1"/>
    <col min="2535" max="2535" width="14.85546875" style="2" customWidth="1"/>
    <col min="2536" max="2536" width="15" style="2" customWidth="1"/>
    <col min="2537" max="2537" width="14.85546875" style="2" customWidth="1"/>
    <col min="2538" max="2538" width="7.140625" style="2" customWidth="1"/>
    <col min="2539" max="2540" width="20.140625" style="2" customWidth="1"/>
    <col min="2541" max="2541" width="18.42578125" style="2" customWidth="1"/>
    <col min="2542" max="2542" width="9.140625" style="2" customWidth="1"/>
    <col min="2543" max="2543" width="12" style="2" customWidth="1"/>
    <col min="2544" max="2544" width="14.85546875" style="2" customWidth="1"/>
    <col min="2545" max="2545" width="22.42578125" style="2" customWidth="1"/>
    <col min="2546" max="2546" width="14.85546875" style="2" customWidth="1"/>
    <col min="2547" max="2547" width="7.140625" style="2" customWidth="1"/>
    <col min="2548" max="2548" width="20.140625" style="2" customWidth="1"/>
    <col min="2549" max="2780" width="8.85546875" style="2" customWidth="1"/>
    <col min="2781" max="2781" width="8.140625" style="2" customWidth="1"/>
    <col min="2782" max="2782" width="14.42578125" style="2" customWidth="1"/>
    <col min="2783" max="2783" width="37.42578125" style="2" customWidth="1"/>
    <col min="2784" max="2784" width="63.140625" style="2" customWidth="1"/>
    <col min="2785" max="2785" width="20" style="2" customWidth="1"/>
    <col min="2786" max="2786" width="11.140625" style="2" customWidth="1"/>
    <col min="2787" max="2787" width="10.85546875" style="2" customWidth="1"/>
    <col min="2788" max="2788" width="21" style="2" customWidth="1"/>
    <col min="2789" max="2789" width="10.85546875" style="2" customWidth="1"/>
    <col min="2790" max="2790" width="17.42578125" style="2" customWidth="1"/>
    <col min="2791" max="2791" width="14.85546875" style="2" customWidth="1"/>
    <col min="2792" max="2792" width="15" style="2" customWidth="1"/>
    <col min="2793" max="2793" width="14.85546875" style="2" customWidth="1"/>
    <col min="2794" max="2794" width="7.140625" style="2" customWidth="1"/>
    <col min="2795" max="2796" width="20.140625" style="2" customWidth="1"/>
    <col min="2797" max="2797" width="18.42578125" style="2" customWidth="1"/>
    <col min="2798" max="2798" width="9.140625" style="2" customWidth="1"/>
    <col min="2799" max="2799" width="12" style="2" customWidth="1"/>
    <col min="2800" max="2800" width="14.85546875" style="2" customWidth="1"/>
    <col min="2801" max="2801" width="22.42578125" style="2" customWidth="1"/>
    <col min="2802" max="2802" width="14.85546875" style="2" customWidth="1"/>
    <col min="2803" max="2803" width="7.140625" style="2" customWidth="1"/>
    <col min="2804" max="2804" width="20.140625" style="2" customWidth="1"/>
    <col min="2805" max="3036" width="8.85546875" style="2" customWidth="1"/>
    <col min="3037" max="3037" width="8.140625" style="2" customWidth="1"/>
    <col min="3038" max="3038" width="14.42578125" style="2" customWidth="1"/>
    <col min="3039" max="3039" width="37.42578125" style="2" customWidth="1"/>
    <col min="3040" max="3040" width="63.140625" style="2" customWidth="1"/>
    <col min="3041" max="3041" width="20" style="2" customWidth="1"/>
    <col min="3042" max="3042" width="11.140625" style="2" customWidth="1"/>
    <col min="3043" max="3043" width="10.85546875" style="2" customWidth="1"/>
    <col min="3044" max="3044" width="21" style="2" customWidth="1"/>
    <col min="3045" max="3045" width="10.85546875" style="2" customWidth="1"/>
    <col min="3046" max="3046" width="17.42578125" style="2" customWidth="1"/>
    <col min="3047" max="3047" width="14.85546875" style="2" customWidth="1"/>
    <col min="3048" max="3048" width="15" style="2" customWidth="1"/>
    <col min="3049" max="3049" width="14.85546875" style="2" customWidth="1"/>
    <col min="3050" max="3050" width="7.140625" style="2" customWidth="1"/>
    <col min="3051" max="3052" width="20.140625" style="2" customWidth="1"/>
    <col min="3053" max="3053" width="18.42578125" style="2" customWidth="1"/>
    <col min="3054" max="3054" width="9.140625" style="2" customWidth="1"/>
    <col min="3055" max="3055" width="12" style="2" customWidth="1"/>
    <col min="3056" max="3056" width="14.85546875" style="2" customWidth="1"/>
    <col min="3057" max="3057" width="22.42578125" style="2" customWidth="1"/>
    <col min="3058" max="3058" width="14.85546875" style="2" customWidth="1"/>
    <col min="3059" max="3059" width="7.140625" style="2" customWidth="1"/>
    <col min="3060" max="3060" width="20.140625" style="2" customWidth="1"/>
    <col min="3061" max="3292" width="8.85546875" style="2" customWidth="1"/>
    <col min="3293" max="3293" width="8.140625" style="2" customWidth="1"/>
    <col min="3294" max="3294" width="14.42578125" style="2" customWidth="1"/>
    <col min="3295" max="3295" width="37.42578125" style="2" customWidth="1"/>
    <col min="3296" max="3296" width="63.140625" style="2" customWidth="1"/>
    <col min="3297" max="3297" width="20" style="2" customWidth="1"/>
    <col min="3298" max="3298" width="11.140625" style="2" customWidth="1"/>
    <col min="3299" max="3299" width="10.85546875" style="2" customWidth="1"/>
    <col min="3300" max="3300" width="21" style="2" customWidth="1"/>
    <col min="3301" max="3301" width="10.85546875" style="2" customWidth="1"/>
    <col min="3302" max="3302" width="17.42578125" style="2" customWidth="1"/>
    <col min="3303" max="3303" width="14.85546875" style="2" customWidth="1"/>
    <col min="3304" max="3304" width="15" style="2" customWidth="1"/>
    <col min="3305" max="3305" width="14.85546875" style="2" customWidth="1"/>
    <col min="3306" max="3306" width="7.140625" style="2" customWidth="1"/>
    <col min="3307" max="3308" width="20.140625" style="2" customWidth="1"/>
    <col min="3309" max="3309" width="18.42578125" style="2" customWidth="1"/>
    <col min="3310" max="3310" width="9.140625" style="2" customWidth="1"/>
    <col min="3311" max="3311" width="12" style="2" customWidth="1"/>
    <col min="3312" max="3312" width="14.85546875" style="2" customWidth="1"/>
    <col min="3313" max="3313" width="22.42578125" style="2" customWidth="1"/>
    <col min="3314" max="3314" width="14.85546875" style="2" customWidth="1"/>
    <col min="3315" max="3315" width="7.140625" style="2" customWidth="1"/>
    <col min="3316" max="3316" width="20.140625" style="2" customWidth="1"/>
    <col min="3317" max="3548" width="8.85546875" style="2" customWidth="1"/>
    <col min="3549" max="3549" width="8.140625" style="2" customWidth="1"/>
    <col min="3550" max="3550" width="14.42578125" style="2" customWidth="1"/>
    <col min="3551" max="3551" width="37.42578125" style="2" customWidth="1"/>
    <col min="3552" max="3552" width="63.140625" style="2" customWidth="1"/>
    <col min="3553" max="3553" width="20" style="2" customWidth="1"/>
    <col min="3554" max="3554" width="11.140625" style="2" customWidth="1"/>
    <col min="3555" max="3555" width="10.85546875" style="2" customWidth="1"/>
    <col min="3556" max="3556" width="21" style="2" customWidth="1"/>
    <col min="3557" max="3557" width="10.85546875" style="2" customWidth="1"/>
    <col min="3558" max="3558" width="17.42578125" style="2" customWidth="1"/>
    <col min="3559" max="3559" width="14.85546875" style="2" customWidth="1"/>
    <col min="3560" max="3560" width="15" style="2" customWidth="1"/>
    <col min="3561" max="3561" width="14.85546875" style="2" customWidth="1"/>
    <col min="3562" max="3562" width="7.140625" style="2" customWidth="1"/>
    <col min="3563" max="3564" width="20.140625" style="2" customWidth="1"/>
    <col min="3565" max="3565" width="18.42578125" style="2" customWidth="1"/>
    <col min="3566" max="3566" width="9.140625" style="2" customWidth="1"/>
    <col min="3567" max="3567" width="12" style="2" customWidth="1"/>
    <col min="3568" max="3568" width="14.85546875" style="2" customWidth="1"/>
    <col min="3569" max="3569" width="22.42578125" style="2" customWidth="1"/>
    <col min="3570" max="3570" width="14.85546875" style="2" customWidth="1"/>
    <col min="3571" max="3571" width="7.140625" style="2" customWidth="1"/>
    <col min="3572" max="3572" width="20.140625" style="2" customWidth="1"/>
    <col min="3573" max="3804" width="8.85546875" style="2" customWidth="1"/>
    <col min="3805" max="3805" width="8.140625" style="2" customWidth="1"/>
    <col min="3806" max="3806" width="14.42578125" style="2" customWidth="1"/>
    <col min="3807" max="3807" width="37.42578125" style="2" customWidth="1"/>
    <col min="3808" max="3808" width="63.140625" style="2" customWidth="1"/>
    <col min="3809" max="3809" width="20" style="2" customWidth="1"/>
    <col min="3810" max="3810" width="11.140625" style="2" customWidth="1"/>
    <col min="3811" max="3811" width="10.85546875" style="2" customWidth="1"/>
    <col min="3812" max="3812" width="21" style="2" customWidth="1"/>
    <col min="3813" max="3813" width="10.85546875" style="2" customWidth="1"/>
    <col min="3814" max="3814" width="17.42578125" style="2" customWidth="1"/>
    <col min="3815" max="3815" width="14.85546875" style="2" customWidth="1"/>
    <col min="3816" max="3816" width="15" style="2" customWidth="1"/>
    <col min="3817" max="3817" width="14.85546875" style="2" customWidth="1"/>
    <col min="3818" max="3818" width="7.140625" style="2" customWidth="1"/>
    <col min="3819" max="3820" width="20.140625" style="2" customWidth="1"/>
    <col min="3821" max="3821" width="18.42578125" style="2" customWidth="1"/>
    <col min="3822" max="3822" width="9.140625" style="2" customWidth="1"/>
    <col min="3823" max="3823" width="12" style="2" customWidth="1"/>
    <col min="3824" max="3824" width="14.85546875" style="2" customWidth="1"/>
    <col min="3825" max="3825" width="22.42578125" style="2" customWidth="1"/>
    <col min="3826" max="3826" width="14.85546875" style="2" customWidth="1"/>
    <col min="3827" max="3827" width="7.140625" style="2" customWidth="1"/>
    <col min="3828" max="3828" width="20.140625" style="2" customWidth="1"/>
    <col min="3829" max="4060" width="8.85546875" style="2" customWidth="1"/>
    <col min="4061" max="4061" width="8.140625" style="2" customWidth="1"/>
    <col min="4062" max="4062" width="14.42578125" style="2" customWidth="1"/>
    <col min="4063" max="4063" width="37.42578125" style="2" customWidth="1"/>
    <col min="4064" max="4064" width="63.140625" style="2" customWidth="1"/>
    <col min="4065" max="4065" width="20" style="2" customWidth="1"/>
    <col min="4066" max="4066" width="11.140625" style="2" customWidth="1"/>
    <col min="4067" max="4067" width="10.85546875" style="2" customWidth="1"/>
    <col min="4068" max="4068" width="21" style="2" customWidth="1"/>
    <col min="4069" max="4069" width="10.85546875" style="2" customWidth="1"/>
    <col min="4070" max="4070" width="17.42578125" style="2" customWidth="1"/>
    <col min="4071" max="4071" width="14.85546875" style="2" customWidth="1"/>
    <col min="4072" max="4072" width="15" style="2" customWidth="1"/>
    <col min="4073" max="4073" width="14.85546875" style="2" customWidth="1"/>
    <col min="4074" max="4074" width="7.140625" style="2" customWidth="1"/>
    <col min="4075" max="4076" width="20.140625" style="2" customWidth="1"/>
    <col min="4077" max="4077" width="18.42578125" style="2" customWidth="1"/>
    <col min="4078" max="4078" width="9.140625" style="2" customWidth="1"/>
    <col min="4079" max="4079" width="12" style="2" customWidth="1"/>
    <col min="4080" max="4080" width="14.85546875" style="2" customWidth="1"/>
    <col min="4081" max="4081" width="22.42578125" style="2" customWidth="1"/>
    <col min="4082" max="4082" width="14.85546875" style="2" customWidth="1"/>
    <col min="4083" max="4083" width="7.140625" style="2" customWidth="1"/>
    <col min="4084" max="4084" width="20.140625" style="2" customWidth="1"/>
    <col min="4085" max="4316" width="8.85546875" style="2" customWidth="1"/>
    <col min="4317" max="4317" width="8.140625" style="2" customWidth="1"/>
    <col min="4318" max="4318" width="14.42578125" style="2" customWidth="1"/>
    <col min="4319" max="4319" width="37.42578125" style="2" customWidth="1"/>
    <col min="4320" max="4320" width="63.140625" style="2" customWidth="1"/>
    <col min="4321" max="4321" width="20" style="2" customWidth="1"/>
    <col min="4322" max="4322" width="11.140625" style="2" customWidth="1"/>
    <col min="4323" max="4323" width="10.85546875" style="2" customWidth="1"/>
    <col min="4324" max="4324" width="21" style="2" customWidth="1"/>
    <col min="4325" max="4325" width="10.85546875" style="2" customWidth="1"/>
    <col min="4326" max="4326" width="17.42578125" style="2" customWidth="1"/>
    <col min="4327" max="4327" width="14.85546875" style="2" customWidth="1"/>
    <col min="4328" max="4328" width="15" style="2" customWidth="1"/>
    <col min="4329" max="4329" width="14.85546875" style="2" customWidth="1"/>
    <col min="4330" max="4330" width="7.140625" style="2" customWidth="1"/>
    <col min="4331" max="4332" width="20.140625" style="2" customWidth="1"/>
    <col min="4333" max="4333" width="18.42578125" style="2" customWidth="1"/>
    <col min="4334" max="4334" width="9.140625" style="2" customWidth="1"/>
    <col min="4335" max="4335" width="12" style="2" customWidth="1"/>
    <col min="4336" max="4336" width="14.85546875" style="2" customWidth="1"/>
    <col min="4337" max="4337" width="22.42578125" style="2" customWidth="1"/>
    <col min="4338" max="4338" width="14.85546875" style="2" customWidth="1"/>
    <col min="4339" max="4339" width="7.140625" style="2" customWidth="1"/>
    <col min="4340" max="4340" width="20.140625" style="2" customWidth="1"/>
    <col min="4341" max="4572" width="8.85546875" style="2" customWidth="1"/>
    <col min="4573" max="4573" width="8.140625" style="2" customWidth="1"/>
    <col min="4574" max="4574" width="14.42578125" style="2" customWidth="1"/>
    <col min="4575" max="4575" width="37.42578125" style="2" customWidth="1"/>
    <col min="4576" max="4576" width="63.140625" style="2" customWidth="1"/>
    <col min="4577" max="4577" width="20" style="2" customWidth="1"/>
    <col min="4578" max="4578" width="11.140625" style="2" customWidth="1"/>
    <col min="4579" max="4579" width="10.85546875" style="2" customWidth="1"/>
    <col min="4580" max="4580" width="21" style="2" customWidth="1"/>
    <col min="4581" max="4581" width="10.85546875" style="2" customWidth="1"/>
    <col min="4582" max="4582" width="17.42578125" style="2" customWidth="1"/>
    <col min="4583" max="4583" width="14.85546875" style="2" customWidth="1"/>
    <col min="4584" max="4584" width="15" style="2" customWidth="1"/>
    <col min="4585" max="4585" width="14.85546875" style="2" customWidth="1"/>
    <col min="4586" max="4586" width="7.140625" style="2" customWidth="1"/>
    <col min="4587" max="4588" width="20.140625" style="2" customWidth="1"/>
    <col min="4589" max="4589" width="18.42578125" style="2" customWidth="1"/>
    <col min="4590" max="4590" width="9.140625" style="2" customWidth="1"/>
    <col min="4591" max="4591" width="12" style="2" customWidth="1"/>
    <col min="4592" max="4592" width="14.85546875" style="2" customWidth="1"/>
    <col min="4593" max="4593" width="22.42578125" style="2" customWidth="1"/>
    <col min="4594" max="4594" width="14.85546875" style="2" customWidth="1"/>
    <col min="4595" max="4595" width="7.140625" style="2" customWidth="1"/>
    <col min="4596" max="4596" width="20.140625" style="2" customWidth="1"/>
    <col min="4597" max="4828" width="8.85546875" style="2" customWidth="1"/>
    <col min="4829" max="4829" width="8.140625" style="2" customWidth="1"/>
    <col min="4830" max="4830" width="14.42578125" style="2" customWidth="1"/>
    <col min="4831" max="4831" width="37.42578125" style="2" customWidth="1"/>
    <col min="4832" max="4832" width="63.140625" style="2" customWidth="1"/>
    <col min="4833" max="4833" width="20" style="2" customWidth="1"/>
    <col min="4834" max="4834" width="11.140625" style="2" customWidth="1"/>
    <col min="4835" max="4835" width="10.85546875" style="2" customWidth="1"/>
    <col min="4836" max="4836" width="21" style="2" customWidth="1"/>
    <col min="4837" max="4837" width="10.85546875" style="2" customWidth="1"/>
    <col min="4838" max="4838" width="17.42578125" style="2" customWidth="1"/>
    <col min="4839" max="4839" width="14.85546875" style="2" customWidth="1"/>
    <col min="4840" max="4840" width="15" style="2" customWidth="1"/>
    <col min="4841" max="4841" width="14.85546875" style="2" customWidth="1"/>
    <col min="4842" max="4842" width="7.140625" style="2" customWidth="1"/>
    <col min="4843" max="4844" width="20.140625" style="2" customWidth="1"/>
    <col min="4845" max="4845" width="18.42578125" style="2" customWidth="1"/>
    <col min="4846" max="4846" width="9.140625" style="2" customWidth="1"/>
    <col min="4847" max="4847" width="12" style="2" customWidth="1"/>
    <col min="4848" max="4848" width="14.85546875" style="2" customWidth="1"/>
    <col min="4849" max="4849" width="22.42578125" style="2" customWidth="1"/>
    <col min="4850" max="4850" width="14.85546875" style="2" customWidth="1"/>
    <col min="4851" max="4851" width="7.140625" style="2" customWidth="1"/>
    <col min="4852" max="4852" width="20.140625" style="2" customWidth="1"/>
    <col min="4853" max="5084" width="8.85546875" style="2" customWidth="1"/>
    <col min="5085" max="5085" width="8.140625" style="2" customWidth="1"/>
    <col min="5086" max="5086" width="14.42578125" style="2" customWidth="1"/>
    <col min="5087" max="5087" width="37.42578125" style="2" customWidth="1"/>
    <col min="5088" max="5088" width="63.140625" style="2" customWidth="1"/>
    <col min="5089" max="5089" width="20" style="2" customWidth="1"/>
    <col min="5090" max="5090" width="11.140625" style="2" customWidth="1"/>
    <col min="5091" max="5091" width="10.85546875" style="2" customWidth="1"/>
    <col min="5092" max="5092" width="21" style="2" customWidth="1"/>
    <col min="5093" max="5093" width="10.85546875" style="2" customWidth="1"/>
    <col min="5094" max="5094" width="17.42578125" style="2" customWidth="1"/>
    <col min="5095" max="5095" width="14.85546875" style="2" customWidth="1"/>
    <col min="5096" max="5096" width="15" style="2" customWidth="1"/>
    <col min="5097" max="5097" width="14.85546875" style="2" customWidth="1"/>
    <col min="5098" max="5098" width="7.140625" style="2" customWidth="1"/>
    <col min="5099" max="5100" width="20.140625" style="2" customWidth="1"/>
    <col min="5101" max="5101" width="18.42578125" style="2" customWidth="1"/>
    <col min="5102" max="5102" width="9.140625" style="2" customWidth="1"/>
    <col min="5103" max="5103" width="12" style="2" customWidth="1"/>
    <col min="5104" max="5104" width="14.85546875" style="2" customWidth="1"/>
    <col min="5105" max="5105" width="22.42578125" style="2" customWidth="1"/>
    <col min="5106" max="5106" width="14.85546875" style="2" customWidth="1"/>
    <col min="5107" max="5107" width="7.140625" style="2" customWidth="1"/>
    <col min="5108" max="5108" width="20.140625" style="2" customWidth="1"/>
    <col min="5109" max="5340" width="8.85546875" style="2" customWidth="1"/>
    <col min="5341" max="5341" width="8.140625" style="2" customWidth="1"/>
    <col min="5342" max="5342" width="14.42578125" style="2" customWidth="1"/>
    <col min="5343" max="5343" width="37.42578125" style="2" customWidth="1"/>
    <col min="5344" max="5344" width="63.140625" style="2" customWidth="1"/>
    <col min="5345" max="5345" width="20" style="2" customWidth="1"/>
    <col min="5346" max="5346" width="11.140625" style="2" customWidth="1"/>
    <col min="5347" max="5347" width="10.85546875" style="2" customWidth="1"/>
    <col min="5348" max="5348" width="21" style="2" customWidth="1"/>
    <col min="5349" max="5349" width="10.85546875" style="2" customWidth="1"/>
    <col min="5350" max="5350" width="17.42578125" style="2" customWidth="1"/>
    <col min="5351" max="5351" width="14.85546875" style="2" customWidth="1"/>
    <col min="5352" max="5352" width="15" style="2" customWidth="1"/>
    <col min="5353" max="5353" width="14.85546875" style="2" customWidth="1"/>
    <col min="5354" max="5354" width="7.140625" style="2" customWidth="1"/>
    <col min="5355" max="5356" width="20.140625" style="2" customWidth="1"/>
    <col min="5357" max="5357" width="18.42578125" style="2" customWidth="1"/>
    <col min="5358" max="5358" width="9.140625" style="2" customWidth="1"/>
    <col min="5359" max="5359" width="12" style="2" customWidth="1"/>
    <col min="5360" max="5360" width="14.85546875" style="2" customWidth="1"/>
    <col min="5361" max="5361" width="22.42578125" style="2" customWidth="1"/>
    <col min="5362" max="5362" width="14.85546875" style="2" customWidth="1"/>
    <col min="5363" max="5363" width="7.140625" style="2" customWidth="1"/>
    <col min="5364" max="5364" width="20.140625" style="2" customWidth="1"/>
    <col min="5365" max="5596" width="8.85546875" style="2" customWidth="1"/>
    <col min="5597" max="5597" width="8.140625" style="2" customWidth="1"/>
    <col min="5598" max="5598" width="14.42578125" style="2" customWidth="1"/>
    <col min="5599" max="5599" width="37.42578125" style="2" customWidth="1"/>
    <col min="5600" max="5600" width="63.140625" style="2" customWidth="1"/>
    <col min="5601" max="5601" width="20" style="2" customWidth="1"/>
    <col min="5602" max="5602" width="11.140625" style="2" customWidth="1"/>
    <col min="5603" max="5603" width="10.85546875" style="2" customWidth="1"/>
    <col min="5604" max="5604" width="21" style="2" customWidth="1"/>
    <col min="5605" max="5605" width="10.85546875" style="2" customWidth="1"/>
    <col min="5606" max="5606" width="17.42578125" style="2" customWidth="1"/>
    <col min="5607" max="5607" width="14.85546875" style="2" customWidth="1"/>
    <col min="5608" max="5608" width="15" style="2" customWidth="1"/>
    <col min="5609" max="5609" width="14.85546875" style="2" customWidth="1"/>
    <col min="5610" max="5610" width="7.140625" style="2" customWidth="1"/>
    <col min="5611" max="5612" width="20.140625" style="2" customWidth="1"/>
    <col min="5613" max="5613" width="18.42578125" style="2" customWidth="1"/>
    <col min="5614" max="5614" width="9.140625" style="2" customWidth="1"/>
    <col min="5615" max="5615" width="12" style="2" customWidth="1"/>
    <col min="5616" max="5616" width="14.85546875" style="2" customWidth="1"/>
    <col min="5617" max="5617" width="22.42578125" style="2" customWidth="1"/>
    <col min="5618" max="5618" width="14.85546875" style="2" customWidth="1"/>
    <col min="5619" max="5619" width="7.140625" style="2" customWidth="1"/>
    <col min="5620" max="5620" width="20.140625" style="2" customWidth="1"/>
    <col min="5621" max="5852" width="8.85546875" style="2" customWidth="1"/>
    <col min="5853" max="5853" width="8.140625" style="2" customWidth="1"/>
    <col min="5854" max="5854" width="14.42578125" style="2" customWidth="1"/>
    <col min="5855" max="5855" width="37.42578125" style="2" customWidth="1"/>
    <col min="5856" max="5856" width="63.140625" style="2" customWidth="1"/>
    <col min="5857" max="5857" width="20" style="2" customWidth="1"/>
    <col min="5858" max="5858" width="11.140625" style="2" customWidth="1"/>
    <col min="5859" max="5859" width="10.85546875" style="2" customWidth="1"/>
    <col min="5860" max="5860" width="21" style="2" customWidth="1"/>
    <col min="5861" max="5861" width="10.85546875" style="2" customWidth="1"/>
    <col min="5862" max="5862" width="17.42578125" style="2" customWidth="1"/>
    <col min="5863" max="5863" width="14.85546875" style="2" customWidth="1"/>
    <col min="5864" max="5864" width="15" style="2" customWidth="1"/>
    <col min="5865" max="5865" width="14.85546875" style="2" customWidth="1"/>
    <col min="5866" max="5866" width="7.140625" style="2" customWidth="1"/>
    <col min="5867" max="5868" width="20.140625" style="2" customWidth="1"/>
    <col min="5869" max="5869" width="18.42578125" style="2" customWidth="1"/>
    <col min="5870" max="5870" width="9.140625" style="2" customWidth="1"/>
    <col min="5871" max="5871" width="12" style="2" customWidth="1"/>
    <col min="5872" max="5872" width="14.85546875" style="2" customWidth="1"/>
    <col min="5873" max="5873" width="22.42578125" style="2" customWidth="1"/>
    <col min="5874" max="5874" width="14.85546875" style="2" customWidth="1"/>
    <col min="5875" max="5875" width="7.140625" style="2" customWidth="1"/>
    <col min="5876" max="5876" width="20.140625" style="2" customWidth="1"/>
    <col min="5877" max="6108" width="8.85546875" style="2" customWidth="1"/>
    <col min="6109" max="6109" width="8.140625" style="2" customWidth="1"/>
    <col min="6110" max="6110" width="14.42578125" style="2" customWidth="1"/>
    <col min="6111" max="6111" width="37.42578125" style="2" customWidth="1"/>
    <col min="6112" max="6112" width="63.140625" style="2" customWidth="1"/>
    <col min="6113" max="6113" width="20" style="2" customWidth="1"/>
    <col min="6114" max="6114" width="11.140625" style="2" customWidth="1"/>
    <col min="6115" max="6115" width="10.85546875" style="2" customWidth="1"/>
    <col min="6116" max="6116" width="21" style="2" customWidth="1"/>
    <col min="6117" max="6117" width="10.85546875" style="2" customWidth="1"/>
    <col min="6118" max="6118" width="17.42578125" style="2" customWidth="1"/>
    <col min="6119" max="6119" width="14.85546875" style="2" customWidth="1"/>
    <col min="6120" max="6120" width="15" style="2" customWidth="1"/>
    <col min="6121" max="6121" width="14.85546875" style="2" customWidth="1"/>
    <col min="6122" max="6122" width="7.140625" style="2" customWidth="1"/>
    <col min="6123" max="6124" width="20.140625" style="2" customWidth="1"/>
    <col min="6125" max="6125" width="18.42578125" style="2" customWidth="1"/>
    <col min="6126" max="6126" width="9.140625" style="2" customWidth="1"/>
    <col min="6127" max="6127" width="12" style="2" customWidth="1"/>
    <col min="6128" max="6128" width="14.85546875" style="2" customWidth="1"/>
    <col min="6129" max="6129" width="22.42578125" style="2" customWidth="1"/>
    <col min="6130" max="6130" width="14.85546875" style="2" customWidth="1"/>
    <col min="6131" max="6131" width="7.140625" style="2" customWidth="1"/>
    <col min="6132" max="6132" width="20.140625" style="2" customWidth="1"/>
    <col min="6133" max="6364" width="8.85546875" style="2" customWidth="1"/>
    <col min="6365" max="6365" width="8.140625" style="2" customWidth="1"/>
    <col min="6366" max="6366" width="14.42578125" style="2" customWidth="1"/>
    <col min="6367" max="6367" width="37.42578125" style="2" customWidth="1"/>
    <col min="6368" max="6368" width="63.140625" style="2" customWidth="1"/>
    <col min="6369" max="6369" width="20" style="2" customWidth="1"/>
    <col min="6370" max="6370" width="11.140625" style="2" customWidth="1"/>
    <col min="6371" max="6371" width="10.85546875" style="2" customWidth="1"/>
    <col min="6372" max="6372" width="21" style="2" customWidth="1"/>
    <col min="6373" max="6373" width="10.85546875" style="2" customWidth="1"/>
    <col min="6374" max="6374" width="17.42578125" style="2" customWidth="1"/>
    <col min="6375" max="6375" width="14.85546875" style="2" customWidth="1"/>
    <col min="6376" max="6376" width="15" style="2" customWidth="1"/>
    <col min="6377" max="6377" width="14.85546875" style="2" customWidth="1"/>
    <col min="6378" max="6378" width="7.140625" style="2" customWidth="1"/>
    <col min="6379" max="6380" width="20.140625" style="2" customWidth="1"/>
    <col min="6381" max="6381" width="18.42578125" style="2" customWidth="1"/>
    <col min="6382" max="6382" width="9.140625" style="2" customWidth="1"/>
    <col min="6383" max="6383" width="12" style="2" customWidth="1"/>
    <col min="6384" max="6384" width="14.85546875" style="2" customWidth="1"/>
    <col min="6385" max="6385" width="22.42578125" style="2" customWidth="1"/>
    <col min="6386" max="6386" width="14.85546875" style="2" customWidth="1"/>
    <col min="6387" max="6387" width="7.140625" style="2" customWidth="1"/>
    <col min="6388" max="6388" width="20.140625" style="2" customWidth="1"/>
    <col min="6389" max="6620" width="8.85546875" style="2" customWidth="1"/>
    <col min="6621" max="6621" width="8.140625" style="2" customWidth="1"/>
    <col min="6622" max="6622" width="14.42578125" style="2" customWidth="1"/>
    <col min="6623" max="6623" width="37.42578125" style="2" customWidth="1"/>
    <col min="6624" max="6624" width="63.140625" style="2" customWidth="1"/>
    <col min="6625" max="6625" width="20" style="2" customWidth="1"/>
    <col min="6626" max="6626" width="11.140625" style="2" customWidth="1"/>
    <col min="6627" max="6627" width="10.85546875" style="2" customWidth="1"/>
    <col min="6628" max="6628" width="21" style="2" customWidth="1"/>
    <col min="6629" max="6629" width="10.85546875" style="2" customWidth="1"/>
    <col min="6630" max="6630" width="17.42578125" style="2" customWidth="1"/>
    <col min="6631" max="6631" width="14.85546875" style="2" customWidth="1"/>
    <col min="6632" max="6632" width="15" style="2" customWidth="1"/>
    <col min="6633" max="6633" width="14.85546875" style="2" customWidth="1"/>
    <col min="6634" max="6634" width="7.140625" style="2" customWidth="1"/>
    <col min="6635" max="6636" width="20.140625" style="2" customWidth="1"/>
    <col min="6637" max="6637" width="18.42578125" style="2" customWidth="1"/>
    <col min="6638" max="6638" width="9.140625" style="2" customWidth="1"/>
    <col min="6639" max="6639" width="12" style="2" customWidth="1"/>
    <col min="6640" max="6640" width="14.85546875" style="2" customWidth="1"/>
    <col min="6641" max="6641" width="22.42578125" style="2" customWidth="1"/>
    <col min="6642" max="6642" width="14.85546875" style="2" customWidth="1"/>
    <col min="6643" max="6643" width="7.140625" style="2" customWidth="1"/>
    <col min="6644" max="6644" width="20.140625" style="2" customWidth="1"/>
    <col min="6645" max="6876" width="8.85546875" style="2" customWidth="1"/>
    <col min="6877" max="6877" width="8.140625" style="2" customWidth="1"/>
    <col min="6878" max="6878" width="14.42578125" style="2" customWidth="1"/>
    <col min="6879" max="6879" width="37.42578125" style="2" customWidth="1"/>
    <col min="6880" max="6880" width="63.140625" style="2" customWidth="1"/>
    <col min="6881" max="6881" width="20" style="2" customWidth="1"/>
    <col min="6882" max="6882" width="11.140625" style="2" customWidth="1"/>
    <col min="6883" max="6883" width="10.85546875" style="2" customWidth="1"/>
    <col min="6884" max="6884" width="21" style="2" customWidth="1"/>
    <col min="6885" max="6885" width="10.85546875" style="2" customWidth="1"/>
    <col min="6886" max="6886" width="17.42578125" style="2" customWidth="1"/>
    <col min="6887" max="6887" width="14.85546875" style="2" customWidth="1"/>
    <col min="6888" max="6888" width="15" style="2" customWidth="1"/>
    <col min="6889" max="6889" width="14.85546875" style="2" customWidth="1"/>
    <col min="6890" max="6890" width="7.140625" style="2" customWidth="1"/>
    <col min="6891" max="6892" width="20.140625" style="2" customWidth="1"/>
    <col min="6893" max="6893" width="18.42578125" style="2" customWidth="1"/>
    <col min="6894" max="6894" width="9.140625" style="2" customWidth="1"/>
    <col min="6895" max="6895" width="12" style="2" customWidth="1"/>
    <col min="6896" max="6896" width="14.85546875" style="2" customWidth="1"/>
    <col min="6897" max="6897" width="22.42578125" style="2" customWidth="1"/>
    <col min="6898" max="6898" width="14.85546875" style="2" customWidth="1"/>
    <col min="6899" max="6899" width="7.140625" style="2" customWidth="1"/>
    <col min="6900" max="6900" width="20.140625" style="2" customWidth="1"/>
    <col min="6901" max="7132" width="8.85546875" style="2" customWidth="1"/>
    <col min="7133" max="7133" width="8.140625" style="2" customWidth="1"/>
    <col min="7134" max="7134" width="14.42578125" style="2" customWidth="1"/>
    <col min="7135" max="7135" width="37.42578125" style="2" customWidth="1"/>
    <col min="7136" max="7136" width="63.140625" style="2" customWidth="1"/>
    <col min="7137" max="7137" width="20" style="2" customWidth="1"/>
    <col min="7138" max="7138" width="11.140625" style="2" customWidth="1"/>
    <col min="7139" max="7139" width="10.85546875" style="2" customWidth="1"/>
    <col min="7140" max="7140" width="21" style="2" customWidth="1"/>
    <col min="7141" max="7141" width="10.85546875" style="2" customWidth="1"/>
    <col min="7142" max="7142" width="17.42578125" style="2" customWidth="1"/>
    <col min="7143" max="7143" width="14.85546875" style="2" customWidth="1"/>
    <col min="7144" max="7144" width="15" style="2" customWidth="1"/>
    <col min="7145" max="7145" width="14.85546875" style="2" customWidth="1"/>
    <col min="7146" max="7146" width="7.140625" style="2" customWidth="1"/>
    <col min="7147" max="7148" width="20.140625" style="2" customWidth="1"/>
    <col min="7149" max="7149" width="18.42578125" style="2" customWidth="1"/>
    <col min="7150" max="7150" width="9.140625" style="2" customWidth="1"/>
    <col min="7151" max="7151" width="12" style="2" customWidth="1"/>
    <col min="7152" max="7152" width="14.85546875" style="2" customWidth="1"/>
    <col min="7153" max="7153" width="22.42578125" style="2" customWidth="1"/>
    <col min="7154" max="7154" width="14.85546875" style="2" customWidth="1"/>
    <col min="7155" max="7155" width="7.140625" style="2" customWidth="1"/>
    <col min="7156" max="7156" width="20.140625" style="2" customWidth="1"/>
    <col min="7157" max="7388" width="8.85546875" style="2" customWidth="1"/>
    <col min="7389" max="7389" width="8.140625" style="2" customWidth="1"/>
    <col min="7390" max="7390" width="14.42578125" style="2" customWidth="1"/>
    <col min="7391" max="7391" width="37.42578125" style="2" customWidth="1"/>
    <col min="7392" max="7392" width="63.140625" style="2" customWidth="1"/>
    <col min="7393" max="7393" width="20" style="2" customWidth="1"/>
    <col min="7394" max="7394" width="11.140625" style="2" customWidth="1"/>
    <col min="7395" max="7395" width="10.85546875" style="2" customWidth="1"/>
    <col min="7396" max="7396" width="21" style="2" customWidth="1"/>
    <col min="7397" max="7397" width="10.85546875" style="2" customWidth="1"/>
    <col min="7398" max="7398" width="17.42578125" style="2" customWidth="1"/>
    <col min="7399" max="7399" width="14.85546875" style="2" customWidth="1"/>
    <col min="7400" max="7400" width="15" style="2" customWidth="1"/>
    <col min="7401" max="7401" width="14.85546875" style="2" customWidth="1"/>
    <col min="7402" max="7402" width="7.140625" style="2" customWidth="1"/>
    <col min="7403" max="7404" width="20.140625" style="2" customWidth="1"/>
    <col min="7405" max="7405" width="18.42578125" style="2" customWidth="1"/>
    <col min="7406" max="7406" width="9.140625" style="2" customWidth="1"/>
    <col min="7407" max="7407" width="12" style="2" customWidth="1"/>
    <col min="7408" max="7408" width="14.85546875" style="2" customWidth="1"/>
    <col min="7409" max="7409" width="22.42578125" style="2" customWidth="1"/>
    <col min="7410" max="7410" width="14.85546875" style="2" customWidth="1"/>
    <col min="7411" max="7411" width="7.140625" style="2" customWidth="1"/>
    <col min="7412" max="7412" width="20.140625" style="2" customWidth="1"/>
    <col min="7413" max="7644" width="8.85546875" style="2" customWidth="1"/>
    <col min="7645" max="7645" width="8.140625" style="2" customWidth="1"/>
    <col min="7646" max="7646" width="14.42578125" style="2" customWidth="1"/>
    <col min="7647" max="7647" width="37.42578125" style="2" customWidth="1"/>
    <col min="7648" max="7648" width="63.140625" style="2" customWidth="1"/>
    <col min="7649" max="7649" width="20" style="2" customWidth="1"/>
    <col min="7650" max="7650" width="11.140625" style="2" customWidth="1"/>
    <col min="7651" max="7651" width="10.85546875" style="2" customWidth="1"/>
    <col min="7652" max="7652" width="21" style="2" customWidth="1"/>
    <col min="7653" max="7653" width="10.85546875" style="2" customWidth="1"/>
    <col min="7654" max="7654" width="17.42578125" style="2" customWidth="1"/>
    <col min="7655" max="7655" width="14.85546875" style="2" customWidth="1"/>
    <col min="7656" max="7656" width="15" style="2" customWidth="1"/>
    <col min="7657" max="7657" width="14.85546875" style="2" customWidth="1"/>
    <col min="7658" max="7658" width="7.140625" style="2" customWidth="1"/>
    <col min="7659" max="7660" width="20.140625" style="2" customWidth="1"/>
    <col min="7661" max="7661" width="18.42578125" style="2" customWidth="1"/>
    <col min="7662" max="7662" width="9.140625" style="2" customWidth="1"/>
    <col min="7663" max="7663" width="12" style="2" customWidth="1"/>
    <col min="7664" max="7664" width="14.85546875" style="2" customWidth="1"/>
    <col min="7665" max="7665" width="22.42578125" style="2" customWidth="1"/>
    <col min="7666" max="7666" width="14.85546875" style="2" customWidth="1"/>
    <col min="7667" max="7667" width="7.140625" style="2" customWidth="1"/>
    <col min="7668" max="7668" width="20.140625" style="2" customWidth="1"/>
    <col min="7669" max="7900" width="8.85546875" style="2" customWidth="1"/>
    <col min="7901" max="7901" width="8.140625" style="2" customWidth="1"/>
    <col min="7902" max="7902" width="14.42578125" style="2" customWidth="1"/>
    <col min="7903" max="7903" width="37.42578125" style="2" customWidth="1"/>
    <col min="7904" max="7904" width="63.140625" style="2" customWidth="1"/>
    <col min="7905" max="7905" width="20" style="2" customWidth="1"/>
    <col min="7906" max="7906" width="11.140625" style="2" customWidth="1"/>
    <col min="7907" max="7907" width="10.85546875" style="2" customWidth="1"/>
    <col min="7908" max="7908" width="21" style="2" customWidth="1"/>
    <col min="7909" max="7909" width="10.85546875" style="2" customWidth="1"/>
    <col min="7910" max="7910" width="17.42578125" style="2" customWidth="1"/>
    <col min="7911" max="7911" width="14.85546875" style="2" customWidth="1"/>
    <col min="7912" max="7912" width="15" style="2" customWidth="1"/>
    <col min="7913" max="7913" width="14.85546875" style="2" customWidth="1"/>
    <col min="7914" max="7914" width="7.140625" style="2" customWidth="1"/>
    <col min="7915" max="7916" width="20.140625" style="2" customWidth="1"/>
    <col min="7917" max="7917" width="18.42578125" style="2" customWidth="1"/>
    <col min="7918" max="7918" width="9.140625" style="2" customWidth="1"/>
    <col min="7919" max="7919" width="12" style="2" customWidth="1"/>
    <col min="7920" max="7920" width="14.85546875" style="2" customWidth="1"/>
    <col min="7921" max="7921" width="22.42578125" style="2" customWidth="1"/>
    <col min="7922" max="7922" width="14.85546875" style="2" customWidth="1"/>
    <col min="7923" max="7923" width="7.140625" style="2" customWidth="1"/>
    <col min="7924" max="7924" width="20.140625" style="2" customWidth="1"/>
    <col min="7925" max="8156" width="8.85546875" style="2" customWidth="1"/>
    <col min="8157" max="8157" width="8.140625" style="2" customWidth="1"/>
    <col min="8158" max="8158" width="14.42578125" style="2" customWidth="1"/>
    <col min="8159" max="8159" width="37.42578125" style="2" customWidth="1"/>
    <col min="8160" max="8160" width="63.140625" style="2" customWidth="1"/>
    <col min="8161" max="8161" width="20" style="2" customWidth="1"/>
    <col min="8162" max="8162" width="11.140625" style="2" customWidth="1"/>
    <col min="8163" max="8163" width="10.85546875" style="2" customWidth="1"/>
    <col min="8164" max="8164" width="21" style="2" customWidth="1"/>
    <col min="8165" max="8165" width="10.85546875" style="2" customWidth="1"/>
    <col min="8166" max="8166" width="17.42578125" style="2" customWidth="1"/>
    <col min="8167" max="8167" width="14.85546875" style="2" customWidth="1"/>
    <col min="8168" max="8168" width="15" style="2" customWidth="1"/>
    <col min="8169" max="8169" width="14.85546875" style="2" customWidth="1"/>
    <col min="8170" max="8170" width="7.140625" style="2" customWidth="1"/>
    <col min="8171" max="8172" width="20.140625" style="2" customWidth="1"/>
    <col min="8173" max="8173" width="18.42578125" style="2" customWidth="1"/>
    <col min="8174" max="8174" width="9.140625" style="2" customWidth="1"/>
    <col min="8175" max="8175" width="12" style="2" customWidth="1"/>
    <col min="8176" max="8176" width="14.85546875" style="2" customWidth="1"/>
    <col min="8177" max="8177" width="22.42578125" style="2" customWidth="1"/>
    <col min="8178" max="8178" width="14.85546875" style="2" customWidth="1"/>
    <col min="8179" max="8179" width="7.140625" style="2" customWidth="1"/>
    <col min="8180" max="8180" width="20.140625" style="2" customWidth="1"/>
    <col min="8181" max="8412" width="8.85546875" style="2" customWidth="1"/>
    <col min="8413" max="8413" width="8.140625" style="2" customWidth="1"/>
    <col min="8414" max="8414" width="14.42578125" style="2" customWidth="1"/>
    <col min="8415" max="8415" width="37.42578125" style="2" customWidth="1"/>
    <col min="8416" max="8416" width="63.140625" style="2" customWidth="1"/>
    <col min="8417" max="8417" width="20" style="2" customWidth="1"/>
    <col min="8418" max="8418" width="11.140625" style="2" customWidth="1"/>
    <col min="8419" max="8419" width="10.85546875" style="2" customWidth="1"/>
    <col min="8420" max="8420" width="21" style="2" customWidth="1"/>
    <col min="8421" max="8421" width="10.85546875" style="2" customWidth="1"/>
    <col min="8422" max="8422" width="17.42578125" style="2" customWidth="1"/>
    <col min="8423" max="8423" width="14.85546875" style="2" customWidth="1"/>
    <col min="8424" max="8424" width="15" style="2" customWidth="1"/>
    <col min="8425" max="8425" width="14.85546875" style="2" customWidth="1"/>
    <col min="8426" max="8426" width="7.140625" style="2" customWidth="1"/>
    <col min="8427" max="8428" width="20.140625" style="2" customWidth="1"/>
    <col min="8429" max="8429" width="18.42578125" style="2" customWidth="1"/>
    <col min="8430" max="8430" width="9.140625" style="2" customWidth="1"/>
    <col min="8431" max="8431" width="12" style="2" customWidth="1"/>
    <col min="8432" max="8432" width="14.85546875" style="2" customWidth="1"/>
    <col min="8433" max="8433" width="22.42578125" style="2" customWidth="1"/>
    <col min="8434" max="8434" width="14.85546875" style="2" customWidth="1"/>
    <col min="8435" max="8435" width="7.140625" style="2" customWidth="1"/>
    <col min="8436" max="8436" width="20.140625" style="2" customWidth="1"/>
    <col min="8437" max="8668" width="8.85546875" style="2" customWidth="1"/>
    <col min="8669" max="8669" width="8.140625" style="2" customWidth="1"/>
    <col min="8670" max="8670" width="14.42578125" style="2" customWidth="1"/>
    <col min="8671" max="8671" width="37.42578125" style="2" customWidth="1"/>
    <col min="8672" max="8672" width="63.140625" style="2" customWidth="1"/>
    <col min="8673" max="8673" width="20" style="2" customWidth="1"/>
    <col min="8674" max="8674" width="11.140625" style="2" customWidth="1"/>
    <col min="8675" max="8675" width="10.85546875" style="2" customWidth="1"/>
    <col min="8676" max="8676" width="21" style="2" customWidth="1"/>
    <col min="8677" max="8677" width="10.85546875" style="2" customWidth="1"/>
    <col min="8678" max="8678" width="17.42578125" style="2" customWidth="1"/>
    <col min="8679" max="8679" width="14.85546875" style="2" customWidth="1"/>
    <col min="8680" max="8680" width="15" style="2" customWidth="1"/>
    <col min="8681" max="8681" width="14.85546875" style="2" customWidth="1"/>
    <col min="8682" max="8682" width="7.140625" style="2" customWidth="1"/>
    <col min="8683" max="8684" width="20.140625" style="2" customWidth="1"/>
    <col min="8685" max="8685" width="18.42578125" style="2" customWidth="1"/>
    <col min="8686" max="8686" width="9.140625" style="2" customWidth="1"/>
    <col min="8687" max="8687" width="12" style="2" customWidth="1"/>
    <col min="8688" max="8688" width="14.85546875" style="2" customWidth="1"/>
    <col min="8689" max="8689" width="22.42578125" style="2" customWidth="1"/>
    <col min="8690" max="8690" width="14.85546875" style="2" customWidth="1"/>
    <col min="8691" max="8691" width="7.140625" style="2" customWidth="1"/>
    <col min="8692" max="8692" width="20.140625" style="2" customWidth="1"/>
    <col min="8693" max="8924" width="8.85546875" style="2" customWidth="1"/>
    <col min="8925" max="8925" width="8.140625" style="2" customWidth="1"/>
    <col min="8926" max="8926" width="14.42578125" style="2" customWidth="1"/>
    <col min="8927" max="8927" width="37.42578125" style="2" customWidth="1"/>
    <col min="8928" max="8928" width="63.140625" style="2" customWidth="1"/>
    <col min="8929" max="8929" width="20" style="2" customWidth="1"/>
    <col min="8930" max="8930" width="11.140625" style="2" customWidth="1"/>
    <col min="8931" max="8931" width="10.85546875" style="2" customWidth="1"/>
    <col min="8932" max="8932" width="21" style="2" customWidth="1"/>
    <col min="8933" max="8933" width="10.85546875" style="2" customWidth="1"/>
    <col min="8934" max="8934" width="17.42578125" style="2" customWidth="1"/>
    <col min="8935" max="8935" width="14.85546875" style="2" customWidth="1"/>
    <col min="8936" max="8936" width="15" style="2" customWidth="1"/>
    <col min="8937" max="8937" width="14.85546875" style="2" customWidth="1"/>
    <col min="8938" max="8938" width="7.140625" style="2" customWidth="1"/>
    <col min="8939" max="8940" width="20.140625" style="2" customWidth="1"/>
    <col min="8941" max="8941" width="18.42578125" style="2" customWidth="1"/>
    <col min="8942" max="8942" width="9.140625" style="2" customWidth="1"/>
    <col min="8943" max="8943" width="12" style="2" customWidth="1"/>
    <col min="8944" max="8944" width="14.85546875" style="2" customWidth="1"/>
    <col min="8945" max="8945" width="22.42578125" style="2" customWidth="1"/>
    <col min="8946" max="8946" width="14.85546875" style="2" customWidth="1"/>
    <col min="8947" max="8947" width="7.140625" style="2" customWidth="1"/>
    <col min="8948" max="8948" width="20.140625" style="2" customWidth="1"/>
    <col min="8949" max="9180" width="8.85546875" style="2" customWidth="1"/>
    <col min="9181" max="9181" width="8.140625" style="2" customWidth="1"/>
    <col min="9182" max="9182" width="14.42578125" style="2" customWidth="1"/>
    <col min="9183" max="9183" width="37.42578125" style="2" customWidth="1"/>
    <col min="9184" max="9184" width="63.140625" style="2" customWidth="1"/>
    <col min="9185" max="9185" width="20" style="2" customWidth="1"/>
    <col min="9186" max="9186" width="11.140625" style="2" customWidth="1"/>
    <col min="9187" max="9187" width="10.85546875" style="2" customWidth="1"/>
    <col min="9188" max="9188" width="21" style="2" customWidth="1"/>
    <col min="9189" max="9189" width="10.85546875" style="2" customWidth="1"/>
    <col min="9190" max="9190" width="17.42578125" style="2" customWidth="1"/>
    <col min="9191" max="9191" width="14.85546875" style="2" customWidth="1"/>
    <col min="9192" max="9192" width="15" style="2" customWidth="1"/>
    <col min="9193" max="9193" width="14.85546875" style="2" customWidth="1"/>
    <col min="9194" max="9194" width="7.140625" style="2" customWidth="1"/>
    <col min="9195" max="9196" width="20.140625" style="2" customWidth="1"/>
    <col min="9197" max="9197" width="18.42578125" style="2" customWidth="1"/>
    <col min="9198" max="9198" width="9.140625" style="2" customWidth="1"/>
    <col min="9199" max="9199" width="12" style="2" customWidth="1"/>
    <col min="9200" max="9200" width="14.85546875" style="2" customWidth="1"/>
    <col min="9201" max="9201" width="22.42578125" style="2" customWidth="1"/>
    <col min="9202" max="9202" width="14.85546875" style="2" customWidth="1"/>
    <col min="9203" max="9203" width="7.140625" style="2" customWidth="1"/>
    <col min="9204" max="9204" width="20.140625" style="2" customWidth="1"/>
    <col min="9205" max="9436" width="8.85546875" style="2" customWidth="1"/>
    <col min="9437" max="9437" width="8.140625" style="2" customWidth="1"/>
    <col min="9438" max="9438" width="14.42578125" style="2" customWidth="1"/>
    <col min="9439" max="9439" width="37.42578125" style="2" customWidth="1"/>
    <col min="9440" max="9440" width="63.140625" style="2" customWidth="1"/>
    <col min="9441" max="9441" width="20" style="2" customWidth="1"/>
    <col min="9442" max="9442" width="11.140625" style="2" customWidth="1"/>
    <col min="9443" max="9443" width="10.85546875" style="2" customWidth="1"/>
    <col min="9444" max="9444" width="21" style="2" customWidth="1"/>
    <col min="9445" max="9445" width="10.85546875" style="2" customWidth="1"/>
    <col min="9446" max="9446" width="17.42578125" style="2" customWidth="1"/>
    <col min="9447" max="9447" width="14.85546875" style="2" customWidth="1"/>
    <col min="9448" max="9448" width="15" style="2" customWidth="1"/>
    <col min="9449" max="9449" width="14.85546875" style="2" customWidth="1"/>
    <col min="9450" max="9450" width="7.140625" style="2" customWidth="1"/>
    <col min="9451" max="9452" width="20.140625" style="2" customWidth="1"/>
    <col min="9453" max="9453" width="18.42578125" style="2" customWidth="1"/>
    <col min="9454" max="9454" width="9.140625" style="2" customWidth="1"/>
    <col min="9455" max="9455" width="12" style="2" customWidth="1"/>
    <col min="9456" max="9456" width="14.85546875" style="2" customWidth="1"/>
    <col min="9457" max="9457" width="22.42578125" style="2" customWidth="1"/>
    <col min="9458" max="9458" width="14.85546875" style="2" customWidth="1"/>
    <col min="9459" max="9459" width="7.140625" style="2" customWidth="1"/>
    <col min="9460" max="9460" width="20.140625" style="2" customWidth="1"/>
    <col min="9461" max="9692" width="8.85546875" style="2" customWidth="1"/>
    <col min="9693" max="9693" width="8.140625" style="2" customWidth="1"/>
    <col min="9694" max="9694" width="14.42578125" style="2" customWidth="1"/>
    <col min="9695" max="9695" width="37.42578125" style="2" customWidth="1"/>
    <col min="9696" max="9696" width="63.140625" style="2" customWidth="1"/>
    <col min="9697" max="9697" width="20" style="2" customWidth="1"/>
    <col min="9698" max="9698" width="11.140625" style="2" customWidth="1"/>
    <col min="9699" max="9699" width="10.85546875" style="2" customWidth="1"/>
    <col min="9700" max="9700" width="21" style="2" customWidth="1"/>
    <col min="9701" max="9701" width="10.85546875" style="2" customWidth="1"/>
    <col min="9702" max="9702" width="17.42578125" style="2" customWidth="1"/>
    <col min="9703" max="9703" width="14.85546875" style="2" customWidth="1"/>
    <col min="9704" max="9704" width="15" style="2" customWidth="1"/>
    <col min="9705" max="9705" width="14.85546875" style="2" customWidth="1"/>
    <col min="9706" max="9706" width="7.140625" style="2" customWidth="1"/>
    <col min="9707" max="9708" width="20.140625" style="2" customWidth="1"/>
    <col min="9709" max="9709" width="18.42578125" style="2" customWidth="1"/>
    <col min="9710" max="9710" width="9.140625" style="2" customWidth="1"/>
    <col min="9711" max="9711" width="12" style="2" customWidth="1"/>
    <col min="9712" max="9712" width="14.85546875" style="2" customWidth="1"/>
    <col min="9713" max="9713" width="22.42578125" style="2" customWidth="1"/>
    <col min="9714" max="9714" width="14.85546875" style="2" customWidth="1"/>
    <col min="9715" max="9715" width="7.140625" style="2" customWidth="1"/>
    <col min="9716" max="9716" width="20.140625" style="2" customWidth="1"/>
    <col min="9717" max="9948" width="8.85546875" style="2" customWidth="1"/>
    <col min="9949" max="9949" width="8.140625" style="2" customWidth="1"/>
    <col min="9950" max="9950" width="14.42578125" style="2" customWidth="1"/>
    <col min="9951" max="9951" width="37.42578125" style="2" customWidth="1"/>
    <col min="9952" max="9952" width="63.140625" style="2" customWidth="1"/>
    <col min="9953" max="9953" width="20" style="2" customWidth="1"/>
    <col min="9954" max="9954" width="11.140625" style="2" customWidth="1"/>
    <col min="9955" max="9955" width="10.85546875" style="2" customWidth="1"/>
    <col min="9956" max="9956" width="21" style="2" customWidth="1"/>
    <col min="9957" max="9957" width="10.85546875" style="2" customWidth="1"/>
    <col min="9958" max="9958" width="17.42578125" style="2" customWidth="1"/>
    <col min="9959" max="9959" width="14.85546875" style="2" customWidth="1"/>
    <col min="9960" max="9960" width="15" style="2" customWidth="1"/>
    <col min="9961" max="9961" width="14.85546875" style="2" customWidth="1"/>
    <col min="9962" max="9962" width="7.140625" style="2" customWidth="1"/>
    <col min="9963" max="9964" width="20.140625" style="2" customWidth="1"/>
    <col min="9965" max="9965" width="18.42578125" style="2" customWidth="1"/>
    <col min="9966" max="9966" width="9.140625" style="2" customWidth="1"/>
    <col min="9967" max="9967" width="12" style="2" customWidth="1"/>
    <col min="9968" max="9968" width="14.85546875" style="2" customWidth="1"/>
    <col min="9969" max="9969" width="22.42578125" style="2" customWidth="1"/>
    <col min="9970" max="9970" width="14.85546875" style="2" customWidth="1"/>
    <col min="9971" max="9971" width="7.140625" style="2" customWidth="1"/>
    <col min="9972" max="9972" width="20.140625" style="2" customWidth="1"/>
    <col min="9973" max="10204" width="8.85546875" style="2" customWidth="1"/>
    <col min="10205" max="10205" width="8.140625" style="2" customWidth="1"/>
    <col min="10206" max="10206" width="14.42578125" style="2" customWidth="1"/>
    <col min="10207" max="10207" width="37.42578125" style="2" customWidth="1"/>
    <col min="10208" max="10208" width="63.140625" style="2" customWidth="1"/>
    <col min="10209" max="10209" width="20" style="2" customWidth="1"/>
    <col min="10210" max="10210" width="11.140625" style="2" customWidth="1"/>
    <col min="10211" max="10211" width="10.85546875" style="2" customWidth="1"/>
    <col min="10212" max="10212" width="21" style="2" customWidth="1"/>
    <col min="10213" max="10213" width="10.85546875" style="2" customWidth="1"/>
    <col min="10214" max="10214" width="17.42578125" style="2" customWidth="1"/>
    <col min="10215" max="10215" width="14.85546875" style="2" customWidth="1"/>
    <col min="10216" max="10216" width="15" style="2" customWidth="1"/>
    <col min="10217" max="10217" width="14.85546875" style="2" customWidth="1"/>
    <col min="10218" max="10218" width="7.140625" style="2" customWidth="1"/>
    <col min="10219" max="10220" width="20.140625" style="2" customWidth="1"/>
    <col min="10221" max="10221" width="18.42578125" style="2" customWidth="1"/>
    <col min="10222" max="10222" width="9.140625" style="2" customWidth="1"/>
    <col min="10223" max="10223" width="12" style="2" customWidth="1"/>
    <col min="10224" max="10224" width="14.85546875" style="2" customWidth="1"/>
    <col min="10225" max="10225" width="22.42578125" style="2" customWidth="1"/>
    <col min="10226" max="10226" width="14.85546875" style="2" customWidth="1"/>
    <col min="10227" max="10227" width="7.140625" style="2" customWidth="1"/>
    <col min="10228" max="10228" width="20.140625" style="2" customWidth="1"/>
    <col min="10229" max="10460" width="8.85546875" style="2" customWidth="1"/>
    <col min="10461" max="10461" width="8.140625" style="2" customWidth="1"/>
    <col min="10462" max="10462" width="14.42578125" style="2" customWidth="1"/>
    <col min="10463" max="10463" width="37.42578125" style="2" customWidth="1"/>
    <col min="10464" max="10464" width="63.140625" style="2" customWidth="1"/>
    <col min="10465" max="10465" width="20" style="2" customWidth="1"/>
    <col min="10466" max="10466" width="11.140625" style="2" customWidth="1"/>
    <col min="10467" max="10467" width="10.85546875" style="2" customWidth="1"/>
    <col min="10468" max="10468" width="21" style="2" customWidth="1"/>
    <col min="10469" max="10469" width="10.85546875" style="2" customWidth="1"/>
    <col min="10470" max="10470" width="17.42578125" style="2" customWidth="1"/>
    <col min="10471" max="10471" width="14.85546875" style="2" customWidth="1"/>
    <col min="10472" max="10472" width="15" style="2" customWidth="1"/>
    <col min="10473" max="10473" width="14.85546875" style="2" customWidth="1"/>
    <col min="10474" max="10474" width="7.140625" style="2" customWidth="1"/>
    <col min="10475" max="10476" width="20.140625" style="2" customWidth="1"/>
    <col min="10477" max="10477" width="18.42578125" style="2" customWidth="1"/>
    <col min="10478" max="10478" width="9.140625" style="2" customWidth="1"/>
    <col min="10479" max="10479" width="12" style="2" customWidth="1"/>
    <col min="10480" max="10480" width="14.85546875" style="2" customWidth="1"/>
    <col min="10481" max="10481" width="22.42578125" style="2" customWidth="1"/>
    <col min="10482" max="10482" width="14.85546875" style="2" customWidth="1"/>
    <col min="10483" max="10483" width="7.140625" style="2" customWidth="1"/>
    <col min="10484" max="10484" width="20.140625" style="2" customWidth="1"/>
    <col min="10485" max="10716" width="8.85546875" style="2" customWidth="1"/>
    <col min="10717" max="10717" width="8.140625" style="2" customWidth="1"/>
    <col min="10718" max="10718" width="14.42578125" style="2" customWidth="1"/>
    <col min="10719" max="10719" width="37.42578125" style="2" customWidth="1"/>
    <col min="10720" max="10720" width="63.140625" style="2" customWidth="1"/>
    <col min="10721" max="10721" width="20" style="2" customWidth="1"/>
    <col min="10722" max="10722" width="11.140625" style="2" customWidth="1"/>
    <col min="10723" max="10723" width="10.85546875" style="2" customWidth="1"/>
    <col min="10724" max="10724" width="21" style="2" customWidth="1"/>
    <col min="10725" max="10725" width="10.85546875" style="2" customWidth="1"/>
    <col min="10726" max="10726" width="17.42578125" style="2" customWidth="1"/>
    <col min="10727" max="10727" width="14.85546875" style="2" customWidth="1"/>
    <col min="10728" max="10728" width="15" style="2" customWidth="1"/>
    <col min="10729" max="10729" width="14.85546875" style="2" customWidth="1"/>
    <col min="10730" max="10730" width="7.140625" style="2" customWidth="1"/>
    <col min="10731" max="10732" width="20.140625" style="2" customWidth="1"/>
    <col min="10733" max="10733" width="18.42578125" style="2" customWidth="1"/>
    <col min="10734" max="10734" width="9.140625" style="2" customWidth="1"/>
    <col min="10735" max="10735" width="12" style="2" customWidth="1"/>
    <col min="10736" max="10736" width="14.85546875" style="2" customWidth="1"/>
    <col min="10737" max="10737" width="22.42578125" style="2" customWidth="1"/>
    <col min="10738" max="10738" width="14.85546875" style="2" customWidth="1"/>
    <col min="10739" max="10739" width="7.140625" style="2" customWidth="1"/>
    <col min="10740" max="10740" width="20.140625" style="2" customWidth="1"/>
    <col min="10741" max="10972" width="8.85546875" style="2" customWidth="1"/>
    <col min="10973" max="10973" width="8.140625" style="2" customWidth="1"/>
    <col min="10974" max="10974" width="14.42578125" style="2" customWidth="1"/>
    <col min="10975" max="10975" width="37.42578125" style="2" customWidth="1"/>
    <col min="10976" max="10976" width="63.140625" style="2" customWidth="1"/>
    <col min="10977" max="10977" width="20" style="2" customWidth="1"/>
    <col min="10978" max="10978" width="11.140625" style="2" customWidth="1"/>
    <col min="10979" max="10979" width="10.85546875" style="2" customWidth="1"/>
    <col min="10980" max="10980" width="21" style="2" customWidth="1"/>
    <col min="10981" max="10981" width="10.85546875" style="2" customWidth="1"/>
    <col min="10982" max="10982" width="17.42578125" style="2" customWidth="1"/>
    <col min="10983" max="10983" width="14.85546875" style="2" customWidth="1"/>
    <col min="10984" max="10984" width="15" style="2" customWidth="1"/>
    <col min="10985" max="10985" width="14.85546875" style="2" customWidth="1"/>
    <col min="10986" max="10986" width="7.140625" style="2" customWidth="1"/>
    <col min="10987" max="10988" width="20.140625" style="2" customWidth="1"/>
    <col min="10989" max="10989" width="18.42578125" style="2" customWidth="1"/>
    <col min="10990" max="10990" width="9.140625" style="2" customWidth="1"/>
    <col min="10991" max="10991" width="12" style="2" customWidth="1"/>
    <col min="10992" max="10992" width="14.85546875" style="2" customWidth="1"/>
    <col min="10993" max="10993" width="22.42578125" style="2" customWidth="1"/>
    <col min="10994" max="10994" width="14.85546875" style="2" customWidth="1"/>
    <col min="10995" max="10995" width="7.140625" style="2" customWidth="1"/>
    <col min="10996" max="10996" width="20.140625" style="2" customWidth="1"/>
    <col min="10997" max="11228" width="8.85546875" style="2" customWidth="1"/>
    <col min="11229" max="11229" width="8.140625" style="2" customWidth="1"/>
    <col min="11230" max="11230" width="14.42578125" style="2" customWidth="1"/>
    <col min="11231" max="11231" width="37.42578125" style="2" customWidth="1"/>
    <col min="11232" max="11232" width="63.140625" style="2" customWidth="1"/>
    <col min="11233" max="11233" width="20" style="2" customWidth="1"/>
    <col min="11234" max="11234" width="11.140625" style="2" customWidth="1"/>
    <col min="11235" max="11235" width="10.85546875" style="2" customWidth="1"/>
    <col min="11236" max="11236" width="21" style="2" customWidth="1"/>
    <col min="11237" max="11237" width="10.85546875" style="2" customWidth="1"/>
    <col min="11238" max="11238" width="17.42578125" style="2" customWidth="1"/>
    <col min="11239" max="11239" width="14.85546875" style="2" customWidth="1"/>
    <col min="11240" max="11240" width="15" style="2" customWidth="1"/>
    <col min="11241" max="11241" width="14.85546875" style="2" customWidth="1"/>
    <col min="11242" max="11242" width="7.140625" style="2" customWidth="1"/>
    <col min="11243" max="11244" width="20.140625" style="2" customWidth="1"/>
    <col min="11245" max="11245" width="18.42578125" style="2" customWidth="1"/>
    <col min="11246" max="11246" width="9.140625" style="2" customWidth="1"/>
    <col min="11247" max="11247" width="12" style="2" customWidth="1"/>
    <col min="11248" max="11248" width="14.85546875" style="2" customWidth="1"/>
    <col min="11249" max="11249" width="22.42578125" style="2" customWidth="1"/>
    <col min="11250" max="11250" width="14.85546875" style="2" customWidth="1"/>
    <col min="11251" max="11251" width="7.140625" style="2" customWidth="1"/>
    <col min="11252" max="11252" width="20.140625" style="2" customWidth="1"/>
    <col min="11253" max="11484" width="8.85546875" style="2" customWidth="1"/>
    <col min="11485" max="11485" width="8.140625" style="2" customWidth="1"/>
    <col min="11486" max="11486" width="14.42578125" style="2" customWidth="1"/>
    <col min="11487" max="11487" width="37.42578125" style="2" customWidth="1"/>
    <col min="11488" max="11488" width="63.140625" style="2" customWidth="1"/>
    <col min="11489" max="11489" width="20" style="2" customWidth="1"/>
    <col min="11490" max="11490" width="11.140625" style="2" customWidth="1"/>
    <col min="11491" max="11491" width="10.85546875" style="2" customWidth="1"/>
    <col min="11492" max="11492" width="21" style="2" customWidth="1"/>
    <col min="11493" max="11493" width="10.85546875" style="2" customWidth="1"/>
    <col min="11494" max="11494" width="17.42578125" style="2" customWidth="1"/>
    <col min="11495" max="11495" width="14.85546875" style="2" customWidth="1"/>
    <col min="11496" max="11496" width="15" style="2" customWidth="1"/>
    <col min="11497" max="11497" width="14.85546875" style="2" customWidth="1"/>
    <col min="11498" max="11498" width="7.140625" style="2" customWidth="1"/>
    <col min="11499" max="11500" width="20.140625" style="2" customWidth="1"/>
    <col min="11501" max="11501" width="18.42578125" style="2" customWidth="1"/>
    <col min="11502" max="11502" width="9.140625" style="2" customWidth="1"/>
    <col min="11503" max="11503" width="12" style="2" customWidth="1"/>
    <col min="11504" max="11504" width="14.85546875" style="2" customWidth="1"/>
    <col min="11505" max="11505" width="22.42578125" style="2" customWidth="1"/>
    <col min="11506" max="11506" width="14.85546875" style="2" customWidth="1"/>
    <col min="11507" max="11507" width="7.140625" style="2" customWidth="1"/>
    <col min="11508" max="11508" width="20.140625" style="2" customWidth="1"/>
    <col min="11509" max="11740" width="8.85546875" style="2" customWidth="1"/>
    <col min="11741" max="11741" width="8.140625" style="2" customWidth="1"/>
    <col min="11742" max="11742" width="14.42578125" style="2" customWidth="1"/>
    <col min="11743" max="11743" width="37.42578125" style="2" customWidth="1"/>
    <col min="11744" max="11744" width="63.140625" style="2" customWidth="1"/>
    <col min="11745" max="11745" width="20" style="2" customWidth="1"/>
    <col min="11746" max="11746" width="11.140625" style="2" customWidth="1"/>
    <col min="11747" max="11747" width="10.85546875" style="2" customWidth="1"/>
    <col min="11748" max="11748" width="21" style="2" customWidth="1"/>
    <col min="11749" max="11749" width="10.85546875" style="2" customWidth="1"/>
    <col min="11750" max="11750" width="17.42578125" style="2" customWidth="1"/>
    <col min="11751" max="11751" width="14.85546875" style="2" customWidth="1"/>
    <col min="11752" max="11752" width="15" style="2" customWidth="1"/>
    <col min="11753" max="11753" width="14.85546875" style="2" customWidth="1"/>
    <col min="11754" max="11754" width="7.140625" style="2" customWidth="1"/>
    <col min="11755" max="11756" width="20.140625" style="2" customWidth="1"/>
    <col min="11757" max="11757" width="18.42578125" style="2" customWidth="1"/>
    <col min="11758" max="11758" width="9.140625" style="2" customWidth="1"/>
    <col min="11759" max="11759" width="12" style="2" customWidth="1"/>
    <col min="11760" max="11760" width="14.85546875" style="2" customWidth="1"/>
    <col min="11761" max="11761" width="22.42578125" style="2" customWidth="1"/>
    <col min="11762" max="11762" width="14.85546875" style="2" customWidth="1"/>
    <col min="11763" max="11763" width="7.140625" style="2" customWidth="1"/>
    <col min="11764" max="11764" width="20.140625" style="2" customWidth="1"/>
    <col min="11765" max="11996" width="8.85546875" style="2" customWidth="1"/>
    <col min="11997" max="11997" width="8.140625" style="2" customWidth="1"/>
    <col min="11998" max="11998" width="14.42578125" style="2" customWidth="1"/>
    <col min="11999" max="11999" width="37.42578125" style="2" customWidth="1"/>
    <col min="12000" max="12000" width="63.140625" style="2" customWidth="1"/>
    <col min="12001" max="12001" width="20" style="2" customWidth="1"/>
    <col min="12002" max="12002" width="11.140625" style="2" customWidth="1"/>
    <col min="12003" max="12003" width="10.85546875" style="2" customWidth="1"/>
    <col min="12004" max="12004" width="21" style="2" customWidth="1"/>
    <col min="12005" max="12005" width="10.85546875" style="2" customWidth="1"/>
    <col min="12006" max="12006" width="17.42578125" style="2" customWidth="1"/>
    <col min="12007" max="12007" width="14.85546875" style="2" customWidth="1"/>
    <col min="12008" max="12008" width="15" style="2" customWidth="1"/>
    <col min="12009" max="12009" width="14.85546875" style="2" customWidth="1"/>
    <col min="12010" max="12010" width="7.140625" style="2" customWidth="1"/>
    <col min="12011" max="12012" width="20.140625" style="2" customWidth="1"/>
    <col min="12013" max="12013" width="18.42578125" style="2" customWidth="1"/>
    <col min="12014" max="12014" width="9.140625" style="2" customWidth="1"/>
    <col min="12015" max="12015" width="12" style="2" customWidth="1"/>
    <col min="12016" max="12016" width="14.85546875" style="2" customWidth="1"/>
    <col min="12017" max="12017" width="22.42578125" style="2" customWidth="1"/>
    <col min="12018" max="12018" width="14.85546875" style="2" customWidth="1"/>
    <col min="12019" max="12019" width="7.140625" style="2" customWidth="1"/>
    <col min="12020" max="12020" width="20.140625" style="2" customWidth="1"/>
    <col min="12021" max="12252" width="8.85546875" style="2" customWidth="1"/>
    <col min="12253" max="12253" width="8.140625" style="2" customWidth="1"/>
    <col min="12254" max="12254" width="14.42578125" style="2" customWidth="1"/>
    <col min="12255" max="12255" width="37.42578125" style="2" customWidth="1"/>
    <col min="12256" max="12256" width="63.140625" style="2" customWidth="1"/>
    <col min="12257" max="12257" width="20" style="2" customWidth="1"/>
    <col min="12258" max="12258" width="11.140625" style="2" customWidth="1"/>
    <col min="12259" max="12259" width="10.85546875" style="2" customWidth="1"/>
    <col min="12260" max="12260" width="21" style="2" customWidth="1"/>
    <col min="12261" max="12261" width="10.85546875" style="2" customWidth="1"/>
    <col min="12262" max="12262" width="17.42578125" style="2" customWidth="1"/>
    <col min="12263" max="12263" width="14.85546875" style="2" customWidth="1"/>
    <col min="12264" max="12264" width="15" style="2" customWidth="1"/>
    <col min="12265" max="12265" width="14.85546875" style="2" customWidth="1"/>
    <col min="12266" max="12266" width="7.140625" style="2" customWidth="1"/>
    <col min="12267" max="12268" width="20.140625" style="2" customWidth="1"/>
    <col min="12269" max="12269" width="18.42578125" style="2" customWidth="1"/>
    <col min="12270" max="12270" width="9.140625" style="2" customWidth="1"/>
    <col min="12271" max="12271" width="12" style="2" customWidth="1"/>
    <col min="12272" max="12272" width="14.85546875" style="2" customWidth="1"/>
    <col min="12273" max="12273" width="22.42578125" style="2" customWidth="1"/>
    <col min="12274" max="12274" width="14.85546875" style="2" customWidth="1"/>
    <col min="12275" max="12275" width="7.140625" style="2" customWidth="1"/>
    <col min="12276" max="12276" width="20.140625" style="2" customWidth="1"/>
    <col min="12277" max="12508" width="8.85546875" style="2" customWidth="1"/>
    <col min="12509" max="12509" width="8.140625" style="2" customWidth="1"/>
    <col min="12510" max="12510" width="14.42578125" style="2" customWidth="1"/>
    <col min="12511" max="12511" width="37.42578125" style="2" customWidth="1"/>
    <col min="12512" max="12512" width="63.140625" style="2" customWidth="1"/>
    <col min="12513" max="12513" width="20" style="2" customWidth="1"/>
    <col min="12514" max="12514" width="11.140625" style="2" customWidth="1"/>
    <col min="12515" max="12515" width="10.85546875" style="2" customWidth="1"/>
    <col min="12516" max="12516" width="21" style="2" customWidth="1"/>
    <col min="12517" max="12517" width="10.85546875" style="2" customWidth="1"/>
    <col min="12518" max="12518" width="17.42578125" style="2" customWidth="1"/>
    <col min="12519" max="12519" width="14.85546875" style="2" customWidth="1"/>
    <col min="12520" max="12520" width="15" style="2" customWidth="1"/>
    <col min="12521" max="12521" width="14.85546875" style="2" customWidth="1"/>
    <col min="12522" max="12522" width="7.140625" style="2" customWidth="1"/>
    <col min="12523" max="12524" width="20.140625" style="2" customWidth="1"/>
    <col min="12525" max="12525" width="18.42578125" style="2" customWidth="1"/>
    <col min="12526" max="12526" width="9.140625" style="2" customWidth="1"/>
    <col min="12527" max="12527" width="12" style="2" customWidth="1"/>
    <col min="12528" max="12528" width="14.85546875" style="2" customWidth="1"/>
    <col min="12529" max="12529" width="22.42578125" style="2" customWidth="1"/>
    <col min="12530" max="12530" width="14.85546875" style="2" customWidth="1"/>
    <col min="12531" max="12531" width="7.140625" style="2" customWidth="1"/>
    <col min="12532" max="12532" width="20.140625" style="2" customWidth="1"/>
    <col min="12533" max="12764" width="8.85546875" style="2" customWidth="1"/>
    <col min="12765" max="12765" width="8.140625" style="2" customWidth="1"/>
    <col min="12766" max="12766" width="14.42578125" style="2" customWidth="1"/>
    <col min="12767" max="12767" width="37.42578125" style="2" customWidth="1"/>
    <col min="12768" max="12768" width="63.140625" style="2" customWidth="1"/>
    <col min="12769" max="12769" width="20" style="2" customWidth="1"/>
    <col min="12770" max="12770" width="11.140625" style="2" customWidth="1"/>
    <col min="12771" max="12771" width="10.85546875" style="2" customWidth="1"/>
    <col min="12772" max="12772" width="21" style="2" customWidth="1"/>
    <col min="12773" max="12773" width="10.85546875" style="2" customWidth="1"/>
    <col min="12774" max="12774" width="17.42578125" style="2" customWidth="1"/>
    <col min="12775" max="12775" width="14.85546875" style="2" customWidth="1"/>
    <col min="12776" max="12776" width="15" style="2" customWidth="1"/>
    <col min="12777" max="12777" width="14.85546875" style="2" customWidth="1"/>
    <col min="12778" max="12778" width="7.140625" style="2" customWidth="1"/>
    <col min="12779" max="12780" width="20.140625" style="2" customWidth="1"/>
    <col min="12781" max="12781" width="18.42578125" style="2" customWidth="1"/>
    <col min="12782" max="12782" width="9.140625" style="2" customWidth="1"/>
    <col min="12783" max="12783" width="12" style="2" customWidth="1"/>
    <col min="12784" max="12784" width="14.85546875" style="2" customWidth="1"/>
    <col min="12785" max="12785" width="22.42578125" style="2" customWidth="1"/>
    <col min="12786" max="12786" width="14.85546875" style="2" customWidth="1"/>
    <col min="12787" max="12787" width="7.140625" style="2" customWidth="1"/>
    <col min="12788" max="12788" width="20.140625" style="2" customWidth="1"/>
    <col min="12789" max="13020" width="8.85546875" style="2" customWidth="1"/>
    <col min="13021" max="13021" width="8.140625" style="2" customWidth="1"/>
    <col min="13022" max="13022" width="14.42578125" style="2" customWidth="1"/>
    <col min="13023" max="13023" width="37.42578125" style="2" customWidth="1"/>
    <col min="13024" max="13024" width="63.140625" style="2" customWidth="1"/>
    <col min="13025" max="13025" width="20" style="2" customWidth="1"/>
    <col min="13026" max="13026" width="11.140625" style="2" customWidth="1"/>
    <col min="13027" max="13027" width="10.85546875" style="2" customWidth="1"/>
    <col min="13028" max="13028" width="21" style="2" customWidth="1"/>
    <col min="13029" max="13029" width="10.85546875" style="2" customWidth="1"/>
    <col min="13030" max="13030" width="17.42578125" style="2" customWidth="1"/>
    <col min="13031" max="13031" width="14.85546875" style="2" customWidth="1"/>
    <col min="13032" max="13032" width="15" style="2" customWidth="1"/>
    <col min="13033" max="13033" width="14.85546875" style="2" customWidth="1"/>
    <col min="13034" max="13034" width="7.140625" style="2" customWidth="1"/>
    <col min="13035" max="13036" width="20.140625" style="2" customWidth="1"/>
    <col min="13037" max="13037" width="18.42578125" style="2" customWidth="1"/>
    <col min="13038" max="13038" width="9.140625" style="2" customWidth="1"/>
    <col min="13039" max="13039" width="12" style="2" customWidth="1"/>
    <col min="13040" max="13040" width="14.85546875" style="2" customWidth="1"/>
    <col min="13041" max="13041" width="22.42578125" style="2" customWidth="1"/>
    <col min="13042" max="13042" width="14.85546875" style="2" customWidth="1"/>
    <col min="13043" max="13043" width="7.140625" style="2" customWidth="1"/>
    <col min="13044" max="13044" width="20.140625" style="2" customWidth="1"/>
    <col min="13045" max="13276" width="8.85546875" style="2" customWidth="1"/>
    <col min="13277" max="13277" width="8.140625" style="2" customWidth="1"/>
    <col min="13278" max="13278" width="14.42578125" style="2" customWidth="1"/>
    <col min="13279" max="13279" width="37.42578125" style="2" customWidth="1"/>
    <col min="13280" max="13280" width="63.140625" style="2" customWidth="1"/>
    <col min="13281" max="13281" width="20" style="2" customWidth="1"/>
    <col min="13282" max="13282" width="11.140625" style="2" customWidth="1"/>
    <col min="13283" max="13283" width="10.85546875" style="2" customWidth="1"/>
    <col min="13284" max="13284" width="21" style="2" customWidth="1"/>
    <col min="13285" max="13285" width="10.85546875" style="2" customWidth="1"/>
    <col min="13286" max="13286" width="17.42578125" style="2" customWidth="1"/>
    <col min="13287" max="13287" width="14.85546875" style="2" customWidth="1"/>
    <col min="13288" max="13288" width="15" style="2" customWidth="1"/>
    <col min="13289" max="13289" width="14.85546875" style="2" customWidth="1"/>
    <col min="13290" max="13290" width="7.140625" style="2" customWidth="1"/>
    <col min="13291" max="13292" width="20.140625" style="2" customWidth="1"/>
    <col min="13293" max="13293" width="18.42578125" style="2" customWidth="1"/>
    <col min="13294" max="13294" width="9.140625" style="2" customWidth="1"/>
    <col min="13295" max="13295" width="12" style="2" customWidth="1"/>
    <col min="13296" max="13296" width="14.85546875" style="2" customWidth="1"/>
    <col min="13297" max="13297" width="22.42578125" style="2" customWidth="1"/>
    <col min="13298" max="13298" width="14.85546875" style="2" customWidth="1"/>
    <col min="13299" max="13299" width="7.140625" style="2" customWidth="1"/>
    <col min="13300" max="13300" width="20.140625" style="2" customWidth="1"/>
    <col min="13301" max="13532" width="8.85546875" style="2" customWidth="1"/>
    <col min="13533" max="13533" width="8.140625" style="2" customWidth="1"/>
    <col min="13534" max="13534" width="14.42578125" style="2" customWidth="1"/>
    <col min="13535" max="13535" width="37.42578125" style="2" customWidth="1"/>
    <col min="13536" max="13536" width="63.140625" style="2" customWidth="1"/>
    <col min="13537" max="13537" width="20" style="2" customWidth="1"/>
    <col min="13538" max="13538" width="11.140625" style="2" customWidth="1"/>
    <col min="13539" max="13539" width="10.85546875" style="2" customWidth="1"/>
    <col min="13540" max="13540" width="21" style="2" customWidth="1"/>
    <col min="13541" max="13541" width="10.85546875" style="2" customWidth="1"/>
    <col min="13542" max="13542" width="17.42578125" style="2" customWidth="1"/>
    <col min="13543" max="13543" width="14.85546875" style="2" customWidth="1"/>
    <col min="13544" max="13544" width="15" style="2" customWidth="1"/>
    <col min="13545" max="13545" width="14.85546875" style="2" customWidth="1"/>
    <col min="13546" max="13546" width="7.140625" style="2" customWidth="1"/>
    <col min="13547" max="13548" width="20.140625" style="2" customWidth="1"/>
    <col min="13549" max="13549" width="18.42578125" style="2" customWidth="1"/>
    <col min="13550" max="13550" width="9.140625" style="2" customWidth="1"/>
    <col min="13551" max="13551" width="12" style="2" customWidth="1"/>
    <col min="13552" max="13552" width="14.85546875" style="2" customWidth="1"/>
    <col min="13553" max="13553" width="22.42578125" style="2" customWidth="1"/>
    <col min="13554" max="13554" width="14.85546875" style="2" customWidth="1"/>
    <col min="13555" max="13555" width="7.140625" style="2" customWidth="1"/>
    <col min="13556" max="13556" width="20.140625" style="2" customWidth="1"/>
    <col min="13557" max="13788" width="8.85546875" style="2" customWidth="1"/>
    <col min="13789" max="13789" width="8.140625" style="2" customWidth="1"/>
    <col min="13790" max="13790" width="14.42578125" style="2" customWidth="1"/>
    <col min="13791" max="13791" width="37.42578125" style="2" customWidth="1"/>
    <col min="13792" max="13792" width="63.140625" style="2" customWidth="1"/>
    <col min="13793" max="13793" width="20" style="2" customWidth="1"/>
    <col min="13794" max="13794" width="11.140625" style="2" customWidth="1"/>
    <col min="13795" max="13795" width="10.85546875" style="2" customWidth="1"/>
    <col min="13796" max="13796" width="21" style="2" customWidth="1"/>
    <col min="13797" max="13797" width="10.85546875" style="2" customWidth="1"/>
    <col min="13798" max="13798" width="17.42578125" style="2" customWidth="1"/>
    <col min="13799" max="13799" width="14.85546875" style="2" customWidth="1"/>
    <col min="13800" max="13800" width="15" style="2" customWidth="1"/>
    <col min="13801" max="13801" width="14.85546875" style="2" customWidth="1"/>
    <col min="13802" max="13802" width="7.140625" style="2" customWidth="1"/>
    <col min="13803" max="13804" width="20.140625" style="2" customWidth="1"/>
    <col min="13805" max="13805" width="18.42578125" style="2" customWidth="1"/>
    <col min="13806" max="13806" width="9.140625" style="2" customWidth="1"/>
    <col min="13807" max="13807" width="12" style="2" customWidth="1"/>
    <col min="13808" max="13808" width="14.85546875" style="2" customWidth="1"/>
    <col min="13809" max="13809" width="22.42578125" style="2" customWidth="1"/>
    <col min="13810" max="13810" width="14.85546875" style="2" customWidth="1"/>
    <col min="13811" max="13811" width="7.140625" style="2" customWidth="1"/>
    <col min="13812" max="13812" width="20.140625" style="2" customWidth="1"/>
    <col min="13813" max="14044" width="8.85546875" style="2" customWidth="1"/>
    <col min="14045" max="14045" width="8.140625" style="2" customWidth="1"/>
    <col min="14046" max="14046" width="14.42578125" style="2" customWidth="1"/>
    <col min="14047" max="14047" width="37.42578125" style="2" customWidth="1"/>
    <col min="14048" max="14048" width="63.140625" style="2" customWidth="1"/>
    <col min="14049" max="14049" width="20" style="2" customWidth="1"/>
    <col min="14050" max="14050" width="11.140625" style="2" customWidth="1"/>
    <col min="14051" max="14051" width="10.85546875" style="2" customWidth="1"/>
    <col min="14052" max="14052" width="21" style="2" customWidth="1"/>
    <col min="14053" max="14053" width="10.85546875" style="2" customWidth="1"/>
    <col min="14054" max="14054" width="17.42578125" style="2" customWidth="1"/>
    <col min="14055" max="14055" width="14.85546875" style="2" customWidth="1"/>
    <col min="14056" max="14056" width="15" style="2" customWidth="1"/>
    <col min="14057" max="14057" width="14.85546875" style="2" customWidth="1"/>
    <col min="14058" max="14058" width="7.140625" style="2" customWidth="1"/>
    <col min="14059" max="14060" width="20.140625" style="2" customWidth="1"/>
    <col min="14061" max="14061" width="18.42578125" style="2" customWidth="1"/>
    <col min="14062" max="14062" width="9.140625" style="2" customWidth="1"/>
    <col min="14063" max="14063" width="12" style="2" customWidth="1"/>
    <col min="14064" max="14064" width="14.85546875" style="2" customWidth="1"/>
    <col min="14065" max="14065" width="22.42578125" style="2" customWidth="1"/>
    <col min="14066" max="14066" width="14.85546875" style="2" customWidth="1"/>
    <col min="14067" max="14067" width="7.140625" style="2" customWidth="1"/>
    <col min="14068" max="14068" width="20.140625" style="2" customWidth="1"/>
    <col min="14069" max="14300" width="8.85546875" style="2" customWidth="1"/>
    <col min="14301" max="14301" width="8.140625" style="2" customWidth="1"/>
    <col min="14302" max="14302" width="14.42578125" style="2" customWidth="1"/>
    <col min="14303" max="14303" width="37.42578125" style="2" customWidth="1"/>
    <col min="14304" max="14304" width="63.140625" style="2" customWidth="1"/>
    <col min="14305" max="14305" width="20" style="2" customWidth="1"/>
    <col min="14306" max="14306" width="11.140625" style="2" customWidth="1"/>
    <col min="14307" max="14307" width="10.85546875" style="2" customWidth="1"/>
    <col min="14308" max="14308" width="21" style="2" customWidth="1"/>
    <col min="14309" max="14309" width="10.85546875" style="2" customWidth="1"/>
    <col min="14310" max="14310" width="17.42578125" style="2" customWidth="1"/>
    <col min="14311" max="14311" width="14.85546875" style="2" customWidth="1"/>
    <col min="14312" max="14312" width="15" style="2" customWidth="1"/>
    <col min="14313" max="14313" width="14.85546875" style="2" customWidth="1"/>
    <col min="14314" max="14314" width="7.140625" style="2" customWidth="1"/>
    <col min="14315" max="14316" width="20.140625" style="2" customWidth="1"/>
    <col min="14317" max="14317" width="18.42578125" style="2" customWidth="1"/>
    <col min="14318" max="14318" width="9.140625" style="2" customWidth="1"/>
    <col min="14319" max="14319" width="12" style="2" customWidth="1"/>
    <col min="14320" max="14320" width="14.85546875" style="2" customWidth="1"/>
    <col min="14321" max="14321" width="22.42578125" style="2" customWidth="1"/>
    <col min="14322" max="14322" width="14.85546875" style="2" customWidth="1"/>
    <col min="14323" max="14323" width="7.140625" style="2" customWidth="1"/>
    <col min="14324" max="14324" width="20.140625" style="2" customWidth="1"/>
    <col min="14325" max="14556" width="8.85546875" style="2" customWidth="1"/>
    <col min="14557" max="14557" width="8.140625" style="2" customWidth="1"/>
    <col min="14558" max="14558" width="14.42578125" style="2" customWidth="1"/>
    <col min="14559" max="14559" width="37.42578125" style="2" customWidth="1"/>
    <col min="14560" max="14560" width="63.140625" style="2" customWidth="1"/>
    <col min="14561" max="14561" width="20" style="2" customWidth="1"/>
    <col min="14562" max="14562" width="11.140625" style="2" customWidth="1"/>
    <col min="14563" max="14563" width="10.85546875" style="2" customWidth="1"/>
    <col min="14564" max="14564" width="21" style="2" customWidth="1"/>
    <col min="14565" max="14565" width="10.85546875" style="2" customWidth="1"/>
    <col min="14566" max="14566" width="17.42578125" style="2" customWidth="1"/>
    <col min="14567" max="14567" width="14.85546875" style="2" customWidth="1"/>
    <col min="14568" max="14568" width="15" style="2" customWidth="1"/>
    <col min="14569" max="14569" width="14.85546875" style="2" customWidth="1"/>
    <col min="14570" max="14570" width="7.140625" style="2" customWidth="1"/>
    <col min="14571" max="14572" width="20.140625" style="2" customWidth="1"/>
    <col min="14573" max="14573" width="18.42578125" style="2" customWidth="1"/>
    <col min="14574" max="14574" width="9.140625" style="2" customWidth="1"/>
    <col min="14575" max="14575" width="12" style="2" customWidth="1"/>
    <col min="14576" max="14576" width="14.85546875" style="2" customWidth="1"/>
    <col min="14577" max="14577" width="22.42578125" style="2" customWidth="1"/>
    <col min="14578" max="14578" width="14.85546875" style="2" customWidth="1"/>
    <col min="14579" max="14579" width="7.140625" style="2" customWidth="1"/>
    <col min="14580" max="14580" width="20.140625" style="2" customWidth="1"/>
    <col min="14581" max="14812" width="8.85546875" style="2" customWidth="1"/>
    <col min="14813" max="14813" width="8.140625" style="2" customWidth="1"/>
    <col min="14814" max="14814" width="14.42578125" style="2" customWidth="1"/>
    <col min="14815" max="14815" width="37.42578125" style="2" customWidth="1"/>
    <col min="14816" max="14816" width="63.140625" style="2" customWidth="1"/>
    <col min="14817" max="14817" width="20" style="2" customWidth="1"/>
    <col min="14818" max="14818" width="11.140625" style="2" customWidth="1"/>
    <col min="14819" max="14819" width="10.85546875" style="2" customWidth="1"/>
    <col min="14820" max="14820" width="21" style="2" customWidth="1"/>
    <col min="14821" max="14821" width="10.85546875" style="2" customWidth="1"/>
    <col min="14822" max="14822" width="17.42578125" style="2" customWidth="1"/>
    <col min="14823" max="14823" width="14.85546875" style="2" customWidth="1"/>
    <col min="14824" max="14824" width="15" style="2" customWidth="1"/>
    <col min="14825" max="14825" width="14.85546875" style="2" customWidth="1"/>
    <col min="14826" max="14826" width="7.140625" style="2" customWidth="1"/>
    <col min="14827" max="14828" width="20.140625" style="2" customWidth="1"/>
    <col min="14829" max="14829" width="18.42578125" style="2" customWidth="1"/>
    <col min="14830" max="14830" width="9.140625" style="2" customWidth="1"/>
    <col min="14831" max="14831" width="12" style="2" customWidth="1"/>
    <col min="14832" max="14832" width="14.85546875" style="2" customWidth="1"/>
    <col min="14833" max="14833" width="22.42578125" style="2" customWidth="1"/>
    <col min="14834" max="14834" width="14.85546875" style="2" customWidth="1"/>
    <col min="14835" max="14835" width="7.140625" style="2" customWidth="1"/>
    <col min="14836" max="14836" width="20.140625" style="2" customWidth="1"/>
    <col min="14837" max="15068" width="8.85546875" style="2" customWidth="1"/>
    <col min="15069" max="15069" width="8.140625" style="2" customWidth="1"/>
    <col min="15070" max="15070" width="14.42578125" style="2" customWidth="1"/>
    <col min="15071" max="15071" width="37.42578125" style="2" customWidth="1"/>
    <col min="15072" max="15072" width="63.140625" style="2" customWidth="1"/>
    <col min="15073" max="15073" width="20" style="2" customWidth="1"/>
    <col min="15074" max="15074" width="11.140625" style="2" customWidth="1"/>
    <col min="15075" max="15075" width="10.85546875" style="2" customWidth="1"/>
    <col min="15076" max="15076" width="21" style="2" customWidth="1"/>
    <col min="15077" max="15077" width="10.85546875" style="2" customWidth="1"/>
    <col min="15078" max="15078" width="17.42578125" style="2" customWidth="1"/>
    <col min="15079" max="15079" width="14.85546875" style="2" customWidth="1"/>
    <col min="15080" max="15080" width="15" style="2" customWidth="1"/>
    <col min="15081" max="15081" width="14.85546875" style="2" customWidth="1"/>
    <col min="15082" max="15082" width="7.140625" style="2" customWidth="1"/>
    <col min="15083" max="15084" width="20.140625" style="2" customWidth="1"/>
    <col min="15085" max="15085" width="18.42578125" style="2" customWidth="1"/>
    <col min="15086" max="15086" width="9.140625" style="2" customWidth="1"/>
    <col min="15087" max="15087" width="12" style="2" customWidth="1"/>
    <col min="15088" max="15088" width="14.85546875" style="2" customWidth="1"/>
    <col min="15089" max="15089" width="22.42578125" style="2" customWidth="1"/>
    <col min="15090" max="15090" width="14.85546875" style="2" customWidth="1"/>
    <col min="15091" max="15091" width="7.140625" style="2" customWidth="1"/>
    <col min="15092" max="15092" width="20.140625" style="2" customWidth="1"/>
    <col min="15093" max="15324" width="8.85546875" style="2" customWidth="1"/>
    <col min="15325" max="15325" width="8.140625" style="2" customWidth="1"/>
    <col min="15326" max="15326" width="14.42578125" style="2" customWidth="1"/>
    <col min="15327" max="15327" width="37.42578125" style="2" customWidth="1"/>
    <col min="15328" max="15328" width="63.140625" style="2" customWidth="1"/>
    <col min="15329" max="15329" width="20" style="2" customWidth="1"/>
    <col min="15330" max="15330" width="11.140625" style="2" customWidth="1"/>
    <col min="15331" max="15331" width="10.85546875" style="2" customWidth="1"/>
    <col min="15332" max="15332" width="21" style="2" customWidth="1"/>
    <col min="15333" max="15333" width="10.85546875" style="2" customWidth="1"/>
    <col min="15334" max="15334" width="17.42578125" style="2" customWidth="1"/>
    <col min="15335" max="15335" width="14.85546875" style="2" customWidth="1"/>
    <col min="15336" max="15336" width="15" style="2" customWidth="1"/>
    <col min="15337" max="15337" width="14.85546875" style="2" customWidth="1"/>
    <col min="15338" max="15338" width="7.140625" style="2" customWidth="1"/>
    <col min="15339" max="15340" width="20.140625" style="2" customWidth="1"/>
    <col min="15341" max="15341" width="18.42578125" style="2" customWidth="1"/>
    <col min="15342" max="15342" width="9.140625" style="2" customWidth="1"/>
    <col min="15343" max="15343" width="12" style="2" customWidth="1"/>
    <col min="15344" max="15344" width="14.85546875" style="2" customWidth="1"/>
    <col min="15345" max="15345" width="22.42578125" style="2" customWidth="1"/>
    <col min="15346" max="15346" width="14.85546875" style="2" customWidth="1"/>
    <col min="15347" max="15347" width="7.140625" style="2" customWidth="1"/>
    <col min="15348" max="15348" width="20.140625" style="2" customWidth="1"/>
    <col min="15349" max="15580" width="8.85546875" style="2" customWidth="1"/>
    <col min="15581" max="15581" width="8.140625" style="2" customWidth="1"/>
    <col min="15582" max="15582" width="14.42578125" style="2" customWidth="1"/>
    <col min="15583" max="15583" width="37.42578125" style="2" customWidth="1"/>
    <col min="15584" max="15584" width="63.140625" style="2" customWidth="1"/>
    <col min="15585" max="15585" width="20" style="2" customWidth="1"/>
    <col min="15586" max="15586" width="11.140625" style="2" customWidth="1"/>
    <col min="15587" max="15587" width="10.85546875" style="2" customWidth="1"/>
    <col min="15588" max="15588" width="21" style="2" customWidth="1"/>
    <col min="15589" max="15589" width="10.85546875" style="2" customWidth="1"/>
    <col min="15590" max="15590" width="17.42578125" style="2" customWidth="1"/>
    <col min="15591" max="15591" width="14.85546875" style="2" customWidth="1"/>
    <col min="15592" max="15592" width="15" style="2" customWidth="1"/>
    <col min="15593" max="15593" width="14.85546875" style="2" customWidth="1"/>
    <col min="15594" max="15594" width="7.140625" style="2" customWidth="1"/>
    <col min="15595" max="15596" width="20.140625" style="2" customWidth="1"/>
    <col min="15597" max="15597" width="18.42578125" style="2" customWidth="1"/>
    <col min="15598" max="15598" width="9.140625" style="2" customWidth="1"/>
    <col min="15599" max="15599" width="12" style="2" customWidth="1"/>
    <col min="15600" max="15600" width="14.85546875" style="2" customWidth="1"/>
    <col min="15601" max="15601" width="22.42578125" style="2" customWidth="1"/>
    <col min="15602" max="15602" width="14.85546875" style="2" customWidth="1"/>
    <col min="15603" max="15603" width="7.140625" style="2" customWidth="1"/>
    <col min="15604" max="15604" width="20.140625" style="2" customWidth="1"/>
    <col min="15605" max="15836" width="8.85546875" style="2" customWidth="1"/>
    <col min="15837" max="15837" width="8.140625" style="2" customWidth="1"/>
    <col min="15838" max="15838" width="14.42578125" style="2" customWidth="1"/>
    <col min="15839" max="15839" width="37.42578125" style="2" customWidth="1"/>
    <col min="15840" max="15840" width="63.140625" style="2" customWidth="1"/>
    <col min="15841" max="15841" width="20" style="2" customWidth="1"/>
    <col min="15842" max="15842" width="11.140625" style="2" customWidth="1"/>
    <col min="15843" max="15843" width="10.85546875" style="2" customWidth="1"/>
    <col min="15844" max="15844" width="21" style="2" customWidth="1"/>
    <col min="15845" max="15845" width="10.85546875" style="2" customWidth="1"/>
    <col min="15846" max="15846" width="17.42578125" style="2" customWidth="1"/>
    <col min="15847" max="15847" width="14.85546875" style="2" customWidth="1"/>
    <col min="15848" max="15848" width="15" style="2" customWidth="1"/>
    <col min="15849" max="15849" width="14.85546875" style="2" customWidth="1"/>
    <col min="15850" max="15850" width="7.140625" style="2" customWidth="1"/>
    <col min="15851" max="15852" width="20.140625" style="2" customWidth="1"/>
    <col min="15853" max="15853" width="18.42578125" style="2" customWidth="1"/>
    <col min="15854" max="15854" width="9.140625" style="2" customWidth="1"/>
    <col min="15855" max="15855" width="12" style="2" customWidth="1"/>
    <col min="15856" max="15856" width="14.85546875" style="2" customWidth="1"/>
    <col min="15857" max="15857" width="22.42578125" style="2" customWidth="1"/>
    <col min="15858" max="15858" width="14.85546875" style="2" customWidth="1"/>
    <col min="15859" max="15859" width="7.140625" style="2" customWidth="1"/>
    <col min="15860" max="15860" width="20.140625" style="2" customWidth="1"/>
    <col min="15861" max="16092" width="8.85546875" style="2" customWidth="1"/>
    <col min="16093" max="16093" width="8.140625" style="2" customWidth="1"/>
    <col min="16094" max="16094" width="14.42578125" style="2" customWidth="1"/>
    <col min="16095" max="16095" width="37.42578125" style="2" customWidth="1"/>
    <col min="16096" max="16096" width="63.140625" style="2" customWidth="1"/>
    <col min="16097" max="16097" width="20" style="2" customWidth="1"/>
    <col min="16098" max="16098" width="11.140625" style="2" customWidth="1"/>
    <col min="16099" max="16099" width="10.85546875" style="2" customWidth="1"/>
    <col min="16100" max="16100" width="21" style="2" customWidth="1"/>
    <col min="16101" max="16101" width="10.85546875" style="2" customWidth="1"/>
    <col min="16102" max="16102" width="17.42578125" style="2" customWidth="1"/>
    <col min="16103" max="16103" width="14.85546875" style="2" customWidth="1"/>
    <col min="16104" max="16104" width="15" style="2" customWidth="1"/>
    <col min="16105" max="16105" width="14.85546875" style="2" customWidth="1"/>
    <col min="16106" max="16106" width="7.140625" style="2" customWidth="1"/>
    <col min="16107" max="16108" width="20.140625" style="2" customWidth="1"/>
    <col min="16109" max="16109" width="18.42578125" style="2" customWidth="1"/>
    <col min="16110" max="16110" width="9.140625" style="2" customWidth="1"/>
    <col min="16111" max="16111" width="12" style="2" customWidth="1"/>
    <col min="16112" max="16112" width="14.85546875" style="2" customWidth="1"/>
    <col min="16113" max="16113" width="22.42578125" style="2" customWidth="1"/>
    <col min="16114" max="16114" width="14.85546875" style="2" customWidth="1"/>
    <col min="16115" max="16115" width="7.140625" style="2" customWidth="1"/>
    <col min="16116" max="16116" width="20.140625" style="2" customWidth="1"/>
    <col min="16117" max="16384" width="8.85546875" style="2" customWidth="1"/>
  </cols>
  <sheetData>
    <row r="1" spans="1:21" ht="14.1" customHeight="1">
      <c r="A1" s="1" t="s">
        <v>3740</v>
      </c>
      <c r="B1" s="24"/>
      <c r="C1" s="2"/>
      <c r="D1" s="2"/>
      <c r="F1" s="2"/>
      <c r="H1" s="2"/>
      <c r="J1" s="2"/>
      <c r="K1" s="2"/>
      <c r="L1" s="2"/>
      <c r="M1" s="2"/>
      <c r="N1" s="2"/>
      <c r="O1" s="2"/>
      <c r="P1" s="2"/>
      <c r="R1" s="10"/>
    </row>
    <row r="2" spans="1:21" s="4" customFormat="1" ht="14.1" customHeight="1">
      <c r="A2" s="4" t="s">
        <v>3741</v>
      </c>
      <c r="E2" s="69"/>
      <c r="Q2" s="2"/>
      <c r="R2" s="336"/>
    </row>
    <row r="3" spans="1:21" s="6" customFormat="1" ht="14.1" customHeight="1">
      <c r="A3" s="3"/>
      <c r="B3" s="16"/>
      <c r="C3" s="16"/>
      <c r="D3" s="23"/>
      <c r="E3" s="16"/>
      <c r="F3" s="23"/>
      <c r="G3" s="15"/>
      <c r="H3" s="25"/>
      <c r="I3" s="15"/>
      <c r="J3" s="25"/>
      <c r="K3" s="25"/>
      <c r="L3" s="25"/>
      <c r="M3" s="25"/>
      <c r="N3" s="25"/>
      <c r="O3" s="25"/>
      <c r="P3" s="25"/>
      <c r="Q3" s="2"/>
      <c r="R3" s="355" t="s">
        <v>2</v>
      </c>
      <c r="S3" s="2"/>
      <c r="T3" s="2"/>
      <c r="U3" s="2"/>
    </row>
    <row r="4" spans="1:21" s="5" customFormat="1" ht="33" customHeight="1">
      <c r="A4" s="21" t="s">
        <v>3</v>
      </c>
      <c r="B4" s="52" t="s">
        <v>4</v>
      </c>
      <c r="C4" s="52" t="s">
        <v>5</v>
      </c>
      <c r="D4" s="21" t="s">
        <v>6</v>
      </c>
      <c r="E4" s="21" t="s">
        <v>7</v>
      </c>
      <c r="F4" s="21" t="s">
        <v>8</v>
      </c>
      <c r="G4" s="21" t="s">
        <v>9</v>
      </c>
      <c r="H4" s="21" t="s">
        <v>10</v>
      </c>
      <c r="I4" s="21" t="s">
        <v>11</v>
      </c>
      <c r="J4" s="21" t="s">
        <v>12</v>
      </c>
      <c r="K4" s="21" t="s">
        <v>13</v>
      </c>
      <c r="L4" s="21" t="s">
        <v>14</v>
      </c>
      <c r="M4" s="21" t="s">
        <v>15</v>
      </c>
      <c r="N4" s="21" t="s">
        <v>16</v>
      </c>
      <c r="O4" s="21" t="s">
        <v>17</v>
      </c>
      <c r="P4" s="21" t="s">
        <v>18</v>
      </c>
      <c r="Q4" s="3"/>
      <c r="R4" s="41" t="s">
        <v>19</v>
      </c>
      <c r="S4" s="20"/>
      <c r="T4" s="42" t="s">
        <v>20</v>
      </c>
      <c r="U4" s="42" t="s">
        <v>21</v>
      </c>
    </row>
    <row r="5" spans="1:21" ht="14.1" customHeight="1">
      <c r="A5" s="7">
        <v>1</v>
      </c>
      <c r="B5" s="14" t="s">
        <v>124</v>
      </c>
      <c r="C5" s="14" t="s">
        <v>365</v>
      </c>
      <c r="D5" s="7" t="s">
        <v>45</v>
      </c>
      <c r="E5" s="14" t="s">
        <v>3742</v>
      </c>
      <c r="F5" s="7" t="s">
        <v>26</v>
      </c>
      <c r="G5" s="8" t="s">
        <v>3743</v>
      </c>
      <c r="H5" s="7" t="s">
        <v>3744</v>
      </c>
      <c r="I5" s="8" t="s">
        <v>3745</v>
      </c>
      <c r="J5" s="7" t="s">
        <v>123</v>
      </c>
      <c r="K5" s="7" t="s">
        <v>3746</v>
      </c>
      <c r="L5" s="7" t="s">
        <v>490</v>
      </c>
      <c r="M5" s="7" t="s">
        <v>3747</v>
      </c>
      <c r="N5" s="7">
        <v>200</v>
      </c>
      <c r="O5" s="7">
        <v>60</v>
      </c>
      <c r="P5" s="7"/>
      <c r="R5" s="9">
        <v>545.16329472751852</v>
      </c>
      <c r="S5" s="22"/>
      <c r="T5" s="7" t="s">
        <v>34</v>
      </c>
      <c r="U5" s="7" t="s">
        <v>34</v>
      </c>
    </row>
    <row r="6" spans="1:21" ht="14.1" customHeight="1">
      <c r="A6" s="7">
        <v>2</v>
      </c>
      <c r="B6" s="14" t="s">
        <v>124</v>
      </c>
      <c r="C6" s="14" t="s">
        <v>365</v>
      </c>
      <c r="D6" s="7" t="s">
        <v>45</v>
      </c>
      <c r="E6" s="14" t="s">
        <v>3742</v>
      </c>
      <c r="F6" s="7" t="s">
        <v>26</v>
      </c>
      <c r="G6" s="8" t="s">
        <v>3748</v>
      </c>
      <c r="H6" s="7" t="s">
        <v>3744</v>
      </c>
      <c r="I6" s="8" t="s">
        <v>3745</v>
      </c>
      <c r="J6" s="7" t="s">
        <v>123</v>
      </c>
      <c r="K6" s="7" t="s">
        <v>3746</v>
      </c>
      <c r="L6" s="7" t="s">
        <v>490</v>
      </c>
      <c r="M6" s="7" t="s">
        <v>3747</v>
      </c>
      <c r="N6" s="7">
        <v>200</v>
      </c>
      <c r="O6" s="7">
        <v>60</v>
      </c>
      <c r="P6" s="7"/>
      <c r="R6" s="9">
        <v>475.13019834804862</v>
      </c>
      <c r="T6" s="7" t="s">
        <v>34</v>
      </c>
      <c r="U6" s="7" t="s">
        <v>34</v>
      </c>
    </row>
    <row r="7" spans="1:21" ht="14.1" customHeight="1">
      <c r="A7" s="7">
        <v>3</v>
      </c>
      <c r="B7" s="14" t="s">
        <v>124</v>
      </c>
      <c r="C7" s="14" t="s">
        <v>365</v>
      </c>
      <c r="D7" s="7" t="s">
        <v>45</v>
      </c>
      <c r="E7" s="14" t="s">
        <v>3742</v>
      </c>
      <c r="F7" s="7" t="s">
        <v>26</v>
      </c>
      <c r="G7" s="8" t="s">
        <v>3749</v>
      </c>
      <c r="H7" s="7" t="s">
        <v>459</v>
      </c>
      <c r="I7" s="8" t="s">
        <v>3745</v>
      </c>
      <c r="J7" s="7" t="s">
        <v>123</v>
      </c>
      <c r="K7" s="17" t="s">
        <v>461</v>
      </c>
      <c r="L7" s="7" t="s">
        <v>490</v>
      </c>
      <c r="M7" s="7" t="s">
        <v>3747</v>
      </c>
      <c r="N7" s="7">
        <v>200</v>
      </c>
      <c r="O7" s="7">
        <v>60</v>
      </c>
      <c r="P7" s="7"/>
      <c r="R7" s="9">
        <v>359.41513613614791</v>
      </c>
      <c r="T7" s="7" t="s">
        <v>34</v>
      </c>
      <c r="U7" s="7" t="s">
        <v>34</v>
      </c>
    </row>
    <row r="8" spans="1:21" ht="14.1" customHeight="1">
      <c r="A8" s="7">
        <v>4</v>
      </c>
      <c r="B8" s="14" t="s">
        <v>124</v>
      </c>
      <c r="C8" s="14" t="s">
        <v>365</v>
      </c>
      <c r="D8" s="7" t="s">
        <v>45</v>
      </c>
      <c r="E8" s="14" t="s">
        <v>3742</v>
      </c>
      <c r="F8" s="7" t="s">
        <v>26</v>
      </c>
      <c r="G8" s="8" t="s">
        <v>3750</v>
      </c>
      <c r="H8" s="7" t="s">
        <v>632</v>
      </c>
      <c r="I8" s="8" t="s">
        <v>3745</v>
      </c>
      <c r="J8" s="7" t="s">
        <v>123</v>
      </c>
      <c r="K8" s="7" t="s">
        <v>633</v>
      </c>
      <c r="L8" s="7" t="s">
        <v>490</v>
      </c>
      <c r="M8" s="7" t="s">
        <v>3747</v>
      </c>
      <c r="N8" s="7">
        <v>200</v>
      </c>
      <c r="O8" s="7">
        <v>60</v>
      </c>
      <c r="P8" s="7"/>
      <c r="R8" s="9">
        <v>359.41513613614791</v>
      </c>
      <c r="T8" s="7" t="s">
        <v>34</v>
      </c>
      <c r="U8" s="7" t="s">
        <v>34</v>
      </c>
    </row>
    <row r="9" spans="1:21" ht="14.1" customHeight="1">
      <c r="A9" s="7">
        <v>5</v>
      </c>
      <c r="B9" s="14" t="s">
        <v>124</v>
      </c>
      <c r="C9" s="14" t="s">
        <v>365</v>
      </c>
      <c r="D9" s="7" t="s">
        <v>45</v>
      </c>
      <c r="E9" s="14" t="s">
        <v>3742</v>
      </c>
      <c r="F9" s="7" t="s">
        <v>26</v>
      </c>
      <c r="G9" s="8" t="s">
        <v>3751</v>
      </c>
      <c r="H9" s="7" t="s">
        <v>459</v>
      </c>
      <c r="I9" s="8" t="s">
        <v>3745</v>
      </c>
      <c r="J9" s="7" t="s">
        <v>123</v>
      </c>
      <c r="K9" s="7" t="s">
        <v>461</v>
      </c>
      <c r="L9" s="7" t="s">
        <v>490</v>
      </c>
      <c r="M9" s="7" t="s">
        <v>3747</v>
      </c>
      <c r="N9" s="7">
        <v>200</v>
      </c>
      <c r="O9" s="7">
        <v>60</v>
      </c>
      <c r="P9" s="7"/>
      <c r="R9" s="9">
        <v>389.42932029877801</v>
      </c>
      <c r="T9" s="7" t="s">
        <v>34</v>
      </c>
      <c r="U9" s="7" t="s">
        <v>34</v>
      </c>
    </row>
    <row r="10" spans="1:21" ht="14.1" customHeight="1">
      <c r="A10" s="7">
        <v>6</v>
      </c>
      <c r="B10" s="14" t="s">
        <v>124</v>
      </c>
      <c r="C10" s="14" t="s">
        <v>365</v>
      </c>
      <c r="D10" s="7" t="s">
        <v>45</v>
      </c>
      <c r="E10" s="14" t="s">
        <v>3742</v>
      </c>
      <c r="F10" s="7" t="s">
        <v>26</v>
      </c>
      <c r="G10" s="8" t="s">
        <v>3752</v>
      </c>
      <c r="H10" s="7" t="s">
        <v>632</v>
      </c>
      <c r="I10" s="8" t="s">
        <v>3745</v>
      </c>
      <c r="J10" s="7" t="s">
        <v>123</v>
      </c>
      <c r="K10" s="17" t="s">
        <v>633</v>
      </c>
      <c r="L10" s="7" t="s">
        <v>490</v>
      </c>
      <c r="M10" s="7" t="s">
        <v>3747</v>
      </c>
      <c r="N10" s="7">
        <v>200</v>
      </c>
      <c r="O10" s="7">
        <v>60</v>
      </c>
      <c r="P10" s="7"/>
      <c r="R10" s="9">
        <v>389.42932029877801</v>
      </c>
      <c r="T10" s="7" t="s">
        <v>34</v>
      </c>
      <c r="U10" s="7" t="s">
        <v>34</v>
      </c>
    </row>
    <row r="11" spans="1:21" ht="14.1" customHeight="1">
      <c r="A11" s="7">
        <v>7</v>
      </c>
      <c r="B11" s="14" t="s">
        <v>124</v>
      </c>
      <c r="C11" s="14" t="s">
        <v>365</v>
      </c>
      <c r="D11" s="7" t="s">
        <v>45</v>
      </c>
      <c r="E11" s="14" t="s">
        <v>3742</v>
      </c>
      <c r="F11" s="7" t="s">
        <v>26</v>
      </c>
      <c r="G11" s="8" t="s">
        <v>3753</v>
      </c>
      <c r="H11" s="7" t="s">
        <v>3754</v>
      </c>
      <c r="I11" s="8" t="s">
        <v>3745</v>
      </c>
      <c r="J11" s="7" t="s">
        <v>123</v>
      </c>
      <c r="K11" s="7" t="s">
        <v>3755</v>
      </c>
      <c r="L11" s="7" t="s">
        <v>490</v>
      </c>
      <c r="M11" s="7" t="s">
        <v>3747</v>
      </c>
      <c r="N11" s="7">
        <v>200</v>
      </c>
      <c r="O11" s="7">
        <v>60</v>
      </c>
      <c r="P11" s="7"/>
      <c r="R11" s="9">
        <v>401.13296443766512</v>
      </c>
      <c r="T11" s="7" t="s">
        <v>34</v>
      </c>
      <c r="U11" s="7" t="s">
        <v>34</v>
      </c>
    </row>
    <row r="12" spans="1:21" ht="14.1" customHeight="1">
      <c r="A12" s="7">
        <v>8</v>
      </c>
      <c r="B12" s="14" t="s">
        <v>124</v>
      </c>
      <c r="C12" s="14" t="s">
        <v>365</v>
      </c>
      <c r="D12" s="7" t="s">
        <v>45</v>
      </c>
      <c r="E12" s="14" t="s">
        <v>3742</v>
      </c>
      <c r="F12" s="7" t="s">
        <v>26</v>
      </c>
      <c r="G12" s="8" t="s">
        <v>3756</v>
      </c>
      <c r="H12" s="7" t="s">
        <v>3757</v>
      </c>
      <c r="I12" s="8" t="s">
        <v>3745</v>
      </c>
      <c r="J12" s="7" t="s">
        <v>123</v>
      </c>
      <c r="K12" s="7" t="s">
        <v>3758</v>
      </c>
      <c r="L12" s="7" t="s">
        <v>490</v>
      </c>
      <c r="M12" s="7" t="s">
        <v>3747</v>
      </c>
      <c r="N12" s="7">
        <v>200</v>
      </c>
      <c r="O12" s="7">
        <v>60</v>
      </c>
      <c r="P12" s="7"/>
      <c r="R12" s="9">
        <v>401.13296443766512</v>
      </c>
      <c r="T12" s="7" t="s">
        <v>34</v>
      </c>
      <c r="U12" s="7" t="s">
        <v>34</v>
      </c>
    </row>
    <row r="13" spans="1:21" ht="14.1" customHeight="1">
      <c r="A13" s="7">
        <v>9</v>
      </c>
      <c r="B13" s="14" t="s">
        <v>124</v>
      </c>
      <c r="C13" s="14" t="s">
        <v>365</v>
      </c>
      <c r="D13" s="7" t="s">
        <v>45</v>
      </c>
      <c r="E13" s="14" t="s">
        <v>3742</v>
      </c>
      <c r="F13" s="7" t="s">
        <v>26</v>
      </c>
      <c r="G13" s="8" t="s">
        <v>3759</v>
      </c>
      <c r="H13" s="7" t="s">
        <v>3760</v>
      </c>
      <c r="I13" s="8" t="s">
        <v>3745</v>
      </c>
      <c r="J13" s="7" t="s">
        <v>123</v>
      </c>
      <c r="K13" s="17" t="s">
        <v>3761</v>
      </c>
      <c r="L13" s="7" t="s">
        <v>490</v>
      </c>
      <c r="M13" s="7" t="s">
        <v>3747</v>
      </c>
      <c r="N13" s="7">
        <v>200</v>
      </c>
      <c r="O13" s="7">
        <v>60</v>
      </c>
      <c r="P13" s="7"/>
      <c r="R13" s="9">
        <v>401.13296443766512</v>
      </c>
      <c r="T13" s="7" t="s">
        <v>34</v>
      </c>
      <c r="U13" s="7" t="s">
        <v>34</v>
      </c>
    </row>
    <row r="14" spans="1:21" ht="14.1" customHeight="1">
      <c r="A14" s="7">
        <v>10</v>
      </c>
      <c r="B14" s="14" t="s">
        <v>124</v>
      </c>
      <c r="C14" s="14" t="s">
        <v>365</v>
      </c>
      <c r="D14" s="7" t="s">
        <v>45</v>
      </c>
      <c r="E14" s="14" t="s">
        <v>3742</v>
      </c>
      <c r="F14" s="7" t="s">
        <v>26</v>
      </c>
      <c r="G14" s="8" t="s">
        <v>3762</v>
      </c>
      <c r="H14" s="7" t="s">
        <v>3744</v>
      </c>
      <c r="I14" s="8" t="s">
        <v>3745</v>
      </c>
      <c r="J14" s="7" t="s">
        <v>123</v>
      </c>
      <c r="K14" s="7" t="s">
        <v>3746</v>
      </c>
      <c r="L14" s="7" t="s">
        <v>490</v>
      </c>
      <c r="M14" s="7" t="s">
        <v>3747</v>
      </c>
      <c r="N14" s="7">
        <v>200</v>
      </c>
      <c r="O14" s="7">
        <v>60</v>
      </c>
      <c r="P14" s="7"/>
      <c r="R14" s="9">
        <v>426.2391688001166</v>
      </c>
      <c r="T14" s="7" t="s">
        <v>34</v>
      </c>
      <c r="U14" s="7" t="s">
        <v>34</v>
      </c>
    </row>
    <row r="15" spans="1:21" ht="14.1" customHeight="1">
      <c r="A15" s="7">
        <v>11</v>
      </c>
      <c r="B15" s="14" t="s">
        <v>124</v>
      </c>
      <c r="C15" s="14" t="s">
        <v>365</v>
      </c>
      <c r="D15" s="7" t="s">
        <v>45</v>
      </c>
      <c r="E15" s="14" t="s">
        <v>3742</v>
      </c>
      <c r="F15" s="7" t="s">
        <v>26</v>
      </c>
      <c r="G15" s="8" t="s">
        <v>3763</v>
      </c>
      <c r="H15" s="7" t="s">
        <v>465</v>
      </c>
      <c r="I15" s="8" t="s">
        <v>3745</v>
      </c>
      <c r="J15" s="7" t="s">
        <v>123</v>
      </c>
      <c r="K15" s="7" t="s">
        <v>3764</v>
      </c>
      <c r="L15" s="7" t="s">
        <v>490</v>
      </c>
      <c r="M15" s="7" t="s">
        <v>3747</v>
      </c>
      <c r="N15" s="7">
        <v>200</v>
      </c>
      <c r="O15" s="7">
        <v>60</v>
      </c>
      <c r="P15" s="7"/>
      <c r="R15" s="9">
        <v>497.40487590270482</v>
      </c>
      <c r="T15" s="7" t="s">
        <v>34</v>
      </c>
      <c r="U15" s="7" t="s">
        <v>34</v>
      </c>
    </row>
    <row r="16" spans="1:21" ht="14.1" customHeight="1">
      <c r="A16" s="7">
        <v>12</v>
      </c>
      <c r="B16" s="14" t="s">
        <v>124</v>
      </c>
      <c r="C16" s="14" t="s">
        <v>365</v>
      </c>
      <c r="D16" s="7" t="s">
        <v>45</v>
      </c>
      <c r="E16" s="14" t="s">
        <v>3742</v>
      </c>
      <c r="F16" s="7" t="s">
        <v>26</v>
      </c>
      <c r="G16" s="8" t="s">
        <v>3765</v>
      </c>
      <c r="H16" s="7" t="s">
        <v>518</v>
      </c>
      <c r="I16" s="8" t="s">
        <v>3745</v>
      </c>
      <c r="J16" s="7" t="s">
        <v>123</v>
      </c>
      <c r="K16" s="17" t="s">
        <v>520</v>
      </c>
      <c r="L16" s="7" t="s">
        <v>490</v>
      </c>
      <c r="M16" s="7" t="s">
        <v>3747</v>
      </c>
      <c r="N16" s="7">
        <v>200</v>
      </c>
      <c r="O16" s="7">
        <v>60</v>
      </c>
      <c r="P16" s="7"/>
      <c r="R16" s="9">
        <v>497.40487590270482</v>
      </c>
      <c r="T16" s="7" t="s">
        <v>34</v>
      </c>
      <c r="U16" s="7" t="s">
        <v>34</v>
      </c>
    </row>
    <row r="17" spans="1:21" ht="14.1" customHeight="1">
      <c r="A17" s="7">
        <v>13</v>
      </c>
      <c r="B17" s="14" t="s">
        <v>124</v>
      </c>
      <c r="C17" s="14" t="s">
        <v>365</v>
      </c>
      <c r="D17" s="7" t="s">
        <v>45</v>
      </c>
      <c r="E17" s="14" t="s">
        <v>3742</v>
      </c>
      <c r="F17" s="7" t="s">
        <v>26</v>
      </c>
      <c r="G17" s="8" t="s">
        <v>3766</v>
      </c>
      <c r="H17" s="7" t="s">
        <v>3744</v>
      </c>
      <c r="I17" s="8" t="s">
        <v>3745</v>
      </c>
      <c r="J17" s="7" t="s">
        <v>123</v>
      </c>
      <c r="K17" s="7" t="s">
        <v>3746</v>
      </c>
      <c r="L17" s="7" t="s">
        <v>490</v>
      </c>
      <c r="M17" s="7" t="s">
        <v>3747</v>
      </c>
      <c r="N17" s="7">
        <v>200</v>
      </c>
      <c r="O17" s="7">
        <v>60</v>
      </c>
      <c r="P17" s="7"/>
      <c r="R17" s="9">
        <v>586.5035861213297</v>
      </c>
      <c r="T17" s="7" t="s">
        <v>34</v>
      </c>
      <c r="U17" s="7" t="s">
        <v>34</v>
      </c>
    </row>
    <row r="18" spans="1:21" ht="14.1" customHeight="1">
      <c r="A18" s="7">
        <v>14</v>
      </c>
      <c r="B18" s="14" t="s">
        <v>124</v>
      </c>
      <c r="C18" s="14" t="s">
        <v>365</v>
      </c>
      <c r="D18" s="7" t="s">
        <v>45</v>
      </c>
      <c r="E18" s="14" t="s">
        <v>3742</v>
      </c>
      <c r="F18" s="7" t="s">
        <v>26</v>
      </c>
      <c r="G18" s="8" t="s">
        <v>3767</v>
      </c>
      <c r="H18" s="7" t="s">
        <v>3768</v>
      </c>
      <c r="I18" s="8" t="s">
        <v>3745</v>
      </c>
      <c r="J18" s="7" t="s">
        <v>123</v>
      </c>
      <c r="K18" s="7" t="s">
        <v>1124</v>
      </c>
      <c r="L18" s="7" t="s">
        <v>490</v>
      </c>
      <c r="M18" s="7" t="s">
        <v>3747</v>
      </c>
      <c r="N18" s="7">
        <v>200</v>
      </c>
      <c r="O18" s="7">
        <v>60</v>
      </c>
      <c r="P18" s="7"/>
      <c r="R18" s="9">
        <v>566.68289846676271</v>
      </c>
      <c r="T18" s="7" t="s">
        <v>34</v>
      </c>
      <c r="U18" s="7" t="s">
        <v>34</v>
      </c>
    </row>
    <row r="19" spans="1:21" ht="14.1" customHeight="1">
      <c r="A19" s="7">
        <v>15</v>
      </c>
      <c r="B19" s="14" t="s">
        <v>124</v>
      </c>
      <c r="C19" s="14" t="s">
        <v>365</v>
      </c>
      <c r="D19" s="7" t="s">
        <v>45</v>
      </c>
      <c r="E19" s="14" t="s">
        <v>3742</v>
      </c>
      <c r="F19" s="7" t="s">
        <v>26</v>
      </c>
      <c r="G19" s="8" t="s">
        <v>3769</v>
      </c>
      <c r="H19" s="7" t="s">
        <v>459</v>
      </c>
      <c r="I19" s="8" t="s">
        <v>3745</v>
      </c>
      <c r="J19" s="7" t="s">
        <v>123</v>
      </c>
      <c r="K19" s="17" t="s">
        <v>461</v>
      </c>
      <c r="L19" s="7" t="s">
        <v>490</v>
      </c>
      <c r="M19" s="7" t="s">
        <v>3747</v>
      </c>
      <c r="N19" s="7">
        <v>300</v>
      </c>
      <c r="O19" s="7">
        <v>60</v>
      </c>
      <c r="P19" s="7"/>
      <c r="R19" s="9">
        <v>376.02676007521359</v>
      </c>
      <c r="T19" s="7" t="s">
        <v>34</v>
      </c>
      <c r="U19" s="7" t="s">
        <v>34</v>
      </c>
    </row>
    <row r="20" spans="1:21" ht="14.1" customHeight="1">
      <c r="A20" s="7">
        <v>16</v>
      </c>
      <c r="B20" s="14" t="s">
        <v>124</v>
      </c>
      <c r="C20" s="14" t="s">
        <v>365</v>
      </c>
      <c r="D20" s="7" t="s">
        <v>45</v>
      </c>
      <c r="E20" s="14" t="s">
        <v>3742</v>
      </c>
      <c r="F20" s="7" t="s">
        <v>26</v>
      </c>
      <c r="G20" s="8" t="s">
        <v>3770</v>
      </c>
      <c r="H20" s="7" t="s">
        <v>3744</v>
      </c>
      <c r="I20" s="8" t="s">
        <v>3745</v>
      </c>
      <c r="J20" s="7" t="s">
        <v>123</v>
      </c>
      <c r="K20" s="7" t="s">
        <v>3746</v>
      </c>
      <c r="L20" s="7" t="s">
        <v>490</v>
      </c>
      <c r="M20" s="7" t="s">
        <v>3747</v>
      </c>
      <c r="N20" s="7">
        <v>300</v>
      </c>
      <c r="O20" s="7">
        <v>60</v>
      </c>
      <c r="P20" s="7"/>
      <c r="R20" s="9">
        <v>470.7885239094291</v>
      </c>
      <c r="T20" s="7" t="s">
        <v>34</v>
      </c>
      <c r="U20" s="7" t="s">
        <v>34</v>
      </c>
    </row>
    <row r="21" spans="1:21" ht="14.1" customHeight="1">
      <c r="A21" s="7">
        <v>17</v>
      </c>
      <c r="B21" s="14" t="s">
        <v>124</v>
      </c>
      <c r="C21" s="14" t="s">
        <v>365</v>
      </c>
      <c r="D21" s="7" t="s">
        <v>45</v>
      </c>
      <c r="E21" s="14" t="s">
        <v>3742</v>
      </c>
      <c r="F21" s="7" t="s">
        <v>26</v>
      </c>
      <c r="G21" s="8" t="s">
        <v>3771</v>
      </c>
      <c r="H21" s="7" t="s">
        <v>3744</v>
      </c>
      <c r="I21" s="8" t="s">
        <v>3745</v>
      </c>
      <c r="J21" s="7" t="s">
        <v>123</v>
      </c>
      <c r="K21" s="7" t="s">
        <v>3746</v>
      </c>
      <c r="L21" s="7" t="s">
        <v>490</v>
      </c>
      <c r="M21" s="7" t="s">
        <v>3747</v>
      </c>
      <c r="N21" s="7">
        <v>300</v>
      </c>
      <c r="O21" s="7">
        <v>60</v>
      </c>
      <c r="P21" s="7"/>
      <c r="R21" s="9">
        <v>660.123283124007</v>
      </c>
      <c r="T21" s="7" t="s">
        <v>34</v>
      </c>
      <c r="U21" s="7" t="s">
        <v>34</v>
      </c>
    </row>
    <row r="22" spans="1:21" ht="14.1" customHeight="1">
      <c r="A22" s="7">
        <v>18</v>
      </c>
      <c r="B22" s="14" t="s">
        <v>124</v>
      </c>
      <c r="C22" s="14" t="s">
        <v>365</v>
      </c>
      <c r="D22" s="7" t="s">
        <v>45</v>
      </c>
      <c r="E22" s="14" t="s">
        <v>3742</v>
      </c>
      <c r="F22" s="7" t="s">
        <v>26</v>
      </c>
      <c r="G22" s="8" t="s">
        <v>3772</v>
      </c>
      <c r="H22" s="7" t="s">
        <v>459</v>
      </c>
      <c r="I22" s="8" t="s">
        <v>3745</v>
      </c>
      <c r="J22" s="7" t="s">
        <v>123</v>
      </c>
      <c r="K22" s="7" t="s">
        <v>461</v>
      </c>
      <c r="L22" s="7" t="s">
        <v>490</v>
      </c>
      <c r="M22" s="7" t="s">
        <v>3747</v>
      </c>
      <c r="N22" s="7">
        <v>300</v>
      </c>
      <c r="O22" s="7">
        <v>60</v>
      </c>
      <c r="P22" s="7"/>
      <c r="R22" s="9">
        <v>572.53472053620624</v>
      </c>
      <c r="T22" s="7" t="s">
        <v>34</v>
      </c>
      <c r="U22" s="7" t="s">
        <v>34</v>
      </c>
    </row>
    <row r="23" spans="1:21" ht="14.1" customHeight="1">
      <c r="A23" s="7">
        <v>19</v>
      </c>
      <c r="B23" s="14" t="s">
        <v>124</v>
      </c>
      <c r="C23" s="14" t="s">
        <v>365</v>
      </c>
      <c r="D23" s="7" t="s">
        <v>45</v>
      </c>
      <c r="E23" s="14" t="s">
        <v>3742</v>
      </c>
      <c r="F23" s="7" t="s">
        <v>26</v>
      </c>
      <c r="G23" s="8" t="s">
        <v>3773</v>
      </c>
      <c r="H23" s="7" t="s">
        <v>459</v>
      </c>
      <c r="I23" s="8" t="s">
        <v>3745</v>
      </c>
      <c r="J23" s="7" t="s">
        <v>123</v>
      </c>
      <c r="K23" s="7" t="s">
        <v>461</v>
      </c>
      <c r="L23" s="7" t="s">
        <v>490</v>
      </c>
      <c r="M23" s="7" t="s">
        <v>3747</v>
      </c>
      <c r="N23" s="7">
        <v>300</v>
      </c>
      <c r="O23" s="7">
        <v>60</v>
      </c>
      <c r="P23" s="7"/>
      <c r="R23" s="9">
        <v>553.09156978934539</v>
      </c>
      <c r="T23" s="7" t="s">
        <v>34</v>
      </c>
      <c r="U23" s="7" t="s">
        <v>34</v>
      </c>
    </row>
    <row r="24" spans="1:21" ht="14.1" customHeight="1">
      <c r="A24" s="7">
        <v>20</v>
      </c>
      <c r="B24" s="14" t="s">
        <v>124</v>
      </c>
      <c r="C24" s="14" t="s">
        <v>365</v>
      </c>
      <c r="D24" s="7" t="s">
        <v>45</v>
      </c>
      <c r="E24" s="14" t="s">
        <v>3742</v>
      </c>
      <c r="F24" s="7" t="s">
        <v>26</v>
      </c>
      <c r="G24" s="8" t="s">
        <v>3774</v>
      </c>
      <c r="H24" s="7" t="s">
        <v>632</v>
      </c>
      <c r="I24" s="8" t="s">
        <v>3745</v>
      </c>
      <c r="J24" s="7" t="s">
        <v>123</v>
      </c>
      <c r="K24" s="7" t="s">
        <v>633</v>
      </c>
      <c r="L24" s="7" t="s">
        <v>490</v>
      </c>
      <c r="M24" s="7" t="s">
        <v>3747</v>
      </c>
      <c r="N24" s="7">
        <v>300</v>
      </c>
      <c r="O24" s="7">
        <v>60</v>
      </c>
      <c r="P24" s="7"/>
      <c r="R24" s="9">
        <v>547.9948215353138</v>
      </c>
      <c r="T24" s="7" t="s">
        <v>34</v>
      </c>
      <c r="U24" s="7" t="s">
        <v>34</v>
      </c>
    </row>
    <row r="25" spans="1:21" ht="14.1" customHeight="1"/>
    <row r="26" spans="1:21" ht="14.1" customHeight="1"/>
    <row r="27" spans="1:21" ht="14.1" customHeight="1"/>
    <row r="28" spans="1:21" ht="14.1" customHeight="1"/>
    <row r="29" spans="1:21" ht="14.1" customHeight="1"/>
    <row r="30" spans="1:21" ht="14.1" customHeight="1"/>
    <row r="31" spans="1:21" ht="14.1" customHeight="1"/>
    <row r="32" spans="1:21" ht="14.1" customHeight="1"/>
    <row r="33" ht="14.1" customHeight="1"/>
    <row r="34" ht="14.1" customHeight="1"/>
    <row r="35" ht="14.1" customHeight="1"/>
    <row r="36" ht="14.1" customHeight="1"/>
    <row r="37" ht="14.1" customHeight="1"/>
    <row r="38" ht="14.1" customHeight="1"/>
    <row r="39" ht="14.1" customHeight="1"/>
    <row r="40" ht="14.1" customHeight="1"/>
    <row r="41" ht="14.1" customHeight="1"/>
    <row r="42" ht="14.1" customHeight="1"/>
    <row r="43" ht="14.1" customHeight="1"/>
    <row r="44" ht="14.1" customHeight="1"/>
    <row r="45" ht="14.1" customHeight="1"/>
    <row r="46" ht="14.1" customHeight="1"/>
    <row r="47" ht="14.1" customHeight="1"/>
    <row r="48" ht="14.1" customHeight="1"/>
    <row r="49" ht="14.1" customHeight="1"/>
    <row r="50" ht="14.1" customHeight="1"/>
    <row r="51" ht="14.1" customHeight="1"/>
    <row r="52" ht="14.1" customHeight="1"/>
    <row r="53" ht="14.1" customHeight="1"/>
    <row r="54" ht="14.1" customHeight="1"/>
    <row r="55" ht="14.1" customHeight="1"/>
    <row r="56" ht="14.1" customHeight="1"/>
    <row r="57" ht="14.1" customHeight="1"/>
    <row r="58" ht="14.1" customHeight="1"/>
    <row r="59" ht="14.1" customHeight="1"/>
    <row r="60" ht="14.1" customHeight="1"/>
    <row r="61" ht="14.1" customHeight="1"/>
    <row r="62" ht="14.1" customHeight="1"/>
    <row r="63" ht="14.1" customHeight="1"/>
    <row r="64" ht="14.1" customHeight="1"/>
    <row r="65" ht="14.1" customHeight="1"/>
    <row r="66" ht="14.1" customHeight="1"/>
    <row r="67" ht="14.1" customHeight="1"/>
    <row r="68" ht="14.1" customHeight="1"/>
    <row r="69" ht="14.1" customHeight="1"/>
    <row r="70" ht="14.1" customHeight="1"/>
    <row r="71" ht="14.1" customHeight="1"/>
    <row r="72" ht="14.1" customHeight="1"/>
    <row r="73" ht="14.1" customHeight="1"/>
    <row r="74" ht="14.1" customHeight="1"/>
    <row r="75" ht="14.1" customHeight="1"/>
    <row r="76" ht="14.1" customHeight="1"/>
    <row r="77" ht="14.1" customHeight="1"/>
    <row r="78" ht="14.1" customHeight="1"/>
    <row r="79" ht="14.1" customHeight="1"/>
    <row r="80" ht="14.1" customHeight="1"/>
    <row r="81" ht="14.1" customHeight="1"/>
    <row r="82" ht="14.1" customHeight="1"/>
    <row r="83" ht="14.1" customHeight="1"/>
    <row r="84" ht="14.1" customHeight="1"/>
    <row r="85" ht="14.1" customHeight="1"/>
    <row r="86" ht="14.1" customHeight="1"/>
    <row r="87" ht="14.1" customHeight="1"/>
    <row r="88" ht="14.1" customHeight="1"/>
    <row r="89" ht="14.1" customHeight="1"/>
    <row r="90" ht="14.1" customHeight="1"/>
    <row r="91" ht="14.1" customHeight="1"/>
    <row r="92" ht="14.1" customHeight="1"/>
    <row r="93" ht="14.1" customHeight="1"/>
    <row r="94" ht="14.1" customHeight="1"/>
    <row r="95" ht="14.1" customHeight="1"/>
    <row r="96" ht="14.1" customHeight="1"/>
    <row r="97" ht="14.1" customHeight="1"/>
    <row r="98" ht="14.1" customHeight="1"/>
    <row r="99" ht="14.1" customHeight="1"/>
    <row r="100" ht="14.1" customHeight="1"/>
    <row r="101" ht="14.1" customHeight="1"/>
    <row r="102" ht="14.1" customHeight="1"/>
    <row r="103" ht="14.1" customHeight="1"/>
    <row r="104" ht="14.1" customHeight="1"/>
    <row r="105" ht="14.1" customHeight="1"/>
    <row r="106" ht="14.1" customHeight="1"/>
    <row r="107" ht="14.1" customHeight="1"/>
    <row r="108" ht="14.1" customHeight="1"/>
    <row r="109" ht="14.1" customHeight="1"/>
    <row r="110" ht="14.1" customHeight="1"/>
    <row r="111" ht="14.1" customHeight="1"/>
    <row r="112" ht="14.1" customHeight="1"/>
    <row r="113" ht="14.1" customHeight="1"/>
    <row r="114" ht="14.1" customHeight="1"/>
    <row r="115" ht="14.1" customHeight="1"/>
    <row r="116" ht="14.1" customHeight="1"/>
    <row r="117" ht="14.1" customHeight="1"/>
    <row r="118" ht="14.1" customHeight="1"/>
    <row r="119" ht="14.1" customHeight="1"/>
    <row r="120" ht="14.1" customHeight="1"/>
    <row r="121" ht="14.1" customHeight="1"/>
    <row r="122" ht="14.1" customHeight="1"/>
    <row r="123" ht="14.1" customHeight="1"/>
    <row r="124" ht="14.1" customHeight="1"/>
    <row r="125" ht="14.1" customHeight="1"/>
    <row r="126" ht="14.1" customHeight="1"/>
    <row r="127" ht="14.1" customHeight="1"/>
    <row r="128" ht="14.1" customHeight="1"/>
    <row r="129" ht="14.1" customHeight="1"/>
    <row r="130" ht="14.1" customHeight="1"/>
    <row r="131" ht="14.1" customHeight="1"/>
    <row r="132" ht="14.1" customHeight="1"/>
    <row r="133" ht="14.1" customHeight="1"/>
    <row r="134" ht="14.1" customHeight="1"/>
    <row r="135" ht="14.1" customHeight="1"/>
    <row r="136" ht="14.1" customHeight="1"/>
    <row r="137" ht="14.1" customHeight="1"/>
    <row r="138" ht="14.1" customHeight="1"/>
    <row r="139" ht="14.1" customHeight="1"/>
    <row r="140" ht="14.1" customHeight="1"/>
    <row r="141" ht="14.1" customHeight="1"/>
    <row r="142" ht="14.1" customHeight="1"/>
    <row r="143" ht="14.1" customHeight="1"/>
    <row r="144" ht="14.1" customHeight="1"/>
    <row r="145" ht="14.1" customHeight="1"/>
    <row r="146" ht="14.1" customHeight="1"/>
    <row r="147" ht="14.1" customHeight="1"/>
    <row r="148" ht="14.1" customHeight="1"/>
    <row r="149" ht="14.1" customHeight="1"/>
    <row r="150" ht="14.1" customHeight="1"/>
    <row r="151" ht="14.1" customHeight="1"/>
    <row r="152" ht="14.1" customHeight="1"/>
    <row r="153" ht="14.1" customHeight="1"/>
    <row r="154" ht="14.1" customHeight="1"/>
    <row r="155" ht="14.1" customHeight="1"/>
    <row r="156" ht="14.1" customHeight="1"/>
    <row r="157" ht="14.1" customHeight="1"/>
    <row r="158" ht="14.1" customHeight="1"/>
    <row r="159" ht="14.1" customHeight="1"/>
    <row r="160" ht="14.1" customHeight="1"/>
    <row r="161" ht="14.1" customHeight="1"/>
    <row r="162" ht="14.1" customHeight="1"/>
    <row r="163" ht="14.1" customHeight="1"/>
    <row r="164" ht="14.1" customHeight="1"/>
    <row r="165" ht="14.1" customHeight="1"/>
    <row r="166" ht="14.1" customHeight="1"/>
    <row r="167" ht="14.1" customHeight="1"/>
    <row r="168" ht="14.1" customHeight="1"/>
    <row r="169" ht="14.1" customHeight="1"/>
    <row r="170" ht="14.1" customHeight="1"/>
    <row r="171" ht="14.1" customHeight="1"/>
    <row r="172" ht="14.1" customHeight="1"/>
    <row r="173" ht="14.1" customHeight="1"/>
    <row r="174" ht="14.1" customHeight="1"/>
    <row r="175" ht="14.1" customHeight="1"/>
    <row r="176" ht="14.1" customHeight="1"/>
    <row r="177" ht="14.1" customHeight="1"/>
    <row r="178" ht="14.1" customHeight="1"/>
    <row r="179" ht="14.1" customHeight="1"/>
    <row r="180" ht="14.1" customHeight="1"/>
    <row r="181" ht="14.1" customHeight="1"/>
    <row r="182" ht="14.1" customHeight="1"/>
    <row r="183" ht="14.1" customHeight="1"/>
    <row r="184" ht="14.1" customHeight="1"/>
    <row r="185" ht="14.1" customHeight="1"/>
    <row r="186" ht="14.1" customHeight="1"/>
    <row r="187" ht="14.1" customHeight="1"/>
    <row r="188" ht="14.1" customHeight="1"/>
    <row r="189" ht="14.1" customHeight="1"/>
    <row r="190" ht="14.1" customHeight="1"/>
    <row r="191" ht="14.1" customHeight="1"/>
    <row r="192" ht="14.1" customHeight="1"/>
    <row r="193" ht="14.1" customHeight="1"/>
    <row r="194" ht="14.1" customHeight="1"/>
    <row r="195" ht="14.1" customHeight="1"/>
    <row r="196" ht="14.1" customHeight="1"/>
    <row r="197" ht="14.1" customHeight="1"/>
    <row r="198" ht="14.1" customHeight="1"/>
    <row r="199" ht="14.1" customHeight="1"/>
    <row r="200" ht="14.1" customHeight="1"/>
    <row r="201" ht="14.1" customHeight="1"/>
    <row r="202" ht="14.1" customHeight="1"/>
    <row r="203" ht="14.1" customHeight="1"/>
    <row r="204" ht="14.1" customHeight="1"/>
    <row r="205" ht="14.1" customHeight="1"/>
    <row r="206" ht="14.1" customHeight="1"/>
    <row r="207" ht="14.1" customHeight="1"/>
    <row r="208" ht="14.1" customHeight="1"/>
    <row r="209" ht="14.1" customHeight="1"/>
    <row r="210" ht="14.1" customHeight="1"/>
    <row r="211" ht="14.1" customHeight="1"/>
    <row r="212" ht="14.1" customHeight="1"/>
    <row r="213" ht="14.1" customHeight="1"/>
    <row r="214" ht="14.1" customHeight="1"/>
    <row r="215" ht="14.1" customHeight="1"/>
    <row r="216" ht="14.1" customHeight="1"/>
    <row r="217" ht="14.1" customHeight="1"/>
    <row r="218" ht="14.1" customHeight="1"/>
    <row r="219" ht="14.1" customHeight="1"/>
    <row r="220" ht="14.1" customHeight="1"/>
    <row r="221" ht="14.1" customHeight="1"/>
    <row r="222" ht="14.1" customHeight="1"/>
    <row r="223" ht="14.1" customHeight="1"/>
    <row r="224" ht="14.1" customHeight="1"/>
    <row r="225" ht="14.1" customHeight="1"/>
    <row r="226" ht="14.1" customHeight="1"/>
    <row r="227" ht="14.1" customHeight="1"/>
    <row r="228" ht="14.1" customHeight="1"/>
    <row r="229" ht="14.1" customHeight="1"/>
    <row r="230" ht="14.1" customHeight="1"/>
    <row r="231" ht="14.1" customHeight="1"/>
    <row r="232" ht="14.1" customHeight="1"/>
    <row r="233" ht="14.1" customHeight="1"/>
    <row r="234" ht="14.1" customHeight="1"/>
    <row r="235" ht="14.1" customHeight="1"/>
    <row r="236" ht="14.1" customHeight="1"/>
    <row r="237" ht="14.1" customHeight="1"/>
    <row r="238" ht="14.1" customHeight="1"/>
    <row r="239" ht="14.1" customHeight="1"/>
    <row r="240" ht="14.1" customHeight="1"/>
    <row r="241" ht="14.1" customHeight="1"/>
    <row r="242" ht="14.1" customHeight="1"/>
    <row r="243" ht="14.1" customHeight="1"/>
    <row r="244" ht="14.1" customHeight="1"/>
    <row r="245" ht="14.1" customHeight="1"/>
    <row r="246" ht="14.1" customHeight="1"/>
    <row r="247" ht="14.1" customHeight="1"/>
    <row r="248" ht="14.1" customHeight="1"/>
    <row r="249" ht="14.1" customHeight="1"/>
    <row r="250" ht="14.1" customHeight="1"/>
    <row r="251" ht="14.1" customHeight="1"/>
    <row r="252" ht="14.1" customHeight="1"/>
    <row r="253" ht="14.1" customHeight="1"/>
    <row r="254" ht="14.1" customHeight="1"/>
    <row r="255" ht="14.1" customHeight="1"/>
    <row r="256" ht="14.1" customHeight="1"/>
    <row r="257" ht="14.1" customHeight="1"/>
    <row r="258" ht="14.1" customHeight="1"/>
    <row r="259" ht="14.1" customHeight="1"/>
    <row r="260" ht="14.1" customHeight="1"/>
    <row r="261" ht="14.1" customHeight="1"/>
    <row r="262" ht="14.1" customHeight="1"/>
    <row r="263" ht="14.1" customHeight="1"/>
    <row r="264" ht="14.1" customHeight="1"/>
    <row r="265" ht="14.1" customHeight="1"/>
    <row r="266" ht="14.1" customHeight="1"/>
    <row r="267" ht="14.1" customHeight="1"/>
    <row r="268" ht="14.1" customHeight="1"/>
    <row r="269" ht="14.1" customHeight="1"/>
    <row r="270" ht="14.1" customHeight="1"/>
    <row r="271" ht="14.1" customHeight="1"/>
    <row r="272" ht="14.1" customHeight="1"/>
    <row r="273" ht="14.1" customHeight="1"/>
    <row r="274" ht="14.1" customHeight="1"/>
    <row r="275" ht="14.1" customHeight="1"/>
    <row r="276" ht="14.1" customHeight="1"/>
    <row r="277" ht="14.1" customHeight="1"/>
    <row r="278" ht="14.1" customHeight="1"/>
    <row r="279" ht="14.1" customHeight="1"/>
    <row r="280" ht="14.1" customHeight="1"/>
    <row r="281" ht="14.1" customHeight="1"/>
    <row r="282" ht="14.1" customHeight="1"/>
    <row r="283" ht="14.1" customHeight="1"/>
    <row r="284" ht="14.1" customHeight="1"/>
    <row r="285" ht="14.1" customHeight="1"/>
    <row r="286" ht="14.1" customHeight="1"/>
    <row r="287" ht="14.1" customHeight="1"/>
    <row r="288" ht="14.1" customHeight="1"/>
    <row r="289" ht="14.1" customHeight="1"/>
    <row r="290" ht="14.1" customHeight="1"/>
    <row r="291" ht="14.1" customHeight="1"/>
    <row r="292" ht="14.1" customHeight="1"/>
    <row r="293" ht="14.1" customHeight="1"/>
    <row r="294" ht="14.1" customHeight="1"/>
    <row r="295" ht="14.1" customHeight="1"/>
    <row r="296" ht="14.1" customHeight="1"/>
    <row r="297" ht="14.1" customHeight="1"/>
    <row r="298" ht="14.1" customHeight="1"/>
    <row r="299" ht="14.1" customHeight="1"/>
    <row r="300" ht="14.1" customHeight="1"/>
    <row r="301" ht="14.1" customHeight="1"/>
    <row r="302" ht="14.1" customHeight="1"/>
    <row r="303" ht="14.1" customHeight="1"/>
    <row r="304" ht="14.1" customHeight="1"/>
    <row r="305" ht="14.1" customHeight="1"/>
    <row r="306" ht="14.1" customHeight="1"/>
    <row r="307" ht="14.1" customHeight="1"/>
    <row r="308" ht="14.1" customHeight="1"/>
    <row r="309" ht="14.1" customHeight="1"/>
    <row r="310" ht="14.1" customHeight="1"/>
    <row r="311" ht="14.1" customHeight="1"/>
    <row r="312" ht="14.1" customHeight="1"/>
    <row r="313" ht="14.1" customHeight="1"/>
    <row r="314" ht="14.1" customHeight="1"/>
    <row r="315" ht="14.1" customHeight="1"/>
    <row r="316" ht="14.1" customHeight="1"/>
    <row r="317" ht="14.1" customHeight="1"/>
    <row r="318" ht="14.1" customHeight="1"/>
    <row r="319" ht="14.1" customHeight="1"/>
    <row r="320" ht="14.1" customHeight="1"/>
    <row r="321" ht="14.1" customHeight="1"/>
    <row r="322" ht="14.1" customHeight="1"/>
    <row r="323" ht="14.1" customHeight="1"/>
    <row r="324" ht="14.1" customHeight="1"/>
    <row r="325" ht="14.1" customHeight="1"/>
    <row r="326" ht="14.1" customHeight="1"/>
    <row r="327" ht="14.1" customHeight="1"/>
    <row r="328" ht="14.1" customHeight="1"/>
    <row r="329" ht="14.1" customHeight="1"/>
    <row r="330" ht="14.1" customHeight="1"/>
    <row r="331" ht="14.1" customHeight="1"/>
    <row r="332" ht="14.1" customHeight="1"/>
    <row r="333" ht="14.1" customHeight="1"/>
    <row r="334" ht="14.1" customHeight="1"/>
    <row r="335" ht="14.1" customHeight="1"/>
    <row r="336" ht="14.1" customHeight="1"/>
    <row r="337" ht="14.1" customHeight="1"/>
    <row r="338" ht="14.1" customHeight="1"/>
    <row r="339" ht="14.1" customHeight="1"/>
    <row r="340" ht="14.1" customHeight="1"/>
    <row r="341" ht="14.1" customHeight="1"/>
    <row r="342" ht="14.1" customHeight="1"/>
    <row r="343" ht="14.1" customHeight="1"/>
    <row r="344" ht="14.1" customHeight="1"/>
    <row r="345" ht="14.1" customHeight="1"/>
    <row r="346" ht="14.1" customHeight="1"/>
    <row r="347" ht="14.1" customHeight="1"/>
    <row r="348" ht="14.1" customHeight="1"/>
    <row r="349" ht="14.1" customHeight="1"/>
    <row r="350" ht="14.1" customHeight="1"/>
    <row r="351" ht="14.1" customHeight="1"/>
    <row r="352" ht="14.1" customHeight="1"/>
    <row r="353" ht="14.1" customHeight="1"/>
    <row r="354" ht="14.1" customHeight="1"/>
    <row r="355" ht="14.1" customHeight="1"/>
    <row r="356" ht="14.1" customHeight="1"/>
    <row r="357" ht="14.1" customHeight="1"/>
    <row r="358" ht="14.1" customHeight="1"/>
    <row r="359" ht="14.1" customHeight="1"/>
    <row r="360" ht="14.1" customHeight="1"/>
    <row r="361" ht="14.1" customHeight="1"/>
    <row r="362" ht="14.1" customHeight="1"/>
    <row r="363" ht="14.1" customHeight="1"/>
    <row r="364" ht="14.1" customHeight="1"/>
    <row r="365" ht="14.1" customHeight="1"/>
    <row r="366" ht="14.1" customHeight="1"/>
    <row r="367" ht="14.1" customHeight="1"/>
    <row r="368" ht="14.1" customHeight="1"/>
    <row r="369" ht="14.1" customHeight="1"/>
    <row r="370" ht="14.1" customHeight="1"/>
    <row r="371" ht="14.1" customHeight="1"/>
    <row r="372" ht="14.1" customHeight="1"/>
    <row r="373" ht="14.1" customHeight="1"/>
    <row r="374" ht="14.1" customHeight="1"/>
    <row r="375" ht="14.1" customHeight="1"/>
    <row r="376" ht="14.1" customHeight="1"/>
    <row r="377" ht="14.1" customHeight="1"/>
    <row r="378" ht="14.1" customHeight="1"/>
    <row r="379" ht="14.1" customHeight="1"/>
    <row r="380" ht="14.1" customHeight="1"/>
    <row r="381" ht="14.1" customHeight="1"/>
    <row r="382" ht="14.1" customHeight="1"/>
    <row r="383" ht="14.1" customHeight="1"/>
    <row r="384" ht="14.1" customHeight="1"/>
    <row r="385" ht="14.1" customHeight="1"/>
    <row r="386" ht="14.1" customHeight="1"/>
    <row r="387" ht="14.1" customHeight="1"/>
    <row r="388" ht="14.1" customHeight="1"/>
    <row r="389" ht="14.1" customHeight="1"/>
    <row r="390" ht="14.1" customHeight="1"/>
    <row r="391" ht="14.1" customHeight="1"/>
    <row r="392" ht="14.1" customHeight="1"/>
    <row r="393" ht="14.1" customHeight="1"/>
    <row r="394" ht="14.1" customHeight="1"/>
    <row r="395" ht="14.1" customHeight="1"/>
    <row r="396" ht="14.1" customHeight="1"/>
    <row r="397" ht="14.1" customHeight="1"/>
    <row r="398" ht="14.1" customHeight="1"/>
    <row r="399" ht="14.1" customHeight="1"/>
    <row r="400" ht="14.1" customHeight="1"/>
    <row r="401" ht="14.1" customHeight="1"/>
    <row r="402" ht="14.1" customHeight="1"/>
    <row r="403" ht="14.1" customHeight="1"/>
    <row r="404" ht="14.1" customHeight="1"/>
    <row r="405" ht="14.1" customHeight="1"/>
    <row r="406" ht="14.1" customHeight="1"/>
    <row r="407" ht="14.1" customHeight="1"/>
    <row r="408" ht="14.1" customHeight="1"/>
    <row r="409" ht="14.1" customHeight="1"/>
    <row r="410" ht="14.1" customHeight="1"/>
    <row r="411" ht="14.1" customHeight="1"/>
    <row r="412" ht="14.1" customHeight="1"/>
    <row r="413" ht="14.1" customHeight="1"/>
    <row r="414" ht="14.1" customHeight="1"/>
    <row r="415" ht="14.1" customHeight="1"/>
    <row r="416" ht="14.1" customHeight="1"/>
    <row r="417" ht="14.1" customHeight="1"/>
    <row r="418" ht="14.1" customHeight="1"/>
    <row r="419" ht="14.1" customHeight="1"/>
    <row r="420" ht="14.1" customHeight="1"/>
    <row r="421" ht="14.1" customHeight="1"/>
    <row r="422" ht="14.1" customHeight="1"/>
    <row r="423" ht="14.1" customHeight="1"/>
    <row r="424" ht="14.1" customHeight="1"/>
    <row r="425" ht="14.1" customHeight="1"/>
    <row r="426" ht="14.1" customHeight="1"/>
    <row r="427" ht="14.1" customHeight="1"/>
    <row r="428" ht="14.1" customHeight="1"/>
    <row r="429" ht="14.1" customHeight="1"/>
    <row r="430" ht="14.1" customHeight="1"/>
    <row r="431" ht="14.1" customHeight="1"/>
    <row r="432" ht="14.1" customHeight="1"/>
    <row r="433" ht="14.1" customHeight="1"/>
    <row r="434" ht="14.1" customHeight="1"/>
    <row r="435" ht="14.1" customHeight="1"/>
    <row r="436" ht="14.1" customHeight="1"/>
    <row r="437" ht="14.1" customHeight="1"/>
    <row r="438" ht="14.1" customHeight="1"/>
    <row r="439" ht="14.1" customHeight="1"/>
    <row r="440" ht="14.1" customHeight="1"/>
    <row r="441" ht="14.1" customHeight="1"/>
    <row r="442" ht="14.1" customHeight="1"/>
    <row r="443" ht="14.1" customHeight="1"/>
    <row r="444" ht="14.1" customHeight="1"/>
    <row r="445" ht="14.1" customHeight="1"/>
    <row r="446" ht="14.1" customHeight="1"/>
    <row r="447" ht="14.1" customHeight="1"/>
    <row r="448" ht="14.1" customHeight="1"/>
    <row r="449" ht="14.1" customHeight="1"/>
    <row r="450" ht="14.1" customHeight="1"/>
    <row r="451" ht="14.1" customHeight="1"/>
    <row r="452" ht="14.1" customHeight="1"/>
    <row r="453" ht="14.1" customHeight="1"/>
    <row r="454" ht="14.1" customHeight="1"/>
    <row r="455" ht="14.1" customHeight="1"/>
    <row r="456" ht="14.1" customHeight="1"/>
    <row r="457" ht="14.1" customHeight="1"/>
    <row r="458" ht="14.1" customHeight="1"/>
    <row r="459" ht="14.1" customHeight="1"/>
    <row r="460" ht="14.1" customHeight="1"/>
    <row r="461" ht="14.1" customHeight="1"/>
    <row r="462" ht="14.1" customHeight="1"/>
    <row r="463" ht="14.1" customHeight="1"/>
    <row r="464" ht="14.1" customHeight="1"/>
    <row r="465" ht="14.1" customHeight="1"/>
    <row r="466" ht="14.1" customHeight="1"/>
    <row r="467" ht="14.1" customHeight="1"/>
    <row r="468" ht="14.1" customHeight="1"/>
    <row r="469" ht="14.1" customHeight="1"/>
    <row r="470" ht="14.1" customHeight="1"/>
    <row r="471" ht="14.1" customHeight="1"/>
    <row r="472" ht="14.1" customHeight="1"/>
    <row r="473" ht="14.1" customHeight="1"/>
    <row r="474" ht="14.1" customHeight="1"/>
    <row r="475" ht="14.1" customHeight="1"/>
    <row r="476" ht="14.1" customHeight="1"/>
    <row r="477" ht="14.1" customHeight="1"/>
    <row r="478" ht="14.1" customHeight="1"/>
    <row r="479" ht="14.1" customHeight="1"/>
    <row r="480" ht="14.1" customHeight="1"/>
    <row r="481" ht="14.1" customHeight="1"/>
    <row r="482" ht="14.1" customHeight="1"/>
    <row r="483" ht="14.1" customHeight="1"/>
    <row r="484" ht="14.1" customHeight="1"/>
    <row r="485" ht="14.1" customHeight="1"/>
    <row r="486" ht="14.1" customHeight="1"/>
    <row r="487" ht="14.1" customHeight="1"/>
    <row r="488" ht="14.1" customHeight="1"/>
    <row r="489" ht="14.1" customHeight="1"/>
    <row r="490" ht="14.1" customHeight="1"/>
    <row r="491" ht="14.1" customHeight="1"/>
    <row r="492" ht="14.1" customHeight="1"/>
    <row r="493" ht="14.1" customHeight="1"/>
    <row r="494" ht="14.1" customHeight="1"/>
    <row r="495" ht="14.1" customHeight="1"/>
    <row r="496" ht="14.1" customHeight="1"/>
    <row r="497" ht="14.1" customHeight="1"/>
    <row r="498" ht="14.1" customHeight="1"/>
    <row r="499" ht="14.1" customHeight="1"/>
    <row r="500" ht="14.1" customHeight="1"/>
    <row r="501" ht="14.1" customHeight="1"/>
    <row r="502" ht="14.1" customHeight="1"/>
    <row r="503" ht="14.1" customHeight="1"/>
    <row r="504" ht="14.1" customHeight="1"/>
    <row r="505" ht="14.1" customHeight="1"/>
    <row r="506" ht="14.1" customHeight="1"/>
    <row r="507" ht="14.1" customHeight="1"/>
    <row r="508" ht="14.1" customHeight="1"/>
    <row r="509" ht="14.1" customHeight="1"/>
    <row r="510" ht="14.1" customHeight="1"/>
    <row r="511" ht="14.1" customHeight="1"/>
    <row r="512" ht="14.1" customHeight="1"/>
    <row r="513" ht="14.1" customHeight="1"/>
    <row r="514" ht="14.1" customHeight="1"/>
    <row r="515" ht="14.1" customHeight="1"/>
    <row r="516" ht="14.1" customHeight="1"/>
    <row r="517" ht="14.1" customHeight="1"/>
    <row r="518" ht="14.1" customHeight="1"/>
    <row r="519" ht="14.1" customHeight="1"/>
    <row r="520" ht="14.1" customHeight="1"/>
    <row r="521" ht="14.1" customHeight="1"/>
    <row r="522" ht="14.1" customHeight="1"/>
    <row r="523" ht="14.1" customHeight="1"/>
    <row r="524" ht="14.1" customHeight="1"/>
    <row r="525" ht="14.1" customHeight="1"/>
    <row r="526" ht="14.1" customHeight="1"/>
    <row r="527" ht="14.1" customHeight="1"/>
    <row r="528" ht="14.1" customHeight="1"/>
    <row r="529" ht="14.1" customHeight="1"/>
    <row r="530" ht="14.1" customHeight="1"/>
    <row r="531" ht="14.1" customHeight="1"/>
    <row r="532" ht="14.1" customHeight="1"/>
    <row r="533" ht="14.1" customHeight="1"/>
    <row r="534" ht="14.1" customHeight="1"/>
    <row r="535" ht="14.1" customHeight="1"/>
    <row r="536" ht="14.1" customHeight="1"/>
    <row r="537" ht="14.1" customHeight="1"/>
    <row r="538" ht="14.1" customHeight="1"/>
    <row r="539" ht="14.1" customHeight="1"/>
    <row r="540" ht="14.1" customHeight="1"/>
    <row r="541" ht="14.1" customHeight="1"/>
    <row r="542" ht="14.1" customHeight="1"/>
    <row r="543" ht="14.1" customHeight="1"/>
    <row r="544" ht="14.1" customHeight="1"/>
    <row r="545" ht="14.1" customHeight="1"/>
    <row r="546" ht="14.1" customHeight="1"/>
    <row r="547" ht="14.1" customHeight="1"/>
    <row r="548" ht="14.1" customHeight="1"/>
    <row r="549" ht="14.1" customHeight="1"/>
    <row r="550" ht="14.1" customHeight="1"/>
    <row r="551" ht="14.1" customHeight="1"/>
    <row r="552" ht="14.1" customHeight="1"/>
    <row r="553" ht="14.1" customHeight="1"/>
    <row r="554" ht="14.1" customHeight="1"/>
    <row r="555" ht="14.1" customHeight="1"/>
    <row r="556" ht="14.1" customHeight="1"/>
    <row r="557" ht="14.1" customHeight="1"/>
    <row r="558" ht="14.1" customHeight="1"/>
    <row r="559" ht="14.1" customHeight="1"/>
    <row r="560" ht="14.1" customHeight="1"/>
    <row r="561" ht="14.1" customHeight="1"/>
    <row r="562" ht="14.1" customHeight="1"/>
    <row r="563" ht="14.1" customHeight="1"/>
    <row r="564" ht="14.1" customHeight="1"/>
    <row r="565" ht="14.1" customHeight="1"/>
    <row r="566" ht="14.1" customHeight="1"/>
    <row r="567" ht="14.1" customHeight="1"/>
    <row r="568" ht="14.1" customHeight="1"/>
    <row r="569" ht="14.1" customHeight="1"/>
    <row r="570" ht="14.1" customHeight="1"/>
    <row r="571" ht="14.1" customHeight="1"/>
    <row r="572" ht="14.1" customHeight="1"/>
    <row r="573" ht="14.1" customHeight="1"/>
    <row r="574" ht="14.1" customHeight="1"/>
    <row r="575" ht="14.1" customHeight="1"/>
    <row r="576" ht="14.1" customHeight="1"/>
    <row r="577" ht="14.1" customHeight="1"/>
    <row r="578" ht="14.1" customHeight="1"/>
    <row r="579" ht="14.1" customHeight="1"/>
    <row r="580" ht="14.1" customHeight="1"/>
    <row r="581" ht="14.1" customHeight="1"/>
    <row r="582" ht="14.1" customHeight="1"/>
    <row r="583" ht="14.1" customHeight="1"/>
    <row r="584" ht="14.1" customHeight="1"/>
    <row r="585" ht="14.1" customHeight="1"/>
    <row r="586" ht="14.1" customHeight="1"/>
    <row r="587" ht="14.1" customHeight="1"/>
    <row r="588" ht="14.1" customHeight="1"/>
    <row r="589" ht="14.1" customHeight="1"/>
    <row r="590" ht="14.1" customHeight="1"/>
    <row r="591" ht="14.1" customHeight="1"/>
    <row r="592" ht="14.1" customHeight="1"/>
    <row r="593" ht="14.1" customHeight="1"/>
    <row r="594" ht="14.1" customHeight="1"/>
    <row r="595" ht="14.1" customHeight="1"/>
    <row r="596" ht="14.1" customHeight="1"/>
    <row r="597" ht="14.1" customHeight="1"/>
    <row r="598" ht="14.1" customHeight="1"/>
    <row r="599" ht="14.1" customHeight="1"/>
    <row r="600" ht="14.1" customHeight="1"/>
    <row r="601" ht="14.1" customHeight="1"/>
    <row r="602" ht="14.1" customHeight="1"/>
    <row r="603" ht="14.1" customHeight="1"/>
    <row r="604" ht="14.1" customHeight="1"/>
    <row r="605" ht="14.1" customHeight="1"/>
    <row r="606" ht="14.1" customHeight="1"/>
    <row r="607" ht="14.1" customHeight="1"/>
    <row r="608" ht="14.1" customHeight="1"/>
    <row r="609" ht="14.1" customHeight="1"/>
    <row r="610" ht="14.1" customHeight="1"/>
    <row r="611" ht="14.1" customHeight="1"/>
    <row r="612" ht="14.1" customHeight="1"/>
    <row r="613" ht="14.1" customHeight="1"/>
    <row r="614" ht="14.1" customHeight="1"/>
    <row r="615" ht="14.1" customHeight="1"/>
    <row r="616" ht="14.1" customHeight="1"/>
    <row r="617" ht="14.1" customHeight="1"/>
    <row r="618" ht="14.1" customHeight="1"/>
    <row r="619" ht="14.1" customHeight="1"/>
    <row r="620" ht="14.1" customHeight="1"/>
    <row r="621" ht="14.1" customHeight="1"/>
    <row r="622" ht="14.1" customHeight="1"/>
    <row r="623" ht="14.1" customHeight="1"/>
    <row r="624" ht="14.1" customHeight="1"/>
    <row r="625" ht="14.1" customHeight="1"/>
    <row r="626" ht="14.1" customHeight="1"/>
    <row r="627" ht="14.1" customHeight="1"/>
    <row r="628" ht="14.1" customHeight="1"/>
    <row r="629" ht="14.1" customHeight="1"/>
    <row r="630" ht="14.1" customHeight="1"/>
    <row r="631" ht="14.1" customHeight="1"/>
    <row r="632" ht="14.1" customHeight="1"/>
    <row r="633" ht="14.1" customHeight="1"/>
    <row r="634" ht="14.1" customHeight="1"/>
    <row r="635" ht="14.1" customHeight="1"/>
    <row r="636" ht="14.1" customHeight="1"/>
    <row r="637" ht="14.1" customHeight="1"/>
    <row r="638" ht="14.1" customHeight="1"/>
    <row r="639" ht="14.1" customHeight="1"/>
    <row r="640" ht="14.1" customHeight="1"/>
    <row r="641" ht="14.1" customHeight="1"/>
    <row r="642" ht="14.1" customHeight="1"/>
    <row r="643" ht="14.1" customHeight="1"/>
    <row r="644" ht="14.1" customHeight="1"/>
    <row r="645" ht="14.1" customHeight="1"/>
    <row r="646" ht="14.1" customHeight="1"/>
    <row r="647" ht="14.1" customHeight="1"/>
    <row r="648" ht="14.1" customHeight="1"/>
    <row r="649" ht="14.1" customHeight="1"/>
    <row r="650" ht="14.1" customHeight="1"/>
    <row r="651" ht="14.1" customHeight="1"/>
    <row r="652" ht="14.1" customHeight="1"/>
    <row r="653" ht="14.1" customHeight="1"/>
    <row r="654" ht="14.1" customHeight="1"/>
    <row r="655" ht="14.1" customHeight="1"/>
    <row r="656" ht="14.1" customHeight="1"/>
    <row r="657" ht="14.1" customHeight="1"/>
    <row r="658" ht="14.1" customHeight="1"/>
    <row r="659" ht="14.1" customHeight="1"/>
    <row r="660" ht="14.1" customHeight="1"/>
    <row r="661" ht="14.1" customHeight="1"/>
    <row r="662" ht="14.1" customHeight="1"/>
    <row r="663" ht="14.1" customHeight="1"/>
    <row r="664" ht="14.1" customHeight="1"/>
    <row r="665" ht="14.1" customHeight="1"/>
    <row r="666" ht="14.1" customHeight="1"/>
    <row r="667" ht="14.1" customHeight="1"/>
    <row r="668" ht="14.1" customHeight="1"/>
    <row r="669" ht="14.1" customHeight="1"/>
    <row r="670" ht="14.1" customHeight="1"/>
    <row r="671" ht="14.1" customHeight="1"/>
    <row r="672" ht="14.1" customHeight="1"/>
    <row r="673" ht="14.1" customHeight="1"/>
    <row r="674" ht="14.1" customHeight="1"/>
    <row r="675" ht="14.1" customHeight="1"/>
    <row r="676" ht="14.1" customHeight="1"/>
    <row r="677" ht="14.1" customHeight="1"/>
    <row r="678" ht="14.1" customHeight="1"/>
    <row r="679" ht="14.1" customHeight="1"/>
    <row r="680" ht="14.1" customHeight="1"/>
    <row r="681" ht="14.1" customHeight="1"/>
    <row r="682" ht="14.1" customHeight="1"/>
    <row r="683" ht="14.1" customHeight="1"/>
    <row r="684" ht="14.1" customHeight="1"/>
    <row r="685" ht="14.1" customHeight="1"/>
    <row r="686" ht="14.1" customHeight="1"/>
    <row r="687" ht="14.1" customHeight="1"/>
    <row r="688" ht="14.1" customHeight="1"/>
    <row r="689" ht="14.1" customHeight="1"/>
    <row r="690" ht="14.1" customHeight="1"/>
    <row r="691" ht="14.1" customHeight="1"/>
    <row r="692" ht="14.1" customHeight="1"/>
    <row r="693" ht="14.1" customHeight="1"/>
    <row r="694" ht="14.1" customHeight="1"/>
    <row r="695" ht="14.1" customHeight="1"/>
    <row r="696" ht="14.1" customHeight="1"/>
    <row r="697" ht="14.1" customHeight="1"/>
    <row r="698" ht="14.1" customHeight="1"/>
    <row r="699" ht="14.1" customHeight="1"/>
    <row r="700" ht="14.1" customHeight="1"/>
    <row r="701" ht="14.1" customHeight="1"/>
    <row r="702" ht="14.1" customHeight="1"/>
    <row r="703" ht="14.1" customHeight="1"/>
    <row r="704" ht="14.1" customHeight="1"/>
    <row r="705" ht="14.1" customHeight="1"/>
    <row r="706" ht="14.1" customHeight="1"/>
    <row r="707" ht="14.1" customHeight="1"/>
    <row r="708" ht="14.1" customHeight="1"/>
    <row r="709" ht="14.1" customHeight="1"/>
    <row r="710" ht="14.1" customHeight="1"/>
    <row r="711" ht="14.1" customHeight="1"/>
    <row r="712" ht="14.1" customHeight="1"/>
    <row r="713" ht="14.1" customHeight="1"/>
    <row r="714" ht="14.1" customHeight="1"/>
    <row r="715" ht="14.1" customHeight="1"/>
    <row r="716" ht="14.1" customHeight="1"/>
    <row r="717" ht="14.1" customHeight="1"/>
    <row r="718" ht="14.1" customHeight="1"/>
    <row r="719" ht="14.1" customHeight="1"/>
    <row r="720" ht="14.1" customHeight="1"/>
    <row r="721" ht="14.1" customHeight="1"/>
    <row r="722" ht="14.1" customHeight="1"/>
    <row r="723" ht="14.1" customHeight="1"/>
    <row r="724" ht="14.1" customHeight="1"/>
    <row r="725" ht="14.1" customHeight="1"/>
    <row r="726" ht="14.1" customHeight="1"/>
    <row r="727" ht="14.1" customHeight="1"/>
    <row r="728" ht="14.1" customHeight="1"/>
    <row r="729" ht="14.1" customHeight="1"/>
    <row r="730" ht="14.1" customHeight="1"/>
    <row r="731" ht="14.1" customHeight="1"/>
    <row r="732" ht="14.1" customHeight="1"/>
    <row r="733" ht="14.1" customHeight="1"/>
    <row r="734" ht="14.1" customHeight="1"/>
    <row r="735" ht="14.1" customHeight="1"/>
    <row r="736" ht="14.1" customHeight="1"/>
    <row r="737" ht="14.1" customHeight="1"/>
    <row r="738" ht="14.1" customHeight="1"/>
    <row r="739" ht="14.1" customHeight="1"/>
    <row r="740" ht="14.1" customHeight="1"/>
    <row r="741" ht="14.1" customHeight="1"/>
    <row r="742" ht="14.1" customHeight="1"/>
    <row r="743" ht="14.1" customHeight="1"/>
    <row r="744" ht="14.1" customHeight="1"/>
    <row r="745" ht="14.1" customHeight="1"/>
    <row r="746" ht="14.1" customHeight="1"/>
    <row r="747" ht="14.1" customHeight="1"/>
    <row r="748" ht="14.1" customHeight="1"/>
    <row r="749" ht="14.1" customHeight="1"/>
    <row r="750" ht="14.1" customHeight="1"/>
    <row r="751" ht="14.1" customHeight="1"/>
    <row r="752" ht="14.1" customHeight="1"/>
    <row r="753" ht="14.1" customHeight="1"/>
    <row r="754" ht="14.1" customHeight="1"/>
    <row r="755" ht="14.1" customHeight="1"/>
    <row r="756" ht="14.1" customHeight="1"/>
    <row r="757" ht="14.1" customHeight="1"/>
    <row r="758" ht="14.1" customHeight="1"/>
    <row r="759" ht="14.1" customHeight="1"/>
    <row r="760" ht="14.1" customHeight="1"/>
    <row r="761" ht="14.1" customHeight="1"/>
    <row r="762" ht="14.1" customHeight="1"/>
    <row r="763" ht="14.1" customHeight="1"/>
    <row r="764" ht="14.1" customHeight="1"/>
    <row r="765" ht="14.1" customHeight="1"/>
    <row r="766" ht="14.1" customHeight="1"/>
    <row r="767" ht="14.1" customHeight="1"/>
    <row r="768" ht="14.1" customHeight="1"/>
    <row r="769" ht="14.1" customHeight="1"/>
    <row r="770" ht="14.1" customHeight="1"/>
    <row r="771" ht="14.1" customHeight="1"/>
    <row r="772" ht="14.1" customHeight="1"/>
    <row r="773" ht="14.1" customHeight="1"/>
    <row r="774" ht="14.1" customHeight="1"/>
    <row r="775" ht="14.1" customHeight="1"/>
    <row r="776" ht="14.1" customHeight="1"/>
    <row r="777" ht="14.1" customHeight="1"/>
    <row r="778" ht="14.1" customHeight="1"/>
    <row r="779" ht="14.1" customHeight="1"/>
    <row r="780" ht="14.1" customHeight="1"/>
    <row r="781" ht="14.1" customHeight="1"/>
    <row r="782" ht="14.1" customHeight="1"/>
    <row r="783" ht="14.1" customHeight="1"/>
    <row r="784" ht="14.1" customHeight="1"/>
    <row r="785" ht="14.1" customHeight="1"/>
    <row r="786" ht="14.1" customHeight="1"/>
    <row r="787" ht="14.1" customHeight="1"/>
    <row r="788" ht="14.1" customHeight="1"/>
    <row r="789" ht="14.1" customHeight="1"/>
    <row r="790" ht="14.1" customHeight="1"/>
    <row r="791" ht="14.1" customHeight="1"/>
    <row r="792" ht="14.1" customHeight="1"/>
    <row r="793" ht="14.1" customHeight="1"/>
  </sheetData>
  <pageMargins left="0.61" right="0.16" top="0.87" bottom="0.21" header="0.16" footer="0.16"/>
  <pageSetup paperSize="8" scale="51" orientation="portrait"/>
  <headerFooter alignWithMargins="0">
    <oddFooter>&amp;L_x000D_&amp;1#&amp;"Arial"&amp;7&amp;KDAD4CE Public&amp;C&amp;"Verdana"&amp;10 &amp;KC1C1C1_x000D_# Restricted</oddFooter>
  </headerFooter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800-000000000000}">
  <sheetPr>
    <tabColor rgb="FF92D050"/>
    <pageSetUpPr fitToPage="1"/>
  </sheetPr>
  <dimension ref="A1:U793"/>
  <sheetViews>
    <sheetView zoomScale="80" zoomScaleNormal="80" workbookViewId="0">
      <pane ySplit="4" topLeftCell="A5" activePane="bottomLeft" state="frozen"/>
      <selection activeCell="A16" sqref="A16"/>
      <selection pane="bottomLeft" activeCell="A16" sqref="A16"/>
    </sheetView>
  </sheetViews>
  <sheetFormatPr defaultColWidth="8.85546875" defaultRowHeight="15" customHeight="1"/>
  <cols>
    <col min="1" max="1" width="4.140625" style="3" customWidth="1"/>
    <col min="2" max="3" width="8.5703125" style="20" customWidth="1"/>
    <col min="4" max="4" width="14.5703125" style="3" customWidth="1"/>
    <col min="5" max="5" width="20.5703125" style="20" customWidth="1"/>
    <col min="6" max="6" width="8.5703125" style="3" customWidth="1"/>
    <col min="7" max="7" width="32.5703125" style="2" customWidth="1"/>
    <col min="8" max="8" width="18.5703125" style="3" customWidth="1"/>
    <col min="9" max="9" width="62.5703125" style="2" customWidth="1"/>
    <col min="10" max="12" width="9.5703125" style="3" customWidth="1"/>
    <col min="13" max="13" width="10.5703125" style="3" customWidth="1"/>
    <col min="14" max="14" width="8.5703125" style="3" customWidth="1"/>
    <col min="15" max="15" width="10.5703125" style="3" customWidth="1"/>
    <col min="16" max="16" width="5.5703125" style="3" customWidth="1"/>
    <col min="17" max="17" width="1.5703125" style="2" customWidth="1"/>
    <col min="18" max="18" width="10.5703125" style="30" customWidth="1"/>
    <col min="19" max="19" width="1.5703125" style="2" customWidth="1"/>
    <col min="20" max="21" width="10.5703125" style="2" customWidth="1"/>
    <col min="22" max="219" width="8.85546875" style="2" customWidth="1"/>
    <col min="220" max="220" width="8.140625" style="2" customWidth="1"/>
    <col min="221" max="221" width="14.42578125" style="2" customWidth="1"/>
    <col min="222" max="222" width="37.42578125" style="2" customWidth="1"/>
    <col min="223" max="223" width="63.140625" style="2" customWidth="1"/>
    <col min="224" max="224" width="20" style="2" customWidth="1"/>
    <col min="225" max="225" width="11.140625" style="2" customWidth="1"/>
    <col min="226" max="226" width="10.85546875" style="2" customWidth="1"/>
    <col min="227" max="227" width="21" style="2" customWidth="1"/>
    <col min="228" max="228" width="10.85546875" style="2" customWidth="1"/>
    <col min="229" max="229" width="17.42578125" style="2" customWidth="1"/>
    <col min="230" max="230" width="14.85546875" style="2" customWidth="1"/>
    <col min="231" max="231" width="15" style="2" customWidth="1"/>
    <col min="232" max="232" width="14.85546875" style="2" customWidth="1"/>
    <col min="233" max="233" width="7.140625" style="2" customWidth="1"/>
    <col min="234" max="235" width="20.140625" style="2" customWidth="1"/>
    <col min="236" max="236" width="18.42578125" style="2" customWidth="1"/>
    <col min="237" max="237" width="9.140625" style="2" customWidth="1"/>
    <col min="238" max="238" width="12" style="2" customWidth="1"/>
    <col min="239" max="239" width="14.85546875" style="2" customWidth="1"/>
    <col min="240" max="240" width="22.42578125" style="2" customWidth="1"/>
    <col min="241" max="241" width="14.85546875" style="2" customWidth="1"/>
    <col min="242" max="242" width="7.140625" style="2" customWidth="1"/>
    <col min="243" max="243" width="20.140625" style="2" customWidth="1"/>
    <col min="244" max="475" width="8.85546875" style="2" customWidth="1"/>
    <col min="476" max="476" width="8.140625" style="2" customWidth="1"/>
    <col min="477" max="477" width="14.42578125" style="2" customWidth="1"/>
    <col min="478" max="478" width="37.42578125" style="2" customWidth="1"/>
    <col min="479" max="479" width="63.140625" style="2" customWidth="1"/>
    <col min="480" max="480" width="20" style="2" customWidth="1"/>
    <col min="481" max="481" width="11.140625" style="2" customWidth="1"/>
    <col min="482" max="482" width="10.85546875" style="2" customWidth="1"/>
    <col min="483" max="483" width="21" style="2" customWidth="1"/>
    <col min="484" max="484" width="10.85546875" style="2" customWidth="1"/>
    <col min="485" max="485" width="17.42578125" style="2" customWidth="1"/>
    <col min="486" max="486" width="14.85546875" style="2" customWidth="1"/>
    <col min="487" max="487" width="15" style="2" customWidth="1"/>
    <col min="488" max="488" width="14.85546875" style="2" customWidth="1"/>
    <col min="489" max="489" width="7.140625" style="2" customWidth="1"/>
    <col min="490" max="491" width="20.140625" style="2" customWidth="1"/>
    <col min="492" max="492" width="18.42578125" style="2" customWidth="1"/>
    <col min="493" max="493" width="9.140625" style="2" customWidth="1"/>
    <col min="494" max="494" width="12" style="2" customWidth="1"/>
    <col min="495" max="495" width="14.85546875" style="2" customWidth="1"/>
    <col min="496" max="496" width="22.42578125" style="2" customWidth="1"/>
    <col min="497" max="497" width="14.85546875" style="2" customWidth="1"/>
    <col min="498" max="498" width="7.140625" style="2" customWidth="1"/>
    <col min="499" max="499" width="20.140625" style="2" customWidth="1"/>
    <col min="500" max="731" width="8.85546875" style="2" customWidth="1"/>
    <col min="732" max="732" width="8.140625" style="2" customWidth="1"/>
    <col min="733" max="733" width="14.42578125" style="2" customWidth="1"/>
    <col min="734" max="734" width="37.42578125" style="2" customWidth="1"/>
    <col min="735" max="735" width="63.140625" style="2" customWidth="1"/>
    <col min="736" max="736" width="20" style="2" customWidth="1"/>
    <col min="737" max="737" width="11.140625" style="2" customWidth="1"/>
    <col min="738" max="738" width="10.85546875" style="2" customWidth="1"/>
    <col min="739" max="739" width="21" style="2" customWidth="1"/>
    <col min="740" max="740" width="10.85546875" style="2" customWidth="1"/>
    <col min="741" max="741" width="17.42578125" style="2" customWidth="1"/>
    <col min="742" max="742" width="14.85546875" style="2" customWidth="1"/>
    <col min="743" max="743" width="15" style="2" customWidth="1"/>
    <col min="744" max="744" width="14.85546875" style="2" customWidth="1"/>
    <col min="745" max="745" width="7.140625" style="2" customWidth="1"/>
    <col min="746" max="747" width="20.140625" style="2" customWidth="1"/>
    <col min="748" max="748" width="18.42578125" style="2" customWidth="1"/>
    <col min="749" max="749" width="9.140625" style="2" customWidth="1"/>
    <col min="750" max="750" width="12" style="2" customWidth="1"/>
    <col min="751" max="751" width="14.85546875" style="2" customWidth="1"/>
    <col min="752" max="752" width="22.42578125" style="2" customWidth="1"/>
    <col min="753" max="753" width="14.85546875" style="2" customWidth="1"/>
    <col min="754" max="754" width="7.140625" style="2" customWidth="1"/>
    <col min="755" max="755" width="20.140625" style="2" customWidth="1"/>
    <col min="756" max="987" width="8.85546875" style="2" customWidth="1"/>
    <col min="988" max="988" width="8.140625" style="2" customWidth="1"/>
    <col min="989" max="989" width="14.42578125" style="2" customWidth="1"/>
    <col min="990" max="990" width="37.42578125" style="2" customWidth="1"/>
    <col min="991" max="991" width="63.140625" style="2" customWidth="1"/>
    <col min="992" max="992" width="20" style="2" customWidth="1"/>
    <col min="993" max="993" width="11.140625" style="2" customWidth="1"/>
    <col min="994" max="994" width="10.85546875" style="2" customWidth="1"/>
    <col min="995" max="995" width="21" style="2" customWidth="1"/>
    <col min="996" max="996" width="10.85546875" style="2" customWidth="1"/>
    <col min="997" max="997" width="17.42578125" style="2" customWidth="1"/>
    <col min="998" max="998" width="14.85546875" style="2" customWidth="1"/>
    <col min="999" max="999" width="15" style="2" customWidth="1"/>
    <col min="1000" max="1000" width="14.85546875" style="2" customWidth="1"/>
    <col min="1001" max="1001" width="7.140625" style="2" customWidth="1"/>
    <col min="1002" max="1003" width="20.140625" style="2" customWidth="1"/>
    <col min="1004" max="1004" width="18.42578125" style="2" customWidth="1"/>
    <col min="1005" max="1005" width="9.140625" style="2" customWidth="1"/>
    <col min="1006" max="1006" width="12" style="2" customWidth="1"/>
    <col min="1007" max="1007" width="14.85546875" style="2" customWidth="1"/>
    <col min="1008" max="1008" width="22.42578125" style="2" customWidth="1"/>
    <col min="1009" max="1009" width="14.85546875" style="2" customWidth="1"/>
    <col min="1010" max="1010" width="7.140625" style="2" customWidth="1"/>
    <col min="1011" max="1011" width="20.140625" style="2" customWidth="1"/>
    <col min="1012" max="1243" width="8.85546875" style="2" customWidth="1"/>
    <col min="1244" max="1244" width="8.140625" style="2" customWidth="1"/>
    <col min="1245" max="1245" width="14.42578125" style="2" customWidth="1"/>
    <col min="1246" max="1246" width="37.42578125" style="2" customWidth="1"/>
    <col min="1247" max="1247" width="63.140625" style="2" customWidth="1"/>
    <col min="1248" max="1248" width="20" style="2" customWidth="1"/>
    <col min="1249" max="1249" width="11.140625" style="2" customWidth="1"/>
    <col min="1250" max="1250" width="10.85546875" style="2" customWidth="1"/>
    <col min="1251" max="1251" width="21" style="2" customWidth="1"/>
    <col min="1252" max="1252" width="10.85546875" style="2" customWidth="1"/>
    <col min="1253" max="1253" width="17.42578125" style="2" customWidth="1"/>
    <col min="1254" max="1254" width="14.85546875" style="2" customWidth="1"/>
    <col min="1255" max="1255" width="15" style="2" customWidth="1"/>
    <col min="1256" max="1256" width="14.85546875" style="2" customWidth="1"/>
    <col min="1257" max="1257" width="7.140625" style="2" customWidth="1"/>
    <col min="1258" max="1259" width="20.140625" style="2" customWidth="1"/>
    <col min="1260" max="1260" width="18.42578125" style="2" customWidth="1"/>
    <col min="1261" max="1261" width="9.140625" style="2" customWidth="1"/>
    <col min="1262" max="1262" width="12" style="2" customWidth="1"/>
    <col min="1263" max="1263" width="14.85546875" style="2" customWidth="1"/>
    <col min="1264" max="1264" width="22.42578125" style="2" customWidth="1"/>
    <col min="1265" max="1265" width="14.85546875" style="2" customWidth="1"/>
    <col min="1266" max="1266" width="7.140625" style="2" customWidth="1"/>
    <col min="1267" max="1267" width="20.140625" style="2" customWidth="1"/>
    <col min="1268" max="1499" width="8.85546875" style="2" customWidth="1"/>
    <col min="1500" max="1500" width="8.140625" style="2" customWidth="1"/>
    <col min="1501" max="1501" width="14.42578125" style="2" customWidth="1"/>
    <col min="1502" max="1502" width="37.42578125" style="2" customWidth="1"/>
    <col min="1503" max="1503" width="63.140625" style="2" customWidth="1"/>
    <col min="1504" max="1504" width="20" style="2" customWidth="1"/>
    <col min="1505" max="1505" width="11.140625" style="2" customWidth="1"/>
    <col min="1506" max="1506" width="10.85546875" style="2" customWidth="1"/>
    <col min="1507" max="1507" width="21" style="2" customWidth="1"/>
    <col min="1508" max="1508" width="10.85546875" style="2" customWidth="1"/>
    <col min="1509" max="1509" width="17.42578125" style="2" customWidth="1"/>
    <col min="1510" max="1510" width="14.85546875" style="2" customWidth="1"/>
    <col min="1511" max="1511" width="15" style="2" customWidth="1"/>
    <col min="1512" max="1512" width="14.85546875" style="2" customWidth="1"/>
    <col min="1513" max="1513" width="7.140625" style="2" customWidth="1"/>
    <col min="1514" max="1515" width="20.140625" style="2" customWidth="1"/>
    <col min="1516" max="1516" width="18.42578125" style="2" customWidth="1"/>
    <col min="1517" max="1517" width="9.140625" style="2" customWidth="1"/>
    <col min="1518" max="1518" width="12" style="2" customWidth="1"/>
    <col min="1519" max="1519" width="14.85546875" style="2" customWidth="1"/>
    <col min="1520" max="1520" width="22.42578125" style="2" customWidth="1"/>
    <col min="1521" max="1521" width="14.85546875" style="2" customWidth="1"/>
    <col min="1522" max="1522" width="7.140625" style="2" customWidth="1"/>
    <col min="1523" max="1523" width="20.140625" style="2" customWidth="1"/>
    <col min="1524" max="1755" width="8.85546875" style="2" customWidth="1"/>
    <col min="1756" max="1756" width="8.140625" style="2" customWidth="1"/>
    <col min="1757" max="1757" width="14.42578125" style="2" customWidth="1"/>
    <col min="1758" max="1758" width="37.42578125" style="2" customWidth="1"/>
    <col min="1759" max="1759" width="63.140625" style="2" customWidth="1"/>
    <col min="1760" max="1760" width="20" style="2" customWidth="1"/>
    <col min="1761" max="1761" width="11.140625" style="2" customWidth="1"/>
    <col min="1762" max="1762" width="10.85546875" style="2" customWidth="1"/>
    <col min="1763" max="1763" width="21" style="2" customWidth="1"/>
    <col min="1764" max="1764" width="10.85546875" style="2" customWidth="1"/>
    <col min="1765" max="1765" width="17.42578125" style="2" customWidth="1"/>
    <col min="1766" max="1766" width="14.85546875" style="2" customWidth="1"/>
    <col min="1767" max="1767" width="15" style="2" customWidth="1"/>
    <col min="1768" max="1768" width="14.85546875" style="2" customWidth="1"/>
    <col min="1769" max="1769" width="7.140625" style="2" customWidth="1"/>
    <col min="1770" max="1771" width="20.140625" style="2" customWidth="1"/>
    <col min="1772" max="1772" width="18.42578125" style="2" customWidth="1"/>
    <col min="1773" max="1773" width="9.140625" style="2" customWidth="1"/>
    <col min="1774" max="1774" width="12" style="2" customWidth="1"/>
    <col min="1775" max="1775" width="14.85546875" style="2" customWidth="1"/>
    <col min="1776" max="1776" width="22.42578125" style="2" customWidth="1"/>
    <col min="1777" max="1777" width="14.85546875" style="2" customWidth="1"/>
    <col min="1778" max="1778" width="7.140625" style="2" customWidth="1"/>
    <col min="1779" max="1779" width="20.140625" style="2" customWidth="1"/>
    <col min="1780" max="2011" width="8.85546875" style="2" customWidth="1"/>
    <col min="2012" max="2012" width="8.140625" style="2" customWidth="1"/>
    <col min="2013" max="2013" width="14.42578125" style="2" customWidth="1"/>
    <col min="2014" max="2014" width="37.42578125" style="2" customWidth="1"/>
    <col min="2015" max="2015" width="63.140625" style="2" customWidth="1"/>
    <col min="2016" max="2016" width="20" style="2" customWidth="1"/>
    <col min="2017" max="2017" width="11.140625" style="2" customWidth="1"/>
    <col min="2018" max="2018" width="10.85546875" style="2" customWidth="1"/>
    <col min="2019" max="2019" width="21" style="2" customWidth="1"/>
    <col min="2020" max="2020" width="10.85546875" style="2" customWidth="1"/>
    <col min="2021" max="2021" width="17.42578125" style="2" customWidth="1"/>
    <col min="2022" max="2022" width="14.85546875" style="2" customWidth="1"/>
    <col min="2023" max="2023" width="15" style="2" customWidth="1"/>
    <col min="2024" max="2024" width="14.85546875" style="2" customWidth="1"/>
    <col min="2025" max="2025" width="7.140625" style="2" customWidth="1"/>
    <col min="2026" max="2027" width="20.140625" style="2" customWidth="1"/>
    <col min="2028" max="2028" width="18.42578125" style="2" customWidth="1"/>
    <col min="2029" max="2029" width="9.140625" style="2" customWidth="1"/>
    <col min="2030" max="2030" width="12" style="2" customWidth="1"/>
    <col min="2031" max="2031" width="14.85546875" style="2" customWidth="1"/>
    <col min="2032" max="2032" width="22.42578125" style="2" customWidth="1"/>
    <col min="2033" max="2033" width="14.85546875" style="2" customWidth="1"/>
    <col min="2034" max="2034" width="7.140625" style="2" customWidth="1"/>
    <col min="2035" max="2035" width="20.140625" style="2" customWidth="1"/>
    <col min="2036" max="2267" width="8.85546875" style="2" customWidth="1"/>
    <col min="2268" max="2268" width="8.140625" style="2" customWidth="1"/>
    <col min="2269" max="2269" width="14.42578125" style="2" customWidth="1"/>
    <col min="2270" max="2270" width="37.42578125" style="2" customWidth="1"/>
    <col min="2271" max="2271" width="63.140625" style="2" customWidth="1"/>
    <col min="2272" max="2272" width="20" style="2" customWidth="1"/>
    <col min="2273" max="2273" width="11.140625" style="2" customWidth="1"/>
    <col min="2274" max="2274" width="10.85546875" style="2" customWidth="1"/>
    <col min="2275" max="2275" width="21" style="2" customWidth="1"/>
    <col min="2276" max="2276" width="10.85546875" style="2" customWidth="1"/>
    <col min="2277" max="2277" width="17.42578125" style="2" customWidth="1"/>
    <col min="2278" max="2278" width="14.85546875" style="2" customWidth="1"/>
    <col min="2279" max="2279" width="15" style="2" customWidth="1"/>
    <col min="2280" max="2280" width="14.85546875" style="2" customWidth="1"/>
    <col min="2281" max="2281" width="7.140625" style="2" customWidth="1"/>
    <col min="2282" max="2283" width="20.140625" style="2" customWidth="1"/>
    <col min="2284" max="2284" width="18.42578125" style="2" customWidth="1"/>
    <col min="2285" max="2285" width="9.140625" style="2" customWidth="1"/>
    <col min="2286" max="2286" width="12" style="2" customWidth="1"/>
    <col min="2287" max="2287" width="14.85546875" style="2" customWidth="1"/>
    <col min="2288" max="2288" width="22.42578125" style="2" customWidth="1"/>
    <col min="2289" max="2289" width="14.85546875" style="2" customWidth="1"/>
    <col min="2290" max="2290" width="7.140625" style="2" customWidth="1"/>
    <col min="2291" max="2291" width="20.140625" style="2" customWidth="1"/>
    <col min="2292" max="2523" width="8.85546875" style="2" customWidth="1"/>
    <col min="2524" max="2524" width="8.140625" style="2" customWidth="1"/>
    <col min="2525" max="2525" width="14.42578125" style="2" customWidth="1"/>
    <col min="2526" max="2526" width="37.42578125" style="2" customWidth="1"/>
    <col min="2527" max="2527" width="63.140625" style="2" customWidth="1"/>
    <col min="2528" max="2528" width="20" style="2" customWidth="1"/>
    <col min="2529" max="2529" width="11.140625" style="2" customWidth="1"/>
    <col min="2530" max="2530" width="10.85546875" style="2" customWidth="1"/>
    <col min="2531" max="2531" width="21" style="2" customWidth="1"/>
    <col min="2532" max="2532" width="10.85546875" style="2" customWidth="1"/>
    <col min="2533" max="2533" width="17.42578125" style="2" customWidth="1"/>
    <col min="2534" max="2534" width="14.85546875" style="2" customWidth="1"/>
    <col min="2535" max="2535" width="15" style="2" customWidth="1"/>
    <col min="2536" max="2536" width="14.85546875" style="2" customWidth="1"/>
    <col min="2537" max="2537" width="7.140625" style="2" customWidth="1"/>
    <col min="2538" max="2539" width="20.140625" style="2" customWidth="1"/>
    <col min="2540" max="2540" width="18.42578125" style="2" customWidth="1"/>
    <col min="2541" max="2541" width="9.140625" style="2" customWidth="1"/>
    <col min="2542" max="2542" width="12" style="2" customWidth="1"/>
    <col min="2543" max="2543" width="14.85546875" style="2" customWidth="1"/>
    <col min="2544" max="2544" width="22.42578125" style="2" customWidth="1"/>
    <col min="2545" max="2545" width="14.85546875" style="2" customWidth="1"/>
    <col min="2546" max="2546" width="7.140625" style="2" customWidth="1"/>
    <col min="2547" max="2547" width="20.140625" style="2" customWidth="1"/>
    <col min="2548" max="2779" width="8.85546875" style="2" customWidth="1"/>
    <col min="2780" max="2780" width="8.140625" style="2" customWidth="1"/>
    <col min="2781" max="2781" width="14.42578125" style="2" customWidth="1"/>
    <col min="2782" max="2782" width="37.42578125" style="2" customWidth="1"/>
    <col min="2783" max="2783" width="63.140625" style="2" customWidth="1"/>
    <col min="2784" max="2784" width="20" style="2" customWidth="1"/>
    <col min="2785" max="2785" width="11.140625" style="2" customWidth="1"/>
    <col min="2786" max="2786" width="10.85546875" style="2" customWidth="1"/>
    <col min="2787" max="2787" width="21" style="2" customWidth="1"/>
    <col min="2788" max="2788" width="10.85546875" style="2" customWidth="1"/>
    <col min="2789" max="2789" width="17.42578125" style="2" customWidth="1"/>
    <col min="2790" max="2790" width="14.85546875" style="2" customWidth="1"/>
    <col min="2791" max="2791" width="15" style="2" customWidth="1"/>
    <col min="2792" max="2792" width="14.85546875" style="2" customWidth="1"/>
    <col min="2793" max="2793" width="7.140625" style="2" customWidth="1"/>
    <col min="2794" max="2795" width="20.140625" style="2" customWidth="1"/>
    <col min="2796" max="2796" width="18.42578125" style="2" customWidth="1"/>
    <col min="2797" max="2797" width="9.140625" style="2" customWidth="1"/>
    <col min="2798" max="2798" width="12" style="2" customWidth="1"/>
    <col min="2799" max="2799" width="14.85546875" style="2" customWidth="1"/>
    <col min="2800" max="2800" width="22.42578125" style="2" customWidth="1"/>
    <col min="2801" max="2801" width="14.85546875" style="2" customWidth="1"/>
    <col min="2802" max="2802" width="7.140625" style="2" customWidth="1"/>
    <col min="2803" max="2803" width="20.140625" style="2" customWidth="1"/>
    <col min="2804" max="3035" width="8.85546875" style="2" customWidth="1"/>
    <col min="3036" max="3036" width="8.140625" style="2" customWidth="1"/>
    <col min="3037" max="3037" width="14.42578125" style="2" customWidth="1"/>
    <col min="3038" max="3038" width="37.42578125" style="2" customWidth="1"/>
    <col min="3039" max="3039" width="63.140625" style="2" customWidth="1"/>
    <col min="3040" max="3040" width="20" style="2" customWidth="1"/>
    <col min="3041" max="3041" width="11.140625" style="2" customWidth="1"/>
    <col min="3042" max="3042" width="10.85546875" style="2" customWidth="1"/>
    <col min="3043" max="3043" width="21" style="2" customWidth="1"/>
    <col min="3044" max="3044" width="10.85546875" style="2" customWidth="1"/>
    <col min="3045" max="3045" width="17.42578125" style="2" customWidth="1"/>
    <col min="3046" max="3046" width="14.85546875" style="2" customWidth="1"/>
    <col min="3047" max="3047" width="15" style="2" customWidth="1"/>
    <col min="3048" max="3048" width="14.85546875" style="2" customWidth="1"/>
    <col min="3049" max="3049" width="7.140625" style="2" customWidth="1"/>
    <col min="3050" max="3051" width="20.140625" style="2" customWidth="1"/>
    <col min="3052" max="3052" width="18.42578125" style="2" customWidth="1"/>
    <col min="3053" max="3053" width="9.140625" style="2" customWidth="1"/>
    <col min="3054" max="3054" width="12" style="2" customWidth="1"/>
    <col min="3055" max="3055" width="14.85546875" style="2" customWidth="1"/>
    <col min="3056" max="3056" width="22.42578125" style="2" customWidth="1"/>
    <col min="3057" max="3057" width="14.85546875" style="2" customWidth="1"/>
    <col min="3058" max="3058" width="7.140625" style="2" customWidth="1"/>
    <col min="3059" max="3059" width="20.140625" style="2" customWidth="1"/>
    <col min="3060" max="3291" width="8.85546875" style="2" customWidth="1"/>
    <col min="3292" max="3292" width="8.140625" style="2" customWidth="1"/>
    <col min="3293" max="3293" width="14.42578125" style="2" customWidth="1"/>
    <col min="3294" max="3294" width="37.42578125" style="2" customWidth="1"/>
    <col min="3295" max="3295" width="63.140625" style="2" customWidth="1"/>
    <col min="3296" max="3296" width="20" style="2" customWidth="1"/>
    <col min="3297" max="3297" width="11.140625" style="2" customWidth="1"/>
    <col min="3298" max="3298" width="10.85546875" style="2" customWidth="1"/>
    <col min="3299" max="3299" width="21" style="2" customWidth="1"/>
    <col min="3300" max="3300" width="10.85546875" style="2" customWidth="1"/>
    <col min="3301" max="3301" width="17.42578125" style="2" customWidth="1"/>
    <col min="3302" max="3302" width="14.85546875" style="2" customWidth="1"/>
    <col min="3303" max="3303" width="15" style="2" customWidth="1"/>
    <col min="3304" max="3304" width="14.85546875" style="2" customWidth="1"/>
    <col min="3305" max="3305" width="7.140625" style="2" customWidth="1"/>
    <col min="3306" max="3307" width="20.140625" style="2" customWidth="1"/>
    <col min="3308" max="3308" width="18.42578125" style="2" customWidth="1"/>
    <col min="3309" max="3309" width="9.140625" style="2" customWidth="1"/>
    <col min="3310" max="3310" width="12" style="2" customWidth="1"/>
    <col min="3311" max="3311" width="14.85546875" style="2" customWidth="1"/>
    <col min="3312" max="3312" width="22.42578125" style="2" customWidth="1"/>
    <col min="3313" max="3313" width="14.85546875" style="2" customWidth="1"/>
    <col min="3314" max="3314" width="7.140625" style="2" customWidth="1"/>
    <col min="3315" max="3315" width="20.140625" style="2" customWidth="1"/>
    <col min="3316" max="3547" width="8.85546875" style="2" customWidth="1"/>
    <col min="3548" max="3548" width="8.140625" style="2" customWidth="1"/>
    <col min="3549" max="3549" width="14.42578125" style="2" customWidth="1"/>
    <col min="3550" max="3550" width="37.42578125" style="2" customWidth="1"/>
    <col min="3551" max="3551" width="63.140625" style="2" customWidth="1"/>
    <col min="3552" max="3552" width="20" style="2" customWidth="1"/>
    <col min="3553" max="3553" width="11.140625" style="2" customWidth="1"/>
    <col min="3554" max="3554" width="10.85546875" style="2" customWidth="1"/>
    <col min="3555" max="3555" width="21" style="2" customWidth="1"/>
    <col min="3556" max="3556" width="10.85546875" style="2" customWidth="1"/>
    <col min="3557" max="3557" width="17.42578125" style="2" customWidth="1"/>
    <col min="3558" max="3558" width="14.85546875" style="2" customWidth="1"/>
    <col min="3559" max="3559" width="15" style="2" customWidth="1"/>
    <col min="3560" max="3560" width="14.85546875" style="2" customWidth="1"/>
    <col min="3561" max="3561" width="7.140625" style="2" customWidth="1"/>
    <col min="3562" max="3563" width="20.140625" style="2" customWidth="1"/>
    <col min="3564" max="3564" width="18.42578125" style="2" customWidth="1"/>
    <col min="3565" max="3565" width="9.140625" style="2" customWidth="1"/>
    <col min="3566" max="3566" width="12" style="2" customWidth="1"/>
    <col min="3567" max="3567" width="14.85546875" style="2" customWidth="1"/>
    <col min="3568" max="3568" width="22.42578125" style="2" customWidth="1"/>
    <col min="3569" max="3569" width="14.85546875" style="2" customWidth="1"/>
    <col min="3570" max="3570" width="7.140625" style="2" customWidth="1"/>
    <col min="3571" max="3571" width="20.140625" style="2" customWidth="1"/>
    <col min="3572" max="3803" width="8.85546875" style="2" customWidth="1"/>
    <col min="3804" max="3804" width="8.140625" style="2" customWidth="1"/>
    <col min="3805" max="3805" width="14.42578125" style="2" customWidth="1"/>
    <col min="3806" max="3806" width="37.42578125" style="2" customWidth="1"/>
    <col min="3807" max="3807" width="63.140625" style="2" customWidth="1"/>
    <col min="3808" max="3808" width="20" style="2" customWidth="1"/>
    <col min="3809" max="3809" width="11.140625" style="2" customWidth="1"/>
    <col min="3810" max="3810" width="10.85546875" style="2" customWidth="1"/>
    <col min="3811" max="3811" width="21" style="2" customWidth="1"/>
    <col min="3812" max="3812" width="10.85546875" style="2" customWidth="1"/>
    <col min="3813" max="3813" width="17.42578125" style="2" customWidth="1"/>
    <col min="3814" max="3814" width="14.85546875" style="2" customWidth="1"/>
    <col min="3815" max="3815" width="15" style="2" customWidth="1"/>
    <col min="3816" max="3816" width="14.85546875" style="2" customWidth="1"/>
    <col min="3817" max="3817" width="7.140625" style="2" customWidth="1"/>
    <col min="3818" max="3819" width="20.140625" style="2" customWidth="1"/>
    <col min="3820" max="3820" width="18.42578125" style="2" customWidth="1"/>
    <col min="3821" max="3821" width="9.140625" style="2" customWidth="1"/>
    <col min="3822" max="3822" width="12" style="2" customWidth="1"/>
    <col min="3823" max="3823" width="14.85546875" style="2" customWidth="1"/>
    <col min="3824" max="3824" width="22.42578125" style="2" customWidth="1"/>
    <col min="3825" max="3825" width="14.85546875" style="2" customWidth="1"/>
    <col min="3826" max="3826" width="7.140625" style="2" customWidth="1"/>
    <col min="3827" max="3827" width="20.140625" style="2" customWidth="1"/>
    <col min="3828" max="4059" width="8.85546875" style="2" customWidth="1"/>
    <col min="4060" max="4060" width="8.140625" style="2" customWidth="1"/>
    <col min="4061" max="4061" width="14.42578125" style="2" customWidth="1"/>
    <col min="4062" max="4062" width="37.42578125" style="2" customWidth="1"/>
    <col min="4063" max="4063" width="63.140625" style="2" customWidth="1"/>
    <col min="4064" max="4064" width="20" style="2" customWidth="1"/>
    <col min="4065" max="4065" width="11.140625" style="2" customWidth="1"/>
    <col min="4066" max="4066" width="10.85546875" style="2" customWidth="1"/>
    <col min="4067" max="4067" width="21" style="2" customWidth="1"/>
    <col min="4068" max="4068" width="10.85546875" style="2" customWidth="1"/>
    <col min="4069" max="4069" width="17.42578125" style="2" customWidth="1"/>
    <col min="4070" max="4070" width="14.85546875" style="2" customWidth="1"/>
    <col min="4071" max="4071" width="15" style="2" customWidth="1"/>
    <col min="4072" max="4072" width="14.85546875" style="2" customWidth="1"/>
    <col min="4073" max="4073" width="7.140625" style="2" customWidth="1"/>
    <col min="4074" max="4075" width="20.140625" style="2" customWidth="1"/>
    <col min="4076" max="4076" width="18.42578125" style="2" customWidth="1"/>
    <col min="4077" max="4077" width="9.140625" style="2" customWidth="1"/>
    <col min="4078" max="4078" width="12" style="2" customWidth="1"/>
    <col min="4079" max="4079" width="14.85546875" style="2" customWidth="1"/>
    <col min="4080" max="4080" width="22.42578125" style="2" customWidth="1"/>
    <col min="4081" max="4081" width="14.85546875" style="2" customWidth="1"/>
    <col min="4082" max="4082" width="7.140625" style="2" customWidth="1"/>
    <col min="4083" max="4083" width="20.140625" style="2" customWidth="1"/>
    <col min="4084" max="4315" width="8.85546875" style="2" customWidth="1"/>
    <col min="4316" max="4316" width="8.140625" style="2" customWidth="1"/>
    <col min="4317" max="4317" width="14.42578125" style="2" customWidth="1"/>
    <col min="4318" max="4318" width="37.42578125" style="2" customWidth="1"/>
    <col min="4319" max="4319" width="63.140625" style="2" customWidth="1"/>
    <col min="4320" max="4320" width="20" style="2" customWidth="1"/>
    <col min="4321" max="4321" width="11.140625" style="2" customWidth="1"/>
    <col min="4322" max="4322" width="10.85546875" style="2" customWidth="1"/>
    <col min="4323" max="4323" width="21" style="2" customWidth="1"/>
    <col min="4324" max="4324" width="10.85546875" style="2" customWidth="1"/>
    <col min="4325" max="4325" width="17.42578125" style="2" customWidth="1"/>
    <col min="4326" max="4326" width="14.85546875" style="2" customWidth="1"/>
    <col min="4327" max="4327" width="15" style="2" customWidth="1"/>
    <col min="4328" max="4328" width="14.85546875" style="2" customWidth="1"/>
    <col min="4329" max="4329" width="7.140625" style="2" customWidth="1"/>
    <col min="4330" max="4331" width="20.140625" style="2" customWidth="1"/>
    <col min="4332" max="4332" width="18.42578125" style="2" customWidth="1"/>
    <col min="4333" max="4333" width="9.140625" style="2" customWidth="1"/>
    <col min="4334" max="4334" width="12" style="2" customWidth="1"/>
    <col min="4335" max="4335" width="14.85546875" style="2" customWidth="1"/>
    <col min="4336" max="4336" width="22.42578125" style="2" customWidth="1"/>
    <col min="4337" max="4337" width="14.85546875" style="2" customWidth="1"/>
    <col min="4338" max="4338" width="7.140625" style="2" customWidth="1"/>
    <col min="4339" max="4339" width="20.140625" style="2" customWidth="1"/>
    <col min="4340" max="4571" width="8.85546875" style="2" customWidth="1"/>
    <col min="4572" max="4572" width="8.140625" style="2" customWidth="1"/>
    <col min="4573" max="4573" width="14.42578125" style="2" customWidth="1"/>
    <col min="4574" max="4574" width="37.42578125" style="2" customWidth="1"/>
    <col min="4575" max="4575" width="63.140625" style="2" customWidth="1"/>
    <col min="4576" max="4576" width="20" style="2" customWidth="1"/>
    <col min="4577" max="4577" width="11.140625" style="2" customWidth="1"/>
    <col min="4578" max="4578" width="10.85546875" style="2" customWidth="1"/>
    <col min="4579" max="4579" width="21" style="2" customWidth="1"/>
    <col min="4580" max="4580" width="10.85546875" style="2" customWidth="1"/>
    <col min="4581" max="4581" width="17.42578125" style="2" customWidth="1"/>
    <col min="4582" max="4582" width="14.85546875" style="2" customWidth="1"/>
    <col min="4583" max="4583" width="15" style="2" customWidth="1"/>
    <col min="4584" max="4584" width="14.85546875" style="2" customWidth="1"/>
    <col min="4585" max="4585" width="7.140625" style="2" customWidth="1"/>
    <col min="4586" max="4587" width="20.140625" style="2" customWidth="1"/>
    <col min="4588" max="4588" width="18.42578125" style="2" customWidth="1"/>
    <col min="4589" max="4589" width="9.140625" style="2" customWidth="1"/>
    <col min="4590" max="4590" width="12" style="2" customWidth="1"/>
    <col min="4591" max="4591" width="14.85546875" style="2" customWidth="1"/>
    <col min="4592" max="4592" width="22.42578125" style="2" customWidth="1"/>
    <col min="4593" max="4593" width="14.85546875" style="2" customWidth="1"/>
    <col min="4594" max="4594" width="7.140625" style="2" customWidth="1"/>
    <col min="4595" max="4595" width="20.140625" style="2" customWidth="1"/>
    <col min="4596" max="4827" width="8.85546875" style="2" customWidth="1"/>
    <col min="4828" max="4828" width="8.140625" style="2" customWidth="1"/>
    <col min="4829" max="4829" width="14.42578125" style="2" customWidth="1"/>
    <col min="4830" max="4830" width="37.42578125" style="2" customWidth="1"/>
    <col min="4831" max="4831" width="63.140625" style="2" customWidth="1"/>
    <col min="4832" max="4832" width="20" style="2" customWidth="1"/>
    <col min="4833" max="4833" width="11.140625" style="2" customWidth="1"/>
    <col min="4834" max="4834" width="10.85546875" style="2" customWidth="1"/>
    <col min="4835" max="4835" width="21" style="2" customWidth="1"/>
    <col min="4836" max="4836" width="10.85546875" style="2" customWidth="1"/>
    <col min="4837" max="4837" width="17.42578125" style="2" customWidth="1"/>
    <col min="4838" max="4838" width="14.85546875" style="2" customWidth="1"/>
    <col min="4839" max="4839" width="15" style="2" customWidth="1"/>
    <col min="4840" max="4840" width="14.85546875" style="2" customWidth="1"/>
    <col min="4841" max="4841" width="7.140625" style="2" customWidth="1"/>
    <col min="4842" max="4843" width="20.140625" style="2" customWidth="1"/>
    <col min="4844" max="4844" width="18.42578125" style="2" customWidth="1"/>
    <col min="4845" max="4845" width="9.140625" style="2" customWidth="1"/>
    <col min="4846" max="4846" width="12" style="2" customWidth="1"/>
    <col min="4847" max="4847" width="14.85546875" style="2" customWidth="1"/>
    <col min="4848" max="4848" width="22.42578125" style="2" customWidth="1"/>
    <col min="4849" max="4849" width="14.85546875" style="2" customWidth="1"/>
    <col min="4850" max="4850" width="7.140625" style="2" customWidth="1"/>
    <col min="4851" max="4851" width="20.140625" style="2" customWidth="1"/>
    <col min="4852" max="5083" width="8.85546875" style="2" customWidth="1"/>
    <col min="5084" max="5084" width="8.140625" style="2" customWidth="1"/>
    <col min="5085" max="5085" width="14.42578125" style="2" customWidth="1"/>
    <col min="5086" max="5086" width="37.42578125" style="2" customWidth="1"/>
    <col min="5087" max="5087" width="63.140625" style="2" customWidth="1"/>
    <col min="5088" max="5088" width="20" style="2" customWidth="1"/>
    <col min="5089" max="5089" width="11.140625" style="2" customWidth="1"/>
    <col min="5090" max="5090" width="10.85546875" style="2" customWidth="1"/>
    <col min="5091" max="5091" width="21" style="2" customWidth="1"/>
    <col min="5092" max="5092" width="10.85546875" style="2" customWidth="1"/>
    <col min="5093" max="5093" width="17.42578125" style="2" customWidth="1"/>
    <col min="5094" max="5094" width="14.85546875" style="2" customWidth="1"/>
    <col min="5095" max="5095" width="15" style="2" customWidth="1"/>
    <col min="5096" max="5096" width="14.85546875" style="2" customWidth="1"/>
    <col min="5097" max="5097" width="7.140625" style="2" customWidth="1"/>
    <col min="5098" max="5099" width="20.140625" style="2" customWidth="1"/>
    <col min="5100" max="5100" width="18.42578125" style="2" customWidth="1"/>
    <col min="5101" max="5101" width="9.140625" style="2" customWidth="1"/>
    <col min="5102" max="5102" width="12" style="2" customWidth="1"/>
    <col min="5103" max="5103" width="14.85546875" style="2" customWidth="1"/>
    <col min="5104" max="5104" width="22.42578125" style="2" customWidth="1"/>
    <col min="5105" max="5105" width="14.85546875" style="2" customWidth="1"/>
    <col min="5106" max="5106" width="7.140625" style="2" customWidth="1"/>
    <col min="5107" max="5107" width="20.140625" style="2" customWidth="1"/>
    <col min="5108" max="5339" width="8.85546875" style="2" customWidth="1"/>
    <col min="5340" max="5340" width="8.140625" style="2" customWidth="1"/>
    <col min="5341" max="5341" width="14.42578125" style="2" customWidth="1"/>
    <col min="5342" max="5342" width="37.42578125" style="2" customWidth="1"/>
    <col min="5343" max="5343" width="63.140625" style="2" customWidth="1"/>
    <col min="5344" max="5344" width="20" style="2" customWidth="1"/>
    <col min="5345" max="5345" width="11.140625" style="2" customWidth="1"/>
    <col min="5346" max="5346" width="10.85546875" style="2" customWidth="1"/>
    <col min="5347" max="5347" width="21" style="2" customWidth="1"/>
    <col min="5348" max="5348" width="10.85546875" style="2" customWidth="1"/>
    <col min="5349" max="5349" width="17.42578125" style="2" customWidth="1"/>
    <col min="5350" max="5350" width="14.85546875" style="2" customWidth="1"/>
    <col min="5351" max="5351" width="15" style="2" customWidth="1"/>
    <col min="5352" max="5352" width="14.85546875" style="2" customWidth="1"/>
    <col min="5353" max="5353" width="7.140625" style="2" customWidth="1"/>
    <col min="5354" max="5355" width="20.140625" style="2" customWidth="1"/>
    <col min="5356" max="5356" width="18.42578125" style="2" customWidth="1"/>
    <col min="5357" max="5357" width="9.140625" style="2" customWidth="1"/>
    <col min="5358" max="5358" width="12" style="2" customWidth="1"/>
    <col min="5359" max="5359" width="14.85546875" style="2" customWidth="1"/>
    <col min="5360" max="5360" width="22.42578125" style="2" customWidth="1"/>
    <col min="5361" max="5361" width="14.85546875" style="2" customWidth="1"/>
    <col min="5362" max="5362" width="7.140625" style="2" customWidth="1"/>
    <col min="5363" max="5363" width="20.140625" style="2" customWidth="1"/>
    <col min="5364" max="5595" width="8.85546875" style="2" customWidth="1"/>
    <col min="5596" max="5596" width="8.140625" style="2" customWidth="1"/>
    <col min="5597" max="5597" width="14.42578125" style="2" customWidth="1"/>
    <col min="5598" max="5598" width="37.42578125" style="2" customWidth="1"/>
    <col min="5599" max="5599" width="63.140625" style="2" customWidth="1"/>
    <col min="5600" max="5600" width="20" style="2" customWidth="1"/>
    <col min="5601" max="5601" width="11.140625" style="2" customWidth="1"/>
    <col min="5602" max="5602" width="10.85546875" style="2" customWidth="1"/>
    <col min="5603" max="5603" width="21" style="2" customWidth="1"/>
    <col min="5604" max="5604" width="10.85546875" style="2" customWidth="1"/>
    <col min="5605" max="5605" width="17.42578125" style="2" customWidth="1"/>
    <col min="5606" max="5606" width="14.85546875" style="2" customWidth="1"/>
    <col min="5607" max="5607" width="15" style="2" customWidth="1"/>
    <col min="5608" max="5608" width="14.85546875" style="2" customWidth="1"/>
    <col min="5609" max="5609" width="7.140625" style="2" customWidth="1"/>
    <col min="5610" max="5611" width="20.140625" style="2" customWidth="1"/>
    <col min="5612" max="5612" width="18.42578125" style="2" customWidth="1"/>
    <col min="5613" max="5613" width="9.140625" style="2" customWidth="1"/>
    <col min="5614" max="5614" width="12" style="2" customWidth="1"/>
    <col min="5615" max="5615" width="14.85546875" style="2" customWidth="1"/>
    <col min="5616" max="5616" width="22.42578125" style="2" customWidth="1"/>
    <col min="5617" max="5617" width="14.85546875" style="2" customWidth="1"/>
    <col min="5618" max="5618" width="7.140625" style="2" customWidth="1"/>
    <col min="5619" max="5619" width="20.140625" style="2" customWidth="1"/>
    <col min="5620" max="5851" width="8.85546875" style="2" customWidth="1"/>
    <col min="5852" max="5852" width="8.140625" style="2" customWidth="1"/>
    <col min="5853" max="5853" width="14.42578125" style="2" customWidth="1"/>
    <col min="5854" max="5854" width="37.42578125" style="2" customWidth="1"/>
    <col min="5855" max="5855" width="63.140625" style="2" customWidth="1"/>
    <col min="5856" max="5856" width="20" style="2" customWidth="1"/>
    <col min="5857" max="5857" width="11.140625" style="2" customWidth="1"/>
    <col min="5858" max="5858" width="10.85546875" style="2" customWidth="1"/>
    <col min="5859" max="5859" width="21" style="2" customWidth="1"/>
    <col min="5860" max="5860" width="10.85546875" style="2" customWidth="1"/>
    <col min="5861" max="5861" width="17.42578125" style="2" customWidth="1"/>
    <col min="5862" max="5862" width="14.85546875" style="2" customWidth="1"/>
    <col min="5863" max="5863" width="15" style="2" customWidth="1"/>
    <col min="5864" max="5864" width="14.85546875" style="2" customWidth="1"/>
    <col min="5865" max="5865" width="7.140625" style="2" customWidth="1"/>
    <col min="5866" max="5867" width="20.140625" style="2" customWidth="1"/>
    <col min="5868" max="5868" width="18.42578125" style="2" customWidth="1"/>
    <col min="5869" max="5869" width="9.140625" style="2" customWidth="1"/>
    <col min="5870" max="5870" width="12" style="2" customWidth="1"/>
    <col min="5871" max="5871" width="14.85546875" style="2" customWidth="1"/>
    <col min="5872" max="5872" width="22.42578125" style="2" customWidth="1"/>
    <col min="5873" max="5873" width="14.85546875" style="2" customWidth="1"/>
    <col min="5874" max="5874" width="7.140625" style="2" customWidth="1"/>
    <col min="5875" max="5875" width="20.140625" style="2" customWidth="1"/>
    <col min="5876" max="6107" width="8.85546875" style="2" customWidth="1"/>
    <col min="6108" max="6108" width="8.140625" style="2" customWidth="1"/>
    <col min="6109" max="6109" width="14.42578125" style="2" customWidth="1"/>
    <col min="6110" max="6110" width="37.42578125" style="2" customWidth="1"/>
    <col min="6111" max="6111" width="63.140625" style="2" customWidth="1"/>
    <col min="6112" max="6112" width="20" style="2" customWidth="1"/>
    <col min="6113" max="6113" width="11.140625" style="2" customWidth="1"/>
    <col min="6114" max="6114" width="10.85546875" style="2" customWidth="1"/>
    <col min="6115" max="6115" width="21" style="2" customWidth="1"/>
    <col min="6116" max="6116" width="10.85546875" style="2" customWidth="1"/>
    <col min="6117" max="6117" width="17.42578125" style="2" customWidth="1"/>
    <col min="6118" max="6118" width="14.85546875" style="2" customWidth="1"/>
    <col min="6119" max="6119" width="15" style="2" customWidth="1"/>
    <col min="6120" max="6120" width="14.85546875" style="2" customWidth="1"/>
    <col min="6121" max="6121" width="7.140625" style="2" customWidth="1"/>
    <col min="6122" max="6123" width="20.140625" style="2" customWidth="1"/>
    <col min="6124" max="6124" width="18.42578125" style="2" customWidth="1"/>
    <col min="6125" max="6125" width="9.140625" style="2" customWidth="1"/>
    <col min="6126" max="6126" width="12" style="2" customWidth="1"/>
    <col min="6127" max="6127" width="14.85546875" style="2" customWidth="1"/>
    <col min="6128" max="6128" width="22.42578125" style="2" customWidth="1"/>
    <col min="6129" max="6129" width="14.85546875" style="2" customWidth="1"/>
    <col min="6130" max="6130" width="7.140625" style="2" customWidth="1"/>
    <col min="6131" max="6131" width="20.140625" style="2" customWidth="1"/>
    <col min="6132" max="6363" width="8.85546875" style="2" customWidth="1"/>
    <col min="6364" max="6364" width="8.140625" style="2" customWidth="1"/>
    <col min="6365" max="6365" width="14.42578125" style="2" customWidth="1"/>
    <col min="6366" max="6366" width="37.42578125" style="2" customWidth="1"/>
    <col min="6367" max="6367" width="63.140625" style="2" customWidth="1"/>
    <col min="6368" max="6368" width="20" style="2" customWidth="1"/>
    <col min="6369" max="6369" width="11.140625" style="2" customWidth="1"/>
    <col min="6370" max="6370" width="10.85546875" style="2" customWidth="1"/>
    <col min="6371" max="6371" width="21" style="2" customWidth="1"/>
    <col min="6372" max="6372" width="10.85546875" style="2" customWidth="1"/>
    <col min="6373" max="6373" width="17.42578125" style="2" customWidth="1"/>
    <col min="6374" max="6374" width="14.85546875" style="2" customWidth="1"/>
    <col min="6375" max="6375" width="15" style="2" customWidth="1"/>
    <col min="6376" max="6376" width="14.85546875" style="2" customWidth="1"/>
    <col min="6377" max="6377" width="7.140625" style="2" customWidth="1"/>
    <col min="6378" max="6379" width="20.140625" style="2" customWidth="1"/>
    <col min="6380" max="6380" width="18.42578125" style="2" customWidth="1"/>
    <col min="6381" max="6381" width="9.140625" style="2" customWidth="1"/>
    <col min="6382" max="6382" width="12" style="2" customWidth="1"/>
    <col min="6383" max="6383" width="14.85546875" style="2" customWidth="1"/>
    <col min="6384" max="6384" width="22.42578125" style="2" customWidth="1"/>
    <col min="6385" max="6385" width="14.85546875" style="2" customWidth="1"/>
    <col min="6386" max="6386" width="7.140625" style="2" customWidth="1"/>
    <col min="6387" max="6387" width="20.140625" style="2" customWidth="1"/>
    <col min="6388" max="6619" width="8.85546875" style="2" customWidth="1"/>
    <col min="6620" max="6620" width="8.140625" style="2" customWidth="1"/>
    <col min="6621" max="6621" width="14.42578125" style="2" customWidth="1"/>
    <col min="6622" max="6622" width="37.42578125" style="2" customWidth="1"/>
    <col min="6623" max="6623" width="63.140625" style="2" customWidth="1"/>
    <col min="6624" max="6624" width="20" style="2" customWidth="1"/>
    <col min="6625" max="6625" width="11.140625" style="2" customWidth="1"/>
    <col min="6626" max="6626" width="10.85546875" style="2" customWidth="1"/>
    <col min="6627" max="6627" width="21" style="2" customWidth="1"/>
    <col min="6628" max="6628" width="10.85546875" style="2" customWidth="1"/>
    <col min="6629" max="6629" width="17.42578125" style="2" customWidth="1"/>
    <col min="6630" max="6630" width="14.85546875" style="2" customWidth="1"/>
    <col min="6631" max="6631" width="15" style="2" customWidth="1"/>
    <col min="6632" max="6632" width="14.85546875" style="2" customWidth="1"/>
    <col min="6633" max="6633" width="7.140625" style="2" customWidth="1"/>
    <col min="6634" max="6635" width="20.140625" style="2" customWidth="1"/>
    <col min="6636" max="6636" width="18.42578125" style="2" customWidth="1"/>
    <col min="6637" max="6637" width="9.140625" style="2" customWidth="1"/>
    <col min="6638" max="6638" width="12" style="2" customWidth="1"/>
    <col min="6639" max="6639" width="14.85546875" style="2" customWidth="1"/>
    <col min="6640" max="6640" width="22.42578125" style="2" customWidth="1"/>
    <col min="6641" max="6641" width="14.85546875" style="2" customWidth="1"/>
    <col min="6642" max="6642" width="7.140625" style="2" customWidth="1"/>
    <col min="6643" max="6643" width="20.140625" style="2" customWidth="1"/>
    <col min="6644" max="6875" width="8.85546875" style="2" customWidth="1"/>
    <col min="6876" max="6876" width="8.140625" style="2" customWidth="1"/>
    <col min="6877" max="6877" width="14.42578125" style="2" customWidth="1"/>
    <col min="6878" max="6878" width="37.42578125" style="2" customWidth="1"/>
    <col min="6879" max="6879" width="63.140625" style="2" customWidth="1"/>
    <col min="6880" max="6880" width="20" style="2" customWidth="1"/>
    <col min="6881" max="6881" width="11.140625" style="2" customWidth="1"/>
    <col min="6882" max="6882" width="10.85546875" style="2" customWidth="1"/>
    <col min="6883" max="6883" width="21" style="2" customWidth="1"/>
    <col min="6884" max="6884" width="10.85546875" style="2" customWidth="1"/>
    <col min="6885" max="6885" width="17.42578125" style="2" customWidth="1"/>
    <col min="6886" max="6886" width="14.85546875" style="2" customWidth="1"/>
    <col min="6887" max="6887" width="15" style="2" customWidth="1"/>
    <col min="6888" max="6888" width="14.85546875" style="2" customWidth="1"/>
    <col min="6889" max="6889" width="7.140625" style="2" customWidth="1"/>
    <col min="6890" max="6891" width="20.140625" style="2" customWidth="1"/>
    <col min="6892" max="6892" width="18.42578125" style="2" customWidth="1"/>
    <col min="6893" max="6893" width="9.140625" style="2" customWidth="1"/>
    <col min="6894" max="6894" width="12" style="2" customWidth="1"/>
    <col min="6895" max="6895" width="14.85546875" style="2" customWidth="1"/>
    <col min="6896" max="6896" width="22.42578125" style="2" customWidth="1"/>
    <col min="6897" max="6897" width="14.85546875" style="2" customWidth="1"/>
    <col min="6898" max="6898" width="7.140625" style="2" customWidth="1"/>
    <col min="6899" max="6899" width="20.140625" style="2" customWidth="1"/>
    <col min="6900" max="7131" width="8.85546875" style="2" customWidth="1"/>
    <col min="7132" max="7132" width="8.140625" style="2" customWidth="1"/>
    <col min="7133" max="7133" width="14.42578125" style="2" customWidth="1"/>
    <col min="7134" max="7134" width="37.42578125" style="2" customWidth="1"/>
    <col min="7135" max="7135" width="63.140625" style="2" customWidth="1"/>
    <col min="7136" max="7136" width="20" style="2" customWidth="1"/>
    <col min="7137" max="7137" width="11.140625" style="2" customWidth="1"/>
    <col min="7138" max="7138" width="10.85546875" style="2" customWidth="1"/>
    <col min="7139" max="7139" width="21" style="2" customWidth="1"/>
    <col min="7140" max="7140" width="10.85546875" style="2" customWidth="1"/>
    <col min="7141" max="7141" width="17.42578125" style="2" customWidth="1"/>
    <col min="7142" max="7142" width="14.85546875" style="2" customWidth="1"/>
    <col min="7143" max="7143" width="15" style="2" customWidth="1"/>
    <col min="7144" max="7144" width="14.85546875" style="2" customWidth="1"/>
    <col min="7145" max="7145" width="7.140625" style="2" customWidth="1"/>
    <col min="7146" max="7147" width="20.140625" style="2" customWidth="1"/>
    <col min="7148" max="7148" width="18.42578125" style="2" customWidth="1"/>
    <col min="7149" max="7149" width="9.140625" style="2" customWidth="1"/>
    <col min="7150" max="7150" width="12" style="2" customWidth="1"/>
    <col min="7151" max="7151" width="14.85546875" style="2" customWidth="1"/>
    <col min="7152" max="7152" width="22.42578125" style="2" customWidth="1"/>
    <col min="7153" max="7153" width="14.85546875" style="2" customWidth="1"/>
    <col min="7154" max="7154" width="7.140625" style="2" customWidth="1"/>
    <col min="7155" max="7155" width="20.140625" style="2" customWidth="1"/>
    <col min="7156" max="7387" width="8.85546875" style="2" customWidth="1"/>
    <col min="7388" max="7388" width="8.140625" style="2" customWidth="1"/>
    <col min="7389" max="7389" width="14.42578125" style="2" customWidth="1"/>
    <col min="7390" max="7390" width="37.42578125" style="2" customWidth="1"/>
    <col min="7391" max="7391" width="63.140625" style="2" customWidth="1"/>
    <col min="7392" max="7392" width="20" style="2" customWidth="1"/>
    <col min="7393" max="7393" width="11.140625" style="2" customWidth="1"/>
    <col min="7394" max="7394" width="10.85546875" style="2" customWidth="1"/>
    <col min="7395" max="7395" width="21" style="2" customWidth="1"/>
    <col min="7396" max="7396" width="10.85546875" style="2" customWidth="1"/>
    <col min="7397" max="7397" width="17.42578125" style="2" customWidth="1"/>
    <col min="7398" max="7398" width="14.85546875" style="2" customWidth="1"/>
    <col min="7399" max="7399" width="15" style="2" customWidth="1"/>
    <col min="7400" max="7400" width="14.85546875" style="2" customWidth="1"/>
    <col min="7401" max="7401" width="7.140625" style="2" customWidth="1"/>
    <col min="7402" max="7403" width="20.140625" style="2" customWidth="1"/>
    <col min="7404" max="7404" width="18.42578125" style="2" customWidth="1"/>
    <col min="7405" max="7405" width="9.140625" style="2" customWidth="1"/>
    <col min="7406" max="7406" width="12" style="2" customWidth="1"/>
    <col min="7407" max="7407" width="14.85546875" style="2" customWidth="1"/>
    <col min="7408" max="7408" width="22.42578125" style="2" customWidth="1"/>
    <col min="7409" max="7409" width="14.85546875" style="2" customWidth="1"/>
    <col min="7410" max="7410" width="7.140625" style="2" customWidth="1"/>
    <col min="7411" max="7411" width="20.140625" style="2" customWidth="1"/>
    <col min="7412" max="7643" width="8.85546875" style="2" customWidth="1"/>
    <col min="7644" max="7644" width="8.140625" style="2" customWidth="1"/>
    <col min="7645" max="7645" width="14.42578125" style="2" customWidth="1"/>
    <col min="7646" max="7646" width="37.42578125" style="2" customWidth="1"/>
    <col min="7647" max="7647" width="63.140625" style="2" customWidth="1"/>
    <col min="7648" max="7648" width="20" style="2" customWidth="1"/>
    <col min="7649" max="7649" width="11.140625" style="2" customWidth="1"/>
    <col min="7650" max="7650" width="10.85546875" style="2" customWidth="1"/>
    <col min="7651" max="7651" width="21" style="2" customWidth="1"/>
    <col min="7652" max="7652" width="10.85546875" style="2" customWidth="1"/>
    <col min="7653" max="7653" width="17.42578125" style="2" customWidth="1"/>
    <col min="7654" max="7654" width="14.85546875" style="2" customWidth="1"/>
    <col min="7655" max="7655" width="15" style="2" customWidth="1"/>
    <col min="7656" max="7656" width="14.85546875" style="2" customWidth="1"/>
    <col min="7657" max="7657" width="7.140625" style="2" customWidth="1"/>
    <col min="7658" max="7659" width="20.140625" style="2" customWidth="1"/>
    <col min="7660" max="7660" width="18.42578125" style="2" customWidth="1"/>
    <col min="7661" max="7661" width="9.140625" style="2" customWidth="1"/>
    <col min="7662" max="7662" width="12" style="2" customWidth="1"/>
    <col min="7663" max="7663" width="14.85546875" style="2" customWidth="1"/>
    <col min="7664" max="7664" width="22.42578125" style="2" customWidth="1"/>
    <col min="7665" max="7665" width="14.85546875" style="2" customWidth="1"/>
    <col min="7666" max="7666" width="7.140625" style="2" customWidth="1"/>
    <col min="7667" max="7667" width="20.140625" style="2" customWidth="1"/>
    <col min="7668" max="7899" width="8.85546875" style="2" customWidth="1"/>
    <col min="7900" max="7900" width="8.140625" style="2" customWidth="1"/>
    <col min="7901" max="7901" width="14.42578125" style="2" customWidth="1"/>
    <col min="7902" max="7902" width="37.42578125" style="2" customWidth="1"/>
    <col min="7903" max="7903" width="63.140625" style="2" customWidth="1"/>
    <col min="7904" max="7904" width="20" style="2" customWidth="1"/>
    <col min="7905" max="7905" width="11.140625" style="2" customWidth="1"/>
    <col min="7906" max="7906" width="10.85546875" style="2" customWidth="1"/>
    <col min="7907" max="7907" width="21" style="2" customWidth="1"/>
    <col min="7908" max="7908" width="10.85546875" style="2" customWidth="1"/>
    <col min="7909" max="7909" width="17.42578125" style="2" customWidth="1"/>
    <col min="7910" max="7910" width="14.85546875" style="2" customWidth="1"/>
    <col min="7911" max="7911" width="15" style="2" customWidth="1"/>
    <col min="7912" max="7912" width="14.85546875" style="2" customWidth="1"/>
    <col min="7913" max="7913" width="7.140625" style="2" customWidth="1"/>
    <col min="7914" max="7915" width="20.140625" style="2" customWidth="1"/>
    <col min="7916" max="7916" width="18.42578125" style="2" customWidth="1"/>
    <col min="7917" max="7917" width="9.140625" style="2" customWidth="1"/>
    <col min="7918" max="7918" width="12" style="2" customWidth="1"/>
    <col min="7919" max="7919" width="14.85546875" style="2" customWidth="1"/>
    <col min="7920" max="7920" width="22.42578125" style="2" customWidth="1"/>
    <col min="7921" max="7921" width="14.85546875" style="2" customWidth="1"/>
    <col min="7922" max="7922" width="7.140625" style="2" customWidth="1"/>
    <col min="7923" max="7923" width="20.140625" style="2" customWidth="1"/>
    <col min="7924" max="8155" width="8.85546875" style="2" customWidth="1"/>
    <col min="8156" max="8156" width="8.140625" style="2" customWidth="1"/>
    <col min="8157" max="8157" width="14.42578125" style="2" customWidth="1"/>
    <col min="8158" max="8158" width="37.42578125" style="2" customWidth="1"/>
    <col min="8159" max="8159" width="63.140625" style="2" customWidth="1"/>
    <col min="8160" max="8160" width="20" style="2" customWidth="1"/>
    <col min="8161" max="8161" width="11.140625" style="2" customWidth="1"/>
    <col min="8162" max="8162" width="10.85546875" style="2" customWidth="1"/>
    <col min="8163" max="8163" width="21" style="2" customWidth="1"/>
    <col min="8164" max="8164" width="10.85546875" style="2" customWidth="1"/>
    <col min="8165" max="8165" width="17.42578125" style="2" customWidth="1"/>
    <col min="8166" max="8166" width="14.85546875" style="2" customWidth="1"/>
    <col min="8167" max="8167" width="15" style="2" customWidth="1"/>
    <col min="8168" max="8168" width="14.85546875" style="2" customWidth="1"/>
    <col min="8169" max="8169" width="7.140625" style="2" customWidth="1"/>
    <col min="8170" max="8171" width="20.140625" style="2" customWidth="1"/>
    <col min="8172" max="8172" width="18.42578125" style="2" customWidth="1"/>
    <col min="8173" max="8173" width="9.140625" style="2" customWidth="1"/>
    <col min="8174" max="8174" width="12" style="2" customWidth="1"/>
    <col min="8175" max="8175" width="14.85546875" style="2" customWidth="1"/>
    <col min="8176" max="8176" width="22.42578125" style="2" customWidth="1"/>
    <col min="8177" max="8177" width="14.85546875" style="2" customWidth="1"/>
    <col min="8178" max="8178" width="7.140625" style="2" customWidth="1"/>
    <col min="8179" max="8179" width="20.140625" style="2" customWidth="1"/>
    <col min="8180" max="8411" width="8.85546875" style="2" customWidth="1"/>
    <col min="8412" max="8412" width="8.140625" style="2" customWidth="1"/>
    <col min="8413" max="8413" width="14.42578125" style="2" customWidth="1"/>
    <col min="8414" max="8414" width="37.42578125" style="2" customWidth="1"/>
    <col min="8415" max="8415" width="63.140625" style="2" customWidth="1"/>
    <col min="8416" max="8416" width="20" style="2" customWidth="1"/>
    <col min="8417" max="8417" width="11.140625" style="2" customWidth="1"/>
    <col min="8418" max="8418" width="10.85546875" style="2" customWidth="1"/>
    <col min="8419" max="8419" width="21" style="2" customWidth="1"/>
    <col min="8420" max="8420" width="10.85546875" style="2" customWidth="1"/>
    <col min="8421" max="8421" width="17.42578125" style="2" customWidth="1"/>
    <col min="8422" max="8422" width="14.85546875" style="2" customWidth="1"/>
    <col min="8423" max="8423" width="15" style="2" customWidth="1"/>
    <col min="8424" max="8424" width="14.85546875" style="2" customWidth="1"/>
    <col min="8425" max="8425" width="7.140625" style="2" customWidth="1"/>
    <col min="8426" max="8427" width="20.140625" style="2" customWidth="1"/>
    <col min="8428" max="8428" width="18.42578125" style="2" customWidth="1"/>
    <col min="8429" max="8429" width="9.140625" style="2" customWidth="1"/>
    <col min="8430" max="8430" width="12" style="2" customWidth="1"/>
    <col min="8431" max="8431" width="14.85546875" style="2" customWidth="1"/>
    <col min="8432" max="8432" width="22.42578125" style="2" customWidth="1"/>
    <col min="8433" max="8433" width="14.85546875" style="2" customWidth="1"/>
    <col min="8434" max="8434" width="7.140625" style="2" customWidth="1"/>
    <col min="8435" max="8435" width="20.140625" style="2" customWidth="1"/>
    <col min="8436" max="8667" width="8.85546875" style="2" customWidth="1"/>
    <col min="8668" max="8668" width="8.140625" style="2" customWidth="1"/>
    <col min="8669" max="8669" width="14.42578125" style="2" customWidth="1"/>
    <col min="8670" max="8670" width="37.42578125" style="2" customWidth="1"/>
    <col min="8671" max="8671" width="63.140625" style="2" customWidth="1"/>
    <col min="8672" max="8672" width="20" style="2" customWidth="1"/>
    <col min="8673" max="8673" width="11.140625" style="2" customWidth="1"/>
    <col min="8674" max="8674" width="10.85546875" style="2" customWidth="1"/>
    <col min="8675" max="8675" width="21" style="2" customWidth="1"/>
    <col min="8676" max="8676" width="10.85546875" style="2" customWidth="1"/>
    <col min="8677" max="8677" width="17.42578125" style="2" customWidth="1"/>
    <col min="8678" max="8678" width="14.85546875" style="2" customWidth="1"/>
    <col min="8679" max="8679" width="15" style="2" customWidth="1"/>
    <col min="8680" max="8680" width="14.85546875" style="2" customWidth="1"/>
    <col min="8681" max="8681" width="7.140625" style="2" customWidth="1"/>
    <col min="8682" max="8683" width="20.140625" style="2" customWidth="1"/>
    <col min="8684" max="8684" width="18.42578125" style="2" customWidth="1"/>
    <col min="8685" max="8685" width="9.140625" style="2" customWidth="1"/>
    <col min="8686" max="8686" width="12" style="2" customWidth="1"/>
    <col min="8687" max="8687" width="14.85546875" style="2" customWidth="1"/>
    <col min="8688" max="8688" width="22.42578125" style="2" customWidth="1"/>
    <col min="8689" max="8689" width="14.85546875" style="2" customWidth="1"/>
    <col min="8690" max="8690" width="7.140625" style="2" customWidth="1"/>
    <col min="8691" max="8691" width="20.140625" style="2" customWidth="1"/>
    <col min="8692" max="8923" width="8.85546875" style="2" customWidth="1"/>
    <col min="8924" max="8924" width="8.140625" style="2" customWidth="1"/>
    <col min="8925" max="8925" width="14.42578125" style="2" customWidth="1"/>
    <col min="8926" max="8926" width="37.42578125" style="2" customWidth="1"/>
    <col min="8927" max="8927" width="63.140625" style="2" customWidth="1"/>
    <col min="8928" max="8928" width="20" style="2" customWidth="1"/>
    <col min="8929" max="8929" width="11.140625" style="2" customWidth="1"/>
    <col min="8930" max="8930" width="10.85546875" style="2" customWidth="1"/>
    <col min="8931" max="8931" width="21" style="2" customWidth="1"/>
    <col min="8932" max="8932" width="10.85546875" style="2" customWidth="1"/>
    <col min="8933" max="8933" width="17.42578125" style="2" customWidth="1"/>
    <col min="8934" max="8934" width="14.85546875" style="2" customWidth="1"/>
    <col min="8935" max="8935" width="15" style="2" customWidth="1"/>
    <col min="8936" max="8936" width="14.85546875" style="2" customWidth="1"/>
    <col min="8937" max="8937" width="7.140625" style="2" customWidth="1"/>
    <col min="8938" max="8939" width="20.140625" style="2" customWidth="1"/>
    <col min="8940" max="8940" width="18.42578125" style="2" customWidth="1"/>
    <col min="8941" max="8941" width="9.140625" style="2" customWidth="1"/>
    <col min="8942" max="8942" width="12" style="2" customWidth="1"/>
    <col min="8943" max="8943" width="14.85546875" style="2" customWidth="1"/>
    <col min="8944" max="8944" width="22.42578125" style="2" customWidth="1"/>
    <col min="8945" max="8945" width="14.85546875" style="2" customWidth="1"/>
    <col min="8946" max="8946" width="7.140625" style="2" customWidth="1"/>
    <col min="8947" max="8947" width="20.140625" style="2" customWidth="1"/>
    <col min="8948" max="9179" width="8.85546875" style="2" customWidth="1"/>
    <col min="9180" max="9180" width="8.140625" style="2" customWidth="1"/>
    <col min="9181" max="9181" width="14.42578125" style="2" customWidth="1"/>
    <col min="9182" max="9182" width="37.42578125" style="2" customWidth="1"/>
    <col min="9183" max="9183" width="63.140625" style="2" customWidth="1"/>
    <col min="9184" max="9184" width="20" style="2" customWidth="1"/>
    <col min="9185" max="9185" width="11.140625" style="2" customWidth="1"/>
    <col min="9186" max="9186" width="10.85546875" style="2" customWidth="1"/>
    <col min="9187" max="9187" width="21" style="2" customWidth="1"/>
    <col min="9188" max="9188" width="10.85546875" style="2" customWidth="1"/>
    <col min="9189" max="9189" width="17.42578125" style="2" customWidth="1"/>
    <col min="9190" max="9190" width="14.85546875" style="2" customWidth="1"/>
    <col min="9191" max="9191" width="15" style="2" customWidth="1"/>
    <col min="9192" max="9192" width="14.85546875" style="2" customWidth="1"/>
    <col min="9193" max="9193" width="7.140625" style="2" customWidth="1"/>
    <col min="9194" max="9195" width="20.140625" style="2" customWidth="1"/>
    <col min="9196" max="9196" width="18.42578125" style="2" customWidth="1"/>
    <col min="9197" max="9197" width="9.140625" style="2" customWidth="1"/>
    <col min="9198" max="9198" width="12" style="2" customWidth="1"/>
    <col min="9199" max="9199" width="14.85546875" style="2" customWidth="1"/>
    <col min="9200" max="9200" width="22.42578125" style="2" customWidth="1"/>
    <col min="9201" max="9201" width="14.85546875" style="2" customWidth="1"/>
    <col min="9202" max="9202" width="7.140625" style="2" customWidth="1"/>
    <col min="9203" max="9203" width="20.140625" style="2" customWidth="1"/>
    <col min="9204" max="9435" width="8.85546875" style="2" customWidth="1"/>
    <col min="9436" max="9436" width="8.140625" style="2" customWidth="1"/>
    <col min="9437" max="9437" width="14.42578125" style="2" customWidth="1"/>
    <col min="9438" max="9438" width="37.42578125" style="2" customWidth="1"/>
    <col min="9439" max="9439" width="63.140625" style="2" customWidth="1"/>
    <col min="9440" max="9440" width="20" style="2" customWidth="1"/>
    <col min="9441" max="9441" width="11.140625" style="2" customWidth="1"/>
    <col min="9442" max="9442" width="10.85546875" style="2" customWidth="1"/>
    <col min="9443" max="9443" width="21" style="2" customWidth="1"/>
    <col min="9444" max="9444" width="10.85546875" style="2" customWidth="1"/>
    <col min="9445" max="9445" width="17.42578125" style="2" customWidth="1"/>
    <col min="9446" max="9446" width="14.85546875" style="2" customWidth="1"/>
    <col min="9447" max="9447" width="15" style="2" customWidth="1"/>
    <col min="9448" max="9448" width="14.85546875" style="2" customWidth="1"/>
    <col min="9449" max="9449" width="7.140625" style="2" customWidth="1"/>
    <col min="9450" max="9451" width="20.140625" style="2" customWidth="1"/>
    <col min="9452" max="9452" width="18.42578125" style="2" customWidth="1"/>
    <col min="9453" max="9453" width="9.140625" style="2" customWidth="1"/>
    <col min="9454" max="9454" width="12" style="2" customWidth="1"/>
    <col min="9455" max="9455" width="14.85546875" style="2" customWidth="1"/>
    <col min="9456" max="9456" width="22.42578125" style="2" customWidth="1"/>
    <col min="9457" max="9457" width="14.85546875" style="2" customWidth="1"/>
    <col min="9458" max="9458" width="7.140625" style="2" customWidth="1"/>
    <col min="9459" max="9459" width="20.140625" style="2" customWidth="1"/>
    <col min="9460" max="9691" width="8.85546875" style="2" customWidth="1"/>
    <col min="9692" max="9692" width="8.140625" style="2" customWidth="1"/>
    <col min="9693" max="9693" width="14.42578125" style="2" customWidth="1"/>
    <col min="9694" max="9694" width="37.42578125" style="2" customWidth="1"/>
    <col min="9695" max="9695" width="63.140625" style="2" customWidth="1"/>
    <col min="9696" max="9696" width="20" style="2" customWidth="1"/>
    <col min="9697" max="9697" width="11.140625" style="2" customWidth="1"/>
    <col min="9698" max="9698" width="10.85546875" style="2" customWidth="1"/>
    <col min="9699" max="9699" width="21" style="2" customWidth="1"/>
    <col min="9700" max="9700" width="10.85546875" style="2" customWidth="1"/>
    <col min="9701" max="9701" width="17.42578125" style="2" customWidth="1"/>
    <col min="9702" max="9702" width="14.85546875" style="2" customWidth="1"/>
    <col min="9703" max="9703" width="15" style="2" customWidth="1"/>
    <col min="9704" max="9704" width="14.85546875" style="2" customWidth="1"/>
    <col min="9705" max="9705" width="7.140625" style="2" customWidth="1"/>
    <col min="9706" max="9707" width="20.140625" style="2" customWidth="1"/>
    <col min="9708" max="9708" width="18.42578125" style="2" customWidth="1"/>
    <col min="9709" max="9709" width="9.140625" style="2" customWidth="1"/>
    <col min="9710" max="9710" width="12" style="2" customWidth="1"/>
    <col min="9711" max="9711" width="14.85546875" style="2" customWidth="1"/>
    <col min="9712" max="9712" width="22.42578125" style="2" customWidth="1"/>
    <col min="9713" max="9713" width="14.85546875" style="2" customWidth="1"/>
    <col min="9714" max="9714" width="7.140625" style="2" customWidth="1"/>
    <col min="9715" max="9715" width="20.140625" style="2" customWidth="1"/>
    <col min="9716" max="9947" width="8.85546875" style="2" customWidth="1"/>
    <col min="9948" max="9948" width="8.140625" style="2" customWidth="1"/>
    <col min="9949" max="9949" width="14.42578125" style="2" customWidth="1"/>
    <col min="9950" max="9950" width="37.42578125" style="2" customWidth="1"/>
    <col min="9951" max="9951" width="63.140625" style="2" customWidth="1"/>
    <col min="9952" max="9952" width="20" style="2" customWidth="1"/>
    <col min="9953" max="9953" width="11.140625" style="2" customWidth="1"/>
    <col min="9954" max="9954" width="10.85546875" style="2" customWidth="1"/>
    <col min="9955" max="9955" width="21" style="2" customWidth="1"/>
    <col min="9956" max="9956" width="10.85546875" style="2" customWidth="1"/>
    <col min="9957" max="9957" width="17.42578125" style="2" customWidth="1"/>
    <col min="9958" max="9958" width="14.85546875" style="2" customWidth="1"/>
    <col min="9959" max="9959" width="15" style="2" customWidth="1"/>
    <col min="9960" max="9960" width="14.85546875" style="2" customWidth="1"/>
    <col min="9961" max="9961" width="7.140625" style="2" customWidth="1"/>
    <col min="9962" max="9963" width="20.140625" style="2" customWidth="1"/>
    <col min="9964" max="9964" width="18.42578125" style="2" customWidth="1"/>
    <col min="9965" max="9965" width="9.140625" style="2" customWidth="1"/>
    <col min="9966" max="9966" width="12" style="2" customWidth="1"/>
    <col min="9967" max="9967" width="14.85546875" style="2" customWidth="1"/>
    <col min="9968" max="9968" width="22.42578125" style="2" customWidth="1"/>
    <col min="9969" max="9969" width="14.85546875" style="2" customWidth="1"/>
    <col min="9970" max="9970" width="7.140625" style="2" customWidth="1"/>
    <col min="9971" max="9971" width="20.140625" style="2" customWidth="1"/>
    <col min="9972" max="10203" width="8.85546875" style="2" customWidth="1"/>
    <col min="10204" max="10204" width="8.140625" style="2" customWidth="1"/>
    <col min="10205" max="10205" width="14.42578125" style="2" customWidth="1"/>
    <col min="10206" max="10206" width="37.42578125" style="2" customWidth="1"/>
    <col min="10207" max="10207" width="63.140625" style="2" customWidth="1"/>
    <col min="10208" max="10208" width="20" style="2" customWidth="1"/>
    <col min="10209" max="10209" width="11.140625" style="2" customWidth="1"/>
    <col min="10210" max="10210" width="10.85546875" style="2" customWidth="1"/>
    <col min="10211" max="10211" width="21" style="2" customWidth="1"/>
    <col min="10212" max="10212" width="10.85546875" style="2" customWidth="1"/>
    <col min="10213" max="10213" width="17.42578125" style="2" customWidth="1"/>
    <col min="10214" max="10214" width="14.85546875" style="2" customWidth="1"/>
    <col min="10215" max="10215" width="15" style="2" customWidth="1"/>
    <col min="10216" max="10216" width="14.85546875" style="2" customWidth="1"/>
    <col min="10217" max="10217" width="7.140625" style="2" customWidth="1"/>
    <col min="10218" max="10219" width="20.140625" style="2" customWidth="1"/>
    <col min="10220" max="10220" width="18.42578125" style="2" customWidth="1"/>
    <col min="10221" max="10221" width="9.140625" style="2" customWidth="1"/>
    <col min="10222" max="10222" width="12" style="2" customWidth="1"/>
    <col min="10223" max="10223" width="14.85546875" style="2" customWidth="1"/>
    <col min="10224" max="10224" width="22.42578125" style="2" customWidth="1"/>
    <col min="10225" max="10225" width="14.85546875" style="2" customWidth="1"/>
    <col min="10226" max="10226" width="7.140625" style="2" customWidth="1"/>
    <col min="10227" max="10227" width="20.140625" style="2" customWidth="1"/>
    <col min="10228" max="10459" width="8.85546875" style="2" customWidth="1"/>
    <col min="10460" max="10460" width="8.140625" style="2" customWidth="1"/>
    <col min="10461" max="10461" width="14.42578125" style="2" customWidth="1"/>
    <col min="10462" max="10462" width="37.42578125" style="2" customWidth="1"/>
    <col min="10463" max="10463" width="63.140625" style="2" customWidth="1"/>
    <col min="10464" max="10464" width="20" style="2" customWidth="1"/>
    <col min="10465" max="10465" width="11.140625" style="2" customWidth="1"/>
    <col min="10466" max="10466" width="10.85546875" style="2" customWidth="1"/>
    <col min="10467" max="10467" width="21" style="2" customWidth="1"/>
    <col min="10468" max="10468" width="10.85546875" style="2" customWidth="1"/>
    <col min="10469" max="10469" width="17.42578125" style="2" customWidth="1"/>
    <col min="10470" max="10470" width="14.85546875" style="2" customWidth="1"/>
    <col min="10471" max="10471" width="15" style="2" customWidth="1"/>
    <col min="10472" max="10472" width="14.85546875" style="2" customWidth="1"/>
    <col min="10473" max="10473" width="7.140625" style="2" customWidth="1"/>
    <col min="10474" max="10475" width="20.140625" style="2" customWidth="1"/>
    <col min="10476" max="10476" width="18.42578125" style="2" customWidth="1"/>
    <col min="10477" max="10477" width="9.140625" style="2" customWidth="1"/>
    <col min="10478" max="10478" width="12" style="2" customWidth="1"/>
    <col min="10479" max="10479" width="14.85546875" style="2" customWidth="1"/>
    <col min="10480" max="10480" width="22.42578125" style="2" customWidth="1"/>
    <col min="10481" max="10481" width="14.85546875" style="2" customWidth="1"/>
    <col min="10482" max="10482" width="7.140625" style="2" customWidth="1"/>
    <col min="10483" max="10483" width="20.140625" style="2" customWidth="1"/>
    <col min="10484" max="10715" width="8.85546875" style="2" customWidth="1"/>
    <col min="10716" max="10716" width="8.140625" style="2" customWidth="1"/>
    <col min="10717" max="10717" width="14.42578125" style="2" customWidth="1"/>
    <col min="10718" max="10718" width="37.42578125" style="2" customWidth="1"/>
    <col min="10719" max="10719" width="63.140625" style="2" customWidth="1"/>
    <col min="10720" max="10720" width="20" style="2" customWidth="1"/>
    <col min="10721" max="10721" width="11.140625" style="2" customWidth="1"/>
    <col min="10722" max="10722" width="10.85546875" style="2" customWidth="1"/>
    <col min="10723" max="10723" width="21" style="2" customWidth="1"/>
    <col min="10724" max="10724" width="10.85546875" style="2" customWidth="1"/>
    <col min="10725" max="10725" width="17.42578125" style="2" customWidth="1"/>
    <col min="10726" max="10726" width="14.85546875" style="2" customWidth="1"/>
    <col min="10727" max="10727" width="15" style="2" customWidth="1"/>
    <col min="10728" max="10728" width="14.85546875" style="2" customWidth="1"/>
    <col min="10729" max="10729" width="7.140625" style="2" customWidth="1"/>
    <col min="10730" max="10731" width="20.140625" style="2" customWidth="1"/>
    <col min="10732" max="10732" width="18.42578125" style="2" customWidth="1"/>
    <col min="10733" max="10733" width="9.140625" style="2" customWidth="1"/>
    <col min="10734" max="10734" width="12" style="2" customWidth="1"/>
    <col min="10735" max="10735" width="14.85546875" style="2" customWidth="1"/>
    <col min="10736" max="10736" width="22.42578125" style="2" customWidth="1"/>
    <col min="10737" max="10737" width="14.85546875" style="2" customWidth="1"/>
    <col min="10738" max="10738" width="7.140625" style="2" customWidth="1"/>
    <col min="10739" max="10739" width="20.140625" style="2" customWidth="1"/>
    <col min="10740" max="10971" width="8.85546875" style="2" customWidth="1"/>
    <col min="10972" max="10972" width="8.140625" style="2" customWidth="1"/>
    <col min="10973" max="10973" width="14.42578125" style="2" customWidth="1"/>
    <col min="10974" max="10974" width="37.42578125" style="2" customWidth="1"/>
    <col min="10975" max="10975" width="63.140625" style="2" customWidth="1"/>
    <col min="10976" max="10976" width="20" style="2" customWidth="1"/>
    <col min="10977" max="10977" width="11.140625" style="2" customWidth="1"/>
    <col min="10978" max="10978" width="10.85546875" style="2" customWidth="1"/>
    <col min="10979" max="10979" width="21" style="2" customWidth="1"/>
    <col min="10980" max="10980" width="10.85546875" style="2" customWidth="1"/>
    <col min="10981" max="10981" width="17.42578125" style="2" customWidth="1"/>
    <col min="10982" max="10982" width="14.85546875" style="2" customWidth="1"/>
    <col min="10983" max="10983" width="15" style="2" customWidth="1"/>
    <col min="10984" max="10984" width="14.85546875" style="2" customWidth="1"/>
    <col min="10985" max="10985" width="7.140625" style="2" customWidth="1"/>
    <col min="10986" max="10987" width="20.140625" style="2" customWidth="1"/>
    <col min="10988" max="10988" width="18.42578125" style="2" customWidth="1"/>
    <col min="10989" max="10989" width="9.140625" style="2" customWidth="1"/>
    <col min="10990" max="10990" width="12" style="2" customWidth="1"/>
    <col min="10991" max="10991" width="14.85546875" style="2" customWidth="1"/>
    <col min="10992" max="10992" width="22.42578125" style="2" customWidth="1"/>
    <col min="10993" max="10993" width="14.85546875" style="2" customWidth="1"/>
    <col min="10994" max="10994" width="7.140625" style="2" customWidth="1"/>
    <col min="10995" max="10995" width="20.140625" style="2" customWidth="1"/>
    <col min="10996" max="11227" width="8.85546875" style="2" customWidth="1"/>
    <col min="11228" max="11228" width="8.140625" style="2" customWidth="1"/>
    <col min="11229" max="11229" width="14.42578125" style="2" customWidth="1"/>
    <col min="11230" max="11230" width="37.42578125" style="2" customWidth="1"/>
    <col min="11231" max="11231" width="63.140625" style="2" customWidth="1"/>
    <col min="11232" max="11232" width="20" style="2" customWidth="1"/>
    <col min="11233" max="11233" width="11.140625" style="2" customWidth="1"/>
    <col min="11234" max="11234" width="10.85546875" style="2" customWidth="1"/>
    <col min="11235" max="11235" width="21" style="2" customWidth="1"/>
    <col min="11236" max="11236" width="10.85546875" style="2" customWidth="1"/>
    <col min="11237" max="11237" width="17.42578125" style="2" customWidth="1"/>
    <col min="11238" max="11238" width="14.85546875" style="2" customWidth="1"/>
    <col min="11239" max="11239" width="15" style="2" customWidth="1"/>
    <col min="11240" max="11240" width="14.85546875" style="2" customWidth="1"/>
    <col min="11241" max="11241" width="7.140625" style="2" customWidth="1"/>
    <col min="11242" max="11243" width="20.140625" style="2" customWidth="1"/>
    <col min="11244" max="11244" width="18.42578125" style="2" customWidth="1"/>
    <col min="11245" max="11245" width="9.140625" style="2" customWidth="1"/>
    <col min="11246" max="11246" width="12" style="2" customWidth="1"/>
    <col min="11247" max="11247" width="14.85546875" style="2" customWidth="1"/>
    <col min="11248" max="11248" width="22.42578125" style="2" customWidth="1"/>
    <col min="11249" max="11249" width="14.85546875" style="2" customWidth="1"/>
    <col min="11250" max="11250" width="7.140625" style="2" customWidth="1"/>
    <col min="11251" max="11251" width="20.140625" style="2" customWidth="1"/>
    <col min="11252" max="11483" width="8.85546875" style="2" customWidth="1"/>
    <col min="11484" max="11484" width="8.140625" style="2" customWidth="1"/>
    <col min="11485" max="11485" width="14.42578125" style="2" customWidth="1"/>
    <col min="11486" max="11486" width="37.42578125" style="2" customWidth="1"/>
    <col min="11487" max="11487" width="63.140625" style="2" customWidth="1"/>
    <col min="11488" max="11488" width="20" style="2" customWidth="1"/>
    <col min="11489" max="11489" width="11.140625" style="2" customWidth="1"/>
    <col min="11490" max="11490" width="10.85546875" style="2" customWidth="1"/>
    <col min="11491" max="11491" width="21" style="2" customWidth="1"/>
    <col min="11492" max="11492" width="10.85546875" style="2" customWidth="1"/>
    <col min="11493" max="11493" width="17.42578125" style="2" customWidth="1"/>
    <col min="11494" max="11494" width="14.85546875" style="2" customWidth="1"/>
    <col min="11495" max="11495" width="15" style="2" customWidth="1"/>
    <col min="11496" max="11496" width="14.85546875" style="2" customWidth="1"/>
    <col min="11497" max="11497" width="7.140625" style="2" customWidth="1"/>
    <col min="11498" max="11499" width="20.140625" style="2" customWidth="1"/>
    <col min="11500" max="11500" width="18.42578125" style="2" customWidth="1"/>
    <col min="11501" max="11501" width="9.140625" style="2" customWidth="1"/>
    <col min="11502" max="11502" width="12" style="2" customWidth="1"/>
    <col min="11503" max="11503" width="14.85546875" style="2" customWidth="1"/>
    <col min="11504" max="11504" width="22.42578125" style="2" customWidth="1"/>
    <col min="11505" max="11505" width="14.85546875" style="2" customWidth="1"/>
    <col min="11506" max="11506" width="7.140625" style="2" customWidth="1"/>
    <col min="11507" max="11507" width="20.140625" style="2" customWidth="1"/>
    <col min="11508" max="11739" width="8.85546875" style="2" customWidth="1"/>
    <col min="11740" max="11740" width="8.140625" style="2" customWidth="1"/>
    <col min="11741" max="11741" width="14.42578125" style="2" customWidth="1"/>
    <col min="11742" max="11742" width="37.42578125" style="2" customWidth="1"/>
    <col min="11743" max="11743" width="63.140625" style="2" customWidth="1"/>
    <col min="11744" max="11744" width="20" style="2" customWidth="1"/>
    <col min="11745" max="11745" width="11.140625" style="2" customWidth="1"/>
    <col min="11746" max="11746" width="10.85546875" style="2" customWidth="1"/>
    <col min="11747" max="11747" width="21" style="2" customWidth="1"/>
    <col min="11748" max="11748" width="10.85546875" style="2" customWidth="1"/>
    <col min="11749" max="11749" width="17.42578125" style="2" customWidth="1"/>
    <col min="11750" max="11750" width="14.85546875" style="2" customWidth="1"/>
    <col min="11751" max="11751" width="15" style="2" customWidth="1"/>
    <col min="11752" max="11752" width="14.85546875" style="2" customWidth="1"/>
    <col min="11753" max="11753" width="7.140625" style="2" customWidth="1"/>
    <col min="11754" max="11755" width="20.140625" style="2" customWidth="1"/>
    <col min="11756" max="11756" width="18.42578125" style="2" customWidth="1"/>
    <col min="11757" max="11757" width="9.140625" style="2" customWidth="1"/>
    <col min="11758" max="11758" width="12" style="2" customWidth="1"/>
    <col min="11759" max="11759" width="14.85546875" style="2" customWidth="1"/>
    <col min="11760" max="11760" width="22.42578125" style="2" customWidth="1"/>
    <col min="11761" max="11761" width="14.85546875" style="2" customWidth="1"/>
    <col min="11762" max="11762" width="7.140625" style="2" customWidth="1"/>
    <col min="11763" max="11763" width="20.140625" style="2" customWidth="1"/>
    <col min="11764" max="11995" width="8.85546875" style="2" customWidth="1"/>
    <col min="11996" max="11996" width="8.140625" style="2" customWidth="1"/>
    <col min="11997" max="11997" width="14.42578125" style="2" customWidth="1"/>
    <col min="11998" max="11998" width="37.42578125" style="2" customWidth="1"/>
    <col min="11999" max="11999" width="63.140625" style="2" customWidth="1"/>
    <col min="12000" max="12000" width="20" style="2" customWidth="1"/>
    <col min="12001" max="12001" width="11.140625" style="2" customWidth="1"/>
    <col min="12002" max="12002" width="10.85546875" style="2" customWidth="1"/>
    <col min="12003" max="12003" width="21" style="2" customWidth="1"/>
    <col min="12004" max="12004" width="10.85546875" style="2" customWidth="1"/>
    <col min="12005" max="12005" width="17.42578125" style="2" customWidth="1"/>
    <col min="12006" max="12006" width="14.85546875" style="2" customWidth="1"/>
    <col min="12007" max="12007" width="15" style="2" customWidth="1"/>
    <col min="12008" max="12008" width="14.85546875" style="2" customWidth="1"/>
    <col min="12009" max="12009" width="7.140625" style="2" customWidth="1"/>
    <col min="12010" max="12011" width="20.140625" style="2" customWidth="1"/>
    <col min="12012" max="12012" width="18.42578125" style="2" customWidth="1"/>
    <col min="12013" max="12013" width="9.140625" style="2" customWidth="1"/>
    <col min="12014" max="12014" width="12" style="2" customWidth="1"/>
    <col min="12015" max="12015" width="14.85546875" style="2" customWidth="1"/>
    <col min="12016" max="12016" width="22.42578125" style="2" customWidth="1"/>
    <col min="12017" max="12017" width="14.85546875" style="2" customWidth="1"/>
    <col min="12018" max="12018" width="7.140625" style="2" customWidth="1"/>
    <col min="12019" max="12019" width="20.140625" style="2" customWidth="1"/>
    <col min="12020" max="12251" width="8.85546875" style="2" customWidth="1"/>
    <col min="12252" max="12252" width="8.140625" style="2" customWidth="1"/>
    <col min="12253" max="12253" width="14.42578125" style="2" customWidth="1"/>
    <col min="12254" max="12254" width="37.42578125" style="2" customWidth="1"/>
    <col min="12255" max="12255" width="63.140625" style="2" customWidth="1"/>
    <col min="12256" max="12256" width="20" style="2" customWidth="1"/>
    <col min="12257" max="12257" width="11.140625" style="2" customWidth="1"/>
    <col min="12258" max="12258" width="10.85546875" style="2" customWidth="1"/>
    <col min="12259" max="12259" width="21" style="2" customWidth="1"/>
    <col min="12260" max="12260" width="10.85546875" style="2" customWidth="1"/>
    <col min="12261" max="12261" width="17.42578125" style="2" customWidth="1"/>
    <col min="12262" max="12262" width="14.85546875" style="2" customWidth="1"/>
    <col min="12263" max="12263" width="15" style="2" customWidth="1"/>
    <col min="12264" max="12264" width="14.85546875" style="2" customWidth="1"/>
    <col min="12265" max="12265" width="7.140625" style="2" customWidth="1"/>
    <col min="12266" max="12267" width="20.140625" style="2" customWidth="1"/>
    <col min="12268" max="12268" width="18.42578125" style="2" customWidth="1"/>
    <col min="12269" max="12269" width="9.140625" style="2" customWidth="1"/>
    <col min="12270" max="12270" width="12" style="2" customWidth="1"/>
    <col min="12271" max="12271" width="14.85546875" style="2" customWidth="1"/>
    <col min="12272" max="12272" width="22.42578125" style="2" customWidth="1"/>
    <col min="12273" max="12273" width="14.85546875" style="2" customWidth="1"/>
    <col min="12274" max="12274" width="7.140625" style="2" customWidth="1"/>
    <col min="12275" max="12275" width="20.140625" style="2" customWidth="1"/>
    <col min="12276" max="12507" width="8.85546875" style="2" customWidth="1"/>
    <col min="12508" max="12508" width="8.140625" style="2" customWidth="1"/>
    <col min="12509" max="12509" width="14.42578125" style="2" customWidth="1"/>
    <col min="12510" max="12510" width="37.42578125" style="2" customWidth="1"/>
    <col min="12511" max="12511" width="63.140625" style="2" customWidth="1"/>
    <col min="12512" max="12512" width="20" style="2" customWidth="1"/>
    <col min="12513" max="12513" width="11.140625" style="2" customWidth="1"/>
    <col min="12514" max="12514" width="10.85546875" style="2" customWidth="1"/>
    <col min="12515" max="12515" width="21" style="2" customWidth="1"/>
    <col min="12516" max="12516" width="10.85546875" style="2" customWidth="1"/>
    <col min="12517" max="12517" width="17.42578125" style="2" customWidth="1"/>
    <col min="12518" max="12518" width="14.85546875" style="2" customWidth="1"/>
    <col min="12519" max="12519" width="15" style="2" customWidth="1"/>
    <col min="12520" max="12520" width="14.85546875" style="2" customWidth="1"/>
    <col min="12521" max="12521" width="7.140625" style="2" customWidth="1"/>
    <col min="12522" max="12523" width="20.140625" style="2" customWidth="1"/>
    <col min="12524" max="12524" width="18.42578125" style="2" customWidth="1"/>
    <col min="12525" max="12525" width="9.140625" style="2" customWidth="1"/>
    <col min="12526" max="12526" width="12" style="2" customWidth="1"/>
    <col min="12527" max="12527" width="14.85546875" style="2" customWidth="1"/>
    <col min="12528" max="12528" width="22.42578125" style="2" customWidth="1"/>
    <col min="12529" max="12529" width="14.85546875" style="2" customWidth="1"/>
    <col min="12530" max="12530" width="7.140625" style="2" customWidth="1"/>
    <col min="12531" max="12531" width="20.140625" style="2" customWidth="1"/>
    <col min="12532" max="12763" width="8.85546875" style="2" customWidth="1"/>
    <col min="12764" max="12764" width="8.140625" style="2" customWidth="1"/>
    <col min="12765" max="12765" width="14.42578125" style="2" customWidth="1"/>
    <col min="12766" max="12766" width="37.42578125" style="2" customWidth="1"/>
    <col min="12767" max="12767" width="63.140625" style="2" customWidth="1"/>
    <col min="12768" max="12768" width="20" style="2" customWidth="1"/>
    <col min="12769" max="12769" width="11.140625" style="2" customWidth="1"/>
    <col min="12770" max="12770" width="10.85546875" style="2" customWidth="1"/>
    <col min="12771" max="12771" width="21" style="2" customWidth="1"/>
    <col min="12772" max="12772" width="10.85546875" style="2" customWidth="1"/>
    <col min="12773" max="12773" width="17.42578125" style="2" customWidth="1"/>
    <col min="12774" max="12774" width="14.85546875" style="2" customWidth="1"/>
    <col min="12775" max="12775" width="15" style="2" customWidth="1"/>
    <col min="12776" max="12776" width="14.85546875" style="2" customWidth="1"/>
    <col min="12777" max="12777" width="7.140625" style="2" customWidth="1"/>
    <col min="12778" max="12779" width="20.140625" style="2" customWidth="1"/>
    <col min="12780" max="12780" width="18.42578125" style="2" customWidth="1"/>
    <col min="12781" max="12781" width="9.140625" style="2" customWidth="1"/>
    <col min="12782" max="12782" width="12" style="2" customWidth="1"/>
    <col min="12783" max="12783" width="14.85546875" style="2" customWidth="1"/>
    <col min="12784" max="12784" width="22.42578125" style="2" customWidth="1"/>
    <col min="12785" max="12785" width="14.85546875" style="2" customWidth="1"/>
    <col min="12786" max="12786" width="7.140625" style="2" customWidth="1"/>
    <col min="12787" max="12787" width="20.140625" style="2" customWidth="1"/>
    <col min="12788" max="13019" width="8.85546875" style="2" customWidth="1"/>
    <col min="13020" max="13020" width="8.140625" style="2" customWidth="1"/>
    <col min="13021" max="13021" width="14.42578125" style="2" customWidth="1"/>
    <col min="13022" max="13022" width="37.42578125" style="2" customWidth="1"/>
    <col min="13023" max="13023" width="63.140625" style="2" customWidth="1"/>
    <col min="13024" max="13024" width="20" style="2" customWidth="1"/>
    <col min="13025" max="13025" width="11.140625" style="2" customWidth="1"/>
    <col min="13026" max="13026" width="10.85546875" style="2" customWidth="1"/>
    <col min="13027" max="13027" width="21" style="2" customWidth="1"/>
    <col min="13028" max="13028" width="10.85546875" style="2" customWidth="1"/>
    <col min="13029" max="13029" width="17.42578125" style="2" customWidth="1"/>
    <col min="13030" max="13030" width="14.85546875" style="2" customWidth="1"/>
    <col min="13031" max="13031" width="15" style="2" customWidth="1"/>
    <col min="13032" max="13032" width="14.85546875" style="2" customWidth="1"/>
    <col min="13033" max="13033" width="7.140625" style="2" customWidth="1"/>
    <col min="13034" max="13035" width="20.140625" style="2" customWidth="1"/>
    <col min="13036" max="13036" width="18.42578125" style="2" customWidth="1"/>
    <col min="13037" max="13037" width="9.140625" style="2" customWidth="1"/>
    <col min="13038" max="13038" width="12" style="2" customWidth="1"/>
    <col min="13039" max="13039" width="14.85546875" style="2" customWidth="1"/>
    <col min="13040" max="13040" width="22.42578125" style="2" customWidth="1"/>
    <col min="13041" max="13041" width="14.85546875" style="2" customWidth="1"/>
    <col min="13042" max="13042" width="7.140625" style="2" customWidth="1"/>
    <col min="13043" max="13043" width="20.140625" style="2" customWidth="1"/>
    <col min="13044" max="13275" width="8.85546875" style="2" customWidth="1"/>
    <col min="13276" max="13276" width="8.140625" style="2" customWidth="1"/>
    <col min="13277" max="13277" width="14.42578125" style="2" customWidth="1"/>
    <col min="13278" max="13278" width="37.42578125" style="2" customWidth="1"/>
    <col min="13279" max="13279" width="63.140625" style="2" customWidth="1"/>
    <col min="13280" max="13280" width="20" style="2" customWidth="1"/>
    <col min="13281" max="13281" width="11.140625" style="2" customWidth="1"/>
    <col min="13282" max="13282" width="10.85546875" style="2" customWidth="1"/>
    <col min="13283" max="13283" width="21" style="2" customWidth="1"/>
    <col min="13284" max="13284" width="10.85546875" style="2" customWidth="1"/>
    <col min="13285" max="13285" width="17.42578125" style="2" customWidth="1"/>
    <col min="13286" max="13286" width="14.85546875" style="2" customWidth="1"/>
    <col min="13287" max="13287" width="15" style="2" customWidth="1"/>
    <col min="13288" max="13288" width="14.85546875" style="2" customWidth="1"/>
    <col min="13289" max="13289" width="7.140625" style="2" customWidth="1"/>
    <col min="13290" max="13291" width="20.140625" style="2" customWidth="1"/>
    <col min="13292" max="13292" width="18.42578125" style="2" customWidth="1"/>
    <col min="13293" max="13293" width="9.140625" style="2" customWidth="1"/>
    <col min="13294" max="13294" width="12" style="2" customWidth="1"/>
    <col min="13295" max="13295" width="14.85546875" style="2" customWidth="1"/>
    <col min="13296" max="13296" width="22.42578125" style="2" customWidth="1"/>
    <col min="13297" max="13297" width="14.85546875" style="2" customWidth="1"/>
    <col min="13298" max="13298" width="7.140625" style="2" customWidth="1"/>
    <col min="13299" max="13299" width="20.140625" style="2" customWidth="1"/>
    <col min="13300" max="13531" width="8.85546875" style="2" customWidth="1"/>
    <col min="13532" max="13532" width="8.140625" style="2" customWidth="1"/>
    <col min="13533" max="13533" width="14.42578125" style="2" customWidth="1"/>
    <col min="13534" max="13534" width="37.42578125" style="2" customWidth="1"/>
    <col min="13535" max="13535" width="63.140625" style="2" customWidth="1"/>
    <col min="13536" max="13536" width="20" style="2" customWidth="1"/>
    <col min="13537" max="13537" width="11.140625" style="2" customWidth="1"/>
    <col min="13538" max="13538" width="10.85546875" style="2" customWidth="1"/>
    <col min="13539" max="13539" width="21" style="2" customWidth="1"/>
    <col min="13540" max="13540" width="10.85546875" style="2" customWidth="1"/>
    <col min="13541" max="13541" width="17.42578125" style="2" customWidth="1"/>
    <col min="13542" max="13542" width="14.85546875" style="2" customWidth="1"/>
    <col min="13543" max="13543" width="15" style="2" customWidth="1"/>
    <col min="13544" max="13544" width="14.85546875" style="2" customWidth="1"/>
    <col min="13545" max="13545" width="7.140625" style="2" customWidth="1"/>
    <col min="13546" max="13547" width="20.140625" style="2" customWidth="1"/>
    <col min="13548" max="13548" width="18.42578125" style="2" customWidth="1"/>
    <col min="13549" max="13549" width="9.140625" style="2" customWidth="1"/>
    <col min="13550" max="13550" width="12" style="2" customWidth="1"/>
    <col min="13551" max="13551" width="14.85546875" style="2" customWidth="1"/>
    <col min="13552" max="13552" width="22.42578125" style="2" customWidth="1"/>
    <col min="13553" max="13553" width="14.85546875" style="2" customWidth="1"/>
    <col min="13554" max="13554" width="7.140625" style="2" customWidth="1"/>
    <col min="13555" max="13555" width="20.140625" style="2" customWidth="1"/>
    <col min="13556" max="13787" width="8.85546875" style="2" customWidth="1"/>
    <col min="13788" max="13788" width="8.140625" style="2" customWidth="1"/>
    <col min="13789" max="13789" width="14.42578125" style="2" customWidth="1"/>
    <col min="13790" max="13790" width="37.42578125" style="2" customWidth="1"/>
    <col min="13791" max="13791" width="63.140625" style="2" customWidth="1"/>
    <col min="13792" max="13792" width="20" style="2" customWidth="1"/>
    <col min="13793" max="13793" width="11.140625" style="2" customWidth="1"/>
    <col min="13794" max="13794" width="10.85546875" style="2" customWidth="1"/>
    <col min="13795" max="13795" width="21" style="2" customWidth="1"/>
    <col min="13796" max="13796" width="10.85546875" style="2" customWidth="1"/>
    <col min="13797" max="13797" width="17.42578125" style="2" customWidth="1"/>
    <col min="13798" max="13798" width="14.85546875" style="2" customWidth="1"/>
    <col min="13799" max="13799" width="15" style="2" customWidth="1"/>
    <col min="13800" max="13800" width="14.85546875" style="2" customWidth="1"/>
    <col min="13801" max="13801" width="7.140625" style="2" customWidth="1"/>
    <col min="13802" max="13803" width="20.140625" style="2" customWidth="1"/>
    <col min="13804" max="13804" width="18.42578125" style="2" customWidth="1"/>
    <col min="13805" max="13805" width="9.140625" style="2" customWidth="1"/>
    <col min="13806" max="13806" width="12" style="2" customWidth="1"/>
    <col min="13807" max="13807" width="14.85546875" style="2" customWidth="1"/>
    <col min="13808" max="13808" width="22.42578125" style="2" customWidth="1"/>
    <col min="13809" max="13809" width="14.85546875" style="2" customWidth="1"/>
    <col min="13810" max="13810" width="7.140625" style="2" customWidth="1"/>
    <col min="13811" max="13811" width="20.140625" style="2" customWidth="1"/>
    <col min="13812" max="14043" width="8.85546875" style="2" customWidth="1"/>
    <col min="14044" max="14044" width="8.140625" style="2" customWidth="1"/>
    <col min="14045" max="14045" width="14.42578125" style="2" customWidth="1"/>
    <col min="14046" max="14046" width="37.42578125" style="2" customWidth="1"/>
    <col min="14047" max="14047" width="63.140625" style="2" customWidth="1"/>
    <col min="14048" max="14048" width="20" style="2" customWidth="1"/>
    <col min="14049" max="14049" width="11.140625" style="2" customWidth="1"/>
    <col min="14050" max="14050" width="10.85546875" style="2" customWidth="1"/>
    <col min="14051" max="14051" width="21" style="2" customWidth="1"/>
    <col min="14052" max="14052" width="10.85546875" style="2" customWidth="1"/>
    <col min="14053" max="14053" width="17.42578125" style="2" customWidth="1"/>
    <col min="14054" max="14054" width="14.85546875" style="2" customWidth="1"/>
    <col min="14055" max="14055" width="15" style="2" customWidth="1"/>
    <col min="14056" max="14056" width="14.85546875" style="2" customWidth="1"/>
    <col min="14057" max="14057" width="7.140625" style="2" customWidth="1"/>
    <col min="14058" max="14059" width="20.140625" style="2" customWidth="1"/>
    <col min="14060" max="14060" width="18.42578125" style="2" customWidth="1"/>
    <col min="14061" max="14061" width="9.140625" style="2" customWidth="1"/>
    <col min="14062" max="14062" width="12" style="2" customWidth="1"/>
    <col min="14063" max="14063" width="14.85546875" style="2" customWidth="1"/>
    <col min="14064" max="14064" width="22.42578125" style="2" customWidth="1"/>
    <col min="14065" max="14065" width="14.85546875" style="2" customWidth="1"/>
    <col min="14066" max="14066" width="7.140625" style="2" customWidth="1"/>
    <col min="14067" max="14067" width="20.140625" style="2" customWidth="1"/>
    <col min="14068" max="14299" width="8.85546875" style="2" customWidth="1"/>
    <col min="14300" max="14300" width="8.140625" style="2" customWidth="1"/>
    <col min="14301" max="14301" width="14.42578125" style="2" customWidth="1"/>
    <col min="14302" max="14302" width="37.42578125" style="2" customWidth="1"/>
    <col min="14303" max="14303" width="63.140625" style="2" customWidth="1"/>
    <col min="14304" max="14304" width="20" style="2" customWidth="1"/>
    <col min="14305" max="14305" width="11.140625" style="2" customWidth="1"/>
    <col min="14306" max="14306" width="10.85546875" style="2" customWidth="1"/>
    <col min="14307" max="14307" width="21" style="2" customWidth="1"/>
    <col min="14308" max="14308" width="10.85546875" style="2" customWidth="1"/>
    <col min="14309" max="14309" width="17.42578125" style="2" customWidth="1"/>
    <col min="14310" max="14310" width="14.85546875" style="2" customWidth="1"/>
    <col min="14311" max="14311" width="15" style="2" customWidth="1"/>
    <col min="14312" max="14312" width="14.85546875" style="2" customWidth="1"/>
    <col min="14313" max="14313" width="7.140625" style="2" customWidth="1"/>
    <col min="14314" max="14315" width="20.140625" style="2" customWidth="1"/>
    <col min="14316" max="14316" width="18.42578125" style="2" customWidth="1"/>
    <col min="14317" max="14317" width="9.140625" style="2" customWidth="1"/>
    <col min="14318" max="14318" width="12" style="2" customWidth="1"/>
    <col min="14319" max="14319" width="14.85546875" style="2" customWidth="1"/>
    <col min="14320" max="14320" width="22.42578125" style="2" customWidth="1"/>
    <col min="14321" max="14321" width="14.85546875" style="2" customWidth="1"/>
    <col min="14322" max="14322" width="7.140625" style="2" customWidth="1"/>
    <col min="14323" max="14323" width="20.140625" style="2" customWidth="1"/>
    <col min="14324" max="14555" width="8.85546875" style="2" customWidth="1"/>
    <col min="14556" max="14556" width="8.140625" style="2" customWidth="1"/>
    <col min="14557" max="14557" width="14.42578125" style="2" customWidth="1"/>
    <col min="14558" max="14558" width="37.42578125" style="2" customWidth="1"/>
    <col min="14559" max="14559" width="63.140625" style="2" customWidth="1"/>
    <col min="14560" max="14560" width="20" style="2" customWidth="1"/>
    <col min="14561" max="14561" width="11.140625" style="2" customWidth="1"/>
    <col min="14562" max="14562" width="10.85546875" style="2" customWidth="1"/>
    <col min="14563" max="14563" width="21" style="2" customWidth="1"/>
    <col min="14564" max="14564" width="10.85546875" style="2" customWidth="1"/>
    <col min="14565" max="14565" width="17.42578125" style="2" customWidth="1"/>
    <col min="14566" max="14566" width="14.85546875" style="2" customWidth="1"/>
    <col min="14567" max="14567" width="15" style="2" customWidth="1"/>
    <col min="14568" max="14568" width="14.85546875" style="2" customWidth="1"/>
    <col min="14569" max="14569" width="7.140625" style="2" customWidth="1"/>
    <col min="14570" max="14571" width="20.140625" style="2" customWidth="1"/>
    <col min="14572" max="14572" width="18.42578125" style="2" customWidth="1"/>
    <col min="14573" max="14573" width="9.140625" style="2" customWidth="1"/>
    <col min="14574" max="14574" width="12" style="2" customWidth="1"/>
    <col min="14575" max="14575" width="14.85546875" style="2" customWidth="1"/>
    <col min="14576" max="14576" width="22.42578125" style="2" customWidth="1"/>
    <col min="14577" max="14577" width="14.85546875" style="2" customWidth="1"/>
    <col min="14578" max="14578" width="7.140625" style="2" customWidth="1"/>
    <col min="14579" max="14579" width="20.140625" style="2" customWidth="1"/>
    <col min="14580" max="14811" width="8.85546875" style="2" customWidth="1"/>
    <col min="14812" max="14812" width="8.140625" style="2" customWidth="1"/>
    <col min="14813" max="14813" width="14.42578125" style="2" customWidth="1"/>
    <col min="14814" max="14814" width="37.42578125" style="2" customWidth="1"/>
    <col min="14815" max="14815" width="63.140625" style="2" customWidth="1"/>
    <col min="14816" max="14816" width="20" style="2" customWidth="1"/>
    <col min="14817" max="14817" width="11.140625" style="2" customWidth="1"/>
    <col min="14818" max="14818" width="10.85546875" style="2" customWidth="1"/>
    <col min="14819" max="14819" width="21" style="2" customWidth="1"/>
    <col min="14820" max="14820" width="10.85546875" style="2" customWidth="1"/>
    <col min="14821" max="14821" width="17.42578125" style="2" customWidth="1"/>
    <col min="14822" max="14822" width="14.85546875" style="2" customWidth="1"/>
    <col min="14823" max="14823" width="15" style="2" customWidth="1"/>
    <col min="14824" max="14824" width="14.85546875" style="2" customWidth="1"/>
    <col min="14825" max="14825" width="7.140625" style="2" customWidth="1"/>
    <col min="14826" max="14827" width="20.140625" style="2" customWidth="1"/>
    <col min="14828" max="14828" width="18.42578125" style="2" customWidth="1"/>
    <col min="14829" max="14829" width="9.140625" style="2" customWidth="1"/>
    <col min="14830" max="14830" width="12" style="2" customWidth="1"/>
    <col min="14831" max="14831" width="14.85546875" style="2" customWidth="1"/>
    <col min="14832" max="14832" width="22.42578125" style="2" customWidth="1"/>
    <col min="14833" max="14833" width="14.85546875" style="2" customWidth="1"/>
    <col min="14834" max="14834" width="7.140625" style="2" customWidth="1"/>
    <col min="14835" max="14835" width="20.140625" style="2" customWidth="1"/>
    <col min="14836" max="15067" width="8.85546875" style="2" customWidth="1"/>
    <col min="15068" max="15068" width="8.140625" style="2" customWidth="1"/>
    <col min="15069" max="15069" width="14.42578125" style="2" customWidth="1"/>
    <col min="15070" max="15070" width="37.42578125" style="2" customWidth="1"/>
    <col min="15071" max="15071" width="63.140625" style="2" customWidth="1"/>
    <col min="15072" max="15072" width="20" style="2" customWidth="1"/>
    <col min="15073" max="15073" width="11.140625" style="2" customWidth="1"/>
    <col min="15074" max="15074" width="10.85546875" style="2" customWidth="1"/>
    <col min="15075" max="15075" width="21" style="2" customWidth="1"/>
    <col min="15076" max="15076" width="10.85546875" style="2" customWidth="1"/>
    <col min="15077" max="15077" width="17.42578125" style="2" customWidth="1"/>
    <col min="15078" max="15078" width="14.85546875" style="2" customWidth="1"/>
    <col min="15079" max="15079" width="15" style="2" customWidth="1"/>
    <col min="15080" max="15080" width="14.85546875" style="2" customWidth="1"/>
    <col min="15081" max="15081" width="7.140625" style="2" customWidth="1"/>
    <col min="15082" max="15083" width="20.140625" style="2" customWidth="1"/>
    <col min="15084" max="15084" width="18.42578125" style="2" customWidth="1"/>
    <col min="15085" max="15085" width="9.140625" style="2" customWidth="1"/>
    <col min="15086" max="15086" width="12" style="2" customWidth="1"/>
    <col min="15087" max="15087" width="14.85546875" style="2" customWidth="1"/>
    <col min="15088" max="15088" width="22.42578125" style="2" customWidth="1"/>
    <col min="15089" max="15089" width="14.85546875" style="2" customWidth="1"/>
    <col min="15090" max="15090" width="7.140625" style="2" customWidth="1"/>
    <col min="15091" max="15091" width="20.140625" style="2" customWidth="1"/>
    <col min="15092" max="15323" width="8.85546875" style="2" customWidth="1"/>
    <col min="15324" max="15324" width="8.140625" style="2" customWidth="1"/>
    <col min="15325" max="15325" width="14.42578125" style="2" customWidth="1"/>
    <col min="15326" max="15326" width="37.42578125" style="2" customWidth="1"/>
    <col min="15327" max="15327" width="63.140625" style="2" customWidth="1"/>
    <col min="15328" max="15328" width="20" style="2" customWidth="1"/>
    <col min="15329" max="15329" width="11.140625" style="2" customWidth="1"/>
    <col min="15330" max="15330" width="10.85546875" style="2" customWidth="1"/>
    <col min="15331" max="15331" width="21" style="2" customWidth="1"/>
    <col min="15332" max="15332" width="10.85546875" style="2" customWidth="1"/>
    <col min="15333" max="15333" width="17.42578125" style="2" customWidth="1"/>
    <col min="15334" max="15334" width="14.85546875" style="2" customWidth="1"/>
    <col min="15335" max="15335" width="15" style="2" customWidth="1"/>
    <col min="15336" max="15336" width="14.85546875" style="2" customWidth="1"/>
    <col min="15337" max="15337" width="7.140625" style="2" customWidth="1"/>
    <col min="15338" max="15339" width="20.140625" style="2" customWidth="1"/>
    <col min="15340" max="15340" width="18.42578125" style="2" customWidth="1"/>
    <col min="15341" max="15341" width="9.140625" style="2" customWidth="1"/>
    <col min="15342" max="15342" width="12" style="2" customWidth="1"/>
    <col min="15343" max="15343" width="14.85546875" style="2" customWidth="1"/>
    <col min="15344" max="15344" width="22.42578125" style="2" customWidth="1"/>
    <col min="15345" max="15345" width="14.85546875" style="2" customWidth="1"/>
    <col min="15346" max="15346" width="7.140625" style="2" customWidth="1"/>
    <col min="15347" max="15347" width="20.140625" style="2" customWidth="1"/>
    <col min="15348" max="15579" width="8.85546875" style="2" customWidth="1"/>
    <col min="15580" max="15580" width="8.140625" style="2" customWidth="1"/>
    <col min="15581" max="15581" width="14.42578125" style="2" customWidth="1"/>
    <col min="15582" max="15582" width="37.42578125" style="2" customWidth="1"/>
    <col min="15583" max="15583" width="63.140625" style="2" customWidth="1"/>
    <col min="15584" max="15584" width="20" style="2" customWidth="1"/>
    <col min="15585" max="15585" width="11.140625" style="2" customWidth="1"/>
    <col min="15586" max="15586" width="10.85546875" style="2" customWidth="1"/>
    <col min="15587" max="15587" width="21" style="2" customWidth="1"/>
    <col min="15588" max="15588" width="10.85546875" style="2" customWidth="1"/>
    <col min="15589" max="15589" width="17.42578125" style="2" customWidth="1"/>
    <col min="15590" max="15590" width="14.85546875" style="2" customWidth="1"/>
    <col min="15591" max="15591" width="15" style="2" customWidth="1"/>
    <col min="15592" max="15592" width="14.85546875" style="2" customWidth="1"/>
    <col min="15593" max="15593" width="7.140625" style="2" customWidth="1"/>
    <col min="15594" max="15595" width="20.140625" style="2" customWidth="1"/>
    <col min="15596" max="15596" width="18.42578125" style="2" customWidth="1"/>
    <col min="15597" max="15597" width="9.140625" style="2" customWidth="1"/>
    <col min="15598" max="15598" width="12" style="2" customWidth="1"/>
    <col min="15599" max="15599" width="14.85546875" style="2" customWidth="1"/>
    <col min="15600" max="15600" width="22.42578125" style="2" customWidth="1"/>
    <col min="15601" max="15601" width="14.85546875" style="2" customWidth="1"/>
    <col min="15602" max="15602" width="7.140625" style="2" customWidth="1"/>
    <col min="15603" max="15603" width="20.140625" style="2" customWidth="1"/>
    <col min="15604" max="15835" width="8.85546875" style="2" customWidth="1"/>
    <col min="15836" max="15836" width="8.140625" style="2" customWidth="1"/>
    <col min="15837" max="15837" width="14.42578125" style="2" customWidth="1"/>
    <col min="15838" max="15838" width="37.42578125" style="2" customWidth="1"/>
    <col min="15839" max="15839" width="63.140625" style="2" customWidth="1"/>
    <col min="15840" max="15840" width="20" style="2" customWidth="1"/>
    <col min="15841" max="15841" width="11.140625" style="2" customWidth="1"/>
    <col min="15842" max="15842" width="10.85546875" style="2" customWidth="1"/>
    <col min="15843" max="15843" width="21" style="2" customWidth="1"/>
    <col min="15844" max="15844" width="10.85546875" style="2" customWidth="1"/>
    <col min="15845" max="15845" width="17.42578125" style="2" customWidth="1"/>
    <col min="15846" max="15846" width="14.85546875" style="2" customWidth="1"/>
    <col min="15847" max="15847" width="15" style="2" customWidth="1"/>
    <col min="15848" max="15848" width="14.85546875" style="2" customWidth="1"/>
    <col min="15849" max="15849" width="7.140625" style="2" customWidth="1"/>
    <col min="15850" max="15851" width="20.140625" style="2" customWidth="1"/>
    <col min="15852" max="15852" width="18.42578125" style="2" customWidth="1"/>
    <col min="15853" max="15853" width="9.140625" style="2" customWidth="1"/>
    <col min="15854" max="15854" width="12" style="2" customWidth="1"/>
    <col min="15855" max="15855" width="14.85546875" style="2" customWidth="1"/>
    <col min="15856" max="15856" width="22.42578125" style="2" customWidth="1"/>
    <col min="15857" max="15857" width="14.85546875" style="2" customWidth="1"/>
    <col min="15858" max="15858" width="7.140625" style="2" customWidth="1"/>
    <col min="15859" max="15859" width="20.140625" style="2" customWidth="1"/>
    <col min="15860" max="16091" width="8.85546875" style="2" customWidth="1"/>
    <col min="16092" max="16092" width="8.140625" style="2" customWidth="1"/>
    <col min="16093" max="16093" width="14.42578125" style="2" customWidth="1"/>
    <col min="16094" max="16094" width="37.42578125" style="2" customWidth="1"/>
    <col min="16095" max="16095" width="63.140625" style="2" customWidth="1"/>
    <col min="16096" max="16096" width="20" style="2" customWidth="1"/>
    <col min="16097" max="16097" width="11.140625" style="2" customWidth="1"/>
    <col min="16098" max="16098" width="10.85546875" style="2" customWidth="1"/>
    <col min="16099" max="16099" width="21" style="2" customWidth="1"/>
    <col min="16100" max="16100" width="10.85546875" style="2" customWidth="1"/>
    <col min="16101" max="16101" width="17.42578125" style="2" customWidth="1"/>
    <col min="16102" max="16102" width="14.85546875" style="2" customWidth="1"/>
    <col min="16103" max="16103" width="15" style="2" customWidth="1"/>
    <col min="16104" max="16104" width="14.85546875" style="2" customWidth="1"/>
    <col min="16105" max="16105" width="7.140625" style="2" customWidth="1"/>
    <col min="16106" max="16107" width="20.140625" style="2" customWidth="1"/>
    <col min="16108" max="16108" width="18.42578125" style="2" customWidth="1"/>
    <col min="16109" max="16109" width="9.140625" style="2" customWidth="1"/>
    <col min="16110" max="16110" width="12" style="2" customWidth="1"/>
    <col min="16111" max="16111" width="14.85546875" style="2" customWidth="1"/>
    <col min="16112" max="16112" width="22.42578125" style="2" customWidth="1"/>
    <col min="16113" max="16113" width="14.85546875" style="2" customWidth="1"/>
    <col min="16114" max="16114" width="7.140625" style="2" customWidth="1"/>
    <col min="16115" max="16115" width="20.140625" style="2" customWidth="1"/>
    <col min="16116" max="16384" width="8.85546875" style="2" customWidth="1"/>
  </cols>
  <sheetData>
    <row r="1" spans="1:21" ht="14.1" customHeight="1">
      <c r="A1" s="1" t="s">
        <v>3775</v>
      </c>
      <c r="B1" s="24"/>
      <c r="C1" s="2"/>
      <c r="D1" s="2"/>
      <c r="F1" s="2"/>
      <c r="H1" s="2"/>
      <c r="J1" s="2"/>
      <c r="K1" s="2"/>
      <c r="L1" s="2"/>
      <c r="M1" s="2"/>
      <c r="N1" s="2"/>
      <c r="O1" s="2"/>
      <c r="P1" s="2"/>
      <c r="R1" s="10"/>
    </row>
    <row r="2" spans="1:21" s="4" customFormat="1" ht="14.1" customHeight="1">
      <c r="A2" s="4" t="s">
        <v>3776</v>
      </c>
      <c r="E2" s="69"/>
      <c r="Q2" s="2"/>
      <c r="R2" s="336"/>
    </row>
    <row r="3" spans="1:21" s="6" customFormat="1" ht="14.1" customHeight="1">
      <c r="A3" s="3"/>
      <c r="B3" s="16"/>
      <c r="C3" s="16"/>
      <c r="D3" s="23"/>
      <c r="E3" s="16"/>
      <c r="F3" s="23"/>
      <c r="G3" s="15"/>
      <c r="H3" s="25"/>
      <c r="I3" s="15"/>
      <c r="J3" s="25"/>
      <c r="K3" s="25"/>
      <c r="L3" s="25"/>
      <c r="M3" s="25"/>
      <c r="N3" s="25"/>
      <c r="O3" s="25"/>
      <c r="P3" s="25"/>
      <c r="Q3" s="2"/>
      <c r="R3" s="355" t="s">
        <v>2</v>
      </c>
      <c r="S3" s="2"/>
      <c r="T3" s="2"/>
      <c r="U3" s="2"/>
    </row>
    <row r="4" spans="1:21" s="5" customFormat="1" ht="33" customHeight="1">
      <c r="A4" s="21" t="s">
        <v>3</v>
      </c>
      <c r="B4" s="52" t="s">
        <v>4</v>
      </c>
      <c r="C4" s="52" t="s">
        <v>5</v>
      </c>
      <c r="D4" s="21" t="s">
        <v>6</v>
      </c>
      <c r="E4" s="21" t="s">
        <v>7</v>
      </c>
      <c r="F4" s="21" t="s">
        <v>8</v>
      </c>
      <c r="G4" s="21" t="s">
        <v>9</v>
      </c>
      <c r="H4" s="21" t="s">
        <v>10</v>
      </c>
      <c r="I4" s="21" t="s">
        <v>11</v>
      </c>
      <c r="J4" s="21" t="s">
        <v>12</v>
      </c>
      <c r="K4" s="21" t="s">
        <v>13</v>
      </c>
      <c r="L4" s="21" t="s">
        <v>14</v>
      </c>
      <c r="M4" s="21" t="s">
        <v>15</v>
      </c>
      <c r="N4" s="21" t="s">
        <v>16</v>
      </c>
      <c r="O4" s="21" t="s">
        <v>17</v>
      </c>
      <c r="P4" s="21" t="s">
        <v>18</v>
      </c>
      <c r="Q4" s="3"/>
      <c r="R4" s="41" t="s">
        <v>19</v>
      </c>
      <c r="S4" s="20"/>
      <c r="T4" s="42" t="s">
        <v>20</v>
      </c>
      <c r="U4" s="42" t="s">
        <v>21</v>
      </c>
    </row>
    <row r="5" spans="1:21" ht="14.1" customHeight="1">
      <c r="A5" s="7">
        <v>1</v>
      </c>
      <c r="B5" s="14" t="s">
        <v>368</v>
      </c>
      <c r="C5" s="14" t="s">
        <v>3777</v>
      </c>
      <c r="D5" s="7" t="s">
        <v>260</v>
      </c>
      <c r="E5" s="14" t="s">
        <v>827</v>
      </c>
      <c r="F5" s="7" t="s">
        <v>3778</v>
      </c>
      <c r="G5" s="8" t="s">
        <v>3779</v>
      </c>
      <c r="H5" s="17" t="s">
        <v>3780</v>
      </c>
      <c r="I5" s="8" t="s">
        <v>3781</v>
      </c>
      <c r="J5" s="7" t="s">
        <v>123</v>
      </c>
      <c r="K5" s="17" t="s">
        <v>26</v>
      </c>
      <c r="L5" s="7" t="s">
        <v>322</v>
      </c>
      <c r="M5" s="7">
        <v>8302411000</v>
      </c>
      <c r="N5" s="7">
        <v>1</v>
      </c>
      <c r="O5" s="7">
        <v>1</v>
      </c>
      <c r="P5" s="7"/>
      <c r="R5" s="9">
        <v>1059.94936565796</v>
      </c>
      <c r="S5" s="22"/>
      <c r="T5" s="7" t="s">
        <v>34</v>
      </c>
      <c r="U5" s="7"/>
    </row>
    <row r="6" spans="1:21" ht="14.1" customHeight="1">
      <c r="A6" s="7">
        <v>2</v>
      </c>
      <c r="B6" s="14" t="s">
        <v>368</v>
      </c>
      <c r="C6" s="14" t="s">
        <v>3777</v>
      </c>
      <c r="D6" s="7" t="s">
        <v>260</v>
      </c>
      <c r="E6" s="14" t="s">
        <v>827</v>
      </c>
      <c r="F6" s="7" t="s">
        <v>3778</v>
      </c>
      <c r="G6" s="8" t="s">
        <v>3782</v>
      </c>
      <c r="H6" s="17" t="s">
        <v>3783</v>
      </c>
      <c r="I6" s="8" t="s">
        <v>3781</v>
      </c>
      <c r="J6" s="7" t="s">
        <v>123</v>
      </c>
      <c r="K6" s="17" t="s">
        <v>3784</v>
      </c>
      <c r="L6" s="7" t="s">
        <v>322</v>
      </c>
      <c r="M6" s="7">
        <v>8302411000</v>
      </c>
      <c r="N6" s="7">
        <v>1</v>
      </c>
      <c r="O6" s="7">
        <v>1</v>
      </c>
      <c r="P6" s="7"/>
      <c r="R6" s="9">
        <v>1059.94936565796</v>
      </c>
      <c r="S6" s="22"/>
      <c r="T6" s="7" t="s">
        <v>34</v>
      </c>
      <c r="U6" s="7"/>
    </row>
    <row r="7" spans="1:21" ht="14.1" customHeight="1">
      <c r="A7" s="7">
        <v>3</v>
      </c>
      <c r="B7" s="14" t="s">
        <v>368</v>
      </c>
      <c r="C7" s="14" t="s">
        <v>3777</v>
      </c>
      <c r="D7" s="7" t="s">
        <v>260</v>
      </c>
      <c r="E7" s="14" t="s">
        <v>827</v>
      </c>
      <c r="F7" s="7" t="s">
        <v>3778</v>
      </c>
      <c r="G7" s="8" t="s">
        <v>3785</v>
      </c>
      <c r="H7" s="17" t="s">
        <v>3786</v>
      </c>
      <c r="I7" s="8" t="s">
        <v>3781</v>
      </c>
      <c r="J7" s="7" t="s">
        <v>123</v>
      </c>
      <c r="K7" s="17" t="s">
        <v>3787</v>
      </c>
      <c r="L7" s="7" t="s">
        <v>322</v>
      </c>
      <c r="M7" s="7">
        <v>8302411000</v>
      </c>
      <c r="N7" s="7">
        <v>1</v>
      </c>
      <c r="O7" s="7">
        <v>1</v>
      </c>
      <c r="P7" s="7"/>
      <c r="R7" s="9">
        <v>1059.94936565796</v>
      </c>
      <c r="S7" s="22"/>
      <c r="T7" s="7" t="s">
        <v>34</v>
      </c>
      <c r="U7" s="7"/>
    </row>
    <row r="8" spans="1:21" ht="14.1" customHeight="1">
      <c r="A8" s="7">
        <v>4</v>
      </c>
      <c r="B8" s="14" t="s">
        <v>368</v>
      </c>
      <c r="C8" s="14" t="s">
        <v>3777</v>
      </c>
      <c r="D8" s="7" t="s">
        <v>260</v>
      </c>
      <c r="E8" s="14" t="s">
        <v>827</v>
      </c>
      <c r="F8" s="7" t="s">
        <v>3778</v>
      </c>
      <c r="G8" s="8" t="s">
        <v>3788</v>
      </c>
      <c r="H8" s="17" t="s">
        <v>3789</v>
      </c>
      <c r="I8" s="8" t="s">
        <v>3790</v>
      </c>
      <c r="J8" s="7" t="s">
        <v>123</v>
      </c>
      <c r="K8" s="17" t="s">
        <v>3791</v>
      </c>
      <c r="L8" s="7" t="s">
        <v>322</v>
      </c>
      <c r="M8" s="7">
        <v>8302411000</v>
      </c>
      <c r="N8" s="7">
        <v>1</v>
      </c>
      <c r="O8" s="7">
        <v>1</v>
      </c>
      <c r="P8" s="7"/>
      <c r="R8" s="9">
        <v>1209.724819500932</v>
      </c>
      <c r="T8" s="7" t="s">
        <v>34</v>
      </c>
      <c r="U8" s="7"/>
    </row>
    <row r="9" spans="1:21" ht="14.1" customHeight="1">
      <c r="A9" s="7">
        <v>5</v>
      </c>
      <c r="B9" s="14" t="s">
        <v>368</v>
      </c>
      <c r="C9" s="14" t="s">
        <v>3777</v>
      </c>
      <c r="D9" s="7" t="s">
        <v>260</v>
      </c>
      <c r="E9" s="14" t="s">
        <v>827</v>
      </c>
      <c r="F9" s="7" t="s">
        <v>3778</v>
      </c>
      <c r="G9" s="8" t="s">
        <v>3792</v>
      </c>
      <c r="H9" s="17" t="s">
        <v>3793</v>
      </c>
      <c r="I9" s="8" t="s">
        <v>3790</v>
      </c>
      <c r="J9" s="7" t="s">
        <v>123</v>
      </c>
      <c r="K9" s="17" t="s">
        <v>3794</v>
      </c>
      <c r="L9" s="7" t="s">
        <v>322</v>
      </c>
      <c r="M9" s="7">
        <v>8302411000</v>
      </c>
      <c r="N9" s="7">
        <v>1</v>
      </c>
      <c r="O9" s="7">
        <v>1</v>
      </c>
      <c r="P9" s="7"/>
      <c r="R9" s="9">
        <v>1209.724819500932</v>
      </c>
      <c r="T9" s="7" t="s">
        <v>34</v>
      </c>
      <c r="U9" s="7"/>
    </row>
    <row r="10" spans="1:21" ht="14.1" customHeight="1">
      <c r="A10" s="7">
        <v>6</v>
      </c>
      <c r="B10" s="14" t="s">
        <v>368</v>
      </c>
      <c r="C10" s="14" t="s">
        <v>3777</v>
      </c>
      <c r="D10" s="7" t="s">
        <v>260</v>
      </c>
      <c r="E10" s="14" t="s">
        <v>827</v>
      </c>
      <c r="F10" s="7" t="s">
        <v>3778</v>
      </c>
      <c r="G10" s="8" t="s">
        <v>3795</v>
      </c>
      <c r="H10" s="17" t="s">
        <v>3786</v>
      </c>
      <c r="I10" s="8" t="s">
        <v>3790</v>
      </c>
      <c r="J10" s="7" t="s">
        <v>123</v>
      </c>
      <c r="K10" s="17" t="s">
        <v>3787</v>
      </c>
      <c r="L10" s="7" t="s">
        <v>322</v>
      </c>
      <c r="M10" s="7">
        <v>8302411000</v>
      </c>
      <c r="N10" s="7">
        <v>1</v>
      </c>
      <c r="O10" s="7">
        <v>1</v>
      </c>
      <c r="P10" s="7"/>
      <c r="R10" s="9">
        <v>1209.724819500932</v>
      </c>
      <c r="T10" s="7" t="s">
        <v>34</v>
      </c>
      <c r="U10" s="7"/>
    </row>
    <row r="11" spans="1:21" ht="14.1" customHeight="1">
      <c r="A11" s="7">
        <v>7</v>
      </c>
      <c r="B11" s="14" t="s">
        <v>368</v>
      </c>
      <c r="C11" s="14" t="s">
        <v>3777</v>
      </c>
      <c r="D11" s="7" t="s">
        <v>260</v>
      </c>
      <c r="E11" s="14" t="s">
        <v>827</v>
      </c>
      <c r="F11" s="7" t="s">
        <v>3778</v>
      </c>
      <c r="G11" s="8" t="s">
        <v>3796</v>
      </c>
      <c r="H11" s="17" t="s">
        <v>3797</v>
      </c>
      <c r="I11" s="8" t="s">
        <v>3790</v>
      </c>
      <c r="J11" s="7" t="s">
        <v>123</v>
      </c>
      <c r="K11" s="17" t="s">
        <v>3798</v>
      </c>
      <c r="L11" s="7" t="s">
        <v>322</v>
      </c>
      <c r="M11" s="7">
        <v>8302411000</v>
      </c>
      <c r="N11" s="7">
        <v>1</v>
      </c>
      <c r="O11" s="7">
        <v>1</v>
      </c>
      <c r="P11" s="7"/>
      <c r="R11" s="9">
        <v>1209.724819500932</v>
      </c>
      <c r="T11" s="7" t="s">
        <v>34</v>
      </c>
      <c r="U11" s="7"/>
    </row>
    <row r="12" spans="1:21" ht="14.1" customHeight="1">
      <c r="A12" s="7">
        <v>8</v>
      </c>
      <c r="B12" s="14" t="s">
        <v>368</v>
      </c>
      <c r="C12" s="14" t="s">
        <v>3777</v>
      </c>
      <c r="D12" s="7" t="s">
        <v>260</v>
      </c>
      <c r="E12" s="14" t="s">
        <v>827</v>
      </c>
      <c r="F12" s="7" t="s">
        <v>3778</v>
      </c>
      <c r="G12" s="8" t="s">
        <v>3799</v>
      </c>
      <c r="H12" s="17" t="s">
        <v>3800</v>
      </c>
      <c r="I12" s="8" t="s">
        <v>3801</v>
      </c>
      <c r="J12" s="7" t="s">
        <v>123</v>
      </c>
      <c r="K12" s="17" t="s">
        <v>3802</v>
      </c>
      <c r="L12" s="7" t="s">
        <v>322</v>
      </c>
      <c r="M12" s="7">
        <v>8302411000</v>
      </c>
      <c r="N12" s="7">
        <v>1</v>
      </c>
      <c r="O12" s="7">
        <v>1</v>
      </c>
      <c r="P12" s="7"/>
      <c r="R12" s="9">
        <v>1152.1188757151731</v>
      </c>
      <c r="T12" s="7" t="s">
        <v>34</v>
      </c>
      <c r="U12" s="7"/>
    </row>
    <row r="13" spans="1:21" ht="14.1" customHeight="1">
      <c r="A13" s="7">
        <v>9</v>
      </c>
      <c r="B13" s="14" t="s">
        <v>368</v>
      </c>
      <c r="C13" s="14" t="s">
        <v>3777</v>
      </c>
      <c r="D13" s="7" t="s">
        <v>260</v>
      </c>
      <c r="E13" s="14" t="s">
        <v>827</v>
      </c>
      <c r="F13" s="7" t="s">
        <v>3778</v>
      </c>
      <c r="G13" s="8" t="s">
        <v>3803</v>
      </c>
      <c r="H13" s="17" t="s">
        <v>3783</v>
      </c>
      <c r="I13" s="8" t="s">
        <v>3801</v>
      </c>
      <c r="J13" s="7" t="s">
        <v>123</v>
      </c>
      <c r="K13" s="17" t="s">
        <v>3784</v>
      </c>
      <c r="L13" s="7" t="s">
        <v>322</v>
      </c>
      <c r="M13" s="7">
        <v>8302411000</v>
      </c>
      <c r="N13" s="7">
        <v>1</v>
      </c>
      <c r="O13" s="7">
        <v>1</v>
      </c>
      <c r="P13" s="7"/>
      <c r="R13" s="9">
        <v>1152.1188757151731</v>
      </c>
      <c r="T13" s="7" t="s">
        <v>34</v>
      </c>
      <c r="U13" s="7"/>
    </row>
    <row r="14" spans="1:21" ht="14.1" customHeight="1">
      <c r="A14" s="7">
        <v>10</v>
      </c>
      <c r="B14" s="14" t="s">
        <v>368</v>
      </c>
      <c r="C14" s="14" t="s">
        <v>3777</v>
      </c>
      <c r="D14" s="7" t="s">
        <v>260</v>
      </c>
      <c r="E14" s="14" t="s">
        <v>827</v>
      </c>
      <c r="F14" s="7" t="s">
        <v>3778</v>
      </c>
      <c r="G14" s="8" t="s">
        <v>3804</v>
      </c>
      <c r="H14" s="17" t="s">
        <v>3793</v>
      </c>
      <c r="I14" s="8" t="s">
        <v>3801</v>
      </c>
      <c r="J14" s="7" t="s">
        <v>123</v>
      </c>
      <c r="K14" s="17" t="s">
        <v>3794</v>
      </c>
      <c r="L14" s="7" t="s">
        <v>322</v>
      </c>
      <c r="M14" s="7">
        <v>8302411000</v>
      </c>
      <c r="N14" s="7">
        <v>1</v>
      </c>
      <c r="O14" s="7">
        <v>1</v>
      </c>
      <c r="P14" s="7"/>
      <c r="R14" s="9">
        <v>1152.1188757151731</v>
      </c>
      <c r="T14" s="7" t="s">
        <v>34</v>
      </c>
      <c r="U14" s="7"/>
    </row>
    <row r="15" spans="1:21" ht="14.1" customHeight="1">
      <c r="A15" s="7">
        <v>11</v>
      </c>
      <c r="B15" s="14" t="s">
        <v>368</v>
      </c>
      <c r="C15" s="14" t="s">
        <v>3777</v>
      </c>
      <c r="D15" s="7" t="s">
        <v>260</v>
      </c>
      <c r="E15" s="14" t="s">
        <v>827</v>
      </c>
      <c r="F15" s="7" t="s">
        <v>3778</v>
      </c>
      <c r="G15" s="8" t="s">
        <v>3805</v>
      </c>
      <c r="H15" s="17" t="s">
        <v>3780</v>
      </c>
      <c r="I15" s="8" t="s">
        <v>3806</v>
      </c>
      <c r="J15" s="7" t="s">
        <v>123</v>
      </c>
      <c r="K15" s="17" t="s">
        <v>26</v>
      </c>
      <c r="L15" s="7" t="s">
        <v>322</v>
      </c>
      <c r="M15" s="7">
        <v>8302411000</v>
      </c>
      <c r="N15" s="7">
        <v>1</v>
      </c>
      <c r="O15" s="7">
        <v>1</v>
      </c>
      <c r="P15" s="7"/>
      <c r="R15" s="9">
        <v>1313.415518315298</v>
      </c>
      <c r="T15" s="7" t="s">
        <v>34</v>
      </c>
      <c r="U15" s="7"/>
    </row>
    <row r="16" spans="1:21" ht="14.1" customHeight="1">
      <c r="A16" s="7">
        <v>12</v>
      </c>
      <c r="B16" s="14" t="s">
        <v>368</v>
      </c>
      <c r="C16" s="14" t="s">
        <v>3777</v>
      </c>
      <c r="D16" s="7" t="s">
        <v>260</v>
      </c>
      <c r="E16" s="14" t="s">
        <v>827</v>
      </c>
      <c r="F16" s="7" t="s">
        <v>3778</v>
      </c>
      <c r="G16" s="8" t="s">
        <v>3807</v>
      </c>
      <c r="H16" s="17" t="s">
        <v>3789</v>
      </c>
      <c r="I16" s="8" t="s">
        <v>3806</v>
      </c>
      <c r="J16" s="7" t="s">
        <v>123</v>
      </c>
      <c r="K16" s="17" t="s">
        <v>3791</v>
      </c>
      <c r="L16" s="7" t="s">
        <v>322</v>
      </c>
      <c r="M16" s="7">
        <v>8302411000</v>
      </c>
      <c r="N16" s="7">
        <v>1</v>
      </c>
      <c r="O16" s="7">
        <v>1</v>
      </c>
      <c r="P16" s="7"/>
      <c r="R16" s="9">
        <v>1313.415518315298</v>
      </c>
      <c r="T16" s="7" t="s">
        <v>34</v>
      </c>
      <c r="U16" s="7"/>
    </row>
    <row r="17" spans="1:21" ht="14.1" customHeight="1">
      <c r="A17" s="7">
        <v>13</v>
      </c>
      <c r="B17" s="14" t="s">
        <v>368</v>
      </c>
      <c r="C17" s="14" t="s">
        <v>3777</v>
      </c>
      <c r="D17" s="7" t="s">
        <v>260</v>
      </c>
      <c r="E17" s="14" t="s">
        <v>827</v>
      </c>
      <c r="F17" s="7" t="s">
        <v>3778</v>
      </c>
      <c r="G17" s="8" t="s">
        <v>3808</v>
      </c>
      <c r="H17" s="17" t="s">
        <v>3783</v>
      </c>
      <c r="I17" s="8" t="s">
        <v>3806</v>
      </c>
      <c r="J17" s="7" t="s">
        <v>123</v>
      </c>
      <c r="K17" s="17" t="s">
        <v>3784</v>
      </c>
      <c r="L17" s="7" t="s">
        <v>322</v>
      </c>
      <c r="M17" s="7">
        <v>8302411000</v>
      </c>
      <c r="N17" s="7">
        <v>1</v>
      </c>
      <c r="O17" s="7">
        <v>1</v>
      </c>
      <c r="P17" s="7"/>
      <c r="R17" s="9">
        <v>1313.415518315298</v>
      </c>
      <c r="T17" s="7" t="s">
        <v>34</v>
      </c>
      <c r="U17" s="7"/>
    </row>
    <row r="18" spans="1:21" ht="14.1" customHeight="1">
      <c r="A18" s="7">
        <v>14</v>
      </c>
      <c r="B18" s="14" t="s">
        <v>368</v>
      </c>
      <c r="C18" s="14" t="s">
        <v>3777</v>
      </c>
      <c r="D18" s="7" t="s">
        <v>260</v>
      </c>
      <c r="E18" s="14" t="s">
        <v>827</v>
      </c>
      <c r="F18" s="7" t="s">
        <v>3778</v>
      </c>
      <c r="G18" s="8" t="s">
        <v>3809</v>
      </c>
      <c r="H18" s="17" t="s">
        <v>3786</v>
      </c>
      <c r="I18" s="8" t="s">
        <v>3806</v>
      </c>
      <c r="J18" s="7" t="s">
        <v>123</v>
      </c>
      <c r="K18" s="17" t="s">
        <v>3787</v>
      </c>
      <c r="L18" s="7" t="s">
        <v>322</v>
      </c>
      <c r="M18" s="7">
        <v>8302411000</v>
      </c>
      <c r="N18" s="7">
        <v>1</v>
      </c>
      <c r="O18" s="7">
        <v>1</v>
      </c>
      <c r="P18" s="7"/>
      <c r="R18" s="9">
        <v>1313.415518315298</v>
      </c>
      <c r="T18" s="7" t="s">
        <v>34</v>
      </c>
      <c r="U18" s="7"/>
    </row>
    <row r="19" spans="1:21" ht="14.1" customHeight="1">
      <c r="A19" s="7">
        <v>15</v>
      </c>
      <c r="B19" s="14" t="s">
        <v>368</v>
      </c>
      <c r="C19" s="14" t="s">
        <v>3777</v>
      </c>
      <c r="D19" s="7" t="s">
        <v>260</v>
      </c>
      <c r="E19" s="14" t="s">
        <v>827</v>
      </c>
      <c r="F19" s="7" t="s">
        <v>3778</v>
      </c>
      <c r="G19" s="8" t="s">
        <v>3810</v>
      </c>
      <c r="H19" s="17" t="s">
        <v>3797</v>
      </c>
      <c r="I19" s="8" t="s">
        <v>3806</v>
      </c>
      <c r="J19" s="7" t="s">
        <v>123</v>
      </c>
      <c r="K19" s="17" t="s">
        <v>3798</v>
      </c>
      <c r="L19" s="7" t="s">
        <v>322</v>
      </c>
      <c r="M19" s="7">
        <v>8302411000</v>
      </c>
      <c r="N19" s="7">
        <v>1</v>
      </c>
      <c r="O19" s="7">
        <v>1</v>
      </c>
      <c r="P19" s="7"/>
      <c r="R19" s="9">
        <v>1313.415518315298</v>
      </c>
      <c r="T19" s="7" t="s">
        <v>34</v>
      </c>
      <c r="U19" s="7"/>
    </row>
    <row r="20" spans="1:21" ht="14.1" customHeight="1">
      <c r="A20" s="7">
        <v>16</v>
      </c>
      <c r="B20" s="14" t="s">
        <v>368</v>
      </c>
      <c r="C20" s="14" t="s">
        <v>3777</v>
      </c>
      <c r="D20" s="7" t="s">
        <v>260</v>
      </c>
      <c r="E20" s="14" t="s">
        <v>827</v>
      </c>
      <c r="F20" s="7" t="s">
        <v>3778</v>
      </c>
      <c r="G20" s="8" t="s">
        <v>3811</v>
      </c>
      <c r="H20" s="17" t="s">
        <v>3789</v>
      </c>
      <c r="I20" s="8" t="s">
        <v>3812</v>
      </c>
      <c r="J20" s="7" t="s">
        <v>123</v>
      </c>
      <c r="K20" s="17" t="s">
        <v>3791</v>
      </c>
      <c r="L20" s="7" t="s">
        <v>322</v>
      </c>
      <c r="M20" s="7">
        <v>8302411000</v>
      </c>
      <c r="N20" s="7">
        <v>1</v>
      </c>
      <c r="O20" s="7">
        <v>1</v>
      </c>
      <c r="P20" s="7"/>
      <c r="R20" s="9">
        <v>1371.0214621010559</v>
      </c>
      <c r="T20" s="7" t="s">
        <v>34</v>
      </c>
      <c r="U20" s="7"/>
    </row>
    <row r="21" spans="1:21" ht="14.1" customHeight="1">
      <c r="A21" s="7">
        <v>17</v>
      </c>
      <c r="B21" s="14" t="s">
        <v>368</v>
      </c>
      <c r="C21" s="14" t="s">
        <v>3777</v>
      </c>
      <c r="D21" s="7" t="s">
        <v>260</v>
      </c>
      <c r="E21" s="14" t="s">
        <v>827</v>
      </c>
      <c r="F21" s="7" t="s">
        <v>3778</v>
      </c>
      <c r="G21" s="8" t="s">
        <v>3813</v>
      </c>
      <c r="H21" s="17" t="s">
        <v>3793</v>
      </c>
      <c r="I21" s="8" t="s">
        <v>3812</v>
      </c>
      <c r="J21" s="7" t="s">
        <v>123</v>
      </c>
      <c r="K21" s="17" t="s">
        <v>3794</v>
      </c>
      <c r="L21" s="7" t="s">
        <v>322</v>
      </c>
      <c r="M21" s="7">
        <v>8302411000</v>
      </c>
      <c r="N21" s="7">
        <v>1</v>
      </c>
      <c r="O21" s="7">
        <v>1</v>
      </c>
      <c r="P21" s="7"/>
      <c r="R21" s="9">
        <v>1371.0214621010559</v>
      </c>
      <c r="T21" s="7" t="s">
        <v>34</v>
      </c>
      <c r="U21" s="7"/>
    </row>
    <row r="22" spans="1:21" ht="14.1" customHeight="1">
      <c r="A22" s="7">
        <v>18</v>
      </c>
      <c r="B22" s="14" t="s">
        <v>368</v>
      </c>
      <c r="C22" s="14" t="s">
        <v>3777</v>
      </c>
      <c r="D22" s="7" t="s">
        <v>260</v>
      </c>
      <c r="E22" s="14" t="s">
        <v>827</v>
      </c>
      <c r="F22" s="7" t="s">
        <v>3778</v>
      </c>
      <c r="G22" s="8" t="s">
        <v>3814</v>
      </c>
      <c r="H22" s="17" t="s">
        <v>3797</v>
      </c>
      <c r="I22" s="8" t="s">
        <v>3812</v>
      </c>
      <c r="J22" s="7" t="s">
        <v>123</v>
      </c>
      <c r="K22" s="17" t="s">
        <v>3798</v>
      </c>
      <c r="L22" s="7" t="s">
        <v>322</v>
      </c>
      <c r="M22" s="7">
        <v>8302411000</v>
      </c>
      <c r="N22" s="7">
        <v>1</v>
      </c>
      <c r="O22" s="7">
        <v>1</v>
      </c>
      <c r="P22" s="7"/>
      <c r="R22" s="9">
        <v>1371.0214621010559</v>
      </c>
      <c r="T22" s="7" t="s">
        <v>34</v>
      </c>
      <c r="U22" s="7"/>
    </row>
    <row r="23" spans="1:21" ht="14.1" customHeight="1">
      <c r="A23" s="7">
        <v>19</v>
      </c>
      <c r="B23" s="14" t="s">
        <v>368</v>
      </c>
      <c r="C23" s="14" t="s">
        <v>3777</v>
      </c>
      <c r="D23" s="7" t="s">
        <v>260</v>
      </c>
      <c r="E23" s="14" t="s">
        <v>827</v>
      </c>
      <c r="F23" s="7" t="s">
        <v>3778</v>
      </c>
      <c r="G23" s="114" t="s">
        <v>3815</v>
      </c>
      <c r="H23" s="17" t="s">
        <v>3780</v>
      </c>
      <c r="I23" s="8" t="s">
        <v>3816</v>
      </c>
      <c r="J23" s="7" t="s">
        <v>123</v>
      </c>
      <c r="K23" s="17" t="s">
        <v>26</v>
      </c>
      <c r="L23" s="7" t="s">
        <v>322</v>
      </c>
      <c r="M23" s="7">
        <v>8302411000</v>
      </c>
      <c r="N23" s="7">
        <v>1</v>
      </c>
      <c r="O23" s="7">
        <v>1</v>
      </c>
      <c r="P23" s="7"/>
      <c r="R23" s="9">
        <v>1025.385799386504</v>
      </c>
      <c r="T23" s="7" t="s">
        <v>34</v>
      </c>
      <c r="U23" s="7"/>
    </row>
    <row r="24" spans="1:21" ht="14.1" customHeight="1">
      <c r="A24" s="7">
        <v>20</v>
      </c>
      <c r="B24" s="14" t="s">
        <v>368</v>
      </c>
      <c r="C24" s="14" t="s">
        <v>3777</v>
      </c>
      <c r="D24" s="7" t="s">
        <v>260</v>
      </c>
      <c r="E24" s="14" t="s">
        <v>827</v>
      </c>
      <c r="F24" s="7" t="s">
        <v>3778</v>
      </c>
      <c r="G24" s="114" t="s">
        <v>3817</v>
      </c>
      <c r="H24" s="17" t="s">
        <v>3783</v>
      </c>
      <c r="I24" s="8" t="s">
        <v>3816</v>
      </c>
      <c r="J24" s="7" t="s">
        <v>123</v>
      </c>
      <c r="K24" s="17" t="s">
        <v>3784</v>
      </c>
      <c r="L24" s="7" t="s">
        <v>322</v>
      </c>
      <c r="M24" s="7">
        <v>8302411000</v>
      </c>
      <c r="N24" s="7">
        <v>1</v>
      </c>
      <c r="O24" s="7">
        <v>1</v>
      </c>
      <c r="P24" s="7"/>
      <c r="R24" s="9">
        <v>1025.385799386504</v>
      </c>
      <c r="T24" s="7" t="s">
        <v>34</v>
      </c>
      <c r="U24" s="7"/>
    </row>
    <row r="25" spans="1:21" ht="14.1" customHeight="1">
      <c r="A25" s="7">
        <v>21</v>
      </c>
      <c r="B25" s="14" t="s">
        <v>368</v>
      </c>
      <c r="C25" s="14" t="s">
        <v>3777</v>
      </c>
      <c r="D25" s="7" t="s">
        <v>260</v>
      </c>
      <c r="E25" s="14" t="s">
        <v>827</v>
      </c>
      <c r="F25" s="7" t="s">
        <v>3778</v>
      </c>
      <c r="G25" s="114" t="s">
        <v>3818</v>
      </c>
      <c r="H25" s="17" t="s">
        <v>3793</v>
      </c>
      <c r="I25" s="8" t="s">
        <v>3816</v>
      </c>
      <c r="J25" s="7" t="s">
        <v>123</v>
      </c>
      <c r="K25" s="17" t="s">
        <v>3794</v>
      </c>
      <c r="L25" s="7" t="s">
        <v>322</v>
      </c>
      <c r="M25" s="7">
        <v>8302411000</v>
      </c>
      <c r="N25" s="7">
        <v>1</v>
      </c>
      <c r="O25" s="7">
        <v>1</v>
      </c>
      <c r="P25" s="7"/>
      <c r="R25" s="9">
        <v>1025.385799386504</v>
      </c>
      <c r="T25" s="7" t="s">
        <v>34</v>
      </c>
      <c r="U25" s="7"/>
    </row>
    <row r="26" spans="1:21" ht="14.1" customHeight="1">
      <c r="A26" s="7">
        <v>22</v>
      </c>
      <c r="B26" s="14" t="s">
        <v>368</v>
      </c>
      <c r="C26" s="14" t="s">
        <v>3777</v>
      </c>
      <c r="D26" s="7" t="s">
        <v>260</v>
      </c>
      <c r="E26" s="14" t="s">
        <v>827</v>
      </c>
      <c r="F26" s="7" t="s">
        <v>3778</v>
      </c>
      <c r="G26" s="114" t="s">
        <v>3819</v>
      </c>
      <c r="H26" s="17" t="s">
        <v>3786</v>
      </c>
      <c r="I26" s="8" t="s">
        <v>3816</v>
      </c>
      <c r="J26" s="7" t="s">
        <v>123</v>
      </c>
      <c r="K26" s="17" t="s">
        <v>3787</v>
      </c>
      <c r="L26" s="7" t="s">
        <v>322</v>
      </c>
      <c r="M26" s="7">
        <v>8302411000</v>
      </c>
      <c r="N26" s="7">
        <v>1</v>
      </c>
      <c r="O26" s="7">
        <v>1</v>
      </c>
      <c r="P26" s="7"/>
      <c r="R26" s="9">
        <v>1025.385799386504</v>
      </c>
      <c r="T26" s="7" t="s">
        <v>34</v>
      </c>
      <c r="U26" s="7"/>
    </row>
    <row r="27" spans="1:21" ht="14.1" customHeight="1">
      <c r="A27" s="7">
        <v>23</v>
      </c>
      <c r="B27" s="14" t="s">
        <v>368</v>
      </c>
      <c r="C27" s="14" t="s">
        <v>3777</v>
      </c>
      <c r="D27" s="7" t="s">
        <v>260</v>
      </c>
      <c r="E27" s="14" t="s">
        <v>827</v>
      </c>
      <c r="F27" s="7" t="s">
        <v>3778</v>
      </c>
      <c r="G27" s="8" t="s">
        <v>3820</v>
      </c>
      <c r="H27" s="17" t="s">
        <v>3780</v>
      </c>
      <c r="I27" s="8" t="s">
        <v>3821</v>
      </c>
      <c r="J27" s="7" t="s">
        <v>123</v>
      </c>
      <c r="K27" s="17" t="s">
        <v>26</v>
      </c>
      <c r="L27" s="7" t="s">
        <v>322</v>
      </c>
      <c r="M27" s="7">
        <v>8302411000</v>
      </c>
      <c r="N27" s="7">
        <v>1</v>
      </c>
      <c r="O27" s="7">
        <v>1</v>
      </c>
      <c r="P27" s="7"/>
      <c r="R27" s="9">
        <v>1002.343421872201</v>
      </c>
      <c r="T27" s="7" t="s">
        <v>34</v>
      </c>
      <c r="U27" s="7"/>
    </row>
    <row r="28" spans="1:21" ht="14.1" customHeight="1">
      <c r="A28" s="7">
        <v>24</v>
      </c>
      <c r="B28" s="14" t="s">
        <v>368</v>
      </c>
      <c r="C28" s="14" t="s">
        <v>3777</v>
      </c>
      <c r="D28" s="7" t="s">
        <v>260</v>
      </c>
      <c r="E28" s="14" t="s">
        <v>827</v>
      </c>
      <c r="F28" s="7" t="s">
        <v>3778</v>
      </c>
      <c r="G28" s="8" t="s">
        <v>3822</v>
      </c>
      <c r="H28" s="17" t="s">
        <v>3783</v>
      </c>
      <c r="I28" s="8" t="s">
        <v>3821</v>
      </c>
      <c r="J28" s="7" t="s">
        <v>123</v>
      </c>
      <c r="K28" s="17" t="s">
        <v>3784</v>
      </c>
      <c r="L28" s="7" t="s">
        <v>322</v>
      </c>
      <c r="M28" s="7">
        <v>8302411000</v>
      </c>
      <c r="N28" s="7">
        <v>1</v>
      </c>
      <c r="O28" s="7">
        <v>1</v>
      </c>
      <c r="P28" s="7"/>
      <c r="R28" s="9">
        <v>1002.343421872201</v>
      </c>
      <c r="T28" s="7" t="s">
        <v>34</v>
      </c>
      <c r="U28" s="7"/>
    </row>
    <row r="29" spans="1:21" ht="14.1" customHeight="1">
      <c r="A29" s="7">
        <v>25</v>
      </c>
      <c r="B29" s="14" t="s">
        <v>368</v>
      </c>
      <c r="C29" s="14" t="s">
        <v>3777</v>
      </c>
      <c r="D29" s="7" t="s">
        <v>260</v>
      </c>
      <c r="E29" s="14" t="s">
        <v>827</v>
      </c>
      <c r="F29" s="7" t="s">
        <v>3778</v>
      </c>
      <c r="G29" s="8" t="s">
        <v>3823</v>
      </c>
      <c r="H29" s="17" t="s">
        <v>3797</v>
      </c>
      <c r="I29" s="8" t="s">
        <v>3821</v>
      </c>
      <c r="J29" s="7" t="s">
        <v>123</v>
      </c>
      <c r="K29" s="17" t="s">
        <v>3798</v>
      </c>
      <c r="L29" s="7" t="s">
        <v>322</v>
      </c>
      <c r="M29" s="7">
        <v>8302411000</v>
      </c>
      <c r="N29" s="7">
        <v>1</v>
      </c>
      <c r="O29" s="7">
        <v>1</v>
      </c>
      <c r="P29" s="7"/>
      <c r="R29" s="9">
        <v>1002.343421872201</v>
      </c>
      <c r="T29" s="7" t="s">
        <v>34</v>
      </c>
      <c r="U29" s="7"/>
    </row>
    <row r="30" spans="1:21" ht="14.1" customHeight="1">
      <c r="A30" s="7">
        <v>26</v>
      </c>
      <c r="B30" s="14" t="s">
        <v>368</v>
      </c>
      <c r="C30" s="14" t="s">
        <v>3777</v>
      </c>
      <c r="D30" s="7" t="s">
        <v>260</v>
      </c>
      <c r="E30" s="14" t="s">
        <v>827</v>
      </c>
      <c r="F30" s="7" t="s">
        <v>3778</v>
      </c>
      <c r="G30" s="8" t="s">
        <v>3824</v>
      </c>
      <c r="H30" s="17" t="s">
        <v>3780</v>
      </c>
      <c r="I30" s="8" t="s">
        <v>3825</v>
      </c>
      <c r="J30" s="7" t="s">
        <v>123</v>
      </c>
      <c r="K30" s="17" t="s">
        <v>26</v>
      </c>
      <c r="L30" s="7" t="s">
        <v>322</v>
      </c>
      <c r="M30" s="7">
        <v>8302411000</v>
      </c>
      <c r="N30" s="7">
        <v>1</v>
      </c>
      <c r="O30" s="7">
        <v>1</v>
      </c>
      <c r="P30" s="7"/>
      <c r="R30" s="9">
        <v>725.8348917005593</v>
      </c>
      <c r="T30" s="7" t="s">
        <v>34</v>
      </c>
      <c r="U30" s="7"/>
    </row>
    <row r="31" spans="1:21" ht="14.1" customHeight="1">
      <c r="A31" s="7">
        <v>27</v>
      </c>
      <c r="B31" s="14" t="s">
        <v>368</v>
      </c>
      <c r="C31" s="14" t="s">
        <v>3777</v>
      </c>
      <c r="D31" s="7" t="s">
        <v>260</v>
      </c>
      <c r="E31" s="14" t="s">
        <v>827</v>
      </c>
      <c r="F31" s="7" t="s">
        <v>3778</v>
      </c>
      <c r="G31" s="8" t="s">
        <v>3826</v>
      </c>
      <c r="H31" s="17" t="s">
        <v>3783</v>
      </c>
      <c r="I31" s="8" t="s">
        <v>3825</v>
      </c>
      <c r="J31" s="7" t="s">
        <v>123</v>
      </c>
      <c r="K31" s="17" t="s">
        <v>3784</v>
      </c>
      <c r="L31" s="7" t="s">
        <v>322</v>
      </c>
      <c r="M31" s="7">
        <v>8302411000</v>
      </c>
      <c r="N31" s="7">
        <v>1</v>
      </c>
      <c r="O31" s="7">
        <v>1</v>
      </c>
      <c r="P31" s="7"/>
      <c r="R31" s="9">
        <v>725.8348917005593</v>
      </c>
      <c r="T31" s="7" t="s">
        <v>34</v>
      </c>
      <c r="U31" s="7"/>
    </row>
    <row r="32" spans="1:21" ht="14.1" customHeight="1">
      <c r="A32" s="7">
        <v>28</v>
      </c>
      <c r="B32" s="14" t="s">
        <v>368</v>
      </c>
      <c r="C32" s="14" t="s">
        <v>3777</v>
      </c>
      <c r="D32" s="7" t="s">
        <v>260</v>
      </c>
      <c r="E32" s="14" t="s">
        <v>827</v>
      </c>
      <c r="F32" s="7" t="s">
        <v>3778</v>
      </c>
      <c r="G32" s="8" t="s">
        <v>3827</v>
      </c>
      <c r="H32" s="17" t="s">
        <v>3828</v>
      </c>
      <c r="I32" s="8" t="s">
        <v>3825</v>
      </c>
      <c r="J32" s="7" t="s">
        <v>123</v>
      </c>
      <c r="K32" s="17" t="s">
        <v>3794</v>
      </c>
      <c r="L32" s="7" t="s">
        <v>322</v>
      </c>
      <c r="M32" s="7">
        <v>8302411000</v>
      </c>
      <c r="N32" s="7">
        <v>1</v>
      </c>
      <c r="O32" s="7">
        <v>1</v>
      </c>
      <c r="P32" s="7"/>
      <c r="R32" s="9">
        <v>725.8348917005593</v>
      </c>
      <c r="T32" s="7" t="s">
        <v>34</v>
      </c>
      <c r="U32" s="7"/>
    </row>
    <row r="33" spans="1:21" ht="14.1" customHeight="1">
      <c r="A33" s="7">
        <v>29</v>
      </c>
      <c r="B33" s="14" t="s">
        <v>368</v>
      </c>
      <c r="C33" s="14" t="s">
        <v>3777</v>
      </c>
      <c r="D33" s="7" t="s">
        <v>260</v>
      </c>
      <c r="E33" s="14" t="s">
        <v>827</v>
      </c>
      <c r="F33" s="7" t="s">
        <v>3778</v>
      </c>
      <c r="G33" s="8" t="s">
        <v>3829</v>
      </c>
      <c r="H33" s="17" t="s">
        <v>3783</v>
      </c>
      <c r="I33" s="8" t="s">
        <v>3830</v>
      </c>
      <c r="J33" s="7" t="s">
        <v>123</v>
      </c>
      <c r="K33" s="17" t="s">
        <v>3784</v>
      </c>
      <c r="L33" s="7" t="s">
        <v>322</v>
      </c>
      <c r="M33" s="7">
        <v>8302411000</v>
      </c>
      <c r="N33" s="7">
        <v>1</v>
      </c>
      <c r="O33" s="7">
        <v>1</v>
      </c>
      <c r="P33" s="7"/>
      <c r="R33" s="9">
        <v>841.04677927207672</v>
      </c>
      <c r="T33" s="7" t="s">
        <v>34</v>
      </c>
      <c r="U33" s="7"/>
    </row>
    <row r="34" spans="1:21" ht="14.1" customHeight="1">
      <c r="A34" s="7">
        <v>30</v>
      </c>
      <c r="B34" s="14" t="s">
        <v>368</v>
      </c>
      <c r="C34" s="14" t="s">
        <v>3777</v>
      </c>
      <c r="D34" s="7" t="s">
        <v>260</v>
      </c>
      <c r="E34" s="14" t="s">
        <v>827</v>
      </c>
      <c r="F34" s="7" t="s">
        <v>3778</v>
      </c>
      <c r="G34" s="8" t="s">
        <v>3831</v>
      </c>
      <c r="H34" s="17" t="s">
        <v>3793</v>
      </c>
      <c r="I34" s="8" t="s">
        <v>3830</v>
      </c>
      <c r="J34" s="7" t="s">
        <v>123</v>
      </c>
      <c r="K34" s="17" t="s">
        <v>3794</v>
      </c>
      <c r="L34" s="7" t="s">
        <v>322</v>
      </c>
      <c r="M34" s="7">
        <v>8302411000</v>
      </c>
      <c r="N34" s="7">
        <v>1</v>
      </c>
      <c r="O34" s="7">
        <v>1</v>
      </c>
      <c r="P34" s="7"/>
      <c r="R34" s="9">
        <v>841.04677927207672</v>
      </c>
      <c r="T34" s="7" t="s">
        <v>34</v>
      </c>
      <c r="U34" s="7"/>
    </row>
    <row r="35" spans="1:21" ht="14.1" customHeight="1">
      <c r="A35" s="7">
        <v>31</v>
      </c>
      <c r="B35" s="14" t="s">
        <v>368</v>
      </c>
      <c r="C35" s="14" t="s">
        <v>3777</v>
      </c>
      <c r="D35" s="7" t="s">
        <v>260</v>
      </c>
      <c r="E35" s="14" t="s">
        <v>827</v>
      </c>
      <c r="F35" s="7" t="s">
        <v>3778</v>
      </c>
      <c r="G35" s="8" t="s">
        <v>3832</v>
      </c>
      <c r="H35" s="17" t="s">
        <v>3786</v>
      </c>
      <c r="I35" s="8" t="s">
        <v>3830</v>
      </c>
      <c r="J35" s="7" t="s">
        <v>123</v>
      </c>
      <c r="K35" s="17" t="s">
        <v>3787</v>
      </c>
      <c r="L35" s="7" t="s">
        <v>322</v>
      </c>
      <c r="M35" s="7">
        <v>8302411000</v>
      </c>
      <c r="N35" s="7">
        <v>1</v>
      </c>
      <c r="O35" s="7">
        <v>1</v>
      </c>
      <c r="P35" s="7"/>
      <c r="R35" s="9">
        <v>841.04677927207672</v>
      </c>
      <c r="T35" s="7" t="s">
        <v>34</v>
      </c>
      <c r="U35" s="7"/>
    </row>
    <row r="36" spans="1:21" ht="14.1" customHeight="1">
      <c r="A36" s="7">
        <v>32</v>
      </c>
      <c r="B36" s="14" t="s">
        <v>368</v>
      </c>
      <c r="C36" s="14" t="s">
        <v>3777</v>
      </c>
      <c r="D36" s="7" t="s">
        <v>260</v>
      </c>
      <c r="E36" s="14" t="s">
        <v>827</v>
      </c>
      <c r="F36" s="7" t="s">
        <v>3778</v>
      </c>
      <c r="G36" s="8" t="s">
        <v>3833</v>
      </c>
      <c r="H36" s="17" t="s">
        <v>3789</v>
      </c>
      <c r="I36" s="8" t="s">
        <v>3834</v>
      </c>
      <c r="J36" s="7" t="s">
        <v>123</v>
      </c>
      <c r="K36" s="17" t="s">
        <v>3791</v>
      </c>
      <c r="L36" s="7" t="s">
        <v>322</v>
      </c>
      <c r="M36" s="7">
        <v>8302411000</v>
      </c>
      <c r="N36" s="7">
        <v>1</v>
      </c>
      <c r="O36" s="7">
        <v>1</v>
      </c>
      <c r="P36" s="7"/>
      <c r="R36" s="9">
        <v>875.61034554353193</v>
      </c>
      <c r="T36" s="7" t="s">
        <v>34</v>
      </c>
      <c r="U36" s="7"/>
    </row>
    <row r="37" spans="1:21" ht="14.1" customHeight="1">
      <c r="A37" s="7">
        <v>33</v>
      </c>
      <c r="B37" s="14" t="s">
        <v>368</v>
      </c>
      <c r="C37" s="14" t="s">
        <v>3777</v>
      </c>
      <c r="D37" s="7" t="s">
        <v>260</v>
      </c>
      <c r="E37" s="14" t="s">
        <v>827</v>
      </c>
      <c r="F37" s="7" t="s">
        <v>3778</v>
      </c>
      <c r="G37" s="8" t="s">
        <v>3835</v>
      </c>
      <c r="H37" s="17" t="s">
        <v>3786</v>
      </c>
      <c r="I37" s="8" t="s">
        <v>3834</v>
      </c>
      <c r="J37" s="7" t="s">
        <v>123</v>
      </c>
      <c r="K37" s="17" t="s">
        <v>3787</v>
      </c>
      <c r="L37" s="7" t="s">
        <v>322</v>
      </c>
      <c r="M37" s="7">
        <v>8302411000</v>
      </c>
      <c r="N37" s="7">
        <v>1</v>
      </c>
      <c r="O37" s="7">
        <v>1</v>
      </c>
      <c r="P37" s="7"/>
      <c r="R37" s="9">
        <v>875.61034554353193</v>
      </c>
      <c r="T37" s="7" t="s">
        <v>34</v>
      </c>
      <c r="U37" s="7"/>
    </row>
    <row r="38" spans="1:21" ht="14.1" customHeight="1">
      <c r="A38" s="7">
        <v>34</v>
      </c>
      <c r="B38" s="14" t="s">
        <v>368</v>
      </c>
      <c r="C38" s="14" t="s">
        <v>3777</v>
      </c>
      <c r="D38" s="7" t="s">
        <v>260</v>
      </c>
      <c r="E38" s="14" t="s">
        <v>827</v>
      </c>
      <c r="F38" s="7" t="s">
        <v>3778</v>
      </c>
      <c r="G38" s="8" t="s">
        <v>3836</v>
      </c>
      <c r="H38" s="17" t="s">
        <v>3797</v>
      </c>
      <c r="I38" s="8" t="s">
        <v>3834</v>
      </c>
      <c r="J38" s="7" t="s">
        <v>123</v>
      </c>
      <c r="K38" s="17" t="s">
        <v>3798</v>
      </c>
      <c r="L38" s="7" t="s">
        <v>322</v>
      </c>
      <c r="M38" s="7">
        <v>8302411000</v>
      </c>
      <c r="N38" s="7">
        <v>1</v>
      </c>
      <c r="O38" s="7">
        <v>1</v>
      </c>
      <c r="P38" s="7"/>
      <c r="R38" s="9">
        <v>875.61034554353193</v>
      </c>
      <c r="T38" s="7" t="s">
        <v>34</v>
      </c>
      <c r="U38" s="7"/>
    </row>
    <row r="39" spans="1:21" ht="14.1" customHeight="1">
      <c r="A39" s="7">
        <v>35</v>
      </c>
      <c r="B39" s="14" t="s">
        <v>368</v>
      </c>
      <c r="C39" s="14" t="s">
        <v>3777</v>
      </c>
      <c r="D39" s="7" t="s">
        <v>260</v>
      </c>
      <c r="E39" s="14" t="s">
        <v>827</v>
      </c>
      <c r="F39" s="7" t="s">
        <v>3778</v>
      </c>
      <c r="G39" s="8" t="s">
        <v>3837</v>
      </c>
      <c r="H39" s="17" t="s">
        <v>3780</v>
      </c>
      <c r="I39" s="8" t="s">
        <v>3838</v>
      </c>
      <c r="J39" s="7" t="s">
        <v>123</v>
      </c>
      <c r="K39" s="17" t="s">
        <v>26</v>
      </c>
      <c r="L39" s="7" t="s">
        <v>322</v>
      </c>
      <c r="M39" s="7">
        <v>8302411000</v>
      </c>
      <c r="N39" s="7">
        <v>1</v>
      </c>
      <c r="O39" s="7">
        <v>1</v>
      </c>
      <c r="P39" s="7"/>
      <c r="R39" s="9">
        <v>806.48321300062139</v>
      </c>
      <c r="T39" s="7" t="s">
        <v>34</v>
      </c>
      <c r="U39" s="7"/>
    </row>
    <row r="40" spans="1:21" ht="14.1" customHeight="1">
      <c r="A40" s="7">
        <v>36</v>
      </c>
      <c r="B40" s="14" t="s">
        <v>368</v>
      </c>
      <c r="C40" s="14" t="s">
        <v>3777</v>
      </c>
      <c r="D40" s="7" t="s">
        <v>260</v>
      </c>
      <c r="E40" s="14" t="s">
        <v>827</v>
      </c>
      <c r="F40" s="7" t="s">
        <v>3778</v>
      </c>
      <c r="G40" s="8" t="s">
        <v>3839</v>
      </c>
      <c r="H40" s="17" t="s">
        <v>3789</v>
      </c>
      <c r="I40" s="8" t="s">
        <v>3838</v>
      </c>
      <c r="J40" s="7" t="s">
        <v>123</v>
      </c>
      <c r="K40" s="17" t="s">
        <v>3791</v>
      </c>
      <c r="L40" s="7" t="s">
        <v>322</v>
      </c>
      <c r="M40" s="7">
        <v>8302411000</v>
      </c>
      <c r="N40" s="7">
        <v>1</v>
      </c>
      <c r="O40" s="7">
        <v>1</v>
      </c>
      <c r="P40" s="7"/>
      <c r="R40" s="9">
        <v>806.48321300062139</v>
      </c>
      <c r="T40" s="7" t="s">
        <v>34</v>
      </c>
      <c r="U40" s="7"/>
    </row>
    <row r="41" spans="1:21" ht="14.1" customHeight="1">
      <c r="A41" s="7">
        <v>37</v>
      </c>
      <c r="B41" s="14" t="s">
        <v>368</v>
      </c>
      <c r="C41" s="14" t="s">
        <v>3777</v>
      </c>
      <c r="D41" s="7" t="s">
        <v>260</v>
      </c>
      <c r="E41" s="14" t="s">
        <v>827</v>
      </c>
      <c r="F41" s="7" t="s">
        <v>3778</v>
      </c>
      <c r="G41" s="8" t="s">
        <v>3840</v>
      </c>
      <c r="H41" s="17" t="s">
        <v>3783</v>
      </c>
      <c r="I41" s="8" t="s">
        <v>3838</v>
      </c>
      <c r="J41" s="7" t="s">
        <v>123</v>
      </c>
      <c r="K41" s="17" t="s">
        <v>3784</v>
      </c>
      <c r="L41" s="7" t="s">
        <v>322</v>
      </c>
      <c r="M41" s="7">
        <v>8302411000</v>
      </c>
      <c r="N41" s="7">
        <v>1</v>
      </c>
      <c r="O41" s="7">
        <v>1</v>
      </c>
      <c r="P41" s="7"/>
      <c r="R41" s="9">
        <v>806.48321300062139</v>
      </c>
      <c r="T41" s="7" t="s">
        <v>34</v>
      </c>
      <c r="U41" s="7"/>
    </row>
    <row r="42" spans="1:21" ht="14.1" customHeight="1">
      <c r="A42" s="7">
        <v>38</v>
      </c>
      <c r="B42" s="14" t="s">
        <v>368</v>
      </c>
      <c r="C42" s="14" t="s">
        <v>3777</v>
      </c>
      <c r="D42" s="7" t="s">
        <v>260</v>
      </c>
      <c r="E42" s="14" t="s">
        <v>827</v>
      </c>
      <c r="F42" s="7" t="s">
        <v>3778</v>
      </c>
      <c r="G42" s="8" t="s">
        <v>3841</v>
      </c>
      <c r="H42" s="17" t="s">
        <v>3793</v>
      </c>
      <c r="I42" s="8" t="s">
        <v>3838</v>
      </c>
      <c r="J42" s="7" t="s">
        <v>123</v>
      </c>
      <c r="K42" s="17" t="s">
        <v>3794</v>
      </c>
      <c r="L42" s="7" t="s">
        <v>322</v>
      </c>
      <c r="M42" s="7">
        <v>8302411000</v>
      </c>
      <c r="N42" s="7">
        <v>1</v>
      </c>
      <c r="O42" s="7">
        <v>1</v>
      </c>
      <c r="P42" s="7"/>
      <c r="R42" s="9">
        <v>806.48321300062139</v>
      </c>
      <c r="T42" s="7" t="s">
        <v>34</v>
      </c>
      <c r="U42" s="7"/>
    </row>
    <row r="43" spans="1:21" ht="14.1" customHeight="1">
      <c r="A43" s="7">
        <v>39</v>
      </c>
      <c r="B43" s="14" t="s">
        <v>368</v>
      </c>
      <c r="C43" s="14" t="s">
        <v>3777</v>
      </c>
      <c r="D43" s="7" t="s">
        <v>260</v>
      </c>
      <c r="E43" s="14" t="s">
        <v>827</v>
      </c>
      <c r="F43" s="7" t="s">
        <v>3778</v>
      </c>
      <c r="G43" s="8" t="s">
        <v>3842</v>
      </c>
      <c r="H43" s="17" t="s">
        <v>3786</v>
      </c>
      <c r="I43" s="8" t="s">
        <v>3838</v>
      </c>
      <c r="J43" s="7" t="s">
        <v>123</v>
      </c>
      <c r="K43" s="17" t="s">
        <v>3787</v>
      </c>
      <c r="L43" s="7" t="s">
        <v>322</v>
      </c>
      <c r="M43" s="7">
        <v>8302411000</v>
      </c>
      <c r="N43" s="7">
        <v>1</v>
      </c>
      <c r="O43" s="7">
        <v>1</v>
      </c>
      <c r="P43" s="7"/>
      <c r="R43" s="9">
        <v>806.48321300062139</v>
      </c>
      <c r="T43" s="7" t="s">
        <v>34</v>
      </c>
      <c r="U43" s="7"/>
    </row>
    <row r="44" spans="1:21" ht="14.1" customHeight="1">
      <c r="A44" s="7">
        <v>40</v>
      </c>
      <c r="B44" s="14" t="s">
        <v>368</v>
      </c>
      <c r="C44" s="14" t="s">
        <v>3777</v>
      </c>
      <c r="D44" s="7" t="s">
        <v>260</v>
      </c>
      <c r="E44" s="14" t="s">
        <v>827</v>
      </c>
      <c r="F44" s="7" t="s">
        <v>3778</v>
      </c>
      <c r="G44" s="8" t="s">
        <v>3843</v>
      </c>
      <c r="H44" s="17" t="s">
        <v>3797</v>
      </c>
      <c r="I44" s="8" t="s">
        <v>3838</v>
      </c>
      <c r="J44" s="7" t="s">
        <v>123</v>
      </c>
      <c r="K44" s="17" t="s">
        <v>3798</v>
      </c>
      <c r="L44" s="7" t="s">
        <v>322</v>
      </c>
      <c r="M44" s="7">
        <v>8302411000</v>
      </c>
      <c r="N44" s="7">
        <v>1</v>
      </c>
      <c r="O44" s="7">
        <v>1</v>
      </c>
      <c r="P44" s="7"/>
      <c r="R44" s="9">
        <v>806.48321300062139</v>
      </c>
      <c r="T44" s="7" t="s">
        <v>34</v>
      </c>
      <c r="U44" s="7"/>
    </row>
    <row r="45" spans="1:21" ht="14.1" customHeight="1">
      <c r="A45" s="7">
        <v>41</v>
      </c>
      <c r="B45" s="14" t="s">
        <v>368</v>
      </c>
      <c r="C45" s="14" t="s">
        <v>3777</v>
      </c>
      <c r="D45" s="7" t="s">
        <v>260</v>
      </c>
      <c r="E45" s="14" t="s">
        <v>827</v>
      </c>
      <c r="F45" s="7" t="s">
        <v>3778</v>
      </c>
      <c r="G45" s="8" t="s">
        <v>3844</v>
      </c>
      <c r="H45" s="17" t="s">
        <v>3780</v>
      </c>
      <c r="I45" s="8" t="s">
        <v>3845</v>
      </c>
      <c r="J45" s="7" t="s">
        <v>123</v>
      </c>
      <c r="K45" s="17" t="s">
        <v>26</v>
      </c>
      <c r="L45" s="7" t="s">
        <v>322</v>
      </c>
      <c r="M45" s="7">
        <v>8302411000</v>
      </c>
      <c r="N45" s="7">
        <v>1</v>
      </c>
      <c r="O45" s="7">
        <v>1</v>
      </c>
      <c r="P45" s="7"/>
      <c r="R45" s="9">
        <v>132.62168391565771</v>
      </c>
      <c r="T45" s="7" t="s">
        <v>34</v>
      </c>
      <c r="U45" s="7"/>
    </row>
    <row r="46" spans="1:21" ht="14.1" customHeight="1">
      <c r="A46" s="7">
        <v>42</v>
      </c>
      <c r="B46" s="14" t="s">
        <v>368</v>
      </c>
      <c r="C46" s="14" t="s">
        <v>3777</v>
      </c>
      <c r="D46" s="7" t="s">
        <v>260</v>
      </c>
      <c r="E46" s="14" t="s">
        <v>827</v>
      </c>
      <c r="F46" s="7" t="s">
        <v>3778</v>
      </c>
      <c r="G46" s="8" t="s">
        <v>3846</v>
      </c>
      <c r="H46" s="17" t="s">
        <v>3800</v>
      </c>
      <c r="I46" s="8" t="s">
        <v>3845</v>
      </c>
      <c r="J46" s="7" t="s">
        <v>123</v>
      </c>
      <c r="K46" s="17" t="s">
        <v>3802</v>
      </c>
      <c r="L46" s="7" t="s">
        <v>322</v>
      </c>
      <c r="M46" s="7">
        <v>8302411000</v>
      </c>
      <c r="N46" s="7">
        <v>1</v>
      </c>
      <c r="O46" s="7">
        <v>1</v>
      </c>
      <c r="P46" s="7"/>
      <c r="R46" s="9">
        <v>132.62168391565771</v>
      </c>
      <c r="T46" s="7" t="s">
        <v>34</v>
      </c>
      <c r="U46" s="7"/>
    </row>
    <row r="47" spans="1:21" ht="14.1" customHeight="1">
      <c r="A47" s="7">
        <v>43</v>
      </c>
      <c r="B47" s="14" t="s">
        <v>368</v>
      </c>
      <c r="C47" s="14" t="s">
        <v>3777</v>
      </c>
      <c r="D47" s="7" t="s">
        <v>260</v>
      </c>
      <c r="E47" s="14" t="s">
        <v>827</v>
      </c>
      <c r="F47" s="7" t="s">
        <v>3778</v>
      </c>
      <c r="G47" s="8" t="s">
        <v>3847</v>
      </c>
      <c r="H47" s="17" t="s">
        <v>3789</v>
      </c>
      <c r="I47" s="8" t="s">
        <v>3845</v>
      </c>
      <c r="J47" s="7" t="s">
        <v>123</v>
      </c>
      <c r="K47" s="17" t="s">
        <v>3791</v>
      </c>
      <c r="L47" s="7" t="s">
        <v>322</v>
      </c>
      <c r="M47" s="7">
        <v>8302411000</v>
      </c>
      <c r="N47" s="7">
        <v>1</v>
      </c>
      <c r="O47" s="7">
        <v>1</v>
      </c>
      <c r="P47" s="7"/>
      <c r="R47" s="9">
        <v>132.62168391565771</v>
      </c>
      <c r="T47" s="7" t="s">
        <v>34</v>
      </c>
      <c r="U47" s="7"/>
    </row>
    <row r="48" spans="1:21" ht="14.1" customHeight="1">
      <c r="A48" s="7">
        <v>44</v>
      </c>
      <c r="B48" s="14" t="s">
        <v>368</v>
      </c>
      <c r="C48" s="14" t="s">
        <v>3777</v>
      </c>
      <c r="D48" s="7" t="s">
        <v>260</v>
      </c>
      <c r="E48" s="14" t="s">
        <v>827</v>
      </c>
      <c r="F48" s="7" t="s">
        <v>3778</v>
      </c>
      <c r="G48" s="8" t="s">
        <v>3848</v>
      </c>
      <c r="H48" s="17" t="s">
        <v>3783</v>
      </c>
      <c r="I48" s="8" t="s">
        <v>3845</v>
      </c>
      <c r="J48" s="7" t="s">
        <v>123</v>
      </c>
      <c r="K48" s="17" t="s">
        <v>3784</v>
      </c>
      <c r="L48" s="7" t="s">
        <v>322</v>
      </c>
      <c r="M48" s="7">
        <v>8302411000</v>
      </c>
      <c r="N48" s="7">
        <v>1</v>
      </c>
      <c r="O48" s="7">
        <v>1</v>
      </c>
      <c r="P48" s="7"/>
      <c r="R48" s="9">
        <v>132.62168391565771</v>
      </c>
      <c r="T48" s="7" t="s">
        <v>34</v>
      </c>
      <c r="U48" s="7"/>
    </row>
    <row r="49" spans="1:21" ht="14.1" customHeight="1">
      <c r="A49" s="7">
        <v>45</v>
      </c>
      <c r="B49" s="14" t="s">
        <v>368</v>
      </c>
      <c r="C49" s="14" t="s">
        <v>3777</v>
      </c>
      <c r="D49" s="7" t="s">
        <v>260</v>
      </c>
      <c r="E49" s="14" t="s">
        <v>827</v>
      </c>
      <c r="F49" s="7" t="s">
        <v>3778</v>
      </c>
      <c r="G49" s="8" t="s">
        <v>3849</v>
      </c>
      <c r="H49" s="17" t="s">
        <v>3793</v>
      </c>
      <c r="I49" s="8" t="s">
        <v>3845</v>
      </c>
      <c r="J49" s="7" t="s">
        <v>123</v>
      </c>
      <c r="K49" s="17" t="s">
        <v>3794</v>
      </c>
      <c r="L49" s="7" t="s">
        <v>322</v>
      </c>
      <c r="M49" s="7">
        <v>8302411000</v>
      </c>
      <c r="N49" s="7">
        <v>1</v>
      </c>
      <c r="O49" s="7">
        <v>1</v>
      </c>
      <c r="P49" s="7"/>
      <c r="R49" s="9">
        <v>132.62168391565771</v>
      </c>
      <c r="T49" s="7" t="s">
        <v>34</v>
      </c>
      <c r="U49" s="7"/>
    </row>
    <row r="50" spans="1:21" ht="14.1" customHeight="1">
      <c r="A50" s="7">
        <v>46</v>
      </c>
      <c r="B50" s="14" t="s">
        <v>368</v>
      </c>
      <c r="C50" s="14" t="s">
        <v>3777</v>
      </c>
      <c r="D50" s="7" t="s">
        <v>260</v>
      </c>
      <c r="E50" s="14" t="s">
        <v>827</v>
      </c>
      <c r="F50" s="7" t="s">
        <v>3778</v>
      </c>
      <c r="G50" s="8" t="s">
        <v>3850</v>
      </c>
      <c r="H50" s="17" t="s">
        <v>3828</v>
      </c>
      <c r="I50" s="8" t="s">
        <v>3845</v>
      </c>
      <c r="J50" s="7" t="s">
        <v>123</v>
      </c>
      <c r="K50" s="17" t="s">
        <v>3851</v>
      </c>
      <c r="L50" s="7" t="s">
        <v>322</v>
      </c>
      <c r="M50" s="7">
        <v>8302411000</v>
      </c>
      <c r="N50" s="7">
        <v>1</v>
      </c>
      <c r="O50" s="7">
        <v>1</v>
      </c>
      <c r="P50" s="7"/>
      <c r="R50" s="9">
        <v>132.62168391565771</v>
      </c>
      <c r="T50" s="7" t="s">
        <v>34</v>
      </c>
      <c r="U50" s="7"/>
    </row>
    <row r="51" spans="1:21" ht="14.1" customHeight="1">
      <c r="A51" s="7">
        <v>47</v>
      </c>
      <c r="B51" s="14" t="s">
        <v>368</v>
      </c>
      <c r="C51" s="14" t="s">
        <v>3777</v>
      </c>
      <c r="D51" s="7" t="s">
        <v>260</v>
      </c>
      <c r="E51" s="14" t="s">
        <v>827</v>
      </c>
      <c r="F51" s="7" t="s">
        <v>3778</v>
      </c>
      <c r="G51" s="8" t="s">
        <v>3852</v>
      </c>
      <c r="H51" s="17" t="s">
        <v>3786</v>
      </c>
      <c r="I51" s="8" t="s">
        <v>3845</v>
      </c>
      <c r="J51" s="7" t="s">
        <v>123</v>
      </c>
      <c r="K51" s="17" t="s">
        <v>3787</v>
      </c>
      <c r="L51" s="7" t="s">
        <v>322</v>
      </c>
      <c r="M51" s="7">
        <v>8302411000</v>
      </c>
      <c r="N51" s="7">
        <v>1</v>
      </c>
      <c r="O51" s="7">
        <v>1</v>
      </c>
      <c r="P51" s="7"/>
      <c r="R51" s="9">
        <v>132.62168391565771</v>
      </c>
      <c r="T51" s="7" t="s">
        <v>34</v>
      </c>
      <c r="U51" s="7"/>
    </row>
    <row r="52" spans="1:21" ht="14.1" customHeight="1">
      <c r="A52" s="7">
        <v>48</v>
      </c>
      <c r="B52" s="14" t="s">
        <v>368</v>
      </c>
      <c r="C52" s="14" t="s">
        <v>3777</v>
      </c>
      <c r="D52" s="7" t="s">
        <v>260</v>
      </c>
      <c r="E52" s="14" t="s">
        <v>827</v>
      </c>
      <c r="F52" s="7" t="s">
        <v>3778</v>
      </c>
      <c r="G52" s="8" t="s">
        <v>3853</v>
      </c>
      <c r="H52" s="17" t="s">
        <v>3797</v>
      </c>
      <c r="I52" s="8" t="s">
        <v>3845</v>
      </c>
      <c r="J52" s="7" t="s">
        <v>123</v>
      </c>
      <c r="K52" s="17" t="s">
        <v>3798</v>
      </c>
      <c r="L52" s="7" t="s">
        <v>322</v>
      </c>
      <c r="M52" s="7">
        <v>8302411000</v>
      </c>
      <c r="N52" s="7">
        <v>1</v>
      </c>
      <c r="O52" s="7">
        <v>1</v>
      </c>
      <c r="P52" s="7"/>
      <c r="R52" s="9">
        <v>132.62168391565771</v>
      </c>
      <c r="T52" s="7" t="s">
        <v>34</v>
      </c>
      <c r="U52" s="7"/>
    </row>
    <row r="53" spans="1:21" ht="14.1" customHeight="1">
      <c r="A53" s="7">
        <v>49</v>
      </c>
      <c r="B53" s="14" t="s">
        <v>368</v>
      </c>
      <c r="C53" s="14" t="s">
        <v>3777</v>
      </c>
      <c r="D53" s="7" t="s">
        <v>260</v>
      </c>
      <c r="E53" s="14" t="s">
        <v>827</v>
      </c>
      <c r="F53" s="7" t="s">
        <v>3778</v>
      </c>
      <c r="G53" s="8" t="s">
        <v>3854</v>
      </c>
      <c r="H53" s="17" t="s">
        <v>3780</v>
      </c>
      <c r="I53" s="8" t="s">
        <v>3855</v>
      </c>
      <c r="J53" s="7" t="s">
        <v>123</v>
      </c>
      <c r="K53" s="17" t="s">
        <v>26</v>
      </c>
      <c r="L53" s="7" t="s">
        <v>322</v>
      </c>
      <c r="M53" s="7">
        <v>8302411000</v>
      </c>
      <c r="N53" s="7">
        <v>1</v>
      </c>
      <c r="O53" s="7">
        <v>1</v>
      </c>
      <c r="P53" s="7"/>
      <c r="R53" s="9">
        <v>132.62168391565771</v>
      </c>
      <c r="T53" s="7" t="s">
        <v>34</v>
      </c>
      <c r="U53" s="7"/>
    </row>
    <row r="54" spans="1:21" ht="14.1" customHeight="1">
      <c r="A54" s="7">
        <v>50</v>
      </c>
      <c r="B54" s="14" t="s">
        <v>368</v>
      </c>
      <c r="C54" s="14" t="s">
        <v>3777</v>
      </c>
      <c r="D54" s="7" t="s">
        <v>260</v>
      </c>
      <c r="E54" s="14" t="s">
        <v>827</v>
      </c>
      <c r="F54" s="7" t="s">
        <v>3778</v>
      </c>
      <c r="G54" s="8" t="s">
        <v>3856</v>
      </c>
      <c r="H54" s="17" t="s">
        <v>3800</v>
      </c>
      <c r="I54" s="8" t="s">
        <v>3855</v>
      </c>
      <c r="J54" s="7" t="s">
        <v>123</v>
      </c>
      <c r="K54" s="17" t="s">
        <v>3802</v>
      </c>
      <c r="L54" s="7" t="s">
        <v>322</v>
      </c>
      <c r="M54" s="7">
        <v>8302411000</v>
      </c>
      <c r="N54" s="7">
        <v>1</v>
      </c>
      <c r="O54" s="7">
        <v>1</v>
      </c>
      <c r="P54" s="7"/>
      <c r="R54" s="9">
        <v>132.62168391565771</v>
      </c>
      <c r="T54" s="7" t="s">
        <v>34</v>
      </c>
      <c r="U54" s="7"/>
    </row>
    <row r="55" spans="1:21" ht="14.1" customHeight="1">
      <c r="A55" s="7">
        <v>51</v>
      </c>
      <c r="B55" s="14" t="s">
        <v>368</v>
      </c>
      <c r="C55" s="14" t="s">
        <v>3777</v>
      </c>
      <c r="D55" s="7" t="s">
        <v>260</v>
      </c>
      <c r="E55" s="14" t="s">
        <v>827</v>
      </c>
      <c r="F55" s="7" t="s">
        <v>3778</v>
      </c>
      <c r="G55" s="8" t="s">
        <v>3857</v>
      </c>
      <c r="H55" s="17" t="s">
        <v>3789</v>
      </c>
      <c r="I55" s="8" t="s">
        <v>3855</v>
      </c>
      <c r="J55" s="7" t="s">
        <v>123</v>
      </c>
      <c r="K55" s="17" t="s">
        <v>3791</v>
      </c>
      <c r="L55" s="7" t="s">
        <v>322</v>
      </c>
      <c r="M55" s="7">
        <v>8302411000</v>
      </c>
      <c r="N55" s="7">
        <v>1</v>
      </c>
      <c r="O55" s="7">
        <v>1</v>
      </c>
      <c r="P55" s="7"/>
      <c r="R55" s="9">
        <v>132.62168391565771</v>
      </c>
      <c r="T55" s="7" t="s">
        <v>34</v>
      </c>
      <c r="U55" s="7"/>
    </row>
    <row r="56" spans="1:21" ht="14.1" customHeight="1">
      <c r="A56" s="7">
        <v>52</v>
      </c>
      <c r="B56" s="14" t="s">
        <v>368</v>
      </c>
      <c r="C56" s="14" t="s">
        <v>3777</v>
      </c>
      <c r="D56" s="7" t="s">
        <v>260</v>
      </c>
      <c r="E56" s="14" t="s">
        <v>827</v>
      </c>
      <c r="F56" s="7" t="s">
        <v>3778</v>
      </c>
      <c r="G56" s="8" t="s">
        <v>3858</v>
      </c>
      <c r="H56" s="17" t="s">
        <v>3783</v>
      </c>
      <c r="I56" s="8" t="s">
        <v>3855</v>
      </c>
      <c r="J56" s="7" t="s">
        <v>123</v>
      </c>
      <c r="K56" s="17" t="s">
        <v>3784</v>
      </c>
      <c r="L56" s="7" t="s">
        <v>322</v>
      </c>
      <c r="M56" s="7">
        <v>8302411000</v>
      </c>
      <c r="N56" s="7">
        <v>1</v>
      </c>
      <c r="O56" s="7">
        <v>1</v>
      </c>
      <c r="P56" s="7"/>
      <c r="R56" s="9">
        <v>132.62168391565771</v>
      </c>
      <c r="T56" s="7" t="s">
        <v>34</v>
      </c>
      <c r="U56" s="7"/>
    </row>
    <row r="57" spans="1:21" ht="14.1" customHeight="1">
      <c r="A57" s="7">
        <v>53</v>
      </c>
      <c r="B57" s="14" t="s">
        <v>368</v>
      </c>
      <c r="C57" s="14" t="s">
        <v>3777</v>
      </c>
      <c r="D57" s="7" t="s">
        <v>260</v>
      </c>
      <c r="E57" s="14" t="s">
        <v>827</v>
      </c>
      <c r="F57" s="7" t="s">
        <v>3778</v>
      </c>
      <c r="G57" s="8" t="s">
        <v>3859</v>
      </c>
      <c r="H57" s="17" t="s">
        <v>3793</v>
      </c>
      <c r="I57" s="8" t="s">
        <v>3855</v>
      </c>
      <c r="J57" s="7" t="s">
        <v>123</v>
      </c>
      <c r="K57" s="17" t="s">
        <v>3794</v>
      </c>
      <c r="L57" s="7" t="s">
        <v>322</v>
      </c>
      <c r="M57" s="7">
        <v>8302411000</v>
      </c>
      <c r="N57" s="7">
        <v>1</v>
      </c>
      <c r="O57" s="7">
        <v>1</v>
      </c>
      <c r="P57" s="7"/>
      <c r="R57" s="9">
        <v>132.62168391565771</v>
      </c>
      <c r="T57" s="7" t="s">
        <v>34</v>
      </c>
      <c r="U57" s="7"/>
    </row>
    <row r="58" spans="1:21" ht="14.1" customHeight="1">
      <c r="A58" s="7">
        <v>54</v>
      </c>
      <c r="B58" s="14" t="s">
        <v>368</v>
      </c>
      <c r="C58" s="14" t="s">
        <v>3777</v>
      </c>
      <c r="D58" s="7" t="s">
        <v>260</v>
      </c>
      <c r="E58" s="14" t="s">
        <v>827</v>
      </c>
      <c r="F58" s="7" t="s">
        <v>3778</v>
      </c>
      <c r="G58" s="8" t="s">
        <v>3860</v>
      </c>
      <c r="H58" s="17" t="s">
        <v>3828</v>
      </c>
      <c r="I58" s="8" t="s">
        <v>3855</v>
      </c>
      <c r="J58" s="7" t="s">
        <v>123</v>
      </c>
      <c r="K58" s="17" t="s">
        <v>3851</v>
      </c>
      <c r="L58" s="7" t="s">
        <v>322</v>
      </c>
      <c r="M58" s="7">
        <v>8302411000</v>
      </c>
      <c r="N58" s="7">
        <v>1</v>
      </c>
      <c r="O58" s="7">
        <v>1</v>
      </c>
      <c r="P58" s="7"/>
      <c r="R58" s="9">
        <v>132.62168391565771</v>
      </c>
      <c r="T58" s="7" t="s">
        <v>34</v>
      </c>
      <c r="U58" s="7"/>
    </row>
    <row r="59" spans="1:21" ht="14.1" customHeight="1">
      <c r="A59" s="7">
        <v>55</v>
      </c>
      <c r="B59" s="14" t="s">
        <v>368</v>
      </c>
      <c r="C59" s="14" t="s">
        <v>3777</v>
      </c>
      <c r="D59" s="7" t="s">
        <v>260</v>
      </c>
      <c r="E59" s="14" t="s">
        <v>827</v>
      </c>
      <c r="F59" s="7" t="s">
        <v>3778</v>
      </c>
      <c r="G59" s="8" t="s">
        <v>3861</v>
      </c>
      <c r="H59" s="17" t="s">
        <v>3786</v>
      </c>
      <c r="I59" s="8" t="s">
        <v>3855</v>
      </c>
      <c r="J59" s="7" t="s">
        <v>123</v>
      </c>
      <c r="K59" s="17" t="s">
        <v>3787</v>
      </c>
      <c r="L59" s="7" t="s">
        <v>322</v>
      </c>
      <c r="M59" s="7">
        <v>8302411000</v>
      </c>
      <c r="N59" s="7">
        <v>1</v>
      </c>
      <c r="O59" s="7">
        <v>1</v>
      </c>
      <c r="P59" s="7"/>
      <c r="R59" s="9">
        <v>132.62168391565771</v>
      </c>
      <c r="T59" s="7" t="s">
        <v>34</v>
      </c>
      <c r="U59" s="7"/>
    </row>
    <row r="60" spans="1:21" ht="14.1" customHeight="1">
      <c r="A60" s="7">
        <v>56</v>
      </c>
      <c r="B60" s="14" t="s">
        <v>368</v>
      </c>
      <c r="C60" s="14" t="s">
        <v>3777</v>
      </c>
      <c r="D60" s="7" t="s">
        <v>260</v>
      </c>
      <c r="E60" s="14" t="s">
        <v>827</v>
      </c>
      <c r="F60" s="7" t="s">
        <v>3778</v>
      </c>
      <c r="G60" s="8" t="s">
        <v>3862</v>
      </c>
      <c r="H60" s="17" t="s">
        <v>3797</v>
      </c>
      <c r="I60" s="8" t="s">
        <v>3855</v>
      </c>
      <c r="J60" s="7" t="s">
        <v>123</v>
      </c>
      <c r="K60" s="17" t="s">
        <v>3798</v>
      </c>
      <c r="L60" s="7" t="s">
        <v>322</v>
      </c>
      <c r="M60" s="7">
        <v>8302411000</v>
      </c>
      <c r="N60" s="7">
        <v>1</v>
      </c>
      <c r="O60" s="7">
        <v>1</v>
      </c>
      <c r="P60" s="7"/>
      <c r="R60" s="9">
        <v>132.62168391565771</v>
      </c>
      <c r="T60" s="7" t="s">
        <v>34</v>
      </c>
      <c r="U60" s="7"/>
    </row>
    <row r="61" spans="1:21" ht="14.1" customHeight="1">
      <c r="A61" s="7">
        <v>57</v>
      </c>
      <c r="B61" s="14" t="s">
        <v>368</v>
      </c>
      <c r="C61" s="14" t="s">
        <v>3777</v>
      </c>
      <c r="D61" s="7" t="s">
        <v>260</v>
      </c>
      <c r="E61" s="14" t="s">
        <v>827</v>
      </c>
      <c r="F61" s="7" t="s">
        <v>3778</v>
      </c>
      <c r="G61" s="8" t="s">
        <v>3863</v>
      </c>
      <c r="H61" s="17" t="s">
        <v>3780</v>
      </c>
      <c r="I61" s="8" t="s">
        <v>3864</v>
      </c>
      <c r="J61" s="7" t="s">
        <v>123</v>
      </c>
      <c r="K61" s="17" t="s">
        <v>26</v>
      </c>
      <c r="L61" s="7" t="s">
        <v>322</v>
      </c>
      <c r="M61" s="7">
        <v>8302411000</v>
      </c>
      <c r="N61" s="7">
        <v>1</v>
      </c>
      <c r="O61" s="7">
        <v>1</v>
      </c>
      <c r="P61" s="7"/>
      <c r="R61" s="9">
        <v>178.7064389442647</v>
      </c>
      <c r="T61" s="7" t="s">
        <v>34</v>
      </c>
      <c r="U61" s="7"/>
    </row>
    <row r="62" spans="1:21" ht="14.1" customHeight="1">
      <c r="A62" s="7">
        <v>58</v>
      </c>
      <c r="B62" s="14" t="s">
        <v>368</v>
      </c>
      <c r="C62" s="14" t="s">
        <v>3777</v>
      </c>
      <c r="D62" s="7" t="s">
        <v>260</v>
      </c>
      <c r="E62" s="14" t="s">
        <v>827</v>
      </c>
      <c r="F62" s="7" t="s">
        <v>3778</v>
      </c>
      <c r="G62" s="8" t="s">
        <v>3865</v>
      </c>
      <c r="H62" s="17" t="s">
        <v>3800</v>
      </c>
      <c r="I62" s="8" t="s">
        <v>3864</v>
      </c>
      <c r="J62" s="7" t="s">
        <v>123</v>
      </c>
      <c r="K62" s="17" t="s">
        <v>3802</v>
      </c>
      <c r="L62" s="7" t="s">
        <v>322</v>
      </c>
      <c r="M62" s="7">
        <v>8302411000</v>
      </c>
      <c r="N62" s="7">
        <v>1</v>
      </c>
      <c r="O62" s="7">
        <v>1</v>
      </c>
      <c r="P62" s="7"/>
      <c r="R62" s="9">
        <v>178.7064389442647</v>
      </c>
      <c r="T62" s="7" t="s">
        <v>34</v>
      </c>
      <c r="U62" s="7"/>
    </row>
    <row r="63" spans="1:21" ht="14.1" customHeight="1">
      <c r="A63" s="7">
        <v>59</v>
      </c>
      <c r="B63" s="14" t="s">
        <v>368</v>
      </c>
      <c r="C63" s="14" t="s">
        <v>3777</v>
      </c>
      <c r="D63" s="7" t="s">
        <v>260</v>
      </c>
      <c r="E63" s="14" t="s">
        <v>827</v>
      </c>
      <c r="F63" s="7" t="s">
        <v>3778</v>
      </c>
      <c r="G63" s="8" t="s">
        <v>3866</v>
      </c>
      <c r="H63" s="17" t="s">
        <v>3789</v>
      </c>
      <c r="I63" s="8" t="s">
        <v>3864</v>
      </c>
      <c r="J63" s="7" t="s">
        <v>123</v>
      </c>
      <c r="K63" s="17" t="s">
        <v>3791</v>
      </c>
      <c r="L63" s="7" t="s">
        <v>322</v>
      </c>
      <c r="M63" s="7">
        <v>8302411000</v>
      </c>
      <c r="N63" s="7">
        <v>1</v>
      </c>
      <c r="O63" s="7">
        <v>1</v>
      </c>
      <c r="P63" s="7"/>
      <c r="R63" s="9">
        <v>178.7064389442647</v>
      </c>
      <c r="T63" s="7" t="s">
        <v>34</v>
      </c>
      <c r="U63" s="7"/>
    </row>
    <row r="64" spans="1:21" ht="14.1" customHeight="1">
      <c r="A64" s="7">
        <v>60</v>
      </c>
      <c r="B64" s="14" t="s">
        <v>368</v>
      </c>
      <c r="C64" s="14" t="s">
        <v>3777</v>
      </c>
      <c r="D64" s="7" t="s">
        <v>260</v>
      </c>
      <c r="E64" s="14" t="s">
        <v>827</v>
      </c>
      <c r="F64" s="7" t="s">
        <v>3778</v>
      </c>
      <c r="G64" s="8" t="s">
        <v>3867</v>
      </c>
      <c r="H64" s="17" t="s">
        <v>3783</v>
      </c>
      <c r="I64" s="8" t="s">
        <v>3864</v>
      </c>
      <c r="J64" s="7" t="s">
        <v>123</v>
      </c>
      <c r="K64" s="17" t="s">
        <v>3784</v>
      </c>
      <c r="L64" s="7" t="s">
        <v>322</v>
      </c>
      <c r="M64" s="7">
        <v>8302411000</v>
      </c>
      <c r="N64" s="7">
        <v>1</v>
      </c>
      <c r="O64" s="7">
        <v>1</v>
      </c>
      <c r="P64" s="7"/>
      <c r="R64" s="9">
        <v>178.7064389442647</v>
      </c>
      <c r="T64" s="7" t="s">
        <v>34</v>
      </c>
      <c r="U64" s="7"/>
    </row>
    <row r="65" spans="1:21" ht="14.1" customHeight="1">
      <c r="A65" s="7">
        <v>61</v>
      </c>
      <c r="B65" s="14" t="s">
        <v>368</v>
      </c>
      <c r="C65" s="14" t="s">
        <v>3777</v>
      </c>
      <c r="D65" s="7" t="s">
        <v>260</v>
      </c>
      <c r="E65" s="14" t="s">
        <v>827</v>
      </c>
      <c r="F65" s="7" t="s">
        <v>3778</v>
      </c>
      <c r="G65" s="8" t="s">
        <v>3868</v>
      </c>
      <c r="H65" s="17" t="s">
        <v>3793</v>
      </c>
      <c r="I65" s="8" t="s">
        <v>3864</v>
      </c>
      <c r="J65" s="7" t="s">
        <v>123</v>
      </c>
      <c r="K65" s="17" t="s">
        <v>3794</v>
      </c>
      <c r="L65" s="7" t="s">
        <v>322</v>
      </c>
      <c r="M65" s="7">
        <v>8302411000</v>
      </c>
      <c r="N65" s="7">
        <v>1</v>
      </c>
      <c r="O65" s="7">
        <v>1</v>
      </c>
      <c r="P65" s="7"/>
      <c r="R65" s="9">
        <v>178.7064389442647</v>
      </c>
      <c r="T65" s="7" t="s">
        <v>34</v>
      </c>
      <c r="U65" s="7"/>
    </row>
    <row r="66" spans="1:21" ht="14.1" customHeight="1">
      <c r="A66" s="7">
        <v>62</v>
      </c>
      <c r="B66" s="14" t="s">
        <v>368</v>
      </c>
      <c r="C66" s="14" t="s">
        <v>3777</v>
      </c>
      <c r="D66" s="7" t="s">
        <v>260</v>
      </c>
      <c r="E66" s="14" t="s">
        <v>827</v>
      </c>
      <c r="F66" s="7" t="s">
        <v>3778</v>
      </c>
      <c r="G66" s="8" t="s">
        <v>3869</v>
      </c>
      <c r="H66" s="17" t="s">
        <v>3828</v>
      </c>
      <c r="I66" s="8" t="s">
        <v>3864</v>
      </c>
      <c r="J66" s="7" t="s">
        <v>123</v>
      </c>
      <c r="K66" s="17" t="s">
        <v>3851</v>
      </c>
      <c r="L66" s="7" t="s">
        <v>322</v>
      </c>
      <c r="M66" s="7">
        <v>8302411000</v>
      </c>
      <c r="N66" s="7">
        <v>1</v>
      </c>
      <c r="O66" s="7">
        <v>1</v>
      </c>
      <c r="P66" s="7"/>
      <c r="R66" s="9">
        <v>178.7064389442647</v>
      </c>
      <c r="T66" s="7" t="s">
        <v>34</v>
      </c>
      <c r="U66" s="7"/>
    </row>
    <row r="67" spans="1:21" ht="14.1" customHeight="1">
      <c r="A67" s="7">
        <v>63</v>
      </c>
      <c r="B67" s="14" t="s">
        <v>368</v>
      </c>
      <c r="C67" s="14" t="s">
        <v>3777</v>
      </c>
      <c r="D67" s="7" t="s">
        <v>260</v>
      </c>
      <c r="E67" s="14" t="s">
        <v>827</v>
      </c>
      <c r="F67" s="7" t="s">
        <v>3778</v>
      </c>
      <c r="G67" s="8" t="s">
        <v>3870</v>
      </c>
      <c r="H67" s="17" t="s">
        <v>3786</v>
      </c>
      <c r="I67" s="8" t="s">
        <v>3864</v>
      </c>
      <c r="J67" s="7" t="s">
        <v>123</v>
      </c>
      <c r="K67" s="17" t="s">
        <v>3787</v>
      </c>
      <c r="L67" s="7" t="s">
        <v>322</v>
      </c>
      <c r="M67" s="7">
        <v>8302411000</v>
      </c>
      <c r="N67" s="7">
        <v>1</v>
      </c>
      <c r="O67" s="7">
        <v>1</v>
      </c>
      <c r="P67" s="7"/>
      <c r="R67" s="9">
        <v>178.7064389442647</v>
      </c>
      <c r="T67" s="7" t="s">
        <v>34</v>
      </c>
      <c r="U67" s="7"/>
    </row>
    <row r="68" spans="1:21" ht="14.1" customHeight="1">
      <c r="A68" s="7">
        <v>64</v>
      </c>
      <c r="B68" s="14" t="s">
        <v>368</v>
      </c>
      <c r="C68" s="14" t="s">
        <v>3777</v>
      </c>
      <c r="D68" s="7" t="s">
        <v>260</v>
      </c>
      <c r="E68" s="14" t="s">
        <v>827</v>
      </c>
      <c r="F68" s="7" t="s">
        <v>3778</v>
      </c>
      <c r="G68" s="8" t="s">
        <v>3871</v>
      </c>
      <c r="H68" s="17" t="s">
        <v>3797</v>
      </c>
      <c r="I68" s="8" t="s">
        <v>3864</v>
      </c>
      <c r="J68" s="7" t="s">
        <v>123</v>
      </c>
      <c r="K68" s="17" t="s">
        <v>3798</v>
      </c>
      <c r="L68" s="7" t="s">
        <v>322</v>
      </c>
      <c r="M68" s="7">
        <v>8302411000</v>
      </c>
      <c r="N68" s="7">
        <v>1</v>
      </c>
      <c r="O68" s="7">
        <v>1</v>
      </c>
      <c r="P68" s="7"/>
      <c r="R68" s="9">
        <v>178.7064389442647</v>
      </c>
      <c r="T68" s="7" t="s">
        <v>34</v>
      </c>
      <c r="U68" s="7"/>
    </row>
    <row r="69" spans="1:21" ht="14.1" customHeight="1">
      <c r="A69" s="7">
        <v>65</v>
      </c>
      <c r="B69" s="14" t="s">
        <v>368</v>
      </c>
      <c r="C69" s="14" t="s">
        <v>3777</v>
      </c>
      <c r="D69" s="7" t="s">
        <v>260</v>
      </c>
      <c r="E69" s="14" t="s">
        <v>827</v>
      </c>
      <c r="F69" s="7" t="s">
        <v>3778</v>
      </c>
      <c r="G69" s="8" t="s">
        <v>3872</v>
      </c>
      <c r="H69" s="17" t="s">
        <v>3780</v>
      </c>
      <c r="I69" s="8" t="s">
        <v>3873</v>
      </c>
      <c r="J69" s="7" t="s">
        <v>123</v>
      </c>
      <c r="K69" s="17" t="s">
        <v>26</v>
      </c>
      <c r="L69" s="7" t="s">
        <v>322</v>
      </c>
      <c r="M69" s="7">
        <v>8302411000</v>
      </c>
      <c r="N69" s="7">
        <v>1</v>
      </c>
      <c r="O69" s="7">
        <v>1</v>
      </c>
      <c r="P69" s="7"/>
      <c r="R69" s="9">
        <v>178.7064389442647</v>
      </c>
      <c r="T69" s="7" t="s">
        <v>34</v>
      </c>
      <c r="U69" s="7"/>
    </row>
    <row r="70" spans="1:21" ht="14.1" customHeight="1">
      <c r="A70" s="7">
        <v>66</v>
      </c>
      <c r="B70" s="14" t="s">
        <v>368</v>
      </c>
      <c r="C70" s="14" t="s">
        <v>3777</v>
      </c>
      <c r="D70" s="7" t="s">
        <v>260</v>
      </c>
      <c r="E70" s="14" t="s">
        <v>827</v>
      </c>
      <c r="F70" s="7" t="s">
        <v>3778</v>
      </c>
      <c r="G70" s="8" t="s">
        <v>3874</v>
      </c>
      <c r="H70" s="17" t="s">
        <v>3800</v>
      </c>
      <c r="I70" s="8" t="s">
        <v>3873</v>
      </c>
      <c r="J70" s="7" t="s">
        <v>123</v>
      </c>
      <c r="K70" s="17" t="s">
        <v>3802</v>
      </c>
      <c r="L70" s="7" t="s">
        <v>322</v>
      </c>
      <c r="M70" s="7">
        <v>8302411000</v>
      </c>
      <c r="N70" s="7">
        <v>1</v>
      </c>
      <c r="O70" s="7">
        <v>1</v>
      </c>
      <c r="P70" s="7"/>
      <c r="R70" s="9">
        <v>178.7064389442647</v>
      </c>
      <c r="T70" s="7" t="s">
        <v>34</v>
      </c>
      <c r="U70" s="7"/>
    </row>
    <row r="71" spans="1:21" ht="14.1" customHeight="1">
      <c r="A71" s="7">
        <v>67</v>
      </c>
      <c r="B71" s="14" t="s">
        <v>368</v>
      </c>
      <c r="C71" s="14" t="s">
        <v>3777</v>
      </c>
      <c r="D71" s="7" t="s">
        <v>260</v>
      </c>
      <c r="E71" s="14" t="s">
        <v>827</v>
      </c>
      <c r="F71" s="7" t="s">
        <v>3778</v>
      </c>
      <c r="G71" s="8" t="s">
        <v>3875</v>
      </c>
      <c r="H71" s="17" t="s">
        <v>3789</v>
      </c>
      <c r="I71" s="8" t="s">
        <v>3873</v>
      </c>
      <c r="J71" s="7" t="s">
        <v>123</v>
      </c>
      <c r="K71" s="17" t="s">
        <v>3791</v>
      </c>
      <c r="L71" s="7" t="s">
        <v>322</v>
      </c>
      <c r="M71" s="7">
        <v>8302411000</v>
      </c>
      <c r="N71" s="7">
        <v>1</v>
      </c>
      <c r="O71" s="7">
        <v>1</v>
      </c>
      <c r="P71" s="7"/>
      <c r="R71" s="9">
        <v>178.7064389442647</v>
      </c>
      <c r="T71" s="7" t="s">
        <v>34</v>
      </c>
      <c r="U71" s="7"/>
    </row>
    <row r="72" spans="1:21" ht="14.1" customHeight="1">
      <c r="A72" s="7">
        <v>68</v>
      </c>
      <c r="B72" s="14" t="s">
        <v>368</v>
      </c>
      <c r="C72" s="14" t="s">
        <v>3777</v>
      </c>
      <c r="D72" s="7" t="s">
        <v>260</v>
      </c>
      <c r="E72" s="14" t="s">
        <v>827</v>
      </c>
      <c r="F72" s="7" t="s">
        <v>3778</v>
      </c>
      <c r="G72" s="8" t="s">
        <v>3876</v>
      </c>
      <c r="H72" s="17" t="s">
        <v>3783</v>
      </c>
      <c r="I72" s="8" t="s">
        <v>3873</v>
      </c>
      <c r="J72" s="7" t="s">
        <v>123</v>
      </c>
      <c r="K72" s="17" t="s">
        <v>3784</v>
      </c>
      <c r="L72" s="7" t="s">
        <v>322</v>
      </c>
      <c r="M72" s="7">
        <v>8302411000</v>
      </c>
      <c r="N72" s="7">
        <v>1</v>
      </c>
      <c r="O72" s="7">
        <v>1</v>
      </c>
      <c r="P72" s="7"/>
      <c r="R72" s="9">
        <v>178.7064389442647</v>
      </c>
      <c r="T72" s="7" t="s">
        <v>34</v>
      </c>
      <c r="U72" s="7"/>
    </row>
    <row r="73" spans="1:21" ht="14.1" customHeight="1">
      <c r="A73" s="7">
        <v>69</v>
      </c>
      <c r="B73" s="14" t="s">
        <v>368</v>
      </c>
      <c r="C73" s="14" t="s">
        <v>3777</v>
      </c>
      <c r="D73" s="7" t="s">
        <v>260</v>
      </c>
      <c r="E73" s="14" t="s">
        <v>827</v>
      </c>
      <c r="F73" s="7" t="s">
        <v>3778</v>
      </c>
      <c r="G73" s="8" t="s">
        <v>3877</v>
      </c>
      <c r="H73" s="17" t="s">
        <v>3793</v>
      </c>
      <c r="I73" s="8" t="s">
        <v>3873</v>
      </c>
      <c r="J73" s="7" t="s">
        <v>123</v>
      </c>
      <c r="K73" s="17" t="s">
        <v>3794</v>
      </c>
      <c r="L73" s="7" t="s">
        <v>322</v>
      </c>
      <c r="M73" s="7">
        <v>8302411000</v>
      </c>
      <c r="N73" s="7">
        <v>1</v>
      </c>
      <c r="O73" s="7">
        <v>1</v>
      </c>
      <c r="P73" s="7"/>
      <c r="R73" s="9">
        <v>178.7064389442647</v>
      </c>
      <c r="T73" s="7" t="s">
        <v>34</v>
      </c>
      <c r="U73" s="7"/>
    </row>
    <row r="74" spans="1:21" ht="14.1" customHeight="1">
      <c r="A74" s="7">
        <v>70</v>
      </c>
      <c r="B74" s="14" t="s">
        <v>368</v>
      </c>
      <c r="C74" s="14" t="s">
        <v>3777</v>
      </c>
      <c r="D74" s="7" t="s">
        <v>260</v>
      </c>
      <c r="E74" s="14" t="s">
        <v>827</v>
      </c>
      <c r="F74" s="7" t="s">
        <v>3778</v>
      </c>
      <c r="G74" s="8" t="s">
        <v>3878</v>
      </c>
      <c r="H74" s="17" t="s">
        <v>3828</v>
      </c>
      <c r="I74" s="8" t="s">
        <v>3873</v>
      </c>
      <c r="J74" s="7" t="s">
        <v>123</v>
      </c>
      <c r="K74" s="17" t="s">
        <v>3851</v>
      </c>
      <c r="L74" s="7" t="s">
        <v>322</v>
      </c>
      <c r="M74" s="7">
        <v>8302411000</v>
      </c>
      <c r="N74" s="7">
        <v>1</v>
      </c>
      <c r="O74" s="7">
        <v>1</v>
      </c>
      <c r="P74" s="7"/>
      <c r="R74" s="9">
        <v>178.7064389442647</v>
      </c>
      <c r="T74" s="7" t="s">
        <v>34</v>
      </c>
      <c r="U74" s="7"/>
    </row>
    <row r="75" spans="1:21" ht="14.1" customHeight="1">
      <c r="A75" s="7">
        <v>71</v>
      </c>
      <c r="B75" s="14" t="s">
        <v>368</v>
      </c>
      <c r="C75" s="14" t="s">
        <v>3777</v>
      </c>
      <c r="D75" s="7" t="s">
        <v>260</v>
      </c>
      <c r="E75" s="14" t="s">
        <v>827</v>
      </c>
      <c r="F75" s="7" t="s">
        <v>3778</v>
      </c>
      <c r="G75" s="8" t="s">
        <v>3879</v>
      </c>
      <c r="H75" s="17" t="s">
        <v>3786</v>
      </c>
      <c r="I75" s="8" t="s">
        <v>3873</v>
      </c>
      <c r="J75" s="7" t="s">
        <v>123</v>
      </c>
      <c r="K75" s="17" t="s">
        <v>3787</v>
      </c>
      <c r="L75" s="7" t="s">
        <v>322</v>
      </c>
      <c r="M75" s="7">
        <v>8302411000</v>
      </c>
      <c r="N75" s="7">
        <v>1</v>
      </c>
      <c r="O75" s="7">
        <v>1</v>
      </c>
      <c r="P75" s="7"/>
      <c r="R75" s="9">
        <v>178.7064389442647</v>
      </c>
      <c r="T75" s="7" t="s">
        <v>34</v>
      </c>
      <c r="U75" s="7"/>
    </row>
    <row r="76" spans="1:21" ht="14.1" customHeight="1">
      <c r="A76" s="7">
        <v>72</v>
      </c>
      <c r="B76" s="14" t="s">
        <v>368</v>
      </c>
      <c r="C76" s="14" t="s">
        <v>3777</v>
      </c>
      <c r="D76" s="7" t="s">
        <v>260</v>
      </c>
      <c r="E76" s="14" t="s">
        <v>827</v>
      </c>
      <c r="F76" s="7" t="s">
        <v>3778</v>
      </c>
      <c r="G76" s="8" t="s">
        <v>3880</v>
      </c>
      <c r="H76" s="17" t="s">
        <v>3797</v>
      </c>
      <c r="I76" s="8" t="s">
        <v>3873</v>
      </c>
      <c r="J76" s="7" t="s">
        <v>123</v>
      </c>
      <c r="K76" s="17" t="s">
        <v>3798</v>
      </c>
      <c r="L76" s="7" t="s">
        <v>322</v>
      </c>
      <c r="M76" s="7">
        <v>8302411000</v>
      </c>
      <c r="N76" s="7">
        <v>1</v>
      </c>
      <c r="O76" s="7">
        <v>1</v>
      </c>
      <c r="P76" s="7"/>
      <c r="R76" s="9">
        <v>178.7064389442647</v>
      </c>
      <c r="T76" s="7" t="s">
        <v>34</v>
      </c>
      <c r="U76" s="7"/>
    </row>
    <row r="77" spans="1:21" ht="14.1" customHeight="1">
      <c r="A77" s="7">
        <v>73</v>
      </c>
      <c r="B77" s="14" t="s">
        <v>368</v>
      </c>
      <c r="C77" s="14" t="s">
        <v>3777</v>
      </c>
      <c r="D77" s="7" t="s">
        <v>260</v>
      </c>
      <c r="E77" s="14" t="s">
        <v>827</v>
      </c>
      <c r="F77" s="7" t="s">
        <v>3778</v>
      </c>
      <c r="G77" s="8" t="s">
        <v>3881</v>
      </c>
      <c r="H77" s="17" t="s">
        <v>3780</v>
      </c>
      <c r="I77" s="8" t="s">
        <v>3882</v>
      </c>
      <c r="J77" s="7" t="s">
        <v>123</v>
      </c>
      <c r="K77" s="17" t="s">
        <v>26</v>
      </c>
      <c r="L77" s="7" t="s">
        <v>322</v>
      </c>
      <c r="M77" s="7">
        <v>8302411000</v>
      </c>
      <c r="N77" s="7">
        <v>1</v>
      </c>
      <c r="O77" s="7">
        <v>1</v>
      </c>
      <c r="P77" s="7"/>
      <c r="R77" s="9">
        <v>360.74122130726221</v>
      </c>
      <c r="T77" s="7" t="s">
        <v>34</v>
      </c>
      <c r="U77" s="7"/>
    </row>
    <row r="78" spans="1:21" ht="14.1" customHeight="1">
      <c r="A78" s="7">
        <v>74</v>
      </c>
      <c r="B78" s="14" t="s">
        <v>368</v>
      </c>
      <c r="C78" s="14" t="s">
        <v>3777</v>
      </c>
      <c r="D78" s="7" t="s">
        <v>260</v>
      </c>
      <c r="E78" s="14" t="s">
        <v>827</v>
      </c>
      <c r="F78" s="7" t="s">
        <v>3778</v>
      </c>
      <c r="G78" s="8" t="s">
        <v>3883</v>
      </c>
      <c r="H78" s="17" t="s">
        <v>3800</v>
      </c>
      <c r="I78" s="8" t="s">
        <v>3882</v>
      </c>
      <c r="J78" s="7" t="s">
        <v>123</v>
      </c>
      <c r="K78" s="17" t="s">
        <v>3802</v>
      </c>
      <c r="L78" s="7" t="s">
        <v>322</v>
      </c>
      <c r="M78" s="7">
        <v>8302411000</v>
      </c>
      <c r="N78" s="7">
        <v>1</v>
      </c>
      <c r="O78" s="7">
        <v>1</v>
      </c>
      <c r="P78" s="7"/>
      <c r="R78" s="9">
        <v>360.74122130726221</v>
      </c>
      <c r="T78" s="7" t="s">
        <v>34</v>
      </c>
      <c r="U78" s="7"/>
    </row>
    <row r="79" spans="1:21" ht="14.1" customHeight="1">
      <c r="A79" s="7">
        <v>75</v>
      </c>
      <c r="B79" s="14" t="s">
        <v>368</v>
      </c>
      <c r="C79" s="14" t="s">
        <v>3777</v>
      </c>
      <c r="D79" s="7" t="s">
        <v>260</v>
      </c>
      <c r="E79" s="14" t="s">
        <v>827</v>
      </c>
      <c r="F79" s="7" t="s">
        <v>3778</v>
      </c>
      <c r="G79" s="8" t="s">
        <v>3884</v>
      </c>
      <c r="H79" s="17" t="s">
        <v>3789</v>
      </c>
      <c r="I79" s="8" t="s">
        <v>3882</v>
      </c>
      <c r="J79" s="7" t="s">
        <v>123</v>
      </c>
      <c r="K79" s="17" t="s">
        <v>3791</v>
      </c>
      <c r="L79" s="7" t="s">
        <v>322</v>
      </c>
      <c r="M79" s="7">
        <v>8302411000</v>
      </c>
      <c r="N79" s="7">
        <v>1</v>
      </c>
      <c r="O79" s="7">
        <v>1</v>
      </c>
      <c r="P79" s="7"/>
      <c r="R79" s="9">
        <v>360.74122130726221</v>
      </c>
      <c r="T79" s="7" t="s">
        <v>34</v>
      </c>
      <c r="U79" s="7"/>
    </row>
    <row r="80" spans="1:21" ht="14.1" customHeight="1">
      <c r="A80" s="7">
        <v>76</v>
      </c>
      <c r="B80" s="14" t="s">
        <v>368</v>
      </c>
      <c r="C80" s="14" t="s">
        <v>3777</v>
      </c>
      <c r="D80" s="7" t="s">
        <v>260</v>
      </c>
      <c r="E80" s="14" t="s">
        <v>827</v>
      </c>
      <c r="F80" s="7" t="s">
        <v>3778</v>
      </c>
      <c r="G80" s="8" t="s">
        <v>3885</v>
      </c>
      <c r="H80" s="17" t="s">
        <v>3783</v>
      </c>
      <c r="I80" s="8" t="s">
        <v>3882</v>
      </c>
      <c r="J80" s="7" t="s">
        <v>123</v>
      </c>
      <c r="K80" s="17" t="s">
        <v>3784</v>
      </c>
      <c r="L80" s="7" t="s">
        <v>322</v>
      </c>
      <c r="M80" s="7">
        <v>8302411000</v>
      </c>
      <c r="N80" s="7">
        <v>1</v>
      </c>
      <c r="O80" s="7">
        <v>1</v>
      </c>
      <c r="P80" s="7"/>
      <c r="R80" s="9">
        <v>360.74122130726221</v>
      </c>
      <c r="T80" s="7" t="s">
        <v>34</v>
      </c>
      <c r="U80" s="7"/>
    </row>
    <row r="81" spans="1:21" ht="14.1" customHeight="1">
      <c r="A81" s="7">
        <v>77</v>
      </c>
      <c r="B81" s="14" t="s">
        <v>368</v>
      </c>
      <c r="C81" s="14" t="s">
        <v>3777</v>
      </c>
      <c r="D81" s="7" t="s">
        <v>260</v>
      </c>
      <c r="E81" s="14" t="s">
        <v>827</v>
      </c>
      <c r="F81" s="7" t="s">
        <v>3778</v>
      </c>
      <c r="G81" s="8" t="s">
        <v>3886</v>
      </c>
      <c r="H81" s="17" t="s">
        <v>3793</v>
      </c>
      <c r="I81" s="8" t="s">
        <v>3882</v>
      </c>
      <c r="J81" s="7" t="s">
        <v>123</v>
      </c>
      <c r="K81" s="17" t="s">
        <v>3794</v>
      </c>
      <c r="L81" s="7" t="s">
        <v>322</v>
      </c>
      <c r="M81" s="7">
        <v>8302411000</v>
      </c>
      <c r="N81" s="7">
        <v>1</v>
      </c>
      <c r="O81" s="7">
        <v>1</v>
      </c>
      <c r="P81" s="7"/>
      <c r="R81" s="9">
        <v>360.74122130726221</v>
      </c>
      <c r="T81" s="7" t="s">
        <v>34</v>
      </c>
      <c r="U81" s="7"/>
    </row>
    <row r="82" spans="1:21" ht="14.1" customHeight="1">
      <c r="A82" s="7">
        <v>78</v>
      </c>
      <c r="B82" s="14" t="s">
        <v>368</v>
      </c>
      <c r="C82" s="14" t="s">
        <v>3777</v>
      </c>
      <c r="D82" s="7" t="s">
        <v>260</v>
      </c>
      <c r="E82" s="14" t="s">
        <v>827</v>
      </c>
      <c r="F82" s="7" t="s">
        <v>3778</v>
      </c>
      <c r="G82" s="8" t="s">
        <v>3887</v>
      </c>
      <c r="H82" s="17" t="s">
        <v>3828</v>
      </c>
      <c r="I82" s="8" t="s">
        <v>3882</v>
      </c>
      <c r="J82" s="7" t="s">
        <v>123</v>
      </c>
      <c r="K82" s="17" t="s">
        <v>3851</v>
      </c>
      <c r="L82" s="7" t="s">
        <v>322</v>
      </c>
      <c r="M82" s="7">
        <v>8302411000</v>
      </c>
      <c r="N82" s="7">
        <v>1</v>
      </c>
      <c r="O82" s="7">
        <v>1</v>
      </c>
      <c r="P82" s="7"/>
      <c r="R82" s="9">
        <v>360.74122130726221</v>
      </c>
      <c r="T82" s="7" t="s">
        <v>34</v>
      </c>
      <c r="U82" s="7"/>
    </row>
    <row r="83" spans="1:21" ht="14.1" customHeight="1">
      <c r="A83" s="7">
        <v>79</v>
      </c>
      <c r="B83" s="14" t="s">
        <v>368</v>
      </c>
      <c r="C83" s="14" t="s">
        <v>3777</v>
      </c>
      <c r="D83" s="7" t="s">
        <v>260</v>
      </c>
      <c r="E83" s="14" t="s">
        <v>827</v>
      </c>
      <c r="F83" s="7" t="s">
        <v>3778</v>
      </c>
      <c r="G83" s="8" t="s">
        <v>3888</v>
      </c>
      <c r="H83" s="17" t="s">
        <v>3786</v>
      </c>
      <c r="I83" s="8" t="s">
        <v>3882</v>
      </c>
      <c r="J83" s="7" t="s">
        <v>123</v>
      </c>
      <c r="K83" s="17" t="s">
        <v>3787</v>
      </c>
      <c r="L83" s="7" t="s">
        <v>322</v>
      </c>
      <c r="M83" s="7">
        <v>8302411000</v>
      </c>
      <c r="N83" s="7">
        <v>1</v>
      </c>
      <c r="O83" s="7">
        <v>1</v>
      </c>
      <c r="P83" s="7"/>
      <c r="R83" s="9">
        <v>360.74122130726221</v>
      </c>
      <c r="T83" s="7" t="s">
        <v>34</v>
      </c>
      <c r="U83" s="7"/>
    </row>
    <row r="84" spans="1:21" ht="14.1" customHeight="1">
      <c r="A84" s="7">
        <v>80</v>
      </c>
      <c r="B84" s="14" t="s">
        <v>368</v>
      </c>
      <c r="C84" s="14" t="s">
        <v>3777</v>
      </c>
      <c r="D84" s="7" t="s">
        <v>260</v>
      </c>
      <c r="E84" s="14" t="s">
        <v>827</v>
      </c>
      <c r="F84" s="7" t="s">
        <v>3778</v>
      </c>
      <c r="G84" s="8" t="s">
        <v>3889</v>
      </c>
      <c r="H84" s="17" t="s">
        <v>3797</v>
      </c>
      <c r="I84" s="8" t="s">
        <v>3882</v>
      </c>
      <c r="J84" s="7" t="s">
        <v>123</v>
      </c>
      <c r="K84" s="17" t="s">
        <v>3798</v>
      </c>
      <c r="L84" s="7" t="s">
        <v>322</v>
      </c>
      <c r="M84" s="7">
        <v>8302411000</v>
      </c>
      <c r="N84" s="7">
        <v>1</v>
      </c>
      <c r="O84" s="7">
        <v>1</v>
      </c>
      <c r="P84" s="7"/>
      <c r="R84" s="9">
        <v>360.74122130726221</v>
      </c>
      <c r="T84" s="7" t="s">
        <v>34</v>
      </c>
      <c r="U84" s="7"/>
    </row>
    <row r="85" spans="1:21" ht="14.1" customHeight="1">
      <c r="A85" s="7">
        <v>81</v>
      </c>
      <c r="B85" s="14" t="s">
        <v>368</v>
      </c>
      <c r="C85" s="14" t="s">
        <v>3777</v>
      </c>
      <c r="D85" s="7" t="s">
        <v>260</v>
      </c>
      <c r="E85" s="14" t="s">
        <v>827</v>
      </c>
      <c r="F85" s="7" t="s">
        <v>3778</v>
      </c>
      <c r="G85" s="8" t="s">
        <v>3890</v>
      </c>
      <c r="H85" s="17" t="s">
        <v>3780</v>
      </c>
      <c r="I85" s="8" t="s">
        <v>3891</v>
      </c>
      <c r="J85" s="7" t="s">
        <v>123</v>
      </c>
      <c r="K85" s="17" t="s">
        <v>26</v>
      </c>
      <c r="L85" s="7" t="s">
        <v>322</v>
      </c>
      <c r="M85" s="7">
        <v>8302411000</v>
      </c>
      <c r="N85" s="7">
        <v>1</v>
      </c>
      <c r="O85" s="7">
        <v>1</v>
      </c>
      <c r="P85" s="7"/>
      <c r="R85" s="9">
        <v>360.74122130726221</v>
      </c>
      <c r="T85" s="7" t="s">
        <v>34</v>
      </c>
      <c r="U85" s="7"/>
    </row>
    <row r="86" spans="1:21" ht="14.1" customHeight="1">
      <c r="A86" s="7">
        <v>82</v>
      </c>
      <c r="B86" s="14" t="s">
        <v>368</v>
      </c>
      <c r="C86" s="14" t="s">
        <v>3777</v>
      </c>
      <c r="D86" s="7" t="s">
        <v>260</v>
      </c>
      <c r="E86" s="14" t="s">
        <v>827</v>
      </c>
      <c r="F86" s="7" t="s">
        <v>3778</v>
      </c>
      <c r="G86" s="8" t="s">
        <v>3892</v>
      </c>
      <c r="H86" s="17" t="s">
        <v>3800</v>
      </c>
      <c r="I86" s="8" t="s">
        <v>3891</v>
      </c>
      <c r="J86" s="7" t="s">
        <v>123</v>
      </c>
      <c r="K86" s="17" t="s">
        <v>3802</v>
      </c>
      <c r="L86" s="7" t="s">
        <v>322</v>
      </c>
      <c r="M86" s="7">
        <v>8302411000</v>
      </c>
      <c r="N86" s="7">
        <v>1</v>
      </c>
      <c r="O86" s="7">
        <v>1</v>
      </c>
      <c r="P86" s="7"/>
      <c r="R86" s="9">
        <v>360.74122130726221</v>
      </c>
      <c r="T86" s="7" t="s">
        <v>34</v>
      </c>
      <c r="U86" s="7"/>
    </row>
    <row r="87" spans="1:21" ht="14.1" customHeight="1">
      <c r="A87" s="7">
        <v>83</v>
      </c>
      <c r="B87" s="14" t="s">
        <v>368</v>
      </c>
      <c r="C87" s="14" t="s">
        <v>3777</v>
      </c>
      <c r="D87" s="7" t="s">
        <v>260</v>
      </c>
      <c r="E87" s="14" t="s">
        <v>827</v>
      </c>
      <c r="F87" s="7" t="s">
        <v>3778</v>
      </c>
      <c r="G87" s="8" t="s">
        <v>3893</v>
      </c>
      <c r="H87" s="17" t="s">
        <v>3789</v>
      </c>
      <c r="I87" s="8" t="s">
        <v>3891</v>
      </c>
      <c r="J87" s="7" t="s">
        <v>123</v>
      </c>
      <c r="K87" s="17" t="s">
        <v>3791</v>
      </c>
      <c r="L87" s="7" t="s">
        <v>322</v>
      </c>
      <c r="M87" s="7">
        <v>8302411000</v>
      </c>
      <c r="N87" s="7">
        <v>1</v>
      </c>
      <c r="O87" s="7">
        <v>1</v>
      </c>
      <c r="P87" s="7"/>
      <c r="R87" s="9">
        <v>360.74122130726221</v>
      </c>
      <c r="T87" s="7" t="s">
        <v>34</v>
      </c>
      <c r="U87" s="7"/>
    </row>
    <row r="88" spans="1:21" ht="14.1" customHeight="1">
      <c r="A88" s="7">
        <v>84</v>
      </c>
      <c r="B88" s="14" t="s">
        <v>368</v>
      </c>
      <c r="C88" s="14" t="s">
        <v>3777</v>
      </c>
      <c r="D88" s="7" t="s">
        <v>260</v>
      </c>
      <c r="E88" s="14" t="s">
        <v>827</v>
      </c>
      <c r="F88" s="7" t="s">
        <v>3778</v>
      </c>
      <c r="G88" s="8" t="s">
        <v>3894</v>
      </c>
      <c r="H88" s="17" t="s">
        <v>3783</v>
      </c>
      <c r="I88" s="8" t="s">
        <v>3891</v>
      </c>
      <c r="J88" s="7" t="s">
        <v>123</v>
      </c>
      <c r="K88" s="17" t="s">
        <v>3784</v>
      </c>
      <c r="L88" s="7" t="s">
        <v>322</v>
      </c>
      <c r="M88" s="7">
        <v>8302411000</v>
      </c>
      <c r="N88" s="7">
        <v>1</v>
      </c>
      <c r="O88" s="7">
        <v>1</v>
      </c>
      <c r="P88" s="7"/>
      <c r="R88" s="9">
        <v>360.74122130726221</v>
      </c>
      <c r="T88" s="7" t="s">
        <v>34</v>
      </c>
      <c r="U88" s="7"/>
    </row>
    <row r="89" spans="1:21" ht="14.1" customHeight="1">
      <c r="A89" s="7">
        <v>85</v>
      </c>
      <c r="B89" s="14" t="s">
        <v>368</v>
      </c>
      <c r="C89" s="14" t="s">
        <v>3777</v>
      </c>
      <c r="D89" s="7" t="s">
        <v>260</v>
      </c>
      <c r="E89" s="14" t="s">
        <v>827</v>
      </c>
      <c r="F89" s="7" t="s">
        <v>3778</v>
      </c>
      <c r="G89" s="8" t="s">
        <v>3895</v>
      </c>
      <c r="H89" s="17" t="s">
        <v>3793</v>
      </c>
      <c r="I89" s="8" t="s">
        <v>3891</v>
      </c>
      <c r="J89" s="7" t="s">
        <v>123</v>
      </c>
      <c r="K89" s="17" t="s">
        <v>3794</v>
      </c>
      <c r="L89" s="7" t="s">
        <v>322</v>
      </c>
      <c r="M89" s="7">
        <v>8302411000</v>
      </c>
      <c r="N89" s="7">
        <v>1</v>
      </c>
      <c r="O89" s="7">
        <v>1</v>
      </c>
      <c r="P89" s="7"/>
      <c r="R89" s="9">
        <v>360.74122130726221</v>
      </c>
      <c r="T89" s="7" t="s">
        <v>34</v>
      </c>
      <c r="U89" s="7"/>
    </row>
    <row r="90" spans="1:21" ht="14.1" customHeight="1">
      <c r="A90" s="7">
        <v>86</v>
      </c>
      <c r="B90" s="14" t="s">
        <v>368</v>
      </c>
      <c r="C90" s="14" t="s">
        <v>3777</v>
      </c>
      <c r="D90" s="7" t="s">
        <v>260</v>
      </c>
      <c r="E90" s="14" t="s">
        <v>827</v>
      </c>
      <c r="F90" s="7" t="s">
        <v>3778</v>
      </c>
      <c r="G90" s="8" t="s">
        <v>3896</v>
      </c>
      <c r="H90" s="17" t="s">
        <v>3828</v>
      </c>
      <c r="I90" s="8" t="s">
        <v>3891</v>
      </c>
      <c r="J90" s="7" t="s">
        <v>123</v>
      </c>
      <c r="K90" s="17" t="s">
        <v>3851</v>
      </c>
      <c r="L90" s="7" t="s">
        <v>322</v>
      </c>
      <c r="M90" s="7">
        <v>8302411000</v>
      </c>
      <c r="N90" s="7">
        <v>1</v>
      </c>
      <c r="O90" s="7">
        <v>1</v>
      </c>
      <c r="P90" s="7"/>
      <c r="R90" s="9">
        <v>360.74122130726221</v>
      </c>
      <c r="T90" s="7" t="s">
        <v>34</v>
      </c>
      <c r="U90" s="7"/>
    </row>
    <row r="91" spans="1:21" ht="14.1" customHeight="1">
      <c r="A91" s="7">
        <v>87</v>
      </c>
      <c r="B91" s="14" t="s">
        <v>368</v>
      </c>
      <c r="C91" s="14" t="s">
        <v>3777</v>
      </c>
      <c r="D91" s="7" t="s">
        <v>260</v>
      </c>
      <c r="E91" s="14" t="s">
        <v>827</v>
      </c>
      <c r="F91" s="7" t="s">
        <v>3778</v>
      </c>
      <c r="G91" s="8" t="s">
        <v>3897</v>
      </c>
      <c r="H91" s="17" t="s">
        <v>3786</v>
      </c>
      <c r="I91" s="8" t="s">
        <v>3891</v>
      </c>
      <c r="J91" s="7" t="s">
        <v>123</v>
      </c>
      <c r="K91" s="17" t="s">
        <v>3787</v>
      </c>
      <c r="L91" s="7" t="s">
        <v>322</v>
      </c>
      <c r="M91" s="7">
        <v>8302411000</v>
      </c>
      <c r="N91" s="7">
        <v>1</v>
      </c>
      <c r="O91" s="7">
        <v>1</v>
      </c>
      <c r="P91" s="7"/>
      <c r="R91" s="9">
        <v>360.74122130726221</v>
      </c>
      <c r="T91" s="7" t="s">
        <v>34</v>
      </c>
      <c r="U91" s="7"/>
    </row>
    <row r="92" spans="1:21" ht="14.1" customHeight="1">
      <c r="A92" s="7">
        <v>88</v>
      </c>
      <c r="B92" s="14" t="s">
        <v>368</v>
      </c>
      <c r="C92" s="14" t="s">
        <v>3777</v>
      </c>
      <c r="D92" s="7" t="s">
        <v>260</v>
      </c>
      <c r="E92" s="14" t="s">
        <v>827</v>
      </c>
      <c r="F92" s="7" t="s">
        <v>3778</v>
      </c>
      <c r="G92" s="8" t="s">
        <v>3898</v>
      </c>
      <c r="H92" s="17" t="s">
        <v>3797</v>
      </c>
      <c r="I92" s="8" t="s">
        <v>3891</v>
      </c>
      <c r="J92" s="7" t="s">
        <v>123</v>
      </c>
      <c r="K92" s="17" t="s">
        <v>3798</v>
      </c>
      <c r="L92" s="7" t="s">
        <v>322</v>
      </c>
      <c r="M92" s="7">
        <v>8302411000</v>
      </c>
      <c r="N92" s="7">
        <v>1</v>
      </c>
      <c r="O92" s="7">
        <v>1</v>
      </c>
      <c r="P92" s="7"/>
      <c r="R92" s="9">
        <v>360.74122130726221</v>
      </c>
      <c r="T92" s="7" t="s">
        <v>34</v>
      </c>
      <c r="U92" s="7"/>
    </row>
    <row r="93" spans="1:21" ht="14.1" customHeight="1">
      <c r="A93" s="7">
        <v>89</v>
      </c>
      <c r="B93" s="14" t="s">
        <v>368</v>
      </c>
      <c r="C93" s="14" t="s">
        <v>3777</v>
      </c>
      <c r="D93" s="7" t="s">
        <v>260</v>
      </c>
      <c r="E93" s="14" t="s">
        <v>827</v>
      </c>
      <c r="F93" s="7" t="s">
        <v>3778</v>
      </c>
      <c r="G93" s="8" t="s">
        <v>3899</v>
      </c>
      <c r="H93" s="17" t="s">
        <v>3780</v>
      </c>
      <c r="I93" s="8" t="s">
        <v>3900</v>
      </c>
      <c r="J93" s="7" t="s">
        <v>123</v>
      </c>
      <c r="K93" s="17" t="s">
        <v>26</v>
      </c>
      <c r="L93" s="7" t="s">
        <v>322</v>
      </c>
      <c r="M93" s="7">
        <v>8302411000</v>
      </c>
      <c r="N93" s="7">
        <v>1</v>
      </c>
      <c r="O93" s="7">
        <v>1</v>
      </c>
      <c r="P93" s="7"/>
      <c r="R93" s="9">
        <v>132.62168391565771</v>
      </c>
      <c r="T93" s="7" t="s">
        <v>34</v>
      </c>
      <c r="U93" s="7"/>
    </row>
    <row r="94" spans="1:21" ht="14.1" customHeight="1">
      <c r="A94" s="7">
        <v>90</v>
      </c>
      <c r="B94" s="14" t="s">
        <v>368</v>
      </c>
      <c r="C94" s="14" t="s">
        <v>3777</v>
      </c>
      <c r="D94" s="7" t="s">
        <v>260</v>
      </c>
      <c r="E94" s="14" t="s">
        <v>827</v>
      </c>
      <c r="F94" s="7" t="s">
        <v>3778</v>
      </c>
      <c r="G94" s="8" t="s">
        <v>3901</v>
      </c>
      <c r="H94" s="17" t="s">
        <v>3800</v>
      </c>
      <c r="I94" s="8" t="s">
        <v>3900</v>
      </c>
      <c r="J94" s="7" t="s">
        <v>123</v>
      </c>
      <c r="K94" s="17" t="s">
        <v>3802</v>
      </c>
      <c r="L94" s="7" t="s">
        <v>322</v>
      </c>
      <c r="M94" s="7">
        <v>8302411000</v>
      </c>
      <c r="N94" s="7">
        <v>1</v>
      </c>
      <c r="O94" s="7">
        <v>1</v>
      </c>
      <c r="P94" s="7"/>
      <c r="R94" s="9">
        <v>132.62168391565771</v>
      </c>
      <c r="T94" s="7" t="s">
        <v>34</v>
      </c>
      <c r="U94" s="7"/>
    </row>
    <row r="95" spans="1:21" ht="14.1" customHeight="1">
      <c r="A95" s="7">
        <v>91</v>
      </c>
      <c r="B95" s="14" t="s">
        <v>368</v>
      </c>
      <c r="C95" s="14" t="s">
        <v>3777</v>
      </c>
      <c r="D95" s="7" t="s">
        <v>260</v>
      </c>
      <c r="E95" s="14" t="s">
        <v>827</v>
      </c>
      <c r="F95" s="7" t="s">
        <v>3778</v>
      </c>
      <c r="G95" s="8" t="s">
        <v>3902</v>
      </c>
      <c r="H95" s="17" t="s">
        <v>3789</v>
      </c>
      <c r="I95" s="8" t="s">
        <v>3900</v>
      </c>
      <c r="J95" s="7" t="s">
        <v>123</v>
      </c>
      <c r="K95" s="17" t="s">
        <v>3791</v>
      </c>
      <c r="L95" s="7" t="s">
        <v>322</v>
      </c>
      <c r="M95" s="7">
        <v>8302411000</v>
      </c>
      <c r="N95" s="7">
        <v>1</v>
      </c>
      <c r="O95" s="7">
        <v>1</v>
      </c>
      <c r="P95" s="7"/>
      <c r="R95" s="9">
        <v>132.62168391565771</v>
      </c>
      <c r="T95" s="7" t="s">
        <v>34</v>
      </c>
      <c r="U95" s="7"/>
    </row>
    <row r="96" spans="1:21" ht="14.1" customHeight="1">
      <c r="A96" s="7">
        <v>92</v>
      </c>
      <c r="B96" s="14" t="s">
        <v>368</v>
      </c>
      <c r="C96" s="14" t="s">
        <v>3777</v>
      </c>
      <c r="D96" s="7" t="s">
        <v>260</v>
      </c>
      <c r="E96" s="14" t="s">
        <v>827</v>
      </c>
      <c r="F96" s="7" t="s">
        <v>3778</v>
      </c>
      <c r="G96" s="8" t="s">
        <v>3903</v>
      </c>
      <c r="H96" s="17" t="s">
        <v>3783</v>
      </c>
      <c r="I96" s="8" t="s">
        <v>3900</v>
      </c>
      <c r="J96" s="7" t="s">
        <v>123</v>
      </c>
      <c r="K96" s="17" t="s">
        <v>3784</v>
      </c>
      <c r="L96" s="7" t="s">
        <v>322</v>
      </c>
      <c r="M96" s="7">
        <v>8302411000</v>
      </c>
      <c r="N96" s="7">
        <v>1</v>
      </c>
      <c r="O96" s="7">
        <v>1</v>
      </c>
      <c r="P96" s="7"/>
      <c r="R96" s="9">
        <v>132.62168391565771</v>
      </c>
      <c r="T96" s="7" t="s">
        <v>34</v>
      </c>
      <c r="U96" s="7"/>
    </row>
    <row r="97" spans="1:21" ht="14.1" customHeight="1">
      <c r="A97" s="7">
        <v>93</v>
      </c>
      <c r="B97" s="14" t="s">
        <v>368</v>
      </c>
      <c r="C97" s="14" t="s">
        <v>3777</v>
      </c>
      <c r="D97" s="7" t="s">
        <v>260</v>
      </c>
      <c r="E97" s="14" t="s">
        <v>827</v>
      </c>
      <c r="F97" s="7" t="s">
        <v>3778</v>
      </c>
      <c r="G97" s="8" t="s">
        <v>3904</v>
      </c>
      <c r="H97" s="17" t="s">
        <v>3793</v>
      </c>
      <c r="I97" s="8" t="s">
        <v>3900</v>
      </c>
      <c r="J97" s="7" t="s">
        <v>123</v>
      </c>
      <c r="K97" s="17" t="s">
        <v>3794</v>
      </c>
      <c r="L97" s="7" t="s">
        <v>322</v>
      </c>
      <c r="M97" s="7">
        <v>8302411000</v>
      </c>
      <c r="N97" s="7">
        <v>1</v>
      </c>
      <c r="O97" s="7">
        <v>1</v>
      </c>
      <c r="P97" s="7"/>
      <c r="R97" s="9">
        <v>132.62168391565771</v>
      </c>
      <c r="T97" s="7" t="s">
        <v>34</v>
      </c>
      <c r="U97" s="7"/>
    </row>
    <row r="98" spans="1:21" ht="14.1" customHeight="1">
      <c r="A98" s="7">
        <v>94</v>
      </c>
      <c r="B98" s="14" t="s">
        <v>368</v>
      </c>
      <c r="C98" s="14" t="s">
        <v>3777</v>
      </c>
      <c r="D98" s="7" t="s">
        <v>260</v>
      </c>
      <c r="E98" s="14" t="s">
        <v>827</v>
      </c>
      <c r="F98" s="7" t="s">
        <v>3778</v>
      </c>
      <c r="G98" s="8" t="s">
        <v>3905</v>
      </c>
      <c r="H98" s="17" t="s">
        <v>3828</v>
      </c>
      <c r="I98" s="8" t="s">
        <v>3900</v>
      </c>
      <c r="J98" s="7" t="s">
        <v>123</v>
      </c>
      <c r="K98" s="17" t="s">
        <v>3851</v>
      </c>
      <c r="L98" s="7" t="s">
        <v>322</v>
      </c>
      <c r="M98" s="7">
        <v>8302411000</v>
      </c>
      <c r="N98" s="7">
        <v>1</v>
      </c>
      <c r="O98" s="7">
        <v>1</v>
      </c>
      <c r="P98" s="7"/>
      <c r="R98" s="9">
        <v>132.62168391565771</v>
      </c>
      <c r="T98" s="7" t="s">
        <v>34</v>
      </c>
      <c r="U98" s="7"/>
    </row>
    <row r="99" spans="1:21" ht="14.1" customHeight="1">
      <c r="A99" s="7">
        <v>95</v>
      </c>
      <c r="B99" s="14" t="s">
        <v>368</v>
      </c>
      <c r="C99" s="14" t="s">
        <v>3777</v>
      </c>
      <c r="D99" s="7" t="s">
        <v>260</v>
      </c>
      <c r="E99" s="14" t="s">
        <v>827</v>
      </c>
      <c r="F99" s="7" t="s">
        <v>3778</v>
      </c>
      <c r="G99" s="8" t="s">
        <v>3906</v>
      </c>
      <c r="H99" s="17" t="s">
        <v>3786</v>
      </c>
      <c r="I99" s="8" t="s">
        <v>3900</v>
      </c>
      <c r="J99" s="7" t="s">
        <v>123</v>
      </c>
      <c r="K99" s="17" t="s">
        <v>3787</v>
      </c>
      <c r="L99" s="7" t="s">
        <v>322</v>
      </c>
      <c r="M99" s="7">
        <v>8302411000</v>
      </c>
      <c r="N99" s="7">
        <v>1</v>
      </c>
      <c r="O99" s="7">
        <v>1</v>
      </c>
      <c r="P99" s="7"/>
      <c r="R99" s="9">
        <v>132.62168391565771</v>
      </c>
      <c r="T99" s="7" t="s">
        <v>34</v>
      </c>
      <c r="U99" s="7"/>
    </row>
    <row r="100" spans="1:21" ht="14.1" customHeight="1">
      <c r="A100" s="7">
        <v>96</v>
      </c>
      <c r="B100" s="14" t="s">
        <v>368</v>
      </c>
      <c r="C100" s="14" t="s">
        <v>3777</v>
      </c>
      <c r="D100" s="7" t="s">
        <v>260</v>
      </c>
      <c r="E100" s="14" t="s">
        <v>827</v>
      </c>
      <c r="F100" s="7" t="s">
        <v>3778</v>
      </c>
      <c r="G100" s="8" t="s">
        <v>3907</v>
      </c>
      <c r="H100" s="17" t="s">
        <v>3797</v>
      </c>
      <c r="I100" s="8" t="s">
        <v>3900</v>
      </c>
      <c r="J100" s="7" t="s">
        <v>123</v>
      </c>
      <c r="K100" s="17" t="s">
        <v>3798</v>
      </c>
      <c r="L100" s="7" t="s">
        <v>322</v>
      </c>
      <c r="M100" s="7">
        <v>8302411000</v>
      </c>
      <c r="N100" s="7">
        <v>1</v>
      </c>
      <c r="O100" s="7">
        <v>1</v>
      </c>
      <c r="P100" s="7"/>
      <c r="R100" s="9">
        <v>132.62168391565771</v>
      </c>
      <c r="T100" s="7" t="s">
        <v>34</v>
      </c>
      <c r="U100" s="7"/>
    </row>
    <row r="101" spans="1:21" ht="14.1" customHeight="1">
      <c r="A101" s="7">
        <v>97</v>
      </c>
      <c r="B101" s="14" t="s">
        <v>368</v>
      </c>
      <c r="C101" s="14" t="s">
        <v>3777</v>
      </c>
      <c r="D101" s="7" t="s">
        <v>260</v>
      </c>
      <c r="E101" s="14" t="s">
        <v>827</v>
      </c>
      <c r="F101" s="7" t="s">
        <v>3778</v>
      </c>
      <c r="G101" s="8" t="s">
        <v>3908</v>
      </c>
      <c r="H101" s="17" t="s">
        <v>3780</v>
      </c>
      <c r="I101" s="8" t="s">
        <v>3909</v>
      </c>
      <c r="J101" s="7" t="s">
        <v>123</v>
      </c>
      <c r="K101" s="17" t="s">
        <v>26</v>
      </c>
      <c r="L101" s="7" t="s">
        <v>322</v>
      </c>
      <c r="M101" s="7">
        <v>8302411000</v>
      </c>
      <c r="N101" s="7">
        <v>1</v>
      </c>
      <c r="O101" s="7">
        <v>1</v>
      </c>
      <c r="P101" s="7"/>
      <c r="R101" s="9">
        <v>280.09290000719989</v>
      </c>
      <c r="T101" s="7" t="s">
        <v>34</v>
      </c>
      <c r="U101" s="7"/>
    </row>
    <row r="102" spans="1:21" ht="14.1" customHeight="1">
      <c r="A102" s="7">
        <v>98</v>
      </c>
      <c r="B102" s="14" t="s">
        <v>368</v>
      </c>
      <c r="C102" s="14" t="s">
        <v>3777</v>
      </c>
      <c r="D102" s="7" t="s">
        <v>260</v>
      </c>
      <c r="E102" s="14" t="s">
        <v>827</v>
      </c>
      <c r="F102" s="7" t="s">
        <v>3778</v>
      </c>
      <c r="G102" s="8" t="s">
        <v>3910</v>
      </c>
      <c r="H102" s="17" t="s">
        <v>3800</v>
      </c>
      <c r="I102" s="8" t="s">
        <v>3909</v>
      </c>
      <c r="J102" s="7" t="s">
        <v>123</v>
      </c>
      <c r="K102" s="17" t="s">
        <v>3802</v>
      </c>
      <c r="L102" s="7" t="s">
        <v>322</v>
      </c>
      <c r="M102" s="7">
        <v>8302411000</v>
      </c>
      <c r="N102" s="7">
        <v>1</v>
      </c>
      <c r="O102" s="7">
        <v>1</v>
      </c>
      <c r="P102" s="7"/>
      <c r="R102" s="9">
        <v>280.09290000719989</v>
      </c>
      <c r="T102" s="7" t="s">
        <v>34</v>
      </c>
      <c r="U102" s="7"/>
    </row>
    <row r="103" spans="1:21" ht="14.1" customHeight="1">
      <c r="A103" s="7">
        <v>99</v>
      </c>
      <c r="B103" s="14" t="s">
        <v>368</v>
      </c>
      <c r="C103" s="14" t="s">
        <v>3777</v>
      </c>
      <c r="D103" s="7" t="s">
        <v>260</v>
      </c>
      <c r="E103" s="14" t="s">
        <v>827</v>
      </c>
      <c r="F103" s="7" t="s">
        <v>3778</v>
      </c>
      <c r="G103" s="8" t="s">
        <v>3911</v>
      </c>
      <c r="H103" s="17" t="s">
        <v>3789</v>
      </c>
      <c r="I103" s="8" t="s">
        <v>3909</v>
      </c>
      <c r="J103" s="7" t="s">
        <v>123</v>
      </c>
      <c r="K103" s="17" t="s">
        <v>3791</v>
      </c>
      <c r="L103" s="7" t="s">
        <v>322</v>
      </c>
      <c r="M103" s="7">
        <v>8302411000</v>
      </c>
      <c r="N103" s="7">
        <v>1</v>
      </c>
      <c r="O103" s="7">
        <v>1</v>
      </c>
      <c r="P103" s="7"/>
      <c r="R103" s="9">
        <v>280.09290000719989</v>
      </c>
      <c r="T103" s="7" t="s">
        <v>34</v>
      </c>
      <c r="U103" s="7"/>
    </row>
    <row r="104" spans="1:21" ht="14.1" customHeight="1">
      <c r="A104" s="7">
        <v>100</v>
      </c>
      <c r="B104" s="14" t="s">
        <v>368</v>
      </c>
      <c r="C104" s="14" t="s">
        <v>3777</v>
      </c>
      <c r="D104" s="7" t="s">
        <v>260</v>
      </c>
      <c r="E104" s="14" t="s">
        <v>827</v>
      </c>
      <c r="F104" s="7" t="s">
        <v>3778</v>
      </c>
      <c r="G104" s="8" t="s">
        <v>3912</v>
      </c>
      <c r="H104" s="17" t="s">
        <v>3783</v>
      </c>
      <c r="I104" s="8" t="s">
        <v>3909</v>
      </c>
      <c r="J104" s="7" t="s">
        <v>123</v>
      </c>
      <c r="K104" s="17" t="s">
        <v>3784</v>
      </c>
      <c r="L104" s="7" t="s">
        <v>322</v>
      </c>
      <c r="M104" s="7">
        <v>8302411000</v>
      </c>
      <c r="N104" s="7">
        <v>1</v>
      </c>
      <c r="O104" s="7">
        <v>1</v>
      </c>
      <c r="P104" s="7"/>
      <c r="R104" s="9">
        <v>280.09290000719989</v>
      </c>
      <c r="T104" s="7" t="s">
        <v>34</v>
      </c>
      <c r="U104" s="7"/>
    </row>
    <row r="105" spans="1:21" ht="14.1" customHeight="1">
      <c r="A105" s="7">
        <v>101</v>
      </c>
      <c r="B105" s="14" t="s">
        <v>368</v>
      </c>
      <c r="C105" s="14" t="s">
        <v>3777</v>
      </c>
      <c r="D105" s="7" t="s">
        <v>260</v>
      </c>
      <c r="E105" s="14" t="s">
        <v>827</v>
      </c>
      <c r="F105" s="7" t="s">
        <v>3778</v>
      </c>
      <c r="G105" s="8" t="s">
        <v>3913</v>
      </c>
      <c r="H105" s="17" t="s">
        <v>3793</v>
      </c>
      <c r="I105" s="8" t="s">
        <v>3909</v>
      </c>
      <c r="J105" s="7" t="s">
        <v>123</v>
      </c>
      <c r="K105" s="17" t="s">
        <v>3794</v>
      </c>
      <c r="L105" s="7" t="s">
        <v>322</v>
      </c>
      <c r="M105" s="7">
        <v>8302411000</v>
      </c>
      <c r="N105" s="7">
        <v>1</v>
      </c>
      <c r="O105" s="7">
        <v>1</v>
      </c>
      <c r="P105" s="7"/>
      <c r="R105" s="9">
        <v>280.09290000719989</v>
      </c>
      <c r="T105" s="7" t="s">
        <v>34</v>
      </c>
      <c r="U105" s="7"/>
    </row>
    <row r="106" spans="1:21" ht="14.1" customHeight="1">
      <c r="A106" s="7">
        <v>102</v>
      </c>
      <c r="B106" s="14" t="s">
        <v>368</v>
      </c>
      <c r="C106" s="14" t="s">
        <v>3777</v>
      </c>
      <c r="D106" s="7" t="s">
        <v>260</v>
      </c>
      <c r="E106" s="14" t="s">
        <v>827</v>
      </c>
      <c r="F106" s="7" t="s">
        <v>3778</v>
      </c>
      <c r="G106" s="8" t="s">
        <v>3914</v>
      </c>
      <c r="H106" s="17" t="s">
        <v>3828</v>
      </c>
      <c r="I106" s="8" t="s">
        <v>3909</v>
      </c>
      <c r="J106" s="7" t="s">
        <v>123</v>
      </c>
      <c r="K106" s="17" t="s">
        <v>3851</v>
      </c>
      <c r="L106" s="7" t="s">
        <v>322</v>
      </c>
      <c r="M106" s="7">
        <v>8302411000</v>
      </c>
      <c r="N106" s="7">
        <v>1</v>
      </c>
      <c r="O106" s="7">
        <v>1</v>
      </c>
      <c r="P106" s="7"/>
      <c r="R106" s="9">
        <v>280.09290000719989</v>
      </c>
      <c r="T106" s="7" t="s">
        <v>34</v>
      </c>
      <c r="U106" s="7"/>
    </row>
    <row r="107" spans="1:21" ht="14.1" customHeight="1">
      <c r="A107" s="7">
        <v>103</v>
      </c>
      <c r="B107" s="14" t="s">
        <v>368</v>
      </c>
      <c r="C107" s="14" t="s">
        <v>3777</v>
      </c>
      <c r="D107" s="7" t="s">
        <v>260</v>
      </c>
      <c r="E107" s="14" t="s">
        <v>827</v>
      </c>
      <c r="F107" s="7" t="s">
        <v>3778</v>
      </c>
      <c r="G107" s="8" t="s">
        <v>3915</v>
      </c>
      <c r="H107" s="17" t="s">
        <v>3786</v>
      </c>
      <c r="I107" s="8" t="s">
        <v>3909</v>
      </c>
      <c r="J107" s="7" t="s">
        <v>123</v>
      </c>
      <c r="K107" s="17" t="s">
        <v>3787</v>
      </c>
      <c r="L107" s="7" t="s">
        <v>322</v>
      </c>
      <c r="M107" s="7">
        <v>8302411000</v>
      </c>
      <c r="N107" s="7">
        <v>1</v>
      </c>
      <c r="O107" s="7">
        <v>1</v>
      </c>
      <c r="P107" s="7"/>
      <c r="R107" s="9">
        <v>280.09290000719989</v>
      </c>
      <c r="T107" s="7" t="s">
        <v>34</v>
      </c>
      <c r="U107" s="7"/>
    </row>
    <row r="108" spans="1:21" ht="14.1" customHeight="1">
      <c r="A108" s="7">
        <v>104</v>
      </c>
      <c r="B108" s="14" t="s">
        <v>368</v>
      </c>
      <c r="C108" s="14" t="s">
        <v>3777</v>
      </c>
      <c r="D108" s="7" t="s">
        <v>260</v>
      </c>
      <c r="E108" s="14" t="s">
        <v>827</v>
      </c>
      <c r="F108" s="7" t="s">
        <v>3778</v>
      </c>
      <c r="G108" s="8" t="s">
        <v>3916</v>
      </c>
      <c r="H108" s="17" t="s">
        <v>3797</v>
      </c>
      <c r="I108" s="8" t="s">
        <v>3909</v>
      </c>
      <c r="J108" s="7" t="s">
        <v>123</v>
      </c>
      <c r="K108" s="17" t="s">
        <v>3798</v>
      </c>
      <c r="L108" s="7" t="s">
        <v>322</v>
      </c>
      <c r="M108" s="7">
        <v>8302411000</v>
      </c>
      <c r="N108" s="7">
        <v>1</v>
      </c>
      <c r="O108" s="7">
        <v>1</v>
      </c>
      <c r="P108" s="7"/>
      <c r="R108" s="9">
        <v>280.09290000719989</v>
      </c>
      <c r="T108" s="7" t="s">
        <v>34</v>
      </c>
      <c r="U108" s="7"/>
    </row>
    <row r="109" spans="1:21" ht="14.1" customHeight="1">
      <c r="A109" s="7">
        <v>105</v>
      </c>
      <c r="B109" s="14" t="s">
        <v>368</v>
      </c>
      <c r="C109" s="14" t="s">
        <v>3777</v>
      </c>
      <c r="D109" s="7" t="s">
        <v>260</v>
      </c>
      <c r="E109" s="14" t="s">
        <v>827</v>
      </c>
      <c r="F109" s="7" t="s">
        <v>3778</v>
      </c>
      <c r="G109" s="8" t="s">
        <v>3917</v>
      </c>
      <c r="H109" s="17" t="s">
        <v>3780</v>
      </c>
      <c r="I109" s="8" t="s">
        <v>3918</v>
      </c>
      <c r="J109" s="7" t="s">
        <v>123</v>
      </c>
      <c r="K109" s="17" t="s">
        <v>26</v>
      </c>
      <c r="L109" s="7" t="s">
        <v>322</v>
      </c>
      <c r="M109" s="7">
        <v>8302411000</v>
      </c>
      <c r="N109" s="7">
        <v>1</v>
      </c>
      <c r="O109" s="7">
        <v>1</v>
      </c>
      <c r="P109" s="7"/>
      <c r="R109" s="9">
        <v>258.58668099385011</v>
      </c>
      <c r="T109" s="7" t="s">
        <v>34</v>
      </c>
      <c r="U109" s="7"/>
    </row>
    <row r="110" spans="1:21" ht="14.1" customHeight="1">
      <c r="A110" s="7">
        <v>106</v>
      </c>
      <c r="B110" s="14" t="s">
        <v>368</v>
      </c>
      <c r="C110" s="14" t="s">
        <v>3777</v>
      </c>
      <c r="D110" s="7" t="s">
        <v>260</v>
      </c>
      <c r="E110" s="14" t="s">
        <v>827</v>
      </c>
      <c r="F110" s="7" t="s">
        <v>3778</v>
      </c>
      <c r="G110" s="8" t="s">
        <v>3919</v>
      </c>
      <c r="H110" s="17" t="s">
        <v>3800</v>
      </c>
      <c r="I110" s="8" t="s">
        <v>3918</v>
      </c>
      <c r="J110" s="7" t="s">
        <v>123</v>
      </c>
      <c r="K110" s="17" t="s">
        <v>3802</v>
      </c>
      <c r="L110" s="7" t="s">
        <v>322</v>
      </c>
      <c r="M110" s="7">
        <v>8302411000</v>
      </c>
      <c r="N110" s="7">
        <v>1</v>
      </c>
      <c r="O110" s="7">
        <v>1</v>
      </c>
      <c r="P110" s="7"/>
      <c r="R110" s="9">
        <v>258.58668099385011</v>
      </c>
      <c r="T110" s="7" t="s">
        <v>34</v>
      </c>
      <c r="U110" s="7"/>
    </row>
    <row r="111" spans="1:21" ht="14.1" customHeight="1">
      <c r="A111" s="7">
        <v>107</v>
      </c>
      <c r="B111" s="14" t="s">
        <v>368</v>
      </c>
      <c r="C111" s="14" t="s">
        <v>3777</v>
      </c>
      <c r="D111" s="7" t="s">
        <v>260</v>
      </c>
      <c r="E111" s="14" t="s">
        <v>827</v>
      </c>
      <c r="F111" s="7" t="s">
        <v>3778</v>
      </c>
      <c r="G111" s="8" t="s">
        <v>3920</v>
      </c>
      <c r="H111" s="17" t="s">
        <v>3789</v>
      </c>
      <c r="I111" s="8" t="s">
        <v>3918</v>
      </c>
      <c r="J111" s="7" t="s">
        <v>123</v>
      </c>
      <c r="K111" s="17" t="s">
        <v>3791</v>
      </c>
      <c r="L111" s="7" t="s">
        <v>322</v>
      </c>
      <c r="M111" s="7">
        <v>8302411000</v>
      </c>
      <c r="N111" s="7">
        <v>1</v>
      </c>
      <c r="O111" s="7">
        <v>1</v>
      </c>
      <c r="P111" s="7"/>
      <c r="R111" s="9">
        <v>258.58668099385011</v>
      </c>
      <c r="T111" s="7" t="s">
        <v>34</v>
      </c>
      <c r="U111" s="7"/>
    </row>
    <row r="112" spans="1:21" ht="14.1" customHeight="1">
      <c r="A112" s="7">
        <v>108</v>
      </c>
      <c r="B112" s="14" t="s">
        <v>368</v>
      </c>
      <c r="C112" s="14" t="s">
        <v>3777</v>
      </c>
      <c r="D112" s="7" t="s">
        <v>260</v>
      </c>
      <c r="E112" s="14" t="s">
        <v>827</v>
      </c>
      <c r="F112" s="7" t="s">
        <v>3778</v>
      </c>
      <c r="G112" s="8" t="s">
        <v>3921</v>
      </c>
      <c r="H112" s="17" t="s">
        <v>3783</v>
      </c>
      <c r="I112" s="8" t="s">
        <v>3918</v>
      </c>
      <c r="J112" s="7" t="s">
        <v>123</v>
      </c>
      <c r="K112" s="17" t="s">
        <v>3784</v>
      </c>
      <c r="L112" s="7" t="s">
        <v>322</v>
      </c>
      <c r="M112" s="7">
        <v>8302411000</v>
      </c>
      <c r="N112" s="7">
        <v>1</v>
      </c>
      <c r="O112" s="7">
        <v>1</v>
      </c>
      <c r="P112" s="7"/>
      <c r="R112" s="9">
        <v>258.58668099385011</v>
      </c>
      <c r="T112" s="7" t="s">
        <v>34</v>
      </c>
      <c r="U112" s="7"/>
    </row>
    <row r="113" spans="1:21" ht="14.1" customHeight="1">
      <c r="A113" s="7">
        <v>109</v>
      </c>
      <c r="B113" s="14" t="s">
        <v>368</v>
      </c>
      <c r="C113" s="14" t="s">
        <v>3777</v>
      </c>
      <c r="D113" s="7" t="s">
        <v>260</v>
      </c>
      <c r="E113" s="14" t="s">
        <v>827</v>
      </c>
      <c r="F113" s="7" t="s">
        <v>3778</v>
      </c>
      <c r="G113" s="8" t="s">
        <v>3922</v>
      </c>
      <c r="H113" s="17" t="s">
        <v>3793</v>
      </c>
      <c r="I113" s="8" t="s">
        <v>3918</v>
      </c>
      <c r="J113" s="7" t="s">
        <v>123</v>
      </c>
      <c r="K113" s="17" t="s">
        <v>3794</v>
      </c>
      <c r="L113" s="7" t="s">
        <v>322</v>
      </c>
      <c r="M113" s="7">
        <v>8302411000</v>
      </c>
      <c r="N113" s="7">
        <v>1</v>
      </c>
      <c r="O113" s="7">
        <v>1</v>
      </c>
      <c r="P113" s="7"/>
      <c r="R113" s="9">
        <v>258.58668099385011</v>
      </c>
      <c r="T113" s="7" t="s">
        <v>34</v>
      </c>
      <c r="U113" s="7"/>
    </row>
    <row r="114" spans="1:21" ht="14.1" customHeight="1">
      <c r="A114" s="7">
        <v>110</v>
      </c>
      <c r="B114" s="14" t="s">
        <v>368</v>
      </c>
      <c r="C114" s="14" t="s">
        <v>3777</v>
      </c>
      <c r="D114" s="7" t="s">
        <v>260</v>
      </c>
      <c r="E114" s="14" t="s">
        <v>827</v>
      </c>
      <c r="F114" s="7" t="s">
        <v>3778</v>
      </c>
      <c r="G114" s="8" t="s">
        <v>3923</v>
      </c>
      <c r="H114" s="17" t="s">
        <v>3828</v>
      </c>
      <c r="I114" s="8" t="s">
        <v>3918</v>
      </c>
      <c r="J114" s="7" t="s">
        <v>123</v>
      </c>
      <c r="K114" s="17" t="s">
        <v>3851</v>
      </c>
      <c r="L114" s="7" t="s">
        <v>322</v>
      </c>
      <c r="M114" s="7">
        <v>8302411000</v>
      </c>
      <c r="N114" s="7">
        <v>1</v>
      </c>
      <c r="O114" s="7">
        <v>1</v>
      </c>
      <c r="P114" s="7"/>
      <c r="R114" s="9">
        <v>258.58668099385011</v>
      </c>
      <c r="T114" s="7" t="s">
        <v>34</v>
      </c>
      <c r="U114" s="7"/>
    </row>
    <row r="115" spans="1:21" ht="14.1" customHeight="1">
      <c r="A115" s="7">
        <v>111</v>
      </c>
      <c r="B115" s="14" t="s">
        <v>368</v>
      </c>
      <c r="C115" s="14" t="s">
        <v>3777</v>
      </c>
      <c r="D115" s="7" t="s">
        <v>260</v>
      </c>
      <c r="E115" s="14" t="s">
        <v>827</v>
      </c>
      <c r="F115" s="7" t="s">
        <v>3778</v>
      </c>
      <c r="G115" s="8" t="s">
        <v>3924</v>
      </c>
      <c r="H115" s="17" t="s">
        <v>3786</v>
      </c>
      <c r="I115" s="8" t="s">
        <v>3918</v>
      </c>
      <c r="J115" s="7" t="s">
        <v>123</v>
      </c>
      <c r="K115" s="17" t="s">
        <v>3787</v>
      </c>
      <c r="L115" s="7" t="s">
        <v>322</v>
      </c>
      <c r="M115" s="7">
        <v>8302411000</v>
      </c>
      <c r="N115" s="7">
        <v>1</v>
      </c>
      <c r="O115" s="7">
        <v>1</v>
      </c>
      <c r="P115" s="7"/>
      <c r="R115" s="9">
        <v>258.58668099385011</v>
      </c>
      <c r="T115" s="7" t="s">
        <v>34</v>
      </c>
      <c r="U115" s="7"/>
    </row>
    <row r="116" spans="1:21" ht="14.1" customHeight="1">
      <c r="A116" s="7">
        <v>112</v>
      </c>
      <c r="B116" s="14" t="s">
        <v>368</v>
      </c>
      <c r="C116" s="14" t="s">
        <v>3777</v>
      </c>
      <c r="D116" s="7" t="s">
        <v>260</v>
      </c>
      <c r="E116" s="14" t="s">
        <v>827</v>
      </c>
      <c r="F116" s="7" t="s">
        <v>3778</v>
      </c>
      <c r="G116" s="8" t="s">
        <v>3925</v>
      </c>
      <c r="H116" s="17" t="s">
        <v>3797</v>
      </c>
      <c r="I116" s="8" t="s">
        <v>3918</v>
      </c>
      <c r="J116" s="7" t="s">
        <v>123</v>
      </c>
      <c r="K116" s="17" t="s">
        <v>3798</v>
      </c>
      <c r="L116" s="7" t="s">
        <v>322</v>
      </c>
      <c r="M116" s="7">
        <v>8302411000</v>
      </c>
      <c r="N116" s="7">
        <v>1</v>
      </c>
      <c r="O116" s="7">
        <v>1</v>
      </c>
      <c r="P116" s="7"/>
      <c r="R116" s="9">
        <v>258.58668099385011</v>
      </c>
      <c r="T116" s="7" t="s">
        <v>34</v>
      </c>
      <c r="U116" s="7"/>
    </row>
    <row r="117" spans="1:21" ht="14.1" customHeight="1">
      <c r="A117" s="7">
        <v>113</v>
      </c>
      <c r="B117" s="14" t="s">
        <v>368</v>
      </c>
      <c r="C117" s="14" t="s">
        <v>3777</v>
      </c>
      <c r="D117" s="7" t="s">
        <v>260</v>
      </c>
      <c r="E117" s="14" t="s">
        <v>827</v>
      </c>
      <c r="F117" s="7" t="s">
        <v>3778</v>
      </c>
      <c r="G117" s="8" t="s">
        <v>3926</v>
      </c>
      <c r="H117" s="17" t="s">
        <v>3780</v>
      </c>
      <c r="I117" s="8" t="s">
        <v>3927</v>
      </c>
      <c r="J117" s="7" t="s">
        <v>123</v>
      </c>
      <c r="K117" s="17" t="s">
        <v>26</v>
      </c>
      <c r="L117" s="7" t="s">
        <v>322</v>
      </c>
      <c r="M117" s="7">
        <v>8302411000</v>
      </c>
      <c r="N117" s="7">
        <v>1</v>
      </c>
      <c r="O117" s="7">
        <v>1</v>
      </c>
      <c r="P117" s="7"/>
      <c r="R117" s="9">
        <v>258.58668099385011</v>
      </c>
      <c r="T117" s="7" t="s">
        <v>34</v>
      </c>
      <c r="U117" s="7"/>
    </row>
    <row r="118" spans="1:21" ht="14.1" customHeight="1">
      <c r="A118" s="7">
        <v>114</v>
      </c>
      <c r="B118" s="14" t="s">
        <v>368</v>
      </c>
      <c r="C118" s="14" t="s">
        <v>3777</v>
      </c>
      <c r="D118" s="7" t="s">
        <v>260</v>
      </c>
      <c r="E118" s="14" t="s">
        <v>827</v>
      </c>
      <c r="F118" s="7" t="s">
        <v>3778</v>
      </c>
      <c r="G118" s="8" t="s">
        <v>3928</v>
      </c>
      <c r="H118" s="17" t="s">
        <v>3800</v>
      </c>
      <c r="I118" s="8" t="s">
        <v>3927</v>
      </c>
      <c r="J118" s="7" t="s">
        <v>123</v>
      </c>
      <c r="K118" s="17" t="s">
        <v>3802</v>
      </c>
      <c r="L118" s="7" t="s">
        <v>322</v>
      </c>
      <c r="M118" s="7">
        <v>8302411000</v>
      </c>
      <c r="N118" s="7">
        <v>1</v>
      </c>
      <c r="O118" s="7">
        <v>1</v>
      </c>
      <c r="P118" s="7"/>
      <c r="R118" s="9">
        <v>258.58668099385011</v>
      </c>
      <c r="T118" s="7" t="s">
        <v>34</v>
      </c>
      <c r="U118" s="7"/>
    </row>
    <row r="119" spans="1:21" ht="14.1" customHeight="1">
      <c r="A119" s="7">
        <v>115</v>
      </c>
      <c r="B119" s="14" t="s">
        <v>368</v>
      </c>
      <c r="C119" s="14" t="s">
        <v>3777</v>
      </c>
      <c r="D119" s="7" t="s">
        <v>260</v>
      </c>
      <c r="E119" s="14" t="s">
        <v>827</v>
      </c>
      <c r="F119" s="7" t="s">
        <v>3778</v>
      </c>
      <c r="G119" s="8" t="s">
        <v>3929</v>
      </c>
      <c r="H119" s="17" t="s">
        <v>3789</v>
      </c>
      <c r="I119" s="8" t="s">
        <v>3927</v>
      </c>
      <c r="J119" s="7" t="s">
        <v>123</v>
      </c>
      <c r="K119" s="17" t="s">
        <v>3791</v>
      </c>
      <c r="L119" s="7" t="s">
        <v>322</v>
      </c>
      <c r="M119" s="7">
        <v>8302411000</v>
      </c>
      <c r="N119" s="7">
        <v>1</v>
      </c>
      <c r="O119" s="7">
        <v>1</v>
      </c>
      <c r="P119" s="7"/>
      <c r="R119" s="9">
        <v>258.58668099385011</v>
      </c>
      <c r="T119" s="7" t="s">
        <v>34</v>
      </c>
      <c r="U119" s="7"/>
    </row>
    <row r="120" spans="1:21" ht="14.1" customHeight="1">
      <c r="A120" s="7">
        <v>116</v>
      </c>
      <c r="B120" s="14" t="s">
        <v>368</v>
      </c>
      <c r="C120" s="14" t="s">
        <v>3777</v>
      </c>
      <c r="D120" s="7" t="s">
        <v>260</v>
      </c>
      <c r="E120" s="14" t="s">
        <v>827</v>
      </c>
      <c r="F120" s="7" t="s">
        <v>3778</v>
      </c>
      <c r="G120" s="8" t="s">
        <v>3930</v>
      </c>
      <c r="H120" s="17" t="s">
        <v>3783</v>
      </c>
      <c r="I120" s="8" t="s">
        <v>3927</v>
      </c>
      <c r="J120" s="7" t="s">
        <v>123</v>
      </c>
      <c r="K120" s="17" t="s">
        <v>3784</v>
      </c>
      <c r="L120" s="7" t="s">
        <v>322</v>
      </c>
      <c r="M120" s="7">
        <v>8302411000</v>
      </c>
      <c r="N120" s="7">
        <v>1</v>
      </c>
      <c r="O120" s="7">
        <v>1</v>
      </c>
      <c r="P120" s="7"/>
      <c r="R120" s="9">
        <v>258.58668099385011</v>
      </c>
      <c r="T120" s="7" t="s">
        <v>34</v>
      </c>
      <c r="U120" s="7"/>
    </row>
    <row r="121" spans="1:21" ht="14.1" customHeight="1">
      <c r="A121" s="7">
        <v>117</v>
      </c>
      <c r="B121" s="14" t="s">
        <v>368</v>
      </c>
      <c r="C121" s="14" t="s">
        <v>3777</v>
      </c>
      <c r="D121" s="7" t="s">
        <v>260</v>
      </c>
      <c r="E121" s="14" t="s">
        <v>827</v>
      </c>
      <c r="F121" s="7" t="s">
        <v>3778</v>
      </c>
      <c r="G121" s="8" t="s">
        <v>3931</v>
      </c>
      <c r="H121" s="17" t="s">
        <v>3793</v>
      </c>
      <c r="I121" s="8" t="s">
        <v>3927</v>
      </c>
      <c r="J121" s="7" t="s">
        <v>123</v>
      </c>
      <c r="K121" s="17" t="s">
        <v>3794</v>
      </c>
      <c r="L121" s="7" t="s">
        <v>322</v>
      </c>
      <c r="M121" s="7">
        <v>8302411000</v>
      </c>
      <c r="N121" s="7">
        <v>1</v>
      </c>
      <c r="O121" s="7">
        <v>1</v>
      </c>
      <c r="P121" s="7"/>
      <c r="R121" s="9">
        <v>258.58668099385011</v>
      </c>
      <c r="T121" s="7" t="s">
        <v>34</v>
      </c>
      <c r="U121" s="7"/>
    </row>
    <row r="122" spans="1:21" ht="14.1" customHeight="1">
      <c r="A122" s="7">
        <v>118</v>
      </c>
      <c r="B122" s="14" t="s">
        <v>368</v>
      </c>
      <c r="C122" s="14" t="s">
        <v>3777</v>
      </c>
      <c r="D122" s="7" t="s">
        <v>260</v>
      </c>
      <c r="E122" s="14" t="s">
        <v>827</v>
      </c>
      <c r="F122" s="7" t="s">
        <v>3778</v>
      </c>
      <c r="G122" s="8" t="s">
        <v>3932</v>
      </c>
      <c r="H122" s="17" t="s">
        <v>3828</v>
      </c>
      <c r="I122" s="8" t="s">
        <v>3927</v>
      </c>
      <c r="J122" s="7" t="s">
        <v>123</v>
      </c>
      <c r="K122" s="17" t="s">
        <v>3851</v>
      </c>
      <c r="L122" s="7" t="s">
        <v>322</v>
      </c>
      <c r="M122" s="7">
        <v>8302411000</v>
      </c>
      <c r="N122" s="7">
        <v>1</v>
      </c>
      <c r="O122" s="7">
        <v>1</v>
      </c>
      <c r="P122" s="7"/>
      <c r="R122" s="9">
        <v>258.58668099385011</v>
      </c>
      <c r="T122" s="7" t="s">
        <v>34</v>
      </c>
      <c r="U122" s="7"/>
    </row>
    <row r="123" spans="1:21" ht="14.1" customHeight="1">
      <c r="A123" s="7">
        <v>119</v>
      </c>
      <c r="B123" s="14" t="s">
        <v>368</v>
      </c>
      <c r="C123" s="14" t="s">
        <v>3777</v>
      </c>
      <c r="D123" s="7" t="s">
        <v>260</v>
      </c>
      <c r="E123" s="14" t="s">
        <v>827</v>
      </c>
      <c r="F123" s="7" t="s">
        <v>3778</v>
      </c>
      <c r="G123" s="8" t="s">
        <v>3933</v>
      </c>
      <c r="H123" s="17" t="s">
        <v>3786</v>
      </c>
      <c r="I123" s="8" t="s">
        <v>3927</v>
      </c>
      <c r="J123" s="7" t="s">
        <v>123</v>
      </c>
      <c r="K123" s="17" t="s">
        <v>3787</v>
      </c>
      <c r="L123" s="7" t="s">
        <v>322</v>
      </c>
      <c r="M123" s="7">
        <v>8302411000</v>
      </c>
      <c r="N123" s="7">
        <v>1</v>
      </c>
      <c r="O123" s="7">
        <v>1</v>
      </c>
      <c r="P123" s="7"/>
      <c r="R123" s="9">
        <v>258.58668099385011</v>
      </c>
      <c r="T123" s="7" t="s">
        <v>34</v>
      </c>
      <c r="U123" s="7"/>
    </row>
    <row r="124" spans="1:21" ht="14.1" customHeight="1">
      <c r="A124" s="7">
        <v>120</v>
      </c>
      <c r="B124" s="14" t="s">
        <v>368</v>
      </c>
      <c r="C124" s="14" t="s">
        <v>3777</v>
      </c>
      <c r="D124" s="7" t="s">
        <v>260</v>
      </c>
      <c r="E124" s="14" t="s">
        <v>827</v>
      </c>
      <c r="F124" s="7" t="s">
        <v>3778</v>
      </c>
      <c r="G124" s="8" t="s">
        <v>3934</v>
      </c>
      <c r="H124" s="17" t="s">
        <v>3797</v>
      </c>
      <c r="I124" s="8" t="s">
        <v>3927</v>
      </c>
      <c r="J124" s="7" t="s">
        <v>123</v>
      </c>
      <c r="K124" s="17" t="s">
        <v>3798</v>
      </c>
      <c r="L124" s="7" t="s">
        <v>322</v>
      </c>
      <c r="M124" s="7">
        <v>8302411000</v>
      </c>
      <c r="N124" s="7">
        <v>1</v>
      </c>
      <c r="O124" s="7">
        <v>1</v>
      </c>
      <c r="P124" s="7"/>
      <c r="R124" s="9">
        <v>258.58668099385011</v>
      </c>
      <c r="T124" s="7" t="s">
        <v>34</v>
      </c>
      <c r="U124" s="7"/>
    </row>
    <row r="125" spans="1:21" ht="14.1" customHeight="1">
      <c r="A125" s="7">
        <v>121</v>
      </c>
      <c r="B125" s="14" t="s">
        <v>368</v>
      </c>
      <c r="C125" s="14" t="s">
        <v>3777</v>
      </c>
      <c r="D125" s="7" t="s">
        <v>260</v>
      </c>
      <c r="E125" s="14" t="s">
        <v>827</v>
      </c>
      <c r="F125" s="7" t="s">
        <v>3778</v>
      </c>
      <c r="G125" s="8" t="s">
        <v>3935</v>
      </c>
      <c r="H125" s="17" t="s">
        <v>3780</v>
      </c>
      <c r="I125" s="8" t="s">
        <v>3918</v>
      </c>
      <c r="J125" s="7" t="s">
        <v>123</v>
      </c>
      <c r="K125" s="17" t="s">
        <v>26</v>
      </c>
      <c r="L125" s="7" t="s">
        <v>322</v>
      </c>
      <c r="M125" s="7">
        <v>8302411000</v>
      </c>
      <c r="N125" s="7">
        <v>1</v>
      </c>
      <c r="O125" s="7">
        <v>1</v>
      </c>
      <c r="P125" s="7"/>
      <c r="R125" s="9">
        <v>171.02564643949691</v>
      </c>
      <c r="T125" s="7" t="s">
        <v>34</v>
      </c>
      <c r="U125" s="7"/>
    </row>
    <row r="126" spans="1:21" ht="14.1" customHeight="1">
      <c r="A126" s="7">
        <v>122</v>
      </c>
      <c r="B126" s="14" t="s">
        <v>368</v>
      </c>
      <c r="C126" s="14" t="s">
        <v>3777</v>
      </c>
      <c r="D126" s="7" t="s">
        <v>260</v>
      </c>
      <c r="E126" s="14" t="s">
        <v>827</v>
      </c>
      <c r="F126" s="7" t="s">
        <v>3778</v>
      </c>
      <c r="G126" s="8" t="s">
        <v>3936</v>
      </c>
      <c r="H126" s="17" t="s">
        <v>3800</v>
      </c>
      <c r="I126" s="8" t="s">
        <v>3918</v>
      </c>
      <c r="J126" s="7" t="s">
        <v>123</v>
      </c>
      <c r="K126" s="17" t="s">
        <v>3802</v>
      </c>
      <c r="L126" s="7" t="s">
        <v>322</v>
      </c>
      <c r="M126" s="7">
        <v>8302411000</v>
      </c>
      <c r="N126" s="7">
        <v>1</v>
      </c>
      <c r="O126" s="7">
        <v>1</v>
      </c>
      <c r="P126" s="7"/>
      <c r="R126" s="9">
        <v>171.02564643949691</v>
      </c>
      <c r="T126" s="7" t="s">
        <v>34</v>
      </c>
      <c r="U126" s="7"/>
    </row>
    <row r="127" spans="1:21" ht="14.1" customHeight="1">
      <c r="A127" s="7">
        <v>123</v>
      </c>
      <c r="B127" s="14" t="s">
        <v>368</v>
      </c>
      <c r="C127" s="14" t="s">
        <v>3777</v>
      </c>
      <c r="D127" s="7" t="s">
        <v>260</v>
      </c>
      <c r="E127" s="14" t="s">
        <v>827</v>
      </c>
      <c r="F127" s="7" t="s">
        <v>3778</v>
      </c>
      <c r="G127" s="8" t="s">
        <v>3937</v>
      </c>
      <c r="H127" s="17" t="s">
        <v>3789</v>
      </c>
      <c r="I127" s="8" t="s">
        <v>3918</v>
      </c>
      <c r="J127" s="7" t="s">
        <v>123</v>
      </c>
      <c r="K127" s="17" t="s">
        <v>3791</v>
      </c>
      <c r="L127" s="7" t="s">
        <v>322</v>
      </c>
      <c r="M127" s="7">
        <v>8302411000</v>
      </c>
      <c r="N127" s="7">
        <v>1</v>
      </c>
      <c r="O127" s="7">
        <v>1</v>
      </c>
      <c r="P127" s="7"/>
      <c r="R127" s="9">
        <v>171.02564643949691</v>
      </c>
      <c r="T127" s="7" t="s">
        <v>34</v>
      </c>
      <c r="U127" s="7"/>
    </row>
    <row r="128" spans="1:21" ht="14.1" customHeight="1">
      <c r="A128" s="7">
        <v>124</v>
      </c>
      <c r="B128" s="14" t="s">
        <v>368</v>
      </c>
      <c r="C128" s="14" t="s">
        <v>3777</v>
      </c>
      <c r="D128" s="7" t="s">
        <v>260</v>
      </c>
      <c r="E128" s="14" t="s">
        <v>827</v>
      </c>
      <c r="F128" s="7" t="s">
        <v>3778</v>
      </c>
      <c r="G128" s="8" t="s">
        <v>3938</v>
      </c>
      <c r="H128" s="17" t="s">
        <v>3783</v>
      </c>
      <c r="I128" s="8" t="s">
        <v>3918</v>
      </c>
      <c r="J128" s="7" t="s">
        <v>123</v>
      </c>
      <c r="K128" s="17" t="s">
        <v>3784</v>
      </c>
      <c r="L128" s="7" t="s">
        <v>322</v>
      </c>
      <c r="M128" s="7">
        <v>8302411000</v>
      </c>
      <c r="N128" s="7">
        <v>1</v>
      </c>
      <c r="O128" s="7">
        <v>1</v>
      </c>
      <c r="P128" s="7"/>
      <c r="R128" s="9">
        <v>171.02564643949691</v>
      </c>
      <c r="T128" s="7" t="s">
        <v>34</v>
      </c>
      <c r="U128" s="7"/>
    </row>
    <row r="129" spans="1:21" ht="14.1" customHeight="1">
      <c r="A129" s="7">
        <v>125</v>
      </c>
      <c r="B129" s="14" t="s">
        <v>368</v>
      </c>
      <c r="C129" s="14" t="s">
        <v>3777</v>
      </c>
      <c r="D129" s="7" t="s">
        <v>260</v>
      </c>
      <c r="E129" s="14" t="s">
        <v>827</v>
      </c>
      <c r="F129" s="7" t="s">
        <v>3778</v>
      </c>
      <c r="G129" s="8" t="s">
        <v>3939</v>
      </c>
      <c r="H129" s="17" t="s">
        <v>3793</v>
      </c>
      <c r="I129" s="8" t="s">
        <v>3918</v>
      </c>
      <c r="J129" s="7" t="s">
        <v>123</v>
      </c>
      <c r="K129" s="17" t="s">
        <v>3794</v>
      </c>
      <c r="L129" s="7" t="s">
        <v>322</v>
      </c>
      <c r="M129" s="7">
        <v>8302411000</v>
      </c>
      <c r="N129" s="7">
        <v>1</v>
      </c>
      <c r="O129" s="7">
        <v>1</v>
      </c>
      <c r="P129" s="7"/>
      <c r="R129" s="9">
        <v>171.02564643949691</v>
      </c>
      <c r="T129" s="7" t="s">
        <v>34</v>
      </c>
      <c r="U129" s="7"/>
    </row>
    <row r="130" spans="1:21" ht="14.1" customHeight="1">
      <c r="A130" s="7">
        <v>126</v>
      </c>
      <c r="B130" s="14" t="s">
        <v>368</v>
      </c>
      <c r="C130" s="14" t="s">
        <v>3777</v>
      </c>
      <c r="D130" s="7" t="s">
        <v>260</v>
      </c>
      <c r="E130" s="14" t="s">
        <v>827</v>
      </c>
      <c r="F130" s="7" t="s">
        <v>3778</v>
      </c>
      <c r="G130" s="8" t="s">
        <v>3940</v>
      </c>
      <c r="H130" s="17" t="s">
        <v>3828</v>
      </c>
      <c r="I130" s="8" t="s">
        <v>3918</v>
      </c>
      <c r="J130" s="7" t="s">
        <v>123</v>
      </c>
      <c r="K130" s="17" t="s">
        <v>3851</v>
      </c>
      <c r="L130" s="7" t="s">
        <v>322</v>
      </c>
      <c r="M130" s="7">
        <v>8302411000</v>
      </c>
      <c r="N130" s="7">
        <v>1</v>
      </c>
      <c r="O130" s="7">
        <v>1</v>
      </c>
      <c r="P130" s="7"/>
      <c r="R130" s="9">
        <v>171.02564643949691</v>
      </c>
      <c r="T130" s="7" t="s">
        <v>34</v>
      </c>
      <c r="U130" s="7"/>
    </row>
    <row r="131" spans="1:21" ht="14.1" customHeight="1">
      <c r="A131" s="7">
        <v>127</v>
      </c>
      <c r="B131" s="14" t="s">
        <v>368</v>
      </c>
      <c r="C131" s="14" t="s">
        <v>3777</v>
      </c>
      <c r="D131" s="7" t="s">
        <v>260</v>
      </c>
      <c r="E131" s="14" t="s">
        <v>827</v>
      </c>
      <c r="F131" s="7" t="s">
        <v>3778</v>
      </c>
      <c r="G131" s="8" t="s">
        <v>3941</v>
      </c>
      <c r="H131" s="17" t="s">
        <v>3786</v>
      </c>
      <c r="I131" s="8" t="s">
        <v>3918</v>
      </c>
      <c r="J131" s="7" t="s">
        <v>123</v>
      </c>
      <c r="K131" s="17" t="s">
        <v>3787</v>
      </c>
      <c r="L131" s="7" t="s">
        <v>322</v>
      </c>
      <c r="M131" s="7">
        <v>8302411000</v>
      </c>
      <c r="N131" s="7">
        <v>1</v>
      </c>
      <c r="O131" s="7">
        <v>1</v>
      </c>
      <c r="P131" s="7"/>
      <c r="R131" s="9">
        <v>171.02564643949691</v>
      </c>
      <c r="T131" s="7" t="s">
        <v>34</v>
      </c>
      <c r="U131" s="7"/>
    </row>
    <row r="132" spans="1:21" ht="14.1" customHeight="1">
      <c r="A132" s="7">
        <v>128</v>
      </c>
      <c r="B132" s="14" t="s">
        <v>368</v>
      </c>
      <c r="C132" s="14" t="s">
        <v>3777</v>
      </c>
      <c r="D132" s="7" t="s">
        <v>260</v>
      </c>
      <c r="E132" s="14" t="s">
        <v>827</v>
      </c>
      <c r="F132" s="7" t="s">
        <v>3778</v>
      </c>
      <c r="G132" s="8" t="s">
        <v>3942</v>
      </c>
      <c r="H132" s="17" t="s">
        <v>3797</v>
      </c>
      <c r="I132" s="8" t="s">
        <v>3918</v>
      </c>
      <c r="J132" s="7" t="s">
        <v>123</v>
      </c>
      <c r="K132" s="17" t="s">
        <v>3798</v>
      </c>
      <c r="L132" s="7" t="s">
        <v>322</v>
      </c>
      <c r="M132" s="7">
        <v>8302411000</v>
      </c>
      <c r="N132" s="7">
        <v>1</v>
      </c>
      <c r="O132" s="7">
        <v>1</v>
      </c>
      <c r="P132" s="7"/>
      <c r="R132" s="9">
        <v>171.02564643949691</v>
      </c>
      <c r="T132" s="7" t="s">
        <v>34</v>
      </c>
      <c r="U132" s="7"/>
    </row>
    <row r="133" spans="1:21" ht="14.1" customHeight="1">
      <c r="A133" s="7">
        <v>129</v>
      </c>
      <c r="B133" s="14" t="s">
        <v>368</v>
      </c>
      <c r="C133" s="14" t="s">
        <v>3777</v>
      </c>
      <c r="D133" s="7" t="s">
        <v>260</v>
      </c>
      <c r="E133" s="14" t="s">
        <v>827</v>
      </c>
      <c r="F133" s="7" t="s">
        <v>3778</v>
      </c>
      <c r="G133" s="8" t="s">
        <v>3943</v>
      </c>
      <c r="H133" s="17" t="s">
        <v>3780</v>
      </c>
      <c r="I133" s="8" t="s">
        <v>3927</v>
      </c>
      <c r="J133" s="7" t="s">
        <v>123</v>
      </c>
      <c r="K133" s="17" t="s">
        <v>26</v>
      </c>
      <c r="L133" s="7" t="s">
        <v>322</v>
      </c>
      <c r="M133" s="7">
        <v>8302411000</v>
      </c>
      <c r="N133" s="7">
        <v>1</v>
      </c>
      <c r="O133" s="7">
        <v>1</v>
      </c>
      <c r="P133" s="7"/>
      <c r="R133" s="9">
        <v>171.02564643949691</v>
      </c>
      <c r="T133" s="7" t="s">
        <v>34</v>
      </c>
      <c r="U133" s="7"/>
    </row>
    <row r="134" spans="1:21" ht="14.1" customHeight="1">
      <c r="A134" s="7">
        <v>130</v>
      </c>
      <c r="B134" s="14" t="s">
        <v>368</v>
      </c>
      <c r="C134" s="14" t="s">
        <v>3777</v>
      </c>
      <c r="D134" s="7" t="s">
        <v>260</v>
      </c>
      <c r="E134" s="14" t="s">
        <v>827</v>
      </c>
      <c r="F134" s="7" t="s">
        <v>3778</v>
      </c>
      <c r="G134" s="8" t="s">
        <v>3944</v>
      </c>
      <c r="H134" s="17" t="s">
        <v>3800</v>
      </c>
      <c r="I134" s="8" t="s">
        <v>3927</v>
      </c>
      <c r="J134" s="7" t="s">
        <v>123</v>
      </c>
      <c r="K134" s="17" t="s">
        <v>3802</v>
      </c>
      <c r="L134" s="7" t="s">
        <v>322</v>
      </c>
      <c r="M134" s="7">
        <v>8302411000</v>
      </c>
      <c r="N134" s="7">
        <v>1</v>
      </c>
      <c r="O134" s="7">
        <v>1</v>
      </c>
      <c r="P134" s="7"/>
      <c r="R134" s="9">
        <v>171.02564643949691</v>
      </c>
      <c r="T134" s="7" t="s">
        <v>34</v>
      </c>
      <c r="U134" s="7"/>
    </row>
    <row r="135" spans="1:21" ht="14.1" customHeight="1">
      <c r="A135" s="7">
        <v>131</v>
      </c>
      <c r="B135" s="14" t="s">
        <v>368</v>
      </c>
      <c r="C135" s="14" t="s">
        <v>3777</v>
      </c>
      <c r="D135" s="7" t="s">
        <v>260</v>
      </c>
      <c r="E135" s="14" t="s">
        <v>827</v>
      </c>
      <c r="F135" s="7" t="s">
        <v>3778</v>
      </c>
      <c r="G135" s="8" t="s">
        <v>3945</v>
      </c>
      <c r="H135" s="17" t="s">
        <v>3789</v>
      </c>
      <c r="I135" s="8" t="s">
        <v>3927</v>
      </c>
      <c r="J135" s="7" t="s">
        <v>123</v>
      </c>
      <c r="K135" s="17" t="s">
        <v>3791</v>
      </c>
      <c r="L135" s="7" t="s">
        <v>322</v>
      </c>
      <c r="M135" s="7">
        <v>8302411000</v>
      </c>
      <c r="N135" s="7">
        <v>1</v>
      </c>
      <c r="O135" s="7">
        <v>1</v>
      </c>
      <c r="P135" s="7"/>
      <c r="R135" s="9">
        <v>171.02564643949691</v>
      </c>
      <c r="T135" s="7" t="s">
        <v>34</v>
      </c>
      <c r="U135" s="7"/>
    </row>
    <row r="136" spans="1:21" ht="14.1" customHeight="1">
      <c r="A136" s="7">
        <v>132</v>
      </c>
      <c r="B136" s="14" t="s">
        <v>368</v>
      </c>
      <c r="C136" s="14" t="s">
        <v>3777</v>
      </c>
      <c r="D136" s="7" t="s">
        <v>260</v>
      </c>
      <c r="E136" s="14" t="s">
        <v>827</v>
      </c>
      <c r="F136" s="7" t="s">
        <v>3778</v>
      </c>
      <c r="G136" s="8" t="s">
        <v>3946</v>
      </c>
      <c r="H136" s="17" t="s">
        <v>3783</v>
      </c>
      <c r="I136" s="8" t="s">
        <v>3927</v>
      </c>
      <c r="J136" s="7" t="s">
        <v>123</v>
      </c>
      <c r="K136" s="17" t="s">
        <v>3784</v>
      </c>
      <c r="L136" s="7" t="s">
        <v>322</v>
      </c>
      <c r="M136" s="7">
        <v>8302411000</v>
      </c>
      <c r="N136" s="7">
        <v>1</v>
      </c>
      <c r="O136" s="7">
        <v>1</v>
      </c>
      <c r="P136" s="7"/>
      <c r="R136" s="9">
        <v>171.02564643949691</v>
      </c>
      <c r="T136" s="7" t="s">
        <v>34</v>
      </c>
      <c r="U136" s="7"/>
    </row>
    <row r="137" spans="1:21" ht="14.1" customHeight="1">
      <c r="A137" s="7">
        <v>133</v>
      </c>
      <c r="B137" s="14" t="s">
        <v>368</v>
      </c>
      <c r="C137" s="14" t="s">
        <v>3777</v>
      </c>
      <c r="D137" s="7" t="s">
        <v>260</v>
      </c>
      <c r="E137" s="14" t="s">
        <v>827</v>
      </c>
      <c r="F137" s="7" t="s">
        <v>3778</v>
      </c>
      <c r="G137" s="8" t="s">
        <v>3947</v>
      </c>
      <c r="H137" s="17" t="s">
        <v>3793</v>
      </c>
      <c r="I137" s="8" t="s">
        <v>3927</v>
      </c>
      <c r="J137" s="7" t="s">
        <v>123</v>
      </c>
      <c r="K137" s="17" t="s">
        <v>3794</v>
      </c>
      <c r="L137" s="7" t="s">
        <v>322</v>
      </c>
      <c r="M137" s="7">
        <v>8302411000</v>
      </c>
      <c r="N137" s="7">
        <v>1</v>
      </c>
      <c r="O137" s="7">
        <v>1</v>
      </c>
      <c r="P137" s="7"/>
      <c r="R137" s="9">
        <v>171.02564643949691</v>
      </c>
      <c r="T137" s="7" t="s">
        <v>34</v>
      </c>
      <c r="U137" s="7"/>
    </row>
    <row r="138" spans="1:21" ht="14.1" customHeight="1">
      <c r="A138" s="7">
        <v>134</v>
      </c>
      <c r="B138" s="14" t="s">
        <v>368</v>
      </c>
      <c r="C138" s="14" t="s">
        <v>3777</v>
      </c>
      <c r="D138" s="7" t="s">
        <v>260</v>
      </c>
      <c r="E138" s="14" t="s">
        <v>827</v>
      </c>
      <c r="F138" s="7" t="s">
        <v>3778</v>
      </c>
      <c r="G138" s="8" t="s">
        <v>3948</v>
      </c>
      <c r="H138" s="17" t="s">
        <v>3828</v>
      </c>
      <c r="I138" s="8" t="s">
        <v>3927</v>
      </c>
      <c r="J138" s="7" t="s">
        <v>123</v>
      </c>
      <c r="K138" s="17" t="s">
        <v>3851</v>
      </c>
      <c r="L138" s="7" t="s">
        <v>322</v>
      </c>
      <c r="M138" s="7">
        <v>8302411000</v>
      </c>
      <c r="N138" s="7">
        <v>1</v>
      </c>
      <c r="O138" s="7">
        <v>1</v>
      </c>
      <c r="P138" s="7"/>
      <c r="R138" s="9">
        <v>171.02564643949691</v>
      </c>
      <c r="T138" s="7" t="s">
        <v>34</v>
      </c>
      <c r="U138" s="7"/>
    </row>
    <row r="139" spans="1:21" ht="14.1" customHeight="1">
      <c r="A139" s="7">
        <v>135</v>
      </c>
      <c r="B139" s="14" t="s">
        <v>368</v>
      </c>
      <c r="C139" s="14" t="s">
        <v>3777</v>
      </c>
      <c r="D139" s="7" t="s">
        <v>260</v>
      </c>
      <c r="E139" s="14" t="s">
        <v>827</v>
      </c>
      <c r="F139" s="7" t="s">
        <v>3778</v>
      </c>
      <c r="G139" s="8" t="s">
        <v>3949</v>
      </c>
      <c r="H139" s="17" t="s">
        <v>3786</v>
      </c>
      <c r="I139" s="8" t="s">
        <v>3927</v>
      </c>
      <c r="J139" s="7" t="s">
        <v>123</v>
      </c>
      <c r="K139" s="17" t="s">
        <v>3787</v>
      </c>
      <c r="L139" s="7" t="s">
        <v>322</v>
      </c>
      <c r="M139" s="7">
        <v>8302411000</v>
      </c>
      <c r="N139" s="7">
        <v>1</v>
      </c>
      <c r="O139" s="7">
        <v>1</v>
      </c>
      <c r="P139" s="7"/>
      <c r="R139" s="9">
        <v>171.02564643949691</v>
      </c>
      <c r="T139" s="7" t="s">
        <v>34</v>
      </c>
      <c r="U139" s="7"/>
    </row>
    <row r="140" spans="1:21" ht="14.1" customHeight="1">
      <c r="A140" s="7">
        <v>136</v>
      </c>
      <c r="B140" s="14" t="s">
        <v>368</v>
      </c>
      <c r="C140" s="14" t="s">
        <v>3777</v>
      </c>
      <c r="D140" s="7" t="s">
        <v>260</v>
      </c>
      <c r="E140" s="14" t="s">
        <v>827</v>
      </c>
      <c r="F140" s="7" t="s">
        <v>3778</v>
      </c>
      <c r="G140" s="8" t="s">
        <v>3950</v>
      </c>
      <c r="H140" s="17" t="s">
        <v>3797</v>
      </c>
      <c r="I140" s="8" t="s">
        <v>3927</v>
      </c>
      <c r="J140" s="7" t="s">
        <v>123</v>
      </c>
      <c r="K140" s="17" t="s">
        <v>3798</v>
      </c>
      <c r="L140" s="7" t="s">
        <v>322</v>
      </c>
      <c r="M140" s="7">
        <v>8302411000</v>
      </c>
      <c r="N140" s="7">
        <v>1</v>
      </c>
      <c r="O140" s="7">
        <v>1</v>
      </c>
      <c r="P140" s="7"/>
      <c r="R140" s="9">
        <v>171.02564643949691</v>
      </c>
      <c r="T140" s="7" t="s">
        <v>34</v>
      </c>
      <c r="U140" s="7"/>
    </row>
    <row r="141" spans="1:21" ht="14.1" customHeight="1">
      <c r="A141" s="7">
        <v>137</v>
      </c>
      <c r="B141" s="14" t="s">
        <v>368</v>
      </c>
      <c r="C141" s="14" t="s">
        <v>3777</v>
      </c>
      <c r="D141" s="7" t="s">
        <v>260</v>
      </c>
      <c r="E141" s="14" t="s">
        <v>827</v>
      </c>
      <c r="F141" s="7" t="s">
        <v>3778</v>
      </c>
      <c r="G141" s="8" t="s">
        <v>3951</v>
      </c>
      <c r="H141" s="17" t="s">
        <v>3780</v>
      </c>
      <c r="I141" s="8" t="s">
        <v>3952</v>
      </c>
      <c r="J141" s="7" t="s">
        <v>123</v>
      </c>
      <c r="K141" s="17" t="s">
        <v>26</v>
      </c>
      <c r="L141" s="7" t="s">
        <v>322</v>
      </c>
      <c r="M141" s="7">
        <v>8302411000</v>
      </c>
      <c r="N141" s="7">
        <v>1</v>
      </c>
      <c r="O141" s="7">
        <v>1</v>
      </c>
      <c r="P141" s="7"/>
      <c r="R141" s="9">
        <v>455.72702194955752</v>
      </c>
      <c r="T141" s="7" t="s">
        <v>34</v>
      </c>
      <c r="U141" s="7"/>
    </row>
    <row r="142" spans="1:21" ht="14.1" customHeight="1">
      <c r="A142" s="7">
        <v>138</v>
      </c>
      <c r="B142" s="14" t="s">
        <v>368</v>
      </c>
      <c r="C142" s="14" t="s">
        <v>3777</v>
      </c>
      <c r="D142" s="7" t="s">
        <v>260</v>
      </c>
      <c r="E142" s="14" t="s">
        <v>827</v>
      </c>
      <c r="F142" s="7" t="s">
        <v>3778</v>
      </c>
      <c r="G142" s="8" t="s">
        <v>3953</v>
      </c>
      <c r="H142" s="17" t="s">
        <v>3800</v>
      </c>
      <c r="I142" s="8" t="s">
        <v>3952</v>
      </c>
      <c r="J142" s="7" t="s">
        <v>123</v>
      </c>
      <c r="K142" s="17" t="s">
        <v>3802</v>
      </c>
      <c r="L142" s="7" t="s">
        <v>322</v>
      </c>
      <c r="M142" s="7">
        <v>8302411000</v>
      </c>
      <c r="N142" s="7">
        <v>1</v>
      </c>
      <c r="O142" s="7">
        <v>1</v>
      </c>
      <c r="P142" s="7"/>
      <c r="R142" s="9">
        <v>455.72702194955752</v>
      </c>
      <c r="T142" s="7" t="s">
        <v>34</v>
      </c>
      <c r="U142" s="7"/>
    </row>
    <row r="143" spans="1:21" ht="14.1" customHeight="1">
      <c r="A143" s="7">
        <v>139</v>
      </c>
      <c r="B143" s="14" t="s">
        <v>368</v>
      </c>
      <c r="C143" s="14" t="s">
        <v>3777</v>
      </c>
      <c r="D143" s="7" t="s">
        <v>260</v>
      </c>
      <c r="E143" s="14" t="s">
        <v>827</v>
      </c>
      <c r="F143" s="7" t="s">
        <v>3778</v>
      </c>
      <c r="G143" s="8" t="s">
        <v>3954</v>
      </c>
      <c r="H143" s="17" t="s">
        <v>3789</v>
      </c>
      <c r="I143" s="8" t="s">
        <v>3952</v>
      </c>
      <c r="J143" s="7" t="s">
        <v>123</v>
      </c>
      <c r="K143" s="17" t="s">
        <v>3791</v>
      </c>
      <c r="L143" s="7" t="s">
        <v>322</v>
      </c>
      <c r="M143" s="7">
        <v>8302411000</v>
      </c>
      <c r="N143" s="7">
        <v>1</v>
      </c>
      <c r="O143" s="7">
        <v>1</v>
      </c>
      <c r="P143" s="7"/>
      <c r="R143" s="9">
        <v>455.72702194955752</v>
      </c>
      <c r="T143" s="7" t="s">
        <v>34</v>
      </c>
      <c r="U143" s="7"/>
    </row>
    <row r="144" spans="1:21" ht="14.1" customHeight="1">
      <c r="A144" s="7">
        <v>140</v>
      </c>
      <c r="B144" s="14" t="s">
        <v>368</v>
      </c>
      <c r="C144" s="14" t="s">
        <v>3777</v>
      </c>
      <c r="D144" s="7" t="s">
        <v>260</v>
      </c>
      <c r="E144" s="14" t="s">
        <v>827</v>
      </c>
      <c r="F144" s="7" t="s">
        <v>3778</v>
      </c>
      <c r="G144" s="8" t="s">
        <v>3955</v>
      </c>
      <c r="H144" s="17" t="s">
        <v>3783</v>
      </c>
      <c r="I144" s="8" t="s">
        <v>3952</v>
      </c>
      <c r="J144" s="7" t="s">
        <v>123</v>
      </c>
      <c r="K144" s="17" t="s">
        <v>3784</v>
      </c>
      <c r="L144" s="7" t="s">
        <v>322</v>
      </c>
      <c r="M144" s="7">
        <v>8302411000</v>
      </c>
      <c r="N144" s="7">
        <v>1</v>
      </c>
      <c r="O144" s="7">
        <v>1</v>
      </c>
      <c r="P144" s="7"/>
      <c r="R144" s="9">
        <v>455.72702194955752</v>
      </c>
      <c r="T144" s="7" t="s">
        <v>34</v>
      </c>
      <c r="U144" s="7"/>
    </row>
    <row r="145" spans="1:21" ht="14.1" customHeight="1">
      <c r="A145" s="7">
        <v>141</v>
      </c>
      <c r="B145" s="14" t="s">
        <v>368</v>
      </c>
      <c r="C145" s="14" t="s">
        <v>3777</v>
      </c>
      <c r="D145" s="7" t="s">
        <v>260</v>
      </c>
      <c r="E145" s="14" t="s">
        <v>827</v>
      </c>
      <c r="F145" s="7" t="s">
        <v>3778</v>
      </c>
      <c r="G145" s="8" t="s">
        <v>3956</v>
      </c>
      <c r="H145" s="17" t="s">
        <v>3793</v>
      </c>
      <c r="I145" s="8" t="s">
        <v>3952</v>
      </c>
      <c r="J145" s="7" t="s">
        <v>123</v>
      </c>
      <c r="K145" s="17" t="s">
        <v>3794</v>
      </c>
      <c r="L145" s="7" t="s">
        <v>322</v>
      </c>
      <c r="M145" s="7">
        <v>8302411000</v>
      </c>
      <c r="N145" s="7">
        <v>1</v>
      </c>
      <c r="O145" s="7">
        <v>1</v>
      </c>
      <c r="P145" s="7"/>
      <c r="R145" s="9">
        <v>455.72702194955752</v>
      </c>
      <c r="T145" s="7" t="s">
        <v>34</v>
      </c>
      <c r="U145" s="7"/>
    </row>
    <row r="146" spans="1:21" ht="14.1" customHeight="1">
      <c r="A146" s="7">
        <v>142</v>
      </c>
      <c r="B146" s="14" t="s">
        <v>368</v>
      </c>
      <c r="C146" s="14" t="s">
        <v>3777</v>
      </c>
      <c r="D146" s="7" t="s">
        <v>260</v>
      </c>
      <c r="E146" s="14" t="s">
        <v>827</v>
      </c>
      <c r="F146" s="7" t="s">
        <v>3778</v>
      </c>
      <c r="G146" s="8" t="s">
        <v>3957</v>
      </c>
      <c r="H146" s="17" t="s">
        <v>3828</v>
      </c>
      <c r="I146" s="8" t="s">
        <v>3952</v>
      </c>
      <c r="J146" s="7" t="s">
        <v>123</v>
      </c>
      <c r="K146" s="17" t="s">
        <v>3851</v>
      </c>
      <c r="L146" s="7" t="s">
        <v>322</v>
      </c>
      <c r="M146" s="7">
        <v>8302411000</v>
      </c>
      <c r="N146" s="7">
        <v>1</v>
      </c>
      <c r="O146" s="7">
        <v>1</v>
      </c>
      <c r="P146" s="7"/>
      <c r="R146" s="9">
        <v>455.72702194955752</v>
      </c>
      <c r="T146" s="7" t="s">
        <v>34</v>
      </c>
      <c r="U146" s="7"/>
    </row>
    <row r="147" spans="1:21" ht="14.1" customHeight="1">
      <c r="A147" s="7">
        <v>143</v>
      </c>
      <c r="B147" s="14" t="s">
        <v>368</v>
      </c>
      <c r="C147" s="14" t="s">
        <v>3777</v>
      </c>
      <c r="D147" s="7" t="s">
        <v>260</v>
      </c>
      <c r="E147" s="14" t="s">
        <v>827</v>
      </c>
      <c r="F147" s="7" t="s">
        <v>3778</v>
      </c>
      <c r="G147" s="8" t="s">
        <v>3958</v>
      </c>
      <c r="H147" s="17" t="s">
        <v>3786</v>
      </c>
      <c r="I147" s="8" t="s">
        <v>3952</v>
      </c>
      <c r="J147" s="7" t="s">
        <v>123</v>
      </c>
      <c r="K147" s="17" t="s">
        <v>3787</v>
      </c>
      <c r="L147" s="7" t="s">
        <v>322</v>
      </c>
      <c r="M147" s="7">
        <v>8302411000</v>
      </c>
      <c r="N147" s="7">
        <v>1</v>
      </c>
      <c r="O147" s="7">
        <v>1</v>
      </c>
      <c r="P147" s="7"/>
      <c r="R147" s="9">
        <v>455.72702194955752</v>
      </c>
      <c r="T147" s="7" t="s">
        <v>34</v>
      </c>
      <c r="U147" s="7"/>
    </row>
    <row r="148" spans="1:21" ht="14.1" customHeight="1">
      <c r="A148" s="7">
        <v>144</v>
      </c>
      <c r="B148" s="14" t="s">
        <v>368</v>
      </c>
      <c r="C148" s="14" t="s">
        <v>3777</v>
      </c>
      <c r="D148" s="7" t="s">
        <v>260</v>
      </c>
      <c r="E148" s="14" t="s">
        <v>827</v>
      </c>
      <c r="F148" s="7" t="s">
        <v>3778</v>
      </c>
      <c r="G148" s="8" t="s">
        <v>3959</v>
      </c>
      <c r="H148" s="17" t="s">
        <v>3797</v>
      </c>
      <c r="I148" s="8" t="s">
        <v>3952</v>
      </c>
      <c r="J148" s="7" t="s">
        <v>123</v>
      </c>
      <c r="K148" s="17" t="s">
        <v>3798</v>
      </c>
      <c r="L148" s="7" t="s">
        <v>322</v>
      </c>
      <c r="M148" s="7">
        <v>8302411000</v>
      </c>
      <c r="N148" s="7">
        <v>1</v>
      </c>
      <c r="O148" s="7">
        <v>1</v>
      </c>
      <c r="P148" s="7"/>
      <c r="R148" s="9">
        <v>455.72702194955752</v>
      </c>
      <c r="T148" s="7" t="s">
        <v>34</v>
      </c>
      <c r="U148" s="7"/>
    </row>
    <row r="149" spans="1:21" ht="14.1" customHeight="1"/>
    <row r="150" spans="1:21" ht="14.1" customHeight="1"/>
    <row r="151" spans="1:21" ht="14.1" customHeight="1"/>
    <row r="152" spans="1:21" ht="14.1" customHeight="1"/>
    <row r="153" spans="1:21" ht="14.1" customHeight="1"/>
    <row r="154" spans="1:21" ht="14.1" customHeight="1"/>
    <row r="155" spans="1:21" ht="14.1" customHeight="1"/>
    <row r="156" spans="1:21" ht="14.1" customHeight="1"/>
    <row r="157" spans="1:21" ht="14.1" customHeight="1"/>
    <row r="158" spans="1:21" ht="14.1" customHeight="1"/>
    <row r="159" spans="1:21" ht="14.1" customHeight="1"/>
    <row r="160" spans="1:21" ht="14.1" customHeight="1"/>
    <row r="161" ht="14.1" customHeight="1"/>
    <row r="162" ht="14.1" customHeight="1"/>
    <row r="163" ht="14.1" customHeight="1"/>
    <row r="164" ht="14.1" customHeight="1"/>
    <row r="165" ht="14.1" customHeight="1"/>
    <row r="166" ht="14.1" customHeight="1"/>
    <row r="167" ht="14.1" customHeight="1"/>
    <row r="168" ht="14.1" customHeight="1"/>
    <row r="169" ht="14.1" customHeight="1"/>
    <row r="170" ht="14.1" customHeight="1"/>
    <row r="171" ht="14.1" customHeight="1"/>
    <row r="172" ht="14.1" customHeight="1"/>
    <row r="173" ht="14.1" customHeight="1"/>
    <row r="174" ht="14.1" customHeight="1"/>
    <row r="175" ht="14.1" customHeight="1"/>
    <row r="176" ht="14.1" customHeight="1"/>
    <row r="177" ht="14.1" customHeight="1"/>
    <row r="178" ht="14.1" customHeight="1"/>
    <row r="179" ht="14.1" customHeight="1"/>
    <row r="180" ht="14.1" customHeight="1"/>
    <row r="181" ht="14.1" customHeight="1"/>
    <row r="182" ht="14.1" customHeight="1"/>
    <row r="183" ht="14.1" customHeight="1"/>
    <row r="184" ht="14.1" customHeight="1"/>
    <row r="185" ht="14.1" customHeight="1"/>
    <row r="186" ht="14.1" customHeight="1"/>
    <row r="187" ht="14.1" customHeight="1"/>
    <row r="188" ht="14.1" customHeight="1"/>
    <row r="189" ht="14.1" customHeight="1"/>
    <row r="190" ht="14.1" customHeight="1"/>
    <row r="191" ht="14.1" customHeight="1"/>
    <row r="192" ht="14.1" customHeight="1"/>
    <row r="193" ht="14.1" customHeight="1"/>
    <row r="194" ht="14.1" customHeight="1"/>
    <row r="195" ht="14.1" customHeight="1"/>
    <row r="196" ht="14.1" customHeight="1"/>
    <row r="197" ht="14.1" customHeight="1"/>
    <row r="198" ht="14.1" customHeight="1"/>
    <row r="199" ht="14.1" customHeight="1"/>
    <row r="200" ht="14.1" customHeight="1"/>
    <row r="201" ht="14.1" customHeight="1"/>
    <row r="202" ht="14.1" customHeight="1"/>
    <row r="203" ht="14.1" customHeight="1"/>
    <row r="204" ht="14.1" customHeight="1"/>
    <row r="205" ht="14.1" customHeight="1"/>
    <row r="206" ht="14.1" customHeight="1"/>
    <row r="207" ht="14.1" customHeight="1"/>
    <row r="208" ht="14.1" customHeight="1"/>
    <row r="209" ht="14.1" customHeight="1"/>
    <row r="210" ht="14.1" customHeight="1"/>
    <row r="211" ht="14.1" customHeight="1"/>
    <row r="212" ht="14.1" customHeight="1"/>
    <row r="213" ht="14.1" customHeight="1"/>
    <row r="214" ht="14.1" customHeight="1"/>
    <row r="215" ht="14.1" customHeight="1"/>
    <row r="216" ht="14.1" customHeight="1"/>
    <row r="217" ht="14.1" customHeight="1"/>
    <row r="218" ht="14.1" customHeight="1"/>
    <row r="219" ht="14.1" customHeight="1"/>
    <row r="220" ht="14.1" customHeight="1"/>
    <row r="221" ht="14.1" customHeight="1"/>
    <row r="222" ht="14.1" customHeight="1"/>
    <row r="223" ht="14.1" customHeight="1"/>
    <row r="224" ht="14.1" customHeight="1"/>
    <row r="225" ht="14.1" customHeight="1"/>
    <row r="226" ht="14.1" customHeight="1"/>
    <row r="227" ht="14.1" customHeight="1"/>
    <row r="228" ht="14.1" customHeight="1"/>
    <row r="229" ht="14.1" customHeight="1"/>
    <row r="230" ht="14.1" customHeight="1"/>
    <row r="231" ht="14.1" customHeight="1"/>
    <row r="232" ht="14.1" customHeight="1"/>
    <row r="233" ht="14.1" customHeight="1"/>
    <row r="234" ht="14.1" customHeight="1"/>
    <row r="235" ht="14.1" customHeight="1"/>
    <row r="236" ht="14.1" customHeight="1"/>
    <row r="237" ht="14.1" customHeight="1"/>
    <row r="238" ht="14.1" customHeight="1"/>
    <row r="239" ht="14.1" customHeight="1"/>
    <row r="240" ht="14.1" customHeight="1"/>
    <row r="241" ht="14.1" customHeight="1"/>
    <row r="242" ht="14.1" customHeight="1"/>
    <row r="243" ht="14.1" customHeight="1"/>
    <row r="244" ht="14.1" customHeight="1"/>
    <row r="245" ht="14.1" customHeight="1"/>
    <row r="246" ht="14.1" customHeight="1"/>
    <row r="247" ht="14.1" customHeight="1"/>
    <row r="248" ht="14.1" customHeight="1"/>
    <row r="249" ht="14.1" customHeight="1"/>
    <row r="250" ht="14.1" customHeight="1"/>
    <row r="251" ht="14.1" customHeight="1"/>
    <row r="252" ht="14.1" customHeight="1"/>
    <row r="253" ht="14.1" customHeight="1"/>
    <row r="254" ht="14.1" customHeight="1"/>
    <row r="255" ht="14.1" customHeight="1"/>
    <row r="256" ht="14.1" customHeight="1"/>
    <row r="257" ht="14.1" customHeight="1"/>
    <row r="258" ht="14.1" customHeight="1"/>
    <row r="259" ht="14.1" customHeight="1"/>
    <row r="260" ht="14.1" customHeight="1"/>
    <row r="261" ht="14.1" customHeight="1"/>
    <row r="262" ht="14.1" customHeight="1"/>
    <row r="263" ht="14.1" customHeight="1"/>
    <row r="264" ht="14.1" customHeight="1"/>
    <row r="265" ht="14.1" customHeight="1"/>
    <row r="266" ht="14.1" customHeight="1"/>
    <row r="267" ht="14.1" customHeight="1"/>
    <row r="268" ht="14.1" customHeight="1"/>
    <row r="269" ht="14.1" customHeight="1"/>
    <row r="270" ht="14.1" customHeight="1"/>
    <row r="271" ht="14.1" customHeight="1"/>
    <row r="272" ht="14.1" customHeight="1"/>
    <row r="273" ht="14.1" customHeight="1"/>
    <row r="274" ht="14.1" customHeight="1"/>
    <row r="275" ht="14.1" customHeight="1"/>
    <row r="276" ht="14.1" customHeight="1"/>
    <row r="277" ht="14.1" customHeight="1"/>
    <row r="278" ht="14.1" customHeight="1"/>
    <row r="279" ht="14.1" customHeight="1"/>
    <row r="280" ht="14.1" customHeight="1"/>
    <row r="281" ht="14.1" customHeight="1"/>
    <row r="282" ht="14.1" customHeight="1"/>
    <row r="283" ht="14.1" customHeight="1"/>
    <row r="284" ht="14.1" customHeight="1"/>
    <row r="285" ht="14.1" customHeight="1"/>
    <row r="286" ht="14.1" customHeight="1"/>
    <row r="287" ht="14.1" customHeight="1"/>
    <row r="288" ht="14.1" customHeight="1"/>
    <row r="289" ht="14.1" customHeight="1"/>
    <row r="290" ht="14.1" customHeight="1"/>
    <row r="291" ht="14.1" customHeight="1"/>
    <row r="292" ht="14.1" customHeight="1"/>
    <row r="293" ht="14.1" customHeight="1"/>
    <row r="294" ht="14.1" customHeight="1"/>
    <row r="295" ht="14.1" customHeight="1"/>
    <row r="296" ht="14.1" customHeight="1"/>
    <row r="297" ht="14.1" customHeight="1"/>
    <row r="298" ht="14.1" customHeight="1"/>
    <row r="299" ht="14.1" customHeight="1"/>
    <row r="300" ht="14.1" customHeight="1"/>
    <row r="301" ht="14.1" customHeight="1"/>
    <row r="302" ht="14.1" customHeight="1"/>
    <row r="303" ht="14.1" customHeight="1"/>
    <row r="304" ht="14.1" customHeight="1"/>
    <row r="305" ht="14.1" customHeight="1"/>
    <row r="306" ht="14.1" customHeight="1"/>
    <row r="307" ht="14.1" customHeight="1"/>
    <row r="308" ht="14.1" customHeight="1"/>
    <row r="309" ht="14.1" customHeight="1"/>
    <row r="310" ht="14.1" customHeight="1"/>
    <row r="311" ht="14.1" customHeight="1"/>
    <row r="312" ht="14.1" customHeight="1"/>
    <row r="313" ht="14.1" customHeight="1"/>
    <row r="314" ht="14.1" customHeight="1"/>
    <row r="315" ht="14.1" customHeight="1"/>
    <row r="316" ht="14.1" customHeight="1"/>
    <row r="317" ht="14.1" customHeight="1"/>
    <row r="318" ht="14.1" customHeight="1"/>
    <row r="319" ht="14.1" customHeight="1"/>
    <row r="320" ht="14.1" customHeight="1"/>
    <row r="321" ht="14.1" customHeight="1"/>
    <row r="322" ht="14.1" customHeight="1"/>
    <row r="323" ht="14.1" customHeight="1"/>
    <row r="324" ht="14.1" customHeight="1"/>
    <row r="325" ht="14.1" customHeight="1"/>
    <row r="326" ht="14.1" customHeight="1"/>
    <row r="327" ht="14.1" customHeight="1"/>
    <row r="328" ht="14.1" customHeight="1"/>
    <row r="329" ht="14.1" customHeight="1"/>
    <row r="330" ht="14.1" customHeight="1"/>
    <row r="331" ht="14.1" customHeight="1"/>
    <row r="332" ht="14.1" customHeight="1"/>
    <row r="333" ht="14.1" customHeight="1"/>
    <row r="334" ht="14.1" customHeight="1"/>
    <row r="335" ht="14.1" customHeight="1"/>
    <row r="336" ht="14.1" customHeight="1"/>
    <row r="337" ht="14.1" customHeight="1"/>
    <row r="338" ht="14.1" customHeight="1"/>
    <row r="339" ht="14.1" customHeight="1"/>
    <row r="340" ht="14.1" customHeight="1"/>
    <row r="341" ht="14.1" customHeight="1"/>
    <row r="342" ht="14.1" customHeight="1"/>
    <row r="343" ht="14.1" customHeight="1"/>
    <row r="344" ht="14.1" customHeight="1"/>
    <row r="345" ht="14.1" customHeight="1"/>
    <row r="346" ht="14.1" customHeight="1"/>
    <row r="347" ht="14.1" customHeight="1"/>
    <row r="348" ht="14.1" customHeight="1"/>
    <row r="349" ht="14.1" customHeight="1"/>
    <row r="350" ht="14.1" customHeight="1"/>
    <row r="351" ht="14.1" customHeight="1"/>
    <row r="352" ht="14.1" customHeight="1"/>
    <row r="353" ht="14.1" customHeight="1"/>
    <row r="354" ht="14.1" customHeight="1"/>
    <row r="355" ht="14.1" customHeight="1"/>
    <row r="356" ht="14.1" customHeight="1"/>
    <row r="357" ht="14.1" customHeight="1"/>
    <row r="358" ht="14.1" customHeight="1"/>
    <row r="359" ht="14.1" customHeight="1"/>
    <row r="360" ht="14.1" customHeight="1"/>
    <row r="361" ht="14.1" customHeight="1"/>
    <row r="362" ht="14.1" customHeight="1"/>
    <row r="363" ht="14.1" customHeight="1"/>
    <row r="364" ht="14.1" customHeight="1"/>
    <row r="365" ht="14.1" customHeight="1"/>
    <row r="366" ht="14.1" customHeight="1"/>
    <row r="367" ht="14.1" customHeight="1"/>
    <row r="368" ht="14.1" customHeight="1"/>
    <row r="369" ht="14.1" customHeight="1"/>
    <row r="370" ht="14.1" customHeight="1"/>
    <row r="371" ht="14.1" customHeight="1"/>
    <row r="372" ht="14.1" customHeight="1"/>
    <row r="373" ht="14.1" customHeight="1"/>
    <row r="374" ht="14.1" customHeight="1"/>
    <row r="375" ht="14.1" customHeight="1"/>
    <row r="376" ht="14.1" customHeight="1"/>
    <row r="377" ht="14.1" customHeight="1"/>
    <row r="378" ht="14.1" customHeight="1"/>
    <row r="379" ht="14.1" customHeight="1"/>
    <row r="380" ht="14.1" customHeight="1"/>
    <row r="381" ht="14.1" customHeight="1"/>
    <row r="382" ht="14.1" customHeight="1"/>
    <row r="383" ht="14.1" customHeight="1"/>
    <row r="384" ht="14.1" customHeight="1"/>
    <row r="385" ht="14.1" customHeight="1"/>
    <row r="386" ht="14.1" customHeight="1"/>
    <row r="387" ht="14.1" customHeight="1"/>
    <row r="388" ht="14.1" customHeight="1"/>
    <row r="389" ht="14.1" customHeight="1"/>
    <row r="390" ht="14.1" customHeight="1"/>
    <row r="391" ht="14.1" customHeight="1"/>
    <row r="392" ht="14.1" customHeight="1"/>
    <row r="393" ht="14.1" customHeight="1"/>
    <row r="394" ht="14.1" customHeight="1"/>
    <row r="395" ht="14.1" customHeight="1"/>
    <row r="396" ht="14.1" customHeight="1"/>
    <row r="397" ht="14.1" customHeight="1"/>
    <row r="398" ht="14.1" customHeight="1"/>
    <row r="399" ht="14.1" customHeight="1"/>
    <row r="400" ht="14.1" customHeight="1"/>
    <row r="401" ht="14.1" customHeight="1"/>
    <row r="402" ht="14.1" customHeight="1"/>
    <row r="403" ht="14.1" customHeight="1"/>
    <row r="404" ht="14.1" customHeight="1"/>
    <row r="405" ht="14.1" customHeight="1"/>
    <row r="406" ht="14.1" customHeight="1"/>
    <row r="407" ht="14.1" customHeight="1"/>
    <row r="408" ht="14.1" customHeight="1"/>
    <row r="409" ht="14.1" customHeight="1"/>
    <row r="410" ht="14.1" customHeight="1"/>
    <row r="411" ht="14.1" customHeight="1"/>
    <row r="412" ht="14.1" customHeight="1"/>
    <row r="413" ht="14.1" customHeight="1"/>
    <row r="414" ht="14.1" customHeight="1"/>
    <row r="415" ht="14.1" customHeight="1"/>
    <row r="416" ht="14.1" customHeight="1"/>
    <row r="417" ht="14.1" customHeight="1"/>
    <row r="418" ht="14.1" customHeight="1"/>
    <row r="419" ht="14.1" customHeight="1"/>
    <row r="420" ht="14.1" customHeight="1"/>
    <row r="421" ht="14.1" customHeight="1"/>
    <row r="422" ht="14.1" customHeight="1"/>
    <row r="423" ht="14.1" customHeight="1"/>
    <row r="424" ht="14.1" customHeight="1"/>
    <row r="425" ht="14.1" customHeight="1"/>
    <row r="426" ht="14.1" customHeight="1"/>
    <row r="427" ht="14.1" customHeight="1"/>
    <row r="428" ht="14.1" customHeight="1"/>
    <row r="429" ht="14.1" customHeight="1"/>
    <row r="430" ht="14.1" customHeight="1"/>
    <row r="431" ht="14.1" customHeight="1"/>
    <row r="432" ht="14.1" customHeight="1"/>
    <row r="433" ht="14.1" customHeight="1"/>
    <row r="434" ht="14.1" customHeight="1"/>
    <row r="435" ht="14.1" customHeight="1"/>
    <row r="436" ht="14.1" customHeight="1"/>
    <row r="437" ht="14.1" customHeight="1"/>
    <row r="438" ht="14.1" customHeight="1"/>
    <row r="439" ht="14.1" customHeight="1"/>
    <row r="440" ht="14.1" customHeight="1"/>
    <row r="441" ht="14.1" customHeight="1"/>
    <row r="442" ht="14.1" customHeight="1"/>
    <row r="443" ht="14.1" customHeight="1"/>
    <row r="444" ht="14.1" customHeight="1"/>
    <row r="445" ht="14.1" customHeight="1"/>
    <row r="446" ht="14.1" customHeight="1"/>
    <row r="447" ht="14.1" customHeight="1"/>
    <row r="448" ht="14.1" customHeight="1"/>
    <row r="449" ht="14.1" customHeight="1"/>
    <row r="450" ht="14.1" customHeight="1"/>
    <row r="451" ht="14.1" customHeight="1"/>
    <row r="452" ht="14.1" customHeight="1"/>
    <row r="453" ht="14.1" customHeight="1"/>
    <row r="454" ht="14.1" customHeight="1"/>
    <row r="455" ht="14.1" customHeight="1"/>
    <row r="456" ht="14.1" customHeight="1"/>
    <row r="457" ht="14.1" customHeight="1"/>
    <row r="458" ht="14.1" customHeight="1"/>
    <row r="459" ht="14.1" customHeight="1"/>
    <row r="460" ht="14.1" customHeight="1"/>
    <row r="461" ht="14.1" customHeight="1"/>
    <row r="462" ht="14.1" customHeight="1"/>
    <row r="463" ht="14.1" customHeight="1"/>
    <row r="464" ht="14.1" customHeight="1"/>
    <row r="465" ht="14.1" customHeight="1"/>
    <row r="466" ht="14.1" customHeight="1"/>
    <row r="467" ht="14.1" customHeight="1"/>
    <row r="468" ht="14.1" customHeight="1"/>
    <row r="469" ht="14.1" customHeight="1"/>
    <row r="470" ht="14.1" customHeight="1"/>
    <row r="471" ht="14.1" customHeight="1"/>
    <row r="472" ht="14.1" customHeight="1"/>
    <row r="473" ht="14.1" customHeight="1"/>
    <row r="474" ht="14.1" customHeight="1"/>
    <row r="475" ht="14.1" customHeight="1"/>
    <row r="476" ht="14.1" customHeight="1"/>
    <row r="477" ht="14.1" customHeight="1"/>
    <row r="478" ht="14.1" customHeight="1"/>
    <row r="479" ht="14.1" customHeight="1"/>
    <row r="480" ht="14.1" customHeight="1"/>
    <row r="481" ht="14.1" customHeight="1"/>
    <row r="482" ht="14.1" customHeight="1"/>
    <row r="483" ht="14.1" customHeight="1"/>
    <row r="484" ht="14.1" customHeight="1"/>
    <row r="485" ht="14.1" customHeight="1"/>
    <row r="486" ht="14.1" customHeight="1"/>
    <row r="487" ht="14.1" customHeight="1"/>
    <row r="488" ht="14.1" customHeight="1"/>
    <row r="489" ht="14.1" customHeight="1"/>
    <row r="490" ht="14.1" customHeight="1"/>
    <row r="491" ht="14.1" customHeight="1"/>
    <row r="492" ht="14.1" customHeight="1"/>
    <row r="493" ht="14.1" customHeight="1"/>
    <row r="494" ht="14.1" customHeight="1"/>
    <row r="495" ht="14.1" customHeight="1"/>
    <row r="496" ht="14.1" customHeight="1"/>
    <row r="497" ht="14.1" customHeight="1"/>
    <row r="498" ht="14.1" customHeight="1"/>
    <row r="499" ht="14.1" customHeight="1"/>
    <row r="500" ht="14.1" customHeight="1"/>
    <row r="501" ht="14.1" customHeight="1"/>
    <row r="502" ht="14.1" customHeight="1"/>
    <row r="503" ht="14.1" customHeight="1"/>
    <row r="504" ht="14.1" customHeight="1"/>
    <row r="505" ht="14.1" customHeight="1"/>
    <row r="506" ht="14.1" customHeight="1"/>
    <row r="507" ht="14.1" customHeight="1"/>
    <row r="508" ht="14.1" customHeight="1"/>
    <row r="509" ht="14.1" customHeight="1"/>
    <row r="510" ht="14.1" customHeight="1"/>
    <row r="511" ht="14.1" customHeight="1"/>
    <row r="512" ht="14.1" customHeight="1"/>
    <row r="513" ht="14.1" customHeight="1"/>
    <row r="514" ht="14.1" customHeight="1"/>
    <row r="515" ht="14.1" customHeight="1"/>
    <row r="516" ht="14.1" customHeight="1"/>
    <row r="517" ht="14.1" customHeight="1"/>
    <row r="518" ht="14.1" customHeight="1"/>
    <row r="519" ht="14.1" customHeight="1"/>
    <row r="520" ht="14.1" customHeight="1"/>
    <row r="521" ht="14.1" customHeight="1"/>
    <row r="522" ht="14.1" customHeight="1"/>
    <row r="523" ht="14.1" customHeight="1"/>
    <row r="524" ht="14.1" customHeight="1"/>
    <row r="525" ht="14.1" customHeight="1"/>
    <row r="526" ht="14.1" customHeight="1"/>
    <row r="527" ht="14.1" customHeight="1"/>
    <row r="528" ht="14.1" customHeight="1"/>
    <row r="529" ht="14.1" customHeight="1"/>
    <row r="530" ht="14.1" customHeight="1"/>
    <row r="531" ht="14.1" customHeight="1"/>
    <row r="532" ht="14.1" customHeight="1"/>
    <row r="533" ht="14.1" customHeight="1"/>
    <row r="534" ht="14.1" customHeight="1"/>
    <row r="535" ht="14.1" customHeight="1"/>
    <row r="536" ht="14.1" customHeight="1"/>
    <row r="537" ht="14.1" customHeight="1"/>
    <row r="538" ht="14.1" customHeight="1"/>
    <row r="539" ht="14.1" customHeight="1"/>
    <row r="540" ht="14.1" customHeight="1"/>
    <row r="541" ht="14.1" customHeight="1"/>
    <row r="542" ht="14.1" customHeight="1"/>
    <row r="543" ht="14.1" customHeight="1"/>
    <row r="544" ht="14.1" customHeight="1"/>
    <row r="545" ht="14.1" customHeight="1"/>
    <row r="546" ht="14.1" customHeight="1"/>
    <row r="547" ht="14.1" customHeight="1"/>
    <row r="548" ht="14.1" customHeight="1"/>
    <row r="549" ht="14.1" customHeight="1"/>
    <row r="550" ht="14.1" customHeight="1"/>
    <row r="551" ht="14.1" customHeight="1"/>
    <row r="552" ht="14.1" customHeight="1"/>
    <row r="553" ht="14.1" customHeight="1"/>
    <row r="554" ht="14.1" customHeight="1"/>
    <row r="555" ht="14.1" customHeight="1"/>
    <row r="556" ht="14.1" customHeight="1"/>
    <row r="557" ht="14.1" customHeight="1"/>
    <row r="558" ht="14.1" customHeight="1"/>
    <row r="559" ht="14.1" customHeight="1"/>
    <row r="560" ht="14.1" customHeight="1"/>
    <row r="561" ht="14.1" customHeight="1"/>
    <row r="562" ht="14.1" customHeight="1"/>
    <row r="563" ht="14.1" customHeight="1"/>
    <row r="564" ht="14.1" customHeight="1"/>
    <row r="565" ht="14.1" customHeight="1"/>
    <row r="566" ht="14.1" customHeight="1"/>
    <row r="567" ht="14.1" customHeight="1"/>
    <row r="568" ht="14.1" customHeight="1"/>
    <row r="569" ht="14.1" customHeight="1"/>
    <row r="570" ht="14.1" customHeight="1"/>
    <row r="571" ht="14.1" customHeight="1"/>
    <row r="572" ht="14.1" customHeight="1"/>
    <row r="573" ht="14.1" customHeight="1"/>
    <row r="574" ht="14.1" customHeight="1"/>
    <row r="575" ht="14.1" customHeight="1"/>
    <row r="576" ht="14.1" customHeight="1"/>
    <row r="577" ht="14.1" customHeight="1"/>
    <row r="578" ht="14.1" customHeight="1"/>
    <row r="579" ht="14.1" customHeight="1"/>
    <row r="580" ht="14.1" customHeight="1"/>
    <row r="581" ht="14.1" customHeight="1"/>
    <row r="582" ht="14.1" customHeight="1"/>
    <row r="583" ht="14.1" customHeight="1"/>
    <row r="584" ht="14.1" customHeight="1"/>
    <row r="585" ht="14.1" customHeight="1"/>
    <row r="586" ht="14.1" customHeight="1"/>
    <row r="587" ht="14.1" customHeight="1"/>
    <row r="588" ht="14.1" customHeight="1"/>
    <row r="589" ht="14.1" customHeight="1"/>
    <row r="590" ht="14.1" customHeight="1"/>
    <row r="591" ht="14.1" customHeight="1"/>
    <row r="592" ht="14.1" customHeight="1"/>
    <row r="593" ht="14.1" customHeight="1"/>
    <row r="594" ht="14.1" customHeight="1"/>
    <row r="595" ht="14.1" customHeight="1"/>
    <row r="596" ht="14.1" customHeight="1"/>
    <row r="597" ht="14.1" customHeight="1"/>
    <row r="598" ht="14.1" customHeight="1"/>
    <row r="599" ht="14.1" customHeight="1"/>
    <row r="600" ht="14.1" customHeight="1"/>
    <row r="601" ht="14.1" customHeight="1"/>
    <row r="602" ht="14.1" customHeight="1"/>
    <row r="603" ht="14.1" customHeight="1"/>
    <row r="604" ht="14.1" customHeight="1"/>
    <row r="605" ht="14.1" customHeight="1"/>
    <row r="606" ht="14.1" customHeight="1"/>
    <row r="607" ht="14.1" customHeight="1"/>
    <row r="608" ht="14.1" customHeight="1"/>
    <row r="609" ht="14.1" customHeight="1"/>
    <row r="610" ht="14.1" customHeight="1"/>
    <row r="611" ht="14.1" customHeight="1"/>
    <row r="612" ht="14.1" customHeight="1"/>
    <row r="613" ht="14.1" customHeight="1"/>
    <row r="614" ht="14.1" customHeight="1"/>
    <row r="615" ht="14.1" customHeight="1"/>
    <row r="616" ht="14.1" customHeight="1"/>
    <row r="617" ht="14.1" customHeight="1"/>
    <row r="618" ht="14.1" customHeight="1"/>
    <row r="619" ht="14.1" customHeight="1"/>
    <row r="620" ht="14.1" customHeight="1"/>
    <row r="621" ht="14.1" customHeight="1"/>
    <row r="622" ht="14.1" customHeight="1"/>
    <row r="623" ht="14.1" customHeight="1"/>
    <row r="624" ht="14.1" customHeight="1"/>
    <row r="625" ht="14.1" customHeight="1"/>
    <row r="626" ht="14.1" customHeight="1"/>
    <row r="627" ht="14.1" customHeight="1"/>
    <row r="628" ht="14.1" customHeight="1"/>
    <row r="629" ht="14.1" customHeight="1"/>
    <row r="630" ht="14.1" customHeight="1"/>
    <row r="631" ht="14.1" customHeight="1"/>
    <row r="632" ht="14.1" customHeight="1"/>
    <row r="633" ht="14.1" customHeight="1"/>
    <row r="634" ht="14.1" customHeight="1"/>
    <row r="635" ht="14.1" customHeight="1"/>
    <row r="636" ht="14.1" customHeight="1"/>
    <row r="637" ht="14.1" customHeight="1"/>
    <row r="638" ht="14.1" customHeight="1"/>
    <row r="639" ht="14.1" customHeight="1"/>
    <row r="640" ht="14.1" customHeight="1"/>
    <row r="641" ht="14.1" customHeight="1"/>
    <row r="642" ht="14.1" customHeight="1"/>
    <row r="643" ht="14.1" customHeight="1"/>
    <row r="644" ht="14.1" customHeight="1"/>
    <row r="645" ht="14.1" customHeight="1"/>
    <row r="646" ht="14.1" customHeight="1"/>
    <row r="647" ht="14.1" customHeight="1"/>
    <row r="648" ht="14.1" customHeight="1"/>
    <row r="649" ht="14.1" customHeight="1"/>
    <row r="650" ht="14.1" customHeight="1"/>
    <row r="651" ht="14.1" customHeight="1"/>
    <row r="652" ht="14.1" customHeight="1"/>
    <row r="653" ht="14.1" customHeight="1"/>
    <row r="654" ht="14.1" customHeight="1"/>
    <row r="655" ht="14.1" customHeight="1"/>
    <row r="656" ht="14.1" customHeight="1"/>
    <row r="657" ht="14.1" customHeight="1"/>
    <row r="658" ht="14.1" customHeight="1"/>
    <row r="659" ht="14.1" customHeight="1"/>
    <row r="660" ht="14.1" customHeight="1"/>
    <row r="661" ht="14.1" customHeight="1"/>
    <row r="662" ht="14.1" customHeight="1"/>
    <row r="663" ht="14.1" customHeight="1"/>
    <row r="664" ht="14.1" customHeight="1"/>
    <row r="665" ht="14.1" customHeight="1"/>
    <row r="666" ht="14.1" customHeight="1"/>
    <row r="667" ht="14.1" customHeight="1"/>
    <row r="668" ht="14.1" customHeight="1"/>
    <row r="669" ht="14.1" customHeight="1"/>
    <row r="670" ht="14.1" customHeight="1"/>
    <row r="671" ht="14.1" customHeight="1"/>
    <row r="672" ht="14.1" customHeight="1"/>
    <row r="673" ht="14.1" customHeight="1"/>
    <row r="674" ht="14.1" customHeight="1"/>
    <row r="675" ht="14.1" customHeight="1"/>
    <row r="676" ht="14.1" customHeight="1"/>
    <row r="677" ht="14.1" customHeight="1"/>
    <row r="678" ht="14.1" customHeight="1"/>
    <row r="679" ht="14.1" customHeight="1"/>
    <row r="680" ht="14.1" customHeight="1"/>
    <row r="681" ht="14.1" customHeight="1"/>
    <row r="682" ht="14.1" customHeight="1"/>
    <row r="683" ht="14.1" customHeight="1"/>
    <row r="684" ht="14.1" customHeight="1"/>
    <row r="685" ht="14.1" customHeight="1"/>
    <row r="686" ht="14.1" customHeight="1"/>
    <row r="687" ht="14.1" customHeight="1"/>
    <row r="688" ht="14.1" customHeight="1"/>
    <row r="689" ht="14.1" customHeight="1"/>
    <row r="690" ht="14.1" customHeight="1"/>
    <row r="691" ht="14.1" customHeight="1"/>
    <row r="692" ht="14.1" customHeight="1"/>
    <row r="693" ht="14.1" customHeight="1"/>
    <row r="694" ht="14.1" customHeight="1"/>
    <row r="695" ht="14.1" customHeight="1"/>
    <row r="696" ht="14.1" customHeight="1"/>
    <row r="697" ht="14.1" customHeight="1"/>
    <row r="698" ht="14.1" customHeight="1"/>
    <row r="699" ht="14.1" customHeight="1"/>
    <row r="700" ht="14.1" customHeight="1"/>
    <row r="701" ht="14.1" customHeight="1"/>
    <row r="702" ht="14.1" customHeight="1"/>
    <row r="703" ht="14.1" customHeight="1"/>
    <row r="704" ht="14.1" customHeight="1"/>
    <row r="705" ht="14.1" customHeight="1"/>
    <row r="706" ht="14.1" customHeight="1"/>
    <row r="707" ht="14.1" customHeight="1"/>
    <row r="708" ht="14.1" customHeight="1"/>
    <row r="709" ht="14.1" customHeight="1"/>
    <row r="710" ht="14.1" customHeight="1"/>
    <row r="711" ht="14.1" customHeight="1"/>
    <row r="712" ht="14.1" customHeight="1"/>
    <row r="713" ht="14.1" customHeight="1"/>
    <row r="714" ht="14.1" customHeight="1"/>
    <row r="715" ht="14.1" customHeight="1"/>
    <row r="716" ht="14.1" customHeight="1"/>
    <row r="717" ht="14.1" customHeight="1"/>
    <row r="718" ht="14.1" customHeight="1"/>
    <row r="719" ht="14.1" customHeight="1"/>
    <row r="720" ht="14.1" customHeight="1"/>
    <row r="721" ht="14.1" customHeight="1"/>
    <row r="722" ht="14.1" customHeight="1"/>
    <row r="723" ht="14.1" customHeight="1"/>
    <row r="724" ht="14.1" customHeight="1"/>
    <row r="725" ht="14.1" customHeight="1"/>
    <row r="726" ht="14.1" customHeight="1"/>
    <row r="727" ht="14.1" customHeight="1"/>
    <row r="728" ht="14.1" customHeight="1"/>
    <row r="729" ht="14.1" customHeight="1"/>
    <row r="730" ht="14.1" customHeight="1"/>
    <row r="731" ht="14.1" customHeight="1"/>
    <row r="732" ht="14.1" customHeight="1"/>
    <row r="733" ht="14.1" customHeight="1"/>
    <row r="734" ht="14.1" customHeight="1"/>
    <row r="735" ht="14.1" customHeight="1"/>
    <row r="736" ht="14.1" customHeight="1"/>
    <row r="737" ht="14.1" customHeight="1"/>
    <row r="738" ht="14.1" customHeight="1"/>
    <row r="739" ht="14.1" customHeight="1"/>
    <row r="740" ht="14.1" customHeight="1"/>
    <row r="741" ht="14.1" customHeight="1"/>
    <row r="742" ht="14.1" customHeight="1"/>
    <row r="743" ht="14.1" customHeight="1"/>
    <row r="744" ht="14.1" customHeight="1"/>
    <row r="745" ht="14.1" customHeight="1"/>
    <row r="746" ht="14.1" customHeight="1"/>
    <row r="747" ht="14.1" customHeight="1"/>
    <row r="748" ht="14.1" customHeight="1"/>
    <row r="749" ht="14.1" customHeight="1"/>
    <row r="750" ht="14.1" customHeight="1"/>
    <row r="751" ht="14.1" customHeight="1"/>
    <row r="752" ht="14.1" customHeight="1"/>
    <row r="753" ht="14.1" customHeight="1"/>
    <row r="754" ht="14.1" customHeight="1"/>
    <row r="755" ht="14.1" customHeight="1"/>
    <row r="756" ht="14.1" customHeight="1"/>
    <row r="757" ht="14.1" customHeight="1"/>
    <row r="758" ht="14.1" customHeight="1"/>
    <row r="759" ht="14.1" customHeight="1"/>
    <row r="760" ht="14.1" customHeight="1"/>
    <row r="761" ht="14.1" customHeight="1"/>
    <row r="762" ht="14.1" customHeight="1"/>
    <row r="763" ht="14.1" customHeight="1"/>
    <row r="764" ht="14.1" customHeight="1"/>
    <row r="765" ht="14.1" customHeight="1"/>
    <row r="766" ht="14.1" customHeight="1"/>
    <row r="767" ht="14.1" customHeight="1"/>
    <row r="768" ht="14.1" customHeight="1"/>
    <row r="769" ht="14.1" customHeight="1"/>
    <row r="770" ht="14.1" customHeight="1"/>
    <row r="771" ht="14.1" customHeight="1"/>
    <row r="772" ht="14.1" customHeight="1"/>
    <row r="773" ht="14.1" customHeight="1"/>
    <row r="774" ht="14.1" customHeight="1"/>
    <row r="775" ht="14.1" customHeight="1"/>
    <row r="776" ht="14.1" customHeight="1"/>
    <row r="777" ht="14.1" customHeight="1"/>
    <row r="778" ht="14.1" customHeight="1"/>
    <row r="779" ht="14.1" customHeight="1"/>
    <row r="780" ht="14.1" customHeight="1"/>
    <row r="781" ht="14.1" customHeight="1"/>
    <row r="782" ht="14.1" customHeight="1"/>
    <row r="783" ht="14.1" customHeight="1"/>
    <row r="784" ht="14.1" customHeight="1"/>
    <row r="785" ht="14.1" customHeight="1"/>
    <row r="786" ht="14.1" customHeight="1"/>
    <row r="787" ht="14.1" customHeight="1"/>
    <row r="788" ht="14.1" customHeight="1"/>
    <row r="789" ht="14.1" customHeight="1"/>
    <row r="790" ht="14.1" customHeight="1"/>
    <row r="791" ht="14.1" customHeight="1"/>
    <row r="792" ht="14.1" customHeight="1"/>
    <row r="793" ht="14.1" customHeight="1"/>
  </sheetData>
  <pageMargins left="0.61" right="0.16" top="0.87" bottom="0.21" header="0.16" footer="0.16"/>
  <pageSetup paperSize="8" scale="51" orientation="portrait"/>
  <headerFooter alignWithMargins="0">
    <oddFooter>&amp;L&amp;"Arial"&amp;7 &amp;KDAD4CE_x000D_# Internal_x000D_&amp;1#&amp;"Arial"&amp;7&amp;KDAD4CE Public</oddFooter>
  </headerFooter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900-000000000000}">
  <sheetPr>
    <tabColor rgb="FF0070C0"/>
    <pageSetUpPr fitToPage="1"/>
  </sheetPr>
  <dimension ref="A1:U793"/>
  <sheetViews>
    <sheetView zoomScale="80" zoomScaleNormal="80" workbookViewId="0">
      <pane ySplit="4" topLeftCell="A5" activePane="bottomLeft" state="frozen"/>
      <selection activeCell="A16" sqref="A16"/>
      <selection pane="bottomLeft" activeCell="A16" sqref="A16"/>
    </sheetView>
  </sheetViews>
  <sheetFormatPr defaultColWidth="8.85546875" defaultRowHeight="15" customHeight="1"/>
  <cols>
    <col min="1" max="1" width="4.140625" style="3" customWidth="1"/>
    <col min="2" max="3" width="8.5703125" style="20" customWidth="1"/>
    <col min="4" max="4" width="14.5703125" style="3" customWidth="1"/>
    <col min="5" max="5" width="20.5703125" style="20" customWidth="1"/>
    <col min="6" max="6" width="8.5703125" style="43" customWidth="1"/>
    <col min="7" max="7" width="32.5703125" style="2" customWidth="1"/>
    <col min="8" max="8" width="18.5703125" style="3" customWidth="1"/>
    <col min="9" max="9" width="62.5703125" style="2" customWidth="1"/>
    <col min="10" max="12" width="9.5703125" style="3" customWidth="1"/>
    <col min="13" max="13" width="10.5703125" style="3" customWidth="1"/>
    <col min="14" max="14" width="8.5703125" style="3" customWidth="1"/>
    <col min="15" max="15" width="10.5703125" style="3" customWidth="1"/>
    <col min="16" max="16" width="5.5703125" style="3" customWidth="1"/>
    <col min="17" max="17" width="1.5703125" style="2" customWidth="1"/>
    <col min="18" max="18" width="10.5703125" style="30" customWidth="1"/>
    <col min="19" max="19" width="1.5703125" style="2" customWidth="1"/>
    <col min="20" max="21" width="10.5703125" style="2" customWidth="1"/>
    <col min="22" max="220" width="8.85546875" style="2" customWidth="1"/>
    <col min="221" max="221" width="8.140625" style="2" customWidth="1"/>
    <col min="222" max="222" width="14.42578125" style="2" customWidth="1"/>
    <col min="223" max="223" width="37.42578125" style="2" customWidth="1"/>
    <col min="224" max="224" width="63.140625" style="2" customWidth="1"/>
    <col min="225" max="225" width="20" style="2" customWidth="1"/>
    <col min="226" max="226" width="11.140625" style="2" customWidth="1"/>
    <col min="227" max="227" width="10.85546875" style="2" customWidth="1"/>
    <col min="228" max="228" width="21" style="2" customWidth="1"/>
    <col min="229" max="229" width="10.85546875" style="2" customWidth="1"/>
    <col min="230" max="230" width="17.42578125" style="2" customWidth="1"/>
    <col min="231" max="231" width="14.85546875" style="2" customWidth="1"/>
    <col min="232" max="232" width="15" style="2" customWidth="1"/>
    <col min="233" max="233" width="14.85546875" style="2" customWidth="1"/>
    <col min="234" max="234" width="7.140625" style="2" customWidth="1"/>
    <col min="235" max="236" width="20.140625" style="2" customWidth="1"/>
    <col min="237" max="237" width="18.42578125" style="2" customWidth="1"/>
    <col min="238" max="238" width="9.140625" style="2" customWidth="1"/>
    <col min="239" max="239" width="12" style="2" customWidth="1"/>
    <col min="240" max="240" width="14.85546875" style="2" customWidth="1"/>
    <col min="241" max="241" width="22.42578125" style="2" customWidth="1"/>
    <col min="242" max="242" width="14.85546875" style="2" customWidth="1"/>
    <col min="243" max="243" width="7.140625" style="2" customWidth="1"/>
    <col min="244" max="244" width="20.140625" style="2" customWidth="1"/>
    <col min="245" max="245" width="8.85546875" style="2" customWidth="1"/>
    <col min="246" max="16384" width="8.85546875" style="2"/>
  </cols>
  <sheetData>
    <row r="1" spans="1:21" ht="14.1" customHeight="1">
      <c r="A1" s="1" t="s">
        <v>3960</v>
      </c>
      <c r="B1" s="2"/>
      <c r="C1" s="2"/>
      <c r="D1" s="2"/>
      <c r="F1" s="72"/>
      <c r="H1" s="2"/>
      <c r="J1" s="2"/>
      <c r="K1" s="2"/>
      <c r="L1" s="2"/>
      <c r="M1" s="2"/>
      <c r="N1" s="2"/>
      <c r="O1" s="2"/>
      <c r="P1" s="2"/>
      <c r="R1" s="10"/>
    </row>
    <row r="2" spans="1:21" s="4" customFormat="1" ht="14.1" customHeight="1">
      <c r="A2" s="4" t="s">
        <v>3961</v>
      </c>
      <c r="E2" s="69"/>
      <c r="R2" s="336"/>
    </row>
    <row r="3" spans="1:21" s="6" customFormat="1" ht="14.1" customHeight="1">
      <c r="A3" s="3"/>
      <c r="B3" s="16"/>
      <c r="C3" s="16"/>
      <c r="D3" s="23"/>
      <c r="E3" s="16"/>
      <c r="F3" s="3"/>
      <c r="G3" s="15"/>
      <c r="H3" s="25"/>
      <c r="I3" s="15"/>
      <c r="J3" s="25"/>
      <c r="K3" s="25"/>
      <c r="L3" s="25"/>
      <c r="M3" s="25"/>
      <c r="N3" s="25"/>
      <c r="O3" s="25"/>
      <c r="P3" s="25"/>
      <c r="Q3" s="2"/>
      <c r="R3" s="355" t="s">
        <v>2</v>
      </c>
      <c r="S3" s="2"/>
      <c r="T3" s="2"/>
      <c r="U3" s="2"/>
    </row>
    <row r="4" spans="1:21" s="5" customFormat="1" ht="33" customHeight="1">
      <c r="A4" s="21" t="s">
        <v>3</v>
      </c>
      <c r="B4" s="52" t="s">
        <v>4</v>
      </c>
      <c r="C4" s="52" t="s">
        <v>5</v>
      </c>
      <c r="D4" s="21" t="s">
        <v>6</v>
      </c>
      <c r="E4" s="21" t="s">
        <v>7</v>
      </c>
      <c r="F4" s="59" t="s">
        <v>8</v>
      </c>
      <c r="G4" s="21" t="s">
        <v>9</v>
      </c>
      <c r="H4" s="21" t="s">
        <v>10</v>
      </c>
      <c r="I4" s="21" t="s">
        <v>11</v>
      </c>
      <c r="J4" s="21" t="s">
        <v>12</v>
      </c>
      <c r="K4" s="21" t="s">
        <v>13</v>
      </c>
      <c r="L4" s="21" t="s">
        <v>14</v>
      </c>
      <c r="M4" s="21" t="s">
        <v>15</v>
      </c>
      <c r="N4" s="21" t="s">
        <v>16</v>
      </c>
      <c r="O4" s="21" t="s">
        <v>17</v>
      </c>
      <c r="P4" s="21" t="s">
        <v>18</v>
      </c>
      <c r="Q4" s="3"/>
      <c r="R4" s="41" t="s">
        <v>19</v>
      </c>
      <c r="S4" s="20"/>
      <c r="T4" s="42" t="s">
        <v>20</v>
      </c>
      <c r="U4" s="42" t="s">
        <v>21</v>
      </c>
    </row>
    <row r="5" spans="1:21" ht="38.25" customHeight="1">
      <c r="A5" s="7">
        <v>1</v>
      </c>
      <c r="B5" s="14" t="s">
        <v>124</v>
      </c>
      <c r="C5" s="14" t="s">
        <v>371</v>
      </c>
      <c r="D5" s="7" t="s">
        <v>118</v>
      </c>
      <c r="E5" s="14" t="s">
        <v>373</v>
      </c>
      <c r="F5" s="60" t="s">
        <v>26</v>
      </c>
      <c r="G5" s="61" t="s">
        <v>3962</v>
      </c>
      <c r="H5" s="78" t="s">
        <v>3963</v>
      </c>
      <c r="I5" s="11" t="s">
        <v>3964</v>
      </c>
      <c r="J5" s="7" t="s">
        <v>30</v>
      </c>
      <c r="K5" s="12"/>
      <c r="L5" s="7" t="s">
        <v>375</v>
      </c>
      <c r="M5" s="7" t="s">
        <v>3965</v>
      </c>
      <c r="N5" s="110" t="s">
        <v>3966</v>
      </c>
      <c r="O5" s="17" t="s">
        <v>3967</v>
      </c>
      <c r="P5" s="17"/>
      <c r="R5" s="9">
        <v>362.43543139779632</v>
      </c>
      <c r="S5" s="22"/>
      <c r="T5" s="7" t="s">
        <v>34</v>
      </c>
      <c r="U5" s="7"/>
    </row>
    <row r="6" spans="1:21" ht="38.25" customHeight="1">
      <c r="A6" s="7">
        <v>2</v>
      </c>
      <c r="B6" s="14" t="s">
        <v>124</v>
      </c>
      <c r="C6" s="14" t="s">
        <v>371</v>
      </c>
      <c r="D6" s="7" t="s">
        <v>118</v>
      </c>
      <c r="E6" s="14" t="s">
        <v>373</v>
      </c>
      <c r="F6" s="60" t="s">
        <v>26</v>
      </c>
      <c r="G6" s="61" t="s">
        <v>3968</v>
      </c>
      <c r="H6" s="78" t="s">
        <v>3963</v>
      </c>
      <c r="I6" s="11" t="s">
        <v>3969</v>
      </c>
      <c r="J6" s="7" t="s">
        <v>30</v>
      </c>
      <c r="K6" s="12"/>
      <c r="L6" s="7" t="s">
        <v>375</v>
      </c>
      <c r="M6" s="7" t="s">
        <v>3965</v>
      </c>
      <c r="N6" s="110" t="s">
        <v>3970</v>
      </c>
      <c r="O6" s="17" t="s">
        <v>3967</v>
      </c>
      <c r="P6" s="17"/>
      <c r="R6" s="9">
        <v>320.90637155013212</v>
      </c>
      <c r="T6" s="7" t="s">
        <v>34</v>
      </c>
      <c r="U6" s="7"/>
    </row>
    <row r="7" spans="1:21" ht="38.25" customHeight="1">
      <c r="A7" s="7">
        <v>3</v>
      </c>
      <c r="B7" s="14" t="s">
        <v>124</v>
      </c>
      <c r="C7" s="14" t="s">
        <v>371</v>
      </c>
      <c r="D7" s="7" t="s">
        <v>118</v>
      </c>
      <c r="E7" s="14" t="s">
        <v>373</v>
      </c>
      <c r="F7" s="60" t="s">
        <v>26</v>
      </c>
      <c r="G7" s="61" t="s">
        <v>3971</v>
      </c>
      <c r="H7" s="78" t="s">
        <v>3963</v>
      </c>
      <c r="I7" s="11" t="s">
        <v>3972</v>
      </c>
      <c r="J7" s="7" t="s">
        <v>30</v>
      </c>
      <c r="K7" s="12"/>
      <c r="L7" s="7" t="s">
        <v>375</v>
      </c>
      <c r="M7" s="7" t="s">
        <v>3965</v>
      </c>
      <c r="N7" s="110" t="s">
        <v>3966</v>
      </c>
      <c r="O7" s="17" t="s">
        <v>3967</v>
      </c>
      <c r="P7" s="17"/>
      <c r="R7" s="9">
        <v>351.10932416661518</v>
      </c>
      <c r="T7" s="7" t="s">
        <v>34</v>
      </c>
      <c r="U7" s="7"/>
    </row>
    <row r="8" spans="1:21" ht="38.25" customHeight="1">
      <c r="A8" s="7">
        <v>4</v>
      </c>
      <c r="B8" s="14" t="s">
        <v>124</v>
      </c>
      <c r="C8" s="14" t="s">
        <v>371</v>
      </c>
      <c r="D8" s="7" t="s">
        <v>118</v>
      </c>
      <c r="E8" s="14" t="s">
        <v>373</v>
      </c>
      <c r="F8" s="60" t="s">
        <v>26</v>
      </c>
      <c r="G8" s="61" t="s">
        <v>3973</v>
      </c>
      <c r="H8" s="78" t="s">
        <v>3963</v>
      </c>
      <c r="I8" s="11" t="s">
        <v>3974</v>
      </c>
      <c r="J8" s="7" t="s">
        <v>30</v>
      </c>
      <c r="K8" s="12"/>
      <c r="L8" s="7" t="s">
        <v>375</v>
      </c>
      <c r="M8" s="7" t="s">
        <v>3965</v>
      </c>
      <c r="N8" s="110" t="s">
        <v>3966</v>
      </c>
      <c r="O8" s="17" t="s">
        <v>3967</v>
      </c>
      <c r="P8" s="17"/>
      <c r="R8" s="9">
        <v>324.68174062719248</v>
      </c>
      <c r="T8" s="7" t="s">
        <v>34</v>
      </c>
      <c r="U8" s="7"/>
    </row>
    <row r="9" spans="1:21" ht="38.25" customHeight="1">
      <c r="A9" s="7">
        <v>5</v>
      </c>
      <c r="B9" s="14" t="s">
        <v>124</v>
      </c>
      <c r="C9" s="14" t="s">
        <v>371</v>
      </c>
      <c r="D9" s="7" t="s">
        <v>118</v>
      </c>
      <c r="E9" s="14" t="s">
        <v>373</v>
      </c>
      <c r="F9" s="60" t="s">
        <v>26</v>
      </c>
      <c r="G9" s="8" t="s">
        <v>3975</v>
      </c>
      <c r="H9" s="78" t="s">
        <v>3963</v>
      </c>
      <c r="I9" s="11" t="s">
        <v>3976</v>
      </c>
      <c r="J9" s="7" t="s">
        <v>30</v>
      </c>
      <c r="K9" s="7"/>
      <c r="L9" s="7" t="s">
        <v>375</v>
      </c>
      <c r="M9" s="7" t="s">
        <v>3965</v>
      </c>
      <c r="N9" s="7" t="s">
        <v>3966</v>
      </c>
      <c r="O9" s="17" t="s">
        <v>3967</v>
      </c>
      <c r="P9" s="17"/>
      <c r="Q9" s="22"/>
      <c r="R9" s="9">
        <v>320.90637155013212</v>
      </c>
      <c r="S9" s="22"/>
      <c r="T9" s="7" t="s">
        <v>34</v>
      </c>
      <c r="U9" s="7"/>
    </row>
    <row r="10" spans="1:21" ht="38.25" customHeight="1">
      <c r="A10" s="7">
        <v>6</v>
      </c>
      <c r="B10" s="14" t="s">
        <v>124</v>
      </c>
      <c r="C10" s="14" t="s">
        <v>371</v>
      </c>
      <c r="D10" s="7" t="s">
        <v>118</v>
      </c>
      <c r="E10" s="14" t="s">
        <v>373</v>
      </c>
      <c r="F10" s="60" t="s">
        <v>26</v>
      </c>
      <c r="G10" s="8" t="s">
        <v>3977</v>
      </c>
      <c r="H10" s="78" t="s">
        <v>3963</v>
      </c>
      <c r="I10" s="11" t="s">
        <v>3978</v>
      </c>
      <c r="J10" s="7" t="s">
        <v>30</v>
      </c>
      <c r="K10" s="7"/>
      <c r="L10" s="7" t="s">
        <v>375</v>
      </c>
      <c r="M10" s="7" t="s">
        <v>3965</v>
      </c>
      <c r="N10" s="7" t="s">
        <v>3979</v>
      </c>
      <c r="O10" s="17" t="s">
        <v>3967</v>
      </c>
      <c r="P10" s="17"/>
      <c r="Q10" s="22"/>
      <c r="R10" s="9">
        <v>660.68958848556611</v>
      </c>
      <c r="S10" s="22"/>
      <c r="T10" s="7" t="s">
        <v>34</v>
      </c>
      <c r="U10" s="7"/>
    </row>
    <row r="11" spans="1:21" ht="38.25" customHeight="1">
      <c r="A11" s="7">
        <v>7</v>
      </c>
      <c r="B11" s="14" t="s">
        <v>124</v>
      </c>
      <c r="C11" s="14" t="s">
        <v>371</v>
      </c>
      <c r="D11" s="7" t="s">
        <v>118</v>
      </c>
      <c r="E11" s="14" t="s">
        <v>373</v>
      </c>
      <c r="F11" s="60" t="s">
        <v>26</v>
      </c>
      <c r="G11" s="8" t="s">
        <v>3980</v>
      </c>
      <c r="H11" s="78" t="s">
        <v>3963</v>
      </c>
      <c r="I11" s="11" t="s">
        <v>3981</v>
      </c>
      <c r="J11" s="7" t="s">
        <v>30</v>
      </c>
      <c r="K11" s="7"/>
      <c r="L11" s="7" t="s">
        <v>375</v>
      </c>
      <c r="M11" s="7" t="s">
        <v>3965</v>
      </c>
      <c r="N11" s="7" t="s">
        <v>3979</v>
      </c>
      <c r="O11" s="17" t="s">
        <v>3967</v>
      </c>
      <c r="P11" s="17"/>
      <c r="Q11" s="22"/>
      <c r="R11" s="9">
        <v>743.74770818089428</v>
      </c>
      <c r="S11" s="22"/>
      <c r="T11" s="7" t="s">
        <v>34</v>
      </c>
      <c r="U11" s="7"/>
    </row>
    <row r="12" spans="1:21" ht="38.25" customHeight="1">
      <c r="A12" s="7">
        <v>8</v>
      </c>
      <c r="B12" s="14" t="s">
        <v>124</v>
      </c>
      <c r="C12" s="14" t="s">
        <v>371</v>
      </c>
      <c r="D12" s="7" t="s">
        <v>118</v>
      </c>
      <c r="E12" s="14" t="s">
        <v>373</v>
      </c>
      <c r="F12" s="60" t="s">
        <v>26</v>
      </c>
      <c r="G12" s="8" t="s">
        <v>3982</v>
      </c>
      <c r="H12" s="78" t="s">
        <v>3963</v>
      </c>
      <c r="I12" s="11" t="s">
        <v>3983</v>
      </c>
      <c r="J12" s="7" t="s">
        <v>30</v>
      </c>
      <c r="K12" s="7"/>
      <c r="L12" s="7" t="s">
        <v>375</v>
      </c>
      <c r="M12" s="7" t="s">
        <v>3965</v>
      </c>
      <c r="N12" s="7" t="s">
        <v>3979</v>
      </c>
      <c r="O12" s="17" t="s">
        <v>3967</v>
      </c>
      <c r="P12" s="17"/>
      <c r="Q12" s="22"/>
      <c r="R12" s="9">
        <v>721.09549371853223</v>
      </c>
      <c r="S12" s="22"/>
      <c r="T12" s="7" t="s">
        <v>34</v>
      </c>
      <c r="U12" s="7"/>
    </row>
    <row r="13" spans="1:21" ht="38.25" customHeight="1">
      <c r="A13" s="7">
        <v>9</v>
      </c>
      <c r="B13" s="14" t="s">
        <v>124</v>
      </c>
      <c r="C13" s="14" t="s">
        <v>371</v>
      </c>
      <c r="D13" s="7" t="s">
        <v>118</v>
      </c>
      <c r="E13" s="14" t="s">
        <v>373</v>
      </c>
      <c r="F13" s="60" t="s">
        <v>26</v>
      </c>
      <c r="G13" s="8" t="s">
        <v>3984</v>
      </c>
      <c r="H13" s="78" t="s">
        <v>3963</v>
      </c>
      <c r="I13" s="11" t="s">
        <v>3985</v>
      </c>
      <c r="J13" s="7" t="s">
        <v>30</v>
      </c>
      <c r="K13" s="7"/>
      <c r="L13" s="7" t="s">
        <v>375</v>
      </c>
      <c r="M13" s="7" t="s">
        <v>3965</v>
      </c>
      <c r="N13" s="7" t="s">
        <v>3979</v>
      </c>
      <c r="O13" s="17" t="s">
        <v>3967</v>
      </c>
      <c r="P13" s="17"/>
      <c r="Q13" s="22"/>
      <c r="R13" s="9">
        <v>668.24032663968683</v>
      </c>
      <c r="S13" s="22"/>
      <c r="T13" s="7" t="s">
        <v>34</v>
      </c>
      <c r="U13" s="7"/>
    </row>
    <row r="14" spans="1:21" ht="38.25" customHeight="1">
      <c r="A14" s="7">
        <v>10</v>
      </c>
      <c r="B14" s="14" t="s">
        <v>124</v>
      </c>
      <c r="C14" s="14" t="s">
        <v>371</v>
      </c>
      <c r="D14" s="7" t="s">
        <v>118</v>
      </c>
      <c r="E14" s="14" t="s">
        <v>373</v>
      </c>
      <c r="F14" s="60" t="s">
        <v>26</v>
      </c>
      <c r="G14" s="8" t="s">
        <v>3986</v>
      </c>
      <c r="H14" s="78" t="s">
        <v>3963</v>
      </c>
      <c r="I14" s="11" t="s">
        <v>3987</v>
      </c>
      <c r="J14" s="7" t="s">
        <v>30</v>
      </c>
      <c r="K14" s="7"/>
      <c r="L14" s="7" t="s">
        <v>375</v>
      </c>
      <c r="M14" s="7" t="s">
        <v>3965</v>
      </c>
      <c r="N14" s="7" t="s">
        <v>3966</v>
      </c>
      <c r="O14" s="17" t="s">
        <v>3967</v>
      </c>
      <c r="P14" s="17"/>
      <c r="Q14" s="22"/>
      <c r="R14" s="9">
        <v>630.4866358690831</v>
      </c>
      <c r="S14" s="22"/>
      <c r="T14" s="7" t="s">
        <v>34</v>
      </c>
      <c r="U14" s="7"/>
    </row>
    <row r="15" spans="1:21" ht="38.25" customHeight="1">
      <c r="A15" s="7">
        <v>11</v>
      </c>
      <c r="B15" s="14" t="s">
        <v>124</v>
      </c>
      <c r="C15" s="14" t="s">
        <v>371</v>
      </c>
      <c r="D15" s="7" t="s">
        <v>118</v>
      </c>
      <c r="E15" s="14" t="s">
        <v>373</v>
      </c>
      <c r="F15" s="60" t="s">
        <v>26</v>
      </c>
      <c r="G15" s="8" t="s">
        <v>3988</v>
      </c>
      <c r="H15" s="78" t="s">
        <v>3963</v>
      </c>
      <c r="I15" s="11" t="s">
        <v>3989</v>
      </c>
      <c r="J15" s="7" t="s">
        <v>30</v>
      </c>
      <c r="K15" s="7"/>
      <c r="L15" s="7" t="s">
        <v>375</v>
      </c>
      <c r="M15" s="7" t="s">
        <v>3965</v>
      </c>
      <c r="N15" s="7" t="s">
        <v>3966</v>
      </c>
      <c r="O15" s="17" t="s">
        <v>3967</v>
      </c>
      <c r="P15" s="17"/>
      <c r="Q15" s="22"/>
      <c r="R15" s="9">
        <v>1279.850117123468</v>
      </c>
      <c r="S15" s="22"/>
      <c r="T15" s="7" t="s">
        <v>34</v>
      </c>
      <c r="U15" s="7"/>
    </row>
    <row r="16" spans="1:21" ht="14.1" customHeight="1">
      <c r="B16" s="112" t="s">
        <v>678</v>
      </c>
      <c r="C16" s="113" t="s">
        <v>3990</v>
      </c>
      <c r="H16" t="s">
        <v>42</v>
      </c>
    </row>
    <row r="17" spans="2:8" ht="14.1" customHeight="1">
      <c r="B17" s="113"/>
      <c r="C17" s="113" t="s">
        <v>3991</v>
      </c>
      <c r="H17" t="s">
        <v>42</v>
      </c>
    </row>
    <row r="18" spans="2:8" ht="14.1" customHeight="1">
      <c r="B18" s="113"/>
      <c r="C18" s="113"/>
      <c r="H18" t="s">
        <v>42</v>
      </c>
    </row>
    <row r="19" spans="2:8" ht="14.1" customHeight="1"/>
    <row r="20" spans="2:8" ht="14.1" customHeight="1"/>
    <row r="21" spans="2:8" ht="14.1" customHeight="1"/>
    <row r="22" spans="2:8" ht="14.1" customHeight="1"/>
    <row r="23" spans="2:8" ht="14.1" customHeight="1"/>
    <row r="24" spans="2:8" ht="14.1" customHeight="1"/>
    <row r="25" spans="2:8" ht="14.1" customHeight="1"/>
    <row r="26" spans="2:8" ht="14.1" customHeight="1"/>
    <row r="27" spans="2:8" ht="14.1" customHeight="1"/>
    <row r="28" spans="2:8" ht="14.1" customHeight="1"/>
    <row r="29" spans="2:8" ht="14.1" customHeight="1"/>
    <row r="30" spans="2:8" ht="14.1" customHeight="1"/>
    <row r="31" spans="2:8" ht="14.1" customHeight="1"/>
    <row r="32" spans="2:8" ht="14.1" customHeight="1"/>
    <row r="33" ht="14.1" customHeight="1"/>
    <row r="34" ht="14.1" customHeight="1"/>
    <row r="35" ht="14.1" customHeight="1"/>
    <row r="36" ht="14.1" customHeight="1"/>
    <row r="37" ht="14.1" customHeight="1"/>
    <row r="38" ht="14.1" customHeight="1"/>
    <row r="39" ht="14.1" customHeight="1"/>
    <row r="40" ht="14.1" customHeight="1"/>
    <row r="41" ht="14.1" customHeight="1"/>
    <row r="42" ht="14.1" customHeight="1"/>
    <row r="43" ht="14.1" customHeight="1"/>
    <row r="44" ht="14.1" customHeight="1"/>
    <row r="45" ht="14.1" customHeight="1"/>
    <row r="46" ht="14.1" customHeight="1"/>
    <row r="47" ht="14.1" customHeight="1"/>
    <row r="48" ht="14.1" customHeight="1"/>
    <row r="49" ht="14.1" customHeight="1"/>
    <row r="50" ht="14.1" customHeight="1"/>
    <row r="51" ht="14.1" customHeight="1"/>
    <row r="52" ht="14.1" customHeight="1"/>
    <row r="53" ht="14.1" customHeight="1"/>
    <row r="54" ht="14.1" customHeight="1"/>
    <row r="55" ht="14.1" customHeight="1"/>
    <row r="56" ht="14.1" customHeight="1"/>
    <row r="57" ht="14.1" customHeight="1"/>
    <row r="58" ht="14.1" customHeight="1"/>
    <row r="59" ht="14.1" customHeight="1"/>
    <row r="60" ht="14.1" customHeight="1"/>
    <row r="61" ht="14.1" customHeight="1"/>
    <row r="62" ht="14.1" customHeight="1"/>
    <row r="63" ht="14.1" customHeight="1"/>
    <row r="64" ht="14.1" customHeight="1"/>
    <row r="65" ht="14.1" customHeight="1"/>
    <row r="66" ht="14.1" customHeight="1"/>
    <row r="67" ht="14.1" customHeight="1"/>
    <row r="68" ht="14.1" customHeight="1"/>
    <row r="69" ht="14.1" customHeight="1"/>
    <row r="70" ht="14.1" customHeight="1"/>
    <row r="71" ht="14.1" customHeight="1"/>
    <row r="72" ht="14.1" customHeight="1"/>
    <row r="73" ht="14.1" customHeight="1"/>
    <row r="74" ht="14.1" customHeight="1"/>
    <row r="75" ht="14.1" customHeight="1"/>
    <row r="76" ht="14.1" customHeight="1"/>
    <row r="77" ht="14.1" customHeight="1"/>
    <row r="78" ht="14.1" customHeight="1"/>
    <row r="79" ht="14.1" customHeight="1"/>
    <row r="80" ht="14.1" customHeight="1"/>
    <row r="81" ht="14.1" customHeight="1"/>
    <row r="82" ht="14.1" customHeight="1"/>
    <row r="83" ht="14.1" customHeight="1"/>
    <row r="84" ht="14.1" customHeight="1"/>
    <row r="85" ht="14.1" customHeight="1"/>
    <row r="86" ht="14.1" customHeight="1"/>
    <row r="87" ht="14.1" customHeight="1"/>
    <row r="88" ht="14.1" customHeight="1"/>
    <row r="89" ht="14.1" customHeight="1"/>
    <row r="90" ht="14.1" customHeight="1"/>
    <row r="91" ht="14.1" customHeight="1"/>
    <row r="92" ht="14.1" customHeight="1"/>
    <row r="93" ht="14.1" customHeight="1"/>
    <row r="94" ht="14.1" customHeight="1"/>
    <row r="95" ht="14.1" customHeight="1"/>
    <row r="96" ht="14.1" customHeight="1"/>
    <row r="97" ht="14.1" customHeight="1"/>
    <row r="98" ht="14.1" customHeight="1"/>
    <row r="99" ht="14.1" customHeight="1"/>
    <row r="100" ht="14.1" customHeight="1"/>
    <row r="101" ht="14.1" customHeight="1"/>
    <row r="102" ht="14.1" customHeight="1"/>
    <row r="103" ht="14.1" customHeight="1"/>
    <row r="104" ht="14.1" customHeight="1"/>
    <row r="105" ht="14.1" customHeight="1"/>
    <row r="106" ht="14.1" customHeight="1"/>
    <row r="107" ht="14.1" customHeight="1"/>
    <row r="108" ht="14.1" customHeight="1"/>
    <row r="109" ht="14.1" customHeight="1"/>
    <row r="110" ht="14.1" customHeight="1"/>
    <row r="111" ht="14.1" customHeight="1"/>
    <row r="112" ht="14.1" customHeight="1"/>
    <row r="113" ht="14.1" customHeight="1"/>
    <row r="114" ht="14.1" customHeight="1"/>
    <row r="115" ht="14.1" customHeight="1"/>
    <row r="116" ht="14.1" customHeight="1"/>
    <row r="117" ht="14.1" customHeight="1"/>
    <row r="118" ht="14.1" customHeight="1"/>
    <row r="119" ht="14.1" customHeight="1"/>
    <row r="120" ht="14.1" customHeight="1"/>
    <row r="121" ht="14.1" customHeight="1"/>
    <row r="122" ht="14.1" customHeight="1"/>
    <row r="123" ht="14.1" customHeight="1"/>
    <row r="124" ht="14.1" customHeight="1"/>
    <row r="125" ht="14.1" customHeight="1"/>
    <row r="126" ht="14.1" customHeight="1"/>
    <row r="127" ht="14.1" customHeight="1"/>
    <row r="128" ht="14.1" customHeight="1"/>
    <row r="129" ht="14.1" customHeight="1"/>
    <row r="130" ht="14.1" customHeight="1"/>
    <row r="131" ht="14.1" customHeight="1"/>
    <row r="132" ht="14.1" customHeight="1"/>
    <row r="133" ht="14.1" customHeight="1"/>
    <row r="134" ht="14.1" customHeight="1"/>
    <row r="135" ht="14.1" customHeight="1"/>
    <row r="136" ht="14.1" customHeight="1"/>
    <row r="137" ht="14.1" customHeight="1"/>
    <row r="138" ht="14.1" customHeight="1"/>
    <row r="139" ht="14.1" customHeight="1"/>
    <row r="140" ht="14.1" customHeight="1"/>
    <row r="141" ht="14.1" customHeight="1"/>
    <row r="142" ht="14.1" customHeight="1"/>
    <row r="143" ht="14.1" customHeight="1"/>
    <row r="144" ht="14.1" customHeight="1"/>
    <row r="145" ht="14.1" customHeight="1"/>
    <row r="146" ht="14.1" customHeight="1"/>
    <row r="147" ht="14.1" customHeight="1"/>
    <row r="148" ht="14.1" customHeight="1"/>
    <row r="149" ht="14.1" customHeight="1"/>
    <row r="150" ht="14.1" customHeight="1"/>
    <row r="151" ht="14.1" customHeight="1"/>
    <row r="152" ht="14.1" customHeight="1"/>
    <row r="153" ht="14.1" customHeight="1"/>
    <row r="154" ht="14.1" customHeight="1"/>
    <row r="155" ht="14.1" customHeight="1"/>
    <row r="156" ht="14.1" customHeight="1"/>
    <row r="157" ht="14.1" customHeight="1"/>
    <row r="158" ht="14.1" customHeight="1"/>
    <row r="159" ht="14.1" customHeight="1"/>
    <row r="160" ht="14.1" customHeight="1"/>
    <row r="161" ht="14.1" customHeight="1"/>
    <row r="162" ht="14.1" customHeight="1"/>
    <row r="163" ht="14.1" customHeight="1"/>
    <row r="164" ht="14.1" customHeight="1"/>
    <row r="165" ht="14.1" customHeight="1"/>
    <row r="166" ht="14.1" customHeight="1"/>
    <row r="167" ht="14.1" customHeight="1"/>
    <row r="168" ht="14.1" customHeight="1"/>
    <row r="169" ht="14.1" customHeight="1"/>
    <row r="170" ht="14.1" customHeight="1"/>
    <row r="171" ht="14.1" customHeight="1"/>
    <row r="172" ht="14.1" customHeight="1"/>
    <row r="173" ht="14.1" customHeight="1"/>
    <row r="174" ht="14.1" customHeight="1"/>
    <row r="175" ht="14.1" customHeight="1"/>
    <row r="176" ht="14.1" customHeight="1"/>
    <row r="177" ht="14.1" customHeight="1"/>
    <row r="178" ht="14.1" customHeight="1"/>
    <row r="179" ht="14.1" customHeight="1"/>
    <row r="180" ht="14.1" customHeight="1"/>
    <row r="181" ht="14.1" customHeight="1"/>
    <row r="182" ht="14.1" customHeight="1"/>
    <row r="183" ht="14.1" customHeight="1"/>
    <row r="184" ht="14.1" customHeight="1"/>
    <row r="185" ht="14.1" customHeight="1"/>
    <row r="186" ht="14.1" customHeight="1"/>
    <row r="187" ht="14.1" customHeight="1"/>
    <row r="188" ht="14.1" customHeight="1"/>
    <row r="189" ht="14.1" customHeight="1"/>
    <row r="190" ht="14.1" customHeight="1"/>
    <row r="191" ht="14.1" customHeight="1"/>
    <row r="192" ht="14.1" customHeight="1"/>
    <row r="193" ht="14.1" customHeight="1"/>
    <row r="194" ht="14.1" customHeight="1"/>
    <row r="195" ht="14.1" customHeight="1"/>
    <row r="196" ht="14.1" customHeight="1"/>
    <row r="197" ht="14.1" customHeight="1"/>
    <row r="198" ht="14.1" customHeight="1"/>
    <row r="199" ht="14.1" customHeight="1"/>
    <row r="200" ht="14.1" customHeight="1"/>
    <row r="201" ht="14.1" customHeight="1"/>
    <row r="202" ht="14.1" customHeight="1"/>
    <row r="203" ht="14.1" customHeight="1"/>
    <row r="204" ht="14.1" customHeight="1"/>
    <row r="205" ht="14.1" customHeight="1"/>
    <row r="206" ht="14.1" customHeight="1"/>
    <row r="207" ht="14.1" customHeight="1"/>
    <row r="208" ht="14.1" customHeight="1"/>
    <row r="209" ht="14.1" customHeight="1"/>
    <row r="210" ht="14.1" customHeight="1"/>
    <row r="211" ht="14.1" customHeight="1"/>
    <row r="212" ht="14.1" customHeight="1"/>
    <row r="213" ht="14.1" customHeight="1"/>
    <row r="214" ht="14.1" customHeight="1"/>
    <row r="215" ht="14.1" customHeight="1"/>
    <row r="216" ht="14.1" customHeight="1"/>
    <row r="217" ht="14.1" customHeight="1"/>
    <row r="218" ht="14.1" customHeight="1"/>
    <row r="219" ht="14.1" customHeight="1"/>
    <row r="220" ht="14.1" customHeight="1"/>
    <row r="221" ht="14.1" customHeight="1"/>
    <row r="222" ht="14.1" customHeight="1"/>
    <row r="223" ht="14.1" customHeight="1"/>
    <row r="224" ht="14.1" customHeight="1"/>
    <row r="225" ht="14.1" customHeight="1"/>
    <row r="226" ht="14.1" customHeight="1"/>
    <row r="227" ht="14.1" customHeight="1"/>
    <row r="228" ht="14.1" customHeight="1"/>
    <row r="229" ht="14.1" customHeight="1"/>
    <row r="230" ht="14.1" customHeight="1"/>
    <row r="231" ht="14.1" customHeight="1"/>
    <row r="232" ht="14.1" customHeight="1"/>
    <row r="233" ht="14.1" customHeight="1"/>
    <row r="234" ht="14.1" customHeight="1"/>
    <row r="235" ht="14.1" customHeight="1"/>
    <row r="236" ht="14.1" customHeight="1"/>
    <row r="237" ht="14.1" customHeight="1"/>
    <row r="238" ht="14.1" customHeight="1"/>
    <row r="239" ht="14.1" customHeight="1"/>
    <row r="240" ht="14.1" customHeight="1"/>
    <row r="241" ht="14.1" customHeight="1"/>
    <row r="242" ht="14.1" customHeight="1"/>
    <row r="243" ht="14.1" customHeight="1"/>
    <row r="244" ht="14.1" customHeight="1"/>
    <row r="245" ht="14.1" customHeight="1"/>
    <row r="246" ht="14.1" customHeight="1"/>
    <row r="247" ht="14.1" customHeight="1"/>
    <row r="248" ht="14.1" customHeight="1"/>
    <row r="249" ht="14.1" customHeight="1"/>
    <row r="250" ht="14.1" customHeight="1"/>
    <row r="251" ht="14.1" customHeight="1"/>
    <row r="252" ht="14.1" customHeight="1"/>
    <row r="253" ht="14.1" customHeight="1"/>
    <row r="254" ht="14.1" customHeight="1"/>
    <row r="255" ht="14.1" customHeight="1"/>
    <row r="256" ht="14.1" customHeight="1"/>
    <row r="257" ht="14.1" customHeight="1"/>
    <row r="258" ht="14.1" customHeight="1"/>
    <row r="259" ht="14.1" customHeight="1"/>
    <row r="260" ht="14.1" customHeight="1"/>
    <row r="261" ht="14.1" customHeight="1"/>
    <row r="262" ht="14.1" customHeight="1"/>
    <row r="263" ht="14.1" customHeight="1"/>
    <row r="264" ht="14.1" customHeight="1"/>
    <row r="265" ht="14.1" customHeight="1"/>
    <row r="266" ht="14.1" customHeight="1"/>
    <row r="267" ht="14.1" customHeight="1"/>
    <row r="268" ht="14.1" customHeight="1"/>
    <row r="269" ht="14.1" customHeight="1"/>
    <row r="270" ht="14.1" customHeight="1"/>
    <row r="271" ht="14.1" customHeight="1"/>
    <row r="272" ht="14.1" customHeight="1"/>
    <row r="273" ht="14.1" customHeight="1"/>
    <row r="274" ht="14.1" customHeight="1"/>
    <row r="275" ht="14.1" customHeight="1"/>
    <row r="276" ht="14.1" customHeight="1"/>
    <row r="277" ht="14.1" customHeight="1"/>
    <row r="278" ht="14.1" customHeight="1"/>
    <row r="279" ht="14.1" customHeight="1"/>
    <row r="280" ht="14.1" customHeight="1"/>
    <row r="281" ht="14.1" customHeight="1"/>
    <row r="282" ht="14.1" customHeight="1"/>
    <row r="283" ht="14.1" customHeight="1"/>
    <row r="284" ht="14.1" customHeight="1"/>
    <row r="285" ht="14.1" customHeight="1"/>
    <row r="286" ht="14.1" customHeight="1"/>
    <row r="287" ht="14.1" customHeight="1"/>
    <row r="288" ht="14.1" customHeight="1"/>
    <row r="289" ht="14.1" customHeight="1"/>
    <row r="290" ht="14.1" customHeight="1"/>
    <row r="291" ht="14.1" customHeight="1"/>
    <row r="292" ht="14.1" customHeight="1"/>
    <row r="293" ht="14.1" customHeight="1"/>
    <row r="294" ht="14.1" customHeight="1"/>
    <row r="295" ht="14.1" customHeight="1"/>
    <row r="296" ht="14.1" customHeight="1"/>
    <row r="297" ht="14.1" customHeight="1"/>
    <row r="298" ht="14.1" customHeight="1"/>
    <row r="299" ht="14.1" customHeight="1"/>
    <row r="300" ht="14.1" customHeight="1"/>
    <row r="301" ht="14.1" customHeight="1"/>
    <row r="302" ht="14.1" customHeight="1"/>
    <row r="303" ht="14.1" customHeight="1"/>
    <row r="304" ht="14.1" customHeight="1"/>
    <row r="305" ht="14.1" customHeight="1"/>
    <row r="306" ht="14.1" customHeight="1"/>
    <row r="307" ht="14.1" customHeight="1"/>
    <row r="308" ht="14.1" customHeight="1"/>
    <row r="309" ht="14.1" customHeight="1"/>
    <row r="310" ht="14.1" customHeight="1"/>
    <row r="311" ht="14.1" customHeight="1"/>
    <row r="312" ht="14.1" customHeight="1"/>
    <row r="313" ht="14.1" customHeight="1"/>
    <row r="314" ht="14.1" customHeight="1"/>
    <row r="315" ht="14.1" customHeight="1"/>
    <row r="316" ht="14.1" customHeight="1"/>
    <row r="317" ht="14.1" customHeight="1"/>
    <row r="318" ht="14.1" customHeight="1"/>
    <row r="319" ht="14.1" customHeight="1"/>
    <row r="320" ht="14.1" customHeight="1"/>
    <row r="321" ht="14.1" customHeight="1"/>
    <row r="322" ht="14.1" customHeight="1"/>
    <row r="323" ht="14.1" customHeight="1"/>
    <row r="324" ht="14.1" customHeight="1"/>
    <row r="325" ht="14.1" customHeight="1"/>
    <row r="326" ht="14.1" customHeight="1"/>
    <row r="327" ht="14.1" customHeight="1"/>
    <row r="328" ht="14.1" customHeight="1"/>
    <row r="329" ht="14.1" customHeight="1"/>
    <row r="330" ht="14.1" customHeight="1"/>
    <row r="331" ht="14.1" customHeight="1"/>
    <row r="332" ht="14.1" customHeight="1"/>
    <row r="333" ht="14.1" customHeight="1"/>
    <row r="334" ht="14.1" customHeight="1"/>
    <row r="335" ht="14.1" customHeight="1"/>
    <row r="336" ht="14.1" customHeight="1"/>
    <row r="337" ht="14.1" customHeight="1"/>
    <row r="338" ht="14.1" customHeight="1"/>
    <row r="339" ht="14.1" customHeight="1"/>
    <row r="340" ht="14.1" customHeight="1"/>
    <row r="341" ht="14.1" customHeight="1"/>
    <row r="342" ht="14.1" customHeight="1"/>
    <row r="343" ht="14.1" customHeight="1"/>
    <row r="344" ht="14.1" customHeight="1"/>
    <row r="345" ht="14.1" customHeight="1"/>
    <row r="346" ht="14.1" customHeight="1"/>
    <row r="347" ht="14.1" customHeight="1"/>
    <row r="348" ht="14.1" customHeight="1"/>
    <row r="349" ht="14.1" customHeight="1"/>
    <row r="350" ht="14.1" customHeight="1"/>
    <row r="351" ht="14.1" customHeight="1"/>
    <row r="352" ht="14.1" customHeight="1"/>
    <row r="353" ht="14.1" customHeight="1"/>
    <row r="354" ht="14.1" customHeight="1"/>
    <row r="355" ht="14.1" customHeight="1"/>
    <row r="356" ht="14.1" customHeight="1"/>
    <row r="357" ht="14.1" customHeight="1"/>
    <row r="358" ht="14.1" customHeight="1"/>
    <row r="359" ht="14.1" customHeight="1"/>
    <row r="360" ht="14.1" customHeight="1"/>
    <row r="361" ht="14.1" customHeight="1"/>
    <row r="362" ht="14.1" customHeight="1"/>
    <row r="363" ht="14.1" customHeight="1"/>
    <row r="364" ht="14.1" customHeight="1"/>
    <row r="365" ht="14.1" customHeight="1"/>
    <row r="366" ht="14.1" customHeight="1"/>
    <row r="367" ht="14.1" customHeight="1"/>
    <row r="368" ht="14.1" customHeight="1"/>
    <row r="369" ht="14.1" customHeight="1"/>
    <row r="370" ht="14.1" customHeight="1"/>
    <row r="371" ht="14.1" customHeight="1"/>
    <row r="372" ht="14.1" customHeight="1"/>
    <row r="373" ht="14.1" customHeight="1"/>
    <row r="374" ht="14.1" customHeight="1"/>
    <row r="375" ht="14.1" customHeight="1"/>
    <row r="376" ht="14.1" customHeight="1"/>
    <row r="377" ht="14.1" customHeight="1"/>
    <row r="378" ht="14.1" customHeight="1"/>
    <row r="379" ht="14.1" customHeight="1"/>
    <row r="380" ht="14.1" customHeight="1"/>
    <row r="381" ht="14.1" customHeight="1"/>
    <row r="382" ht="14.1" customHeight="1"/>
    <row r="383" ht="14.1" customHeight="1"/>
    <row r="384" ht="14.1" customHeight="1"/>
    <row r="385" ht="14.1" customHeight="1"/>
    <row r="386" ht="14.1" customHeight="1"/>
    <row r="387" ht="14.1" customHeight="1"/>
    <row r="388" ht="14.1" customHeight="1"/>
    <row r="389" ht="14.1" customHeight="1"/>
    <row r="390" ht="14.1" customHeight="1"/>
    <row r="391" ht="14.1" customHeight="1"/>
    <row r="392" ht="14.1" customHeight="1"/>
    <row r="393" ht="14.1" customHeight="1"/>
    <row r="394" ht="14.1" customHeight="1"/>
    <row r="395" ht="14.1" customHeight="1"/>
    <row r="396" ht="14.1" customHeight="1"/>
    <row r="397" ht="14.1" customHeight="1"/>
    <row r="398" ht="14.1" customHeight="1"/>
    <row r="399" ht="14.1" customHeight="1"/>
    <row r="400" ht="14.1" customHeight="1"/>
    <row r="401" ht="14.1" customHeight="1"/>
    <row r="402" ht="14.1" customHeight="1"/>
    <row r="403" ht="14.1" customHeight="1"/>
    <row r="404" ht="14.1" customHeight="1"/>
    <row r="405" ht="14.1" customHeight="1"/>
    <row r="406" ht="14.1" customHeight="1"/>
    <row r="407" ht="14.1" customHeight="1"/>
    <row r="408" ht="14.1" customHeight="1"/>
    <row r="409" ht="14.1" customHeight="1"/>
    <row r="410" ht="14.1" customHeight="1"/>
    <row r="411" ht="14.1" customHeight="1"/>
    <row r="412" ht="14.1" customHeight="1"/>
    <row r="413" ht="14.1" customHeight="1"/>
    <row r="414" ht="14.1" customHeight="1"/>
    <row r="415" ht="14.1" customHeight="1"/>
    <row r="416" ht="14.1" customHeight="1"/>
    <row r="417" ht="14.1" customHeight="1"/>
    <row r="418" ht="14.1" customHeight="1"/>
    <row r="419" ht="14.1" customHeight="1"/>
    <row r="420" ht="14.1" customHeight="1"/>
    <row r="421" ht="14.1" customHeight="1"/>
    <row r="422" ht="14.1" customHeight="1"/>
    <row r="423" ht="14.1" customHeight="1"/>
    <row r="424" ht="14.1" customHeight="1"/>
    <row r="425" ht="14.1" customHeight="1"/>
    <row r="426" ht="14.1" customHeight="1"/>
    <row r="427" ht="14.1" customHeight="1"/>
    <row r="428" ht="14.1" customHeight="1"/>
    <row r="429" ht="14.1" customHeight="1"/>
    <row r="430" ht="14.1" customHeight="1"/>
    <row r="431" ht="14.1" customHeight="1"/>
    <row r="432" ht="14.1" customHeight="1"/>
    <row r="433" ht="14.1" customHeight="1"/>
    <row r="434" ht="14.1" customHeight="1"/>
    <row r="435" ht="14.1" customHeight="1"/>
    <row r="436" ht="14.1" customHeight="1"/>
    <row r="437" ht="14.1" customHeight="1"/>
    <row r="438" ht="14.1" customHeight="1"/>
    <row r="439" ht="14.1" customHeight="1"/>
    <row r="440" ht="14.1" customHeight="1"/>
    <row r="441" ht="14.1" customHeight="1"/>
    <row r="442" ht="14.1" customHeight="1"/>
    <row r="443" ht="14.1" customHeight="1"/>
    <row r="444" ht="14.1" customHeight="1"/>
    <row r="445" ht="14.1" customHeight="1"/>
    <row r="446" ht="14.1" customHeight="1"/>
    <row r="447" ht="14.1" customHeight="1"/>
    <row r="448" ht="14.1" customHeight="1"/>
    <row r="449" ht="14.1" customHeight="1"/>
    <row r="450" ht="14.1" customHeight="1"/>
    <row r="451" ht="14.1" customHeight="1"/>
    <row r="452" ht="14.1" customHeight="1"/>
    <row r="453" ht="14.1" customHeight="1"/>
    <row r="454" ht="14.1" customHeight="1"/>
    <row r="455" ht="14.1" customHeight="1"/>
    <row r="456" ht="14.1" customHeight="1"/>
    <row r="457" ht="14.1" customHeight="1"/>
    <row r="458" ht="14.1" customHeight="1"/>
    <row r="459" ht="14.1" customHeight="1"/>
    <row r="460" ht="14.1" customHeight="1"/>
    <row r="461" ht="14.1" customHeight="1"/>
    <row r="462" ht="14.1" customHeight="1"/>
    <row r="463" ht="14.1" customHeight="1"/>
    <row r="464" ht="14.1" customHeight="1"/>
    <row r="465" ht="14.1" customHeight="1"/>
    <row r="466" ht="14.1" customHeight="1"/>
    <row r="467" ht="14.1" customHeight="1"/>
    <row r="468" ht="14.1" customHeight="1"/>
    <row r="469" ht="14.1" customHeight="1"/>
    <row r="470" ht="14.1" customHeight="1"/>
    <row r="471" ht="14.1" customHeight="1"/>
    <row r="472" ht="14.1" customHeight="1"/>
    <row r="473" ht="14.1" customHeight="1"/>
    <row r="474" ht="14.1" customHeight="1"/>
    <row r="475" ht="14.1" customHeight="1"/>
    <row r="476" ht="14.1" customHeight="1"/>
    <row r="477" ht="14.1" customHeight="1"/>
    <row r="478" ht="14.1" customHeight="1"/>
    <row r="479" ht="14.1" customHeight="1"/>
    <row r="480" ht="14.1" customHeight="1"/>
    <row r="481" ht="14.1" customHeight="1"/>
    <row r="482" ht="14.1" customHeight="1"/>
    <row r="483" ht="14.1" customHeight="1"/>
    <row r="484" ht="14.1" customHeight="1"/>
    <row r="485" ht="14.1" customHeight="1"/>
    <row r="486" ht="14.1" customHeight="1"/>
    <row r="487" ht="14.1" customHeight="1"/>
    <row r="488" ht="14.1" customHeight="1"/>
    <row r="489" ht="14.1" customHeight="1"/>
    <row r="490" ht="14.1" customHeight="1"/>
    <row r="491" ht="14.1" customHeight="1"/>
    <row r="492" ht="14.1" customHeight="1"/>
    <row r="493" ht="14.1" customHeight="1"/>
    <row r="494" ht="14.1" customHeight="1"/>
    <row r="495" ht="14.1" customHeight="1"/>
    <row r="496" ht="14.1" customHeight="1"/>
    <row r="497" ht="14.1" customHeight="1"/>
    <row r="498" ht="14.1" customHeight="1"/>
    <row r="499" ht="14.1" customHeight="1"/>
    <row r="500" ht="14.1" customHeight="1"/>
    <row r="501" ht="14.1" customHeight="1"/>
    <row r="502" ht="14.1" customHeight="1"/>
    <row r="503" ht="14.1" customHeight="1"/>
    <row r="504" ht="14.1" customHeight="1"/>
    <row r="505" ht="14.1" customHeight="1"/>
    <row r="506" ht="14.1" customHeight="1"/>
    <row r="507" ht="14.1" customHeight="1"/>
    <row r="508" ht="14.1" customHeight="1"/>
    <row r="509" ht="14.1" customHeight="1"/>
    <row r="510" ht="14.1" customHeight="1"/>
    <row r="511" ht="14.1" customHeight="1"/>
    <row r="512" ht="14.1" customHeight="1"/>
    <row r="513" ht="14.1" customHeight="1"/>
    <row r="514" ht="14.1" customHeight="1"/>
    <row r="515" ht="14.1" customHeight="1"/>
    <row r="516" ht="14.1" customHeight="1"/>
    <row r="517" ht="14.1" customHeight="1"/>
    <row r="518" ht="14.1" customHeight="1"/>
    <row r="519" ht="14.1" customHeight="1"/>
    <row r="520" ht="14.1" customHeight="1"/>
    <row r="521" ht="14.1" customHeight="1"/>
    <row r="522" ht="14.1" customHeight="1"/>
    <row r="523" ht="14.1" customHeight="1"/>
    <row r="524" ht="14.1" customHeight="1"/>
    <row r="525" ht="14.1" customHeight="1"/>
    <row r="526" ht="14.1" customHeight="1"/>
    <row r="527" ht="14.1" customHeight="1"/>
    <row r="528" ht="14.1" customHeight="1"/>
    <row r="529" ht="14.1" customHeight="1"/>
    <row r="530" ht="14.1" customHeight="1"/>
    <row r="531" ht="14.1" customHeight="1"/>
    <row r="532" ht="14.1" customHeight="1"/>
    <row r="533" ht="14.1" customHeight="1"/>
    <row r="534" ht="14.1" customHeight="1"/>
    <row r="535" ht="14.1" customHeight="1"/>
    <row r="536" ht="14.1" customHeight="1"/>
    <row r="537" ht="14.1" customHeight="1"/>
    <row r="538" ht="14.1" customHeight="1"/>
    <row r="539" ht="14.1" customHeight="1"/>
    <row r="540" ht="14.1" customHeight="1"/>
    <row r="541" ht="14.1" customHeight="1"/>
    <row r="542" ht="14.1" customHeight="1"/>
    <row r="543" ht="14.1" customHeight="1"/>
    <row r="544" ht="14.1" customHeight="1"/>
    <row r="545" ht="14.1" customHeight="1"/>
    <row r="546" ht="14.1" customHeight="1"/>
    <row r="547" ht="14.1" customHeight="1"/>
    <row r="548" ht="14.1" customHeight="1"/>
    <row r="549" ht="14.1" customHeight="1"/>
    <row r="550" ht="14.1" customHeight="1"/>
    <row r="551" ht="14.1" customHeight="1"/>
    <row r="552" ht="14.1" customHeight="1"/>
    <row r="553" ht="14.1" customHeight="1"/>
    <row r="554" ht="14.1" customHeight="1"/>
    <row r="555" ht="14.1" customHeight="1"/>
    <row r="556" ht="14.1" customHeight="1"/>
    <row r="557" ht="14.1" customHeight="1"/>
    <row r="558" ht="14.1" customHeight="1"/>
    <row r="559" ht="14.1" customHeight="1"/>
    <row r="560" ht="14.1" customHeight="1"/>
    <row r="561" ht="14.1" customHeight="1"/>
    <row r="562" ht="14.1" customHeight="1"/>
    <row r="563" ht="14.1" customHeight="1"/>
    <row r="564" ht="14.1" customHeight="1"/>
    <row r="565" ht="14.1" customHeight="1"/>
    <row r="566" ht="14.1" customHeight="1"/>
    <row r="567" ht="14.1" customHeight="1"/>
    <row r="568" ht="14.1" customHeight="1"/>
    <row r="569" ht="14.1" customHeight="1"/>
    <row r="570" ht="14.1" customHeight="1"/>
    <row r="571" ht="14.1" customHeight="1"/>
    <row r="572" ht="14.1" customHeight="1"/>
    <row r="573" ht="14.1" customHeight="1"/>
    <row r="574" ht="14.1" customHeight="1"/>
    <row r="575" ht="14.1" customHeight="1"/>
    <row r="576" ht="14.1" customHeight="1"/>
    <row r="577" ht="14.1" customHeight="1"/>
    <row r="578" ht="14.1" customHeight="1"/>
    <row r="579" ht="14.1" customHeight="1"/>
    <row r="580" ht="14.1" customHeight="1"/>
    <row r="581" ht="14.1" customHeight="1"/>
    <row r="582" ht="14.1" customHeight="1"/>
    <row r="583" ht="14.1" customHeight="1"/>
    <row r="584" ht="14.1" customHeight="1"/>
    <row r="585" ht="14.1" customHeight="1"/>
    <row r="586" ht="14.1" customHeight="1"/>
    <row r="587" ht="14.1" customHeight="1"/>
    <row r="588" ht="14.1" customHeight="1"/>
    <row r="589" ht="14.1" customHeight="1"/>
    <row r="590" ht="14.1" customHeight="1"/>
    <row r="591" ht="14.1" customHeight="1"/>
    <row r="592" ht="14.1" customHeight="1"/>
    <row r="593" ht="14.1" customHeight="1"/>
    <row r="594" ht="14.1" customHeight="1"/>
    <row r="595" ht="14.1" customHeight="1"/>
    <row r="596" ht="14.1" customHeight="1"/>
    <row r="597" ht="14.1" customHeight="1"/>
    <row r="598" ht="14.1" customHeight="1"/>
    <row r="599" ht="14.1" customHeight="1"/>
    <row r="600" ht="14.1" customHeight="1"/>
    <row r="601" ht="14.1" customHeight="1"/>
    <row r="602" ht="14.1" customHeight="1"/>
    <row r="603" ht="14.1" customHeight="1"/>
    <row r="604" ht="14.1" customHeight="1"/>
    <row r="605" ht="14.1" customHeight="1"/>
    <row r="606" ht="14.1" customHeight="1"/>
    <row r="607" ht="14.1" customHeight="1"/>
    <row r="608" ht="14.1" customHeight="1"/>
    <row r="609" ht="14.1" customHeight="1"/>
    <row r="610" ht="14.1" customHeight="1"/>
    <row r="611" ht="14.1" customHeight="1"/>
    <row r="612" ht="14.1" customHeight="1"/>
    <row r="613" ht="14.1" customHeight="1"/>
    <row r="614" ht="14.1" customHeight="1"/>
    <row r="615" ht="14.1" customHeight="1"/>
    <row r="616" ht="14.1" customHeight="1"/>
    <row r="617" ht="14.1" customHeight="1"/>
    <row r="618" ht="14.1" customHeight="1"/>
    <row r="619" ht="14.1" customHeight="1"/>
    <row r="620" ht="14.1" customHeight="1"/>
    <row r="621" ht="14.1" customHeight="1"/>
    <row r="622" ht="14.1" customHeight="1"/>
    <row r="623" ht="14.1" customHeight="1"/>
    <row r="624" ht="14.1" customHeight="1"/>
    <row r="625" ht="14.1" customHeight="1"/>
    <row r="626" ht="14.1" customHeight="1"/>
    <row r="627" ht="14.1" customHeight="1"/>
    <row r="628" ht="14.1" customHeight="1"/>
    <row r="629" ht="14.1" customHeight="1"/>
    <row r="630" ht="14.1" customHeight="1"/>
    <row r="631" ht="14.1" customHeight="1"/>
    <row r="632" ht="14.1" customHeight="1"/>
    <row r="633" ht="14.1" customHeight="1"/>
    <row r="634" ht="14.1" customHeight="1"/>
    <row r="635" ht="14.1" customHeight="1"/>
    <row r="636" ht="14.1" customHeight="1"/>
    <row r="637" ht="14.1" customHeight="1"/>
    <row r="638" ht="14.1" customHeight="1"/>
    <row r="639" ht="14.1" customHeight="1"/>
    <row r="640" ht="14.1" customHeight="1"/>
    <row r="641" ht="14.1" customHeight="1"/>
    <row r="642" ht="14.1" customHeight="1"/>
    <row r="643" ht="14.1" customHeight="1"/>
    <row r="644" ht="14.1" customHeight="1"/>
    <row r="645" ht="14.1" customHeight="1"/>
    <row r="646" ht="14.1" customHeight="1"/>
    <row r="647" ht="14.1" customHeight="1"/>
    <row r="648" ht="14.1" customHeight="1"/>
    <row r="649" ht="14.1" customHeight="1"/>
    <row r="650" ht="14.1" customHeight="1"/>
    <row r="651" ht="14.1" customHeight="1"/>
    <row r="652" ht="14.1" customHeight="1"/>
    <row r="653" ht="14.1" customHeight="1"/>
    <row r="654" ht="14.1" customHeight="1"/>
    <row r="655" ht="14.1" customHeight="1"/>
    <row r="656" ht="14.1" customHeight="1"/>
    <row r="657" ht="14.1" customHeight="1"/>
    <row r="658" ht="14.1" customHeight="1"/>
    <row r="659" ht="14.1" customHeight="1"/>
    <row r="660" ht="14.1" customHeight="1"/>
    <row r="661" ht="14.1" customHeight="1"/>
    <row r="662" ht="14.1" customHeight="1"/>
    <row r="663" ht="14.1" customHeight="1"/>
    <row r="664" ht="14.1" customHeight="1"/>
    <row r="665" ht="14.1" customHeight="1"/>
    <row r="666" ht="14.1" customHeight="1"/>
    <row r="667" ht="14.1" customHeight="1"/>
    <row r="668" ht="14.1" customHeight="1"/>
    <row r="669" ht="14.1" customHeight="1"/>
    <row r="670" ht="14.1" customHeight="1"/>
    <row r="671" ht="14.1" customHeight="1"/>
    <row r="672" ht="14.1" customHeight="1"/>
    <row r="673" ht="14.1" customHeight="1"/>
    <row r="674" ht="14.1" customHeight="1"/>
    <row r="675" ht="14.1" customHeight="1"/>
    <row r="676" ht="14.1" customHeight="1"/>
    <row r="677" ht="14.1" customHeight="1"/>
    <row r="678" ht="14.1" customHeight="1"/>
    <row r="679" ht="14.1" customHeight="1"/>
    <row r="680" ht="14.1" customHeight="1"/>
    <row r="681" ht="14.1" customHeight="1"/>
    <row r="682" ht="14.1" customHeight="1"/>
    <row r="683" ht="14.1" customHeight="1"/>
    <row r="684" ht="14.1" customHeight="1"/>
    <row r="685" ht="14.1" customHeight="1"/>
    <row r="686" ht="14.1" customHeight="1"/>
    <row r="687" ht="14.1" customHeight="1"/>
    <row r="688" ht="14.1" customHeight="1"/>
    <row r="689" ht="14.1" customHeight="1"/>
    <row r="690" ht="14.1" customHeight="1"/>
    <row r="691" ht="14.1" customHeight="1"/>
    <row r="692" ht="14.1" customHeight="1"/>
    <row r="693" ht="14.1" customHeight="1"/>
    <row r="694" ht="14.1" customHeight="1"/>
    <row r="695" ht="14.1" customHeight="1"/>
    <row r="696" ht="14.1" customHeight="1"/>
    <row r="697" ht="14.1" customHeight="1"/>
    <row r="698" ht="14.1" customHeight="1"/>
    <row r="699" ht="14.1" customHeight="1"/>
    <row r="700" ht="14.1" customHeight="1"/>
    <row r="701" ht="14.1" customHeight="1"/>
    <row r="702" ht="14.1" customHeight="1"/>
    <row r="703" ht="14.1" customHeight="1"/>
    <row r="704" ht="14.1" customHeight="1"/>
    <row r="705" ht="14.1" customHeight="1"/>
    <row r="706" ht="14.1" customHeight="1"/>
    <row r="707" ht="14.1" customHeight="1"/>
    <row r="708" ht="14.1" customHeight="1"/>
    <row r="709" ht="14.1" customHeight="1"/>
    <row r="710" ht="14.1" customHeight="1"/>
    <row r="711" ht="14.1" customHeight="1"/>
    <row r="712" ht="14.1" customHeight="1"/>
    <row r="713" ht="14.1" customHeight="1"/>
    <row r="714" ht="14.1" customHeight="1"/>
    <row r="715" ht="14.1" customHeight="1"/>
    <row r="716" ht="14.1" customHeight="1"/>
    <row r="717" ht="14.1" customHeight="1"/>
    <row r="718" ht="14.1" customHeight="1"/>
    <row r="719" ht="14.1" customHeight="1"/>
    <row r="720" ht="14.1" customHeight="1"/>
    <row r="721" ht="14.1" customHeight="1"/>
    <row r="722" ht="14.1" customHeight="1"/>
    <row r="723" ht="14.1" customHeight="1"/>
    <row r="724" ht="14.1" customHeight="1"/>
    <row r="725" ht="14.1" customHeight="1"/>
    <row r="726" ht="14.1" customHeight="1"/>
    <row r="727" ht="14.1" customHeight="1"/>
    <row r="728" ht="14.1" customHeight="1"/>
    <row r="729" ht="14.1" customHeight="1"/>
    <row r="730" ht="14.1" customHeight="1"/>
    <row r="731" ht="14.1" customHeight="1"/>
    <row r="732" ht="14.1" customHeight="1"/>
    <row r="733" ht="14.1" customHeight="1"/>
    <row r="734" ht="14.1" customHeight="1"/>
    <row r="735" ht="14.1" customHeight="1"/>
    <row r="736" ht="14.1" customHeight="1"/>
    <row r="737" ht="14.1" customHeight="1"/>
    <row r="738" ht="14.1" customHeight="1"/>
    <row r="739" ht="14.1" customHeight="1"/>
    <row r="740" ht="14.1" customHeight="1"/>
    <row r="741" ht="14.1" customHeight="1"/>
    <row r="742" ht="14.1" customHeight="1"/>
    <row r="743" ht="14.1" customHeight="1"/>
    <row r="744" ht="14.1" customHeight="1"/>
    <row r="745" ht="14.1" customHeight="1"/>
    <row r="746" ht="14.1" customHeight="1"/>
    <row r="747" ht="14.1" customHeight="1"/>
    <row r="748" ht="14.1" customHeight="1"/>
    <row r="749" ht="14.1" customHeight="1"/>
    <row r="750" ht="14.1" customHeight="1"/>
    <row r="751" ht="14.1" customHeight="1"/>
    <row r="752" ht="14.1" customHeight="1"/>
    <row r="753" ht="14.1" customHeight="1"/>
    <row r="754" ht="14.1" customHeight="1"/>
    <row r="755" ht="14.1" customHeight="1"/>
    <row r="756" ht="14.1" customHeight="1"/>
    <row r="757" ht="14.1" customHeight="1"/>
    <row r="758" ht="14.1" customHeight="1"/>
    <row r="759" ht="14.1" customHeight="1"/>
    <row r="760" ht="14.1" customHeight="1"/>
    <row r="761" ht="14.1" customHeight="1"/>
    <row r="762" ht="14.1" customHeight="1"/>
    <row r="763" ht="14.1" customHeight="1"/>
    <row r="764" ht="14.1" customHeight="1"/>
    <row r="765" ht="14.1" customHeight="1"/>
    <row r="766" ht="14.1" customHeight="1"/>
    <row r="767" ht="14.1" customHeight="1"/>
    <row r="768" ht="14.1" customHeight="1"/>
    <row r="769" ht="14.1" customHeight="1"/>
    <row r="770" ht="14.1" customHeight="1"/>
    <row r="771" ht="14.1" customHeight="1"/>
    <row r="772" ht="14.1" customHeight="1"/>
    <row r="773" ht="14.1" customHeight="1"/>
    <row r="774" ht="14.1" customHeight="1"/>
    <row r="775" ht="14.1" customHeight="1"/>
    <row r="776" ht="14.1" customHeight="1"/>
    <row r="777" ht="14.1" customHeight="1"/>
    <row r="778" ht="14.1" customHeight="1"/>
    <row r="779" ht="14.1" customHeight="1"/>
    <row r="780" ht="14.1" customHeight="1"/>
    <row r="781" ht="14.1" customHeight="1"/>
    <row r="782" ht="14.1" customHeight="1"/>
    <row r="783" ht="14.1" customHeight="1"/>
    <row r="784" ht="14.1" customHeight="1"/>
    <row r="785" ht="14.1" customHeight="1"/>
    <row r="786" ht="14.1" customHeight="1"/>
    <row r="787" ht="14.1" customHeight="1"/>
    <row r="788" ht="14.1" customHeight="1"/>
    <row r="789" ht="14.1" customHeight="1"/>
    <row r="790" ht="14.1" customHeight="1"/>
    <row r="791" ht="14.1" customHeight="1"/>
    <row r="792" ht="14.1" customHeight="1"/>
    <row r="793" ht="14.1" customHeight="1"/>
  </sheetData>
  <pageMargins left="0.61" right="0.16" top="0.87" bottom="0.21" header="0.16" footer="0.16"/>
  <pageSetup paperSize="8" scale="51" orientation="portrait"/>
  <headerFooter alignWithMargins="0">
    <oddFooter>&amp;L&amp;"Arial"&amp;7 &amp;KDAD4CE_x000D_# Public_x000D_&amp;1#&amp;"Arial"&amp;7&amp;KDAD4CE Public</oddFooter>
  </headerFooter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A00-000000000000}">
  <sheetPr>
    <tabColor rgb="FF0070C0"/>
  </sheetPr>
  <dimension ref="A1:U793"/>
  <sheetViews>
    <sheetView zoomScale="90" zoomScaleNormal="90" workbookViewId="0">
      <selection activeCell="A16" sqref="A16"/>
    </sheetView>
  </sheetViews>
  <sheetFormatPr defaultColWidth="8.85546875" defaultRowHeight="15"/>
  <cols>
    <col min="1" max="1" width="4.140625" style="43" customWidth="1"/>
    <col min="2" max="3" width="11.140625" style="22" customWidth="1"/>
    <col min="4" max="4" width="14.5703125" style="43" customWidth="1"/>
    <col min="5" max="5" width="20.5703125" style="22" customWidth="1"/>
    <col min="6" max="6" width="8.5703125" style="43" customWidth="1"/>
    <col min="7" max="7" width="32.5703125" style="22" customWidth="1"/>
    <col min="8" max="8" width="20.85546875" style="43" customWidth="1"/>
    <col min="9" max="9" width="62.5703125" style="22" customWidth="1"/>
    <col min="10" max="12" width="9.5703125" style="43" customWidth="1"/>
    <col min="13" max="13" width="10.5703125" style="43" customWidth="1"/>
    <col min="14" max="14" width="8.5703125" style="43" customWidth="1"/>
    <col min="15" max="15" width="10.5703125" style="43" customWidth="1"/>
    <col min="16" max="16" width="5.5703125" style="43" customWidth="1"/>
    <col min="17" max="17" width="1.5703125" style="22" customWidth="1"/>
    <col min="18" max="18" width="10.5703125" style="68" customWidth="1"/>
    <col min="19" max="19" width="1.5703125" style="22" customWidth="1"/>
    <col min="20" max="21" width="10.5703125" style="22" customWidth="1"/>
    <col min="22" max="22" width="8.85546875" style="71" customWidth="1"/>
    <col min="23" max="16384" width="8.85546875" style="71"/>
  </cols>
  <sheetData>
    <row r="1" spans="1:21" s="2" customFormat="1" ht="14.1" customHeight="1">
      <c r="A1" s="1" t="s">
        <v>3992</v>
      </c>
      <c r="E1" s="20"/>
      <c r="R1" s="10"/>
    </row>
    <row r="2" spans="1:21" s="2" customFormat="1" ht="14.1" customHeight="1">
      <c r="A2" s="4" t="s">
        <v>3993</v>
      </c>
      <c r="E2" s="20"/>
      <c r="H2" s="4"/>
      <c r="K2" s="4"/>
      <c r="R2" s="336"/>
    </row>
    <row r="3" spans="1:21" s="6" customFormat="1" ht="14.1" customHeight="1">
      <c r="A3" s="3"/>
      <c r="B3" s="16"/>
      <c r="C3" s="16"/>
      <c r="D3" s="23"/>
      <c r="E3" s="16"/>
      <c r="F3" s="23"/>
      <c r="G3" s="15"/>
      <c r="H3" s="25"/>
      <c r="I3" s="15"/>
      <c r="J3" s="25"/>
      <c r="K3" s="25"/>
      <c r="L3" s="25"/>
      <c r="M3" s="25"/>
      <c r="N3" s="25"/>
      <c r="O3" s="25"/>
      <c r="P3" s="25"/>
      <c r="Q3" s="2"/>
      <c r="R3" s="355" t="s">
        <v>2</v>
      </c>
      <c r="S3" s="2"/>
      <c r="T3" s="25"/>
      <c r="U3" s="25"/>
    </row>
    <row r="4" spans="1:21" s="5" customFormat="1" ht="33" customHeight="1">
      <c r="A4" s="21" t="s">
        <v>3</v>
      </c>
      <c r="B4" s="52" t="s">
        <v>4</v>
      </c>
      <c r="C4" s="52" t="s">
        <v>5</v>
      </c>
      <c r="D4" s="21" t="s">
        <v>6</v>
      </c>
      <c r="E4" s="21" t="s">
        <v>7</v>
      </c>
      <c r="F4" s="21" t="s">
        <v>8</v>
      </c>
      <c r="G4" s="21" t="s">
        <v>9</v>
      </c>
      <c r="H4" s="21" t="s">
        <v>10</v>
      </c>
      <c r="I4" s="21" t="s">
        <v>11</v>
      </c>
      <c r="J4" s="21" t="s">
        <v>12</v>
      </c>
      <c r="K4" s="21" t="s">
        <v>13</v>
      </c>
      <c r="L4" s="21" t="s">
        <v>455</v>
      </c>
      <c r="M4" s="21" t="s">
        <v>15</v>
      </c>
      <c r="N4" s="21" t="s">
        <v>16</v>
      </c>
      <c r="O4" s="21" t="s">
        <v>17</v>
      </c>
      <c r="P4" s="21" t="s">
        <v>18</v>
      </c>
      <c r="Q4" s="3"/>
      <c r="R4" s="41" t="s">
        <v>19</v>
      </c>
      <c r="S4" s="3"/>
      <c r="T4" s="42" t="s">
        <v>20</v>
      </c>
      <c r="U4" s="42" t="s">
        <v>21</v>
      </c>
    </row>
    <row r="5" spans="1:21" s="312" customFormat="1" ht="14.1" customHeight="1">
      <c r="A5" s="308">
        <v>1</v>
      </c>
      <c r="B5" s="309" t="s">
        <v>609</v>
      </c>
      <c r="C5" s="309" t="s">
        <v>3994</v>
      </c>
      <c r="D5" s="308" t="s">
        <v>944</v>
      </c>
      <c r="E5" s="309" t="s">
        <v>945</v>
      </c>
      <c r="F5" s="308" t="s">
        <v>26</v>
      </c>
      <c r="G5" s="309" t="s">
        <v>3995</v>
      </c>
      <c r="H5" s="308" t="s">
        <v>3996</v>
      </c>
      <c r="I5" s="309" t="s">
        <v>3997</v>
      </c>
      <c r="J5" s="308">
        <v>1</v>
      </c>
      <c r="K5" s="308"/>
      <c r="L5" s="308" t="s">
        <v>322</v>
      </c>
      <c r="M5" s="308"/>
      <c r="N5" s="308">
        <v>20</v>
      </c>
      <c r="O5" s="308">
        <v>7</v>
      </c>
      <c r="P5" s="308"/>
      <c r="Q5" s="310"/>
      <c r="R5" s="319">
        <v>943.84226926509439</v>
      </c>
      <c r="S5" s="310"/>
      <c r="T5" s="311"/>
      <c r="U5" s="311"/>
    </row>
    <row r="6" spans="1:21" s="312" customFormat="1" ht="14.1" customHeight="1">
      <c r="A6" s="308">
        <v>2</v>
      </c>
      <c r="B6" s="309" t="s">
        <v>609</v>
      </c>
      <c r="C6" s="309" t="s">
        <v>3994</v>
      </c>
      <c r="D6" s="308" t="s">
        <v>944</v>
      </c>
      <c r="E6" s="309" t="s">
        <v>945</v>
      </c>
      <c r="F6" s="308" t="s">
        <v>26</v>
      </c>
      <c r="G6" s="309" t="s">
        <v>3998</v>
      </c>
      <c r="H6" s="308" t="s">
        <v>3999</v>
      </c>
      <c r="I6" s="309" t="s">
        <v>4000</v>
      </c>
      <c r="J6" s="308">
        <v>1</v>
      </c>
      <c r="K6" s="308"/>
      <c r="L6" s="308" t="s">
        <v>322</v>
      </c>
      <c r="M6" s="308"/>
      <c r="N6" s="308">
        <v>20</v>
      </c>
      <c r="O6" s="308">
        <v>7</v>
      </c>
      <c r="P6" s="308"/>
      <c r="Q6" s="310"/>
      <c r="R6" s="319">
        <v>1415.7634038976421</v>
      </c>
      <c r="S6" s="310"/>
      <c r="T6" s="309"/>
      <c r="U6" s="311"/>
    </row>
    <row r="7" spans="1:21" s="312" customFormat="1" ht="14.1" customHeight="1">
      <c r="A7" s="308">
        <v>3</v>
      </c>
      <c r="B7" s="309" t="s">
        <v>609</v>
      </c>
      <c r="C7" s="309" t="s">
        <v>3994</v>
      </c>
      <c r="D7" s="308" t="s">
        <v>944</v>
      </c>
      <c r="E7" s="309" t="s">
        <v>945</v>
      </c>
      <c r="F7" s="308" t="s">
        <v>26</v>
      </c>
      <c r="G7" s="309" t="s">
        <v>4001</v>
      </c>
      <c r="H7" s="308" t="s">
        <v>3999</v>
      </c>
      <c r="I7" s="309" t="s">
        <v>4002</v>
      </c>
      <c r="J7" s="308">
        <v>1</v>
      </c>
      <c r="K7" s="308"/>
      <c r="L7" s="308" t="s">
        <v>322</v>
      </c>
      <c r="M7" s="308"/>
      <c r="N7" s="308">
        <v>20</v>
      </c>
      <c r="O7" s="308">
        <v>7</v>
      </c>
      <c r="P7" s="308"/>
      <c r="Q7" s="310"/>
      <c r="R7" s="319">
        <v>1510.1476308241511</v>
      </c>
      <c r="S7" s="310"/>
      <c r="T7" s="309"/>
      <c r="U7" s="311"/>
    </row>
    <row r="8" spans="1:21" s="312" customFormat="1" ht="14.1" customHeight="1">
      <c r="A8" s="308">
        <v>4</v>
      </c>
      <c r="B8" s="309" t="s">
        <v>609</v>
      </c>
      <c r="C8" s="309" t="s">
        <v>3994</v>
      </c>
      <c r="D8" s="308" t="s">
        <v>944</v>
      </c>
      <c r="E8" s="309" t="s">
        <v>945</v>
      </c>
      <c r="F8" s="308" t="s">
        <v>26</v>
      </c>
      <c r="G8" s="309" t="s">
        <v>4003</v>
      </c>
      <c r="H8" s="308" t="s">
        <v>3999</v>
      </c>
      <c r="I8" s="309" t="s">
        <v>4004</v>
      </c>
      <c r="J8" s="308">
        <v>1</v>
      </c>
      <c r="K8" s="308"/>
      <c r="L8" s="308" t="s">
        <v>4005</v>
      </c>
      <c r="M8" s="308"/>
      <c r="N8" s="308">
        <v>20</v>
      </c>
      <c r="O8" s="308">
        <v>7</v>
      </c>
      <c r="P8" s="308"/>
      <c r="Q8" s="310"/>
      <c r="R8" s="319">
        <v>1321.379176971132</v>
      </c>
      <c r="S8" s="310"/>
      <c r="T8" s="309"/>
      <c r="U8" s="311"/>
    </row>
    <row r="9" spans="1:21" s="312" customFormat="1" ht="14.1" customHeight="1">
      <c r="A9" s="308">
        <v>5</v>
      </c>
      <c r="B9" s="309" t="s">
        <v>609</v>
      </c>
      <c r="C9" s="309" t="s">
        <v>3994</v>
      </c>
      <c r="D9" s="308" t="s">
        <v>944</v>
      </c>
      <c r="E9" s="309" t="s">
        <v>945</v>
      </c>
      <c r="F9" s="308" t="s">
        <v>26</v>
      </c>
      <c r="G9" s="309" t="s">
        <v>4006</v>
      </c>
      <c r="H9" s="308" t="s">
        <v>459</v>
      </c>
      <c r="I9" s="309" t="s">
        <v>4007</v>
      </c>
      <c r="J9" s="308">
        <v>1</v>
      </c>
      <c r="K9" s="308"/>
      <c r="L9" s="308" t="s">
        <v>322</v>
      </c>
      <c r="M9" s="308"/>
      <c r="N9" s="308">
        <v>20</v>
      </c>
      <c r="O9" s="308">
        <v>7</v>
      </c>
      <c r="P9" s="308"/>
      <c r="Q9" s="310"/>
      <c r="R9" s="319">
        <v>2359.6056731627359</v>
      </c>
      <c r="S9" s="310"/>
      <c r="T9" s="309"/>
      <c r="U9" s="311"/>
    </row>
    <row r="10" spans="1:21" s="312" customFormat="1" ht="14.1" customHeight="1">
      <c r="A10" s="308">
        <v>6</v>
      </c>
      <c r="B10" s="309" t="s">
        <v>609</v>
      </c>
      <c r="C10" s="309" t="s">
        <v>3994</v>
      </c>
      <c r="D10" s="308" t="s">
        <v>944</v>
      </c>
      <c r="E10" s="309" t="s">
        <v>945</v>
      </c>
      <c r="F10" s="308" t="s">
        <v>26</v>
      </c>
      <c r="G10" s="309" t="s">
        <v>4008</v>
      </c>
      <c r="H10" s="308" t="s">
        <v>459</v>
      </c>
      <c r="I10" s="309" t="s">
        <v>4009</v>
      </c>
      <c r="J10" s="308">
        <v>1</v>
      </c>
      <c r="K10" s="308"/>
      <c r="L10" s="308" t="s">
        <v>322</v>
      </c>
      <c r="M10" s="308"/>
      <c r="N10" s="308">
        <v>20</v>
      </c>
      <c r="O10" s="308">
        <v>7</v>
      </c>
      <c r="P10" s="308"/>
      <c r="Q10" s="310"/>
      <c r="R10" s="319">
        <v>1415.7634038976421</v>
      </c>
      <c r="S10" s="310"/>
      <c r="T10" s="309"/>
      <c r="U10" s="311"/>
    </row>
    <row r="11" spans="1:21" s="312" customFormat="1" ht="14.1" customHeight="1">
      <c r="A11" s="308">
        <v>7</v>
      </c>
      <c r="B11" s="309" t="s">
        <v>609</v>
      </c>
      <c r="C11" s="309" t="s">
        <v>3994</v>
      </c>
      <c r="D11" s="308" t="s">
        <v>944</v>
      </c>
      <c r="E11" s="309" t="s">
        <v>945</v>
      </c>
      <c r="F11" s="308" t="s">
        <v>26</v>
      </c>
      <c r="G11" s="313" t="s">
        <v>4010</v>
      </c>
      <c r="H11" s="308" t="s">
        <v>3999</v>
      </c>
      <c r="I11" s="309" t="s">
        <v>4011</v>
      </c>
      <c r="J11" s="308">
        <v>1</v>
      </c>
      <c r="K11" s="308"/>
      <c r="L11" s="308" t="s">
        <v>322</v>
      </c>
      <c r="M11" s="308"/>
      <c r="N11" s="308">
        <v>20</v>
      </c>
      <c r="O11" s="308">
        <v>7</v>
      </c>
      <c r="P11" s="308"/>
      <c r="Q11" s="310"/>
      <c r="R11" s="319">
        <v>1170.3644138887171</v>
      </c>
      <c r="S11" s="310"/>
      <c r="T11" s="309"/>
      <c r="U11" s="311"/>
    </row>
    <row r="12" spans="1:21" s="312" customFormat="1" ht="14.1" customHeight="1">
      <c r="A12" s="308">
        <v>8</v>
      </c>
      <c r="B12" s="309" t="s">
        <v>609</v>
      </c>
      <c r="C12" s="309" t="s">
        <v>3994</v>
      </c>
      <c r="D12" s="308" t="s">
        <v>944</v>
      </c>
      <c r="E12" s="309" t="s">
        <v>945</v>
      </c>
      <c r="F12" s="308" t="s">
        <v>26</v>
      </c>
      <c r="G12" s="309" t="s">
        <v>4012</v>
      </c>
      <c r="H12" s="308" t="s">
        <v>3999</v>
      </c>
      <c r="I12" s="309" t="s">
        <v>4013</v>
      </c>
      <c r="J12" s="308">
        <v>1</v>
      </c>
      <c r="K12" s="308"/>
      <c r="L12" s="308" t="s">
        <v>322</v>
      </c>
      <c r="M12" s="308"/>
      <c r="N12" s="308">
        <v>20</v>
      </c>
      <c r="O12" s="308">
        <v>7</v>
      </c>
      <c r="P12" s="308"/>
      <c r="Q12" s="310"/>
      <c r="R12" s="319">
        <v>1698.9160846771699</v>
      </c>
      <c r="S12" s="310"/>
      <c r="T12" s="309"/>
      <c r="U12" s="311"/>
    </row>
    <row r="13" spans="1:21" s="312" customFormat="1" ht="14.1" customHeight="1">
      <c r="A13" s="308">
        <v>9</v>
      </c>
      <c r="B13" s="309" t="s">
        <v>609</v>
      </c>
      <c r="C13" s="309" t="s">
        <v>3994</v>
      </c>
      <c r="D13" s="308" t="s">
        <v>944</v>
      </c>
      <c r="E13" s="309" t="s">
        <v>945</v>
      </c>
      <c r="F13" s="308" t="s">
        <v>26</v>
      </c>
      <c r="G13" s="309" t="s">
        <v>4014</v>
      </c>
      <c r="H13" s="308" t="s">
        <v>3999</v>
      </c>
      <c r="I13" s="309" t="s">
        <v>4015</v>
      </c>
      <c r="J13" s="308" t="s">
        <v>123</v>
      </c>
      <c r="K13" s="308"/>
      <c r="L13" s="308" t="s">
        <v>32</v>
      </c>
      <c r="M13" s="308"/>
      <c r="N13" s="308">
        <v>20</v>
      </c>
      <c r="O13" s="308">
        <v>7</v>
      </c>
      <c r="P13" s="308"/>
      <c r="Q13" s="310"/>
      <c r="R13" s="319">
        <v>6512.5116579291516</v>
      </c>
      <c r="S13" s="310"/>
      <c r="T13" s="309"/>
      <c r="U13" s="311"/>
    </row>
    <row r="14" spans="1:21" ht="14.1" customHeight="1"/>
    <row r="15" spans="1:21" ht="14.1" customHeight="1"/>
    <row r="16" spans="1:21" ht="14.1" customHeight="1"/>
    <row r="17" ht="14.1" customHeight="1"/>
    <row r="18" ht="14.1" customHeight="1"/>
    <row r="19" ht="14.1" customHeight="1"/>
    <row r="20" ht="14.1" customHeight="1"/>
    <row r="21" ht="14.1" customHeight="1"/>
    <row r="22" ht="14.1" customHeight="1"/>
    <row r="23" ht="14.1" customHeight="1"/>
    <row r="24" ht="14.1" customHeight="1"/>
    <row r="25" ht="14.1" customHeight="1"/>
    <row r="26" ht="14.1" customHeight="1"/>
    <row r="27" ht="14.1" customHeight="1"/>
    <row r="28" ht="14.1" customHeight="1"/>
    <row r="29" ht="14.1" customHeight="1"/>
    <row r="30" ht="14.1" customHeight="1"/>
    <row r="31" ht="14.1" customHeight="1"/>
    <row r="32" ht="14.1" customHeight="1"/>
    <row r="33" ht="14.1" customHeight="1"/>
    <row r="34" ht="14.1" customHeight="1"/>
    <row r="35" ht="14.1" customHeight="1"/>
    <row r="36" ht="14.1" customHeight="1"/>
    <row r="37" ht="14.1" customHeight="1"/>
    <row r="38" ht="14.1" customHeight="1"/>
    <row r="39" ht="14.1" customHeight="1"/>
    <row r="40" ht="14.1" customHeight="1"/>
    <row r="41" ht="14.1" customHeight="1"/>
    <row r="42" ht="14.1" customHeight="1"/>
    <row r="43" ht="14.1" customHeight="1"/>
    <row r="44" ht="14.1" customHeight="1"/>
    <row r="45" ht="14.1" customHeight="1"/>
    <row r="46" ht="14.1" customHeight="1"/>
    <row r="47" ht="14.1" customHeight="1"/>
    <row r="48" ht="14.1" customHeight="1"/>
    <row r="49" ht="14.1" customHeight="1"/>
    <row r="50" ht="14.1" customHeight="1"/>
    <row r="51" ht="14.1" customHeight="1"/>
    <row r="52" ht="14.1" customHeight="1"/>
    <row r="53" ht="14.1" customHeight="1"/>
    <row r="54" ht="14.1" customHeight="1"/>
    <row r="55" ht="14.1" customHeight="1"/>
    <row r="56" ht="14.1" customHeight="1"/>
    <row r="57" ht="14.1" customHeight="1"/>
    <row r="58" ht="14.1" customHeight="1"/>
    <row r="59" ht="14.1" customHeight="1"/>
    <row r="60" ht="14.1" customHeight="1"/>
    <row r="61" ht="14.1" customHeight="1"/>
    <row r="62" ht="14.1" customHeight="1"/>
    <row r="63" ht="14.1" customHeight="1"/>
    <row r="64" ht="14.1" customHeight="1"/>
    <row r="65" ht="14.1" customHeight="1"/>
    <row r="66" ht="14.1" customHeight="1"/>
    <row r="67" ht="14.1" customHeight="1"/>
    <row r="68" ht="14.1" customHeight="1"/>
    <row r="69" ht="14.1" customHeight="1"/>
    <row r="70" ht="14.1" customHeight="1"/>
    <row r="71" ht="14.1" customHeight="1"/>
    <row r="72" ht="14.1" customHeight="1"/>
    <row r="73" ht="14.1" customHeight="1"/>
    <row r="74" ht="14.1" customHeight="1"/>
    <row r="75" ht="14.1" customHeight="1"/>
    <row r="76" ht="14.1" customHeight="1"/>
    <row r="77" ht="14.1" customHeight="1"/>
    <row r="78" ht="14.1" customHeight="1"/>
    <row r="79" ht="14.1" customHeight="1"/>
    <row r="80" ht="14.1" customHeight="1"/>
    <row r="81" ht="14.1" customHeight="1"/>
    <row r="82" ht="14.1" customHeight="1"/>
    <row r="83" ht="14.1" customHeight="1"/>
    <row r="84" ht="14.1" customHeight="1"/>
    <row r="85" ht="14.1" customHeight="1"/>
    <row r="86" ht="14.1" customHeight="1"/>
    <row r="87" ht="14.1" customHeight="1"/>
    <row r="88" ht="14.1" customHeight="1"/>
    <row r="89" ht="14.1" customHeight="1"/>
    <row r="90" ht="14.1" customHeight="1"/>
    <row r="91" ht="14.1" customHeight="1"/>
    <row r="92" ht="14.1" customHeight="1"/>
    <row r="93" ht="14.1" customHeight="1"/>
    <row r="94" ht="14.1" customHeight="1"/>
    <row r="95" ht="14.1" customHeight="1"/>
    <row r="96" ht="14.1" customHeight="1"/>
    <row r="97" ht="14.1" customHeight="1"/>
    <row r="98" ht="14.1" customHeight="1"/>
    <row r="99" ht="14.1" customHeight="1"/>
    <row r="100" ht="14.1" customHeight="1"/>
    <row r="101" ht="14.1" customHeight="1"/>
    <row r="102" ht="14.1" customHeight="1"/>
    <row r="103" ht="14.1" customHeight="1"/>
    <row r="104" ht="14.1" customHeight="1"/>
    <row r="105" ht="14.1" customHeight="1"/>
    <row r="106" ht="14.1" customHeight="1"/>
    <row r="107" ht="14.1" customHeight="1"/>
    <row r="108" ht="14.1" customHeight="1"/>
    <row r="109" ht="14.1" customHeight="1"/>
    <row r="110" ht="14.1" customHeight="1"/>
    <row r="111" ht="14.1" customHeight="1"/>
    <row r="112" ht="14.1" customHeight="1"/>
    <row r="113" ht="14.1" customHeight="1"/>
    <row r="114" ht="14.1" customHeight="1"/>
    <row r="115" ht="14.1" customHeight="1"/>
    <row r="116" ht="14.1" customHeight="1"/>
    <row r="117" ht="14.1" customHeight="1"/>
    <row r="118" ht="14.1" customHeight="1"/>
    <row r="119" ht="14.1" customHeight="1"/>
    <row r="120" ht="14.1" customHeight="1"/>
    <row r="121" ht="14.1" customHeight="1"/>
    <row r="122" ht="14.1" customHeight="1"/>
    <row r="123" ht="14.1" customHeight="1"/>
    <row r="124" ht="14.1" customHeight="1"/>
    <row r="125" ht="14.1" customHeight="1"/>
    <row r="126" ht="14.1" customHeight="1"/>
    <row r="127" ht="14.1" customHeight="1"/>
    <row r="128" ht="14.1" customHeight="1"/>
    <row r="129" ht="14.1" customHeight="1"/>
    <row r="130" ht="14.1" customHeight="1"/>
    <row r="131" ht="14.1" customHeight="1"/>
    <row r="132" ht="14.1" customHeight="1"/>
    <row r="133" ht="14.1" customHeight="1"/>
    <row r="134" ht="14.1" customHeight="1"/>
    <row r="135" ht="14.1" customHeight="1"/>
    <row r="136" ht="14.1" customHeight="1"/>
    <row r="137" ht="14.1" customHeight="1"/>
    <row r="138" ht="14.1" customHeight="1"/>
    <row r="139" ht="14.1" customHeight="1"/>
    <row r="140" ht="14.1" customHeight="1"/>
    <row r="141" ht="14.1" customHeight="1"/>
    <row r="142" ht="14.1" customHeight="1"/>
    <row r="143" ht="14.1" customHeight="1"/>
    <row r="144" ht="14.1" customHeight="1"/>
    <row r="145" ht="14.1" customHeight="1"/>
    <row r="146" ht="14.1" customHeight="1"/>
    <row r="147" ht="14.1" customHeight="1"/>
    <row r="148" ht="14.1" customHeight="1"/>
    <row r="149" ht="14.1" customHeight="1"/>
    <row r="150" ht="14.1" customHeight="1"/>
    <row r="151" ht="14.1" customHeight="1"/>
    <row r="152" ht="14.1" customHeight="1"/>
    <row r="153" ht="14.1" customHeight="1"/>
    <row r="154" ht="14.1" customHeight="1"/>
    <row r="155" ht="14.1" customHeight="1"/>
    <row r="156" ht="14.1" customHeight="1"/>
    <row r="157" ht="14.1" customHeight="1"/>
    <row r="158" ht="14.1" customHeight="1"/>
    <row r="159" ht="14.1" customHeight="1"/>
    <row r="160" ht="14.1" customHeight="1"/>
    <row r="161" ht="14.1" customHeight="1"/>
    <row r="162" ht="14.1" customHeight="1"/>
    <row r="163" ht="14.1" customHeight="1"/>
    <row r="164" ht="14.1" customHeight="1"/>
    <row r="165" ht="14.1" customHeight="1"/>
    <row r="166" ht="14.1" customHeight="1"/>
    <row r="167" ht="14.1" customHeight="1"/>
    <row r="168" ht="14.1" customHeight="1"/>
    <row r="169" ht="14.1" customHeight="1"/>
    <row r="170" ht="14.1" customHeight="1"/>
    <row r="171" ht="14.1" customHeight="1"/>
    <row r="172" ht="14.1" customHeight="1"/>
    <row r="173" ht="14.1" customHeight="1"/>
    <row r="174" ht="14.1" customHeight="1"/>
    <row r="175" ht="14.1" customHeight="1"/>
    <row r="176" ht="14.1" customHeight="1"/>
    <row r="177" ht="14.1" customHeight="1"/>
    <row r="178" ht="14.1" customHeight="1"/>
    <row r="179" ht="14.1" customHeight="1"/>
    <row r="180" ht="14.1" customHeight="1"/>
    <row r="181" ht="14.1" customHeight="1"/>
    <row r="182" ht="14.1" customHeight="1"/>
    <row r="183" ht="14.1" customHeight="1"/>
    <row r="184" ht="14.1" customHeight="1"/>
    <row r="185" ht="14.1" customHeight="1"/>
    <row r="186" ht="14.1" customHeight="1"/>
    <row r="187" ht="14.1" customHeight="1"/>
    <row r="188" ht="14.1" customHeight="1"/>
    <row r="189" ht="14.1" customHeight="1"/>
    <row r="190" ht="14.1" customHeight="1"/>
    <row r="191" ht="14.1" customHeight="1"/>
    <row r="192" ht="14.1" customHeight="1"/>
    <row r="193" ht="14.1" customHeight="1"/>
    <row r="194" ht="14.1" customHeight="1"/>
    <row r="195" ht="14.1" customHeight="1"/>
    <row r="196" ht="14.1" customHeight="1"/>
    <row r="197" ht="14.1" customHeight="1"/>
    <row r="198" ht="14.1" customHeight="1"/>
    <row r="199" ht="14.1" customHeight="1"/>
    <row r="200" ht="14.1" customHeight="1"/>
    <row r="201" ht="14.1" customHeight="1"/>
    <row r="202" ht="14.1" customHeight="1"/>
    <row r="203" ht="14.1" customHeight="1"/>
    <row r="204" ht="14.1" customHeight="1"/>
    <row r="205" ht="14.1" customHeight="1"/>
    <row r="206" ht="14.1" customHeight="1"/>
    <row r="207" ht="14.1" customHeight="1"/>
    <row r="208" ht="14.1" customHeight="1"/>
    <row r="209" ht="14.1" customHeight="1"/>
    <row r="210" ht="14.1" customHeight="1"/>
    <row r="211" ht="14.1" customHeight="1"/>
    <row r="212" ht="14.1" customHeight="1"/>
    <row r="213" ht="14.1" customHeight="1"/>
    <row r="214" ht="14.1" customHeight="1"/>
    <row r="215" ht="14.1" customHeight="1"/>
    <row r="216" ht="14.1" customHeight="1"/>
    <row r="217" ht="14.1" customHeight="1"/>
    <row r="218" ht="14.1" customHeight="1"/>
    <row r="219" ht="14.1" customHeight="1"/>
    <row r="220" ht="14.1" customHeight="1"/>
    <row r="221" ht="14.1" customHeight="1"/>
    <row r="222" ht="14.1" customHeight="1"/>
    <row r="223" ht="14.1" customHeight="1"/>
    <row r="224" ht="14.1" customHeight="1"/>
    <row r="225" ht="14.1" customHeight="1"/>
    <row r="226" ht="14.1" customHeight="1"/>
    <row r="227" ht="14.1" customHeight="1"/>
    <row r="228" ht="14.1" customHeight="1"/>
    <row r="229" ht="14.1" customHeight="1"/>
    <row r="230" ht="14.1" customHeight="1"/>
    <row r="231" ht="14.1" customHeight="1"/>
    <row r="232" ht="14.1" customHeight="1"/>
    <row r="233" ht="14.1" customHeight="1"/>
    <row r="234" ht="14.1" customHeight="1"/>
    <row r="235" ht="14.1" customHeight="1"/>
    <row r="236" ht="14.1" customHeight="1"/>
    <row r="237" ht="14.1" customHeight="1"/>
    <row r="238" ht="14.1" customHeight="1"/>
    <row r="239" ht="14.1" customHeight="1"/>
    <row r="240" ht="14.1" customHeight="1"/>
    <row r="241" ht="14.1" customHeight="1"/>
    <row r="242" ht="14.1" customHeight="1"/>
    <row r="243" ht="14.1" customHeight="1"/>
    <row r="244" ht="14.1" customHeight="1"/>
    <row r="245" ht="14.1" customHeight="1"/>
    <row r="246" ht="14.1" customHeight="1"/>
    <row r="247" ht="14.1" customHeight="1"/>
    <row r="248" ht="14.1" customHeight="1"/>
    <row r="249" ht="14.1" customHeight="1"/>
    <row r="250" ht="14.1" customHeight="1"/>
    <row r="251" ht="14.1" customHeight="1"/>
    <row r="252" ht="14.1" customHeight="1"/>
    <row r="253" ht="14.1" customHeight="1"/>
    <row r="254" ht="14.1" customHeight="1"/>
    <row r="255" ht="14.1" customHeight="1"/>
    <row r="256" ht="14.1" customHeight="1"/>
    <row r="257" ht="14.1" customHeight="1"/>
    <row r="258" ht="14.1" customHeight="1"/>
    <row r="259" ht="14.1" customHeight="1"/>
    <row r="260" ht="14.1" customHeight="1"/>
    <row r="261" ht="14.1" customHeight="1"/>
    <row r="262" ht="14.1" customHeight="1"/>
    <row r="263" ht="14.1" customHeight="1"/>
    <row r="264" ht="14.1" customHeight="1"/>
    <row r="265" ht="14.1" customHeight="1"/>
    <row r="266" ht="14.1" customHeight="1"/>
    <row r="267" ht="14.1" customHeight="1"/>
    <row r="268" ht="14.1" customHeight="1"/>
    <row r="269" ht="14.1" customHeight="1"/>
    <row r="270" ht="14.1" customHeight="1"/>
    <row r="271" ht="14.1" customHeight="1"/>
    <row r="272" ht="14.1" customHeight="1"/>
    <row r="273" ht="14.1" customHeight="1"/>
    <row r="274" ht="14.1" customHeight="1"/>
    <row r="275" ht="14.1" customHeight="1"/>
    <row r="276" ht="14.1" customHeight="1"/>
    <row r="277" ht="14.1" customHeight="1"/>
    <row r="278" ht="14.1" customHeight="1"/>
    <row r="279" ht="14.1" customHeight="1"/>
    <row r="280" ht="14.1" customHeight="1"/>
    <row r="281" ht="14.1" customHeight="1"/>
    <row r="282" ht="14.1" customHeight="1"/>
    <row r="283" ht="14.1" customHeight="1"/>
    <row r="284" ht="14.1" customHeight="1"/>
    <row r="285" ht="14.1" customHeight="1"/>
    <row r="286" ht="14.1" customHeight="1"/>
    <row r="287" ht="14.1" customHeight="1"/>
    <row r="288" ht="14.1" customHeight="1"/>
    <row r="289" ht="14.1" customHeight="1"/>
    <row r="290" ht="14.1" customHeight="1"/>
    <row r="291" ht="14.1" customHeight="1"/>
    <row r="292" ht="14.1" customHeight="1"/>
    <row r="293" ht="14.1" customHeight="1"/>
    <row r="294" ht="14.1" customHeight="1"/>
    <row r="295" ht="14.1" customHeight="1"/>
    <row r="296" ht="14.1" customHeight="1"/>
    <row r="297" ht="14.1" customHeight="1"/>
    <row r="298" ht="14.1" customHeight="1"/>
    <row r="299" ht="14.1" customHeight="1"/>
    <row r="300" ht="14.1" customHeight="1"/>
    <row r="301" ht="14.1" customHeight="1"/>
    <row r="302" ht="14.1" customHeight="1"/>
    <row r="303" ht="14.1" customHeight="1"/>
    <row r="304" ht="14.1" customHeight="1"/>
    <row r="305" ht="14.1" customHeight="1"/>
    <row r="306" ht="14.1" customHeight="1"/>
    <row r="307" ht="14.1" customHeight="1"/>
    <row r="308" ht="14.1" customHeight="1"/>
    <row r="309" ht="14.1" customHeight="1"/>
    <row r="310" ht="14.1" customHeight="1"/>
    <row r="311" ht="14.1" customHeight="1"/>
    <row r="312" ht="14.1" customHeight="1"/>
    <row r="313" ht="14.1" customHeight="1"/>
    <row r="314" ht="14.1" customHeight="1"/>
    <row r="315" ht="14.1" customHeight="1"/>
    <row r="316" ht="14.1" customHeight="1"/>
    <row r="317" ht="14.1" customHeight="1"/>
    <row r="318" ht="14.1" customHeight="1"/>
    <row r="319" ht="14.1" customHeight="1"/>
    <row r="320" ht="14.1" customHeight="1"/>
    <row r="321" ht="14.1" customHeight="1"/>
    <row r="322" ht="14.1" customHeight="1"/>
    <row r="323" ht="14.1" customHeight="1"/>
    <row r="324" ht="14.1" customHeight="1"/>
    <row r="325" ht="14.1" customHeight="1"/>
    <row r="326" ht="14.1" customHeight="1"/>
    <row r="327" ht="14.1" customHeight="1"/>
    <row r="328" ht="14.1" customHeight="1"/>
    <row r="329" ht="14.1" customHeight="1"/>
    <row r="330" ht="14.1" customHeight="1"/>
    <row r="331" ht="14.1" customHeight="1"/>
    <row r="332" ht="14.1" customHeight="1"/>
    <row r="333" ht="14.1" customHeight="1"/>
    <row r="334" ht="14.1" customHeight="1"/>
    <row r="335" ht="14.1" customHeight="1"/>
    <row r="336" ht="14.1" customHeight="1"/>
    <row r="337" ht="14.1" customHeight="1"/>
    <row r="338" ht="14.1" customHeight="1"/>
    <row r="339" ht="14.1" customHeight="1"/>
    <row r="340" ht="14.1" customHeight="1"/>
    <row r="341" ht="14.1" customHeight="1"/>
    <row r="342" ht="14.1" customHeight="1"/>
    <row r="343" ht="14.1" customHeight="1"/>
    <row r="344" ht="14.1" customHeight="1"/>
    <row r="345" ht="14.1" customHeight="1"/>
    <row r="346" ht="14.1" customHeight="1"/>
    <row r="347" ht="14.1" customHeight="1"/>
    <row r="348" ht="14.1" customHeight="1"/>
    <row r="349" ht="14.1" customHeight="1"/>
    <row r="350" ht="14.1" customHeight="1"/>
    <row r="351" ht="14.1" customHeight="1"/>
    <row r="352" ht="14.1" customHeight="1"/>
    <row r="353" ht="14.1" customHeight="1"/>
    <row r="354" ht="14.1" customHeight="1"/>
    <row r="355" ht="14.1" customHeight="1"/>
    <row r="356" ht="14.1" customHeight="1"/>
    <row r="357" ht="14.1" customHeight="1"/>
    <row r="358" ht="14.1" customHeight="1"/>
    <row r="359" ht="14.1" customHeight="1"/>
    <row r="360" ht="14.1" customHeight="1"/>
    <row r="361" ht="14.1" customHeight="1"/>
    <row r="362" ht="14.1" customHeight="1"/>
    <row r="363" ht="14.1" customHeight="1"/>
    <row r="364" ht="14.1" customHeight="1"/>
    <row r="365" ht="14.1" customHeight="1"/>
    <row r="366" ht="14.1" customHeight="1"/>
    <row r="367" ht="14.1" customHeight="1"/>
    <row r="368" ht="14.1" customHeight="1"/>
    <row r="369" ht="14.1" customHeight="1"/>
    <row r="370" ht="14.1" customHeight="1"/>
    <row r="371" ht="14.1" customHeight="1"/>
    <row r="372" ht="14.1" customHeight="1"/>
    <row r="373" ht="14.1" customHeight="1"/>
    <row r="374" ht="14.1" customHeight="1"/>
    <row r="375" ht="14.1" customHeight="1"/>
    <row r="376" ht="14.1" customHeight="1"/>
    <row r="377" ht="14.1" customHeight="1"/>
    <row r="378" ht="14.1" customHeight="1"/>
    <row r="379" ht="14.1" customHeight="1"/>
    <row r="380" ht="14.1" customHeight="1"/>
    <row r="381" ht="14.1" customHeight="1"/>
    <row r="382" ht="14.1" customHeight="1"/>
    <row r="383" ht="14.1" customHeight="1"/>
    <row r="384" ht="14.1" customHeight="1"/>
    <row r="385" ht="14.1" customHeight="1"/>
    <row r="386" ht="14.1" customHeight="1"/>
    <row r="387" ht="14.1" customHeight="1"/>
    <row r="388" ht="14.1" customHeight="1"/>
    <row r="389" ht="14.1" customHeight="1"/>
    <row r="390" ht="14.1" customHeight="1"/>
    <row r="391" ht="14.1" customHeight="1"/>
    <row r="392" ht="14.1" customHeight="1"/>
    <row r="393" ht="14.1" customHeight="1"/>
    <row r="394" ht="14.1" customHeight="1"/>
    <row r="395" ht="14.1" customHeight="1"/>
    <row r="396" ht="14.1" customHeight="1"/>
    <row r="397" ht="14.1" customHeight="1"/>
    <row r="398" ht="14.1" customHeight="1"/>
    <row r="399" ht="14.1" customHeight="1"/>
    <row r="400" ht="14.1" customHeight="1"/>
    <row r="401" ht="14.1" customHeight="1"/>
    <row r="402" ht="14.1" customHeight="1"/>
    <row r="403" ht="14.1" customHeight="1"/>
    <row r="404" ht="14.1" customHeight="1"/>
    <row r="405" ht="14.1" customHeight="1"/>
    <row r="406" ht="14.1" customHeight="1"/>
    <row r="407" ht="14.1" customHeight="1"/>
    <row r="408" ht="14.1" customHeight="1"/>
    <row r="409" ht="14.1" customHeight="1"/>
    <row r="410" ht="14.1" customHeight="1"/>
    <row r="411" ht="14.1" customHeight="1"/>
    <row r="412" ht="14.1" customHeight="1"/>
    <row r="413" ht="14.1" customHeight="1"/>
    <row r="414" ht="14.1" customHeight="1"/>
    <row r="415" ht="14.1" customHeight="1"/>
    <row r="416" ht="14.1" customHeight="1"/>
    <row r="417" ht="14.1" customHeight="1"/>
    <row r="418" ht="14.1" customHeight="1"/>
    <row r="419" ht="14.1" customHeight="1"/>
    <row r="420" ht="14.1" customHeight="1"/>
    <row r="421" ht="14.1" customHeight="1"/>
    <row r="422" ht="14.1" customHeight="1"/>
    <row r="423" ht="14.1" customHeight="1"/>
    <row r="424" ht="14.1" customHeight="1"/>
    <row r="425" ht="14.1" customHeight="1"/>
    <row r="426" ht="14.1" customHeight="1"/>
    <row r="427" ht="14.1" customHeight="1"/>
    <row r="428" ht="14.1" customHeight="1"/>
    <row r="429" ht="14.1" customHeight="1"/>
    <row r="430" ht="14.1" customHeight="1"/>
    <row r="431" ht="14.1" customHeight="1"/>
    <row r="432" ht="14.1" customHeight="1"/>
    <row r="433" ht="14.1" customHeight="1"/>
    <row r="434" ht="14.1" customHeight="1"/>
    <row r="435" ht="14.1" customHeight="1"/>
    <row r="436" ht="14.1" customHeight="1"/>
    <row r="437" ht="14.1" customHeight="1"/>
    <row r="438" ht="14.1" customHeight="1"/>
    <row r="439" ht="14.1" customHeight="1"/>
    <row r="440" ht="14.1" customHeight="1"/>
    <row r="441" ht="14.1" customHeight="1"/>
    <row r="442" ht="14.1" customHeight="1"/>
    <row r="443" ht="14.1" customHeight="1"/>
    <row r="444" ht="14.1" customHeight="1"/>
    <row r="445" ht="14.1" customHeight="1"/>
    <row r="446" ht="14.1" customHeight="1"/>
    <row r="447" ht="14.1" customHeight="1"/>
    <row r="448" ht="14.1" customHeight="1"/>
    <row r="449" ht="14.1" customHeight="1"/>
    <row r="450" ht="14.1" customHeight="1"/>
    <row r="451" ht="14.1" customHeight="1"/>
    <row r="452" ht="14.1" customHeight="1"/>
    <row r="453" ht="14.1" customHeight="1"/>
    <row r="454" ht="14.1" customHeight="1"/>
    <row r="455" ht="14.1" customHeight="1"/>
    <row r="456" ht="14.1" customHeight="1"/>
    <row r="457" ht="14.1" customHeight="1"/>
    <row r="458" ht="14.1" customHeight="1"/>
    <row r="459" ht="14.1" customHeight="1"/>
    <row r="460" ht="14.1" customHeight="1"/>
    <row r="461" ht="14.1" customHeight="1"/>
    <row r="462" ht="14.1" customHeight="1"/>
    <row r="463" ht="14.1" customHeight="1"/>
    <row r="464" ht="14.1" customHeight="1"/>
    <row r="465" ht="14.1" customHeight="1"/>
    <row r="466" ht="14.1" customHeight="1"/>
    <row r="467" ht="14.1" customHeight="1"/>
    <row r="468" ht="14.1" customHeight="1"/>
    <row r="469" ht="14.1" customHeight="1"/>
    <row r="470" ht="14.1" customHeight="1"/>
    <row r="471" ht="14.1" customHeight="1"/>
    <row r="472" ht="14.1" customHeight="1"/>
    <row r="473" ht="14.1" customHeight="1"/>
    <row r="474" ht="14.1" customHeight="1"/>
    <row r="475" ht="14.1" customHeight="1"/>
    <row r="476" ht="14.1" customHeight="1"/>
    <row r="477" ht="14.1" customHeight="1"/>
    <row r="478" ht="14.1" customHeight="1"/>
    <row r="479" ht="14.1" customHeight="1"/>
    <row r="480" ht="14.1" customHeight="1"/>
    <row r="481" ht="14.1" customHeight="1"/>
    <row r="482" ht="14.1" customHeight="1"/>
    <row r="483" ht="14.1" customHeight="1"/>
    <row r="484" ht="14.1" customHeight="1"/>
    <row r="485" ht="14.1" customHeight="1"/>
    <row r="486" ht="14.1" customHeight="1"/>
    <row r="487" ht="14.1" customHeight="1"/>
    <row r="488" ht="14.1" customHeight="1"/>
    <row r="489" ht="14.1" customHeight="1"/>
    <row r="490" ht="14.1" customHeight="1"/>
    <row r="491" ht="14.1" customHeight="1"/>
    <row r="492" ht="14.1" customHeight="1"/>
    <row r="493" ht="14.1" customHeight="1"/>
    <row r="494" ht="14.1" customHeight="1"/>
    <row r="495" ht="14.1" customHeight="1"/>
    <row r="496" ht="14.1" customHeight="1"/>
    <row r="497" ht="14.1" customHeight="1"/>
    <row r="498" ht="14.1" customHeight="1"/>
    <row r="499" ht="14.1" customHeight="1"/>
    <row r="500" ht="14.1" customHeight="1"/>
    <row r="501" ht="14.1" customHeight="1"/>
    <row r="502" ht="14.1" customHeight="1"/>
    <row r="503" ht="14.1" customHeight="1"/>
    <row r="504" ht="14.1" customHeight="1"/>
    <row r="505" ht="14.1" customHeight="1"/>
    <row r="506" ht="14.1" customHeight="1"/>
    <row r="507" ht="14.1" customHeight="1"/>
    <row r="508" ht="14.1" customHeight="1"/>
    <row r="509" ht="14.1" customHeight="1"/>
    <row r="510" ht="14.1" customHeight="1"/>
    <row r="511" ht="14.1" customHeight="1"/>
    <row r="512" ht="14.1" customHeight="1"/>
    <row r="513" ht="14.1" customHeight="1"/>
    <row r="514" ht="14.1" customHeight="1"/>
    <row r="515" ht="14.1" customHeight="1"/>
    <row r="516" ht="14.1" customHeight="1"/>
    <row r="517" ht="14.1" customHeight="1"/>
    <row r="518" ht="14.1" customHeight="1"/>
    <row r="519" ht="14.1" customHeight="1"/>
    <row r="520" ht="14.1" customHeight="1"/>
    <row r="521" ht="14.1" customHeight="1"/>
    <row r="522" ht="14.1" customHeight="1"/>
    <row r="523" ht="14.1" customHeight="1"/>
    <row r="524" ht="14.1" customHeight="1"/>
    <row r="525" ht="14.1" customHeight="1"/>
    <row r="526" ht="14.1" customHeight="1"/>
    <row r="527" ht="14.1" customHeight="1"/>
    <row r="528" ht="14.1" customHeight="1"/>
    <row r="529" ht="14.1" customHeight="1"/>
    <row r="530" ht="14.1" customHeight="1"/>
    <row r="531" ht="14.1" customHeight="1"/>
    <row r="532" ht="14.1" customHeight="1"/>
    <row r="533" ht="14.1" customHeight="1"/>
    <row r="534" ht="14.1" customHeight="1"/>
    <row r="535" ht="14.1" customHeight="1"/>
    <row r="536" ht="14.1" customHeight="1"/>
    <row r="537" ht="14.1" customHeight="1"/>
    <row r="538" ht="14.1" customHeight="1"/>
    <row r="539" ht="14.1" customHeight="1"/>
    <row r="540" ht="14.1" customHeight="1"/>
    <row r="541" ht="14.1" customHeight="1"/>
    <row r="542" ht="14.1" customHeight="1"/>
    <row r="543" ht="14.1" customHeight="1"/>
    <row r="544" ht="14.1" customHeight="1"/>
    <row r="545" ht="14.1" customHeight="1"/>
    <row r="546" ht="14.1" customHeight="1"/>
    <row r="547" ht="14.1" customHeight="1"/>
    <row r="548" ht="14.1" customHeight="1"/>
    <row r="549" ht="14.1" customHeight="1"/>
    <row r="550" ht="14.1" customHeight="1"/>
    <row r="551" ht="14.1" customHeight="1"/>
    <row r="552" ht="14.1" customHeight="1"/>
    <row r="553" ht="14.1" customHeight="1"/>
    <row r="554" ht="14.1" customHeight="1"/>
    <row r="555" ht="14.1" customHeight="1"/>
    <row r="556" ht="14.1" customHeight="1"/>
    <row r="557" ht="14.1" customHeight="1"/>
    <row r="558" ht="14.1" customHeight="1"/>
    <row r="559" ht="14.1" customHeight="1"/>
    <row r="560" ht="14.1" customHeight="1"/>
    <row r="561" ht="14.1" customHeight="1"/>
    <row r="562" ht="14.1" customHeight="1"/>
    <row r="563" ht="14.1" customHeight="1"/>
    <row r="564" ht="14.1" customHeight="1"/>
    <row r="565" ht="14.1" customHeight="1"/>
    <row r="566" ht="14.1" customHeight="1"/>
    <row r="567" ht="14.1" customHeight="1"/>
    <row r="568" ht="14.1" customHeight="1"/>
    <row r="569" ht="14.1" customHeight="1"/>
    <row r="570" ht="14.1" customHeight="1"/>
    <row r="571" ht="14.1" customHeight="1"/>
    <row r="572" ht="14.1" customHeight="1"/>
    <row r="573" ht="14.1" customHeight="1"/>
    <row r="574" ht="14.1" customHeight="1"/>
    <row r="575" ht="14.1" customHeight="1"/>
    <row r="576" ht="14.1" customHeight="1"/>
    <row r="577" ht="14.1" customHeight="1"/>
    <row r="578" ht="14.1" customHeight="1"/>
    <row r="579" ht="14.1" customHeight="1"/>
    <row r="580" ht="14.1" customHeight="1"/>
    <row r="581" ht="14.1" customHeight="1"/>
    <row r="582" ht="14.1" customHeight="1"/>
    <row r="583" ht="14.1" customHeight="1"/>
    <row r="584" ht="14.1" customHeight="1"/>
    <row r="585" ht="14.1" customHeight="1"/>
    <row r="586" ht="14.1" customHeight="1"/>
    <row r="587" ht="14.1" customHeight="1"/>
    <row r="588" ht="14.1" customHeight="1"/>
    <row r="589" ht="14.1" customHeight="1"/>
    <row r="590" ht="14.1" customHeight="1"/>
    <row r="591" ht="14.1" customHeight="1"/>
    <row r="592" ht="14.1" customHeight="1"/>
    <row r="593" ht="14.1" customHeight="1"/>
    <row r="594" ht="14.1" customHeight="1"/>
    <row r="595" ht="14.1" customHeight="1"/>
    <row r="596" ht="14.1" customHeight="1"/>
    <row r="597" ht="14.1" customHeight="1"/>
    <row r="598" ht="14.1" customHeight="1"/>
    <row r="599" ht="14.1" customHeight="1"/>
    <row r="600" ht="14.1" customHeight="1"/>
    <row r="601" ht="14.1" customHeight="1"/>
    <row r="602" ht="14.1" customHeight="1"/>
    <row r="603" ht="14.1" customHeight="1"/>
    <row r="604" ht="14.1" customHeight="1"/>
    <row r="605" ht="14.1" customHeight="1"/>
    <row r="606" ht="14.1" customHeight="1"/>
    <row r="607" ht="14.1" customHeight="1"/>
    <row r="608" ht="14.1" customHeight="1"/>
    <row r="609" ht="14.1" customHeight="1"/>
    <row r="610" ht="14.1" customHeight="1"/>
    <row r="611" ht="14.1" customHeight="1"/>
    <row r="612" ht="14.1" customHeight="1"/>
    <row r="613" ht="14.1" customHeight="1"/>
    <row r="614" ht="14.1" customHeight="1"/>
    <row r="615" ht="14.1" customHeight="1"/>
    <row r="616" ht="14.1" customHeight="1"/>
    <row r="617" ht="14.1" customHeight="1"/>
    <row r="618" ht="14.1" customHeight="1"/>
    <row r="619" ht="14.1" customHeight="1"/>
    <row r="620" ht="14.1" customHeight="1"/>
    <row r="621" ht="14.1" customHeight="1"/>
    <row r="622" ht="14.1" customHeight="1"/>
    <row r="623" ht="14.1" customHeight="1"/>
    <row r="624" ht="14.1" customHeight="1"/>
    <row r="625" ht="14.1" customHeight="1"/>
    <row r="626" ht="14.1" customHeight="1"/>
    <row r="627" ht="14.1" customHeight="1"/>
    <row r="628" ht="14.1" customHeight="1"/>
    <row r="629" ht="14.1" customHeight="1"/>
    <row r="630" ht="14.1" customHeight="1"/>
    <row r="631" ht="14.1" customHeight="1"/>
    <row r="632" ht="14.1" customHeight="1"/>
    <row r="633" ht="14.1" customHeight="1"/>
    <row r="634" ht="14.1" customHeight="1"/>
    <row r="635" ht="14.1" customHeight="1"/>
    <row r="636" ht="14.1" customHeight="1"/>
    <row r="637" ht="14.1" customHeight="1"/>
    <row r="638" ht="14.1" customHeight="1"/>
    <row r="639" ht="14.1" customHeight="1"/>
    <row r="640" ht="14.1" customHeight="1"/>
    <row r="641" ht="14.1" customHeight="1"/>
    <row r="642" ht="14.1" customHeight="1"/>
    <row r="643" ht="14.1" customHeight="1"/>
    <row r="644" ht="14.1" customHeight="1"/>
    <row r="645" ht="14.1" customHeight="1"/>
    <row r="646" ht="14.1" customHeight="1"/>
    <row r="647" ht="14.1" customHeight="1"/>
    <row r="648" ht="14.1" customHeight="1"/>
    <row r="649" ht="14.1" customHeight="1"/>
    <row r="650" ht="14.1" customHeight="1"/>
    <row r="651" ht="14.1" customHeight="1"/>
    <row r="652" ht="14.1" customHeight="1"/>
    <row r="653" ht="14.1" customHeight="1"/>
    <row r="654" ht="14.1" customHeight="1"/>
    <row r="655" ht="14.1" customHeight="1"/>
    <row r="656" ht="14.1" customHeight="1"/>
    <row r="657" ht="14.1" customHeight="1"/>
    <row r="658" ht="14.1" customHeight="1"/>
    <row r="659" ht="14.1" customHeight="1"/>
    <row r="660" ht="14.1" customHeight="1"/>
    <row r="661" ht="14.1" customHeight="1"/>
    <row r="662" ht="14.1" customHeight="1"/>
    <row r="663" ht="14.1" customHeight="1"/>
    <row r="664" ht="14.1" customHeight="1"/>
    <row r="665" ht="14.1" customHeight="1"/>
    <row r="666" ht="14.1" customHeight="1"/>
    <row r="667" ht="14.1" customHeight="1"/>
    <row r="668" ht="14.1" customHeight="1"/>
    <row r="669" ht="14.1" customHeight="1"/>
    <row r="670" ht="14.1" customHeight="1"/>
    <row r="671" ht="14.1" customHeight="1"/>
    <row r="672" ht="14.1" customHeight="1"/>
    <row r="673" ht="14.1" customHeight="1"/>
    <row r="674" ht="14.1" customHeight="1"/>
    <row r="675" ht="14.1" customHeight="1"/>
    <row r="676" ht="14.1" customHeight="1"/>
    <row r="677" ht="14.1" customHeight="1"/>
    <row r="678" ht="14.1" customHeight="1"/>
    <row r="679" ht="14.1" customHeight="1"/>
    <row r="680" ht="14.1" customHeight="1"/>
    <row r="681" ht="14.1" customHeight="1"/>
    <row r="682" ht="14.1" customHeight="1"/>
    <row r="683" ht="14.1" customHeight="1"/>
    <row r="684" ht="14.1" customHeight="1"/>
    <row r="685" ht="14.1" customHeight="1"/>
    <row r="686" ht="14.1" customHeight="1"/>
    <row r="687" ht="14.1" customHeight="1"/>
    <row r="688" ht="14.1" customHeight="1"/>
    <row r="689" ht="14.1" customHeight="1"/>
    <row r="690" ht="14.1" customHeight="1"/>
    <row r="691" ht="14.1" customHeight="1"/>
    <row r="692" ht="14.1" customHeight="1"/>
    <row r="693" ht="14.1" customHeight="1"/>
    <row r="694" ht="14.1" customHeight="1"/>
    <row r="695" ht="14.1" customHeight="1"/>
    <row r="696" ht="14.1" customHeight="1"/>
    <row r="697" ht="14.1" customHeight="1"/>
    <row r="698" ht="14.1" customHeight="1"/>
    <row r="699" ht="14.1" customHeight="1"/>
    <row r="700" ht="14.1" customHeight="1"/>
    <row r="701" ht="14.1" customHeight="1"/>
    <row r="702" ht="14.1" customHeight="1"/>
    <row r="703" ht="14.1" customHeight="1"/>
    <row r="704" ht="14.1" customHeight="1"/>
    <row r="705" ht="14.1" customHeight="1"/>
    <row r="706" ht="14.1" customHeight="1"/>
    <row r="707" ht="14.1" customHeight="1"/>
    <row r="708" ht="14.1" customHeight="1"/>
    <row r="709" ht="14.1" customHeight="1"/>
    <row r="710" ht="14.1" customHeight="1"/>
    <row r="711" ht="14.1" customHeight="1"/>
    <row r="712" ht="14.1" customHeight="1"/>
    <row r="713" ht="14.1" customHeight="1"/>
    <row r="714" ht="14.1" customHeight="1"/>
    <row r="715" ht="14.1" customHeight="1"/>
    <row r="716" ht="14.1" customHeight="1"/>
    <row r="717" ht="14.1" customHeight="1"/>
    <row r="718" ht="14.1" customHeight="1"/>
    <row r="719" ht="14.1" customHeight="1"/>
    <row r="720" ht="14.1" customHeight="1"/>
    <row r="721" ht="14.1" customHeight="1"/>
    <row r="722" ht="14.1" customHeight="1"/>
    <row r="723" ht="14.1" customHeight="1"/>
    <row r="724" ht="14.1" customHeight="1"/>
    <row r="725" ht="14.1" customHeight="1"/>
    <row r="726" ht="14.1" customHeight="1"/>
    <row r="727" ht="14.1" customHeight="1"/>
    <row r="728" ht="14.1" customHeight="1"/>
    <row r="729" ht="14.1" customHeight="1"/>
    <row r="730" ht="14.1" customHeight="1"/>
    <row r="731" ht="14.1" customHeight="1"/>
    <row r="732" ht="14.1" customHeight="1"/>
    <row r="733" ht="14.1" customHeight="1"/>
    <row r="734" ht="14.1" customHeight="1"/>
    <row r="735" ht="14.1" customHeight="1"/>
    <row r="736" ht="14.1" customHeight="1"/>
    <row r="737" ht="14.1" customHeight="1"/>
    <row r="738" ht="14.1" customHeight="1"/>
    <row r="739" ht="14.1" customHeight="1"/>
    <row r="740" ht="14.1" customHeight="1"/>
    <row r="741" ht="14.1" customHeight="1"/>
    <row r="742" ht="14.1" customHeight="1"/>
    <row r="743" ht="14.1" customHeight="1"/>
    <row r="744" ht="14.1" customHeight="1"/>
    <row r="745" ht="14.1" customHeight="1"/>
    <row r="746" ht="14.1" customHeight="1"/>
    <row r="747" ht="14.1" customHeight="1"/>
    <row r="748" ht="14.1" customHeight="1"/>
    <row r="749" ht="14.1" customHeight="1"/>
    <row r="750" ht="14.1" customHeight="1"/>
    <row r="751" ht="14.1" customHeight="1"/>
    <row r="752" ht="14.1" customHeight="1"/>
    <row r="753" ht="14.1" customHeight="1"/>
    <row r="754" ht="14.1" customHeight="1"/>
    <row r="755" ht="14.1" customHeight="1"/>
    <row r="756" ht="14.1" customHeight="1"/>
    <row r="757" ht="14.1" customHeight="1"/>
    <row r="758" ht="14.1" customHeight="1"/>
    <row r="759" ht="14.1" customHeight="1"/>
    <row r="760" ht="14.1" customHeight="1"/>
    <row r="761" ht="14.1" customHeight="1"/>
    <row r="762" ht="14.1" customHeight="1"/>
    <row r="763" ht="14.1" customHeight="1"/>
    <row r="764" ht="14.1" customHeight="1"/>
    <row r="765" ht="14.1" customHeight="1"/>
    <row r="766" ht="14.1" customHeight="1"/>
    <row r="767" ht="14.1" customHeight="1"/>
    <row r="768" ht="14.1" customHeight="1"/>
    <row r="769" ht="14.1" customHeight="1"/>
    <row r="770" ht="14.1" customHeight="1"/>
    <row r="771" ht="14.1" customHeight="1"/>
    <row r="772" ht="14.1" customHeight="1"/>
    <row r="773" ht="14.1" customHeight="1"/>
    <row r="774" ht="14.1" customHeight="1"/>
    <row r="775" ht="14.1" customHeight="1"/>
    <row r="776" ht="14.1" customHeight="1"/>
    <row r="777" ht="14.1" customHeight="1"/>
    <row r="778" ht="14.1" customHeight="1"/>
    <row r="779" ht="14.1" customHeight="1"/>
    <row r="780" ht="14.1" customHeight="1"/>
    <row r="781" ht="14.1" customHeight="1"/>
    <row r="782" ht="14.1" customHeight="1"/>
    <row r="783" ht="14.1" customHeight="1"/>
    <row r="784" ht="14.1" customHeight="1"/>
    <row r="785" ht="14.1" customHeight="1"/>
    <row r="786" ht="14.1" customHeight="1"/>
    <row r="787" ht="14.1" customHeight="1"/>
    <row r="788" ht="14.1" customHeight="1"/>
    <row r="789" ht="14.1" customHeight="1"/>
    <row r="790" ht="14.1" customHeight="1"/>
    <row r="791" ht="14.1" customHeight="1"/>
    <row r="792" ht="14.1" customHeight="1"/>
    <row r="793" ht="14.1" customHeight="1"/>
  </sheetData>
  <pageMargins left="0.7" right="0.7" top="0.75" bottom="0.75" header="0.3" footer="0.3"/>
  <pageSetup paperSize="9" orientation="portrait"/>
  <headerFooter>
    <oddFooter>&amp;L&amp;"Arial"&amp;7 &amp;KDAD4CE_x000D_# Public_x000D_&amp;1#&amp;"Arial"&amp;7&amp;KDAD4CE Public</oddFooter>
  </headerFooter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B00-000000000000}">
  <sheetPr codeName="Sheet38">
    <tabColor rgb="FF0070C0"/>
  </sheetPr>
  <dimension ref="A1:U793"/>
  <sheetViews>
    <sheetView zoomScale="80" zoomScaleNormal="80" workbookViewId="0">
      <selection activeCell="A16" sqref="A16"/>
    </sheetView>
  </sheetViews>
  <sheetFormatPr defaultColWidth="8.85546875" defaultRowHeight="14.25"/>
  <cols>
    <col min="1" max="1" width="4.140625" style="43" customWidth="1"/>
    <col min="2" max="3" width="8.5703125" style="22" customWidth="1"/>
    <col min="4" max="4" width="14.5703125" style="43" customWidth="1"/>
    <col min="5" max="5" width="20.5703125" style="22" customWidth="1"/>
    <col min="6" max="6" width="8.5703125" style="43" customWidth="1"/>
    <col min="7" max="7" width="32.5703125" style="22" customWidth="1"/>
    <col min="8" max="8" width="18.5703125" style="43" customWidth="1"/>
    <col min="9" max="9" width="62.5703125" style="22" customWidth="1"/>
    <col min="10" max="12" width="9.5703125" style="43" customWidth="1"/>
    <col min="13" max="13" width="10.5703125" style="43" customWidth="1"/>
    <col min="14" max="14" width="8.5703125" style="43" customWidth="1"/>
    <col min="15" max="15" width="10.5703125" style="43" customWidth="1"/>
    <col min="16" max="16" width="5.5703125" style="43" customWidth="1"/>
    <col min="17" max="17" width="1.5703125" style="22" customWidth="1"/>
    <col min="18" max="18" width="10.5703125" style="68" customWidth="1"/>
    <col min="19" max="19" width="1.5703125" style="22" customWidth="1"/>
    <col min="20" max="21" width="10.5703125" style="22" customWidth="1"/>
    <col min="22" max="22" width="8.85546875" style="122" customWidth="1"/>
    <col min="23" max="16384" width="8.85546875" style="122"/>
  </cols>
  <sheetData>
    <row r="1" spans="1:21" s="2" customFormat="1" ht="14.1" customHeight="1">
      <c r="A1" s="1" t="s">
        <v>4016</v>
      </c>
      <c r="E1" s="20"/>
      <c r="R1" s="10"/>
    </row>
    <row r="2" spans="1:21" s="2" customFormat="1" ht="14.1" customHeight="1">
      <c r="A2" s="4" t="s">
        <v>4017</v>
      </c>
      <c r="E2" s="20"/>
      <c r="H2" s="4"/>
      <c r="K2" s="4"/>
      <c r="R2" s="336"/>
    </row>
    <row r="3" spans="1:21" s="6" customFormat="1" ht="14.1" customHeight="1">
      <c r="A3" s="3"/>
      <c r="B3" s="16"/>
      <c r="C3" s="16"/>
      <c r="D3" s="23"/>
      <c r="E3" s="16"/>
      <c r="F3" s="23"/>
      <c r="G3" s="15"/>
      <c r="H3" s="25"/>
      <c r="I3" s="15"/>
      <c r="J3" s="25"/>
      <c r="K3" s="25"/>
      <c r="L3" s="25"/>
      <c r="M3" s="25"/>
      <c r="N3" s="25"/>
      <c r="O3" s="25"/>
      <c r="P3" s="25"/>
      <c r="Q3" s="2"/>
      <c r="R3" s="355" t="s">
        <v>2</v>
      </c>
      <c r="S3" s="2"/>
      <c r="T3" s="25"/>
      <c r="U3" s="25"/>
    </row>
    <row r="4" spans="1:21" s="5" customFormat="1" ht="33" customHeight="1">
      <c r="A4" s="21" t="s">
        <v>3</v>
      </c>
      <c r="B4" s="52" t="s">
        <v>4</v>
      </c>
      <c r="C4" s="52" t="s">
        <v>5</v>
      </c>
      <c r="D4" s="21" t="s">
        <v>6</v>
      </c>
      <c r="E4" s="21" t="s">
        <v>7</v>
      </c>
      <c r="F4" s="21" t="s">
        <v>8</v>
      </c>
      <c r="G4" s="21" t="s">
        <v>9</v>
      </c>
      <c r="H4" s="21" t="s">
        <v>10</v>
      </c>
      <c r="I4" s="21" t="s">
        <v>11</v>
      </c>
      <c r="J4" s="21" t="s">
        <v>12</v>
      </c>
      <c r="K4" s="21" t="s">
        <v>13</v>
      </c>
      <c r="L4" s="21" t="s">
        <v>455</v>
      </c>
      <c r="M4" s="21" t="s">
        <v>15</v>
      </c>
      <c r="N4" s="21" t="s">
        <v>16</v>
      </c>
      <c r="O4" s="21" t="s">
        <v>17</v>
      </c>
      <c r="P4" s="21" t="s">
        <v>18</v>
      </c>
      <c r="Q4" s="3"/>
      <c r="R4" s="41" t="s">
        <v>19</v>
      </c>
      <c r="S4" s="3"/>
      <c r="T4" s="42" t="s">
        <v>20</v>
      </c>
      <c r="U4" s="42" t="s">
        <v>21</v>
      </c>
    </row>
    <row r="5" spans="1:21" ht="14.1" customHeight="1">
      <c r="A5" s="29">
        <v>1</v>
      </c>
      <c r="B5" s="19" t="s">
        <v>456</v>
      </c>
      <c r="C5" s="19" t="s">
        <v>379</v>
      </c>
      <c r="D5" s="29" t="s">
        <v>773</v>
      </c>
      <c r="E5" s="19" t="s">
        <v>399</v>
      </c>
      <c r="F5" s="29" t="s">
        <v>457</v>
      </c>
      <c r="G5" s="19" t="s">
        <v>4018</v>
      </c>
      <c r="H5" s="29" t="s">
        <v>4019</v>
      </c>
      <c r="I5" s="19" t="s">
        <v>4020</v>
      </c>
      <c r="J5" s="29" t="s">
        <v>30</v>
      </c>
      <c r="K5" s="29" t="s">
        <v>4019</v>
      </c>
      <c r="L5" s="29" t="s">
        <v>322</v>
      </c>
      <c r="M5" s="29">
        <v>830210</v>
      </c>
      <c r="N5" s="29">
        <v>200</v>
      </c>
      <c r="O5" s="29">
        <v>60</v>
      </c>
      <c r="P5" s="29"/>
      <c r="R5" s="9">
        <v>372.25139099815323</v>
      </c>
      <c r="T5" s="7"/>
      <c r="U5" s="7" t="s">
        <v>34</v>
      </c>
    </row>
    <row r="6" spans="1:21" ht="14.1" customHeight="1">
      <c r="A6" s="29">
        <v>2</v>
      </c>
      <c r="B6" s="19" t="s">
        <v>609</v>
      </c>
      <c r="C6" s="19" t="s">
        <v>379</v>
      </c>
      <c r="D6" s="29" t="s">
        <v>773</v>
      </c>
      <c r="E6" s="19" t="s">
        <v>399</v>
      </c>
      <c r="F6" s="29" t="s">
        <v>26</v>
      </c>
      <c r="G6" s="19" t="s">
        <v>4021</v>
      </c>
      <c r="H6" s="29" t="s">
        <v>4022</v>
      </c>
      <c r="I6" s="19" t="s">
        <v>4023</v>
      </c>
      <c r="J6" s="29" t="s">
        <v>30</v>
      </c>
      <c r="K6" s="29" t="s">
        <v>4022</v>
      </c>
      <c r="L6" s="29" t="s">
        <v>322</v>
      </c>
      <c r="M6" s="29">
        <v>830210</v>
      </c>
      <c r="N6" s="29">
        <v>200</v>
      </c>
      <c r="O6" s="29">
        <v>75</v>
      </c>
      <c r="P6" s="29"/>
      <c r="R6" s="9">
        <v>211.42066831538111</v>
      </c>
      <c r="T6" s="19"/>
      <c r="U6" s="7" t="s">
        <v>34</v>
      </c>
    </row>
    <row r="7" spans="1:21" ht="14.1" customHeight="1">
      <c r="A7" s="29">
        <v>3</v>
      </c>
      <c r="B7" s="19" t="s">
        <v>609</v>
      </c>
      <c r="C7" s="19" t="s">
        <v>379</v>
      </c>
      <c r="D7" s="29" t="s">
        <v>773</v>
      </c>
      <c r="E7" s="19" t="s">
        <v>399</v>
      </c>
      <c r="F7" s="29" t="s">
        <v>26</v>
      </c>
      <c r="G7" s="19" t="s">
        <v>4024</v>
      </c>
      <c r="H7" s="29" t="s">
        <v>524</v>
      </c>
      <c r="I7" s="19" t="s">
        <v>4025</v>
      </c>
      <c r="J7" s="29" t="s">
        <v>30</v>
      </c>
      <c r="K7" s="29" t="s">
        <v>526</v>
      </c>
      <c r="L7" s="29" t="s">
        <v>322</v>
      </c>
      <c r="M7" s="29">
        <v>830210</v>
      </c>
      <c r="N7" s="29">
        <v>200</v>
      </c>
      <c r="O7" s="29">
        <v>75</v>
      </c>
      <c r="P7" s="29"/>
      <c r="R7" s="9">
        <v>239.73593639333399</v>
      </c>
      <c r="T7" s="19"/>
      <c r="U7" s="7" t="s">
        <v>34</v>
      </c>
    </row>
    <row r="8" spans="1:21" ht="14.1" customHeight="1">
      <c r="A8" s="29">
        <v>4</v>
      </c>
      <c r="B8" s="19" t="s">
        <v>609</v>
      </c>
      <c r="C8" s="19" t="s">
        <v>379</v>
      </c>
      <c r="D8" s="29" t="s">
        <v>773</v>
      </c>
      <c r="E8" s="19" t="s">
        <v>399</v>
      </c>
      <c r="F8" s="29" t="s">
        <v>26</v>
      </c>
      <c r="G8" s="19" t="s">
        <v>4026</v>
      </c>
      <c r="H8" s="29" t="s">
        <v>524</v>
      </c>
      <c r="I8" s="19" t="s">
        <v>4027</v>
      </c>
      <c r="J8" s="29" t="s">
        <v>30</v>
      </c>
      <c r="K8" s="29" t="s">
        <v>526</v>
      </c>
      <c r="L8" s="29" t="s">
        <v>322</v>
      </c>
      <c r="M8" s="29">
        <v>830210</v>
      </c>
      <c r="N8" s="29">
        <v>200</v>
      </c>
      <c r="O8" s="29">
        <v>75</v>
      </c>
      <c r="P8" s="29"/>
      <c r="R8" s="9">
        <v>536.10240894257356</v>
      </c>
      <c r="T8" s="19"/>
      <c r="U8" s="7" t="s">
        <v>34</v>
      </c>
    </row>
    <row r="9" spans="1:21" ht="14.1" customHeight="1">
      <c r="A9" s="29">
        <v>5</v>
      </c>
      <c r="B9" s="19" t="s">
        <v>609</v>
      </c>
      <c r="C9" s="19" t="s">
        <v>379</v>
      </c>
      <c r="D9" s="29" t="s">
        <v>773</v>
      </c>
      <c r="E9" s="19" t="s">
        <v>399</v>
      </c>
      <c r="F9" s="29" t="s">
        <v>26</v>
      </c>
      <c r="G9" s="19" t="s">
        <v>4028</v>
      </c>
      <c r="H9" s="29" t="s">
        <v>524</v>
      </c>
      <c r="I9" s="19" t="s">
        <v>4027</v>
      </c>
      <c r="J9" s="29" t="s">
        <v>30</v>
      </c>
      <c r="K9" s="29" t="s">
        <v>526</v>
      </c>
      <c r="L9" s="29" t="s">
        <v>322</v>
      </c>
      <c r="M9" s="29">
        <v>830210</v>
      </c>
      <c r="N9" s="29">
        <v>200</v>
      </c>
      <c r="O9" s="29">
        <v>75</v>
      </c>
      <c r="P9" s="29"/>
      <c r="R9" s="9">
        <v>536.10240894257356</v>
      </c>
      <c r="T9" s="19"/>
      <c r="U9" s="7" t="s">
        <v>34</v>
      </c>
    </row>
    <row r="10" spans="1:21" ht="14.1" customHeight="1">
      <c r="A10" s="29">
        <v>6</v>
      </c>
      <c r="B10" s="19" t="s">
        <v>609</v>
      </c>
      <c r="C10" s="19" t="s">
        <v>379</v>
      </c>
      <c r="D10" s="29" t="s">
        <v>773</v>
      </c>
      <c r="E10" s="19" t="s">
        <v>399</v>
      </c>
      <c r="F10" s="29" t="s">
        <v>26</v>
      </c>
      <c r="G10" s="19" t="s">
        <v>4029</v>
      </c>
      <c r="H10" s="29" t="s">
        <v>1424</v>
      </c>
      <c r="I10" s="19" t="s">
        <v>4020</v>
      </c>
      <c r="J10" s="29" t="s">
        <v>30</v>
      </c>
      <c r="K10" s="29" t="s">
        <v>1426</v>
      </c>
      <c r="L10" s="29" t="s">
        <v>322</v>
      </c>
      <c r="M10" s="29">
        <v>830210</v>
      </c>
      <c r="N10" s="29">
        <v>200</v>
      </c>
      <c r="O10" s="29">
        <v>60</v>
      </c>
      <c r="P10" s="29"/>
      <c r="R10" s="9">
        <v>434.16744386194353</v>
      </c>
      <c r="T10" s="19"/>
      <c r="U10" s="7" t="s">
        <v>34</v>
      </c>
    </row>
    <row r="11" spans="1:21" ht="14.1" customHeight="1">
      <c r="A11" s="29">
        <v>7</v>
      </c>
      <c r="B11" s="19" t="s">
        <v>609</v>
      </c>
      <c r="C11" s="19" t="s">
        <v>379</v>
      </c>
      <c r="D11" s="29" t="s">
        <v>838</v>
      </c>
      <c r="E11" s="19" t="s">
        <v>4030</v>
      </c>
      <c r="F11" s="29" t="s">
        <v>26</v>
      </c>
      <c r="G11" s="19" t="s">
        <v>4031</v>
      </c>
      <c r="H11" s="29" t="s">
        <v>4019</v>
      </c>
      <c r="I11" s="19" t="s">
        <v>4032</v>
      </c>
      <c r="J11" s="29" t="s">
        <v>30</v>
      </c>
      <c r="K11" s="29" t="s">
        <v>4019</v>
      </c>
      <c r="L11" s="29" t="s">
        <v>322</v>
      </c>
      <c r="M11" s="29">
        <v>830241</v>
      </c>
      <c r="N11" s="29">
        <v>200</v>
      </c>
      <c r="O11" s="29">
        <v>60</v>
      </c>
      <c r="P11" s="29"/>
      <c r="R11" s="9">
        <v>73.61969700267737</v>
      </c>
      <c r="T11" s="19"/>
      <c r="U11" s="7" t="s">
        <v>34</v>
      </c>
    </row>
    <row r="12" spans="1:21" ht="14.1" customHeight="1">
      <c r="A12" s="29">
        <v>8</v>
      </c>
      <c r="B12" s="19" t="s">
        <v>609</v>
      </c>
      <c r="C12" s="19" t="s">
        <v>379</v>
      </c>
      <c r="D12" s="29" t="s">
        <v>39</v>
      </c>
      <c r="E12" s="19" t="s">
        <v>3703</v>
      </c>
      <c r="F12" s="29" t="s">
        <v>26</v>
      </c>
      <c r="G12" s="19" t="s">
        <v>4033</v>
      </c>
      <c r="H12" s="29" t="s">
        <v>1701</v>
      </c>
      <c r="I12" s="19" t="s">
        <v>4034</v>
      </c>
      <c r="J12" s="29" t="s">
        <v>30</v>
      </c>
      <c r="K12" s="29" t="s">
        <v>1701</v>
      </c>
      <c r="L12" s="29" t="s">
        <v>322</v>
      </c>
      <c r="M12" s="29">
        <v>830140</v>
      </c>
      <c r="N12" s="29">
        <v>200</v>
      </c>
      <c r="O12" s="29">
        <v>60</v>
      </c>
      <c r="P12" s="29"/>
      <c r="R12" s="9">
        <v>29.259110347217931</v>
      </c>
      <c r="T12" s="19"/>
      <c r="U12" s="7" t="s">
        <v>34</v>
      </c>
    </row>
    <row r="13" spans="1:21" ht="14.1" customHeight="1">
      <c r="A13" s="29">
        <v>9</v>
      </c>
      <c r="B13" s="19" t="s">
        <v>609</v>
      </c>
      <c r="C13" s="19" t="s">
        <v>379</v>
      </c>
      <c r="D13" s="29" t="s">
        <v>838</v>
      </c>
      <c r="E13" s="19" t="s">
        <v>4030</v>
      </c>
      <c r="F13" s="29" t="s">
        <v>26</v>
      </c>
      <c r="G13" s="19" t="s">
        <v>4035</v>
      </c>
      <c r="H13" s="29" t="s">
        <v>4019</v>
      </c>
      <c r="I13" s="19" t="s">
        <v>4036</v>
      </c>
      <c r="J13" s="29" t="s">
        <v>3611</v>
      </c>
      <c r="K13" s="29" t="s">
        <v>4019</v>
      </c>
      <c r="L13" s="29" t="s">
        <v>322</v>
      </c>
      <c r="M13" s="29">
        <v>83024190</v>
      </c>
      <c r="N13" s="29">
        <v>200</v>
      </c>
      <c r="O13" s="29">
        <v>60</v>
      </c>
      <c r="P13" s="29"/>
      <c r="R13" s="9">
        <v>537.99009348110383</v>
      </c>
      <c r="T13" s="19"/>
      <c r="U13" s="7" t="s">
        <v>34</v>
      </c>
    </row>
    <row r="14" spans="1:21" ht="14.1" customHeight="1">
      <c r="A14" s="29">
        <v>10</v>
      </c>
      <c r="B14" s="19" t="s">
        <v>609</v>
      </c>
      <c r="C14" s="19" t="s">
        <v>379</v>
      </c>
      <c r="D14" s="29" t="s">
        <v>838</v>
      </c>
      <c r="E14" s="19" t="s">
        <v>4030</v>
      </c>
      <c r="F14" s="29" t="s">
        <v>26</v>
      </c>
      <c r="G14" s="19" t="s">
        <v>4037</v>
      </c>
      <c r="H14" s="29" t="s">
        <v>1424</v>
      </c>
      <c r="I14" s="19" t="s">
        <v>4038</v>
      </c>
      <c r="J14" s="29" t="s">
        <v>123</v>
      </c>
      <c r="K14" s="29" t="s">
        <v>1426</v>
      </c>
      <c r="L14" s="29" t="s">
        <v>322</v>
      </c>
      <c r="M14" s="29">
        <v>83024100</v>
      </c>
      <c r="N14" s="29">
        <v>200</v>
      </c>
      <c r="O14" s="29">
        <v>60</v>
      </c>
      <c r="P14" s="29"/>
      <c r="R14" s="9">
        <v>394.52606855280948</v>
      </c>
      <c r="T14" s="19"/>
      <c r="U14" s="7" t="s">
        <v>34</v>
      </c>
    </row>
    <row r="15" spans="1:21" ht="14.1" customHeight="1">
      <c r="A15" s="29">
        <v>11</v>
      </c>
      <c r="B15" s="19" t="s">
        <v>456</v>
      </c>
      <c r="C15" s="19" t="s">
        <v>379</v>
      </c>
      <c r="D15" s="29" t="s">
        <v>1601</v>
      </c>
      <c r="E15" s="19" t="s">
        <v>4039</v>
      </c>
      <c r="F15" s="29" t="s">
        <v>457</v>
      </c>
      <c r="G15" s="19" t="s">
        <v>4040</v>
      </c>
      <c r="H15" s="29" t="s">
        <v>4019</v>
      </c>
      <c r="I15" s="19" t="s">
        <v>4041</v>
      </c>
      <c r="J15" s="29" t="s">
        <v>123</v>
      </c>
      <c r="K15" s="29" t="s">
        <v>1426</v>
      </c>
      <c r="L15" s="29" t="s">
        <v>322</v>
      </c>
      <c r="M15" s="29">
        <v>83014000</v>
      </c>
      <c r="N15" s="29">
        <v>200</v>
      </c>
      <c r="O15" s="29">
        <v>60</v>
      </c>
      <c r="P15" s="29"/>
      <c r="R15" s="9">
        <v>351.48686107432121</v>
      </c>
      <c r="T15" s="19"/>
      <c r="U15" s="7" t="s">
        <v>34</v>
      </c>
    </row>
    <row r="16" spans="1:21" ht="14.1" customHeight="1">
      <c r="A16" s="29">
        <v>12</v>
      </c>
      <c r="B16" s="19" t="s">
        <v>609</v>
      </c>
      <c r="C16" s="19" t="s">
        <v>379</v>
      </c>
      <c r="D16" s="29" t="s">
        <v>658</v>
      </c>
      <c r="E16" s="19" t="s">
        <v>4042</v>
      </c>
      <c r="F16" s="29" t="s">
        <v>26</v>
      </c>
      <c r="G16" s="19" t="s">
        <v>4043</v>
      </c>
      <c r="H16" s="29" t="s">
        <v>4019</v>
      </c>
      <c r="I16" s="19" t="s">
        <v>4044</v>
      </c>
      <c r="J16" s="29" t="s">
        <v>123</v>
      </c>
      <c r="K16" s="29" t="s">
        <v>1426</v>
      </c>
      <c r="L16" s="29" t="s">
        <v>322</v>
      </c>
      <c r="M16" s="29">
        <v>83024100</v>
      </c>
      <c r="N16" s="29">
        <v>200</v>
      </c>
      <c r="O16" s="29">
        <v>60</v>
      </c>
      <c r="P16" s="29"/>
      <c r="R16" s="9">
        <v>90.042552487889992</v>
      </c>
      <c r="T16" s="19"/>
      <c r="U16" s="7" t="s">
        <v>34</v>
      </c>
    </row>
    <row r="17" spans="1:21" ht="14.1" customHeight="1">
      <c r="A17" s="29">
        <v>13</v>
      </c>
      <c r="B17" s="19" t="s">
        <v>609</v>
      </c>
      <c r="C17" s="19" t="s">
        <v>379</v>
      </c>
      <c r="D17" s="29" t="s">
        <v>658</v>
      </c>
      <c r="E17" s="19" t="s">
        <v>4042</v>
      </c>
      <c r="F17" s="29" t="s">
        <v>26</v>
      </c>
      <c r="G17" s="19" t="s">
        <v>4045</v>
      </c>
      <c r="H17" s="29" t="s">
        <v>4019</v>
      </c>
      <c r="I17" s="19" t="s">
        <v>4044</v>
      </c>
      <c r="J17" s="29" t="s">
        <v>123</v>
      </c>
      <c r="K17" s="29" t="s">
        <v>1426</v>
      </c>
      <c r="L17" s="29" t="s">
        <v>322</v>
      </c>
      <c r="M17" s="29">
        <v>83024100</v>
      </c>
      <c r="N17" s="29">
        <v>200</v>
      </c>
      <c r="O17" s="29">
        <v>60</v>
      </c>
      <c r="P17" s="29"/>
      <c r="R17" s="9">
        <v>269.18381519440487</v>
      </c>
      <c r="T17" s="19"/>
      <c r="U17" s="7" t="s">
        <v>34</v>
      </c>
    </row>
    <row r="18" spans="1:21" ht="14.1" customHeight="1">
      <c r="A18" s="29">
        <v>14</v>
      </c>
      <c r="B18" s="19" t="s">
        <v>609</v>
      </c>
      <c r="C18" s="19" t="s">
        <v>379</v>
      </c>
      <c r="D18" s="29" t="s">
        <v>1601</v>
      </c>
      <c r="E18" s="19" t="s">
        <v>4046</v>
      </c>
      <c r="F18" s="29" t="s">
        <v>26</v>
      </c>
      <c r="G18" s="19" t="s">
        <v>4047</v>
      </c>
      <c r="H18" s="29" t="s">
        <v>4019</v>
      </c>
      <c r="I18" s="19" t="s">
        <v>4048</v>
      </c>
      <c r="J18" s="29" t="s">
        <v>123</v>
      </c>
      <c r="K18" s="29" t="s">
        <v>1426</v>
      </c>
      <c r="L18" s="29" t="s">
        <v>322</v>
      </c>
      <c r="M18" s="29">
        <v>83024100</v>
      </c>
      <c r="N18" s="29">
        <v>200</v>
      </c>
      <c r="O18" s="29">
        <v>60</v>
      </c>
      <c r="P18" s="29"/>
      <c r="R18" s="9">
        <v>330.53356269663612</v>
      </c>
      <c r="T18" s="19"/>
      <c r="U18" s="7" t="s">
        <v>34</v>
      </c>
    </row>
    <row r="19" spans="1:21" ht="14.1" customHeight="1">
      <c r="A19" s="29">
        <v>15</v>
      </c>
      <c r="B19" s="19" t="s">
        <v>456</v>
      </c>
      <c r="C19" s="19" t="s">
        <v>379</v>
      </c>
      <c r="D19" s="29" t="s">
        <v>1601</v>
      </c>
      <c r="E19" s="19" t="s">
        <v>4049</v>
      </c>
      <c r="F19" s="29" t="s">
        <v>457</v>
      </c>
      <c r="G19" s="19" t="s">
        <v>4050</v>
      </c>
      <c r="H19" s="29" t="s">
        <v>4019</v>
      </c>
      <c r="I19" s="19" t="s">
        <v>4051</v>
      </c>
      <c r="J19" s="29" t="s">
        <v>123</v>
      </c>
      <c r="K19" s="29" t="s">
        <v>1426</v>
      </c>
      <c r="L19" s="29" t="s">
        <v>322</v>
      </c>
      <c r="M19" s="29">
        <v>83024100</v>
      </c>
      <c r="N19" s="29">
        <v>200</v>
      </c>
      <c r="O19" s="29">
        <v>60</v>
      </c>
      <c r="P19" s="29"/>
      <c r="R19" s="9">
        <v>263.52076157881442</v>
      </c>
      <c r="T19" s="19"/>
      <c r="U19" s="7" t="s">
        <v>34</v>
      </c>
    </row>
    <row r="20" spans="1:21" ht="14.1" customHeight="1">
      <c r="A20" s="29">
        <v>16</v>
      </c>
      <c r="B20" s="19" t="s">
        <v>456</v>
      </c>
      <c r="C20" s="19" t="s">
        <v>379</v>
      </c>
      <c r="D20" s="29" t="s">
        <v>1601</v>
      </c>
      <c r="E20" s="19" t="s">
        <v>4049</v>
      </c>
      <c r="F20" s="29" t="s">
        <v>457</v>
      </c>
      <c r="G20" s="19" t="s">
        <v>4052</v>
      </c>
      <c r="H20" s="29" t="s">
        <v>4019</v>
      </c>
      <c r="I20" s="19" t="s">
        <v>4053</v>
      </c>
      <c r="J20" s="29" t="s">
        <v>123</v>
      </c>
      <c r="K20" s="29" t="s">
        <v>1426</v>
      </c>
      <c r="L20" s="29" t="s">
        <v>322</v>
      </c>
      <c r="M20" s="29">
        <v>83024100</v>
      </c>
      <c r="N20" s="29">
        <v>200</v>
      </c>
      <c r="O20" s="29">
        <v>60</v>
      </c>
      <c r="P20" s="29"/>
      <c r="R20" s="9">
        <v>214.62973203088251</v>
      </c>
      <c r="T20" s="19"/>
      <c r="U20" s="7" t="s">
        <v>34</v>
      </c>
    </row>
    <row r="21" spans="1:21" ht="14.1" customHeight="1">
      <c r="A21" s="29">
        <v>17</v>
      </c>
      <c r="B21" s="19" t="s">
        <v>456</v>
      </c>
      <c r="C21" s="19" t="s">
        <v>379</v>
      </c>
      <c r="D21" s="29" t="s">
        <v>1601</v>
      </c>
      <c r="E21" s="19" t="s">
        <v>4054</v>
      </c>
      <c r="F21" s="29" t="s">
        <v>457</v>
      </c>
      <c r="G21" s="19" t="s">
        <v>4055</v>
      </c>
      <c r="H21" s="29" t="s">
        <v>4019</v>
      </c>
      <c r="I21" s="19" t="s">
        <v>4056</v>
      </c>
      <c r="J21" s="29" t="s">
        <v>123</v>
      </c>
      <c r="K21" s="29" t="s">
        <v>1426</v>
      </c>
      <c r="L21" s="29" t="s">
        <v>322</v>
      </c>
      <c r="M21" s="29">
        <v>83024100</v>
      </c>
      <c r="N21" s="29">
        <v>200</v>
      </c>
      <c r="O21" s="29">
        <v>60</v>
      </c>
      <c r="P21" s="29"/>
      <c r="R21" s="9">
        <v>80.415361341386046</v>
      </c>
      <c r="T21" s="19"/>
      <c r="U21" s="7" t="s">
        <v>34</v>
      </c>
    </row>
    <row r="22" spans="1:21" ht="14.1" customHeight="1">
      <c r="A22" s="29">
        <v>18</v>
      </c>
      <c r="B22" s="19" t="s">
        <v>456</v>
      </c>
      <c r="C22" s="19" t="s">
        <v>379</v>
      </c>
      <c r="D22" s="29" t="s">
        <v>1601</v>
      </c>
      <c r="E22" s="19" t="s">
        <v>4049</v>
      </c>
      <c r="F22" s="29" t="s">
        <v>457</v>
      </c>
      <c r="G22" s="19" t="s">
        <v>4057</v>
      </c>
      <c r="H22" s="29" t="s">
        <v>4019</v>
      </c>
      <c r="I22" s="19" t="s">
        <v>4058</v>
      </c>
      <c r="J22" s="29" t="s">
        <v>123</v>
      </c>
      <c r="K22" s="29" t="s">
        <v>1426</v>
      </c>
      <c r="L22" s="29" t="s">
        <v>322</v>
      </c>
      <c r="M22" s="29">
        <v>83024100</v>
      </c>
      <c r="N22" s="29">
        <v>200</v>
      </c>
      <c r="O22" s="29">
        <v>60</v>
      </c>
      <c r="P22" s="29"/>
      <c r="R22" s="9">
        <v>150.07092081315011</v>
      </c>
      <c r="T22" s="19"/>
      <c r="U22" s="7" t="s">
        <v>34</v>
      </c>
    </row>
    <row r="23" spans="1:21" ht="14.1" customHeight="1">
      <c r="A23" s="29">
        <v>19</v>
      </c>
      <c r="B23" s="19" t="s">
        <v>456</v>
      </c>
      <c r="C23" s="19" t="s">
        <v>379</v>
      </c>
      <c r="D23" s="29" t="s">
        <v>1601</v>
      </c>
      <c r="E23" s="19" t="s">
        <v>4049</v>
      </c>
      <c r="F23" s="29" t="s">
        <v>457</v>
      </c>
      <c r="G23" s="19" t="s">
        <v>4059</v>
      </c>
      <c r="H23" s="29" t="s">
        <v>4019</v>
      </c>
      <c r="I23" s="19" t="s">
        <v>4060</v>
      </c>
      <c r="J23" s="29" t="s">
        <v>123</v>
      </c>
      <c r="K23" s="29" t="s">
        <v>1426</v>
      </c>
      <c r="L23" s="29" t="s">
        <v>322</v>
      </c>
      <c r="M23" s="29">
        <v>83024100</v>
      </c>
      <c r="N23" s="29">
        <v>200</v>
      </c>
      <c r="O23" s="29">
        <v>60</v>
      </c>
      <c r="P23" s="29"/>
      <c r="R23" s="9">
        <v>285.04036531805849</v>
      </c>
      <c r="T23" s="19"/>
      <c r="U23" s="7" t="s">
        <v>34</v>
      </c>
    </row>
    <row r="24" spans="1:21" ht="14.1" customHeight="1">
      <c r="A24" s="29">
        <v>20</v>
      </c>
      <c r="B24" s="19" t="s">
        <v>456</v>
      </c>
      <c r="C24" s="19" t="s">
        <v>379</v>
      </c>
      <c r="D24" s="29" t="s">
        <v>1601</v>
      </c>
      <c r="E24" s="19" t="s">
        <v>4049</v>
      </c>
      <c r="F24" s="29" t="s">
        <v>457</v>
      </c>
      <c r="G24" s="19" t="s">
        <v>4061</v>
      </c>
      <c r="H24" s="29" t="s">
        <v>4062</v>
      </c>
      <c r="I24" s="19" t="s">
        <v>4063</v>
      </c>
      <c r="J24" s="29" t="s">
        <v>123</v>
      </c>
      <c r="K24" s="29" t="s">
        <v>4064</v>
      </c>
      <c r="L24" s="29" t="s">
        <v>322</v>
      </c>
      <c r="M24" s="29">
        <v>83024100</v>
      </c>
      <c r="N24" s="29">
        <v>200</v>
      </c>
      <c r="O24" s="29">
        <v>75</v>
      </c>
      <c r="P24" s="29"/>
      <c r="R24" s="9">
        <v>206.32392006134961</v>
      </c>
      <c r="T24" s="19"/>
      <c r="U24" s="7" t="s">
        <v>34</v>
      </c>
    </row>
    <row r="25" spans="1:21" ht="14.1" customHeight="1">
      <c r="A25" s="29">
        <v>21</v>
      </c>
      <c r="B25" s="19" t="s">
        <v>456</v>
      </c>
      <c r="C25" s="19" t="s">
        <v>379</v>
      </c>
      <c r="D25" s="29" t="s">
        <v>1601</v>
      </c>
      <c r="E25" s="19" t="s">
        <v>4049</v>
      </c>
      <c r="F25" s="29" t="s">
        <v>457</v>
      </c>
      <c r="G25" s="19" t="s">
        <v>4065</v>
      </c>
      <c r="H25" s="29" t="s">
        <v>4066</v>
      </c>
      <c r="I25" s="19" t="s">
        <v>4067</v>
      </c>
      <c r="J25" s="29" t="s">
        <v>123</v>
      </c>
      <c r="K25" s="29" t="s">
        <v>4068</v>
      </c>
      <c r="L25" s="29" t="s">
        <v>322</v>
      </c>
      <c r="M25" s="29">
        <v>83024100</v>
      </c>
      <c r="N25" s="29">
        <v>200</v>
      </c>
      <c r="O25" s="29">
        <v>75</v>
      </c>
      <c r="P25" s="29"/>
      <c r="R25" s="9">
        <v>173.66697754477741</v>
      </c>
      <c r="T25" s="19"/>
      <c r="U25" s="7" t="s">
        <v>34</v>
      </c>
    </row>
    <row r="26" spans="1:21" ht="14.1" customHeight="1">
      <c r="A26" s="29">
        <v>22</v>
      </c>
      <c r="B26" s="19" t="s">
        <v>456</v>
      </c>
      <c r="C26" s="19" t="s">
        <v>379</v>
      </c>
      <c r="D26" s="29" t="s">
        <v>1601</v>
      </c>
      <c r="E26" s="19" t="s">
        <v>4046</v>
      </c>
      <c r="F26" s="29" t="s">
        <v>457</v>
      </c>
      <c r="G26" s="19" t="s">
        <v>4069</v>
      </c>
      <c r="H26" s="29" t="s">
        <v>4019</v>
      </c>
      <c r="I26" s="19" t="s">
        <v>4070</v>
      </c>
      <c r="J26" s="29" t="s">
        <v>123</v>
      </c>
      <c r="K26" s="29" t="s">
        <v>1426</v>
      </c>
      <c r="L26" s="29" t="s">
        <v>322</v>
      </c>
      <c r="M26" s="29">
        <v>83024100</v>
      </c>
      <c r="N26" s="29">
        <v>200</v>
      </c>
      <c r="O26" s="29">
        <v>60</v>
      </c>
      <c r="P26" s="29"/>
      <c r="R26" s="9">
        <v>220.8590910080321</v>
      </c>
      <c r="T26" s="19"/>
      <c r="U26" s="7" t="s">
        <v>34</v>
      </c>
    </row>
    <row r="27" spans="1:21" ht="14.1" customHeight="1">
      <c r="A27" s="29">
        <v>23</v>
      </c>
      <c r="B27" s="19" t="s">
        <v>456</v>
      </c>
      <c r="C27" s="19" t="s">
        <v>379</v>
      </c>
      <c r="D27" s="29" t="s">
        <v>1601</v>
      </c>
      <c r="E27" s="19" t="s">
        <v>4046</v>
      </c>
      <c r="F27" s="29" t="s">
        <v>457</v>
      </c>
      <c r="G27" s="19" t="s">
        <v>4071</v>
      </c>
      <c r="H27" s="29" t="s">
        <v>4019</v>
      </c>
      <c r="I27" s="19" t="s">
        <v>4072</v>
      </c>
      <c r="J27" s="29" t="s">
        <v>123</v>
      </c>
      <c r="K27" s="29" t="s">
        <v>1426</v>
      </c>
      <c r="L27" s="29" t="s">
        <v>322</v>
      </c>
      <c r="M27" s="29">
        <v>83024100</v>
      </c>
      <c r="N27" s="29">
        <v>200</v>
      </c>
      <c r="O27" s="29">
        <v>60</v>
      </c>
      <c r="P27" s="29"/>
      <c r="R27" s="9">
        <v>198.96195036108179</v>
      </c>
      <c r="T27" s="19"/>
      <c r="U27" s="7" t="s">
        <v>34</v>
      </c>
    </row>
    <row r="28" spans="1:21" ht="14.1" customHeight="1">
      <c r="A28" s="29">
        <v>24</v>
      </c>
      <c r="B28" s="19" t="s">
        <v>456</v>
      </c>
      <c r="C28" s="19" t="s">
        <v>379</v>
      </c>
      <c r="D28" s="29" t="s">
        <v>1601</v>
      </c>
      <c r="E28" s="19" t="s">
        <v>4046</v>
      </c>
      <c r="F28" s="29" t="s">
        <v>457</v>
      </c>
      <c r="G28" s="19" t="s">
        <v>4073</v>
      </c>
      <c r="H28" s="29" t="s">
        <v>4019</v>
      </c>
      <c r="I28" s="19" t="s">
        <v>4074</v>
      </c>
      <c r="J28" s="29" t="s">
        <v>123</v>
      </c>
      <c r="K28" s="29" t="s">
        <v>1426</v>
      </c>
      <c r="L28" s="29" t="s">
        <v>322</v>
      </c>
      <c r="M28" s="29">
        <v>83024100</v>
      </c>
      <c r="N28" s="29">
        <v>200</v>
      </c>
      <c r="O28" s="29">
        <v>60</v>
      </c>
      <c r="P28" s="29"/>
      <c r="R28" s="9">
        <v>314.29947566527642</v>
      </c>
      <c r="T28" s="19"/>
      <c r="U28" s="7" t="s">
        <v>34</v>
      </c>
    </row>
    <row r="29" spans="1:21" ht="14.1" customHeight="1">
      <c r="A29" s="29">
        <v>25</v>
      </c>
      <c r="B29" s="19" t="s">
        <v>456</v>
      </c>
      <c r="C29" s="19" t="s">
        <v>379</v>
      </c>
      <c r="D29" s="29" t="s">
        <v>1601</v>
      </c>
      <c r="E29" s="19" t="s">
        <v>4046</v>
      </c>
      <c r="F29" s="29" t="s">
        <v>457</v>
      </c>
      <c r="G29" s="19" t="s">
        <v>4075</v>
      </c>
      <c r="H29" s="29" t="s">
        <v>4019</v>
      </c>
      <c r="I29" s="19" t="s">
        <v>4076</v>
      </c>
      <c r="J29" s="29" t="s">
        <v>123</v>
      </c>
      <c r="K29" s="29" t="s">
        <v>1426</v>
      </c>
      <c r="L29" s="29" t="s">
        <v>322</v>
      </c>
      <c r="M29" s="29">
        <v>83024100</v>
      </c>
      <c r="N29" s="29">
        <v>200</v>
      </c>
      <c r="O29" s="29">
        <v>60</v>
      </c>
      <c r="P29" s="29"/>
      <c r="R29" s="9">
        <v>268.42874137899292</v>
      </c>
      <c r="T29" s="19"/>
      <c r="U29" s="7" t="s">
        <v>34</v>
      </c>
    </row>
    <row r="30" spans="1:21" ht="14.1" customHeight="1">
      <c r="A30" s="29">
        <v>26</v>
      </c>
      <c r="B30" s="19" t="s">
        <v>456</v>
      </c>
      <c r="C30" s="19" t="s">
        <v>379</v>
      </c>
      <c r="D30" s="29" t="s">
        <v>39</v>
      </c>
      <c r="E30" s="19" t="s">
        <v>822</v>
      </c>
      <c r="F30" s="29" t="s">
        <v>457</v>
      </c>
      <c r="G30" s="19" t="s">
        <v>4077</v>
      </c>
      <c r="H30" s="29" t="s">
        <v>4019</v>
      </c>
      <c r="I30" s="19" t="s">
        <v>4078</v>
      </c>
      <c r="J30" s="29" t="s">
        <v>123</v>
      </c>
      <c r="K30" s="29" t="s">
        <v>1426</v>
      </c>
      <c r="L30" s="29" t="s">
        <v>322</v>
      </c>
      <c r="M30" s="29">
        <v>83024100</v>
      </c>
      <c r="N30" s="29">
        <v>200</v>
      </c>
      <c r="O30" s="29">
        <v>60</v>
      </c>
      <c r="P30" s="29"/>
      <c r="R30" s="9">
        <v>101.1798912652181</v>
      </c>
      <c r="T30" s="19"/>
      <c r="U30" s="7" t="s">
        <v>34</v>
      </c>
    </row>
    <row r="31" spans="1:21" ht="14.1" customHeight="1">
      <c r="A31" s="29">
        <v>27</v>
      </c>
      <c r="B31" s="19" t="s">
        <v>456</v>
      </c>
      <c r="C31" s="19" t="s">
        <v>379</v>
      </c>
      <c r="D31" s="29" t="s">
        <v>39</v>
      </c>
      <c r="E31" s="19" t="s">
        <v>822</v>
      </c>
      <c r="F31" s="29" t="s">
        <v>457</v>
      </c>
      <c r="G31" s="19" t="s">
        <v>4079</v>
      </c>
      <c r="H31" s="29" t="s">
        <v>4019</v>
      </c>
      <c r="I31" s="19" t="s">
        <v>4080</v>
      </c>
      <c r="J31" s="29" t="s">
        <v>123</v>
      </c>
      <c r="K31" s="29" t="s">
        <v>1426</v>
      </c>
      <c r="L31" s="29" t="s">
        <v>322</v>
      </c>
      <c r="M31" s="29">
        <v>83024100</v>
      </c>
      <c r="N31" s="29">
        <v>200</v>
      </c>
      <c r="O31" s="29">
        <v>60</v>
      </c>
      <c r="P31" s="29"/>
      <c r="R31" s="9">
        <v>139.3111189435279</v>
      </c>
      <c r="T31" s="19"/>
      <c r="U31" s="7" t="s">
        <v>34</v>
      </c>
    </row>
    <row r="32" spans="1:21" ht="14.1" customHeight="1">
      <c r="A32" s="29">
        <v>28</v>
      </c>
      <c r="B32" s="19" t="s">
        <v>456</v>
      </c>
      <c r="C32" s="19" t="s">
        <v>379</v>
      </c>
      <c r="D32" s="29" t="s">
        <v>39</v>
      </c>
      <c r="E32" s="19" t="s">
        <v>822</v>
      </c>
      <c r="F32" s="29" t="s">
        <v>457</v>
      </c>
      <c r="G32" s="19" t="s">
        <v>4081</v>
      </c>
      <c r="H32" s="29" t="s">
        <v>4019</v>
      </c>
      <c r="I32" s="19" t="s">
        <v>4082</v>
      </c>
      <c r="J32" s="29" t="s">
        <v>123</v>
      </c>
      <c r="K32" s="29" t="s">
        <v>1426</v>
      </c>
      <c r="L32" s="29" t="s">
        <v>322</v>
      </c>
      <c r="M32" s="29">
        <v>83024100</v>
      </c>
      <c r="N32" s="29">
        <v>200</v>
      </c>
      <c r="O32" s="29">
        <v>60</v>
      </c>
      <c r="P32" s="29"/>
      <c r="R32" s="9">
        <v>153.0912160747983</v>
      </c>
      <c r="T32" s="19"/>
      <c r="U32" s="7" t="s">
        <v>34</v>
      </c>
    </row>
    <row r="33" spans="1:21" ht="14.1" customHeight="1">
      <c r="A33" s="29">
        <v>29</v>
      </c>
      <c r="B33" s="19" t="s">
        <v>609</v>
      </c>
      <c r="C33" s="19" t="s">
        <v>379</v>
      </c>
      <c r="D33" s="29" t="s">
        <v>838</v>
      </c>
      <c r="E33" s="19" t="s">
        <v>4083</v>
      </c>
      <c r="F33" s="29" t="s">
        <v>26</v>
      </c>
      <c r="G33" s="19" t="s">
        <v>4084</v>
      </c>
      <c r="H33" s="29" t="s">
        <v>4019</v>
      </c>
      <c r="I33" s="19" t="s">
        <v>4085</v>
      </c>
      <c r="J33" s="29" t="s">
        <v>123</v>
      </c>
      <c r="K33" s="29" t="s">
        <v>1426</v>
      </c>
      <c r="L33" s="29" t="s">
        <v>322</v>
      </c>
      <c r="M33" s="29">
        <v>83024100</v>
      </c>
      <c r="N33" s="29">
        <v>200</v>
      </c>
      <c r="O33" s="29">
        <v>60</v>
      </c>
      <c r="P33" s="29"/>
      <c r="R33" s="9">
        <v>523.45492253442137</v>
      </c>
      <c r="T33" s="19"/>
      <c r="U33" s="7" t="s">
        <v>34</v>
      </c>
    </row>
    <row r="34" spans="1:21" ht="14.1" customHeight="1">
      <c r="A34" s="29">
        <v>30</v>
      </c>
      <c r="B34" s="19" t="s">
        <v>456</v>
      </c>
      <c r="C34" s="19" t="s">
        <v>379</v>
      </c>
      <c r="D34" s="29" t="s">
        <v>1601</v>
      </c>
      <c r="E34" s="19" t="s">
        <v>4046</v>
      </c>
      <c r="F34" s="29" t="s">
        <v>457</v>
      </c>
      <c r="G34" s="19" t="s">
        <v>4086</v>
      </c>
      <c r="H34" s="29" t="s">
        <v>4019</v>
      </c>
      <c r="I34" s="19" t="s">
        <v>4087</v>
      </c>
      <c r="J34" s="29" t="s">
        <v>123</v>
      </c>
      <c r="K34" s="29" t="s">
        <v>1426</v>
      </c>
      <c r="L34" s="29" t="s">
        <v>322</v>
      </c>
      <c r="M34" s="29">
        <v>83024100</v>
      </c>
      <c r="N34" s="29">
        <v>200</v>
      </c>
      <c r="O34" s="29">
        <v>60</v>
      </c>
      <c r="P34" s="29"/>
      <c r="R34" s="9">
        <v>214.25219512317639</v>
      </c>
      <c r="T34" s="19"/>
      <c r="U34" s="7" t="s">
        <v>34</v>
      </c>
    </row>
    <row r="35" spans="1:21" ht="14.1" customHeight="1">
      <c r="A35" s="29">
        <v>31</v>
      </c>
      <c r="B35" s="19" t="s">
        <v>609</v>
      </c>
      <c r="C35" s="19" t="s">
        <v>379</v>
      </c>
      <c r="D35" s="29" t="s">
        <v>838</v>
      </c>
      <c r="E35" s="19" t="s">
        <v>4054</v>
      </c>
      <c r="F35" s="29" t="s">
        <v>26</v>
      </c>
      <c r="G35" s="19" t="s">
        <v>4088</v>
      </c>
      <c r="H35" s="29" t="s">
        <v>4019</v>
      </c>
      <c r="I35" s="19" t="s">
        <v>4089</v>
      </c>
      <c r="J35" s="29" t="s">
        <v>123</v>
      </c>
      <c r="K35" s="29" t="s">
        <v>1426</v>
      </c>
      <c r="L35" s="29" t="s">
        <v>322</v>
      </c>
      <c r="M35" s="29">
        <v>83024100</v>
      </c>
      <c r="N35" s="29">
        <v>200</v>
      </c>
      <c r="O35" s="29">
        <v>60</v>
      </c>
      <c r="P35" s="29"/>
      <c r="R35" s="9">
        <v>537.99009348110383</v>
      </c>
      <c r="T35" s="19"/>
      <c r="U35" s="7" t="s">
        <v>34</v>
      </c>
    </row>
    <row r="36" spans="1:21" ht="14.1" customHeight="1">
      <c r="A36" s="29">
        <v>32</v>
      </c>
      <c r="B36" s="19" t="s">
        <v>456</v>
      </c>
      <c r="C36" s="19" t="s">
        <v>379</v>
      </c>
      <c r="D36" s="29" t="s">
        <v>1601</v>
      </c>
      <c r="E36" s="19" t="s">
        <v>4049</v>
      </c>
      <c r="F36" s="29" t="s">
        <v>457</v>
      </c>
      <c r="G36" s="19" t="s">
        <v>4090</v>
      </c>
      <c r="H36" s="29" t="s">
        <v>4019</v>
      </c>
      <c r="I36" s="19" t="s">
        <v>4091</v>
      </c>
      <c r="J36" s="29" t="s">
        <v>123</v>
      </c>
      <c r="K36" s="29" t="s">
        <v>1426</v>
      </c>
      <c r="L36" s="29" t="s">
        <v>322</v>
      </c>
      <c r="M36" s="29">
        <v>83024100</v>
      </c>
      <c r="N36" s="29">
        <v>200</v>
      </c>
      <c r="O36" s="29">
        <v>60</v>
      </c>
      <c r="P36" s="29"/>
      <c r="R36" s="9">
        <v>128.36254862005279</v>
      </c>
      <c r="T36" s="19"/>
      <c r="U36" s="7" t="s">
        <v>34</v>
      </c>
    </row>
    <row r="37" spans="1:21" ht="14.1" customHeight="1">
      <c r="A37" s="29">
        <v>33</v>
      </c>
      <c r="B37" s="19" t="s">
        <v>609</v>
      </c>
      <c r="C37" s="19" t="s">
        <v>379</v>
      </c>
      <c r="D37" s="29" t="s">
        <v>1601</v>
      </c>
      <c r="E37" s="19" t="s">
        <v>4049</v>
      </c>
      <c r="F37" s="29" t="s">
        <v>26</v>
      </c>
      <c r="G37" s="19" t="s">
        <v>4092</v>
      </c>
      <c r="H37" s="29" t="s">
        <v>4019</v>
      </c>
      <c r="I37" s="19" t="s">
        <v>4093</v>
      </c>
      <c r="J37" s="29" t="s">
        <v>123</v>
      </c>
      <c r="K37" s="29" t="s">
        <v>1426</v>
      </c>
      <c r="L37" s="29" t="s">
        <v>322</v>
      </c>
      <c r="M37" s="29">
        <v>83024100</v>
      </c>
      <c r="N37" s="29">
        <v>200</v>
      </c>
      <c r="O37" s="29">
        <v>60</v>
      </c>
      <c r="P37" s="29"/>
      <c r="R37" s="9">
        <v>318.45238165004292</v>
      </c>
      <c r="T37" s="19"/>
      <c r="U37" s="7" t="s">
        <v>34</v>
      </c>
    </row>
    <row r="38" spans="1:21" ht="14.1" customHeight="1">
      <c r="A38" s="29">
        <v>35</v>
      </c>
      <c r="B38" s="19" t="s">
        <v>456</v>
      </c>
      <c r="C38" s="19" t="s">
        <v>379</v>
      </c>
      <c r="D38" s="29" t="s">
        <v>1601</v>
      </c>
      <c r="E38" s="19" t="s">
        <v>4054</v>
      </c>
      <c r="F38" s="29" t="s">
        <v>457</v>
      </c>
      <c r="G38" s="19" t="s">
        <v>4094</v>
      </c>
      <c r="H38" s="29" t="s">
        <v>4019</v>
      </c>
      <c r="I38" s="19" t="s">
        <v>4095</v>
      </c>
      <c r="J38" s="29" t="s">
        <v>123</v>
      </c>
      <c r="K38" s="29" t="s">
        <v>1426</v>
      </c>
      <c r="L38" s="29" t="s">
        <v>322</v>
      </c>
      <c r="M38" s="29">
        <v>83024100</v>
      </c>
      <c r="N38" s="29">
        <v>200</v>
      </c>
      <c r="O38" s="29">
        <v>60</v>
      </c>
      <c r="P38" s="29"/>
      <c r="R38" s="9">
        <v>73.61969700267737</v>
      </c>
      <c r="T38" s="19"/>
      <c r="U38" s="7" t="s">
        <v>34</v>
      </c>
    </row>
    <row r="39" spans="1:21" ht="14.1" customHeight="1">
      <c r="A39" s="29">
        <v>36</v>
      </c>
      <c r="B39" s="19" t="s">
        <v>609</v>
      </c>
      <c r="C39" s="19" t="s">
        <v>379</v>
      </c>
      <c r="D39" s="29" t="s">
        <v>1601</v>
      </c>
      <c r="E39" s="19" t="s">
        <v>4046</v>
      </c>
      <c r="F39" s="29" t="s">
        <v>26</v>
      </c>
      <c r="G39" s="19" t="s">
        <v>4096</v>
      </c>
      <c r="H39" s="29" t="s">
        <v>4097</v>
      </c>
      <c r="I39" s="19" t="s">
        <v>4098</v>
      </c>
      <c r="J39" s="29" t="s">
        <v>123</v>
      </c>
      <c r="K39" s="29" t="s">
        <v>1426</v>
      </c>
      <c r="L39" s="29" t="s">
        <v>322</v>
      </c>
      <c r="M39" s="29">
        <v>83024100</v>
      </c>
      <c r="N39" s="29">
        <v>200</v>
      </c>
      <c r="O39" s="29">
        <v>60</v>
      </c>
      <c r="P39" s="29"/>
      <c r="R39" s="9">
        <v>229.54243988527099</v>
      </c>
      <c r="T39" s="19"/>
      <c r="U39" s="7" t="s">
        <v>34</v>
      </c>
    </row>
    <row r="40" spans="1:21" ht="14.1" customHeight="1">
      <c r="A40" s="29">
        <v>37</v>
      </c>
      <c r="B40" s="19" t="s">
        <v>609</v>
      </c>
      <c r="C40" s="19" t="s">
        <v>379</v>
      </c>
      <c r="D40" s="29" t="s">
        <v>1601</v>
      </c>
      <c r="E40" s="19" t="s">
        <v>4046</v>
      </c>
      <c r="F40" s="29" t="s">
        <v>26</v>
      </c>
      <c r="G40" s="19" t="s">
        <v>4099</v>
      </c>
      <c r="H40" s="29" t="s">
        <v>4097</v>
      </c>
      <c r="I40" s="19" t="s">
        <v>4100</v>
      </c>
      <c r="J40" s="29" t="s">
        <v>123</v>
      </c>
      <c r="K40" s="29" t="s">
        <v>1426</v>
      </c>
      <c r="L40" s="29" t="s">
        <v>322</v>
      </c>
      <c r="M40" s="29">
        <v>83024100</v>
      </c>
      <c r="N40" s="29">
        <v>200</v>
      </c>
      <c r="O40" s="29">
        <v>60</v>
      </c>
      <c r="P40" s="29"/>
      <c r="R40" s="9">
        <v>206.32392006134961</v>
      </c>
      <c r="T40" s="19"/>
      <c r="U40" s="7" t="s">
        <v>34</v>
      </c>
    </row>
    <row r="41" spans="1:21" ht="14.1" customHeight="1">
      <c r="A41" s="29">
        <v>38</v>
      </c>
      <c r="B41" s="19" t="s">
        <v>609</v>
      </c>
      <c r="C41" s="19" t="s">
        <v>379</v>
      </c>
      <c r="D41" s="29" t="s">
        <v>1601</v>
      </c>
      <c r="E41" s="19" t="s">
        <v>4046</v>
      </c>
      <c r="F41" s="29" t="s">
        <v>26</v>
      </c>
      <c r="G41" s="19" t="s">
        <v>4101</v>
      </c>
      <c r="H41" s="29" t="s">
        <v>4097</v>
      </c>
      <c r="I41" s="19" t="s">
        <v>4102</v>
      </c>
      <c r="J41" s="29" t="s">
        <v>123</v>
      </c>
      <c r="K41" s="29" t="s">
        <v>1426</v>
      </c>
      <c r="L41" s="29" t="s">
        <v>322</v>
      </c>
      <c r="M41" s="29">
        <v>83024100</v>
      </c>
      <c r="N41" s="29">
        <v>200</v>
      </c>
      <c r="O41" s="29">
        <v>60</v>
      </c>
      <c r="P41" s="29"/>
      <c r="R41" s="9">
        <v>248.79682217827889</v>
      </c>
      <c r="T41" s="19"/>
      <c r="U41" s="7" t="s">
        <v>34</v>
      </c>
    </row>
    <row r="42" spans="1:21" ht="14.1" customHeight="1">
      <c r="A42" s="29">
        <v>39</v>
      </c>
      <c r="B42" s="19" t="s">
        <v>609</v>
      </c>
      <c r="C42" s="19" t="s">
        <v>379</v>
      </c>
      <c r="D42" s="29" t="s">
        <v>1601</v>
      </c>
      <c r="E42" s="19" t="s">
        <v>4046</v>
      </c>
      <c r="F42" s="29" t="s">
        <v>26</v>
      </c>
      <c r="G42" s="19" t="s">
        <v>4103</v>
      </c>
      <c r="H42" s="29" t="s">
        <v>4097</v>
      </c>
      <c r="I42" s="19" t="s">
        <v>4104</v>
      </c>
      <c r="J42" s="29" t="s">
        <v>123</v>
      </c>
      <c r="K42" s="29" t="s">
        <v>1426</v>
      </c>
      <c r="L42" s="29" t="s">
        <v>322</v>
      </c>
      <c r="M42" s="29">
        <v>83024100</v>
      </c>
      <c r="N42" s="29">
        <v>200</v>
      </c>
      <c r="O42" s="29">
        <v>60</v>
      </c>
      <c r="P42" s="29"/>
      <c r="R42" s="9">
        <v>385.27641431401162</v>
      </c>
      <c r="T42" s="19"/>
      <c r="U42" s="7" t="s">
        <v>34</v>
      </c>
    </row>
    <row r="43" spans="1:21" ht="14.1" customHeight="1">
      <c r="A43" s="29">
        <v>40</v>
      </c>
      <c r="B43" s="19" t="s">
        <v>609</v>
      </c>
      <c r="C43" s="19" t="s">
        <v>379</v>
      </c>
      <c r="D43" s="29" t="s">
        <v>1601</v>
      </c>
      <c r="E43" s="19" t="s">
        <v>4046</v>
      </c>
      <c r="F43" s="29" t="s">
        <v>26</v>
      </c>
      <c r="G43" s="19" t="s">
        <v>4105</v>
      </c>
      <c r="H43" s="29" t="s">
        <v>4097</v>
      </c>
      <c r="I43" s="19" t="s">
        <v>4106</v>
      </c>
      <c r="J43" s="29" t="s">
        <v>123</v>
      </c>
      <c r="K43" s="29" t="s">
        <v>1426</v>
      </c>
      <c r="L43" s="29" t="s">
        <v>322</v>
      </c>
      <c r="M43" s="29">
        <v>83024100</v>
      </c>
      <c r="N43" s="29">
        <v>200</v>
      </c>
      <c r="O43" s="29">
        <v>60</v>
      </c>
      <c r="P43" s="29"/>
      <c r="R43" s="9">
        <v>423.40764199232132</v>
      </c>
      <c r="T43" s="19"/>
      <c r="U43" s="7" t="s">
        <v>34</v>
      </c>
    </row>
    <row r="44" spans="1:21" ht="14.1" customHeight="1">
      <c r="A44" s="29">
        <v>41</v>
      </c>
      <c r="B44" s="19" t="s">
        <v>609</v>
      </c>
      <c r="C44" s="19" t="s">
        <v>379</v>
      </c>
      <c r="D44" s="29" t="s">
        <v>838</v>
      </c>
      <c r="E44" s="19" t="s">
        <v>4054</v>
      </c>
      <c r="F44" s="29" t="s">
        <v>26</v>
      </c>
      <c r="G44" s="19" t="s">
        <v>4107</v>
      </c>
      <c r="H44" s="29" t="s">
        <v>4019</v>
      </c>
      <c r="I44" s="19" t="s">
        <v>4108</v>
      </c>
      <c r="J44" s="29" t="s">
        <v>123</v>
      </c>
      <c r="K44" s="29" t="s">
        <v>1426</v>
      </c>
      <c r="L44" s="29" t="s">
        <v>322</v>
      </c>
      <c r="M44" s="29">
        <v>83024100</v>
      </c>
      <c r="N44" s="29">
        <v>200</v>
      </c>
      <c r="O44" s="29">
        <v>60</v>
      </c>
      <c r="P44" s="29"/>
      <c r="R44" s="9">
        <v>265.97475147890361</v>
      </c>
      <c r="T44" s="19"/>
      <c r="U44" s="7" t="s">
        <v>34</v>
      </c>
    </row>
    <row r="45" spans="1:21" ht="14.1" customHeight="1">
      <c r="A45" s="29">
        <v>42</v>
      </c>
      <c r="B45" s="19" t="s">
        <v>609</v>
      </c>
      <c r="C45" s="19" t="s">
        <v>379</v>
      </c>
      <c r="D45" s="29" t="s">
        <v>838</v>
      </c>
      <c r="E45" s="19" t="s">
        <v>4054</v>
      </c>
      <c r="F45" s="29" t="s">
        <v>26</v>
      </c>
      <c r="G45" s="19" t="s">
        <v>4037</v>
      </c>
      <c r="H45" s="29" t="s">
        <v>4019</v>
      </c>
      <c r="I45" s="19" t="s">
        <v>4109</v>
      </c>
      <c r="J45" s="29" t="s">
        <v>123</v>
      </c>
      <c r="K45" s="29" t="s">
        <v>1426</v>
      </c>
      <c r="L45" s="29" t="s">
        <v>322</v>
      </c>
      <c r="M45" s="29">
        <v>83024100</v>
      </c>
      <c r="N45" s="29">
        <v>200</v>
      </c>
      <c r="O45" s="29">
        <v>60</v>
      </c>
      <c r="P45" s="29"/>
      <c r="R45" s="9">
        <v>394.52606855280948</v>
      </c>
      <c r="T45" s="19"/>
      <c r="U45" s="7" t="s">
        <v>34</v>
      </c>
    </row>
    <row r="46" spans="1:21" ht="14.1" customHeight="1">
      <c r="A46" s="29">
        <v>43</v>
      </c>
      <c r="B46" s="19" t="s">
        <v>609</v>
      </c>
      <c r="C46" s="19" t="s">
        <v>379</v>
      </c>
      <c r="D46" s="29" t="s">
        <v>838</v>
      </c>
      <c r="E46" s="19" t="s">
        <v>4054</v>
      </c>
      <c r="F46" s="29" t="s">
        <v>26</v>
      </c>
      <c r="G46" s="19" t="s">
        <v>4110</v>
      </c>
      <c r="H46" s="29" t="s">
        <v>4019</v>
      </c>
      <c r="I46" s="19" t="s">
        <v>4111</v>
      </c>
      <c r="J46" s="29" t="s">
        <v>123</v>
      </c>
      <c r="K46" s="29" t="s">
        <v>1426</v>
      </c>
      <c r="L46" s="29" t="s">
        <v>322</v>
      </c>
      <c r="M46" s="29">
        <v>83024100</v>
      </c>
      <c r="N46" s="29">
        <v>200</v>
      </c>
      <c r="O46" s="29">
        <v>60</v>
      </c>
      <c r="P46" s="29"/>
      <c r="R46" s="9">
        <v>403.58695433775438</v>
      </c>
      <c r="T46" s="19"/>
      <c r="U46" s="7" t="s">
        <v>34</v>
      </c>
    </row>
    <row r="47" spans="1:21" ht="14.1" customHeight="1">
      <c r="A47" s="29">
        <v>44</v>
      </c>
      <c r="B47" s="19" t="s">
        <v>609</v>
      </c>
      <c r="C47" s="19" t="s">
        <v>379</v>
      </c>
      <c r="D47" s="29" t="s">
        <v>1601</v>
      </c>
      <c r="E47" s="19" t="s">
        <v>4112</v>
      </c>
      <c r="F47" s="29" t="s">
        <v>26</v>
      </c>
      <c r="G47" s="19" t="s">
        <v>4113</v>
      </c>
      <c r="H47" s="29" t="s">
        <v>4019</v>
      </c>
      <c r="I47" s="19" t="s">
        <v>4114</v>
      </c>
      <c r="J47" s="29" t="s">
        <v>123</v>
      </c>
      <c r="K47" s="29" t="s">
        <v>1426</v>
      </c>
      <c r="L47" s="29" t="s">
        <v>322</v>
      </c>
      <c r="M47" s="29">
        <v>83024100</v>
      </c>
      <c r="N47" s="29">
        <v>200</v>
      </c>
      <c r="O47" s="29">
        <v>60</v>
      </c>
      <c r="P47" s="29"/>
      <c r="R47" s="9">
        <v>128.36254862005279</v>
      </c>
      <c r="T47" s="19"/>
      <c r="U47" s="7" t="s">
        <v>34</v>
      </c>
    </row>
    <row r="48" spans="1:21" ht="14.1" customHeight="1">
      <c r="A48" s="29">
        <v>45</v>
      </c>
      <c r="B48" s="19" t="s">
        <v>609</v>
      </c>
      <c r="C48" s="19" t="s">
        <v>379</v>
      </c>
      <c r="D48" s="29" t="s">
        <v>39</v>
      </c>
      <c r="E48" s="19" t="s">
        <v>4115</v>
      </c>
      <c r="F48" s="29" t="s">
        <v>26</v>
      </c>
      <c r="G48" s="19" t="s">
        <v>4116</v>
      </c>
      <c r="H48" s="29" t="s">
        <v>4019</v>
      </c>
      <c r="I48" s="19" t="s">
        <v>4117</v>
      </c>
      <c r="J48" s="29" t="s">
        <v>123</v>
      </c>
      <c r="K48" s="29" t="s">
        <v>1426</v>
      </c>
      <c r="L48" s="29" t="s">
        <v>322</v>
      </c>
      <c r="M48" s="29">
        <v>83024100</v>
      </c>
      <c r="N48" s="29">
        <v>200</v>
      </c>
      <c r="O48" s="29">
        <v>60</v>
      </c>
      <c r="P48" s="29"/>
      <c r="R48" s="9">
        <v>30.202952616483021</v>
      </c>
      <c r="T48" s="19"/>
      <c r="U48" s="7" t="s">
        <v>34</v>
      </c>
    </row>
    <row r="49" spans="1:21" ht="14.1" customHeight="1">
      <c r="A49" s="29">
        <v>46</v>
      </c>
      <c r="B49" s="19" t="s">
        <v>609</v>
      </c>
      <c r="C49" s="19" t="s">
        <v>379</v>
      </c>
      <c r="D49" s="29" t="s">
        <v>1601</v>
      </c>
      <c r="E49" s="19" t="s">
        <v>4046</v>
      </c>
      <c r="F49" s="29" t="s">
        <v>26</v>
      </c>
      <c r="G49" s="19" t="s">
        <v>4118</v>
      </c>
      <c r="H49" s="29" t="s">
        <v>4019</v>
      </c>
      <c r="I49" s="19" t="s">
        <v>4119</v>
      </c>
      <c r="J49" s="29" t="s">
        <v>123</v>
      </c>
      <c r="K49" s="29" t="s">
        <v>1426</v>
      </c>
      <c r="L49" s="29" t="s">
        <v>322</v>
      </c>
      <c r="M49" s="29">
        <v>83024100</v>
      </c>
      <c r="N49" s="29">
        <v>200</v>
      </c>
      <c r="O49" s="29">
        <v>60</v>
      </c>
      <c r="P49" s="29"/>
      <c r="R49" s="9">
        <v>186.5032324067827</v>
      </c>
      <c r="T49" s="19"/>
      <c r="U49" s="7" t="s">
        <v>34</v>
      </c>
    </row>
    <row r="50" spans="1:21" ht="14.1" customHeight="1">
      <c r="A50" s="29">
        <v>47</v>
      </c>
      <c r="B50" s="19" t="s">
        <v>609</v>
      </c>
      <c r="C50" s="19" t="s">
        <v>379</v>
      </c>
      <c r="D50" s="29" t="s">
        <v>658</v>
      </c>
      <c r="E50" s="19" t="s">
        <v>4120</v>
      </c>
      <c r="F50" s="29" t="s">
        <v>26</v>
      </c>
      <c r="G50" s="19" t="s">
        <v>4121</v>
      </c>
      <c r="H50" s="29" t="s">
        <v>4019</v>
      </c>
      <c r="I50" s="19" t="s">
        <v>4122</v>
      </c>
      <c r="J50" s="29" t="s">
        <v>30</v>
      </c>
      <c r="K50" s="29" t="s">
        <v>1426</v>
      </c>
      <c r="L50" s="29" t="s">
        <v>322</v>
      </c>
      <c r="M50" s="29">
        <v>83026000</v>
      </c>
      <c r="N50" s="29">
        <v>200</v>
      </c>
      <c r="O50" s="29">
        <v>60</v>
      </c>
      <c r="P50" s="29"/>
      <c r="R50" s="9">
        <v>90.042552487889992</v>
      </c>
      <c r="T50" s="19"/>
      <c r="U50" s="7" t="s">
        <v>34</v>
      </c>
    </row>
    <row r="51" spans="1:21" ht="14.1" customHeight="1">
      <c r="A51" s="29">
        <v>48</v>
      </c>
      <c r="B51" s="19" t="s">
        <v>609</v>
      </c>
      <c r="C51" s="19" t="s">
        <v>379</v>
      </c>
      <c r="D51" s="29" t="s">
        <v>1601</v>
      </c>
      <c r="E51" s="19" t="s">
        <v>4046</v>
      </c>
      <c r="F51" s="29" t="s">
        <v>26</v>
      </c>
      <c r="G51" s="19" t="s">
        <v>4123</v>
      </c>
      <c r="H51" s="29" t="s">
        <v>4019</v>
      </c>
      <c r="I51" s="19" t="s">
        <v>4124</v>
      </c>
      <c r="J51" s="29" t="s">
        <v>123</v>
      </c>
      <c r="K51" s="29" t="s">
        <v>1426</v>
      </c>
      <c r="L51" s="29" t="s">
        <v>322</v>
      </c>
      <c r="M51" s="29">
        <v>83024100</v>
      </c>
      <c r="N51" s="29">
        <v>200</v>
      </c>
      <c r="O51" s="29">
        <v>60</v>
      </c>
      <c r="P51" s="29"/>
      <c r="R51" s="9">
        <v>214.25219512317639</v>
      </c>
      <c r="T51" s="19"/>
      <c r="U51" s="7" t="s">
        <v>34</v>
      </c>
    </row>
    <row r="52" spans="1:21" ht="14.1" customHeight="1">
      <c r="A52" s="29">
        <v>49</v>
      </c>
      <c r="B52" s="19" t="s">
        <v>609</v>
      </c>
      <c r="C52" s="19" t="s">
        <v>379</v>
      </c>
      <c r="D52" s="29" t="s">
        <v>1601</v>
      </c>
      <c r="E52" s="19" t="s">
        <v>4046</v>
      </c>
      <c r="F52" s="29" t="s">
        <v>26</v>
      </c>
      <c r="G52" s="19" t="s">
        <v>4125</v>
      </c>
      <c r="H52" s="29" t="s">
        <v>4019</v>
      </c>
      <c r="I52" s="19" t="s">
        <v>4126</v>
      </c>
      <c r="J52" s="29" t="s">
        <v>123</v>
      </c>
      <c r="K52" s="29" t="s">
        <v>1426</v>
      </c>
      <c r="L52" s="29" t="s">
        <v>322</v>
      </c>
      <c r="M52" s="29">
        <v>83024100</v>
      </c>
      <c r="N52" s="29">
        <v>200</v>
      </c>
      <c r="O52" s="29">
        <v>60</v>
      </c>
      <c r="P52" s="29"/>
      <c r="R52" s="9">
        <v>268.42874137899292</v>
      </c>
      <c r="T52" s="19"/>
      <c r="U52" s="7" t="s">
        <v>34</v>
      </c>
    </row>
    <row r="53" spans="1:21" ht="14.1" customHeight="1">
      <c r="A53" s="29">
        <v>50</v>
      </c>
      <c r="B53" s="19" t="s">
        <v>609</v>
      </c>
      <c r="C53" s="19" t="s">
        <v>379</v>
      </c>
      <c r="D53" s="29" t="s">
        <v>838</v>
      </c>
      <c r="E53" s="19" t="s">
        <v>4054</v>
      </c>
      <c r="F53" s="29" t="s">
        <v>26</v>
      </c>
      <c r="G53" s="19" t="s">
        <v>4127</v>
      </c>
      <c r="H53" s="29" t="s">
        <v>4019</v>
      </c>
      <c r="I53" s="19" t="s">
        <v>4128</v>
      </c>
      <c r="J53" s="29" t="s">
        <v>123</v>
      </c>
      <c r="K53" s="29" t="s">
        <v>1426</v>
      </c>
      <c r="L53" s="29" t="s">
        <v>322</v>
      </c>
      <c r="M53" s="29">
        <v>83024100</v>
      </c>
      <c r="N53" s="29">
        <v>200</v>
      </c>
      <c r="O53" s="29">
        <v>60</v>
      </c>
      <c r="P53" s="29"/>
      <c r="R53" s="9">
        <v>198.2068765456699</v>
      </c>
      <c r="T53" s="19"/>
      <c r="U53" s="7" t="s">
        <v>34</v>
      </c>
    </row>
    <row r="54" spans="1:21" ht="14.1" customHeight="1">
      <c r="A54" s="29">
        <v>51</v>
      </c>
      <c r="B54" s="19" t="s">
        <v>609</v>
      </c>
      <c r="C54" s="19" t="s">
        <v>379</v>
      </c>
      <c r="D54" s="29" t="s">
        <v>773</v>
      </c>
      <c r="E54" s="19" t="s">
        <v>399</v>
      </c>
      <c r="F54" s="29" t="s">
        <v>26</v>
      </c>
      <c r="G54" s="19" t="s">
        <v>4129</v>
      </c>
      <c r="H54" s="29" t="s">
        <v>4019</v>
      </c>
      <c r="I54" s="19" t="s">
        <v>4130</v>
      </c>
      <c r="J54" s="29" t="s">
        <v>123</v>
      </c>
      <c r="K54" s="29" t="s">
        <v>1426</v>
      </c>
      <c r="L54" s="29" t="s">
        <v>322</v>
      </c>
      <c r="M54" s="29">
        <v>83024100</v>
      </c>
      <c r="N54" s="29">
        <v>200</v>
      </c>
      <c r="O54" s="29">
        <v>60</v>
      </c>
      <c r="P54" s="29"/>
      <c r="R54" s="9">
        <v>736.19697002677367</v>
      </c>
      <c r="T54" s="29" t="s">
        <v>34</v>
      </c>
      <c r="U54" s="7"/>
    </row>
    <row r="55" spans="1:21" ht="14.1" customHeight="1">
      <c r="A55" s="29">
        <v>52</v>
      </c>
      <c r="B55" s="19" t="s">
        <v>609</v>
      </c>
      <c r="C55" s="19" t="s">
        <v>379</v>
      </c>
      <c r="D55" s="29" t="s">
        <v>773</v>
      </c>
      <c r="E55" s="19" t="s">
        <v>399</v>
      </c>
      <c r="F55" s="29" t="s">
        <v>26</v>
      </c>
      <c r="G55" s="19" t="s">
        <v>4131</v>
      </c>
      <c r="H55" s="29" t="s">
        <v>4019</v>
      </c>
      <c r="I55" s="19" t="s">
        <v>4132</v>
      </c>
      <c r="J55" s="29" t="s">
        <v>123</v>
      </c>
      <c r="K55" s="29" t="s">
        <v>1426</v>
      </c>
      <c r="L55" s="29" t="s">
        <v>322</v>
      </c>
      <c r="M55" s="29">
        <v>83024100</v>
      </c>
      <c r="N55" s="29">
        <v>200</v>
      </c>
      <c r="O55" s="29">
        <v>60</v>
      </c>
      <c r="P55" s="29"/>
      <c r="R55" s="9">
        <v>349.22163962808497</v>
      </c>
      <c r="T55" s="29" t="s">
        <v>34</v>
      </c>
      <c r="U55" s="7"/>
    </row>
    <row r="56" spans="1:21" ht="14.1" customHeight="1">
      <c r="A56" s="29">
        <v>53</v>
      </c>
      <c r="B56" s="19" t="s">
        <v>609</v>
      </c>
      <c r="C56" s="19" t="s">
        <v>379</v>
      </c>
      <c r="D56" s="29" t="s">
        <v>773</v>
      </c>
      <c r="E56" s="19" t="s">
        <v>399</v>
      </c>
      <c r="F56" s="29" t="s">
        <v>26</v>
      </c>
      <c r="G56" s="19" t="s">
        <v>4133</v>
      </c>
      <c r="H56" s="29" t="s">
        <v>4019</v>
      </c>
      <c r="I56" s="19" t="s">
        <v>4134</v>
      </c>
      <c r="J56" s="29" t="s">
        <v>123</v>
      </c>
      <c r="K56" s="29" t="s">
        <v>1426</v>
      </c>
      <c r="L56" s="29" t="s">
        <v>322</v>
      </c>
      <c r="M56" s="29">
        <v>83024100</v>
      </c>
      <c r="N56" s="29">
        <v>200</v>
      </c>
      <c r="O56" s="29">
        <v>60</v>
      </c>
      <c r="P56" s="29"/>
      <c r="R56" s="9">
        <v>349.22163962808497</v>
      </c>
      <c r="T56" s="29" t="s">
        <v>34</v>
      </c>
      <c r="U56" s="7"/>
    </row>
    <row r="57" spans="1:21" ht="14.1" customHeight="1">
      <c r="A57" s="29">
        <v>54</v>
      </c>
      <c r="B57" s="19" t="s">
        <v>609</v>
      </c>
      <c r="C57" s="19" t="s">
        <v>379</v>
      </c>
      <c r="D57" s="29" t="s">
        <v>252</v>
      </c>
      <c r="E57" s="19" t="s">
        <v>4135</v>
      </c>
      <c r="F57" s="29" t="s">
        <v>26</v>
      </c>
      <c r="G57" s="19" t="s">
        <v>4136</v>
      </c>
      <c r="H57" s="29" t="s">
        <v>4019</v>
      </c>
      <c r="I57" s="19" t="s">
        <v>4137</v>
      </c>
      <c r="J57" s="29" t="s">
        <v>123</v>
      </c>
      <c r="K57" s="29" t="s">
        <v>1426</v>
      </c>
      <c r="L57" s="29" t="s">
        <v>322</v>
      </c>
      <c r="M57" s="29">
        <v>83016000</v>
      </c>
      <c r="N57" s="29">
        <v>200</v>
      </c>
      <c r="O57" s="29">
        <v>75</v>
      </c>
      <c r="P57" s="29"/>
      <c r="R57" s="9">
        <v>3680.9848501338679</v>
      </c>
      <c r="T57" s="29" t="s">
        <v>34</v>
      </c>
      <c r="U57" s="7"/>
    </row>
    <row r="58" spans="1:21" ht="14.1" customHeight="1">
      <c r="A58" s="29">
        <v>55</v>
      </c>
      <c r="B58" s="19" t="s">
        <v>609</v>
      </c>
      <c r="C58" s="19" t="s">
        <v>379</v>
      </c>
      <c r="D58" s="29" t="s">
        <v>252</v>
      </c>
      <c r="E58" s="19" t="s">
        <v>4135</v>
      </c>
      <c r="F58" s="29" t="s">
        <v>26</v>
      </c>
      <c r="G58" s="19" t="s">
        <v>4138</v>
      </c>
      <c r="H58" s="29" t="s">
        <v>4019</v>
      </c>
      <c r="I58" s="19" t="s">
        <v>4139</v>
      </c>
      <c r="J58" s="29" t="s">
        <v>123</v>
      </c>
      <c r="K58" s="29" t="s">
        <v>1426</v>
      </c>
      <c r="L58" s="29" t="s">
        <v>322</v>
      </c>
      <c r="M58" s="29">
        <v>83016000</v>
      </c>
      <c r="N58" s="29">
        <v>200</v>
      </c>
      <c r="O58" s="29">
        <v>75</v>
      </c>
      <c r="P58" s="29"/>
      <c r="R58" s="9">
        <v>3907.5069947574912</v>
      </c>
      <c r="T58" s="29" t="s">
        <v>34</v>
      </c>
      <c r="U58" s="7"/>
    </row>
    <row r="59" spans="1:21" ht="14.1" customHeight="1">
      <c r="A59" s="308">
        <v>56</v>
      </c>
      <c r="B59" s="309" t="s">
        <v>609</v>
      </c>
      <c r="C59" s="309" t="s">
        <v>379</v>
      </c>
      <c r="D59" s="308" t="s">
        <v>252</v>
      </c>
      <c r="E59" s="309" t="s">
        <v>4135</v>
      </c>
      <c r="F59" s="308" t="s">
        <v>26</v>
      </c>
      <c r="G59" s="323" t="s">
        <v>4140</v>
      </c>
      <c r="H59" s="308" t="s">
        <v>4019</v>
      </c>
      <c r="I59" s="323" t="s">
        <v>4141</v>
      </c>
      <c r="J59" s="308" t="s">
        <v>123</v>
      </c>
      <c r="K59" s="308" t="s">
        <v>1426</v>
      </c>
      <c r="L59" s="308" t="s">
        <v>322</v>
      </c>
      <c r="M59" s="308">
        <v>83016000</v>
      </c>
      <c r="N59" s="308">
        <v>200</v>
      </c>
      <c r="O59" s="308">
        <v>75</v>
      </c>
      <c r="P59" s="308"/>
      <c r="Q59" s="310"/>
      <c r="R59" s="319">
        <v>3869.7533039868881</v>
      </c>
      <c r="S59" s="310"/>
      <c r="T59" s="308" t="s">
        <v>34</v>
      </c>
      <c r="U59" s="311"/>
    </row>
    <row r="60" spans="1:21" ht="14.1" customHeight="1">
      <c r="A60" s="308">
        <v>57</v>
      </c>
      <c r="B60" s="309" t="s">
        <v>609</v>
      </c>
      <c r="C60" s="309" t="s">
        <v>379</v>
      </c>
      <c r="D60" s="308" t="s">
        <v>252</v>
      </c>
      <c r="E60" s="309" t="s">
        <v>4135</v>
      </c>
      <c r="F60" s="308" t="s">
        <v>26</v>
      </c>
      <c r="G60" s="323" t="s">
        <v>4142</v>
      </c>
      <c r="H60" s="308" t="s">
        <v>4019</v>
      </c>
      <c r="I60" s="323" t="s">
        <v>4143</v>
      </c>
      <c r="J60" s="308" t="s">
        <v>123</v>
      </c>
      <c r="K60" s="308" t="s">
        <v>1426</v>
      </c>
      <c r="L60" s="308" t="s">
        <v>322</v>
      </c>
      <c r="M60" s="308">
        <v>83016000</v>
      </c>
      <c r="N60" s="308">
        <v>200</v>
      </c>
      <c r="O60" s="308">
        <v>75</v>
      </c>
      <c r="P60" s="308"/>
      <c r="Q60" s="310"/>
      <c r="R60" s="319">
        <v>4096.2754486105096</v>
      </c>
      <c r="S60" s="310"/>
      <c r="T60" s="308" t="s">
        <v>34</v>
      </c>
      <c r="U60" s="311"/>
    </row>
    <row r="61" spans="1:21" ht="14.1" customHeight="1"/>
    <row r="62" spans="1:21" ht="14.1" customHeight="1"/>
    <row r="63" spans="1:21" ht="14.1" customHeight="1"/>
    <row r="64" spans="1:21" ht="14.1" customHeight="1"/>
    <row r="65" ht="14.1" customHeight="1"/>
    <row r="66" ht="14.1" customHeight="1"/>
    <row r="67" ht="14.1" customHeight="1"/>
    <row r="68" ht="14.1" customHeight="1"/>
    <row r="69" ht="14.1" customHeight="1"/>
    <row r="70" ht="14.1" customHeight="1"/>
    <row r="71" ht="14.1" customHeight="1"/>
    <row r="72" ht="14.1" customHeight="1"/>
    <row r="73" ht="14.1" customHeight="1"/>
    <row r="74" ht="14.1" customHeight="1"/>
    <row r="75" ht="14.1" customHeight="1"/>
    <row r="76" ht="14.1" customHeight="1"/>
    <row r="77" ht="14.1" customHeight="1"/>
    <row r="78" ht="14.1" customHeight="1"/>
    <row r="79" ht="14.1" customHeight="1"/>
    <row r="80" ht="14.1" customHeight="1"/>
    <row r="81" ht="14.1" customHeight="1"/>
    <row r="82" ht="14.1" customHeight="1"/>
    <row r="83" ht="14.1" customHeight="1"/>
    <row r="84" ht="14.1" customHeight="1"/>
    <row r="85" ht="14.1" customHeight="1"/>
    <row r="86" ht="14.1" customHeight="1"/>
    <row r="87" ht="14.1" customHeight="1"/>
    <row r="88" ht="14.1" customHeight="1"/>
    <row r="89" ht="14.1" customHeight="1"/>
    <row r="90" ht="14.1" customHeight="1"/>
    <row r="91" ht="14.1" customHeight="1"/>
    <row r="92" ht="14.1" customHeight="1"/>
    <row r="93" ht="14.1" customHeight="1"/>
    <row r="94" ht="14.1" customHeight="1"/>
    <row r="95" ht="14.1" customHeight="1"/>
    <row r="96" ht="14.1" customHeight="1"/>
    <row r="97" ht="14.1" customHeight="1"/>
    <row r="98" ht="14.1" customHeight="1"/>
    <row r="99" ht="14.1" customHeight="1"/>
    <row r="100" ht="14.1" customHeight="1"/>
    <row r="101" ht="14.1" customHeight="1"/>
    <row r="102" ht="14.1" customHeight="1"/>
    <row r="103" ht="14.1" customHeight="1"/>
    <row r="104" ht="14.1" customHeight="1"/>
    <row r="105" ht="14.1" customHeight="1"/>
    <row r="106" ht="14.1" customHeight="1"/>
    <row r="107" ht="14.1" customHeight="1"/>
    <row r="108" ht="14.1" customHeight="1"/>
    <row r="109" ht="14.1" customHeight="1"/>
    <row r="110" ht="14.1" customHeight="1"/>
    <row r="111" ht="14.1" customHeight="1"/>
    <row r="112" ht="14.1" customHeight="1"/>
    <row r="113" ht="14.1" customHeight="1"/>
    <row r="114" ht="14.1" customHeight="1"/>
    <row r="115" ht="14.1" customHeight="1"/>
    <row r="116" ht="14.1" customHeight="1"/>
    <row r="117" ht="14.1" customHeight="1"/>
    <row r="118" ht="14.1" customHeight="1"/>
    <row r="119" ht="14.1" customHeight="1"/>
    <row r="120" ht="14.1" customHeight="1"/>
    <row r="121" ht="14.1" customHeight="1"/>
    <row r="122" ht="14.1" customHeight="1"/>
    <row r="123" ht="14.1" customHeight="1"/>
    <row r="124" ht="14.1" customHeight="1"/>
    <row r="125" ht="14.1" customHeight="1"/>
    <row r="126" ht="14.1" customHeight="1"/>
    <row r="127" ht="14.1" customHeight="1"/>
    <row r="128" ht="14.1" customHeight="1"/>
    <row r="129" ht="14.1" customHeight="1"/>
    <row r="130" ht="14.1" customHeight="1"/>
    <row r="131" ht="14.1" customHeight="1"/>
    <row r="132" ht="14.1" customHeight="1"/>
    <row r="133" ht="14.1" customHeight="1"/>
    <row r="134" ht="14.1" customHeight="1"/>
    <row r="135" ht="14.1" customHeight="1"/>
    <row r="136" ht="14.1" customHeight="1"/>
    <row r="137" ht="14.1" customHeight="1"/>
    <row r="138" ht="14.1" customHeight="1"/>
    <row r="139" ht="14.1" customHeight="1"/>
    <row r="140" ht="14.1" customHeight="1"/>
    <row r="141" ht="14.1" customHeight="1"/>
    <row r="142" ht="14.1" customHeight="1"/>
    <row r="143" ht="14.1" customHeight="1"/>
    <row r="144" ht="14.1" customHeight="1"/>
    <row r="145" ht="14.1" customHeight="1"/>
    <row r="146" ht="14.1" customHeight="1"/>
    <row r="147" ht="14.1" customHeight="1"/>
    <row r="148" ht="14.1" customHeight="1"/>
    <row r="149" ht="14.1" customHeight="1"/>
    <row r="150" ht="14.1" customHeight="1"/>
    <row r="151" ht="14.1" customHeight="1"/>
    <row r="152" ht="14.1" customHeight="1"/>
    <row r="153" ht="14.1" customHeight="1"/>
    <row r="154" ht="14.1" customHeight="1"/>
    <row r="155" ht="14.1" customHeight="1"/>
    <row r="156" ht="14.1" customHeight="1"/>
    <row r="157" ht="14.1" customHeight="1"/>
    <row r="158" ht="14.1" customHeight="1"/>
    <row r="159" ht="14.1" customHeight="1"/>
    <row r="160" ht="14.1" customHeight="1"/>
    <row r="161" ht="14.1" customHeight="1"/>
    <row r="162" ht="14.1" customHeight="1"/>
    <row r="163" ht="14.1" customHeight="1"/>
    <row r="164" ht="14.1" customHeight="1"/>
    <row r="165" ht="14.1" customHeight="1"/>
    <row r="166" ht="14.1" customHeight="1"/>
    <row r="167" ht="14.1" customHeight="1"/>
    <row r="168" ht="14.1" customHeight="1"/>
    <row r="169" ht="14.1" customHeight="1"/>
    <row r="170" ht="14.1" customHeight="1"/>
    <row r="171" ht="14.1" customHeight="1"/>
    <row r="172" ht="14.1" customHeight="1"/>
    <row r="173" ht="14.1" customHeight="1"/>
    <row r="174" ht="14.1" customHeight="1"/>
    <row r="175" ht="14.1" customHeight="1"/>
    <row r="176" ht="14.1" customHeight="1"/>
    <row r="177" ht="14.1" customHeight="1"/>
    <row r="178" ht="14.1" customHeight="1"/>
    <row r="179" ht="14.1" customHeight="1"/>
    <row r="180" ht="14.1" customHeight="1"/>
    <row r="181" ht="14.1" customHeight="1"/>
    <row r="182" ht="14.1" customHeight="1"/>
    <row r="183" ht="14.1" customHeight="1"/>
    <row r="184" ht="14.1" customHeight="1"/>
    <row r="185" ht="14.1" customHeight="1"/>
    <row r="186" ht="14.1" customHeight="1"/>
    <row r="187" ht="14.1" customHeight="1"/>
    <row r="188" ht="14.1" customHeight="1"/>
    <row r="189" ht="14.1" customHeight="1"/>
    <row r="190" ht="14.1" customHeight="1"/>
    <row r="191" ht="14.1" customHeight="1"/>
    <row r="192" ht="14.1" customHeight="1"/>
    <row r="193" ht="14.1" customHeight="1"/>
    <row r="194" ht="14.1" customHeight="1"/>
    <row r="195" ht="14.1" customHeight="1"/>
    <row r="196" ht="14.1" customHeight="1"/>
    <row r="197" ht="14.1" customHeight="1"/>
    <row r="198" ht="14.1" customHeight="1"/>
    <row r="199" ht="14.1" customHeight="1"/>
    <row r="200" ht="14.1" customHeight="1"/>
    <row r="201" ht="14.1" customHeight="1"/>
    <row r="202" ht="14.1" customHeight="1"/>
    <row r="203" ht="14.1" customHeight="1"/>
    <row r="204" ht="14.1" customHeight="1"/>
    <row r="205" ht="14.1" customHeight="1"/>
    <row r="206" ht="14.1" customHeight="1"/>
    <row r="207" ht="14.1" customHeight="1"/>
    <row r="208" ht="14.1" customHeight="1"/>
    <row r="209" ht="14.1" customHeight="1"/>
    <row r="210" ht="14.1" customHeight="1"/>
    <row r="211" ht="14.1" customHeight="1"/>
    <row r="212" ht="14.1" customHeight="1"/>
    <row r="213" ht="14.1" customHeight="1"/>
    <row r="214" ht="14.1" customHeight="1"/>
    <row r="215" ht="14.1" customHeight="1"/>
    <row r="216" ht="14.1" customHeight="1"/>
    <row r="217" ht="14.1" customHeight="1"/>
    <row r="218" ht="14.1" customHeight="1"/>
    <row r="219" ht="14.1" customHeight="1"/>
    <row r="220" ht="14.1" customHeight="1"/>
    <row r="221" ht="14.1" customHeight="1"/>
    <row r="222" ht="14.1" customHeight="1"/>
    <row r="223" ht="14.1" customHeight="1"/>
    <row r="224" ht="14.1" customHeight="1"/>
    <row r="225" ht="14.1" customHeight="1"/>
    <row r="226" ht="14.1" customHeight="1"/>
    <row r="227" ht="14.1" customHeight="1"/>
    <row r="228" ht="14.1" customHeight="1"/>
    <row r="229" ht="14.1" customHeight="1"/>
    <row r="230" ht="14.1" customHeight="1"/>
    <row r="231" ht="14.1" customHeight="1"/>
    <row r="232" ht="14.1" customHeight="1"/>
    <row r="233" ht="14.1" customHeight="1"/>
    <row r="234" ht="14.1" customHeight="1"/>
    <row r="235" ht="14.1" customHeight="1"/>
    <row r="236" ht="14.1" customHeight="1"/>
    <row r="237" ht="14.1" customHeight="1"/>
    <row r="238" ht="14.1" customHeight="1"/>
    <row r="239" ht="14.1" customHeight="1"/>
    <row r="240" ht="14.1" customHeight="1"/>
    <row r="241" ht="14.1" customHeight="1"/>
    <row r="242" ht="14.1" customHeight="1"/>
    <row r="243" ht="14.1" customHeight="1"/>
    <row r="244" ht="14.1" customHeight="1"/>
    <row r="245" ht="14.1" customHeight="1"/>
    <row r="246" ht="14.1" customHeight="1"/>
    <row r="247" ht="14.1" customHeight="1"/>
    <row r="248" ht="14.1" customHeight="1"/>
    <row r="249" ht="14.1" customHeight="1"/>
    <row r="250" ht="14.1" customHeight="1"/>
    <row r="251" ht="14.1" customHeight="1"/>
    <row r="252" ht="14.1" customHeight="1"/>
    <row r="253" ht="14.1" customHeight="1"/>
    <row r="254" ht="14.1" customHeight="1"/>
    <row r="255" ht="14.1" customHeight="1"/>
    <row r="256" ht="14.1" customHeight="1"/>
    <row r="257" ht="14.1" customHeight="1"/>
    <row r="258" ht="14.1" customHeight="1"/>
    <row r="259" ht="14.1" customHeight="1"/>
    <row r="260" ht="14.1" customHeight="1"/>
    <row r="261" ht="14.1" customHeight="1"/>
    <row r="262" ht="14.1" customHeight="1"/>
    <row r="263" ht="14.1" customHeight="1"/>
    <row r="264" ht="14.1" customHeight="1"/>
    <row r="265" ht="14.1" customHeight="1"/>
    <row r="266" ht="14.1" customHeight="1"/>
    <row r="267" ht="14.1" customHeight="1"/>
    <row r="268" ht="14.1" customHeight="1"/>
    <row r="269" ht="14.1" customHeight="1"/>
    <row r="270" ht="14.1" customHeight="1"/>
    <row r="271" ht="14.1" customHeight="1"/>
    <row r="272" ht="14.1" customHeight="1"/>
    <row r="273" ht="14.1" customHeight="1"/>
    <row r="274" ht="14.1" customHeight="1"/>
    <row r="275" ht="14.1" customHeight="1"/>
    <row r="276" ht="14.1" customHeight="1"/>
    <row r="277" ht="14.1" customHeight="1"/>
    <row r="278" ht="14.1" customHeight="1"/>
    <row r="279" ht="14.1" customHeight="1"/>
    <row r="280" ht="14.1" customHeight="1"/>
    <row r="281" ht="14.1" customHeight="1"/>
    <row r="282" ht="14.1" customHeight="1"/>
    <row r="283" ht="14.1" customHeight="1"/>
    <row r="284" ht="14.1" customHeight="1"/>
    <row r="285" ht="14.1" customHeight="1"/>
    <row r="286" ht="14.1" customHeight="1"/>
    <row r="287" ht="14.1" customHeight="1"/>
    <row r="288" ht="14.1" customHeight="1"/>
    <row r="289" ht="14.1" customHeight="1"/>
    <row r="290" ht="14.1" customHeight="1"/>
    <row r="291" ht="14.1" customHeight="1"/>
    <row r="292" ht="14.1" customHeight="1"/>
    <row r="293" ht="14.1" customHeight="1"/>
    <row r="294" ht="14.1" customHeight="1"/>
    <row r="295" ht="14.1" customHeight="1"/>
    <row r="296" ht="14.1" customHeight="1"/>
    <row r="297" ht="14.1" customHeight="1"/>
    <row r="298" ht="14.1" customHeight="1"/>
    <row r="299" ht="14.1" customHeight="1"/>
    <row r="300" ht="14.1" customHeight="1"/>
    <row r="301" ht="14.1" customHeight="1"/>
    <row r="302" ht="14.1" customHeight="1"/>
    <row r="303" ht="14.1" customHeight="1"/>
    <row r="304" ht="14.1" customHeight="1"/>
    <row r="305" ht="14.1" customHeight="1"/>
    <row r="306" ht="14.1" customHeight="1"/>
    <row r="307" ht="14.1" customHeight="1"/>
    <row r="308" ht="14.1" customHeight="1"/>
    <row r="309" ht="14.1" customHeight="1"/>
    <row r="310" ht="14.1" customHeight="1"/>
    <row r="311" ht="14.1" customHeight="1"/>
    <row r="312" ht="14.1" customHeight="1"/>
    <row r="313" ht="14.1" customHeight="1"/>
    <row r="314" ht="14.1" customHeight="1"/>
    <row r="315" ht="14.1" customHeight="1"/>
    <row r="316" ht="14.1" customHeight="1"/>
    <row r="317" ht="14.1" customHeight="1"/>
    <row r="318" ht="14.1" customHeight="1"/>
    <row r="319" ht="14.1" customHeight="1"/>
    <row r="320" ht="14.1" customHeight="1"/>
    <row r="321" ht="14.1" customHeight="1"/>
    <row r="322" ht="14.1" customHeight="1"/>
    <row r="323" ht="14.1" customHeight="1"/>
    <row r="324" ht="14.1" customHeight="1"/>
    <row r="325" ht="14.1" customHeight="1"/>
    <row r="326" ht="14.1" customHeight="1"/>
    <row r="327" ht="14.1" customHeight="1"/>
    <row r="328" ht="14.1" customHeight="1"/>
    <row r="329" ht="14.1" customHeight="1"/>
    <row r="330" ht="14.1" customHeight="1"/>
    <row r="331" ht="14.1" customHeight="1"/>
    <row r="332" ht="14.1" customHeight="1"/>
    <row r="333" ht="14.1" customHeight="1"/>
    <row r="334" ht="14.1" customHeight="1"/>
    <row r="335" ht="14.1" customHeight="1"/>
    <row r="336" ht="14.1" customHeight="1"/>
    <row r="337" ht="14.1" customHeight="1"/>
    <row r="338" ht="14.1" customHeight="1"/>
    <row r="339" ht="14.1" customHeight="1"/>
    <row r="340" ht="14.1" customHeight="1"/>
    <row r="341" ht="14.1" customHeight="1"/>
    <row r="342" ht="14.1" customHeight="1"/>
    <row r="343" ht="14.1" customHeight="1"/>
    <row r="344" ht="14.1" customHeight="1"/>
    <row r="345" ht="14.1" customHeight="1"/>
    <row r="346" ht="14.1" customHeight="1"/>
    <row r="347" ht="14.1" customHeight="1"/>
    <row r="348" ht="14.1" customHeight="1"/>
    <row r="349" ht="14.1" customHeight="1"/>
    <row r="350" ht="14.1" customHeight="1"/>
    <row r="351" ht="14.1" customHeight="1"/>
    <row r="352" ht="14.1" customHeight="1"/>
    <row r="353" ht="14.1" customHeight="1"/>
    <row r="354" ht="14.1" customHeight="1"/>
    <row r="355" ht="14.1" customHeight="1"/>
    <row r="356" ht="14.1" customHeight="1"/>
    <row r="357" ht="14.1" customHeight="1"/>
    <row r="358" ht="14.1" customHeight="1"/>
    <row r="359" ht="14.1" customHeight="1"/>
    <row r="360" ht="14.1" customHeight="1"/>
    <row r="361" ht="14.1" customHeight="1"/>
    <row r="362" ht="14.1" customHeight="1"/>
    <row r="363" ht="14.1" customHeight="1"/>
    <row r="364" ht="14.1" customHeight="1"/>
    <row r="365" ht="14.1" customHeight="1"/>
    <row r="366" ht="14.1" customHeight="1"/>
    <row r="367" ht="14.1" customHeight="1"/>
    <row r="368" ht="14.1" customHeight="1"/>
    <row r="369" ht="14.1" customHeight="1"/>
    <row r="370" ht="14.1" customHeight="1"/>
    <row r="371" ht="14.1" customHeight="1"/>
    <row r="372" ht="14.1" customHeight="1"/>
    <row r="373" ht="14.1" customHeight="1"/>
    <row r="374" ht="14.1" customHeight="1"/>
    <row r="375" ht="14.1" customHeight="1"/>
    <row r="376" ht="14.1" customHeight="1"/>
    <row r="377" ht="14.1" customHeight="1"/>
    <row r="378" ht="14.1" customHeight="1"/>
    <row r="379" ht="14.1" customHeight="1"/>
    <row r="380" ht="14.1" customHeight="1"/>
    <row r="381" ht="14.1" customHeight="1"/>
    <row r="382" ht="14.1" customHeight="1"/>
    <row r="383" ht="14.1" customHeight="1"/>
    <row r="384" ht="14.1" customHeight="1"/>
    <row r="385" ht="14.1" customHeight="1"/>
    <row r="386" ht="14.1" customHeight="1"/>
    <row r="387" ht="14.1" customHeight="1"/>
    <row r="388" ht="14.1" customHeight="1"/>
    <row r="389" ht="14.1" customHeight="1"/>
    <row r="390" ht="14.1" customHeight="1"/>
    <row r="391" ht="14.1" customHeight="1"/>
    <row r="392" ht="14.1" customHeight="1"/>
    <row r="393" ht="14.1" customHeight="1"/>
    <row r="394" ht="14.1" customHeight="1"/>
    <row r="395" ht="14.1" customHeight="1"/>
    <row r="396" ht="14.1" customHeight="1"/>
    <row r="397" ht="14.1" customHeight="1"/>
    <row r="398" ht="14.1" customHeight="1"/>
    <row r="399" ht="14.1" customHeight="1"/>
    <row r="400" ht="14.1" customHeight="1"/>
    <row r="401" ht="14.1" customHeight="1"/>
    <row r="402" ht="14.1" customHeight="1"/>
    <row r="403" ht="14.1" customHeight="1"/>
    <row r="404" ht="14.1" customHeight="1"/>
    <row r="405" ht="14.1" customHeight="1"/>
    <row r="406" ht="14.1" customHeight="1"/>
    <row r="407" ht="14.1" customHeight="1"/>
    <row r="408" ht="14.1" customHeight="1"/>
    <row r="409" ht="14.1" customHeight="1"/>
    <row r="410" ht="14.1" customHeight="1"/>
    <row r="411" ht="14.1" customHeight="1"/>
    <row r="412" ht="14.1" customHeight="1"/>
    <row r="413" ht="14.1" customHeight="1"/>
    <row r="414" ht="14.1" customHeight="1"/>
    <row r="415" ht="14.1" customHeight="1"/>
    <row r="416" ht="14.1" customHeight="1"/>
    <row r="417" ht="14.1" customHeight="1"/>
    <row r="418" ht="14.1" customHeight="1"/>
    <row r="419" ht="14.1" customHeight="1"/>
    <row r="420" ht="14.1" customHeight="1"/>
    <row r="421" ht="14.1" customHeight="1"/>
    <row r="422" ht="14.1" customHeight="1"/>
    <row r="423" ht="14.1" customHeight="1"/>
    <row r="424" ht="14.1" customHeight="1"/>
    <row r="425" ht="14.1" customHeight="1"/>
    <row r="426" ht="14.1" customHeight="1"/>
    <row r="427" ht="14.1" customHeight="1"/>
    <row r="428" ht="14.1" customHeight="1"/>
    <row r="429" ht="14.1" customHeight="1"/>
    <row r="430" ht="14.1" customHeight="1"/>
    <row r="431" ht="14.1" customHeight="1"/>
    <row r="432" ht="14.1" customHeight="1"/>
    <row r="433" ht="14.1" customHeight="1"/>
    <row r="434" ht="14.1" customHeight="1"/>
    <row r="435" ht="14.1" customHeight="1"/>
    <row r="436" ht="14.1" customHeight="1"/>
    <row r="437" ht="14.1" customHeight="1"/>
    <row r="438" ht="14.1" customHeight="1"/>
    <row r="439" ht="14.1" customHeight="1"/>
    <row r="440" ht="14.1" customHeight="1"/>
    <row r="441" ht="14.1" customHeight="1"/>
    <row r="442" ht="14.1" customHeight="1"/>
    <row r="443" ht="14.1" customHeight="1"/>
    <row r="444" ht="14.1" customHeight="1"/>
    <row r="445" ht="14.1" customHeight="1"/>
    <row r="446" ht="14.1" customHeight="1"/>
    <row r="447" ht="14.1" customHeight="1"/>
    <row r="448" ht="14.1" customHeight="1"/>
    <row r="449" ht="14.1" customHeight="1"/>
    <row r="450" ht="14.1" customHeight="1"/>
    <row r="451" ht="14.1" customHeight="1"/>
    <row r="452" ht="14.1" customHeight="1"/>
    <row r="453" ht="14.1" customHeight="1"/>
    <row r="454" ht="14.1" customHeight="1"/>
    <row r="455" ht="14.1" customHeight="1"/>
    <row r="456" ht="14.1" customHeight="1"/>
    <row r="457" ht="14.1" customHeight="1"/>
    <row r="458" ht="14.1" customHeight="1"/>
    <row r="459" ht="14.1" customHeight="1"/>
    <row r="460" ht="14.1" customHeight="1"/>
    <row r="461" ht="14.1" customHeight="1"/>
    <row r="462" ht="14.1" customHeight="1"/>
    <row r="463" ht="14.1" customHeight="1"/>
    <row r="464" ht="14.1" customHeight="1"/>
    <row r="465" ht="14.1" customHeight="1"/>
    <row r="466" ht="14.1" customHeight="1"/>
    <row r="467" ht="14.1" customHeight="1"/>
    <row r="468" ht="14.1" customHeight="1"/>
    <row r="469" ht="14.1" customHeight="1"/>
    <row r="470" ht="14.1" customHeight="1"/>
    <row r="471" ht="14.1" customHeight="1"/>
    <row r="472" ht="14.1" customHeight="1"/>
    <row r="473" ht="14.1" customHeight="1"/>
    <row r="474" ht="14.1" customHeight="1"/>
    <row r="475" ht="14.1" customHeight="1"/>
    <row r="476" ht="14.1" customHeight="1"/>
    <row r="477" ht="14.1" customHeight="1"/>
    <row r="478" ht="14.1" customHeight="1"/>
    <row r="479" ht="14.1" customHeight="1"/>
    <row r="480" ht="14.1" customHeight="1"/>
    <row r="481" ht="14.1" customHeight="1"/>
    <row r="482" ht="14.1" customHeight="1"/>
    <row r="483" ht="14.1" customHeight="1"/>
    <row r="484" ht="14.1" customHeight="1"/>
    <row r="485" ht="14.1" customHeight="1"/>
    <row r="486" ht="14.1" customHeight="1"/>
    <row r="487" ht="14.1" customHeight="1"/>
    <row r="488" ht="14.1" customHeight="1"/>
    <row r="489" ht="14.1" customHeight="1"/>
    <row r="490" ht="14.1" customHeight="1"/>
    <row r="491" ht="14.1" customHeight="1"/>
    <row r="492" ht="14.1" customHeight="1"/>
    <row r="493" ht="14.1" customHeight="1"/>
    <row r="494" ht="14.1" customHeight="1"/>
    <row r="495" ht="14.1" customHeight="1"/>
    <row r="496" ht="14.1" customHeight="1"/>
    <row r="497" ht="14.1" customHeight="1"/>
    <row r="498" ht="14.1" customHeight="1"/>
    <row r="499" ht="14.1" customHeight="1"/>
    <row r="500" ht="14.1" customHeight="1"/>
    <row r="501" ht="14.1" customHeight="1"/>
    <row r="502" ht="14.1" customHeight="1"/>
    <row r="503" ht="14.1" customHeight="1"/>
    <row r="504" ht="14.1" customHeight="1"/>
    <row r="505" ht="14.1" customHeight="1"/>
    <row r="506" ht="14.1" customHeight="1"/>
    <row r="507" ht="14.1" customHeight="1"/>
    <row r="508" ht="14.1" customHeight="1"/>
    <row r="509" ht="14.1" customHeight="1"/>
    <row r="510" ht="14.1" customHeight="1"/>
    <row r="511" ht="14.1" customHeight="1"/>
    <row r="512" ht="14.1" customHeight="1"/>
    <row r="513" ht="14.1" customHeight="1"/>
    <row r="514" ht="14.1" customHeight="1"/>
    <row r="515" ht="14.1" customHeight="1"/>
    <row r="516" ht="14.1" customHeight="1"/>
    <row r="517" ht="14.1" customHeight="1"/>
    <row r="518" ht="14.1" customHeight="1"/>
    <row r="519" ht="14.1" customHeight="1"/>
    <row r="520" ht="14.1" customHeight="1"/>
    <row r="521" ht="14.1" customHeight="1"/>
    <row r="522" ht="14.1" customHeight="1"/>
    <row r="523" ht="14.1" customHeight="1"/>
    <row r="524" ht="14.1" customHeight="1"/>
    <row r="525" ht="14.1" customHeight="1"/>
    <row r="526" ht="14.1" customHeight="1"/>
    <row r="527" ht="14.1" customHeight="1"/>
    <row r="528" ht="14.1" customHeight="1"/>
    <row r="529" ht="14.1" customHeight="1"/>
    <row r="530" ht="14.1" customHeight="1"/>
    <row r="531" ht="14.1" customHeight="1"/>
    <row r="532" ht="14.1" customHeight="1"/>
    <row r="533" ht="14.1" customHeight="1"/>
    <row r="534" ht="14.1" customHeight="1"/>
    <row r="535" ht="14.1" customHeight="1"/>
    <row r="536" ht="14.1" customHeight="1"/>
    <row r="537" ht="14.1" customHeight="1"/>
    <row r="538" ht="14.1" customHeight="1"/>
    <row r="539" ht="14.1" customHeight="1"/>
    <row r="540" ht="14.1" customHeight="1"/>
    <row r="541" ht="14.1" customHeight="1"/>
    <row r="542" ht="14.1" customHeight="1"/>
    <row r="543" ht="14.1" customHeight="1"/>
    <row r="544" ht="14.1" customHeight="1"/>
    <row r="545" ht="14.1" customHeight="1"/>
    <row r="546" ht="14.1" customHeight="1"/>
    <row r="547" ht="14.1" customHeight="1"/>
    <row r="548" ht="14.1" customHeight="1"/>
    <row r="549" ht="14.1" customHeight="1"/>
    <row r="550" ht="14.1" customHeight="1"/>
    <row r="551" ht="14.1" customHeight="1"/>
    <row r="552" ht="14.1" customHeight="1"/>
    <row r="553" ht="14.1" customHeight="1"/>
    <row r="554" ht="14.1" customHeight="1"/>
    <row r="555" ht="14.1" customHeight="1"/>
    <row r="556" ht="14.1" customHeight="1"/>
    <row r="557" ht="14.1" customHeight="1"/>
    <row r="558" ht="14.1" customHeight="1"/>
    <row r="559" ht="14.1" customHeight="1"/>
    <row r="560" ht="14.1" customHeight="1"/>
    <row r="561" ht="14.1" customHeight="1"/>
    <row r="562" ht="14.1" customHeight="1"/>
    <row r="563" ht="14.1" customHeight="1"/>
    <row r="564" ht="14.1" customHeight="1"/>
    <row r="565" ht="14.1" customHeight="1"/>
    <row r="566" ht="14.1" customHeight="1"/>
    <row r="567" ht="14.1" customHeight="1"/>
    <row r="568" ht="14.1" customHeight="1"/>
    <row r="569" ht="14.1" customHeight="1"/>
    <row r="570" ht="14.1" customHeight="1"/>
    <row r="571" ht="14.1" customHeight="1"/>
    <row r="572" ht="14.1" customHeight="1"/>
    <row r="573" ht="14.1" customHeight="1"/>
    <row r="574" ht="14.1" customHeight="1"/>
    <row r="575" ht="14.1" customHeight="1"/>
    <row r="576" ht="14.1" customHeight="1"/>
    <row r="577" ht="14.1" customHeight="1"/>
    <row r="578" ht="14.1" customHeight="1"/>
    <row r="579" ht="14.1" customHeight="1"/>
    <row r="580" ht="14.1" customHeight="1"/>
    <row r="581" ht="14.1" customHeight="1"/>
    <row r="582" ht="14.1" customHeight="1"/>
    <row r="583" ht="14.1" customHeight="1"/>
    <row r="584" ht="14.1" customHeight="1"/>
    <row r="585" ht="14.1" customHeight="1"/>
    <row r="586" ht="14.1" customHeight="1"/>
    <row r="587" ht="14.1" customHeight="1"/>
    <row r="588" ht="14.1" customHeight="1"/>
    <row r="589" ht="14.1" customHeight="1"/>
    <row r="590" ht="14.1" customHeight="1"/>
    <row r="591" ht="14.1" customHeight="1"/>
    <row r="592" ht="14.1" customHeight="1"/>
    <row r="593" ht="14.1" customHeight="1"/>
    <row r="594" ht="14.1" customHeight="1"/>
    <row r="595" ht="14.1" customHeight="1"/>
    <row r="596" ht="14.1" customHeight="1"/>
    <row r="597" ht="14.1" customHeight="1"/>
    <row r="598" ht="14.1" customHeight="1"/>
    <row r="599" ht="14.1" customHeight="1"/>
    <row r="600" ht="14.1" customHeight="1"/>
    <row r="601" ht="14.1" customHeight="1"/>
    <row r="602" ht="14.1" customHeight="1"/>
    <row r="603" ht="14.1" customHeight="1"/>
    <row r="604" ht="14.1" customHeight="1"/>
    <row r="605" ht="14.1" customHeight="1"/>
    <row r="606" ht="14.1" customHeight="1"/>
    <row r="607" ht="14.1" customHeight="1"/>
    <row r="608" ht="14.1" customHeight="1"/>
    <row r="609" ht="14.1" customHeight="1"/>
    <row r="610" ht="14.1" customHeight="1"/>
    <row r="611" ht="14.1" customHeight="1"/>
    <row r="612" ht="14.1" customHeight="1"/>
    <row r="613" ht="14.1" customHeight="1"/>
    <row r="614" ht="14.1" customHeight="1"/>
    <row r="615" ht="14.1" customHeight="1"/>
    <row r="616" ht="14.1" customHeight="1"/>
    <row r="617" ht="14.1" customHeight="1"/>
    <row r="618" ht="14.1" customHeight="1"/>
    <row r="619" ht="14.1" customHeight="1"/>
    <row r="620" ht="14.1" customHeight="1"/>
    <row r="621" ht="14.1" customHeight="1"/>
    <row r="622" ht="14.1" customHeight="1"/>
    <row r="623" ht="14.1" customHeight="1"/>
    <row r="624" ht="14.1" customHeight="1"/>
    <row r="625" ht="14.1" customHeight="1"/>
    <row r="626" ht="14.1" customHeight="1"/>
    <row r="627" ht="14.1" customHeight="1"/>
    <row r="628" ht="14.1" customHeight="1"/>
    <row r="629" ht="14.1" customHeight="1"/>
    <row r="630" ht="14.1" customHeight="1"/>
    <row r="631" ht="14.1" customHeight="1"/>
    <row r="632" ht="14.1" customHeight="1"/>
    <row r="633" ht="14.1" customHeight="1"/>
    <row r="634" ht="14.1" customHeight="1"/>
    <row r="635" ht="14.1" customHeight="1"/>
    <row r="636" ht="14.1" customHeight="1"/>
    <row r="637" ht="14.1" customHeight="1"/>
    <row r="638" ht="14.1" customHeight="1"/>
    <row r="639" ht="14.1" customHeight="1"/>
    <row r="640" ht="14.1" customHeight="1"/>
    <row r="641" ht="14.1" customHeight="1"/>
    <row r="642" ht="14.1" customHeight="1"/>
    <row r="643" ht="14.1" customHeight="1"/>
    <row r="644" ht="14.1" customHeight="1"/>
    <row r="645" ht="14.1" customHeight="1"/>
    <row r="646" ht="14.1" customHeight="1"/>
    <row r="647" ht="14.1" customHeight="1"/>
    <row r="648" ht="14.1" customHeight="1"/>
    <row r="649" ht="14.1" customHeight="1"/>
    <row r="650" ht="14.1" customHeight="1"/>
    <row r="651" ht="14.1" customHeight="1"/>
    <row r="652" ht="14.1" customHeight="1"/>
    <row r="653" ht="14.1" customHeight="1"/>
    <row r="654" ht="14.1" customHeight="1"/>
    <row r="655" ht="14.1" customHeight="1"/>
    <row r="656" ht="14.1" customHeight="1"/>
    <row r="657" ht="14.1" customHeight="1"/>
    <row r="658" ht="14.1" customHeight="1"/>
    <row r="659" ht="14.1" customHeight="1"/>
    <row r="660" ht="14.1" customHeight="1"/>
    <row r="661" ht="14.1" customHeight="1"/>
    <row r="662" ht="14.1" customHeight="1"/>
    <row r="663" ht="14.1" customHeight="1"/>
    <row r="664" ht="14.1" customHeight="1"/>
    <row r="665" ht="14.1" customHeight="1"/>
    <row r="666" ht="14.1" customHeight="1"/>
    <row r="667" ht="14.1" customHeight="1"/>
    <row r="668" ht="14.1" customHeight="1"/>
    <row r="669" ht="14.1" customHeight="1"/>
    <row r="670" ht="14.1" customHeight="1"/>
    <row r="671" ht="14.1" customHeight="1"/>
    <row r="672" ht="14.1" customHeight="1"/>
    <row r="673" ht="14.1" customHeight="1"/>
    <row r="674" ht="14.1" customHeight="1"/>
    <row r="675" ht="14.1" customHeight="1"/>
    <row r="676" ht="14.1" customHeight="1"/>
    <row r="677" ht="14.1" customHeight="1"/>
    <row r="678" ht="14.1" customHeight="1"/>
    <row r="679" ht="14.1" customHeight="1"/>
    <row r="680" ht="14.1" customHeight="1"/>
    <row r="681" ht="14.1" customHeight="1"/>
    <row r="682" ht="14.1" customHeight="1"/>
    <row r="683" ht="14.1" customHeight="1"/>
    <row r="684" ht="14.1" customHeight="1"/>
    <row r="685" ht="14.1" customHeight="1"/>
    <row r="686" ht="14.1" customHeight="1"/>
    <row r="687" ht="14.1" customHeight="1"/>
    <row r="688" ht="14.1" customHeight="1"/>
    <row r="689" ht="14.1" customHeight="1"/>
    <row r="690" ht="14.1" customHeight="1"/>
    <row r="691" ht="14.1" customHeight="1"/>
    <row r="692" ht="14.1" customHeight="1"/>
    <row r="693" ht="14.1" customHeight="1"/>
    <row r="694" ht="14.1" customHeight="1"/>
    <row r="695" ht="14.1" customHeight="1"/>
    <row r="696" ht="14.1" customHeight="1"/>
    <row r="697" ht="14.1" customHeight="1"/>
    <row r="698" ht="14.1" customHeight="1"/>
    <row r="699" ht="14.1" customHeight="1"/>
    <row r="700" ht="14.1" customHeight="1"/>
    <row r="701" ht="14.1" customHeight="1"/>
    <row r="702" ht="14.1" customHeight="1"/>
    <row r="703" ht="14.1" customHeight="1"/>
    <row r="704" ht="14.1" customHeight="1"/>
    <row r="705" ht="14.1" customHeight="1"/>
    <row r="706" ht="14.1" customHeight="1"/>
    <row r="707" ht="14.1" customHeight="1"/>
    <row r="708" ht="14.1" customHeight="1"/>
    <row r="709" ht="14.1" customHeight="1"/>
    <row r="710" ht="14.1" customHeight="1"/>
    <row r="711" ht="14.1" customHeight="1"/>
    <row r="712" ht="14.1" customHeight="1"/>
    <row r="713" ht="14.1" customHeight="1"/>
    <row r="714" ht="14.1" customHeight="1"/>
    <row r="715" ht="14.1" customHeight="1"/>
    <row r="716" ht="14.1" customHeight="1"/>
    <row r="717" ht="14.1" customHeight="1"/>
    <row r="718" ht="14.1" customHeight="1"/>
    <row r="719" ht="14.1" customHeight="1"/>
    <row r="720" ht="14.1" customHeight="1"/>
    <row r="721" ht="14.1" customHeight="1"/>
    <row r="722" ht="14.1" customHeight="1"/>
    <row r="723" ht="14.1" customHeight="1"/>
    <row r="724" ht="14.1" customHeight="1"/>
    <row r="725" ht="14.1" customHeight="1"/>
    <row r="726" ht="14.1" customHeight="1"/>
    <row r="727" ht="14.1" customHeight="1"/>
    <row r="728" ht="14.1" customHeight="1"/>
    <row r="729" ht="14.1" customHeight="1"/>
    <row r="730" ht="14.1" customHeight="1"/>
    <row r="731" ht="14.1" customHeight="1"/>
    <row r="732" ht="14.1" customHeight="1"/>
    <row r="733" ht="14.1" customHeight="1"/>
    <row r="734" ht="14.1" customHeight="1"/>
    <row r="735" ht="14.1" customHeight="1"/>
    <row r="736" ht="14.1" customHeight="1"/>
    <row r="737" ht="14.1" customHeight="1"/>
    <row r="738" ht="14.1" customHeight="1"/>
    <row r="739" ht="14.1" customHeight="1"/>
    <row r="740" ht="14.1" customHeight="1"/>
    <row r="741" ht="14.1" customHeight="1"/>
    <row r="742" ht="14.1" customHeight="1"/>
    <row r="743" ht="14.1" customHeight="1"/>
    <row r="744" ht="14.1" customHeight="1"/>
    <row r="745" ht="14.1" customHeight="1"/>
    <row r="746" ht="14.1" customHeight="1"/>
    <row r="747" ht="14.1" customHeight="1"/>
    <row r="748" ht="14.1" customHeight="1"/>
    <row r="749" ht="14.1" customHeight="1"/>
    <row r="750" ht="14.1" customHeight="1"/>
    <row r="751" ht="14.1" customHeight="1"/>
    <row r="752" ht="14.1" customHeight="1"/>
    <row r="753" ht="14.1" customHeight="1"/>
    <row r="754" ht="14.1" customHeight="1"/>
    <row r="755" ht="14.1" customHeight="1"/>
    <row r="756" ht="14.1" customHeight="1"/>
    <row r="757" ht="14.1" customHeight="1"/>
    <row r="758" ht="14.1" customHeight="1"/>
    <row r="759" ht="14.1" customHeight="1"/>
    <row r="760" ht="14.1" customHeight="1"/>
    <row r="761" ht="14.1" customHeight="1"/>
    <row r="762" ht="14.1" customHeight="1"/>
    <row r="763" ht="14.1" customHeight="1"/>
    <row r="764" ht="14.1" customHeight="1"/>
    <row r="765" ht="14.1" customHeight="1"/>
    <row r="766" ht="14.1" customHeight="1"/>
    <row r="767" ht="14.1" customHeight="1"/>
    <row r="768" ht="14.1" customHeight="1"/>
    <row r="769" ht="14.1" customHeight="1"/>
    <row r="770" ht="14.1" customHeight="1"/>
    <row r="771" ht="14.1" customHeight="1"/>
    <row r="772" ht="14.1" customHeight="1"/>
    <row r="773" ht="14.1" customHeight="1"/>
    <row r="774" ht="14.1" customHeight="1"/>
    <row r="775" ht="14.1" customHeight="1"/>
    <row r="776" ht="14.1" customHeight="1"/>
    <row r="777" ht="14.1" customHeight="1"/>
    <row r="778" ht="14.1" customHeight="1"/>
    <row r="779" ht="14.1" customHeight="1"/>
    <row r="780" ht="14.1" customHeight="1"/>
    <row r="781" ht="14.1" customHeight="1"/>
    <row r="782" ht="14.1" customHeight="1"/>
    <row r="783" ht="14.1" customHeight="1"/>
    <row r="784" ht="14.1" customHeight="1"/>
    <row r="785" ht="14.1" customHeight="1"/>
    <row r="786" ht="14.1" customHeight="1"/>
    <row r="787" ht="14.1" customHeight="1"/>
    <row r="788" ht="14.1" customHeight="1"/>
    <row r="789" ht="14.1" customHeight="1"/>
    <row r="790" ht="14.1" customHeight="1"/>
    <row r="791" ht="14.1" customHeight="1"/>
    <row r="792" ht="14.1" customHeight="1"/>
    <row r="793" ht="14.1" customHeight="1"/>
  </sheetData>
  <pageMargins left="0.7" right="0.7" top="0.75" bottom="0.75" header="0.3" footer="0.3"/>
  <pageSetup paperSize="9" orientation="portrait"/>
  <headerFooter>
    <oddFooter>&amp;L_x000D_&amp;1#&amp;"Arial"&amp;7&amp;KDAD4CE Public&amp;C&amp;"Verdana"&amp;10 &amp;KC1C1C1_x000D_# Restricted</oddFooter>
  </headerFooter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C00-000000000000}">
  <sheetPr codeName="Sheet22">
    <tabColor rgb="FF0070C0"/>
    <pageSetUpPr fitToPage="1"/>
  </sheetPr>
  <dimension ref="A1:U793"/>
  <sheetViews>
    <sheetView zoomScale="80" zoomScaleNormal="80" workbookViewId="0">
      <pane ySplit="4" topLeftCell="A5" activePane="bottomLeft" state="frozen"/>
      <selection activeCell="A16" sqref="A16"/>
      <selection pane="bottomLeft" activeCell="A16" sqref="A16"/>
    </sheetView>
  </sheetViews>
  <sheetFormatPr defaultColWidth="8.85546875" defaultRowHeight="15" customHeight="1"/>
  <cols>
    <col min="1" max="1" width="4.140625" style="3" customWidth="1"/>
    <col min="2" max="3" width="8.5703125" style="20" customWidth="1"/>
    <col min="4" max="4" width="14.5703125" style="3" customWidth="1"/>
    <col min="5" max="5" width="20.5703125" style="20" customWidth="1"/>
    <col min="6" max="6" width="8.5703125" style="3" customWidth="1"/>
    <col min="7" max="7" width="32.5703125" style="2" customWidth="1"/>
    <col min="8" max="8" width="18.5703125" style="3" customWidth="1"/>
    <col min="9" max="9" width="62.5703125" style="2" customWidth="1"/>
    <col min="10" max="12" width="9.5703125" style="3" customWidth="1"/>
    <col min="13" max="13" width="10.5703125" style="3" customWidth="1"/>
    <col min="14" max="14" width="8.5703125" style="3" customWidth="1"/>
    <col min="15" max="15" width="10.5703125" style="3" customWidth="1"/>
    <col min="16" max="16" width="5.5703125" style="3" customWidth="1"/>
    <col min="17" max="17" width="1.5703125" style="2" customWidth="1"/>
    <col min="18" max="18" width="10.5703125" style="30" customWidth="1"/>
    <col min="19" max="19" width="1.5703125" style="2" customWidth="1"/>
    <col min="20" max="21" width="10.5703125" style="2" customWidth="1"/>
    <col min="22" max="220" width="8.85546875" style="2" customWidth="1"/>
    <col min="221" max="221" width="8.140625" style="2" customWidth="1"/>
    <col min="222" max="222" width="14.5703125" style="2" customWidth="1"/>
    <col min="223" max="223" width="37.42578125" style="2" customWidth="1"/>
    <col min="224" max="224" width="63.140625" style="2" customWidth="1"/>
    <col min="225" max="225" width="20" style="2" customWidth="1"/>
    <col min="226" max="226" width="11.140625" style="2" customWidth="1"/>
    <col min="227" max="227" width="10.85546875" style="2" customWidth="1"/>
    <col min="228" max="228" width="21" style="2" customWidth="1"/>
    <col min="229" max="229" width="10.85546875" style="2" customWidth="1"/>
    <col min="230" max="230" width="17.42578125" style="2" customWidth="1"/>
    <col min="231" max="231" width="14.85546875" style="2" customWidth="1"/>
    <col min="232" max="232" width="15" style="2" customWidth="1"/>
    <col min="233" max="233" width="14.85546875" style="2" customWidth="1"/>
    <col min="234" max="234" width="7.140625" style="2" customWidth="1"/>
    <col min="235" max="236" width="20.140625" style="2" customWidth="1"/>
    <col min="237" max="237" width="18.42578125" style="2" customWidth="1"/>
    <col min="238" max="238" width="9.140625" style="2" customWidth="1"/>
    <col min="239" max="239" width="12" style="2" customWidth="1"/>
    <col min="240" max="240" width="14.85546875" style="2" customWidth="1"/>
    <col min="241" max="241" width="22.42578125" style="2" customWidth="1"/>
    <col min="242" max="242" width="14.85546875" style="2" customWidth="1"/>
    <col min="243" max="243" width="7.140625" style="2" customWidth="1"/>
    <col min="244" max="244" width="20.140625" style="2" customWidth="1"/>
    <col min="245" max="476" width="8.85546875" style="2" customWidth="1"/>
    <col min="477" max="477" width="8.140625" style="2" customWidth="1"/>
    <col min="478" max="478" width="14.5703125" style="2" customWidth="1"/>
    <col min="479" max="479" width="37.42578125" style="2" customWidth="1"/>
    <col min="480" max="480" width="63.140625" style="2" customWidth="1"/>
    <col min="481" max="481" width="20" style="2" customWidth="1"/>
    <col min="482" max="482" width="11.140625" style="2" customWidth="1"/>
    <col min="483" max="483" width="10.85546875" style="2" customWidth="1"/>
    <col min="484" max="484" width="21" style="2" customWidth="1"/>
    <col min="485" max="485" width="10.85546875" style="2" customWidth="1"/>
    <col min="486" max="486" width="17.42578125" style="2" customWidth="1"/>
    <col min="487" max="487" width="14.85546875" style="2" customWidth="1"/>
    <col min="488" max="488" width="15" style="2" customWidth="1"/>
    <col min="489" max="489" width="14.85546875" style="2" customWidth="1"/>
    <col min="490" max="490" width="7.140625" style="2" customWidth="1"/>
    <col min="491" max="492" width="20.140625" style="2" customWidth="1"/>
    <col min="493" max="493" width="18.42578125" style="2" customWidth="1"/>
    <col min="494" max="494" width="9.140625" style="2" customWidth="1"/>
    <col min="495" max="495" width="12" style="2" customWidth="1"/>
    <col min="496" max="496" width="14.85546875" style="2" customWidth="1"/>
    <col min="497" max="497" width="22.42578125" style="2" customWidth="1"/>
    <col min="498" max="498" width="14.85546875" style="2" customWidth="1"/>
    <col min="499" max="499" width="7.140625" style="2" customWidth="1"/>
    <col min="500" max="500" width="20.140625" style="2" customWidth="1"/>
    <col min="501" max="732" width="8.85546875" style="2" customWidth="1"/>
    <col min="733" max="733" width="8.140625" style="2" customWidth="1"/>
    <col min="734" max="734" width="14.5703125" style="2" customWidth="1"/>
    <col min="735" max="735" width="37.42578125" style="2" customWidth="1"/>
    <col min="736" max="736" width="63.140625" style="2" customWidth="1"/>
    <col min="737" max="737" width="20" style="2" customWidth="1"/>
    <col min="738" max="738" width="11.140625" style="2" customWidth="1"/>
    <col min="739" max="739" width="10.85546875" style="2" customWidth="1"/>
    <col min="740" max="740" width="21" style="2" customWidth="1"/>
    <col min="741" max="741" width="10.85546875" style="2" customWidth="1"/>
    <col min="742" max="742" width="17.42578125" style="2" customWidth="1"/>
    <col min="743" max="743" width="14.85546875" style="2" customWidth="1"/>
    <col min="744" max="744" width="15" style="2" customWidth="1"/>
    <col min="745" max="745" width="14.85546875" style="2" customWidth="1"/>
    <col min="746" max="746" width="7.140625" style="2" customWidth="1"/>
    <col min="747" max="748" width="20.140625" style="2" customWidth="1"/>
    <col min="749" max="749" width="18.42578125" style="2" customWidth="1"/>
    <col min="750" max="750" width="9.140625" style="2" customWidth="1"/>
    <col min="751" max="751" width="12" style="2" customWidth="1"/>
    <col min="752" max="752" width="14.85546875" style="2" customWidth="1"/>
    <col min="753" max="753" width="22.42578125" style="2" customWidth="1"/>
    <col min="754" max="754" width="14.85546875" style="2" customWidth="1"/>
    <col min="755" max="755" width="7.140625" style="2" customWidth="1"/>
    <col min="756" max="756" width="20.140625" style="2" customWidth="1"/>
    <col min="757" max="988" width="8.85546875" style="2" customWidth="1"/>
    <col min="989" max="989" width="8.140625" style="2" customWidth="1"/>
    <col min="990" max="990" width="14.5703125" style="2" customWidth="1"/>
    <col min="991" max="991" width="37.42578125" style="2" customWidth="1"/>
    <col min="992" max="992" width="63.140625" style="2" customWidth="1"/>
    <col min="993" max="993" width="20" style="2" customWidth="1"/>
    <col min="994" max="994" width="11.140625" style="2" customWidth="1"/>
    <col min="995" max="995" width="10.85546875" style="2" customWidth="1"/>
    <col min="996" max="996" width="21" style="2" customWidth="1"/>
    <col min="997" max="997" width="10.85546875" style="2" customWidth="1"/>
    <col min="998" max="998" width="17.42578125" style="2" customWidth="1"/>
    <col min="999" max="999" width="14.85546875" style="2" customWidth="1"/>
    <col min="1000" max="1000" width="15" style="2" customWidth="1"/>
    <col min="1001" max="1001" width="14.85546875" style="2" customWidth="1"/>
    <col min="1002" max="1002" width="7.140625" style="2" customWidth="1"/>
    <col min="1003" max="1004" width="20.140625" style="2" customWidth="1"/>
    <col min="1005" max="1005" width="18.42578125" style="2" customWidth="1"/>
    <col min="1006" max="1006" width="9.140625" style="2" customWidth="1"/>
    <col min="1007" max="1007" width="12" style="2" customWidth="1"/>
    <col min="1008" max="1008" width="14.85546875" style="2" customWidth="1"/>
    <col min="1009" max="1009" width="22.42578125" style="2" customWidth="1"/>
    <col min="1010" max="1010" width="14.85546875" style="2" customWidth="1"/>
    <col min="1011" max="1011" width="7.140625" style="2" customWidth="1"/>
    <col min="1012" max="1012" width="20.140625" style="2" customWidth="1"/>
    <col min="1013" max="1244" width="8.85546875" style="2" customWidth="1"/>
    <col min="1245" max="1245" width="8.140625" style="2" customWidth="1"/>
    <col min="1246" max="1246" width="14.5703125" style="2" customWidth="1"/>
    <col min="1247" max="1247" width="37.42578125" style="2" customWidth="1"/>
    <col min="1248" max="1248" width="63.140625" style="2" customWidth="1"/>
    <col min="1249" max="1249" width="20" style="2" customWidth="1"/>
    <col min="1250" max="1250" width="11.140625" style="2" customWidth="1"/>
    <col min="1251" max="1251" width="10.85546875" style="2" customWidth="1"/>
    <col min="1252" max="1252" width="21" style="2" customWidth="1"/>
    <col min="1253" max="1253" width="10.85546875" style="2" customWidth="1"/>
    <col min="1254" max="1254" width="17.42578125" style="2" customWidth="1"/>
    <col min="1255" max="1255" width="14.85546875" style="2" customWidth="1"/>
    <col min="1256" max="1256" width="15" style="2" customWidth="1"/>
    <col min="1257" max="1257" width="14.85546875" style="2" customWidth="1"/>
    <col min="1258" max="1258" width="7.140625" style="2" customWidth="1"/>
    <col min="1259" max="1260" width="20.140625" style="2" customWidth="1"/>
    <col min="1261" max="1261" width="18.42578125" style="2" customWidth="1"/>
    <col min="1262" max="1262" width="9.140625" style="2" customWidth="1"/>
    <col min="1263" max="1263" width="12" style="2" customWidth="1"/>
    <col min="1264" max="1264" width="14.85546875" style="2" customWidth="1"/>
    <col min="1265" max="1265" width="22.42578125" style="2" customWidth="1"/>
    <col min="1266" max="1266" width="14.85546875" style="2" customWidth="1"/>
    <col min="1267" max="1267" width="7.140625" style="2" customWidth="1"/>
    <col min="1268" max="1268" width="20.140625" style="2" customWidth="1"/>
    <col min="1269" max="1500" width="8.85546875" style="2" customWidth="1"/>
    <col min="1501" max="1501" width="8.140625" style="2" customWidth="1"/>
    <col min="1502" max="1502" width="14.5703125" style="2" customWidth="1"/>
    <col min="1503" max="1503" width="37.42578125" style="2" customWidth="1"/>
    <col min="1504" max="1504" width="63.140625" style="2" customWidth="1"/>
    <col min="1505" max="1505" width="20" style="2" customWidth="1"/>
    <col min="1506" max="1506" width="11.140625" style="2" customWidth="1"/>
    <col min="1507" max="1507" width="10.85546875" style="2" customWidth="1"/>
    <col min="1508" max="1508" width="21" style="2" customWidth="1"/>
    <col min="1509" max="1509" width="10.85546875" style="2" customWidth="1"/>
    <col min="1510" max="1510" width="17.42578125" style="2" customWidth="1"/>
    <col min="1511" max="1511" width="14.85546875" style="2" customWidth="1"/>
    <col min="1512" max="1512" width="15" style="2" customWidth="1"/>
    <col min="1513" max="1513" width="14.85546875" style="2" customWidth="1"/>
    <col min="1514" max="1514" width="7.140625" style="2" customWidth="1"/>
    <col min="1515" max="1516" width="20.140625" style="2" customWidth="1"/>
    <col min="1517" max="1517" width="18.42578125" style="2" customWidth="1"/>
    <col min="1518" max="1518" width="9.140625" style="2" customWidth="1"/>
    <col min="1519" max="1519" width="12" style="2" customWidth="1"/>
    <col min="1520" max="1520" width="14.85546875" style="2" customWidth="1"/>
    <col min="1521" max="1521" width="22.42578125" style="2" customWidth="1"/>
    <col min="1522" max="1522" width="14.85546875" style="2" customWidth="1"/>
    <col min="1523" max="1523" width="7.140625" style="2" customWidth="1"/>
    <col min="1524" max="1524" width="20.140625" style="2" customWidth="1"/>
    <col min="1525" max="1756" width="8.85546875" style="2" customWidth="1"/>
    <col min="1757" max="1757" width="8.140625" style="2" customWidth="1"/>
    <col min="1758" max="1758" width="14.5703125" style="2" customWidth="1"/>
    <col min="1759" max="1759" width="37.42578125" style="2" customWidth="1"/>
    <col min="1760" max="1760" width="63.140625" style="2" customWidth="1"/>
    <col min="1761" max="1761" width="20" style="2" customWidth="1"/>
    <col min="1762" max="1762" width="11.140625" style="2" customWidth="1"/>
    <col min="1763" max="1763" width="10.85546875" style="2" customWidth="1"/>
    <col min="1764" max="1764" width="21" style="2" customWidth="1"/>
    <col min="1765" max="1765" width="10.85546875" style="2" customWidth="1"/>
    <col min="1766" max="1766" width="17.42578125" style="2" customWidth="1"/>
    <col min="1767" max="1767" width="14.85546875" style="2" customWidth="1"/>
    <col min="1768" max="1768" width="15" style="2" customWidth="1"/>
    <col min="1769" max="1769" width="14.85546875" style="2" customWidth="1"/>
    <col min="1770" max="1770" width="7.140625" style="2" customWidth="1"/>
    <col min="1771" max="1772" width="20.140625" style="2" customWidth="1"/>
    <col min="1773" max="1773" width="18.42578125" style="2" customWidth="1"/>
    <col min="1774" max="1774" width="9.140625" style="2" customWidth="1"/>
    <col min="1775" max="1775" width="12" style="2" customWidth="1"/>
    <col min="1776" max="1776" width="14.85546875" style="2" customWidth="1"/>
    <col min="1777" max="1777" width="22.42578125" style="2" customWidth="1"/>
    <col min="1778" max="1778" width="14.85546875" style="2" customWidth="1"/>
    <col min="1779" max="1779" width="7.140625" style="2" customWidth="1"/>
    <col min="1780" max="1780" width="20.140625" style="2" customWidth="1"/>
    <col min="1781" max="2012" width="8.85546875" style="2" customWidth="1"/>
    <col min="2013" max="2013" width="8.140625" style="2" customWidth="1"/>
    <col min="2014" max="2014" width="14.5703125" style="2" customWidth="1"/>
    <col min="2015" max="2015" width="37.42578125" style="2" customWidth="1"/>
    <col min="2016" max="2016" width="63.140625" style="2" customWidth="1"/>
    <col min="2017" max="2017" width="20" style="2" customWidth="1"/>
    <col min="2018" max="2018" width="11.140625" style="2" customWidth="1"/>
    <col min="2019" max="2019" width="10.85546875" style="2" customWidth="1"/>
    <col min="2020" max="2020" width="21" style="2" customWidth="1"/>
    <col min="2021" max="2021" width="10.85546875" style="2" customWidth="1"/>
    <col min="2022" max="2022" width="17.42578125" style="2" customWidth="1"/>
    <col min="2023" max="2023" width="14.85546875" style="2" customWidth="1"/>
    <col min="2024" max="2024" width="15" style="2" customWidth="1"/>
    <col min="2025" max="2025" width="14.85546875" style="2" customWidth="1"/>
    <col min="2026" max="2026" width="7.140625" style="2" customWidth="1"/>
    <col min="2027" max="2028" width="20.140625" style="2" customWidth="1"/>
    <col min="2029" max="2029" width="18.42578125" style="2" customWidth="1"/>
    <col min="2030" max="2030" width="9.140625" style="2" customWidth="1"/>
    <col min="2031" max="2031" width="12" style="2" customWidth="1"/>
    <col min="2032" max="2032" width="14.85546875" style="2" customWidth="1"/>
    <col min="2033" max="2033" width="22.42578125" style="2" customWidth="1"/>
    <col min="2034" max="2034" width="14.85546875" style="2" customWidth="1"/>
    <col min="2035" max="2035" width="7.140625" style="2" customWidth="1"/>
    <col min="2036" max="2036" width="20.140625" style="2" customWidth="1"/>
    <col min="2037" max="2268" width="8.85546875" style="2" customWidth="1"/>
    <col min="2269" max="2269" width="8.140625" style="2" customWidth="1"/>
    <col min="2270" max="2270" width="14.5703125" style="2" customWidth="1"/>
    <col min="2271" max="2271" width="37.42578125" style="2" customWidth="1"/>
    <col min="2272" max="2272" width="63.140625" style="2" customWidth="1"/>
    <col min="2273" max="2273" width="20" style="2" customWidth="1"/>
    <col min="2274" max="2274" width="11.140625" style="2" customWidth="1"/>
    <col min="2275" max="2275" width="10.85546875" style="2" customWidth="1"/>
    <col min="2276" max="2276" width="21" style="2" customWidth="1"/>
    <col min="2277" max="2277" width="10.85546875" style="2" customWidth="1"/>
    <col min="2278" max="2278" width="17.42578125" style="2" customWidth="1"/>
    <col min="2279" max="2279" width="14.85546875" style="2" customWidth="1"/>
    <col min="2280" max="2280" width="15" style="2" customWidth="1"/>
    <col min="2281" max="2281" width="14.85546875" style="2" customWidth="1"/>
    <col min="2282" max="2282" width="7.140625" style="2" customWidth="1"/>
    <col min="2283" max="2284" width="20.140625" style="2" customWidth="1"/>
    <col min="2285" max="2285" width="18.42578125" style="2" customWidth="1"/>
    <col min="2286" max="2286" width="9.140625" style="2" customWidth="1"/>
    <col min="2287" max="2287" width="12" style="2" customWidth="1"/>
    <col min="2288" max="2288" width="14.85546875" style="2" customWidth="1"/>
    <col min="2289" max="2289" width="22.42578125" style="2" customWidth="1"/>
    <col min="2290" max="2290" width="14.85546875" style="2" customWidth="1"/>
    <col min="2291" max="2291" width="7.140625" style="2" customWidth="1"/>
    <col min="2292" max="2292" width="20.140625" style="2" customWidth="1"/>
    <col min="2293" max="2524" width="8.85546875" style="2" customWidth="1"/>
    <col min="2525" max="2525" width="8.140625" style="2" customWidth="1"/>
    <col min="2526" max="2526" width="14.5703125" style="2" customWidth="1"/>
    <col min="2527" max="2527" width="37.42578125" style="2" customWidth="1"/>
    <col min="2528" max="2528" width="63.140625" style="2" customWidth="1"/>
    <col min="2529" max="2529" width="20" style="2" customWidth="1"/>
    <col min="2530" max="2530" width="11.140625" style="2" customWidth="1"/>
    <col min="2531" max="2531" width="10.85546875" style="2" customWidth="1"/>
    <col min="2532" max="2532" width="21" style="2" customWidth="1"/>
    <col min="2533" max="2533" width="10.85546875" style="2" customWidth="1"/>
    <col min="2534" max="2534" width="17.42578125" style="2" customWidth="1"/>
    <col min="2535" max="2535" width="14.85546875" style="2" customWidth="1"/>
    <col min="2536" max="2536" width="15" style="2" customWidth="1"/>
    <col min="2537" max="2537" width="14.85546875" style="2" customWidth="1"/>
    <col min="2538" max="2538" width="7.140625" style="2" customWidth="1"/>
    <col min="2539" max="2540" width="20.140625" style="2" customWidth="1"/>
    <col min="2541" max="2541" width="18.42578125" style="2" customWidth="1"/>
    <col min="2542" max="2542" width="9.140625" style="2" customWidth="1"/>
    <col min="2543" max="2543" width="12" style="2" customWidth="1"/>
    <col min="2544" max="2544" width="14.85546875" style="2" customWidth="1"/>
    <col min="2545" max="2545" width="22.42578125" style="2" customWidth="1"/>
    <col min="2546" max="2546" width="14.85546875" style="2" customWidth="1"/>
    <col min="2547" max="2547" width="7.140625" style="2" customWidth="1"/>
    <col min="2548" max="2548" width="20.140625" style="2" customWidth="1"/>
    <col min="2549" max="2780" width="8.85546875" style="2" customWidth="1"/>
    <col min="2781" max="2781" width="8.140625" style="2" customWidth="1"/>
    <col min="2782" max="2782" width="14.5703125" style="2" customWidth="1"/>
    <col min="2783" max="2783" width="37.42578125" style="2" customWidth="1"/>
    <col min="2784" max="2784" width="63.140625" style="2" customWidth="1"/>
    <col min="2785" max="2785" width="20" style="2" customWidth="1"/>
    <col min="2786" max="2786" width="11.140625" style="2" customWidth="1"/>
    <col min="2787" max="2787" width="10.85546875" style="2" customWidth="1"/>
    <col min="2788" max="2788" width="21" style="2" customWidth="1"/>
    <col min="2789" max="2789" width="10.85546875" style="2" customWidth="1"/>
    <col min="2790" max="2790" width="17.42578125" style="2" customWidth="1"/>
    <col min="2791" max="2791" width="14.85546875" style="2" customWidth="1"/>
    <col min="2792" max="2792" width="15" style="2" customWidth="1"/>
    <col min="2793" max="2793" width="14.85546875" style="2" customWidth="1"/>
    <col min="2794" max="2794" width="7.140625" style="2" customWidth="1"/>
    <col min="2795" max="2796" width="20.140625" style="2" customWidth="1"/>
    <col min="2797" max="2797" width="18.42578125" style="2" customWidth="1"/>
    <col min="2798" max="2798" width="9.140625" style="2" customWidth="1"/>
    <col min="2799" max="2799" width="12" style="2" customWidth="1"/>
    <col min="2800" max="2800" width="14.85546875" style="2" customWidth="1"/>
    <col min="2801" max="2801" width="22.42578125" style="2" customWidth="1"/>
    <col min="2802" max="2802" width="14.85546875" style="2" customWidth="1"/>
    <col min="2803" max="2803" width="7.140625" style="2" customWidth="1"/>
    <col min="2804" max="2804" width="20.140625" style="2" customWidth="1"/>
    <col min="2805" max="3036" width="8.85546875" style="2" customWidth="1"/>
    <col min="3037" max="3037" width="8.140625" style="2" customWidth="1"/>
    <col min="3038" max="3038" width="14.5703125" style="2" customWidth="1"/>
    <col min="3039" max="3039" width="37.42578125" style="2" customWidth="1"/>
    <col min="3040" max="3040" width="63.140625" style="2" customWidth="1"/>
    <col min="3041" max="3041" width="20" style="2" customWidth="1"/>
    <col min="3042" max="3042" width="11.140625" style="2" customWidth="1"/>
    <col min="3043" max="3043" width="10.85546875" style="2" customWidth="1"/>
    <col min="3044" max="3044" width="21" style="2" customWidth="1"/>
    <col min="3045" max="3045" width="10.85546875" style="2" customWidth="1"/>
    <col min="3046" max="3046" width="17.42578125" style="2" customWidth="1"/>
    <col min="3047" max="3047" width="14.85546875" style="2" customWidth="1"/>
    <col min="3048" max="3048" width="15" style="2" customWidth="1"/>
    <col min="3049" max="3049" width="14.85546875" style="2" customWidth="1"/>
    <col min="3050" max="3050" width="7.140625" style="2" customWidth="1"/>
    <col min="3051" max="3052" width="20.140625" style="2" customWidth="1"/>
    <col min="3053" max="3053" width="18.42578125" style="2" customWidth="1"/>
    <col min="3054" max="3054" width="9.140625" style="2" customWidth="1"/>
    <col min="3055" max="3055" width="12" style="2" customWidth="1"/>
    <col min="3056" max="3056" width="14.85546875" style="2" customWidth="1"/>
    <col min="3057" max="3057" width="22.42578125" style="2" customWidth="1"/>
    <col min="3058" max="3058" width="14.85546875" style="2" customWidth="1"/>
    <col min="3059" max="3059" width="7.140625" style="2" customWidth="1"/>
    <col min="3060" max="3060" width="20.140625" style="2" customWidth="1"/>
    <col min="3061" max="3292" width="8.85546875" style="2" customWidth="1"/>
    <col min="3293" max="3293" width="8.140625" style="2" customWidth="1"/>
    <col min="3294" max="3294" width="14.5703125" style="2" customWidth="1"/>
    <col min="3295" max="3295" width="37.42578125" style="2" customWidth="1"/>
    <col min="3296" max="3296" width="63.140625" style="2" customWidth="1"/>
    <col min="3297" max="3297" width="20" style="2" customWidth="1"/>
    <col min="3298" max="3298" width="11.140625" style="2" customWidth="1"/>
    <col min="3299" max="3299" width="10.85546875" style="2" customWidth="1"/>
    <col min="3300" max="3300" width="21" style="2" customWidth="1"/>
    <col min="3301" max="3301" width="10.85546875" style="2" customWidth="1"/>
    <col min="3302" max="3302" width="17.42578125" style="2" customWidth="1"/>
    <col min="3303" max="3303" width="14.85546875" style="2" customWidth="1"/>
    <col min="3304" max="3304" width="15" style="2" customWidth="1"/>
    <col min="3305" max="3305" width="14.85546875" style="2" customWidth="1"/>
    <col min="3306" max="3306" width="7.140625" style="2" customWidth="1"/>
    <col min="3307" max="3308" width="20.140625" style="2" customWidth="1"/>
    <col min="3309" max="3309" width="18.42578125" style="2" customWidth="1"/>
    <col min="3310" max="3310" width="9.140625" style="2" customWidth="1"/>
    <col min="3311" max="3311" width="12" style="2" customWidth="1"/>
    <col min="3312" max="3312" width="14.85546875" style="2" customWidth="1"/>
    <col min="3313" max="3313" width="22.42578125" style="2" customWidth="1"/>
    <col min="3314" max="3314" width="14.85546875" style="2" customWidth="1"/>
    <col min="3315" max="3315" width="7.140625" style="2" customWidth="1"/>
    <col min="3316" max="3316" width="20.140625" style="2" customWidth="1"/>
    <col min="3317" max="3548" width="8.85546875" style="2" customWidth="1"/>
    <col min="3549" max="3549" width="8.140625" style="2" customWidth="1"/>
    <col min="3550" max="3550" width="14.5703125" style="2" customWidth="1"/>
    <col min="3551" max="3551" width="37.42578125" style="2" customWidth="1"/>
    <col min="3552" max="3552" width="63.140625" style="2" customWidth="1"/>
    <col min="3553" max="3553" width="20" style="2" customWidth="1"/>
    <col min="3554" max="3554" width="11.140625" style="2" customWidth="1"/>
    <col min="3555" max="3555" width="10.85546875" style="2" customWidth="1"/>
    <col min="3556" max="3556" width="21" style="2" customWidth="1"/>
    <col min="3557" max="3557" width="10.85546875" style="2" customWidth="1"/>
    <col min="3558" max="3558" width="17.42578125" style="2" customWidth="1"/>
    <col min="3559" max="3559" width="14.85546875" style="2" customWidth="1"/>
    <col min="3560" max="3560" width="15" style="2" customWidth="1"/>
    <col min="3561" max="3561" width="14.85546875" style="2" customWidth="1"/>
    <col min="3562" max="3562" width="7.140625" style="2" customWidth="1"/>
    <col min="3563" max="3564" width="20.140625" style="2" customWidth="1"/>
    <col min="3565" max="3565" width="18.42578125" style="2" customWidth="1"/>
    <col min="3566" max="3566" width="9.140625" style="2" customWidth="1"/>
    <col min="3567" max="3567" width="12" style="2" customWidth="1"/>
    <col min="3568" max="3568" width="14.85546875" style="2" customWidth="1"/>
    <col min="3569" max="3569" width="22.42578125" style="2" customWidth="1"/>
    <col min="3570" max="3570" width="14.85546875" style="2" customWidth="1"/>
    <col min="3571" max="3571" width="7.140625" style="2" customWidth="1"/>
    <col min="3572" max="3572" width="20.140625" style="2" customWidth="1"/>
    <col min="3573" max="3804" width="8.85546875" style="2" customWidth="1"/>
    <col min="3805" max="3805" width="8.140625" style="2" customWidth="1"/>
    <col min="3806" max="3806" width="14.5703125" style="2" customWidth="1"/>
    <col min="3807" max="3807" width="37.42578125" style="2" customWidth="1"/>
    <col min="3808" max="3808" width="63.140625" style="2" customWidth="1"/>
    <col min="3809" max="3809" width="20" style="2" customWidth="1"/>
    <col min="3810" max="3810" width="11.140625" style="2" customWidth="1"/>
    <col min="3811" max="3811" width="10.85546875" style="2" customWidth="1"/>
    <col min="3812" max="3812" width="21" style="2" customWidth="1"/>
    <col min="3813" max="3813" width="10.85546875" style="2" customWidth="1"/>
    <col min="3814" max="3814" width="17.42578125" style="2" customWidth="1"/>
    <col min="3815" max="3815" width="14.85546875" style="2" customWidth="1"/>
    <col min="3816" max="3816" width="15" style="2" customWidth="1"/>
    <col min="3817" max="3817" width="14.85546875" style="2" customWidth="1"/>
    <col min="3818" max="3818" width="7.140625" style="2" customWidth="1"/>
    <col min="3819" max="3820" width="20.140625" style="2" customWidth="1"/>
    <col min="3821" max="3821" width="18.42578125" style="2" customWidth="1"/>
    <col min="3822" max="3822" width="9.140625" style="2" customWidth="1"/>
    <col min="3823" max="3823" width="12" style="2" customWidth="1"/>
    <col min="3824" max="3824" width="14.85546875" style="2" customWidth="1"/>
    <col min="3825" max="3825" width="22.42578125" style="2" customWidth="1"/>
    <col min="3826" max="3826" width="14.85546875" style="2" customWidth="1"/>
    <col min="3827" max="3827" width="7.140625" style="2" customWidth="1"/>
    <col min="3828" max="3828" width="20.140625" style="2" customWidth="1"/>
    <col min="3829" max="4060" width="8.85546875" style="2" customWidth="1"/>
    <col min="4061" max="4061" width="8.140625" style="2" customWidth="1"/>
    <col min="4062" max="4062" width="14.5703125" style="2" customWidth="1"/>
    <col min="4063" max="4063" width="37.42578125" style="2" customWidth="1"/>
    <col min="4064" max="4064" width="63.140625" style="2" customWidth="1"/>
    <col min="4065" max="4065" width="20" style="2" customWidth="1"/>
    <col min="4066" max="4066" width="11.140625" style="2" customWidth="1"/>
    <col min="4067" max="4067" width="10.85546875" style="2" customWidth="1"/>
    <col min="4068" max="4068" width="21" style="2" customWidth="1"/>
    <col min="4069" max="4069" width="10.85546875" style="2" customWidth="1"/>
    <col min="4070" max="4070" width="17.42578125" style="2" customWidth="1"/>
    <col min="4071" max="4071" width="14.85546875" style="2" customWidth="1"/>
    <col min="4072" max="4072" width="15" style="2" customWidth="1"/>
    <col min="4073" max="4073" width="14.85546875" style="2" customWidth="1"/>
    <col min="4074" max="4074" width="7.140625" style="2" customWidth="1"/>
    <col min="4075" max="4076" width="20.140625" style="2" customWidth="1"/>
    <col min="4077" max="4077" width="18.42578125" style="2" customWidth="1"/>
    <col min="4078" max="4078" width="9.140625" style="2" customWidth="1"/>
    <col min="4079" max="4079" width="12" style="2" customWidth="1"/>
    <col min="4080" max="4080" width="14.85546875" style="2" customWidth="1"/>
    <col min="4081" max="4081" width="22.42578125" style="2" customWidth="1"/>
    <col min="4082" max="4082" width="14.85546875" style="2" customWidth="1"/>
    <col min="4083" max="4083" width="7.140625" style="2" customWidth="1"/>
    <col min="4084" max="4084" width="20.140625" style="2" customWidth="1"/>
    <col min="4085" max="4316" width="8.85546875" style="2" customWidth="1"/>
    <col min="4317" max="4317" width="8.140625" style="2" customWidth="1"/>
    <col min="4318" max="4318" width="14.5703125" style="2" customWidth="1"/>
    <col min="4319" max="4319" width="37.42578125" style="2" customWidth="1"/>
    <col min="4320" max="4320" width="63.140625" style="2" customWidth="1"/>
    <col min="4321" max="4321" width="20" style="2" customWidth="1"/>
    <col min="4322" max="4322" width="11.140625" style="2" customWidth="1"/>
    <col min="4323" max="4323" width="10.85546875" style="2" customWidth="1"/>
    <col min="4324" max="4324" width="21" style="2" customWidth="1"/>
    <col min="4325" max="4325" width="10.85546875" style="2" customWidth="1"/>
    <col min="4326" max="4326" width="17.42578125" style="2" customWidth="1"/>
    <col min="4327" max="4327" width="14.85546875" style="2" customWidth="1"/>
    <col min="4328" max="4328" width="15" style="2" customWidth="1"/>
    <col min="4329" max="4329" width="14.85546875" style="2" customWidth="1"/>
    <col min="4330" max="4330" width="7.140625" style="2" customWidth="1"/>
    <col min="4331" max="4332" width="20.140625" style="2" customWidth="1"/>
    <col min="4333" max="4333" width="18.42578125" style="2" customWidth="1"/>
    <col min="4334" max="4334" width="9.140625" style="2" customWidth="1"/>
    <col min="4335" max="4335" width="12" style="2" customWidth="1"/>
    <col min="4336" max="4336" width="14.85546875" style="2" customWidth="1"/>
    <col min="4337" max="4337" width="22.42578125" style="2" customWidth="1"/>
    <col min="4338" max="4338" width="14.85546875" style="2" customWidth="1"/>
    <col min="4339" max="4339" width="7.140625" style="2" customWidth="1"/>
    <col min="4340" max="4340" width="20.140625" style="2" customWidth="1"/>
    <col min="4341" max="4572" width="8.85546875" style="2" customWidth="1"/>
    <col min="4573" max="4573" width="8.140625" style="2" customWidth="1"/>
    <col min="4574" max="4574" width="14.5703125" style="2" customWidth="1"/>
    <col min="4575" max="4575" width="37.42578125" style="2" customWidth="1"/>
    <col min="4576" max="4576" width="63.140625" style="2" customWidth="1"/>
    <col min="4577" max="4577" width="20" style="2" customWidth="1"/>
    <col min="4578" max="4578" width="11.140625" style="2" customWidth="1"/>
    <col min="4579" max="4579" width="10.85546875" style="2" customWidth="1"/>
    <col min="4580" max="4580" width="21" style="2" customWidth="1"/>
    <col min="4581" max="4581" width="10.85546875" style="2" customWidth="1"/>
    <col min="4582" max="4582" width="17.42578125" style="2" customWidth="1"/>
    <col min="4583" max="4583" width="14.85546875" style="2" customWidth="1"/>
    <col min="4584" max="4584" width="15" style="2" customWidth="1"/>
    <col min="4585" max="4585" width="14.85546875" style="2" customWidth="1"/>
    <col min="4586" max="4586" width="7.140625" style="2" customWidth="1"/>
    <col min="4587" max="4588" width="20.140625" style="2" customWidth="1"/>
    <col min="4589" max="4589" width="18.42578125" style="2" customWidth="1"/>
    <col min="4590" max="4590" width="9.140625" style="2" customWidth="1"/>
    <col min="4591" max="4591" width="12" style="2" customWidth="1"/>
    <col min="4592" max="4592" width="14.85546875" style="2" customWidth="1"/>
    <col min="4593" max="4593" width="22.42578125" style="2" customWidth="1"/>
    <col min="4594" max="4594" width="14.85546875" style="2" customWidth="1"/>
    <col min="4595" max="4595" width="7.140625" style="2" customWidth="1"/>
    <col min="4596" max="4596" width="20.140625" style="2" customWidth="1"/>
    <col min="4597" max="4828" width="8.85546875" style="2" customWidth="1"/>
    <col min="4829" max="4829" width="8.140625" style="2" customWidth="1"/>
    <col min="4830" max="4830" width="14.5703125" style="2" customWidth="1"/>
    <col min="4831" max="4831" width="37.42578125" style="2" customWidth="1"/>
    <col min="4832" max="4832" width="63.140625" style="2" customWidth="1"/>
    <col min="4833" max="4833" width="20" style="2" customWidth="1"/>
    <col min="4834" max="4834" width="11.140625" style="2" customWidth="1"/>
    <col min="4835" max="4835" width="10.85546875" style="2" customWidth="1"/>
    <col min="4836" max="4836" width="21" style="2" customWidth="1"/>
    <col min="4837" max="4837" width="10.85546875" style="2" customWidth="1"/>
    <col min="4838" max="4838" width="17.42578125" style="2" customWidth="1"/>
    <col min="4839" max="4839" width="14.85546875" style="2" customWidth="1"/>
    <col min="4840" max="4840" width="15" style="2" customWidth="1"/>
    <col min="4841" max="4841" width="14.85546875" style="2" customWidth="1"/>
    <col min="4842" max="4842" width="7.140625" style="2" customWidth="1"/>
    <col min="4843" max="4844" width="20.140625" style="2" customWidth="1"/>
    <col min="4845" max="4845" width="18.42578125" style="2" customWidth="1"/>
    <col min="4846" max="4846" width="9.140625" style="2" customWidth="1"/>
    <col min="4847" max="4847" width="12" style="2" customWidth="1"/>
    <col min="4848" max="4848" width="14.85546875" style="2" customWidth="1"/>
    <col min="4849" max="4849" width="22.42578125" style="2" customWidth="1"/>
    <col min="4850" max="4850" width="14.85546875" style="2" customWidth="1"/>
    <col min="4851" max="4851" width="7.140625" style="2" customWidth="1"/>
    <col min="4852" max="4852" width="20.140625" style="2" customWidth="1"/>
    <col min="4853" max="5084" width="8.85546875" style="2" customWidth="1"/>
    <col min="5085" max="5085" width="8.140625" style="2" customWidth="1"/>
    <col min="5086" max="5086" width="14.5703125" style="2" customWidth="1"/>
    <col min="5087" max="5087" width="37.42578125" style="2" customWidth="1"/>
    <col min="5088" max="5088" width="63.140625" style="2" customWidth="1"/>
    <col min="5089" max="5089" width="20" style="2" customWidth="1"/>
    <col min="5090" max="5090" width="11.140625" style="2" customWidth="1"/>
    <col min="5091" max="5091" width="10.85546875" style="2" customWidth="1"/>
    <col min="5092" max="5092" width="21" style="2" customWidth="1"/>
    <col min="5093" max="5093" width="10.85546875" style="2" customWidth="1"/>
    <col min="5094" max="5094" width="17.42578125" style="2" customWidth="1"/>
    <col min="5095" max="5095" width="14.85546875" style="2" customWidth="1"/>
    <col min="5096" max="5096" width="15" style="2" customWidth="1"/>
    <col min="5097" max="5097" width="14.85546875" style="2" customWidth="1"/>
    <col min="5098" max="5098" width="7.140625" style="2" customWidth="1"/>
    <col min="5099" max="5100" width="20.140625" style="2" customWidth="1"/>
    <col min="5101" max="5101" width="18.42578125" style="2" customWidth="1"/>
    <col min="5102" max="5102" width="9.140625" style="2" customWidth="1"/>
    <col min="5103" max="5103" width="12" style="2" customWidth="1"/>
    <col min="5104" max="5104" width="14.85546875" style="2" customWidth="1"/>
    <col min="5105" max="5105" width="22.42578125" style="2" customWidth="1"/>
    <col min="5106" max="5106" width="14.85546875" style="2" customWidth="1"/>
    <col min="5107" max="5107" width="7.140625" style="2" customWidth="1"/>
    <col min="5108" max="5108" width="20.140625" style="2" customWidth="1"/>
    <col min="5109" max="5340" width="8.85546875" style="2" customWidth="1"/>
    <col min="5341" max="5341" width="8.140625" style="2" customWidth="1"/>
    <col min="5342" max="5342" width="14.5703125" style="2" customWidth="1"/>
    <col min="5343" max="5343" width="37.42578125" style="2" customWidth="1"/>
    <col min="5344" max="5344" width="63.140625" style="2" customWidth="1"/>
    <col min="5345" max="5345" width="20" style="2" customWidth="1"/>
    <col min="5346" max="5346" width="11.140625" style="2" customWidth="1"/>
    <col min="5347" max="5347" width="10.85546875" style="2" customWidth="1"/>
    <col min="5348" max="5348" width="21" style="2" customWidth="1"/>
    <col min="5349" max="5349" width="10.85546875" style="2" customWidth="1"/>
    <col min="5350" max="5350" width="17.42578125" style="2" customWidth="1"/>
    <col min="5351" max="5351" width="14.85546875" style="2" customWidth="1"/>
    <col min="5352" max="5352" width="15" style="2" customWidth="1"/>
    <col min="5353" max="5353" width="14.85546875" style="2" customWidth="1"/>
    <col min="5354" max="5354" width="7.140625" style="2" customWidth="1"/>
    <col min="5355" max="5356" width="20.140625" style="2" customWidth="1"/>
    <col min="5357" max="5357" width="18.42578125" style="2" customWidth="1"/>
    <col min="5358" max="5358" width="9.140625" style="2" customWidth="1"/>
    <col min="5359" max="5359" width="12" style="2" customWidth="1"/>
    <col min="5360" max="5360" width="14.85546875" style="2" customWidth="1"/>
    <col min="5361" max="5361" width="22.42578125" style="2" customWidth="1"/>
    <col min="5362" max="5362" width="14.85546875" style="2" customWidth="1"/>
    <col min="5363" max="5363" width="7.140625" style="2" customWidth="1"/>
    <col min="5364" max="5364" width="20.140625" style="2" customWidth="1"/>
    <col min="5365" max="5596" width="8.85546875" style="2" customWidth="1"/>
    <col min="5597" max="5597" width="8.140625" style="2" customWidth="1"/>
    <col min="5598" max="5598" width="14.5703125" style="2" customWidth="1"/>
    <col min="5599" max="5599" width="37.42578125" style="2" customWidth="1"/>
    <col min="5600" max="5600" width="63.140625" style="2" customWidth="1"/>
    <col min="5601" max="5601" width="20" style="2" customWidth="1"/>
    <col min="5602" max="5602" width="11.140625" style="2" customWidth="1"/>
    <col min="5603" max="5603" width="10.85546875" style="2" customWidth="1"/>
    <col min="5604" max="5604" width="21" style="2" customWidth="1"/>
    <col min="5605" max="5605" width="10.85546875" style="2" customWidth="1"/>
    <col min="5606" max="5606" width="17.42578125" style="2" customWidth="1"/>
    <col min="5607" max="5607" width="14.85546875" style="2" customWidth="1"/>
    <col min="5608" max="5608" width="15" style="2" customWidth="1"/>
    <col min="5609" max="5609" width="14.85546875" style="2" customWidth="1"/>
    <col min="5610" max="5610" width="7.140625" style="2" customWidth="1"/>
    <col min="5611" max="5612" width="20.140625" style="2" customWidth="1"/>
    <col min="5613" max="5613" width="18.42578125" style="2" customWidth="1"/>
    <col min="5614" max="5614" width="9.140625" style="2" customWidth="1"/>
    <col min="5615" max="5615" width="12" style="2" customWidth="1"/>
    <col min="5616" max="5616" width="14.85546875" style="2" customWidth="1"/>
    <col min="5617" max="5617" width="22.42578125" style="2" customWidth="1"/>
    <col min="5618" max="5618" width="14.85546875" style="2" customWidth="1"/>
    <col min="5619" max="5619" width="7.140625" style="2" customWidth="1"/>
    <col min="5620" max="5620" width="20.140625" style="2" customWidth="1"/>
    <col min="5621" max="5852" width="8.85546875" style="2" customWidth="1"/>
    <col min="5853" max="5853" width="8.140625" style="2" customWidth="1"/>
    <col min="5854" max="5854" width="14.5703125" style="2" customWidth="1"/>
    <col min="5855" max="5855" width="37.42578125" style="2" customWidth="1"/>
    <col min="5856" max="5856" width="63.140625" style="2" customWidth="1"/>
    <col min="5857" max="5857" width="20" style="2" customWidth="1"/>
    <col min="5858" max="5858" width="11.140625" style="2" customWidth="1"/>
    <col min="5859" max="5859" width="10.85546875" style="2" customWidth="1"/>
    <col min="5860" max="5860" width="21" style="2" customWidth="1"/>
    <col min="5861" max="5861" width="10.85546875" style="2" customWidth="1"/>
    <col min="5862" max="5862" width="17.42578125" style="2" customWidth="1"/>
    <col min="5863" max="5863" width="14.85546875" style="2" customWidth="1"/>
    <col min="5864" max="5864" width="15" style="2" customWidth="1"/>
    <col min="5865" max="5865" width="14.85546875" style="2" customWidth="1"/>
    <col min="5866" max="5866" width="7.140625" style="2" customWidth="1"/>
    <col min="5867" max="5868" width="20.140625" style="2" customWidth="1"/>
    <col min="5869" max="5869" width="18.42578125" style="2" customWidth="1"/>
    <col min="5870" max="5870" width="9.140625" style="2" customWidth="1"/>
    <col min="5871" max="5871" width="12" style="2" customWidth="1"/>
    <col min="5872" max="5872" width="14.85546875" style="2" customWidth="1"/>
    <col min="5873" max="5873" width="22.42578125" style="2" customWidth="1"/>
    <col min="5874" max="5874" width="14.85546875" style="2" customWidth="1"/>
    <col min="5875" max="5875" width="7.140625" style="2" customWidth="1"/>
    <col min="5876" max="5876" width="20.140625" style="2" customWidth="1"/>
    <col min="5877" max="6108" width="8.85546875" style="2" customWidth="1"/>
    <col min="6109" max="6109" width="8.140625" style="2" customWidth="1"/>
    <col min="6110" max="6110" width="14.5703125" style="2" customWidth="1"/>
    <col min="6111" max="6111" width="37.42578125" style="2" customWidth="1"/>
    <col min="6112" max="6112" width="63.140625" style="2" customWidth="1"/>
    <col min="6113" max="6113" width="20" style="2" customWidth="1"/>
    <col min="6114" max="6114" width="11.140625" style="2" customWidth="1"/>
    <col min="6115" max="6115" width="10.85546875" style="2" customWidth="1"/>
    <col min="6116" max="6116" width="21" style="2" customWidth="1"/>
    <col min="6117" max="6117" width="10.85546875" style="2" customWidth="1"/>
    <col min="6118" max="6118" width="17.42578125" style="2" customWidth="1"/>
    <col min="6119" max="6119" width="14.85546875" style="2" customWidth="1"/>
    <col min="6120" max="6120" width="15" style="2" customWidth="1"/>
    <col min="6121" max="6121" width="14.85546875" style="2" customWidth="1"/>
    <col min="6122" max="6122" width="7.140625" style="2" customWidth="1"/>
    <col min="6123" max="6124" width="20.140625" style="2" customWidth="1"/>
    <col min="6125" max="6125" width="18.42578125" style="2" customWidth="1"/>
    <col min="6126" max="6126" width="9.140625" style="2" customWidth="1"/>
    <col min="6127" max="6127" width="12" style="2" customWidth="1"/>
    <col min="6128" max="6128" width="14.85546875" style="2" customWidth="1"/>
    <col min="6129" max="6129" width="22.42578125" style="2" customWidth="1"/>
    <col min="6130" max="6130" width="14.85546875" style="2" customWidth="1"/>
    <col min="6131" max="6131" width="7.140625" style="2" customWidth="1"/>
    <col min="6132" max="6132" width="20.140625" style="2" customWidth="1"/>
    <col min="6133" max="6364" width="8.85546875" style="2" customWidth="1"/>
    <col min="6365" max="6365" width="8.140625" style="2" customWidth="1"/>
    <col min="6366" max="6366" width="14.5703125" style="2" customWidth="1"/>
    <col min="6367" max="6367" width="37.42578125" style="2" customWidth="1"/>
    <col min="6368" max="6368" width="63.140625" style="2" customWidth="1"/>
    <col min="6369" max="6369" width="20" style="2" customWidth="1"/>
    <col min="6370" max="6370" width="11.140625" style="2" customWidth="1"/>
    <col min="6371" max="6371" width="10.85546875" style="2" customWidth="1"/>
    <col min="6372" max="6372" width="21" style="2" customWidth="1"/>
    <col min="6373" max="6373" width="10.85546875" style="2" customWidth="1"/>
    <col min="6374" max="6374" width="17.42578125" style="2" customWidth="1"/>
    <col min="6375" max="6375" width="14.85546875" style="2" customWidth="1"/>
    <col min="6376" max="6376" width="15" style="2" customWidth="1"/>
    <col min="6377" max="6377" width="14.85546875" style="2" customWidth="1"/>
    <col min="6378" max="6378" width="7.140625" style="2" customWidth="1"/>
    <col min="6379" max="6380" width="20.140625" style="2" customWidth="1"/>
    <col min="6381" max="6381" width="18.42578125" style="2" customWidth="1"/>
    <col min="6382" max="6382" width="9.140625" style="2" customWidth="1"/>
    <col min="6383" max="6383" width="12" style="2" customWidth="1"/>
    <col min="6384" max="6384" width="14.85546875" style="2" customWidth="1"/>
    <col min="6385" max="6385" width="22.42578125" style="2" customWidth="1"/>
    <col min="6386" max="6386" width="14.85546875" style="2" customWidth="1"/>
    <col min="6387" max="6387" width="7.140625" style="2" customWidth="1"/>
    <col min="6388" max="6388" width="20.140625" style="2" customWidth="1"/>
    <col min="6389" max="6620" width="8.85546875" style="2" customWidth="1"/>
    <col min="6621" max="6621" width="8.140625" style="2" customWidth="1"/>
    <col min="6622" max="6622" width="14.5703125" style="2" customWidth="1"/>
    <col min="6623" max="6623" width="37.42578125" style="2" customWidth="1"/>
    <col min="6624" max="6624" width="63.140625" style="2" customWidth="1"/>
    <col min="6625" max="6625" width="20" style="2" customWidth="1"/>
    <col min="6626" max="6626" width="11.140625" style="2" customWidth="1"/>
    <col min="6627" max="6627" width="10.85546875" style="2" customWidth="1"/>
    <col min="6628" max="6628" width="21" style="2" customWidth="1"/>
    <col min="6629" max="6629" width="10.85546875" style="2" customWidth="1"/>
    <col min="6630" max="6630" width="17.42578125" style="2" customWidth="1"/>
    <col min="6631" max="6631" width="14.85546875" style="2" customWidth="1"/>
    <col min="6632" max="6632" width="15" style="2" customWidth="1"/>
    <col min="6633" max="6633" width="14.85546875" style="2" customWidth="1"/>
    <col min="6634" max="6634" width="7.140625" style="2" customWidth="1"/>
    <col min="6635" max="6636" width="20.140625" style="2" customWidth="1"/>
    <col min="6637" max="6637" width="18.42578125" style="2" customWidth="1"/>
    <col min="6638" max="6638" width="9.140625" style="2" customWidth="1"/>
    <col min="6639" max="6639" width="12" style="2" customWidth="1"/>
    <col min="6640" max="6640" width="14.85546875" style="2" customWidth="1"/>
    <col min="6641" max="6641" width="22.42578125" style="2" customWidth="1"/>
    <col min="6642" max="6642" width="14.85546875" style="2" customWidth="1"/>
    <col min="6643" max="6643" width="7.140625" style="2" customWidth="1"/>
    <col min="6644" max="6644" width="20.140625" style="2" customWidth="1"/>
    <col min="6645" max="6876" width="8.85546875" style="2" customWidth="1"/>
    <col min="6877" max="6877" width="8.140625" style="2" customWidth="1"/>
    <col min="6878" max="6878" width="14.5703125" style="2" customWidth="1"/>
    <col min="6879" max="6879" width="37.42578125" style="2" customWidth="1"/>
    <col min="6880" max="6880" width="63.140625" style="2" customWidth="1"/>
    <col min="6881" max="6881" width="20" style="2" customWidth="1"/>
    <col min="6882" max="6882" width="11.140625" style="2" customWidth="1"/>
    <col min="6883" max="6883" width="10.85546875" style="2" customWidth="1"/>
    <col min="6884" max="6884" width="21" style="2" customWidth="1"/>
    <col min="6885" max="6885" width="10.85546875" style="2" customWidth="1"/>
    <col min="6886" max="6886" width="17.42578125" style="2" customWidth="1"/>
    <col min="6887" max="6887" width="14.85546875" style="2" customWidth="1"/>
    <col min="6888" max="6888" width="15" style="2" customWidth="1"/>
    <col min="6889" max="6889" width="14.85546875" style="2" customWidth="1"/>
    <col min="6890" max="6890" width="7.140625" style="2" customWidth="1"/>
    <col min="6891" max="6892" width="20.140625" style="2" customWidth="1"/>
    <col min="6893" max="6893" width="18.42578125" style="2" customWidth="1"/>
    <col min="6894" max="6894" width="9.140625" style="2" customWidth="1"/>
    <col min="6895" max="6895" width="12" style="2" customWidth="1"/>
    <col min="6896" max="6896" width="14.85546875" style="2" customWidth="1"/>
    <col min="6897" max="6897" width="22.42578125" style="2" customWidth="1"/>
    <col min="6898" max="6898" width="14.85546875" style="2" customWidth="1"/>
    <col min="6899" max="6899" width="7.140625" style="2" customWidth="1"/>
    <col min="6900" max="6900" width="20.140625" style="2" customWidth="1"/>
    <col min="6901" max="7132" width="8.85546875" style="2" customWidth="1"/>
    <col min="7133" max="7133" width="8.140625" style="2" customWidth="1"/>
    <col min="7134" max="7134" width="14.5703125" style="2" customWidth="1"/>
    <col min="7135" max="7135" width="37.42578125" style="2" customWidth="1"/>
    <col min="7136" max="7136" width="63.140625" style="2" customWidth="1"/>
    <col min="7137" max="7137" width="20" style="2" customWidth="1"/>
    <col min="7138" max="7138" width="11.140625" style="2" customWidth="1"/>
    <col min="7139" max="7139" width="10.85546875" style="2" customWidth="1"/>
    <col min="7140" max="7140" width="21" style="2" customWidth="1"/>
    <col min="7141" max="7141" width="10.85546875" style="2" customWidth="1"/>
    <col min="7142" max="7142" width="17.42578125" style="2" customWidth="1"/>
    <col min="7143" max="7143" width="14.85546875" style="2" customWidth="1"/>
    <col min="7144" max="7144" width="15" style="2" customWidth="1"/>
    <col min="7145" max="7145" width="14.85546875" style="2" customWidth="1"/>
    <col min="7146" max="7146" width="7.140625" style="2" customWidth="1"/>
    <col min="7147" max="7148" width="20.140625" style="2" customWidth="1"/>
    <col min="7149" max="7149" width="18.42578125" style="2" customWidth="1"/>
    <col min="7150" max="7150" width="9.140625" style="2" customWidth="1"/>
    <col min="7151" max="7151" width="12" style="2" customWidth="1"/>
    <col min="7152" max="7152" width="14.85546875" style="2" customWidth="1"/>
    <col min="7153" max="7153" width="22.42578125" style="2" customWidth="1"/>
    <col min="7154" max="7154" width="14.85546875" style="2" customWidth="1"/>
    <col min="7155" max="7155" width="7.140625" style="2" customWidth="1"/>
    <col min="7156" max="7156" width="20.140625" style="2" customWidth="1"/>
    <col min="7157" max="7388" width="8.85546875" style="2" customWidth="1"/>
    <col min="7389" max="7389" width="8.140625" style="2" customWidth="1"/>
    <col min="7390" max="7390" width="14.5703125" style="2" customWidth="1"/>
    <col min="7391" max="7391" width="37.42578125" style="2" customWidth="1"/>
    <col min="7392" max="7392" width="63.140625" style="2" customWidth="1"/>
    <col min="7393" max="7393" width="20" style="2" customWidth="1"/>
    <col min="7394" max="7394" width="11.140625" style="2" customWidth="1"/>
    <col min="7395" max="7395" width="10.85546875" style="2" customWidth="1"/>
    <col min="7396" max="7396" width="21" style="2" customWidth="1"/>
    <col min="7397" max="7397" width="10.85546875" style="2" customWidth="1"/>
    <col min="7398" max="7398" width="17.42578125" style="2" customWidth="1"/>
    <col min="7399" max="7399" width="14.85546875" style="2" customWidth="1"/>
    <col min="7400" max="7400" width="15" style="2" customWidth="1"/>
    <col min="7401" max="7401" width="14.85546875" style="2" customWidth="1"/>
    <col min="7402" max="7402" width="7.140625" style="2" customWidth="1"/>
    <col min="7403" max="7404" width="20.140625" style="2" customWidth="1"/>
    <col min="7405" max="7405" width="18.42578125" style="2" customWidth="1"/>
    <col min="7406" max="7406" width="9.140625" style="2" customWidth="1"/>
    <col min="7407" max="7407" width="12" style="2" customWidth="1"/>
    <col min="7408" max="7408" width="14.85546875" style="2" customWidth="1"/>
    <col min="7409" max="7409" width="22.42578125" style="2" customWidth="1"/>
    <col min="7410" max="7410" width="14.85546875" style="2" customWidth="1"/>
    <col min="7411" max="7411" width="7.140625" style="2" customWidth="1"/>
    <col min="7412" max="7412" width="20.140625" style="2" customWidth="1"/>
    <col min="7413" max="7644" width="8.85546875" style="2" customWidth="1"/>
    <col min="7645" max="7645" width="8.140625" style="2" customWidth="1"/>
    <col min="7646" max="7646" width="14.5703125" style="2" customWidth="1"/>
    <col min="7647" max="7647" width="37.42578125" style="2" customWidth="1"/>
    <col min="7648" max="7648" width="63.140625" style="2" customWidth="1"/>
    <col min="7649" max="7649" width="20" style="2" customWidth="1"/>
    <col min="7650" max="7650" width="11.140625" style="2" customWidth="1"/>
    <col min="7651" max="7651" width="10.85546875" style="2" customWidth="1"/>
    <col min="7652" max="7652" width="21" style="2" customWidth="1"/>
    <col min="7653" max="7653" width="10.85546875" style="2" customWidth="1"/>
    <col min="7654" max="7654" width="17.42578125" style="2" customWidth="1"/>
    <col min="7655" max="7655" width="14.85546875" style="2" customWidth="1"/>
    <col min="7656" max="7656" width="15" style="2" customWidth="1"/>
    <col min="7657" max="7657" width="14.85546875" style="2" customWidth="1"/>
    <col min="7658" max="7658" width="7.140625" style="2" customWidth="1"/>
    <col min="7659" max="7660" width="20.140625" style="2" customWidth="1"/>
    <col min="7661" max="7661" width="18.42578125" style="2" customWidth="1"/>
    <col min="7662" max="7662" width="9.140625" style="2" customWidth="1"/>
    <col min="7663" max="7663" width="12" style="2" customWidth="1"/>
    <col min="7664" max="7664" width="14.85546875" style="2" customWidth="1"/>
    <col min="7665" max="7665" width="22.42578125" style="2" customWidth="1"/>
    <col min="7666" max="7666" width="14.85546875" style="2" customWidth="1"/>
    <col min="7667" max="7667" width="7.140625" style="2" customWidth="1"/>
    <col min="7668" max="7668" width="20.140625" style="2" customWidth="1"/>
    <col min="7669" max="7900" width="8.85546875" style="2" customWidth="1"/>
    <col min="7901" max="7901" width="8.140625" style="2" customWidth="1"/>
    <col min="7902" max="7902" width="14.5703125" style="2" customWidth="1"/>
    <col min="7903" max="7903" width="37.42578125" style="2" customWidth="1"/>
    <col min="7904" max="7904" width="63.140625" style="2" customWidth="1"/>
    <col min="7905" max="7905" width="20" style="2" customWidth="1"/>
    <col min="7906" max="7906" width="11.140625" style="2" customWidth="1"/>
    <col min="7907" max="7907" width="10.85546875" style="2" customWidth="1"/>
    <col min="7908" max="7908" width="21" style="2" customWidth="1"/>
    <col min="7909" max="7909" width="10.85546875" style="2" customWidth="1"/>
    <col min="7910" max="7910" width="17.42578125" style="2" customWidth="1"/>
    <col min="7911" max="7911" width="14.85546875" style="2" customWidth="1"/>
    <col min="7912" max="7912" width="15" style="2" customWidth="1"/>
    <col min="7913" max="7913" width="14.85546875" style="2" customWidth="1"/>
    <col min="7914" max="7914" width="7.140625" style="2" customWidth="1"/>
    <col min="7915" max="7916" width="20.140625" style="2" customWidth="1"/>
    <col min="7917" max="7917" width="18.42578125" style="2" customWidth="1"/>
    <col min="7918" max="7918" width="9.140625" style="2" customWidth="1"/>
    <col min="7919" max="7919" width="12" style="2" customWidth="1"/>
    <col min="7920" max="7920" width="14.85546875" style="2" customWidth="1"/>
    <col min="7921" max="7921" width="22.42578125" style="2" customWidth="1"/>
    <col min="7922" max="7922" width="14.85546875" style="2" customWidth="1"/>
    <col min="7923" max="7923" width="7.140625" style="2" customWidth="1"/>
    <col min="7924" max="7924" width="20.140625" style="2" customWidth="1"/>
    <col min="7925" max="8156" width="8.85546875" style="2" customWidth="1"/>
    <col min="8157" max="8157" width="8.140625" style="2" customWidth="1"/>
    <col min="8158" max="8158" width="14.5703125" style="2" customWidth="1"/>
    <col min="8159" max="8159" width="37.42578125" style="2" customWidth="1"/>
    <col min="8160" max="8160" width="63.140625" style="2" customWidth="1"/>
    <col min="8161" max="8161" width="20" style="2" customWidth="1"/>
    <col min="8162" max="8162" width="11.140625" style="2" customWidth="1"/>
    <col min="8163" max="8163" width="10.85546875" style="2" customWidth="1"/>
    <col min="8164" max="8164" width="21" style="2" customWidth="1"/>
    <col min="8165" max="8165" width="10.85546875" style="2" customWidth="1"/>
    <col min="8166" max="8166" width="17.42578125" style="2" customWidth="1"/>
    <col min="8167" max="8167" width="14.85546875" style="2" customWidth="1"/>
    <col min="8168" max="8168" width="15" style="2" customWidth="1"/>
    <col min="8169" max="8169" width="14.85546875" style="2" customWidth="1"/>
    <col min="8170" max="8170" width="7.140625" style="2" customWidth="1"/>
    <col min="8171" max="8172" width="20.140625" style="2" customWidth="1"/>
    <col min="8173" max="8173" width="18.42578125" style="2" customWidth="1"/>
    <col min="8174" max="8174" width="9.140625" style="2" customWidth="1"/>
    <col min="8175" max="8175" width="12" style="2" customWidth="1"/>
    <col min="8176" max="8176" width="14.85546875" style="2" customWidth="1"/>
    <col min="8177" max="8177" width="22.42578125" style="2" customWidth="1"/>
    <col min="8178" max="8178" width="14.85546875" style="2" customWidth="1"/>
    <col min="8179" max="8179" width="7.140625" style="2" customWidth="1"/>
    <col min="8180" max="8180" width="20.140625" style="2" customWidth="1"/>
    <col min="8181" max="8412" width="8.85546875" style="2" customWidth="1"/>
    <col min="8413" max="8413" width="8.140625" style="2" customWidth="1"/>
    <col min="8414" max="8414" width="14.5703125" style="2" customWidth="1"/>
    <col min="8415" max="8415" width="37.42578125" style="2" customWidth="1"/>
    <col min="8416" max="8416" width="63.140625" style="2" customWidth="1"/>
    <col min="8417" max="8417" width="20" style="2" customWidth="1"/>
    <col min="8418" max="8418" width="11.140625" style="2" customWidth="1"/>
    <col min="8419" max="8419" width="10.85546875" style="2" customWidth="1"/>
    <col min="8420" max="8420" width="21" style="2" customWidth="1"/>
    <col min="8421" max="8421" width="10.85546875" style="2" customWidth="1"/>
    <col min="8422" max="8422" width="17.42578125" style="2" customWidth="1"/>
    <col min="8423" max="8423" width="14.85546875" style="2" customWidth="1"/>
    <col min="8424" max="8424" width="15" style="2" customWidth="1"/>
    <col min="8425" max="8425" width="14.85546875" style="2" customWidth="1"/>
    <col min="8426" max="8426" width="7.140625" style="2" customWidth="1"/>
    <col min="8427" max="8428" width="20.140625" style="2" customWidth="1"/>
    <col min="8429" max="8429" width="18.42578125" style="2" customWidth="1"/>
    <col min="8430" max="8430" width="9.140625" style="2" customWidth="1"/>
    <col min="8431" max="8431" width="12" style="2" customWidth="1"/>
    <col min="8432" max="8432" width="14.85546875" style="2" customWidth="1"/>
    <col min="8433" max="8433" width="22.42578125" style="2" customWidth="1"/>
    <col min="8434" max="8434" width="14.85546875" style="2" customWidth="1"/>
    <col min="8435" max="8435" width="7.140625" style="2" customWidth="1"/>
    <col min="8436" max="8436" width="20.140625" style="2" customWidth="1"/>
    <col min="8437" max="8668" width="8.85546875" style="2" customWidth="1"/>
    <col min="8669" max="8669" width="8.140625" style="2" customWidth="1"/>
    <col min="8670" max="8670" width="14.5703125" style="2" customWidth="1"/>
    <col min="8671" max="8671" width="37.42578125" style="2" customWidth="1"/>
    <col min="8672" max="8672" width="63.140625" style="2" customWidth="1"/>
    <col min="8673" max="8673" width="20" style="2" customWidth="1"/>
    <col min="8674" max="8674" width="11.140625" style="2" customWidth="1"/>
    <col min="8675" max="8675" width="10.85546875" style="2" customWidth="1"/>
    <col min="8676" max="8676" width="21" style="2" customWidth="1"/>
    <col min="8677" max="8677" width="10.85546875" style="2" customWidth="1"/>
    <col min="8678" max="8678" width="17.42578125" style="2" customWidth="1"/>
    <col min="8679" max="8679" width="14.85546875" style="2" customWidth="1"/>
    <col min="8680" max="8680" width="15" style="2" customWidth="1"/>
    <col min="8681" max="8681" width="14.85546875" style="2" customWidth="1"/>
    <col min="8682" max="8682" width="7.140625" style="2" customWidth="1"/>
    <col min="8683" max="8684" width="20.140625" style="2" customWidth="1"/>
    <col min="8685" max="8685" width="18.42578125" style="2" customWidth="1"/>
    <col min="8686" max="8686" width="9.140625" style="2" customWidth="1"/>
    <col min="8687" max="8687" width="12" style="2" customWidth="1"/>
    <col min="8688" max="8688" width="14.85546875" style="2" customWidth="1"/>
    <col min="8689" max="8689" width="22.42578125" style="2" customWidth="1"/>
    <col min="8690" max="8690" width="14.85546875" style="2" customWidth="1"/>
    <col min="8691" max="8691" width="7.140625" style="2" customWidth="1"/>
    <col min="8692" max="8692" width="20.140625" style="2" customWidth="1"/>
    <col min="8693" max="8924" width="8.85546875" style="2" customWidth="1"/>
    <col min="8925" max="8925" width="8.140625" style="2" customWidth="1"/>
    <col min="8926" max="8926" width="14.5703125" style="2" customWidth="1"/>
    <col min="8927" max="8927" width="37.42578125" style="2" customWidth="1"/>
    <col min="8928" max="8928" width="63.140625" style="2" customWidth="1"/>
    <col min="8929" max="8929" width="20" style="2" customWidth="1"/>
    <col min="8930" max="8930" width="11.140625" style="2" customWidth="1"/>
    <col min="8931" max="8931" width="10.85546875" style="2" customWidth="1"/>
    <col min="8932" max="8932" width="21" style="2" customWidth="1"/>
    <col min="8933" max="8933" width="10.85546875" style="2" customWidth="1"/>
    <col min="8934" max="8934" width="17.42578125" style="2" customWidth="1"/>
    <col min="8935" max="8935" width="14.85546875" style="2" customWidth="1"/>
    <col min="8936" max="8936" width="15" style="2" customWidth="1"/>
    <col min="8937" max="8937" width="14.85546875" style="2" customWidth="1"/>
    <col min="8938" max="8938" width="7.140625" style="2" customWidth="1"/>
    <col min="8939" max="8940" width="20.140625" style="2" customWidth="1"/>
    <col min="8941" max="8941" width="18.42578125" style="2" customWidth="1"/>
    <col min="8942" max="8942" width="9.140625" style="2" customWidth="1"/>
    <col min="8943" max="8943" width="12" style="2" customWidth="1"/>
    <col min="8944" max="8944" width="14.85546875" style="2" customWidth="1"/>
    <col min="8945" max="8945" width="22.42578125" style="2" customWidth="1"/>
    <col min="8946" max="8946" width="14.85546875" style="2" customWidth="1"/>
    <col min="8947" max="8947" width="7.140625" style="2" customWidth="1"/>
    <col min="8948" max="8948" width="20.140625" style="2" customWidth="1"/>
    <col min="8949" max="9180" width="8.85546875" style="2" customWidth="1"/>
    <col min="9181" max="9181" width="8.140625" style="2" customWidth="1"/>
    <col min="9182" max="9182" width="14.5703125" style="2" customWidth="1"/>
    <col min="9183" max="9183" width="37.42578125" style="2" customWidth="1"/>
    <col min="9184" max="9184" width="63.140625" style="2" customWidth="1"/>
    <col min="9185" max="9185" width="20" style="2" customWidth="1"/>
    <col min="9186" max="9186" width="11.140625" style="2" customWidth="1"/>
    <col min="9187" max="9187" width="10.85546875" style="2" customWidth="1"/>
    <col min="9188" max="9188" width="21" style="2" customWidth="1"/>
    <col min="9189" max="9189" width="10.85546875" style="2" customWidth="1"/>
    <col min="9190" max="9190" width="17.42578125" style="2" customWidth="1"/>
    <col min="9191" max="9191" width="14.85546875" style="2" customWidth="1"/>
    <col min="9192" max="9192" width="15" style="2" customWidth="1"/>
    <col min="9193" max="9193" width="14.85546875" style="2" customWidth="1"/>
    <col min="9194" max="9194" width="7.140625" style="2" customWidth="1"/>
    <col min="9195" max="9196" width="20.140625" style="2" customWidth="1"/>
    <col min="9197" max="9197" width="18.42578125" style="2" customWidth="1"/>
    <col min="9198" max="9198" width="9.140625" style="2" customWidth="1"/>
    <col min="9199" max="9199" width="12" style="2" customWidth="1"/>
    <col min="9200" max="9200" width="14.85546875" style="2" customWidth="1"/>
    <col min="9201" max="9201" width="22.42578125" style="2" customWidth="1"/>
    <col min="9202" max="9202" width="14.85546875" style="2" customWidth="1"/>
    <col min="9203" max="9203" width="7.140625" style="2" customWidth="1"/>
    <col min="9204" max="9204" width="20.140625" style="2" customWidth="1"/>
    <col min="9205" max="9436" width="8.85546875" style="2" customWidth="1"/>
    <col min="9437" max="9437" width="8.140625" style="2" customWidth="1"/>
    <col min="9438" max="9438" width="14.5703125" style="2" customWidth="1"/>
    <col min="9439" max="9439" width="37.42578125" style="2" customWidth="1"/>
    <col min="9440" max="9440" width="63.140625" style="2" customWidth="1"/>
    <col min="9441" max="9441" width="20" style="2" customWidth="1"/>
    <col min="9442" max="9442" width="11.140625" style="2" customWidth="1"/>
    <col min="9443" max="9443" width="10.85546875" style="2" customWidth="1"/>
    <col min="9444" max="9444" width="21" style="2" customWidth="1"/>
    <col min="9445" max="9445" width="10.85546875" style="2" customWidth="1"/>
    <col min="9446" max="9446" width="17.42578125" style="2" customWidth="1"/>
    <col min="9447" max="9447" width="14.85546875" style="2" customWidth="1"/>
    <col min="9448" max="9448" width="15" style="2" customWidth="1"/>
    <col min="9449" max="9449" width="14.85546875" style="2" customWidth="1"/>
    <col min="9450" max="9450" width="7.140625" style="2" customWidth="1"/>
    <col min="9451" max="9452" width="20.140625" style="2" customWidth="1"/>
    <col min="9453" max="9453" width="18.42578125" style="2" customWidth="1"/>
    <col min="9454" max="9454" width="9.140625" style="2" customWidth="1"/>
    <col min="9455" max="9455" width="12" style="2" customWidth="1"/>
    <col min="9456" max="9456" width="14.85546875" style="2" customWidth="1"/>
    <col min="9457" max="9457" width="22.42578125" style="2" customWidth="1"/>
    <col min="9458" max="9458" width="14.85546875" style="2" customWidth="1"/>
    <col min="9459" max="9459" width="7.140625" style="2" customWidth="1"/>
    <col min="9460" max="9460" width="20.140625" style="2" customWidth="1"/>
    <col min="9461" max="9692" width="8.85546875" style="2" customWidth="1"/>
    <col min="9693" max="9693" width="8.140625" style="2" customWidth="1"/>
    <col min="9694" max="9694" width="14.5703125" style="2" customWidth="1"/>
    <col min="9695" max="9695" width="37.42578125" style="2" customWidth="1"/>
    <col min="9696" max="9696" width="63.140625" style="2" customWidth="1"/>
    <col min="9697" max="9697" width="20" style="2" customWidth="1"/>
    <col min="9698" max="9698" width="11.140625" style="2" customWidth="1"/>
    <col min="9699" max="9699" width="10.85546875" style="2" customWidth="1"/>
    <col min="9700" max="9700" width="21" style="2" customWidth="1"/>
    <col min="9701" max="9701" width="10.85546875" style="2" customWidth="1"/>
    <col min="9702" max="9702" width="17.42578125" style="2" customWidth="1"/>
    <col min="9703" max="9703" width="14.85546875" style="2" customWidth="1"/>
    <col min="9704" max="9704" width="15" style="2" customWidth="1"/>
    <col min="9705" max="9705" width="14.85546875" style="2" customWidth="1"/>
    <col min="9706" max="9706" width="7.140625" style="2" customWidth="1"/>
    <col min="9707" max="9708" width="20.140625" style="2" customWidth="1"/>
    <col min="9709" max="9709" width="18.42578125" style="2" customWidth="1"/>
    <col min="9710" max="9710" width="9.140625" style="2" customWidth="1"/>
    <col min="9711" max="9711" width="12" style="2" customWidth="1"/>
    <col min="9712" max="9712" width="14.85546875" style="2" customWidth="1"/>
    <col min="9713" max="9713" width="22.42578125" style="2" customWidth="1"/>
    <col min="9714" max="9714" width="14.85546875" style="2" customWidth="1"/>
    <col min="9715" max="9715" width="7.140625" style="2" customWidth="1"/>
    <col min="9716" max="9716" width="20.140625" style="2" customWidth="1"/>
    <col min="9717" max="9948" width="8.85546875" style="2" customWidth="1"/>
    <col min="9949" max="9949" width="8.140625" style="2" customWidth="1"/>
    <col min="9950" max="9950" width="14.5703125" style="2" customWidth="1"/>
    <col min="9951" max="9951" width="37.42578125" style="2" customWidth="1"/>
    <col min="9952" max="9952" width="63.140625" style="2" customWidth="1"/>
    <col min="9953" max="9953" width="20" style="2" customWidth="1"/>
    <col min="9954" max="9954" width="11.140625" style="2" customWidth="1"/>
    <col min="9955" max="9955" width="10.85546875" style="2" customWidth="1"/>
    <col min="9956" max="9956" width="21" style="2" customWidth="1"/>
    <col min="9957" max="9957" width="10.85546875" style="2" customWidth="1"/>
    <col min="9958" max="9958" width="17.42578125" style="2" customWidth="1"/>
    <col min="9959" max="9959" width="14.85546875" style="2" customWidth="1"/>
    <col min="9960" max="9960" width="15" style="2" customWidth="1"/>
    <col min="9961" max="9961" width="14.85546875" style="2" customWidth="1"/>
    <col min="9962" max="9962" width="7.140625" style="2" customWidth="1"/>
    <col min="9963" max="9964" width="20.140625" style="2" customWidth="1"/>
    <col min="9965" max="9965" width="18.42578125" style="2" customWidth="1"/>
    <col min="9966" max="9966" width="9.140625" style="2" customWidth="1"/>
    <col min="9967" max="9967" width="12" style="2" customWidth="1"/>
    <col min="9968" max="9968" width="14.85546875" style="2" customWidth="1"/>
    <col min="9969" max="9969" width="22.42578125" style="2" customWidth="1"/>
    <col min="9970" max="9970" width="14.85546875" style="2" customWidth="1"/>
    <col min="9971" max="9971" width="7.140625" style="2" customWidth="1"/>
    <col min="9972" max="9972" width="20.140625" style="2" customWidth="1"/>
    <col min="9973" max="10204" width="8.85546875" style="2" customWidth="1"/>
    <col min="10205" max="10205" width="8.140625" style="2" customWidth="1"/>
    <col min="10206" max="10206" width="14.5703125" style="2" customWidth="1"/>
    <col min="10207" max="10207" width="37.42578125" style="2" customWidth="1"/>
    <col min="10208" max="10208" width="63.140625" style="2" customWidth="1"/>
    <col min="10209" max="10209" width="20" style="2" customWidth="1"/>
    <col min="10210" max="10210" width="11.140625" style="2" customWidth="1"/>
    <col min="10211" max="10211" width="10.85546875" style="2" customWidth="1"/>
    <col min="10212" max="10212" width="21" style="2" customWidth="1"/>
    <col min="10213" max="10213" width="10.85546875" style="2" customWidth="1"/>
    <col min="10214" max="10214" width="17.42578125" style="2" customWidth="1"/>
    <col min="10215" max="10215" width="14.85546875" style="2" customWidth="1"/>
    <col min="10216" max="10216" width="15" style="2" customWidth="1"/>
    <col min="10217" max="10217" width="14.85546875" style="2" customWidth="1"/>
    <col min="10218" max="10218" width="7.140625" style="2" customWidth="1"/>
    <col min="10219" max="10220" width="20.140625" style="2" customWidth="1"/>
    <col min="10221" max="10221" width="18.42578125" style="2" customWidth="1"/>
    <col min="10222" max="10222" width="9.140625" style="2" customWidth="1"/>
    <col min="10223" max="10223" width="12" style="2" customWidth="1"/>
    <col min="10224" max="10224" width="14.85546875" style="2" customWidth="1"/>
    <col min="10225" max="10225" width="22.42578125" style="2" customWidth="1"/>
    <col min="10226" max="10226" width="14.85546875" style="2" customWidth="1"/>
    <col min="10227" max="10227" width="7.140625" style="2" customWidth="1"/>
    <col min="10228" max="10228" width="20.140625" style="2" customWidth="1"/>
    <col min="10229" max="10460" width="8.85546875" style="2" customWidth="1"/>
    <col min="10461" max="10461" width="8.140625" style="2" customWidth="1"/>
    <col min="10462" max="10462" width="14.5703125" style="2" customWidth="1"/>
    <col min="10463" max="10463" width="37.42578125" style="2" customWidth="1"/>
    <col min="10464" max="10464" width="63.140625" style="2" customWidth="1"/>
    <col min="10465" max="10465" width="20" style="2" customWidth="1"/>
    <col min="10466" max="10466" width="11.140625" style="2" customWidth="1"/>
    <col min="10467" max="10467" width="10.85546875" style="2" customWidth="1"/>
    <col min="10468" max="10468" width="21" style="2" customWidth="1"/>
    <col min="10469" max="10469" width="10.85546875" style="2" customWidth="1"/>
    <col min="10470" max="10470" width="17.42578125" style="2" customWidth="1"/>
    <col min="10471" max="10471" width="14.85546875" style="2" customWidth="1"/>
    <col min="10472" max="10472" width="15" style="2" customWidth="1"/>
    <col min="10473" max="10473" width="14.85546875" style="2" customWidth="1"/>
    <col min="10474" max="10474" width="7.140625" style="2" customWidth="1"/>
    <col min="10475" max="10476" width="20.140625" style="2" customWidth="1"/>
    <col min="10477" max="10477" width="18.42578125" style="2" customWidth="1"/>
    <col min="10478" max="10478" width="9.140625" style="2" customWidth="1"/>
    <col min="10479" max="10479" width="12" style="2" customWidth="1"/>
    <col min="10480" max="10480" width="14.85546875" style="2" customWidth="1"/>
    <col min="10481" max="10481" width="22.42578125" style="2" customWidth="1"/>
    <col min="10482" max="10482" width="14.85546875" style="2" customWidth="1"/>
    <col min="10483" max="10483" width="7.140625" style="2" customWidth="1"/>
    <col min="10484" max="10484" width="20.140625" style="2" customWidth="1"/>
    <col min="10485" max="10716" width="8.85546875" style="2" customWidth="1"/>
    <col min="10717" max="10717" width="8.140625" style="2" customWidth="1"/>
    <col min="10718" max="10718" width="14.5703125" style="2" customWidth="1"/>
    <col min="10719" max="10719" width="37.42578125" style="2" customWidth="1"/>
    <col min="10720" max="10720" width="63.140625" style="2" customWidth="1"/>
    <col min="10721" max="10721" width="20" style="2" customWidth="1"/>
    <col min="10722" max="10722" width="11.140625" style="2" customWidth="1"/>
    <col min="10723" max="10723" width="10.85546875" style="2" customWidth="1"/>
    <col min="10724" max="10724" width="21" style="2" customWidth="1"/>
    <col min="10725" max="10725" width="10.85546875" style="2" customWidth="1"/>
    <col min="10726" max="10726" width="17.42578125" style="2" customWidth="1"/>
    <col min="10727" max="10727" width="14.85546875" style="2" customWidth="1"/>
    <col min="10728" max="10728" width="15" style="2" customWidth="1"/>
    <col min="10729" max="10729" width="14.85546875" style="2" customWidth="1"/>
    <col min="10730" max="10730" width="7.140625" style="2" customWidth="1"/>
    <col min="10731" max="10732" width="20.140625" style="2" customWidth="1"/>
    <col min="10733" max="10733" width="18.42578125" style="2" customWidth="1"/>
    <col min="10734" max="10734" width="9.140625" style="2" customWidth="1"/>
    <col min="10735" max="10735" width="12" style="2" customWidth="1"/>
    <col min="10736" max="10736" width="14.85546875" style="2" customWidth="1"/>
    <col min="10737" max="10737" width="22.42578125" style="2" customWidth="1"/>
    <col min="10738" max="10738" width="14.85546875" style="2" customWidth="1"/>
    <col min="10739" max="10739" width="7.140625" style="2" customWidth="1"/>
    <col min="10740" max="10740" width="20.140625" style="2" customWidth="1"/>
    <col min="10741" max="10972" width="8.85546875" style="2" customWidth="1"/>
    <col min="10973" max="10973" width="8.140625" style="2" customWidth="1"/>
    <col min="10974" max="10974" width="14.5703125" style="2" customWidth="1"/>
    <col min="10975" max="10975" width="37.42578125" style="2" customWidth="1"/>
    <col min="10976" max="10976" width="63.140625" style="2" customWidth="1"/>
    <col min="10977" max="10977" width="20" style="2" customWidth="1"/>
    <col min="10978" max="10978" width="11.140625" style="2" customWidth="1"/>
    <col min="10979" max="10979" width="10.85546875" style="2" customWidth="1"/>
    <col min="10980" max="10980" width="21" style="2" customWidth="1"/>
    <col min="10981" max="10981" width="10.85546875" style="2" customWidth="1"/>
    <col min="10982" max="10982" width="17.42578125" style="2" customWidth="1"/>
    <col min="10983" max="10983" width="14.85546875" style="2" customWidth="1"/>
    <col min="10984" max="10984" width="15" style="2" customWidth="1"/>
    <col min="10985" max="10985" width="14.85546875" style="2" customWidth="1"/>
    <col min="10986" max="10986" width="7.140625" style="2" customWidth="1"/>
    <col min="10987" max="10988" width="20.140625" style="2" customWidth="1"/>
    <col min="10989" max="10989" width="18.42578125" style="2" customWidth="1"/>
    <col min="10990" max="10990" width="9.140625" style="2" customWidth="1"/>
    <col min="10991" max="10991" width="12" style="2" customWidth="1"/>
    <col min="10992" max="10992" width="14.85546875" style="2" customWidth="1"/>
    <col min="10993" max="10993" width="22.42578125" style="2" customWidth="1"/>
    <col min="10994" max="10994" width="14.85546875" style="2" customWidth="1"/>
    <col min="10995" max="10995" width="7.140625" style="2" customWidth="1"/>
    <col min="10996" max="10996" width="20.140625" style="2" customWidth="1"/>
    <col min="10997" max="11228" width="8.85546875" style="2" customWidth="1"/>
    <col min="11229" max="11229" width="8.140625" style="2" customWidth="1"/>
    <col min="11230" max="11230" width="14.5703125" style="2" customWidth="1"/>
    <col min="11231" max="11231" width="37.42578125" style="2" customWidth="1"/>
    <col min="11232" max="11232" width="63.140625" style="2" customWidth="1"/>
    <col min="11233" max="11233" width="20" style="2" customWidth="1"/>
    <col min="11234" max="11234" width="11.140625" style="2" customWidth="1"/>
    <col min="11235" max="11235" width="10.85546875" style="2" customWidth="1"/>
    <col min="11236" max="11236" width="21" style="2" customWidth="1"/>
    <col min="11237" max="11237" width="10.85546875" style="2" customWidth="1"/>
    <col min="11238" max="11238" width="17.42578125" style="2" customWidth="1"/>
    <col min="11239" max="11239" width="14.85546875" style="2" customWidth="1"/>
    <col min="11240" max="11240" width="15" style="2" customWidth="1"/>
    <col min="11241" max="11241" width="14.85546875" style="2" customWidth="1"/>
    <col min="11242" max="11242" width="7.140625" style="2" customWidth="1"/>
    <col min="11243" max="11244" width="20.140625" style="2" customWidth="1"/>
    <col min="11245" max="11245" width="18.42578125" style="2" customWidth="1"/>
    <col min="11246" max="11246" width="9.140625" style="2" customWidth="1"/>
    <col min="11247" max="11247" width="12" style="2" customWidth="1"/>
    <col min="11248" max="11248" width="14.85546875" style="2" customWidth="1"/>
    <col min="11249" max="11249" width="22.42578125" style="2" customWidth="1"/>
    <col min="11250" max="11250" width="14.85546875" style="2" customWidth="1"/>
    <col min="11251" max="11251" width="7.140625" style="2" customWidth="1"/>
    <col min="11252" max="11252" width="20.140625" style="2" customWidth="1"/>
    <col min="11253" max="11484" width="8.85546875" style="2" customWidth="1"/>
    <col min="11485" max="11485" width="8.140625" style="2" customWidth="1"/>
    <col min="11486" max="11486" width="14.5703125" style="2" customWidth="1"/>
    <col min="11487" max="11487" width="37.42578125" style="2" customWidth="1"/>
    <col min="11488" max="11488" width="63.140625" style="2" customWidth="1"/>
    <col min="11489" max="11489" width="20" style="2" customWidth="1"/>
    <col min="11490" max="11490" width="11.140625" style="2" customWidth="1"/>
    <col min="11491" max="11491" width="10.85546875" style="2" customWidth="1"/>
    <col min="11492" max="11492" width="21" style="2" customWidth="1"/>
    <col min="11493" max="11493" width="10.85546875" style="2" customWidth="1"/>
    <col min="11494" max="11494" width="17.42578125" style="2" customWidth="1"/>
    <col min="11495" max="11495" width="14.85546875" style="2" customWidth="1"/>
    <col min="11496" max="11496" width="15" style="2" customWidth="1"/>
    <col min="11497" max="11497" width="14.85546875" style="2" customWidth="1"/>
    <col min="11498" max="11498" width="7.140625" style="2" customWidth="1"/>
    <col min="11499" max="11500" width="20.140625" style="2" customWidth="1"/>
    <col min="11501" max="11501" width="18.42578125" style="2" customWidth="1"/>
    <col min="11502" max="11502" width="9.140625" style="2" customWidth="1"/>
    <col min="11503" max="11503" width="12" style="2" customWidth="1"/>
    <col min="11504" max="11504" width="14.85546875" style="2" customWidth="1"/>
    <col min="11505" max="11505" width="22.42578125" style="2" customWidth="1"/>
    <col min="11506" max="11506" width="14.85546875" style="2" customWidth="1"/>
    <col min="11507" max="11507" width="7.140625" style="2" customWidth="1"/>
    <col min="11508" max="11508" width="20.140625" style="2" customWidth="1"/>
    <col min="11509" max="11740" width="8.85546875" style="2" customWidth="1"/>
    <col min="11741" max="11741" width="8.140625" style="2" customWidth="1"/>
    <col min="11742" max="11742" width="14.5703125" style="2" customWidth="1"/>
    <col min="11743" max="11743" width="37.42578125" style="2" customWidth="1"/>
    <col min="11744" max="11744" width="63.140625" style="2" customWidth="1"/>
    <col min="11745" max="11745" width="20" style="2" customWidth="1"/>
    <col min="11746" max="11746" width="11.140625" style="2" customWidth="1"/>
    <col min="11747" max="11747" width="10.85546875" style="2" customWidth="1"/>
    <col min="11748" max="11748" width="21" style="2" customWidth="1"/>
    <col min="11749" max="11749" width="10.85546875" style="2" customWidth="1"/>
    <col min="11750" max="11750" width="17.42578125" style="2" customWidth="1"/>
    <col min="11751" max="11751" width="14.85546875" style="2" customWidth="1"/>
    <col min="11752" max="11752" width="15" style="2" customWidth="1"/>
    <col min="11753" max="11753" width="14.85546875" style="2" customWidth="1"/>
    <col min="11754" max="11754" width="7.140625" style="2" customWidth="1"/>
    <col min="11755" max="11756" width="20.140625" style="2" customWidth="1"/>
    <col min="11757" max="11757" width="18.42578125" style="2" customWidth="1"/>
    <col min="11758" max="11758" width="9.140625" style="2" customWidth="1"/>
    <col min="11759" max="11759" width="12" style="2" customWidth="1"/>
    <col min="11760" max="11760" width="14.85546875" style="2" customWidth="1"/>
    <col min="11761" max="11761" width="22.42578125" style="2" customWidth="1"/>
    <col min="11762" max="11762" width="14.85546875" style="2" customWidth="1"/>
    <col min="11763" max="11763" width="7.140625" style="2" customWidth="1"/>
    <col min="11764" max="11764" width="20.140625" style="2" customWidth="1"/>
    <col min="11765" max="11996" width="8.85546875" style="2" customWidth="1"/>
    <col min="11997" max="11997" width="8.140625" style="2" customWidth="1"/>
    <col min="11998" max="11998" width="14.5703125" style="2" customWidth="1"/>
    <col min="11999" max="11999" width="37.42578125" style="2" customWidth="1"/>
    <col min="12000" max="12000" width="63.140625" style="2" customWidth="1"/>
    <col min="12001" max="12001" width="20" style="2" customWidth="1"/>
    <col min="12002" max="12002" width="11.140625" style="2" customWidth="1"/>
    <col min="12003" max="12003" width="10.85546875" style="2" customWidth="1"/>
    <col min="12004" max="12004" width="21" style="2" customWidth="1"/>
    <col min="12005" max="12005" width="10.85546875" style="2" customWidth="1"/>
    <col min="12006" max="12006" width="17.42578125" style="2" customWidth="1"/>
    <col min="12007" max="12007" width="14.85546875" style="2" customWidth="1"/>
    <col min="12008" max="12008" width="15" style="2" customWidth="1"/>
    <col min="12009" max="12009" width="14.85546875" style="2" customWidth="1"/>
    <col min="12010" max="12010" width="7.140625" style="2" customWidth="1"/>
    <col min="12011" max="12012" width="20.140625" style="2" customWidth="1"/>
    <col min="12013" max="12013" width="18.42578125" style="2" customWidth="1"/>
    <col min="12014" max="12014" width="9.140625" style="2" customWidth="1"/>
    <col min="12015" max="12015" width="12" style="2" customWidth="1"/>
    <col min="12016" max="12016" width="14.85546875" style="2" customWidth="1"/>
    <col min="12017" max="12017" width="22.42578125" style="2" customWidth="1"/>
    <col min="12018" max="12018" width="14.85546875" style="2" customWidth="1"/>
    <col min="12019" max="12019" width="7.140625" style="2" customWidth="1"/>
    <col min="12020" max="12020" width="20.140625" style="2" customWidth="1"/>
    <col min="12021" max="12252" width="8.85546875" style="2" customWidth="1"/>
    <col min="12253" max="12253" width="8.140625" style="2" customWidth="1"/>
    <col min="12254" max="12254" width="14.5703125" style="2" customWidth="1"/>
    <col min="12255" max="12255" width="37.42578125" style="2" customWidth="1"/>
    <col min="12256" max="12256" width="63.140625" style="2" customWidth="1"/>
    <col min="12257" max="12257" width="20" style="2" customWidth="1"/>
    <col min="12258" max="12258" width="11.140625" style="2" customWidth="1"/>
    <col min="12259" max="12259" width="10.85546875" style="2" customWidth="1"/>
    <col min="12260" max="12260" width="21" style="2" customWidth="1"/>
    <col min="12261" max="12261" width="10.85546875" style="2" customWidth="1"/>
    <col min="12262" max="12262" width="17.42578125" style="2" customWidth="1"/>
    <col min="12263" max="12263" width="14.85546875" style="2" customWidth="1"/>
    <col min="12264" max="12264" width="15" style="2" customWidth="1"/>
    <col min="12265" max="12265" width="14.85546875" style="2" customWidth="1"/>
    <col min="12266" max="12266" width="7.140625" style="2" customWidth="1"/>
    <col min="12267" max="12268" width="20.140625" style="2" customWidth="1"/>
    <col min="12269" max="12269" width="18.42578125" style="2" customWidth="1"/>
    <col min="12270" max="12270" width="9.140625" style="2" customWidth="1"/>
    <col min="12271" max="12271" width="12" style="2" customWidth="1"/>
    <col min="12272" max="12272" width="14.85546875" style="2" customWidth="1"/>
    <col min="12273" max="12273" width="22.42578125" style="2" customWidth="1"/>
    <col min="12274" max="12274" width="14.85546875" style="2" customWidth="1"/>
    <col min="12275" max="12275" width="7.140625" style="2" customWidth="1"/>
    <col min="12276" max="12276" width="20.140625" style="2" customWidth="1"/>
    <col min="12277" max="12508" width="8.85546875" style="2" customWidth="1"/>
    <col min="12509" max="12509" width="8.140625" style="2" customWidth="1"/>
    <col min="12510" max="12510" width="14.5703125" style="2" customWidth="1"/>
    <col min="12511" max="12511" width="37.42578125" style="2" customWidth="1"/>
    <col min="12512" max="12512" width="63.140625" style="2" customWidth="1"/>
    <col min="12513" max="12513" width="20" style="2" customWidth="1"/>
    <col min="12514" max="12514" width="11.140625" style="2" customWidth="1"/>
    <col min="12515" max="12515" width="10.85546875" style="2" customWidth="1"/>
    <col min="12516" max="12516" width="21" style="2" customWidth="1"/>
    <col min="12517" max="12517" width="10.85546875" style="2" customWidth="1"/>
    <col min="12518" max="12518" width="17.42578125" style="2" customWidth="1"/>
    <col min="12519" max="12519" width="14.85546875" style="2" customWidth="1"/>
    <col min="12520" max="12520" width="15" style="2" customWidth="1"/>
    <col min="12521" max="12521" width="14.85546875" style="2" customWidth="1"/>
    <col min="12522" max="12522" width="7.140625" style="2" customWidth="1"/>
    <col min="12523" max="12524" width="20.140625" style="2" customWidth="1"/>
    <col min="12525" max="12525" width="18.42578125" style="2" customWidth="1"/>
    <col min="12526" max="12526" width="9.140625" style="2" customWidth="1"/>
    <col min="12527" max="12527" width="12" style="2" customWidth="1"/>
    <col min="12528" max="12528" width="14.85546875" style="2" customWidth="1"/>
    <col min="12529" max="12529" width="22.42578125" style="2" customWidth="1"/>
    <col min="12530" max="12530" width="14.85546875" style="2" customWidth="1"/>
    <col min="12531" max="12531" width="7.140625" style="2" customWidth="1"/>
    <col min="12532" max="12532" width="20.140625" style="2" customWidth="1"/>
    <col min="12533" max="12764" width="8.85546875" style="2" customWidth="1"/>
    <col min="12765" max="12765" width="8.140625" style="2" customWidth="1"/>
    <col min="12766" max="12766" width="14.5703125" style="2" customWidth="1"/>
    <col min="12767" max="12767" width="37.42578125" style="2" customWidth="1"/>
    <col min="12768" max="12768" width="63.140625" style="2" customWidth="1"/>
    <col min="12769" max="12769" width="20" style="2" customWidth="1"/>
    <col min="12770" max="12770" width="11.140625" style="2" customWidth="1"/>
    <col min="12771" max="12771" width="10.85546875" style="2" customWidth="1"/>
    <col min="12772" max="12772" width="21" style="2" customWidth="1"/>
    <col min="12773" max="12773" width="10.85546875" style="2" customWidth="1"/>
    <col min="12774" max="12774" width="17.42578125" style="2" customWidth="1"/>
    <col min="12775" max="12775" width="14.85546875" style="2" customWidth="1"/>
    <col min="12776" max="12776" width="15" style="2" customWidth="1"/>
    <col min="12777" max="12777" width="14.85546875" style="2" customWidth="1"/>
    <col min="12778" max="12778" width="7.140625" style="2" customWidth="1"/>
    <col min="12779" max="12780" width="20.140625" style="2" customWidth="1"/>
    <col min="12781" max="12781" width="18.42578125" style="2" customWidth="1"/>
    <col min="12782" max="12782" width="9.140625" style="2" customWidth="1"/>
    <col min="12783" max="12783" width="12" style="2" customWidth="1"/>
    <col min="12784" max="12784" width="14.85546875" style="2" customWidth="1"/>
    <col min="12785" max="12785" width="22.42578125" style="2" customWidth="1"/>
    <col min="12786" max="12786" width="14.85546875" style="2" customWidth="1"/>
    <col min="12787" max="12787" width="7.140625" style="2" customWidth="1"/>
    <col min="12788" max="12788" width="20.140625" style="2" customWidth="1"/>
    <col min="12789" max="13020" width="8.85546875" style="2" customWidth="1"/>
    <col min="13021" max="13021" width="8.140625" style="2" customWidth="1"/>
    <col min="13022" max="13022" width="14.5703125" style="2" customWidth="1"/>
    <col min="13023" max="13023" width="37.42578125" style="2" customWidth="1"/>
    <col min="13024" max="13024" width="63.140625" style="2" customWidth="1"/>
    <col min="13025" max="13025" width="20" style="2" customWidth="1"/>
    <col min="13026" max="13026" width="11.140625" style="2" customWidth="1"/>
    <col min="13027" max="13027" width="10.85546875" style="2" customWidth="1"/>
    <col min="13028" max="13028" width="21" style="2" customWidth="1"/>
    <col min="13029" max="13029" width="10.85546875" style="2" customWidth="1"/>
    <col min="13030" max="13030" width="17.42578125" style="2" customWidth="1"/>
    <col min="13031" max="13031" width="14.85546875" style="2" customWidth="1"/>
    <col min="13032" max="13032" width="15" style="2" customWidth="1"/>
    <col min="13033" max="13033" width="14.85546875" style="2" customWidth="1"/>
    <col min="13034" max="13034" width="7.140625" style="2" customWidth="1"/>
    <col min="13035" max="13036" width="20.140625" style="2" customWidth="1"/>
    <col min="13037" max="13037" width="18.42578125" style="2" customWidth="1"/>
    <col min="13038" max="13038" width="9.140625" style="2" customWidth="1"/>
    <col min="13039" max="13039" width="12" style="2" customWidth="1"/>
    <col min="13040" max="13040" width="14.85546875" style="2" customWidth="1"/>
    <col min="13041" max="13041" width="22.42578125" style="2" customWidth="1"/>
    <col min="13042" max="13042" width="14.85546875" style="2" customWidth="1"/>
    <col min="13043" max="13043" width="7.140625" style="2" customWidth="1"/>
    <col min="13044" max="13044" width="20.140625" style="2" customWidth="1"/>
    <col min="13045" max="13276" width="8.85546875" style="2" customWidth="1"/>
    <col min="13277" max="13277" width="8.140625" style="2" customWidth="1"/>
    <col min="13278" max="13278" width="14.5703125" style="2" customWidth="1"/>
    <col min="13279" max="13279" width="37.42578125" style="2" customWidth="1"/>
    <col min="13280" max="13280" width="63.140625" style="2" customWidth="1"/>
    <col min="13281" max="13281" width="20" style="2" customWidth="1"/>
    <col min="13282" max="13282" width="11.140625" style="2" customWidth="1"/>
    <col min="13283" max="13283" width="10.85546875" style="2" customWidth="1"/>
    <col min="13284" max="13284" width="21" style="2" customWidth="1"/>
    <col min="13285" max="13285" width="10.85546875" style="2" customWidth="1"/>
    <col min="13286" max="13286" width="17.42578125" style="2" customWidth="1"/>
    <col min="13287" max="13287" width="14.85546875" style="2" customWidth="1"/>
    <col min="13288" max="13288" width="15" style="2" customWidth="1"/>
    <col min="13289" max="13289" width="14.85546875" style="2" customWidth="1"/>
    <col min="13290" max="13290" width="7.140625" style="2" customWidth="1"/>
    <col min="13291" max="13292" width="20.140625" style="2" customWidth="1"/>
    <col min="13293" max="13293" width="18.42578125" style="2" customWidth="1"/>
    <col min="13294" max="13294" width="9.140625" style="2" customWidth="1"/>
    <col min="13295" max="13295" width="12" style="2" customWidth="1"/>
    <col min="13296" max="13296" width="14.85546875" style="2" customWidth="1"/>
    <col min="13297" max="13297" width="22.42578125" style="2" customWidth="1"/>
    <col min="13298" max="13298" width="14.85546875" style="2" customWidth="1"/>
    <col min="13299" max="13299" width="7.140625" style="2" customWidth="1"/>
    <col min="13300" max="13300" width="20.140625" style="2" customWidth="1"/>
    <col min="13301" max="13532" width="8.85546875" style="2" customWidth="1"/>
    <col min="13533" max="13533" width="8.140625" style="2" customWidth="1"/>
    <col min="13534" max="13534" width="14.5703125" style="2" customWidth="1"/>
    <col min="13535" max="13535" width="37.42578125" style="2" customWidth="1"/>
    <col min="13536" max="13536" width="63.140625" style="2" customWidth="1"/>
    <col min="13537" max="13537" width="20" style="2" customWidth="1"/>
    <col min="13538" max="13538" width="11.140625" style="2" customWidth="1"/>
    <col min="13539" max="13539" width="10.85546875" style="2" customWidth="1"/>
    <col min="13540" max="13540" width="21" style="2" customWidth="1"/>
    <col min="13541" max="13541" width="10.85546875" style="2" customWidth="1"/>
    <col min="13542" max="13542" width="17.42578125" style="2" customWidth="1"/>
    <col min="13543" max="13543" width="14.85546875" style="2" customWidth="1"/>
    <col min="13544" max="13544" width="15" style="2" customWidth="1"/>
    <col min="13545" max="13545" width="14.85546875" style="2" customWidth="1"/>
    <col min="13546" max="13546" width="7.140625" style="2" customWidth="1"/>
    <col min="13547" max="13548" width="20.140625" style="2" customWidth="1"/>
    <col min="13549" max="13549" width="18.42578125" style="2" customWidth="1"/>
    <col min="13550" max="13550" width="9.140625" style="2" customWidth="1"/>
    <col min="13551" max="13551" width="12" style="2" customWidth="1"/>
    <col min="13552" max="13552" width="14.85546875" style="2" customWidth="1"/>
    <col min="13553" max="13553" width="22.42578125" style="2" customWidth="1"/>
    <col min="13554" max="13554" width="14.85546875" style="2" customWidth="1"/>
    <col min="13555" max="13555" width="7.140625" style="2" customWidth="1"/>
    <col min="13556" max="13556" width="20.140625" style="2" customWidth="1"/>
    <col min="13557" max="13788" width="8.85546875" style="2" customWidth="1"/>
    <col min="13789" max="13789" width="8.140625" style="2" customWidth="1"/>
    <col min="13790" max="13790" width="14.5703125" style="2" customWidth="1"/>
    <col min="13791" max="13791" width="37.42578125" style="2" customWidth="1"/>
    <col min="13792" max="13792" width="63.140625" style="2" customWidth="1"/>
    <col min="13793" max="13793" width="20" style="2" customWidth="1"/>
    <col min="13794" max="13794" width="11.140625" style="2" customWidth="1"/>
    <col min="13795" max="13795" width="10.85546875" style="2" customWidth="1"/>
    <col min="13796" max="13796" width="21" style="2" customWidth="1"/>
    <col min="13797" max="13797" width="10.85546875" style="2" customWidth="1"/>
    <col min="13798" max="13798" width="17.42578125" style="2" customWidth="1"/>
    <col min="13799" max="13799" width="14.85546875" style="2" customWidth="1"/>
    <col min="13800" max="13800" width="15" style="2" customWidth="1"/>
    <col min="13801" max="13801" width="14.85546875" style="2" customWidth="1"/>
    <col min="13802" max="13802" width="7.140625" style="2" customWidth="1"/>
    <col min="13803" max="13804" width="20.140625" style="2" customWidth="1"/>
    <col min="13805" max="13805" width="18.42578125" style="2" customWidth="1"/>
    <col min="13806" max="13806" width="9.140625" style="2" customWidth="1"/>
    <col min="13807" max="13807" width="12" style="2" customWidth="1"/>
    <col min="13808" max="13808" width="14.85546875" style="2" customWidth="1"/>
    <col min="13809" max="13809" width="22.42578125" style="2" customWidth="1"/>
    <col min="13810" max="13810" width="14.85546875" style="2" customWidth="1"/>
    <col min="13811" max="13811" width="7.140625" style="2" customWidth="1"/>
    <col min="13812" max="13812" width="20.140625" style="2" customWidth="1"/>
    <col min="13813" max="14044" width="8.85546875" style="2" customWidth="1"/>
    <col min="14045" max="14045" width="8.140625" style="2" customWidth="1"/>
    <col min="14046" max="14046" width="14.5703125" style="2" customWidth="1"/>
    <col min="14047" max="14047" width="37.42578125" style="2" customWidth="1"/>
    <col min="14048" max="14048" width="63.140625" style="2" customWidth="1"/>
    <col min="14049" max="14049" width="20" style="2" customWidth="1"/>
    <col min="14050" max="14050" width="11.140625" style="2" customWidth="1"/>
    <col min="14051" max="14051" width="10.85546875" style="2" customWidth="1"/>
    <col min="14052" max="14052" width="21" style="2" customWidth="1"/>
    <col min="14053" max="14053" width="10.85546875" style="2" customWidth="1"/>
    <col min="14054" max="14054" width="17.42578125" style="2" customWidth="1"/>
    <col min="14055" max="14055" width="14.85546875" style="2" customWidth="1"/>
    <col min="14056" max="14056" width="15" style="2" customWidth="1"/>
    <col min="14057" max="14057" width="14.85546875" style="2" customWidth="1"/>
    <col min="14058" max="14058" width="7.140625" style="2" customWidth="1"/>
    <col min="14059" max="14060" width="20.140625" style="2" customWidth="1"/>
    <col min="14061" max="14061" width="18.42578125" style="2" customWidth="1"/>
    <col min="14062" max="14062" width="9.140625" style="2" customWidth="1"/>
    <col min="14063" max="14063" width="12" style="2" customWidth="1"/>
    <col min="14064" max="14064" width="14.85546875" style="2" customWidth="1"/>
    <col min="14065" max="14065" width="22.42578125" style="2" customWidth="1"/>
    <col min="14066" max="14066" width="14.85546875" style="2" customWidth="1"/>
    <col min="14067" max="14067" width="7.140625" style="2" customWidth="1"/>
    <col min="14068" max="14068" width="20.140625" style="2" customWidth="1"/>
    <col min="14069" max="14300" width="8.85546875" style="2" customWidth="1"/>
    <col min="14301" max="14301" width="8.140625" style="2" customWidth="1"/>
    <col min="14302" max="14302" width="14.5703125" style="2" customWidth="1"/>
    <col min="14303" max="14303" width="37.42578125" style="2" customWidth="1"/>
    <col min="14304" max="14304" width="63.140625" style="2" customWidth="1"/>
    <col min="14305" max="14305" width="20" style="2" customWidth="1"/>
    <col min="14306" max="14306" width="11.140625" style="2" customWidth="1"/>
    <col min="14307" max="14307" width="10.85546875" style="2" customWidth="1"/>
    <col min="14308" max="14308" width="21" style="2" customWidth="1"/>
    <col min="14309" max="14309" width="10.85546875" style="2" customWidth="1"/>
    <col min="14310" max="14310" width="17.42578125" style="2" customWidth="1"/>
    <col min="14311" max="14311" width="14.85546875" style="2" customWidth="1"/>
    <col min="14312" max="14312" width="15" style="2" customWidth="1"/>
    <col min="14313" max="14313" width="14.85546875" style="2" customWidth="1"/>
    <col min="14314" max="14314" width="7.140625" style="2" customWidth="1"/>
    <col min="14315" max="14316" width="20.140625" style="2" customWidth="1"/>
    <col min="14317" max="14317" width="18.42578125" style="2" customWidth="1"/>
    <col min="14318" max="14318" width="9.140625" style="2" customWidth="1"/>
    <col min="14319" max="14319" width="12" style="2" customWidth="1"/>
    <col min="14320" max="14320" width="14.85546875" style="2" customWidth="1"/>
    <col min="14321" max="14321" width="22.42578125" style="2" customWidth="1"/>
    <col min="14322" max="14322" width="14.85546875" style="2" customWidth="1"/>
    <col min="14323" max="14323" width="7.140625" style="2" customWidth="1"/>
    <col min="14324" max="14324" width="20.140625" style="2" customWidth="1"/>
    <col min="14325" max="14556" width="8.85546875" style="2" customWidth="1"/>
    <col min="14557" max="14557" width="8.140625" style="2" customWidth="1"/>
    <col min="14558" max="14558" width="14.5703125" style="2" customWidth="1"/>
    <col min="14559" max="14559" width="37.42578125" style="2" customWidth="1"/>
    <col min="14560" max="14560" width="63.140625" style="2" customWidth="1"/>
    <col min="14561" max="14561" width="20" style="2" customWidth="1"/>
    <col min="14562" max="14562" width="11.140625" style="2" customWidth="1"/>
    <col min="14563" max="14563" width="10.85546875" style="2" customWidth="1"/>
    <col min="14564" max="14564" width="21" style="2" customWidth="1"/>
    <col min="14565" max="14565" width="10.85546875" style="2" customWidth="1"/>
    <col min="14566" max="14566" width="17.42578125" style="2" customWidth="1"/>
    <col min="14567" max="14567" width="14.85546875" style="2" customWidth="1"/>
    <col min="14568" max="14568" width="15" style="2" customWidth="1"/>
    <col min="14569" max="14569" width="14.85546875" style="2" customWidth="1"/>
    <col min="14570" max="14570" width="7.140625" style="2" customWidth="1"/>
    <col min="14571" max="14572" width="20.140625" style="2" customWidth="1"/>
    <col min="14573" max="14573" width="18.42578125" style="2" customWidth="1"/>
    <col min="14574" max="14574" width="9.140625" style="2" customWidth="1"/>
    <col min="14575" max="14575" width="12" style="2" customWidth="1"/>
    <col min="14576" max="14576" width="14.85546875" style="2" customWidth="1"/>
    <col min="14577" max="14577" width="22.42578125" style="2" customWidth="1"/>
    <col min="14578" max="14578" width="14.85546875" style="2" customWidth="1"/>
    <col min="14579" max="14579" width="7.140625" style="2" customWidth="1"/>
    <col min="14580" max="14580" width="20.140625" style="2" customWidth="1"/>
    <col min="14581" max="14812" width="8.85546875" style="2" customWidth="1"/>
    <col min="14813" max="14813" width="8.140625" style="2" customWidth="1"/>
    <col min="14814" max="14814" width="14.5703125" style="2" customWidth="1"/>
    <col min="14815" max="14815" width="37.42578125" style="2" customWidth="1"/>
    <col min="14816" max="14816" width="63.140625" style="2" customWidth="1"/>
    <col min="14817" max="14817" width="20" style="2" customWidth="1"/>
    <col min="14818" max="14818" width="11.140625" style="2" customWidth="1"/>
    <col min="14819" max="14819" width="10.85546875" style="2" customWidth="1"/>
    <col min="14820" max="14820" width="21" style="2" customWidth="1"/>
    <col min="14821" max="14821" width="10.85546875" style="2" customWidth="1"/>
    <col min="14822" max="14822" width="17.42578125" style="2" customWidth="1"/>
    <col min="14823" max="14823" width="14.85546875" style="2" customWidth="1"/>
    <col min="14824" max="14824" width="15" style="2" customWidth="1"/>
    <col min="14825" max="14825" width="14.85546875" style="2" customWidth="1"/>
    <col min="14826" max="14826" width="7.140625" style="2" customWidth="1"/>
    <col min="14827" max="14828" width="20.140625" style="2" customWidth="1"/>
    <col min="14829" max="14829" width="18.42578125" style="2" customWidth="1"/>
    <col min="14830" max="14830" width="9.140625" style="2" customWidth="1"/>
    <col min="14831" max="14831" width="12" style="2" customWidth="1"/>
    <col min="14832" max="14832" width="14.85546875" style="2" customWidth="1"/>
    <col min="14833" max="14833" width="22.42578125" style="2" customWidth="1"/>
    <col min="14834" max="14834" width="14.85546875" style="2" customWidth="1"/>
    <col min="14835" max="14835" width="7.140625" style="2" customWidth="1"/>
    <col min="14836" max="14836" width="20.140625" style="2" customWidth="1"/>
    <col min="14837" max="15068" width="8.85546875" style="2" customWidth="1"/>
    <col min="15069" max="15069" width="8.140625" style="2" customWidth="1"/>
    <col min="15070" max="15070" width="14.5703125" style="2" customWidth="1"/>
    <col min="15071" max="15071" width="37.42578125" style="2" customWidth="1"/>
    <col min="15072" max="15072" width="63.140625" style="2" customWidth="1"/>
    <col min="15073" max="15073" width="20" style="2" customWidth="1"/>
    <col min="15074" max="15074" width="11.140625" style="2" customWidth="1"/>
    <col min="15075" max="15075" width="10.85546875" style="2" customWidth="1"/>
    <col min="15076" max="15076" width="21" style="2" customWidth="1"/>
    <col min="15077" max="15077" width="10.85546875" style="2" customWidth="1"/>
    <col min="15078" max="15078" width="17.42578125" style="2" customWidth="1"/>
    <col min="15079" max="15079" width="14.85546875" style="2" customWidth="1"/>
    <col min="15080" max="15080" width="15" style="2" customWidth="1"/>
    <col min="15081" max="15081" width="14.85546875" style="2" customWidth="1"/>
    <col min="15082" max="15082" width="7.140625" style="2" customWidth="1"/>
    <col min="15083" max="15084" width="20.140625" style="2" customWidth="1"/>
    <col min="15085" max="15085" width="18.42578125" style="2" customWidth="1"/>
    <col min="15086" max="15086" width="9.140625" style="2" customWidth="1"/>
    <col min="15087" max="15087" width="12" style="2" customWidth="1"/>
    <col min="15088" max="15088" width="14.85546875" style="2" customWidth="1"/>
    <col min="15089" max="15089" width="22.42578125" style="2" customWidth="1"/>
    <col min="15090" max="15090" width="14.85546875" style="2" customWidth="1"/>
    <col min="15091" max="15091" width="7.140625" style="2" customWidth="1"/>
    <col min="15092" max="15092" width="20.140625" style="2" customWidth="1"/>
    <col min="15093" max="15324" width="8.85546875" style="2" customWidth="1"/>
    <col min="15325" max="15325" width="8.140625" style="2" customWidth="1"/>
    <col min="15326" max="15326" width="14.5703125" style="2" customWidth="1"/>
    <col min="15327" max="15327" width="37.42578125" style="2" customWidth="1"/>
    <col min="15328" max="15328" width="63.140625" style="2" customWidth="1"/>
    <col min="15329" max="15329" width="20" style="2" customWidth="1"/>
    <col min="15330" max="15330" width="11.140625" style="2" customWidth="1"/>
    <col min="15331" max="15331" width="10.85546875" style="2" customWidth="1"/>
    <col min="15332" max="15332" width="21" style="2" customWidth="1"/>
    <col min="15333" max="15333" width="10.85546875" style="2" customWidth="1"/>
    <col min="15334" max="15334" width="17.42578125" style="2" customWidth="1"/>
    <col min="15335" max="15335" width="14.85546875" style="2" customWidth="1"/>
    <col min="15336" max="15336" width="15" style="2" customWidth="1"/>
    <col min="15337" max="15337" width="14.85546875" style="2" customWidth="1"/>
    <col min="15338" max="15338" width="7.140625" style="2" customWidth="1"/>
    <col min="15339" max="15340" width="20.140625" style="2" customWidth="1"/>
    <col min="15341" max="15341" width="18.42578125" style="2" customWidth="1"/>
    <col min="15342" max="15342" width="9.140625" style="2" customWidth="1"/>
    <col min="15343" max="15343" width="12" style="2" customWidth="1"/>
    <col min="15344" max="15344" width="14.85546875" style="2" customWidth="1"/>
    <col min="15345" max="15345" width="22.42578125" style="2" customWidth="1"/>
    <col min="15346" max="15346" width="14.85546875" style="2" customWidth="1"/>
    <col min="15347" max="15347" width="7.140625" style="2" customWidth="1"/>
    <col min="15348" max="15348" width="20.140625" style="2" customWidth="1"/>
    <col min="15349" max="15580" width="8.85546875" style="2" customWidth="1"/>
    <col min="15581" max="15581" width="8.140625" style="2" customWidth="1"/>
    <col min="15582" max="15582" width="14.5703125" style="2" customWidth="1"/>
    <col min="15583" max="15583" width="37.42578125" style="2" customWidth="1"/>
    <col min="15584" max="15584" width="63.140625" style="2" customWidth="1"/>
    <col min="15585" max="15585" width="20" style="2" customWidth="1"/>
    <col min="15586" max="15586" width="11.140625" style="2" customWidth="1"/>
    <col min="15587" max="15587" width="10.85546875" style="2" customWidth="1"/>
    <col min="15588" max="15588" width="21" style="2" customWidth="1"/>
    <col min="15589" max="15589" width="10.85546875" style="2" customWidth="1"/>
    <col min="15590" max="15590" width="17.42578125" style="2" customWidth="1"/>
    <col min="15591" max="15591" width="14.85546875" style="2" customWidth="1"/>
    <col min="15592" max="15592" width="15" style="2" customWidth="1"/>
    <col min="15593" max="15593" width="14.85546875" style="2" customWidth="1"/>
    <col min="15594" max="15594" width="7.140625" style="2" customWidth="1"/>
    <col min="15595" max="15596" width="20.140625" style="2" customWidth="1"/>
    <col min="15597" max="15597" width="18.42578125" style="2" customWidth="1"/>
    <col min="15598" max="15598" width="9.140625" style="2" customWidth="1"/>
    <col min="15599" max="15599" width="12" style="2" customWidth="1"/>
    <col min="15600" max="15600" width="14.85546875" style="2" customWidth="1"/>
    <col min="15601" max="15601" width="22.42578125" style="2" customWidth="1"/>
    <col min="15602" max="15602" width="14.85546875" style="2" customWidth="1"/>
    <col min="15603" max="15603" width="7.140625" style="2" customWidth="1"/>
    <col min="15604" max="15604" width="20.140625" style="2" customWidth="1"/>
    <col min="15605" max="15836" width="8.85546875" style="2" customWidth="1"/>
    <col min="15837" max="15837" width="8.140625" style="2" customWidth="1"/>
    <col min="15838" max="15838" width="14.5703125" style="2" customWidth="1"/>
    <col min="15839" max="15839" width="37.42578125" style="2" customWidth="1"/>
    <col min="15840" max="15840" width="63.140625" style="2" customWidth="1"/>
    <col min="15841" max="15841" width="20" style="2" customWidth="1"/>
    <col min="15842" max="15842" width="11.140625" style="2" customWidth="1"/>
    <col min="15843" max="15843" width="10.85546875" style="2" customWidth="1"/>
    <col min="15844" max="15844" width="21" style="2" customWidth="1"/>
    <col min="15845" max="15845" width="10.85546875" style="2" customWidth="1"/>
    <col min="15846" max="15846" width="17.42578125" style="2" customWidth="1"/>
    <col min="15847" max="15847" width="14.85546875" style="2" customWidth="1"/>
    <col min="15848" max="15848" width="15" style="2" customWidth="1"/>
    <col min="15849" max="15849" width="14.85546875" style="2" customWidth="1"/>
    <col min="15850" max="15850" width="7.140625" style="2" customWidth="1"/>
    <col min="15851" max="15852" width="20.140625" style="2" customWidth="1"/>
    <col min="15853" max="15853" width="18.42578125" style="2" customWidth="1"/>
    <col min="15854" max="15854" width="9.140625" style="2" customWidth="1"/>
    <col min="15855" max="15855" width="12" style="2" customWidth="1"/>
    <col min="15856" max="15856" width="14.85546875" style="2" customWidth="1"/>
    <col min="15857" max="15857" width="22.42578125" style="2" customWidth="1"/>
    <col min="15858" max="15858" width="14.85546875" style="2" customWidth="1"/>
    <col min="15859" max="15859" width="7.140625" style="2" customWidth="1"/>
    <col min="15860" max="15860" width="20.140625" style="2" customWidth="1"/>
    <col min="15861" max="16092" width="8.85546875" style="2" customWidth="1"/>
    <col min="16093" max="16093" width="8.140625" style="2" customWidth="1"/>
    <col min="16094" max="16094" width="14.5703125" style="2" customWidth="1"/>
    <col min="16095" max="16095" width="37.42578125" style="2" customWidth="1"/>
    <col min="16096" max="16096" width="63.140625" style="2" customWidth="1"/>
    <col min="16097" max="16097" width="20" style="2" customWidth="1"/>
    <col min="16098" max="16098" width="11.140625" style="2" customWidth="1"/>
    <col min="16099" max="16099" width="10.85546875" style="2" customWidth="1"/>
    <col min="16100" max="16100" width="21" style="2" customWidth="1"/>
    <col min="16101" max="16101" width="10.85546875" style="2" customWidth="1"/>
    <col min="16102" max="16102" width="17.42578125" style="2" customWidth="1"/>
    <col min="16103" max="16103" width="14.85546875" style="2" customWidth="1"/>
    <col min="16104" max="16104" width="15" style="2" customWidth="1"/>
    <col min="16105" max="16105" width="14.85546875" style="2" customWidth="1"/>
    <col min="16106" max="16106" width="7.140625" style="2" customWidth="1"/>
    <col min="16107" max="16108" width="20.140625" style="2" customWidth="1"/>
    <col min="16109" max="16109" width="18.42578125" style="2" customWidth="1"/>
    <col min="16110" max="16110" width="9.140625" style="2" customWidth="1"/>
    <col min="16111" max="16111" width="12" style="2" customWidth="1"/>
    <col min="16112" max="16112" width="14.85546875" style="2" customWidth="1"/>
    <col min="16113" max="16113" width="22.42578125" style="2" customWidth="1"/>
    <col min="16114" max="16114" width="14.85546875" style="2" customWidth="1"/>
    <col min="16115" max="16115" width="7.140625" style="2" customWidth="1"/>
    <col min="16116" max="16116" width="20.140625" style="2" customWidth="1"/>
    <col min="16117" max="16384" width="8.85546875" style="2" customWidth="1"/>
  </cols>
  <sheetData>
    <row r="1" spans="1:21" ht="14.1" customHeight="1">
      <c r="A1" s="1" t="s">
        <v>4144</v>
      </c>
      <c r="B1" s="2"/>
      <c r="C1" s="2"/>
      <c r="D1" s="2"/>
      <c r="F1" s="2"/>
      <c r="H1" s="2"/>
      <c r="J1" s="2"/>
      <c r="K1" s="2"/>
      <c r="L1" s="2"/>
      <c r="M1" s="2"/>
      <c r="N1" s="2"/>
      <c r="O1" s="2"/>
      <c r="P1" s="2"/>
      <c r="R1" s="10"/>
    </row>
    <row r="2" spans="1:21" s="4" customFormat="1" ht="14.1" customHeight="1">
      <c r="A2" s="4" t="s">
        <v>2102</v>
      </c>
      <c r="E2" s="69"/>
      <c r="R2" s="336"/>
    </row>
    <row r="3" spans="1:21" s="6" customFormat="1" ht="14.1" customHeight="1">
      <c r="A3" s="3"/>
      <c r="B3" s="16"/>
      <c r="C3" s="16"/>
      <c r="D3" s="23"/>
      <c r="E3" s="16"/>
      <c r="F3" s="23"/>
      <c r="G3" s="15"/>
      <c r="H3" s="25"/>
      <c r="I3" s="15"/>
      <c r="J3" s="25"/>
      <c r="K3" s="25"/>
      <c r="L3" s="25"/>
      <c r="M3" s="25"/>
      <c r="N3" s="25"/>
      <c r="O3" s="25"/>
      <c r="P3" s="25"/>
      <c r="Q3" s="2"/>
      <c r="R3" s="355" t="s">
        <v>2</v>
      </c>
      <c r="S3" s="2"/>
      <c r="T3" s="2"/>
      <c r="U3" s="2"/>
    </row>
    <row r="4" spans="1:21" s="5" customFormat="1" ht="33" customHeight="1">
      <c r="A4" s="21" t="s">
        <v>3</v>
      </c>
      <c r="B4" s="52" t="s">
        <v>4</v>
      </c>
      <c r="C4" s="52" t="s">
        <v>5</v>
      </c>
      <c r="D4" s="21" t="s">
        <v>6</v>
      </c>
      <c r="E4" s="21" t="s">
        <v>7</v>
      </c>
      <c r="F4" s="21" t="s">
        <v>8</v>
      </c>
      <c r="G4" s="21" t="s">
        <v>9</v>
      </c>
      <c r="H4" s="21" t="s">
        <v>10</v>
      </c>
      <c r="I4" s="21" t="s">
        <v>11</v>
      </c>
      <c r="J4" s="21" t="s">
        <v>12</v>
      </c>
      <c r="K4" s="21" t="s">
        <v>13</v>
      </c>
      <c r="L4" s="21" t="s">
        <v>14</v>
      </c>
      <c r="M4" s="21" t="s">
        <v>15</v>
      </c>
      <c r="N4" s="21" t="s">
        <v>4145</v>
      </c>
      <c r="O4" s="21" t="s">
        <v>17</v>
      </c>
      <c r="P4" s="21" t="s">
        <v>18</v>
      </c>
      <c r="Q4" s="3"/>
      <c r="R4" s="41" t="s">
        <v>19</v>
      </c>
      <c r="S4" s="20"/>
      <c r="T4" s="42" t="s">
        <v>20</v>
      </c>
      <c r="U4" s="42" t="s">
        <v>21</v>
      </c>
    </row>
    <row r="5" spans="1:21" ht="14.1" customHeight="1">
      <c r="A5" s="7">
        <v>1</v>
      </c>
      <c r="B5" s="14" t="s">
        <v>124</v>
      </c>
      <c r="C5" s="14" t="s">
        <v>4146</v>
      </c>
      <c r="D5" s="7" t="s">
        <v>611</v>
      </c>
      <c r="E5" s="14" t="s">
        <v>355</v>
      </c>
      <c r="F5" s="7" t="s">
        <v>26</v>
      </c>
      <c r="G5" s="13" t="s">
        <v>4147</v>
      </c>
      <c r="H5" s="12" t="s">
        <v>518</v>
      </c>
      <c r="I5" s="8" t="s">
        <v>4148</v>
      </c>
      <c r="J5" s="7" t="s">
        <v>4149</v>
      </c>
      <c r="K5" s="12" t="s">
        <v>520</v>
      </c>
      <c r="L5" s="7" t="s">
        <v>387</v>
      </c>
      <c r="M5" s="7">
        <v>83026000</v>
      </c>
      <c r="N5" s="7">
        <v>500</v>
      </c>
      <c r="O5" s="7" t="s">
        <v>4150</v>
      </c>
      <c r="P5" s="7"/>
      <c r="R5" s="9">
        <v>207.64529923832069</v>
      </c>
      <c r="S5" s="22"/>
      <c r="T5" s="7" t="s">
        <v>34</v>
      </c>
      <c r="U5" s="7" t="s">
        <v>34</v>
      </c>
    </row>
    <row r="6" spans="1:21" ht="14.1" customHeight="1">
      <c r="A6" s="7">
        <v>2</v>
      </c>
      <c r="B6" s="14" t="s">
        <v>124</v>
      </c>
      <c r="C6" s="14" t="s">
        <v>4146</v>
      </c>
      <c r="D6" s="7" t="s">
        <v>611</v>
      </c>
      <c r="E6" s="14" t="s">
        <v>355</v>
      </c>
      <c r="F6" s="7" t="s">
        <v>26</v>
      </c>
      <c r="G6" s="13" t="s">
        <v>4151</v>
      </c>
      <c r="H6" s="12" t="s">
        <v>518</v>
      </c>
      <c r="I6" s="8" t="s">
        <v>4152</v>
      </c>
      <c r="J6" s="7" t="s">
        <v>4149</v>
      </c>
      <c r="K6" s="12" t="s">
        <v>520</v>
      </c>
      <c r="L6" s="7" t="s">
        <v>387</v>
      </c>
      <c r="M6" s="7">
        <v>83026000</v>
      </c>
      <c r="N6" s="7">
        <v>500</v>
      </c>
      <c r="O6" s="7" t="s">
        <v>4150</v>
      </c>
      <c r="P6" s="7"/>
      <c r="R6" s="9">
        <v>601.22752552186523</v>
      </c>
      <c r="T6" s="7" t="s">
        <v>34</v>
      </c>
      <c r="U6" s="7" t="s">
        <v>34</v>
      </c>
    </row>
    <row r="7" spans="1:21" ht="14.1" customHeight="1">
      <c r="A7" s="7">
        <v>3</v>
      </c>
      <c r="B7" s="14" t="s">
        <v>124</v>
      </c>
      <c r="C7" s="14" t="s">
        <v>4146</v>
      </c>
      <c r="D7" s="7" t="s">
        <v>611</v>
      </c>
      <c r="E7" s="14" t="s">
        <v>355</v>
      </c>
      <c r="F7" s="7" t="s">
        <v>26</v>
      </c>
      <c r="G7" s="13" t="s">
        <v>4153</v>
      </c>
      <c r="H7" s="12" t="s">
        <v>518</v>
      </c>
      <c r="I7" s="8" t="s">
        <v>4154</v>
      </c>
      <c r="J7" s="7" t="s">
        <v>4149</v>
      </c>
      <c r="K7" s="12" t="s">
        <v>520</v>
      </c>
      <c r="L7" s="7" t="s">
        <v>387</v>
      </c>
      <c r="M7" s="7">
        <v>83026000</v>
      </c>
      <c r="N7" s="7">
        <v>500</v>
      </c>
      <c r="O7" s="7" t="s">
        <v>4150</v>
      </c>
      <c r="P7" s="7"/>
      <c r="R7" s="9">
        <v>632.37432040761325</v>
      </c>
      <c r="T7" s="7" t="s">
        <v>34</v>
      </c>
      <c r="U7" s="7" t="s">
        <v>34</v>
      </c>
    </row>
    <row r="8" spans="1:21" ht="14.1" customHeight="1">
      <c r="A8" s="7">
        <v>4</v>
      </c>
      <c r="B8" s="14" t="s">
        <v>124</v>
      </c>
      <c r="C8" s="14" t="s">
        <v>4146</v>
      </c>
      <c r="D8" s="7" t="s">
        <v>611</v>
      </c>
      <c r="E8" s="14" t="s">
        <v>355</v>
      </c>
      <c r="F8" s="7" t="s">
        <v>26</v>
      </c>
      <c r="G8" s="13" t="s">
        <v>4155</v>
      </c>
      <c r="H8" s="12" t="s">
        <v>518</v>
      </c>
      <c r="I8" s="8" t="s">
        <v>4156</v>
      </c>
      <c r="J8" s="7" t="s">
        <v>4149</v>
      </c>
      <c r="K8" s="12" t="s">
        <v>520</v>
      </c>
      <c r="L8" s="7" t="s">
        <v>387</v>
      </c>
      <c r="M8" s="7">
        <v>83026000</v>
      </c>
      <c r="N8" s="7">
        <v>500</v>
      </c>
      <c r="O8" s="7" t="s">
        <v>4150</v>
      </c>
      <c r="P8" s="7"/>
      <c r="R8" s="9">
        <v>689.00485656351907</v>
      </c>
      <c r="T8" s="7" t="s">
        <v>34</v>
      </c>
      <c r="U8" s="7" t="s">
        <v>34</v>
      </c>
    </row>
    <row r="9" spans="1:21" ht="14.1" customHeight="1">
      <c r="A9" s="7">
        <v>5</v>
      </c>
      <c r="B9" s="14" t="s">
        <v>124</v>
      </c>
      <c r="C9" s="14" t="s">
        <v>4146</v>
      </c>
      <c r="D9" s="7" t="s">
        <v>611</v>
      </c>
      <c r="E9" s="14" t="s">
        <v>355</v>
      </c>
      <c r="F9" s="7" t="s">
        <v>26</v>
      </c>
      <c r="G9" s="13" t="s">
        <v>4157</v>
      </c>
      <c r="H9" s="12" t="s">
        <v>518</v>
      </c>
      <c r="I9" s="8" t="s">
        <v>4158</v>
      </c>
      <c r="J9" s="7" t="s">
        <v>4149</v>
      </c>
      <c r="K9" s="12" t="s">
        <v>520</v>
      </c>
      <c r="L9" s="7" t="s">
        <v>387</v>
      </c>
      <c r="M9" s="7">
        <v>83026000</v>
      </c>
      <c r="N9" s="7">
        <v>500</v>
      </c>
      <c r="O9" s="7" t="s">
        <v>4150</v>
      </c>
      <c r="P9" s="7"/>
      <c r="R9" s="9">
        <v>906.08857849449066</v>
      </c>
      <c r="T9" s="7" t="s">
        <v>34</v>
      </c>
      <c r="U9" s="7" t="s">
        <v>34</v>
      </c>
    </row>
    <row r="10" spans="1:21" ht="14.1" customHeight="1">
      <c r="A10" s="7">
        <v>6</v>
      </c>
      <c r="B10" s="14" t="s">
        <v>124</v>
      </c>
      <c r="C10" s="14" t="s">
        <v>4146</v>
      </c>
      <c r="D10" s="7" t="s">
        <v>804</v>
      </c>
      <c r="E10" s="14" t="s">
        <v>442</v>
      </c>
      <c r="F10" s="7" t="s">
        <v>26</v>
      </c>
      <c r="G10" s="61" t="s">
        <v>4159</v>
      </c>
      <c r="H10" s="12" t="s">
        <v>1424</v>
      </c>
      <c r="I10" s="8" t="s">
        <v>4160</v>
      </c>
      <c r="J10" s="7" t="s">
        <v>4149</v>
      </c>
      <c r="K10" s="12" t="s">
        <v>1426</v>
      </c>
      <c r="L10" s="7" t="s">
        <v>387</v>
      </c>
      <c r="M10" s="7">
        <v>83026000</v>
      </c>
      <c r="N10" s="7">
        <v>500</v>
      </c>
      <c r="O10" s="7" t="s">
        <v>4150</v>
      </c>
      <c r="P10" s="7"/>
      <c r="R10" s="9">
        <v>539.87777801963398</v>
      </c>
      <c r="T10" s="7" t="s">
        <v>34</v>
      </c>
      <c r="U10" s="7" t="s">
        <v>34</v>
      </c>
    </row>
    <row r="11" spans="1:21" ht="14.1" customHeight="1">
      <c r="A11" s="7">
        <v>7</v>
      </c>
      <c r="B11" s="14" t="s">
        <v>124</v>
      </c>
      <c r="C11" s="14" t="s">
        <v>4146</v>
      </c>
      <c r="D11" s="7" t="s">
        <v>804</v>
      </c>
      <c r="E11" s="14" t="s">
        <v>442</v>
      </c>
      <c r="F11" s="7" t="s">
        <v>26</v>
      </c>
      <c r="G11" s="13" t="s">
        <v>4161</v>
      </c>
      <c r="H11" s="12" t="s">
        <v>1424</v>
      </c>
      <c r="I11" s="8" t="s">
        <v>4162</v>
      </c>
      <c r="J11" s="7" t="s">
        <v>4149</v>
      </c>
      <c r="K11" s="7" t="s">
        <v>1426</v>
      </c>
      <c r="L11" s="7" t="s">
        <v>387</v>
      </c>
      <c r="M11" s="7">
        <v>83026000</v>
      </c>
      <c r="N11" s="7">
        <v>500</v>
      </c>
      <c r="O11" s="7" t="s">
        <v>4150</v>
      </c>
      <c r="P11" s="7"/>
      <c r="R11" s="9">
        <v>641.81274310026424</v>
      </c>
      <c r="T11" s="7" t="s">
        <v>34</v>
      </c>
      <c r="U11" s="7" t="s">
        <v>34</v>
      </c>
    </row>
    <row r="12" spans="1:21" ht="14.1" customHeight="1">
      <c r="A12" s="7">
        <v>8</v>
      </c>
      <c r="B12" s="14" t="s">
        <v>124</v>
      </c>
      <c r="C12" s="14" t="s">
        <v>4146</v>
      </c>
      <c r="D12" s="7" t="s">
        <v>804</v>
      </c>
      <c r="E12" s="14" t="s">
        <v>442</v>
      </c>
      <c r="F12" s="7" t="s">
        <v>26</v>
      </c>
      <c r="G12" s="13" t="s">
        <v>4163</v>
      </c>
      <c r="H12" s="12" t="s">
        <v>1424</v>
      </c>
      <c r="I12" s="8" t="s">
        <v>4164</v>
      </c>
      <c r="J12" s="7" t="s">
        <v>4149</v>
      </c>
      <c r="K12" s="7" t="s">
        <v>1426</v>
      </c>
      <c r="L12" s="7" t="s">
        <v>387</v>
      </c>
      <c r="M12" s="7">
        <v>83026000</v>
      </c>
      <c r="N12" s="7">
        <v>500</v>
      </c>
      <c r="O12" s="7" t="s">
        <v>4150</v>
      </c>
      <c r="P12" s="7"/>
      <c r="R12" s="9">
        <v>641.81274310026424</v>
      </c>
      <c r="T12" s="7" t="s">
        <v>34</v>
      </c>
      <c r="U12" s="7" t="s">
        <v>34</v>
      </c>
    </row>
    <row r="13" spans="1:21" ht="14.1" customHeight="1">
      <c r="A13" s="7">
        <v>9</v>
      </c>
      <c r="B13" s="14" t="s">
        <v>609</v>
      </c>
      <c r="C13" s="14" t="s">
        <v>4165</v>
      </c>
      <c r="D13" s="7" t="s">
        <v>611</v>
      </c>
      <c r="E13" s="14" t="s">
        <v>4166</v>
      </c>
      <c r="F13" s="7" t="s">
        <v>26</v>
      </c>
      <c r="G13" s="8" t="s">
        <v>4167</v>
      </c>
      <c r="H13" s="7" t="s">
        <v>518</v>
      </c>
      <c r="I13" s="8" t="s">
        <v>4168</v>
      </c>
      <c r="J13" s="7" t="s">
        <v>4169</v>
      </c>
      <c r="K13" s="7" t="s">
        <v>520</v>
      </c>
      <c r="L13" s="7" t="s">
        <v>387</v>
      </c>
      <c r="M13" s="7">
        <v>83026000</v>
      </c>
      <c r="N13" s="7">
        <v>500</v>
      </c>
      <c r="O13" s="7" t="s">
        <v>4150</v>
      </c>
      <c r="P13" s="7"/>
      <c r="R13" s="9">
        <v>264.27583539422648</v>
      </c>
      <c r="T13" s="7" t="s">
        <v>34</v>
      </c>
      <c r="U13" s="7" t="s">
        <v>34</v>
      </c>
    </row>
    <row r="14" spans="1:21" ht="14.1" customHeight="1">
      <c r="A14" s="7">
        <v>10</v>
      </c>
      <c r="B14" s="14" t="s">
        <v>609</v>
      </c>
      <c r="C14" s="14" t="s">
        <v>4165</v>
      </c>
      <c r="D14" s="7" t="s">
        <v>611</v>
      </c>
      <c r="E14" s="14" t="s">
        <v>4166</v>
      </c>
      <c r="F14" s="7" t="s">
        <v>26</v>
      </c>
      <c r="G14" s="8" t="s">
        <v>4170</v>
      </c>
      <c r="H14" s="7" t="s">
        <v>4171</v>
      </c>
      <c r="I14" s="8" t="s">
        <v>4172</v>
      </c>
      <c r="J14" s="7" t="s">
        <v>4169</v>
      </c>
      <c r="K14" s="7" t="s">
        <v>520</v>
      </c>
      <c r="L14" s="7" t="s">
        <v>387</v>
      </c>
      <c r="M14" s="7">
        <v>83026000</v>
      </c>
      <c r="N14" s="7">
        <v>500</v>
      </c>
      <c r="O14" s="7" t="s">
        <v>4150</v>
      </c>
      <c r="P14" s="7"/>
      <c r="R14" s="9">
        <v>509.67482540315098</v>
      </c>
      <c r="T14" s="7" t="s">
        <v>34</v>
      </c>
      <c r="U14" s="7" t="s">
        <v>34</v>
      </c>
    </row>
    <row r="15" spans="1:21" ht="14.1" customHeight="1">
      <c r="A15" s="7">
        <v>11</v>
      </c>
      <c r="B15" s="14" t="s">
        <v>609</v>
      </c>
      <c r="C15" s="14" t="s">
        <v>4165</v>
      </c>
      <c r="D15" s="7" t="s">
        <v>611</v>
      </c>
      <c r="E15" s="14" t="s">
        <v>4166</v>
      </c>
      <c r="F15" s="7" t="s">
        <v>26</v>
      </c>
      <c r="G15" s="8" t="s">
        <v>4173</v>
      </c>
      <c r="H15" s="7" t="s">
        <v>4174</v>
      </c>
      <c r="I15" s="8" t="s">
        <v>4172</v>
      </c>
      <c r="J15" s="7" t="s">
        <v>4169</v>
      </c>
      <c r="K15" s="7" t="s">
        <v>461</v>
      </c>
      <c r="L15" s="7" t="s">
        <v>387</v>
      </c>
      <c r="M15" s="7">
        <v>83026000</v>
      </c>
      <c r="N15" s="7">
        <v>500</v>
      </c>
      <c r="O15" s="7" t="s">
        <v>4150</v>
      </c>
      <c r="P15" s="7"/>
      <c r="R15" s="9">
        <v>509.67482540315098</v>
      </c>
      <c r="T15" s="7" t="s">
        <v>34</v>
      </c>
      <c r="U15" s="7" t="s">
        <v>34</v>
      </c>
    </row>
    <row r="16" spans="1:21" ht="14.1" customHeight="1">
      <c r="A16" s="7">
        <v>12</v>
      </c>
      <c r="B16" s="14" t="s">
        <v>609</v>
      </c>
      <c r="C16" s="14" t="s">
        <v>4165</v>
      </c>
      <c r="D16" s="7" t="s">
        <v>611</v>
      </c>
      <c r="E16" s="14" t="s">
        <v>4166</v>
      </c>
      <c r="F16" s="7" t="s">
        <v>26</v>
      </c>
      <c r="G16" s="8" t="s">
        <v>4175</v>
      </c>
      <c r="H16" s="7" t="s">
        <v>4176</v>
      </c>
      <c r="I16" s="8" t="s">
        <v>4177</v>
      </c>
      <c r="J16" s="7" t="s">
        <v>4169</v>
      </c>
      <c r="K16" s="7" t="s">
        <v>461</v>
      </c>
      <c r="L16" s="7" t="s">
        <v>387</v>
      </c>
      <c r="M16" s="7">
        <v>83026000</v>
      </c>
      <c r="N16" s="7">
        <v>500</v>
      </c>
      <c r="O16" s="7" t="s">
        <v>4150</v>
      </c>
      <c r="P16" s="7"/>
      <c r="R16" s="9">
        <v>509.67482540315098</v>
      </c>
      <c r="T16" s="7" t="s">
        <v>34</v>
      </c>
      <c r="U16" s="7" t="s">
        <v>34</v>
      </c>
    </row>
    <row r="17" spans="1:21" ht="14.1" customHeight="1">
      <c r="A17" s="7">
        <v>13</v>
      </c>
      <c r="B17" s="14" t="s">
        <v>4178</v>
      </c>
      <c r="C17" s="14" t="s">
        <v>4165</v>
      </c>
      <c r="D17" s="7" t="s">
        <v>611</v>
      </c>
      <c r="E17" s="14" t="s">
        <v>4166</v>
      </c>
      <c r="F17" s="7" t="s">
        <v>457</v>
      </c>
      <c r="G17" s="8" t="s">
        <v>4179</v>
      </c>
      <c r="H17" s="7" t="s">
        <v>4171</v>
      </c>
      <c r="I17" s="8" t="s">
        <v>4180</v>
      </c>
      <c r="J17" s="7" t="s">
        <v>4169</v>
      </c>
      <c r="K17" s="7" t="s">
        <v>520</v>
      </c>
      <c r="L17" s="7" t="s">
        <v>387</v>
      </c>
      <c r="M17" s="7">
        <v>83026000</v>
      </c>
      <c r="N17" s="7">
        <v>500</v>
      </c>
      <c r="O17" s="7" t="s">
        <v>4150</v>
      </c>
      <c r="P17" s="7"/>
      <c r="R17" s="9">
        <v>198.2068765456699</v>
      </c>
      <c r="T17" s="7" t="s">
        <v>34</v>
      </c>
      <c r="U17" s="8"/>
    </row>
    <row r="18" spans="1:21" ht="14.1" customHeight="1">
      <c r="A18" s="7">
        <v>14</v>
      </c>
      <c r="B18" s="14" t="s">
        <v>4178</v>
      </c>
      <c r="C18" s="14" t="s">
        <v>4165</v>
      </c>
      <c r="D18" s="7" t="s">
        <v>611</v>
      </c>
      <c r="E18" s="14" t="s">
        <v>4166</v>
      </c>
      <c r="F18" s="7" t="s">
        <v>457</v>
      </c>
      <c r="G18" s="8" t="s">
        <v>4181</v>
      </c>
      <c r="H18" s="7" t="s">
        <v>4171</v>
      </c>
      <c r="I18" s="8" t="s">
        <v>4182</v>
      </c>
      <c r="J18" s="7" t="s">
        <v>4169</v>
      </c>
      <c r="K18" s="7" t="s">
        <v>520</v>
      </c>
      <c r="L18" s="7" t="s">
        <v>387</v>
      </c>
      <c r="M18" s="7">
        <v>83026000</v>
      </c>
      <c r="N18" s="7">
        <v>500</v>
      </c>
      <c r="O18" s="7" t="s">
        <v>4150</v>
      </c>
      <c r="P18" s="7"/>
      <c r="R18" s="9">
        <v>424.72902116929248</v>
      </c>
      <c r="T18" s="7" t="s">
        <v>34</v>
      </c>
      <c r="U18" s="8"/>
    </row>
    <row r="19" spans="1:21" ht="14.1" customHeight="1">
      <c r="A19" s="7">
        <v>15</v>
      </c>
      <c r="B19" s="14" t="s">
        <v>4178</v>
      </c>
      <c r="C19" s="14" t="s">
        <v>4165</v>
      </c>
      <c r="D19" s="7" t="s">
        <v>611</v>
      </c>
      <c r="E19" s="14" t="s">
        <v>4166</v>
      </c>
      <c r="F19" s="7" t="s">
        <v>457</v>
      </c>
      <c r="G19" s="8" t="s">
        <v>4183</v>
      </c>
      <c r="H19" s="7" t="s">
        <v>1426</v>
      </c>
      <c r="I19" s="8" t="s">
        <v>4184</v>
      </c>
      <c r="J19" s="7" t="s">
        <v>4169</v>
      </c>
      <c r="K19" s="7" t="s">
        <v>1426</v>
      </c>
      <c r="L19" s="7" t="s">
        <v>387</v>
      </c>
      <c r="M19" s="7">
        <v>83026000</v>
      </c>
      <c r="N19" s="7">
        <v>500</v>
      </c>
      <c r="O19" s="7" t="s">
        <v>4150</v>
      </c>
      <c r="P19" s="7"/>
      <c r="R19" s="9">
        <v>407.73986032252083</v>
      </c>
      <c r="T19" s="7" t="s">
        <v>34</v>
      </c>
      <c r="U19" s="8"/>
    </row>
    <row r="20" spans="1:21" ht="14.1" customHeight="1">
      <c r="A20" s="7">
        <v>16</v>
      </c>
      <c r="B20" s="14" t="s">
        <v>4178</v>
      </c>
      <c r="C20" s="14" t="s">
        <v>4165</v>
      </c>
      <c r="D20" s="7" t="s">
        <v>611</v>
      </c>
      <c r="E20" s="14" t="s">
        <v>4166</v>
      </c>
      <c r="F20" s="7" t="s">
        <v>457</v>
      </c>
      <c r="G20" s="8" t="s">
        <v>4185</v>
      </c>
      <c r="H20" s="7" t="s">
        <v>4171</v>
      </c>
      <c r="I20" s="8" t="s">
        <v>4186</v>
      </c>
      <c r="J20" s="7" t="s">
        <v>4169</v>
      </c>
      <c r="K20" s="7" t="s">
        <v>520</v>
      </c>
      <c r="L20" s="7" t="s">
        <v>387</v>
      </c>
      <c r="M20" s="7">
        <v>83026000</v>
      </c>
      <c r="N20" s="7">
        <v>500</v>
      </c>
      <c r="O20" s="7" t="s">
        <v>4150</v>
      </c>
      <c r="P20" s="7"/>
      <c r="R20" s="9">
        <v>235.9605673162736</v>
      </c>
      <c r="T20" s="7" t="s">
        <v>34</v>
      </c>
      <c r="U20" s="8"/>
    </row>
    <row r="21" spans="1:21" ht="14.1" customHeight="1">
      <c r="A21" s="7">
        <v>17</v>
      </c>
      <c r="B21" s="14" t="s">
        <v>4178</v>
      </c>
      <c r="C21" s="14" t="s">
        <v>4165</v>
      </c>
      <c r="D21" s="7" t="s">
        <v>611</v>
      </c>
      <c r="E21" s="14" t="s">
        <v>4166</v>
      </c>
      <c r="F21" s="7" t="s">
        <v>457</v>
      </c>
      <c r="G21" s="8" t="s">
        <v>4187</v>
      </c>
      <c r="H21" s="7" t="s">
        <v>4171</v>
      </c>
      <c r="I21" s="8" t="s">
        <v>4168</v>
      </c>
      <c r="J21" s="7" t="s">
        <v>4169</v>
      </c>
      <c r="K21" s="7" t="s">
        <v>520</v>
      </c>
      <c r="L21" s="7" t="s">
        <v>387</v>
      </c>
      <c r="M21" s="7">
        <v>83026000</v>
      </c>
      <c r="N21" s="7">
        <v>500</v>
      </c>
      <c r="O21" s="7" t="s">
        <v>4150</v>
      </c>
      <c r="P21" s="7"/>
      <c r="R21" s="9">
        <v>273.71425808687741</v>
      </c>
      <c r="T21" s="7" t="s">
        <v>34</v>
      </c>
      <c r="U21" s="8"/>
    </row>
    <row r="22" spans="1:21" ht="14.1" customHeight="1">
      <c r="A22" s="7">
        <v>18</v>
      </c>
      <c r="B22" s="14" t="s">
        <v>4178</v>
      </c>
      <c r="C22" s="14" t="s">
        <v>4165</v>
      </c>
      <c r="D22" s="7" t="s">
        <v>611</v>
      </c>
      <c r="E22" s="14" t="s">
        <v>4166</v>
      </c>
      <c r="F22" s="7" t="s">
        <v>457</v>
      </c>
      <c r="G22" s="8" t="s">
        <v>4188</v>
      </c>
      <c r="H22" s="7" t="s">
        <v>4171</v>
      </c>
      <c r="I22" s="8" t="s">
        <v>4180</v>
      </c>
      <c r="J22" s="7" t="s">
        <v>4169</v>
      </c>
      <c r="K22" s="7" t="s">
        <v>520</v>
      </c>
      <c r="L22" s="7" t="s">
        <v>387</v>
      </c>
      <c r="M22" s="7">
        <v>83026000</v>
      </c>
      <c r="N22" s="7">
        <v>500</v>
      </c>
      <c r="O22" s="7" t="s">
        <v>4150</v>
      </c>
      <c r="P22" s="7"/>
      <c r="R22" s="9">
        <v>198.2068765456699</v>
      </c>
      <c r="T22" s="7" t="s">
        <v>34</v>
      </c>
      <c r="U22" s="8"/>
    </row>
    <row r="23" spans="1:21" ht="14.1" customHeight="1">
      <c r="A23" s="7">
        <v>19</v>
      </c>
      <c r="B23" s="14" t="s">
        <v>4178</v>
      </c>
      <c r="C23" s="14" t="s">
        <v>4165</v>
      </c>
      <c r="D23" s="7" t="s">
        <v>611</v>
      </c>
      <c r="E23" s="14" t="s">
        <v>4166</v>
      </c>
      <c r="F23" s="7" t="s">
        <v>457</v>
      </c>
      <c r="G23" s="8" t="s">
        <v>4189</v>
      </c>
      <c r="H23" s="7" t="s">
        <v>4171</v>
      </c>
      <c r="I23" s="8" t="s">
        <v>4190</v>
      </c>
      <c r="J23" s="7" t="s">
        <v>4169</v>
      </c>
      <c r="K23" s="7" t="s">
        <v>520</v>
      </c>
      <c r="L23" s="7" t="s">
        <v>387</v>
      </c>
      <c r="M23" s="7">
        <v>83026000</v>
      </c>
      <c r="N23" s="7">
        <v>500</v>
      </c>
      <c r="O23" s="7" t="s">
        <v>4150</v>
      </c>
      <c r="P23" s="7"/>
      <c r="R23" s="9">
        <v>736.19697002677367</v>
      </c>
      <c r="T23" s="7" t="s">
        <v>34</v>
      </c>
      <c r="U23" s="8"/>
    </row>
    <row r="24" spans="1:21" ht="14.1" customHeight="1">
      <c r="A24" s="7">
        <v>20</v>
      </c>
      <c r="B24" s="14" t="s">
        <v>4178</v>
      </c>
      <c r="C24" s="14" t="s">
        <v>4165</v>
      </c>
      <c r="D24" s="7" t="s">
        <v>611</v>
      </c>
      <c r="E24" s="14" t="s">
        <v>4166</v>
      </c>
      <c r="F24" s="7" t="s">
        <v>457</v>
      </c>
      <c r="G24" s="8" t="s">
        <v>4191</v>
      </c>
      <c r="H24" s="7" t="s">
        <v>4171</v>
      </c>
      <c r="I24" s="8" t="s">
        <v>4192</v>
      </c>
      <c r="J24" s="7" t="s">
        <v>4169</v>
      </c>
      <c r="K24" s="7" t="s">
        <v>520</v>
      </c>
      <c r="L24" s="7" t="s">
        <v>387</v>
      </c>
      <c r="M24" s="7">
        <v>83026000</v>
      </c>
      <c r="N24" s="7">
        <v>500</v>
      </c>
      <c r="O24" s="7" t="s">
        <v>4150</v>
      </c>
      <c r="P24" s="7"/>
      <c r="R24" s="9">
        <v>566.30536155905668</v>
      </c>
      <c r="T24" s="7" t="s">
        <v>34</v>
      </c>
      <c r="U24" s="8"/>
    </row>
    <row r="25" spans="1:21" ht="14.1" customHeight="1">
      <c r="A25" s="7">
        <v>21</v>
      </c>
      <c r="B25" s="14" t="s">
        <v>4178</v>
      </c>
      <c r="C25" s="14" t="s">
        <v>4165</v>
      </c>
      <c r="D25" s="7" t="s">
        <v>611</v>
      </c>
      <c r="E25" s="14" t="s">
        <v>4166</v>
      </c>
      <c r="F25" s="7" t="s">
        <v>457</v>
      </c>
      <c r="G25" s="8" t="s">
        <v>4193</v>
      </c>
      <c r="H25" s="7" t="s">
        <v>4171</v>
      </c>
      <c r="I25" s="8" t="s">
        <v>4194</v>
      </c>
      <c r="J25" s="7" t="s">
        <v>4169</v>
      </c>
      <c r="K25" s="7" t="s">
        <v>520</v>
      </c>
      <c r="L25" s="7" t="s">
        <v>387</v>
      </c>
      <c r="M25" s="7">
        <v>83026000</v>
      </c>
      <c r="N25" s="7">
        <v>500</v>
      </c>
      <c r="O25" s="7" t="s">
        <v>4150</v>
      </c>
      <c r="P25" s="7"/>
      <c r="R25" s="9">
        <v>632.37432040761325</v>
      </c>
      <c r="T25" s="7" t="s">
        <v>34</v>
      </c>
      <c r="U25" s="8"/>
    </row>
    <row r="26" spans="1:21" ht="14.1" customHeight="1">
      <c r="A26" s="7">
        <v>22</v>
      </c>
      <c r="B26" s="14" t="s">
        <v>4178</v>
      </c>
      <c r="C26" s="14" t="s">
        <v>4165</v>
      </c>
      <c r="D26" s="7" t="s">
        <v>611</v>
      </c>
      <c r="E26" s="14" t="s">
        <v>4166</v>
      </c>
      <c r="F26" s="7" t="s">
        <v>457</v>
      </c>
      <c r="G26" s="8" t="s">
        <v>4195</v>
      </c>
      <c r="H26" s="7" t="s">
        <v>4171</v>
      </c>
      <c r="I26" s="8" t="s">
        <v>4196</v>
      </c>
      <c r="J26" s="7" t="s">
        <v>4169</v>
      </c>
      <c r="K26" s="7" t="s">
        <v>520</v>
      </c>
      <c r="L26" s="7" t="s">
        <v>387</v>
      </c>
      <c r="M26" s="7">
        <v>83026000</v>
      </c>
      <c r="N26" s="7">
        <v>500</v>
      </c>
      <c r="O26" s="7" t="s">
        <v>4150</v>
      </c>
      <c r="P26" s="7"/>
      <c r="R26" s="9">
        <v>906.08857849449066</v>
      </c>
      <c r="T26" s="7" t="s">
        <v>34</v>
      </c>
      <c r="U26" s="8"/>
    </row>
    <row r="27" spans="1:21" ht="14.1" customHeight="1">
      <c r="A27" s="7">
        <v>23</v>
      </c>
      <c r="B27" s="14" t="s">
        <v>4178</v>
      </c>
      <c r="C27" s="14" t="s">
        <v>4165</v>
      </c>
      <c r="D27" s="7" t="s">
        <v>611</v>
      </c>
      <c r="E27" s="14" t="s">
        <v>4166</v>
      </c>
      <c r="F27" s="7" t="s">
        <v>457</v>
      </c>
      <c r="G27" s="8" t="s">
        <v>4197</v>
      </c>
      <c r="H27" s="7" t="s">
        <v>4171</v>
      </c>
      <c r="I27" s="8" t="s">
        <v>4198</v>
      </c>
      <c r="J27" s="7" t="s">
        <v>4169</v>
      </c>
      <c r="K27" s="7" t="s">
        <v>520</v>
      </c>
      <c r="L27" s="7" t="s">
        <v>387</v>
      </c>
      <c r="M27" s="7">
        <v>83026000</v>
      </c>
      <c r="N27" s="7">
        <v>500</v>
      </c>
      <c r="O27" s="7" t="s">
        <v>4150</v>
      </c>
      <c r="P27" s="7"/>
      <c r="R27" s="9">
        <v>1472.3939400535471</v>
      </c>
      <c r="T27" s="7" t="s">
        <v>34</v>
      </c>
      <c r="U27" s="8"/>
    </row>
    <row r="28" spans="1:21" ht="14.1" customHeight="1">
      <c r="A28" s="7">
        <v>24</v>
      </c>
      <c r="B28" s="14" t="s">
        <v>4178</v>
      </c>
      <c r="C28" s="14" t="s">
        <v>4146</v>
      </c>
      <c r="D28" s="7" t="s">
        <v>804</v>
      </c>
      <c r="E28" s="14" t="s">
        <v>442</v>
      </c>
      <c r="F28" s="7" t="s">
        <v>457</v>
      </c>
      <c r="G28" s="61" t="s">
        <v>4199</v>
      </c>
      <c r="H28" s="12" t="s">
        <v>1424</v>
      </c>
      <c r="I28" s="8" t="s">
        <v>4160</v>
      </c>
      <c r="J28" s="7" t="s">
        <v>4149</v>
      </c>
      <c r="K28" s="12" t="s">
        <v>1426</v>
      </c>
      <c r="L28" s="7" t="s">
        <v>387</v>
      </c>
      <c r="M28" s="7">
        <v>83026000</v>
      </c>
      <c r="N28" s="7">
        <v>500</v>
      </c>
      <c r="O28" s="7" t="s">
        <v>4150</v>
      </c>
      <c r="P28" s="7"/>
      <c r="R28" s="9">
        <v>539.87777801963398</v>
      </c>
      <c r="T28" s="7" t="s">
        <v>34</v>
      </c>
      <c r="U28" s="8"/>
    </row>
    <row r="29" spans="1:21" ht="14.1" customHeight="1">
      <c r="A29" s="7">
        <v>25</v>
      </c>
      <c r="B29" s="14" t="s">
        <v>4178</v>
      </c>
      <c r="C29" s="14" t="s">
        <v>4146</v>
      </c>
      <c r="D29" s="7" t="s">
        <v>804</v>
      </c>
      <c r="E29" s="14" t="s">
        <v>442</v>
      </c>
      <c r="F29" s="7" t="s">
        <v>457</v>
      </c>
      <c r="G29" s="13" t="s">
        <v>4200</v>
      </c>
      <c r="H29" s="12" t="s">
        <v>1424</v>
      </c>
      <c r="I29" s="8" t="s">
        <v>4164</v>
      </c>
      <c r="J29" s="7" t="s">
        <v>4149</v>
      </c>
      <c r="K29" s="7" t="s">
        <v>1426</v>
      </c>
      <c r="L29" s="7" t="s">
        <v>387</v>
      </c>
      <c r="M29" s="7">
        <v>83026000</v>
      </c>
      <c r="N29" s="7">
        <v>500</v>
      </c>
      <c r="O29" s="7" t="s">
        <v>4150</v>
      </c>
      <c r="P29" s="7"/>
      <c r="R29" s="9">
        <v>641.81274310026424</v>
      </c>
      <c r="T29" s="7" t="s">
        <v>34</v>
      </c>
      <c r="U29" s="8"/>
    </row>
    <row r="30" spans="1:21" ht="14.1" customHeight="1">
      <c r="A30" s="7">
        <v>26</v>
      </c>
      <c r="B30" s="19" t="s">
        <v>609</v>
      </c>
      <c r="C30" s="14" t="s">
        <v>4146</v>
      </c>
      <c r="D30" s="7" t="s">
        <v>804</v>
      </c>
      <c r="E30" s="14" t="s">
        <v>442</v>
      </c>
      <c r="F30" s="29" t="s">
        <v>26</v>
      </c>
      <c r="G30" s="19" t="s">
        <v>4201</v>
      </c>
      <c r="H30" s="29" t="s">
        <v>121</v>
      </c>
      <c r="I30" s="19" t="s">
        <v>4202</v>
      </c>
      <c r="J30" s="7" t="s">
        <v>123</v>
      </c>
      <c r="K30" s="7" t="s">
        <v>31</v>
      </c>
      <c r="L30" s="7" t="s">
        <v>387</v>
      </c>
      <c r="M30" s="7">
        <v>83026000</v>
      </c>
      <c r="N30" s="7">
        <v>500</v>
      </c>
      <c r="O30" s="7" t="s">
        <v>4150</v>
      </c>
      <c r="P30" s="7"/>
      <c r="R30" s="9">
        <v>169.89160846771699</v>
      </c>
      <c r="T30" s="7"/>
      <c r="U30" s="7" t="s">
        <v>34</v>
      </c>
    </row>
    <row r="31" spans="1:21" ht="14.1" customHeight="1">
      <c r="A31" s="7">
        <v>27</v>
      </c>
      <c r="B31" s="19" t="s">
        <v>609</v>
      </c>
      <c r="C31" s="14" t="s">
        <v>4146</v>
      </c>
      <c r="D31" s="7" t="s">
        <v>804</v>
      </c>
      <c r="E31" s="14" t="s">
        <v>442</v>
      </c>
      <c r="F31" s="29" t="s">
        <v>26</v>
      </c>
      <c r="G31" s="19" t="s">
        <v>4203</v>
      </c>
      <c r="H31" s="29" t="s">
        <v>4019</v>
      </c>
      <c r="I31" s="19" t="s">
        <v>4162</v>
      </c>
      <c r="J31" s="7" t="s">
        <v>30</v>
      </c>
      <c r="K31" s="29" t="s">
        <v>4019</v>
      </c>
      <c r="L31" s="7" t="s">
        <v>387</v>
      </c>
      <c r="M31" s="7">
        <v>83026000</v>
      </c>
      <c r="N31" s="7">
        <v>500</v>
      </c>
      <c r="O31" s="7" t="s">
        <v>4150</v>
      </c>
      <c r="P31" s="7"/>
      <c r="R31" s="9">
        <v>641.81274310026424</v>
      </c>
      <c r="T31" s="7"/>
      <c r="U31" s="7" t="s">
        <v>34</v>
      </c>
    </row>
    <row r="32" spans="1:21" ht="14.1" customHeight="1">
      <c r="A32" s="7">
        <v>28</v>
      </c>
      <c r="B32" s="19" t="s">
        <v>609</v>
      </c>
      <c r="C32" s="14" t="s">
        <v>4146</v>
      </c>
      <c r="D32" s="7" t="s">
        <v>804</v>
      </c>
      <c r="E32" s="14" t="s">
        <v>442</v>
      </c>
      <c r="F32" s="29" t="s">
        <v>26</v>
      </c>
      <c r="G32" s="19" t="s">
        <v>4204</v>
      </c>
      <c r="H32" s="29" t="s">
        <v>42</v>
      </c>
      <c r="I32" s="19" t="s">
        <v>4205</v>
      </c>
      <c r="J32" s="7" t="s">
        <v>30</v>
      </c>
      <c r="K32" s="7"/>
      <c r="L32" s="7" t="s">
        <v>387</v>
      </c>
      <c r="M32" s="7">
        <v>83026000</v>
      </c>
      <c r="N32" s="7">
        <v>500</v>
      </c>
      <c r="O32" s="7" t="s">
        <v>4150</v>
      </c>
      <c r="P32" s="7"/>
      <c r="R32" s="9">
        <v>94.384226926509442</v>
      </c>
      <c r="T32" s="7"/>
      <c r="U32" s="7" t="s">
        <v>34</v>
      </c>
    </row>
    <row r="33" spans="1:21" ht="14.1" customHeight="1">
      <c r="A33" s="7">
        <v>29</v>
      </c>
      <c r="B33" s="19" t="s">
        <v>609</v>
      </c>
      <c r="C33" s="14" t="s">
        <v>4146</v>
      </c>
      <c r="D33" s="7" t="s">
        <v>804</v>
      </c>
      <c r="E33" s="14" t="s">
        <v>442</v>
      </c>
      <c r="F33" s="29" t="s">
        <v>26</v>
      </c>
      <c r="G33" s="19" t="s">
        <v>4206</v>
      </c>
      <c r="H33" s="29" t="s">
        <v>42</v>
      </c>
      <c r="I33" s="19" t="s">
        <v>4207</v>
      </c>
      <c r="J33" s="7" t="s">
        <v>30</v>
      </c>
      <c r="K33" s="7"/>
      <c r="L33" s="7" t="s">
        <v>387</v>
      </c>
      <c r="M33" s="7">
        <v>83026000</v>
      </c>
      <c r="N33" s="7">
        <v>500</v>
      </c>
      <c r="O33" s="7" t="s">
        <v>4150</v>
      </c>
      <c r="P33" s="7"/>
      <c r="R33" s="9">
        <v>132.13791769711321</v>
      </c>
      <c r="T33" s="7"/>
      <c r="U33" s="7" t="s">
        <v>34</v>
      </c>
    </row>
    <row r="34" spans="1:21" ht="14.1" customHeight="1">
      <c r="A34" s="7">
        <v>30</v>
      </c>
      <c r="B34" s="19" t="s">
        <v>609</v>
      </c>
      <c r="C34" s="14" t="s">
        <v>4146</v>
      </c>
      <c r="D34" s="7" t="s">
        <v>804</v>
      </c>
      <c r="E34" s="14" t="s">
        <v>442</v>
      </c>
      <c r="F34" s="29" t="s">
        <v>26</v>
      </c>
      <c r="G34" s="19" t="s">
        <v>4208</v>
      </c>
      <c r="H34" s="29" t="s">
        <v>42</v>
      </c>
      <c r="I34" s="19" t="s">
        <v>4209</v>
      </c>
      <c r="J34" s="7" t="s">
        <v>30</v>
      </c>
      <c r="K34" s="7"/>
      <c r="L34" s="7" t="s">
        <v>387</v>
      </c>
      <c r="M34" s="7">
        <v>83026000</v>
      </c>
      <c r="N34" s="7">
        <v>500</v>
      </c>
      <c r="O34" s="7" t="s">
        <v>4150</v>
      </c>
      <c r="P34" s="7"/>
      <c r="R34" s="9">
        <v>641.81274310026424</v>
      </c>
      <c r="T34" s="7"/>
      <c r="U34" s="7" t="s">
        <v>34</v>
      </c>
    </row>
    <row r="35" spans="1:21" ht="14.1" customHeight="1">
      <c r="A35" s="7">
        <v>31</v>
      </c>
      <c r="B35" s="19" t="s">
        <v>609</v>
      </c>
      <c r="C35" s="14" t="s">
        <v>4146</v>
      </c>
      <c r="D35" s="7" t="s">
        <v>804</v>
      </c>
      <c r="E35" s="14" t="s">
        <v>442</v>
      </c>
      <c r="F35" s="29" t="s">
        <v>26</v>
      </c>
      <c r="G35" s="19" t="s">
        <v>4210</v>
      </c>
      <c r="H35" s="29" t="s">
        <v>4019</v>
      </c>
      <c r="I35" s="19" t="s">
        <v>4164</v>
      </c>
      <c r="J35" s="7" t="s">
        <v>30</v>
      </c>
      <c r="K35" s="29" t="s">
        <v>4019</v>
      </c>
      <c r="L35" s="7" t="s">
        <v>387</v>
      </c>
      <c r="M35" s="7">
        <v>83026000</v>
      </c>
      <c r="N35" s="7">
        <v>500</v>
      </c>
      <c r="O35" s="7" t="s">
        <v>4150</v>
      </c>
      <c r="P35" s="7"/>
      <c r="R35" s="9">
        <v>641.81274310026424</v>
      </c>
      <c r="T35" s="7"/>
      <c r="U35" s="7" t="s">
        <v>34</v>
      </c>
    </row>
    <row r="36" spans="1:21" ht="14.1" customHeight="1">
      <c r="A36" s="7">
        <v>32</v>
      </c>
      <c r="B36" s="19" t="s">
        <v>609</v>
      </c>
      <c r="C36" s="14" t="s">
        <v>4146</v>
      </c>
      <c r="D36" s="7" t="s">
        <v>804</v>
      </c>
      <c r="E36" s="14" t="s">
        <v>442</v>
      </c>
      <c r="F36" s="29" t="s">
        <v>26</v>
      </c>
      <c r="G36" s="19" t="s">
        <v>4211</v>
      </c>
      <c r="H36" s="29" t="s">
        <v>1424</v>
      </c>
      <c r="I36" s="19" t="s">
        <v>4212</v>
      </c>
      <c r="J36" s="7" t="s">
        <v>123</v>
      </c>
      <c r="K36" s="7" t="s">
        <v>1426</v>
      </c>
      <c r="L36" s="7" t="s">
        <v>387</v>
      </c>
      <c r="M36" s="7">
        <v>83026000</v>
      </c>
      <c r="N36" s="7">
        <v>500</v>
      </c>
      <c r="O36" s="7" t="s">
        <v>4150</v>
      </c>
      <c r="P36" s="7"/>
      <c r="R36" s="9">
        <v>1170.3644138887171</v>
      </c>
      <c r="T36" s="7"/>
      <c r="U36" s="7" t="s">
        <v>34</v>
      </c>
    </row>
    <row r="37" spans="1:21" ht="14.1" customHeight="1">
      <c r="A37" s="7">
        <v>33</v>
      </c>
      <c r="B37" s="19" t="s">
        <v>609</v>
      </c>
      <c r="C37" s="14" t="s">
        <v>4146</v>
      </c>
      <c r="D37" s="29" t="s">
        <v>804</v>
      </c>
      <c r="E37" s="19" t="s">
        <v>4213</v>
      </c>
      <c r="F37" s="29" t="s">
        <v>26</v>
      </c>
      <c r="G37" s="19" t="s">
        <v>4214</v>
      </c>
      <c r="H37" s="29" t="s">
        <v>121</v>
      </c>
      <c r="I37" s="19" t="s">
        <v>4215</v>
      </c>
      <c r="J37" s="7" t="s">
        <v>123</v>
      </c>
      <c r="K37" s="7" t="s">
        <v>31</v>
      </c>
      <c r="L37" s="7" t="s">
        <v>387</v>
      </c>
      <c r="M37" s="7">
        <v>83026000</v>
      </c>
      <c r="N37" s="7">
        <v>500</v>
      </c>
      <c r="O37" s="7" t="s">
        <v>4150</v>
      </c>
      <c r="P37" s="7"/>
      <c r="R37" s="9">
        <v>245.3989900089245</v>
      </c>
      <c r="T37" s="7"/>
      <c r="U37" s="7" t="s">
        <v>34</v>
      </c>
    </row>
    <row r="38" spans="1:21" ht="14.1" customHeight="1">
      <c r="A38" s="7">
        <v>34</v>
      </c>
      <c r="B38" s="19" t="s">
        <v>609</v>
      </c>
      <c r="C38" s="14" t="s">
        <v>4146</v>
      </c>
      <c r="D38" s="29" t="s">
        <v>804</v>
      </c>
      <c r="E38" s="19" t="s">
        <v>4213</v>
      </c>
      <c r="F38" s="29" t="s">
        <v>26</v>
      </c>
      <c r="G38" s="19" t="s">
        <v>4216</v>
      </c>
      <c r="H38" s="29" t="s">
        <v>121</v>
      </c>
      <c r="I38" s="19" t="s">
        <v>4217</v>
      </c>
      <c r="J38" s="7" t="s">
        <v>123</v>
      </c>
      <c r="K38" s="7" t="s">
        <v>31</v>
      </c>
      <c r="L38" s="7" t="s">
        <v>387</v>
      </c>
      <c r="M38" s="7">
        <v>83026000</v>
      </c>
      <c r="N38" s="7">
        <v>500</v>
      </c>
      <c r="O38" s="7" t="s">
        <v>4150</v>
      </c>
      <c r="P38" s="7"/>
      <c r="R38" s="9">
        <v>245.3989900089245</v>
      </c>
      <c r="T38" s="7"/>
      <c r="U38" s="7" t="s">
        <v>34</v>
      </c>
    </row>
    <row r="39" spans="1:21" ht="14.1" customHeight="1">
      <c r="A39" s="7">
        <v>35</v>
      </c>
      <c r="B39" s="19" t="s">
        <v>609</v>
      </c>
      <c r="C39" s="14" t="s">
        <v>4146</v>
      </c>
      <c r="D39" s="29" t="s">
        <v>611</v>
      </c>
      <c r="E39" s="19" t="s">
        <v>3462</v>
      </c>
      <c r="F39" s="29" t="s">
        <v>26</v>
      </c>
      <c r="G39" s="19" t="s">
        <v>4218</v>
      </c>
      <c r="H39" s="29" t="s">
        <v>518</v>
      </c>
      <c r="I39" s="19" t="s">
        <v>4219</v>
      </c>
      <c r="J39" s="7" t="s">
        <v>123</v>
      </c>
      <c r="K39" s="7" t="s">
        <v>520</v>
      </c>
      <c r="L39" s="7" t="s">
        <v>387</v>
      </c>
      <c r="M39" s="7">
        <v>83026000</v>
      </c>
      <c r="N39" s="7">
        <v>500</v>
      </c>
      <c r="O39" s="7" t="s">
        <v>4150</v>
      </c>
      <c r="P39" s="7"/>
      <c r="R39" s="9">
        <v>462.48271193989632</v>
      </c>
      <c r="T39" s="7"/>
      <c r="U39" s="7" t="s">
        <v>34</v>
      </c>
    </row>
    <row r="40" spans="1:21" ht="14.1" customHeight="1">
      <c r="A40" s="7">
        <v>36</v>
      </c>
      <c r="B40" s="19" t="s">
        <v>609</v>
      </c>
      <c r="C40" s="14" t="s">
        <v>4146</v>
      </c>
      <c r="D40" s="29" t="s">
        <v>611</v>
      </c>
      <c r="E40" s="19" t="s">
        <v>3462</v>
      </c>
      <c r="F40" s="29" t="s">
        <v>26</v>
      </c>
      <c r="G40" s="19" t="s">
        <v>4220</v>
      </c>
      <c r="H40" s="29" t="s">
        <v>518</v>
      </c>
      <c r="I40" s="19" t="s">
        <v>4221</v>
      </c>
      <c r="J40" s="7" t="s">
        <v>30</v>
      </c>
      <c r="K40" s="7" t="s">
        <v>520</v>
      </c>
      <c r="L40" s="7" t="s">
        <v>387</v>
      </c>
      <c r="M40" s="7">
        <v>83026000</v>
      </c>
      <c r="N40" s="7">
        <v>500</v>
      </c>
      <c r="O40" s="7" t="s">
        <v>4150</v>
      </c>
      <c r="P40" s="7"/>
      <c r="R40" s="9">
        <v>566.30536155905668</v>
      </c>
      <c r="T40" s="7"/>
      <c r="U40" s="7" t="s">
        <v>34</v>
      </c>
    </row>
    <row r="41" spans="1:21" ht="14.1" customHeight="1">
      <c r="A41" s="7">
        <v>37</v>
      </c>
      <c r="B41" s="19" t="s">
        <v>609</v>
      </c>
      <c r="C41" s="14" t="s">
        <v>4146</v>
      </c>
      <c r="D41" s="29" t="s">
        <v>611</v>
      </c>
      <c r="E41" s="19" t="s">
        <v>3462</v>
      </c>
      <c r="F41" s="29" t="s">
        <v>26</v>
      </c>
      <c r="G41" s="19" t="s">
        <v>4222</v>
      </c>
      <c r="H41" s="29" t="s">
        <v>518</v>
      </c>
      <c r="I41" s="19" t="s">
        <v>4223</v>
      </c>
      <c r="J41" s="7" t="s">
        <v>123</v>
      </c>
      <c r="K41" s="7" t="s">
        <v>520</v>
      </c>
      <c r="L41" s="7" t="s">
        <v>387</v>
      </c>
      <c r="M41" s="7">
        <v>83026000</v>
      </c>
      <c r="N41" s="7">
        <v>500</v>
      </c>
      <c r="O41" s="7" t="s">
        <v>4150</v>
      </c>
      <c r="P41" s="7"/>
      <c r="R41" s="9">
        <v>283.15268077952828</v>
      </c>
      <c r="T41" s="7"/>
      <c r="U41" s="7" t="s">
        <v>34</v>
      </c>
    </row>
    <row r="42" spans="1:21" ht="14.1" customHeight="1">
      <c r="A42" s="7">
        <v>38</v>
      </c>
      <c r="B42" s="19" t="s">
        <v>609</v>
      </c>
      <c r="C42" s="14" t="s">
        <v>4146</v>
      </c>
      <c r="D42" s="29" t="s">
        <v>611</v>
      </c>
      <c r="E42" s="19" t="s">
        <v>3462</v>
      </c>
      <c r="F42" s="29" t="s">
        <v>26</v>
      </c>
      <c r="G42" s="19" t="s">
        <v>4224</v>
      </c>
      <c r="H42" s="29" t="s">
        <v>518</v>
      </c>
      <c r="I42" s="19" t="s">
        <v>4225</v>
      </c>
      <c r="J42" s="7" t="s">
        <v>30</v>
      </c>
      <c r="K42" s="7" t="s">
        <v>520</v>
      </c>
      <c r="L42" s="7" t="s">
        <v>387</v>
      </c>
      <c r="M42" s="7">
        <v>83026000</v>
      </c>
      <c r="N42" s="7">
        <v>500</v>
      </c>
      <c r="O42" s="7" t="s">
        <v>4150</v>
      </c>
      <c r="P42" s="7"/>
      <c r="R42" s="9">
        <v>962.71911465039636</v>
      </c>
      <c r="T42" s="7"/>
      <c r="U42" s="7" t="s">
        <v>34</v>
      </c>
    </row>
    <row r="43" spans="1:21" ht="14.1" customHeight="1">
      <c r="A43" s="7">
        <v>39</v>
      </c>
      <c r="B43" s="19" t="s">
        <v>609</v>
      </c>
      <c r="C43" s="14" t="s">
        <v>4146</v>
      </c>
      <c r="D43" s="29" t="s">
        <v>611</v>
      </c>
      <c r="E43" s="19" t="s">
        <v>3462</v>
      </c>
      <c r="F43" s="29" t="s">
        <v>26</v>
      </c>
      <c r="G43" s="19" t="s">
        <v>4226</v>
      </c>
      <c r="H43" s="29" t="s">
        <v>518</v>
      </c>
      <c r="I43" s="19" t="s">
        <v>4227</v>
      </c>
      <c r="J43" s="7" t="s">
        <v>30</v>
      </c>
      <c r="K43" s="7" t="s">
        <v>520</v>
      </c>
      <c r="L43" s="7" t="s">
        <v>387</v>
      </c>
      <c r="M43" s="7">
        <v>83026000</v>
      </c>
      <c r="N43" s="7">
        <v>500</v>
      </c>
      <c r="O43" s="7" t="s">
        <v>4150</v>
      </c>
      <c r="P43" s="7"/>
      <c r="R43" s="9">
        <v>1472.3939400535471</v>
      </c>
      <c r="T43" s="7"/>
      <c r="U43" s="7" t="s">
        <v>34</v>
      </c>
    </row>
    <row r="44" spans="1:21" ht="14.1" customHeight="1">
      <c r="A44" s="7">
        <v>40</v>
      </c>
      <c r="B44" s="19" t="s">
        <v>609</v>
      </c>
      <c r="C44" s="14" t="s">
        <v>4146</v>
      </c>
      <c r="D44" s="29" t="s">
        <v>611</v>
      </c>
      <c r="E44" s="19" t="s">
        <v>3462</v>
      </c>
      <c r="F44" s="29" t="s">
        <v>26</v>
      </c>
      <c r="G44" s="19" t="s">
        <v>4228</v>
      </c>
      <c r="H44" s="29" t="s">
        <v>518</v>
      </c>
      <c r="I44" s="19" t="s">
        <v>4229</v>
      </c>
      <c r="J44" s="7" t="s">
        <v>30</v>
      </c>
      <c r="K44" s="7" t="s">
        <v>520</v>
      </c>
      <c r="L44" s="7" t="s">
        <v>387</v>
      </c>
      <c r="M44" s="7">
        <v>83026000</v>
      </c>
      <c r="N44" s="7">
        <v>500</v>
      </c>
      <c r="O44" s="7" t="s">
        <v>4150</v>
      </c>
      <c r="P44" s="7"/>
      <c r="R44" s="9">
        <v>1529.024476209453</v>
      </c>
      <c r="T44" s="7"/>
      <c r="U44" s="7" t="s">
        <v>34</v>
      </c>
    </row>
    <row r="45" spans="1:21" ht="14.1" customHeight="1">
      <c r="A45" s="7">
        <v>41</v>
      </c>
      <c r="B45" s="14" t="s">
        <v>4178</v>
      </c>
      <c r="C45" s="14" t="s">
        <v>4146</v>
      </c>
      <c r="D45" s="29" t="s">
        <v>804</v>
      </c>
      <c r="E45" s="19" t="s">
        <v>4213</v>
      </c>
      <c r="F45" s="29" t="s">
        <v>457</v>
      </c>
      <c r="G45" s="19" t="s">
        <v>4230</v>
      </c>
      <c r="H45" s="29" t="s">
        <v>42</v>
      </c>
      <c r="I45" s="19" t="s">
        <v>4231</v>
      </c>
      <c r="J45" s="7" t="s">
        <v>123</v>
      </c>
      <c r="K45" s="7"/>
      <c r="L45" s="7" t="s">
        <v>387</v>
      </c>
      <c r="M45" s="7">
        <v>83026000</v>
      </c>
      <c r="N45" s="7">
        <v>500</v>
      </c>
      <c r="O45" s="7" t="s">
        <v>4150</v>
      </c>
      <c r="P45" s="7"/>
      <c r="R45" s="9">
        <v>641.81274310026424</v>
      </c>
      <c r="T45" s="7"/>
      <c r="U45" s="7" t="s">
        <v>34</v>
      </c>
    </row>
    <row r="46" spans="1:21" ht="14.1" customHeight="1">
      <c r="A46" s="7">
        <v>42</v>
      </c>
      <c r="B46" s="14" t="s">
        <v>4178</v>
      </c>
      <c r="C46" s="14" t="s">
        <v>4146</v>
      </c>
      <c r="D46" s="29" t="s">
        <v>804</v>
      </c>
      <c r="E46" s="19" t="s">
        <v>4213</v>
      </c>
      <c r="F46" s="29" t="s">
        <v>457</v>
      </c>
      <c r="G46" s="19" t="s">
        <v>4232</v>
      </c>
      <c r="H46" s="29" t="s">
        <v>4233</v>
      </c>
      <c r="I46" s="19" t="s">
        <v>4234</v>
      </c>
      <c r="J46" s="7" t="s">
        <v>123</v>
      </c>
      <c r="K46" s="29" t="s">
        <v>1426</v>
      </c>
      <c r="L46" s="7" t="s">
        <v>387</v>
      </c>
      <c r="M46" s="7">
        <v>83026000</v>
      </c>
      <c r="N46" s="7">
        <v>500</v>
      </c>
      <c r="O46" s="7" t="s">
        <v>4150</v>
      </c>
      <c r="P46" s="7"/>
      <c r="R46" s="9">
        <v>679.56643387086785</v>
      </c>
      <c r="T46" s="7"/>
      <c r="U46" s="7" t="s">
        <v>34</v>
      </c>
    </row>
    <row r="47" spans="1:21" ht="14.1" customHeight="1">
      <c r="A47" s="7">
        <v>43</v>
      </c>
      <c r="B47" s="14" t="s">
        <v>4178</v>
      </c>
      <c r="C47" s="14" t="s">
        <v>4146</v>
      </c>
      <c r="D47" s="29" t="s">
        <v>804</v>
      </c>
      <c r="E47" s="19" t="s">
        <v>4213</v>
      </c>
      <c r="F47" s="29" t="s">
        <v>457</v>
      </c>
      <c r="G47" s="19" t="s">
        <v>4235</v>
      </c>
      <c r="H47" s="29" t="s">
        <v>42</v>
      </c>
      <c r="I47" s="19" t="s">
        <v>4236</v>
      </c>
      <c r="J47" s="7" t="s">
        <v>123</v>
      </c>
      <c r="K47" s="7"/>
      <c r="L47" s="7" t="s">
        <v>387</v>
      </c>
      <c r="M47" s="7">
        <v>83026000</v>
      </c>
      <c r="N47" s="7">
        <v>500</v>
      </c>
      <c r="O47" s="7" t="s">
        <v>4150</v>
      </c>
      <c r="P47" s="7"/>
      <c r="R47" s="9">
        <v>641.81274310026424</v>
      </c>
      <c r="T47" s="7"/>
      <c r="U47" s="7" t="s">
        <v>34</v>
      </c>
    </row>
    <row r="48" spans="1:21" ht="14.1" customHeight="1">
      <c r="A48" s="7">
        <v>44</v>
      </c>
      <c r="B48" s="14" t="s">
        <v>4178</v>
      </c>
      <c r="C48" s="14" t="s">
        <v>4146</v>
      </c>
      <c r="D48" s="29" t="s">
        <v>804</v>
      </c>
      <c r="E48" s="19" t="s">
        <v>4213</v>
      </c>
      <c r="F48" s="29" t="s">
        <v>457</v>
      </c>
      <c r="G48" s="19" t="s">
        <v>4237</v>
      </c>
      <c r="H48" s="29" t="s">
        <v>4233</v>
      </c>
      <c r="I48" s="19" t="s">
        <v>4238</v>
      </c>
      <c r="J48" s="7" t="s">
        <v>123</v>
      </c>
      <c r="K48" s="7" t="s">
        <v>1426</v>
      </c>
      <c r="L48" s="7" t="s">
        <v>387</v>
      </c>
      <c r="M48" s="7">
        <v>83026000</v>
      </c>
      <c r="N48" s="7">
        <v>500</v>
      </c>
      <c r="O48" s="7" t="s">
        <v>4150</v>
      </c>
      <c r="P48" s="7"/>
      <c r="R48" s="9">
        <v>1132.6107231181129</v>
      </c>
      <c r="T48" s="7"/>
      <c r="U48" s="7" t="s">
        <v>34</v>
      </c>
    </row>
    <row r="49" spans="1:21" ht="14.1" customHeight="1">
      <c r="A49" s="7">
        <v>45</v>
      </c>
      <c r="B49" s="14" t="s">
        <v>4178</v>
      </c>
      <c r="C49" s="14" t="s">
        <v>4146</v>
      </c>
      <c r="D49" s="29" t="s">
        <v>804</v>
      </c>
      <c r="E49" s="19" t="s">
        <v>4213</v>
      </c>
      <c r="F49" s="29" t="s">
        <v>457</v>
      </c>
      <c r="G49" s="19" t="s">
        <v>4239</v>
      </c>
      <c r="H49" s="29" t="s">
        <v>42</v>
      </c>
      <c r="I49" s="19" t="s">
        <v>4240</v>
      </c>
      <c r="J49" s="7" t="s">
        <v>123</v>
      </c>
      <c r="K49" s="7"/>
      <c r="L49" s="7" t="s">
        <v>387</v>
      </c>
      <c r="M49" s="7">
        <v>83026000</v>
      </c>
      <c r="N49" s="7">
        <v>500</v>
      </c>
      <c r="O49" s="7" t="s">
        <v>4150</v>
      </c>
      <c r="P49" s="7"/>
      <c r="R49" s="9">
        <v>1170.3644138887171</v>
      </c>
      <c r="T49" s="7"/>
      <c r="U49" s="7" t="s">
        <v>34</v>
      </c>
    </row>
    <row r="50" spans="1:21" ht="14.1" customHeight="1">
      <c r="A50" s="7">
        <v>46</v>
      </c>
      <c r="B50" s="14" t="s">
        <v>4178</v>
      </c>
      <c r="C50" s="14" t="s">
        <v>4146</v>
      </c>
      <c r="D50" s="29" t="s">
        <v>804</v>
      </c>
      <c r="E50" s="19" t="s">
        <v>4213</v>
      </c>
      <c r="F50" s="29" t="s">
        <v>457</v>
      </c>
      <c r="G50" s="19" t="s">
        <v>4241</v>
      </c>
      <c r="H50" s="29" t="s">
        <v>42</v>
      </c>
      <c r="I50" s="19" t="s">
        <v>4242</v>
      </c>
      <c r="J50" s="7" t="s">
        <v>123</v>
      </c>
      <c r="K50" s="7"/>
      <c r="L50" s="7" t="s">
        <v>387</v>
      </c>
      <c r="M50" s="7">
        <v>83026000</v>
      </c>
      <c r="N50" s="7">
        <v>500</v>
      </c>
      <c r="O50" s="7" t="s">
        <v>4150</v>
      </c>
      <c r="P50" s="7"/>
      <c r="R50" s="9">
        <v>1434.6402492829429</v>
      </c>
      <c r="T50" s="7"/>
      <c r="U50" s="7" t="s">
        <v>34</v>
      </c>
    </row>
    <row r="51" spans="1:21" ht="14.1" customHeight="1">
      <c r="A51" s="7">
        <v>47</v>
      </c>
      <c r="B51" s="14" t="s">
        <v>4178</v>
      </c>
      <c r="C51" s="14" t="s">
        <v>4146</v>
      </c>
      <c r="D51" s="29" t="s">
        <v>611</v>
      </c>
      <c r="E51" s="19" t="s">
        <v>3462</v>
      </c>
      <c r="F51" s="29" t="s">
        <v>457</v>
      </c>
      <c r="G51" s="19" t="s">
        <v>4243</v>
      </c>
      <c r="H51" s="29" t="s">
        <v>518</v>
      </c>
      <c r="I51" s="19" t="s">
        <v>4244</v>
      </c>
      <c r="J51" s="7" t="s">
        <v>30</v>
      </c>
      <c r="K51" s="7" t="s">
        <v>520</v>
      </c>
      <c r="L51" s="7" t="s">
        <v>387</v>
      </c>
      <c r="M51" s="7">
        <v>83026000</v>
      </c>
      <c r="N51" s="7">
        <v>500</v>
      </c>
      <c r="O51" s="7" t="s">
        <v>4150</v>
      </c>
      <c r="P51" s="7"/>
      <c r="R51" s="9">
        <v>379.2358237907149</v>
      </c>
      <c r="T51" s="7"/>
      <c r="U51" s="7" t="s">
        <v>34</v>
      </c>
    </row>
    <row r="52" spans="1:21" ht="14.1" customHeight="1">
      <c r="A52" s="7">
        <v>48</v>
      </c>
      <c r="B52" s="14" t="s">
        <v>4178</v>
      </c>
      <c r="C52" s="14" t="s">
        <v>4146</v>
      </c>
      <c r="D52" s="29" t="s">
        <v>611</v>
      </c>
      <c r="E52" s="19" t="s">
        <v>3462</v>
      </c>
      <c r="F52" s="29" t="s">
        <v>457</v>
      </c>
      <c r="G52" s="19" t="s">
        <v>4245</v>
      </c>
      <c r="H52" s="29" t="s">
        <v>518</v>
      </c>
      <c r="I52" s="19" t="s">
        <v>4246</v>
      </c>
      <c r="J52" s="7" t="s">
        <v>30</v>
      </c>
      <c r="K52" s="7" t="s">
        <v>520</v>
      </c>
      <c r="L52" s="7" t="s">
        <v>387</v>
      </c>
      <c r="M52" s="7">
        <v>83026000</v>
      </c>
      <c r="N52" s="7">
        <v>500</v>
      </c>
      <c r="O52" s="7" t="s">
        <v>4150</v>
      </c>
      <c r="P52" s="7"/>
      <c r="R52" s="9">
        <v>415.29059847664149</v>
      </c>
      <c r="T52" s="7"/>
      <c r="U52" s="7" t="s">
        <v>34</v>
      </c>
    </row>
    <row r="53" spans="1:21" ht="14.1" customHeight="1">
      <c r="A53" s="7">
        <v>49</v>
      </c>
      <c r="B53" s="14" t="s">
        <v>4178</v>
      </c>
      <c r="C53" s="14" t="s">
        <v>4146</v>
      </c>
      <c r="D53" s="29" t="s">
        <v>611</v>
      </c>
      <c r="E53" s="19" t="s">
        <v>3462</v>
      </c>
      <c r="F53" s="29" t="s">
        <v>457</v>
      </c>
      <c r="G53" s="19" t="s">
        <v>4247</v>
      </c>
      <c r="H53" s="29" t="s">
        <v>518</v>
      </c>
      <c r="I53" s="19" t="s">
        <v>4248</v>
      </c>
      <c r="J53" s="7" t="s">
        <v>30</v>
      </c>
      <c r="K53" s="7" t="s">
        <v>520</v>
      </c>
      <c r="L53" s="7" t="s">
        <v>387</v>
      </c>
      <c r="M53" s="7">
        <v>83026000</v>
      </c>
      <c r="N53" s="7">
        <v>500</v>
      </c>
      <c r="O53" s="7" t="s">
        <v>4150</v>
      </c>
      <c r="P53" s="7"/>
      <c r="R53" s="9">
        <v>462.48271193989632</v>
      </c>
      <c r="T53" s="7"/>
      <c r="U53" s="7" t="s">
        <v>34</v>
      </c>
    </row>
    <row r="54" spans="1:21" ht="14.1" customHeight="1">
      <c r="A54" s="7">
        <v>50</v>
      </c>
      <c r="B54" s="14" t="s">
        <v>4178</v>
      </c>
      <c r="C54" s="14" t="s">
        <v>4146</v>
      </c>
      <c r="D54" s="29" t="s">
        <v>611</v>
      </c>
      <c r="E54" s="19" t="s">
        <v>3462</v>
      </c>
      <c r="F54" s="29" t="s">
        <v>457</v>
      </c>
      <c r="G54" s="19" t="s">
        <v>4249</v>
      </c>
      <c r="H54" s="29" t="s">
        <v>518</v>
      </c>
      <c r="I54" s="19" t="s">
        <v>4250</v>
      </c>
      <c r="J54" s="7" t="s">
        <v>30</v>
      </c>
      <c r="K54" s="7" t="s">
        <v>520</v>
      </c>
      <c r="L54" s="7" t="s">
        <v>387</v>
      </c>
      <c r="M54" s="7">
        <v>83026000</v>
      </c>
      <c r="N54" s="7">
        <v>500</v>
      </c>
      <c r="O54" s="7" t="s">
        <v>4150</v>
      </c>
      <c r="P54" s="7"/>
      <c r="R54" s="9">
        <v>500.23640271049999</v>
      </c>
      <c r="T54" s="7"/>
      <c r="U54" s="7" t="s">
        <v>34</v>
      </c>
    </row>
    <row r="55" spans="1:21" ht="14.1" customHeight="1">
      <c r="A55" s="7">
        <v>51</v>
      </c>
      <c r="B55" s="14" t="s">
        <v>4178</v>
      </c>
      <c r="C55" s="14" t="s">
        <v>4146</v>
      </c>
      <c r="D55" s="29" t="s">
        <v>611</v>
      </c>
      <c r="E55" s="19" t="s">
        <v>3462</v>
      </c>
      <c r="F55" s="29" t="s">
        <v>457</v>
      </c>
      <c r="G55" s="19" t="s">
        <v>4251</v>
      </c>
      <c r="H55" s="29" t="s">
        <v>518</v>
      </c>
      <c r="I55" s="19" t="s">
        <v>4252</v>
      </c>
      <c r="J55" s="7" t="s">
        <v>30</v>
      </c>
      <c r="K55" s="7" t="s">
        <v>520</v>
      </c>
      <c r="L55" s="7" t="s">
        <v>387</v>
      </c>
      <c r="M55" s="7">
        <v>83026000</v>
      </c>
      <c r="N55" s="7">
        <v>500</v>
      </c>
      <c r="O55" s="7" t="s">
        <v>4150</v>
      </c>
      <c r="P55" s="7"/>
      <c r="R55" s="9">
        <v>622.93589771496249</v>
      </c>
      <c r="T55" s="7"/>
      <c r="U55" s="7" t="s">
        <v>34</v>
      </c>
    </row>
    <row r="56" spans="1:21" ht="14.1" customHeight="1">
      <c r="A56" s="7">
        <v>52</v>
      </c>
      <c r="B56" s="14" t="s">
        <v>4178</v>
      </c>
      <c r="C56" s="14" t="s">
        <v>4146</v>
      </c>
      <c r="D56" s="29" t="s">
        <v>611</v>
      </c>
      <c r="E56" s="19" t="s">
        <v>3462</v>
      </c>
      <c r="F56" s="29" t="s">
        <v>457</v>
      </c>
      <c r="G56" s="19" t="s">
        <v>4253</v>
      </c>
      <c r="H56" s="29" t="s">
        <v>518</v>
      </c>
      <c r="I56" s="19" t="s">
        <v>4254</v>
      </c>
      <c r="J56" s="7" t="s">
        <v>30</v>
      </c>
      <c r="K56" s="7" t="s">
        <v>520</v>
      </c>
      <c r="L56" s="7" t="s">
        <v>387</v>
      </c>
      <c r="M56" s="7">
        <v>83026000</v>
      </c>
      <c r="N56" s="7">
        <v>500</v>
      </c>
      <c r="O56" s="7" t="s">
        <v>4150</v>
      </c>
      <c r="P56" s="7"/>
      <c r="R56" s="9">
        <v>56.630536155905673</v>
      </c>
      <c r="T56" s="7"/>
      <c r="U56" s="7" t="s">
        <v>34</v>
      </c>
    </row>
    <row r="57" spans="1:21" ht="14.1" customHeight="1">
      <c r="A57" s="7">
        <v>53</v>
      </c>
      <c r="B57" s="14" t="s">
        <v>4178</v>
      </c>
      <c r="C57" s="14" t="s">
        <v>4146</v>
      </c>
      <c r="D57" s="29" t="s">
        <v>804</v>
      </c>
      <c r="E57" s="19" t="s">
        <v>4213</v>
      </c>
      <c r="F57" s="29" t="s">
        <v>457</v>
      </c>
      <c r="G57" s="19" t="s">
        <v>4255</v>
      </c>
      <c r="H57" s="29" t="s">
        <v>4019</v>
      </c>
      <c r="I57" s="19" t="s">
        <v>4256</v>
      </c>
      <c r="J57" s="7" t="s">
        <v>30</v>
      </c>
      <c r="K57" s="29" t="s">
        <v>4019</v>
      </c>
      <c r="L57" s="7" t="s">
        <v>387</v>
      </c>
      <c r="M57" s="7">
        <v>83026000</v>
      </c>
      <c r="N57" s="7">
        <v>500</v>
      </c>
      <c r="O57" s="7" t="s">
        <v>4150</v>
      </c>
      <c r="P57" s="7"/>
      <c r="R57" s="9">
        <v>641.81274310026424</v>
      </c>
      <c r="T57" s="7"/>
      <c r="U57" s="7" t="s">
        <v>34</v>
      </c>
    </row>
    <row r="58" spans="1:21" ht="14.1" customHeight="1">
      <c r="A58" s="7">
        <v>54</v>
      </c>
      <c r="B58" s="14" t="s">
        <v>4178</v>
      </c>
      <c r="C58" s="14" t="s">
        <v>4146</v>
      </c>
      <c r="D58" s="29" t="s">
        <v>611</v>
      </c>
      <c r="E58" s="19" t="s">
        <v>3462</v>
      </c>
      <c r="F58" s="29" t="s">
        <v>457</v>
      </c>
      <c r="G58" s="19" t="s">
        <v>4257</v>
      </c>
      <c r="H58" s="29" t="s">
        <v>518</v>
      </c>
      <c r="I58" s="19" t="s">
        <v>4258</v>
      </c>
      <c r="J58" s="7" t="s">
        <v>30</v>
      </c>
      <c r="K58" s="7" t="s">
        <v>520</v>
      </c>
      <c r="L58" s="7" t="s">
        <v>387</v>
      </c>
      <c r="M58" s="7">
        <v>83026000</v>
      </c>
      <c r="N58" s="7">
        <v>500</v>
      </c>
      <c r="O58" s="7" t="s">
        <v>4150</v>
      </c>
      <c r="P58" s="7"/>
      <c r="R58" s="9">
        <v>283.15268077952828</v>
      </c>
      <c r="T58" s="7"/>
      <c r="U58" s="7" t="s">
        <v>34</v>
      </c>
    </row>
    <row r="59" spans="1:21" ht="14.1" customHeight="1">
      <c r="A59" s="7">
        <v>55</v>
      </c>
      <c r="B59" s="14" t="s">
        <v>4178</v>
      </c>
      <c r="C59" s="14" t="s">
        <v>4146</v>
      </c>
      <c r="D59" s="29" t="s">
        <v>611</v>
      </c>
      <c r="E59" s="19" t="s">
        <v>3462</v>
      </c>
      <c r="F59" s="29" t="s">
        <v>457</v>
      </c>
      <c r="G59" s="19" t="s">
        <v>4259</v>
      </c>
      <c r="H59" s="29" t="s">
        <v>518</v>
      </c>
      <c r="I59" s="19" t="s">
        <v>4260</v>
      </c>
      <c r="J59" s="7" t="s">
        <v>30</v>
      </c>
      <c r="K59" s="7" t="s">
        <v>520</v>
      </c>
      <c r="L59" s="7" t="s">
        <v>387</v>
      </c>
      <c r="M59" s="7">
        <v>83026000</v>
      </c>
      <c r="N59" s="7">
        <v>500</v>
      </c>
      <c r="O59" s="7" t="s">
        <v>4150</v>
      </c>
      <c r="P59" s="7"/>
      <c r="R59" s="9">
        <v>339.78321693543393</v>
      </c>
      <c r="T59" s="7"/>
      <c r="U59" s="7" t="s">
        <v>34</v>
      </c>
    </row>
    <row r="60" spans="1:21" ht="14.1" customHeight="1"/>
    <row r="61" spans="1:21" ht="14.1" customHeight="1"/>
    <row r="62" spans="1:21" ht="14.1" customHeight="1"/>
    <row r="63" spans="1:21" ht="14.1" customHeight="1"/>
    <row r="64" spans="1:21" ht="14.1" customHeight="1"/>
    <row r="65" ht="14.1" customHeight="1"/>
    <row r="66" ht="14.1" customHeight="1"/>
    <row r="67" ht="14.1" customHeight="1"/>
    <row r="68" ht="14.1" customHeight="1"/>
    <row r="69" ht="14.1" customHeight="1"/>
    <row r="70" ht="14.1" customHeight="1"/>
    <row r="71" ht="14.1" customHeight="1"/>
    <row r="72" ht="14.1" customHeight="1"/>
    <row r="73" ht="14.1" customHeight="1"/>
    <row r="74" ht="14.1" customHeight="1"/>
    <row r="75" ht="14.1" customHeight="1"/>
    <row r="76" ht="14.1" customHeight="1"/>
    <row r="77" ht="14.1" customHeight="1"/>
    <row r="78" ht="14.1" customHeight="1"/>
    <row r="79" ht="14.1" customHeight="1"/>
    <row r="80" ht="14.1" customHeight="1"/>
    <row r="81" ht="14.1" customHeight="1"/>
    <row r="82" ht="14.1" customHeight="1"/>
    <row r="83" ht="14.1" customHeight="1"/>
    <row r="84" ht="14.1" customHeight="1"/>
    <row r="85" ht="14.1" customHeight="1"/>
    <row r="86" ht="14.1" customHeight="1"/>
    <row r="87" ht="14.1" customHeight="1"/>
    <row r="88" ht="14.1" customHeight="1"/>
    <row r="89" ht="14.1" customHeight="1"/>
    <row r="90" ht="14.1" customHeight="1"/>
    <row r="91" ht="14.1" customHeight="1"/>
    <row r="92" ht="14.1" customHeight="1"/>
    <row r="93" ht="14.1" customHeight="1"/>
    <row r="94" ht="14.1" customHeight="1"/>
    <row r="95" ht="14.1" customHeight="1"/>
    <row r="96" ht="14.1" customHeight="1"/>
    <row r="97" ht="14.1" customHeight="1"/>
    <row r="98" ht="14.1" customHeight="1"/>
    <row r="99" ht="14.1" customHeight="1"/>
    <row r="100" ht="14.1" customHeight="1"/>
    <row r="101" ht="14.1" customHeight="1"/>
    <row r="102" ht="14.1" customHeight="1"/>
    <row r="103" ht="14.1" customHeight="1"/>
    <row r="104" ht="14.1" customHeight="1"/>
    <row r="105" ht="14.1" customHeight="1"/>
    <row r="106" ht="14.1" customHeight="1"/>
    <row r="107" ht="14.1" customHeight="1"/>
    <row r="108" ht="14.1" customHeight="1"/>
    <row r="109" ht="14.1" customHeight="1"/>
    <row r="110" ht="14.1" customHeight="1"/>
    <row r="111" ht="14.1" customHeight="1"/>
    <row r="112" ht="14.1" customHeight="1"/>
    <row r="113" ht="14.1" customHeight="1"/>
    <row r="114" ht="14.1" customHeight="1"/>
    <row r="115" ht="14.1" customHeight="1"/>
    <row r="116" ht="14.1" customHeight="1"/>
    <row r="117" ht="14.1" customHeight="1"/>
    <row r="118" ht="14.1" customHeight="1"/>
    <row r="119" ht="14.1" customHeight="1"/>
    <row r="120" ht="14.1" customHeight="1"/>
    <row r="121" ht="14.1" customHeight="1"/>
    <row r="122" ht="14.1" customHeight="1"/>
    <row r="123" ht="14.1" customHeight="1"/>
    <row r="124" ht="14.1" customHeight="1"/>
    <row r="125" ht="14.1" customHeight="1"/>
    <row r="126" ht="14.1" customHeight="1"/>
    <row r="127" ht="14.1" customHeight="1"/>
    <row r="128" ht="14.1" customHeight="1"/>
    <row r="129" ht="14.1" customHeight="1"/>
    <row r="130" ht="14.1" customHeight="1"/>
    <row r="131" ht="14.1" customHeight="1"/>
    <row r="132" ht="14.1" customHeight="1"/>
    <row r="133" ht="14.1" customHeight="1"/>
    <row r="134" ht="14.1" customHeight="1"/>
    <row r="135" ht="14.1" customHeight="1"/>
    <row r="136" ht="14.1" customHeight="1"/>
    <row r="137" ht="14.1" customHeight="1"/>
    <row r="138" ht="14.1" customHeight="1"/>
    <row r="139" ht="14.1" customHeight="1"/>
    <row r="140" ht="14.1" customHeight="1"/>
    <row r="141" ht="14.1" customHeight="1"/>
    <row r="142" ht="14.1" customHeight="1"/>
    <row r="143" ht="14.1" customHeight="1"/>
    <row r="144" ht="14.1" customHeight="1"/>
    <row r="145" ht="14.1" customHeight="1"/>
    <row r="146" ht="14.1" customHeight="1"/>
    <row r="147" ht="14.1" customHeight="1"/>
    <row r="148" ht="14.1" customHeight="1"/>
    <row r="149" ht="14.1" customHeight="1"/>
    <row r="150" ht="14.1" customHeight="1"/>
    <row r="151" ht="14.1" customHeight="1"/>
    <row r="152" ht="14.1" customHeight="1"/>
    <row r="153" ht="14.1" customHeight="1"/>
    <row r="154" ht="14.1" customHeight="1"/>
    <row r="155" ht="14.1" customHeight="1"/>
    <row r="156" ht="14.1" customHeight="1"/>
    <row r="157" ht="14.1" customHeight="1"/>
    <row r="158" ht="14.1" customHeight="1"/>
    <row r="159" ht="14.1" customHeight="1"/>
    <row r="160" ht="14.1" customHeight="1"/>
    <row r="161" ht="14.1" customHeight="1"/>
    <row r="162" ht="14.1" customHeight="1"/>
    <row r="163" ht="14.1" customHeight="1"/>
    <row r="164" ht="14.1" customHeight="1"/>
    <row r="165" ht="14.1" customHeight="1"/>
    <row r="166" ht="14.1" customHeight="1"/>
    <row r="167" ht="14.1" customHeight="1"/>
    <row r="168" ht="14.1" customHeight="1"/>
    <row r="169" ht="14.1" customHeight="1"/>
    <row r="170" ht="14.1" customHeight="1"/>
    <row r="171" ht="14.1" customHeight="1"/>
    <row r="172" ht="14.1" customHeight="1"/>
    <row r="173" ht="14.1" customHeight="1"/>
    <row r="174" ht="14.1" customHeight="1"/>
    <row r="175" ht="14.1" customHeight="1"/>
    <row r="176" ht="14.1" customHeight="1"/>
    <row r="177" ht="14.1" customHeight="1"/>
    <row r="178" ht="14.1" customHeight="1"/>
    <row r="179" ht="14.1" customHeight="1"/>
    <row r="180" ht="14.1" customHeight="1"/>
    <row r="181" ht="14.1" customHeight="1"/>
    <row r="182" ht="14.1" customHeight="1"/>
    <row r="183" ht="14.1" customHeight="1"/>
    <row r="184" ht="14.1" customHeight="1"/>
    <row r="185" ht="14.1" customHeight="1"/>
    <row r="186" ht="14.1" customHeight="1"/>
    <row r="187" ht="14.1" customHeight="1"/>
    <row r="188" ht="14.1" customHeight="1"/>
    <row r="189" ht="14.1" customHeight="1"/>
    <row r="190" ht="14.1" customHeight="1"/>
    <row r="191" ht="14.1" customHeight="1"/>
    <row r="192" ht="14.1" customHeight="1"/>
    <row r="193" ht="14.1" customHeight="1"/>
    <row r="194" ht="14.1" customHeight="1"/>
    <row r="195" ht="14.1" customHeight="1"/>
    <row r="196" ht="14.1" customHeight="1"/>
    <row r="197" ht="14.1" customHeight="1"/>
    <row r="198" ht="14.1" customHeight="1"/>
    <row r="199" ht="14.1" customHeight="1"/>
    <row r="200" ht="14.1" customHeight="1"/>
    <row r="201" ht="14.1" customHeight="1"/>
    <row r="202" ht="14.1" customHeight="1"/>
    <row r="203" ht="14.1" customHeight="1"/>
    <row r="204" ht="14.1" customHeight="1"/>
    <row r="205" ht="14.1" customHeight="1"/>
    <row r="206" ht="14.1" customHeight="1"/>
    <row r="207" ht="14.1" customHeight="1"/>
    <row r="208" ht="14.1" customHeight="1"/>
    <row r="209" ht="14.1" customHeight="1"/>
    <row r="210" ht="14.1" customHeight="1"/>
    <row r="211" ht="14.1" customHeight="1"/>
    <row r="212" ht="14.1" customHeight="1"/>
    <row r="213" ht="14.1" customHeight="1"/>
    <row r="214" ht="14.1" customHeight="1"/>
    <row r="215" ht="14.1" customHeight="1"/>
    <row r="216" ht="14.1" customHeight="1"/>
    <row r="217" ht="14.1" customHeight="1"/>
    <row r="218" ht="14.1" customHeight="1"/>
    <row r="219" ht="14.1" customHeight="1"/>
    <row r="220" ht="14.1" customHeight="1"/>
    <row r="221" ht="14.1" customHeight="1"/>
    <row r="222" ht="14.1" customHeight="1"/>
    <row r="223" ht="14.1" customHeight="1"/>
    <row r="224" ht="14.1" customHeight="1"/>
    <row r="225" ht="14.1" customHeight="1"/>
    <row r="226" ht="14.1" customHeight="1"/>
    <row r="227" ht="14.1" customHeight="1"/>
    <row r="228" ht="14.1" customHeight="1"/>
    <row r="229" ht="14.1" customHeight="1"/>
    <row r="230" ht="14.1" customHeight="1"/>
    <row r="231" ht="14.1" customHeight="1"/>
    <row r="232" ht="14.1" customHeight="1"/>
    <row r="233" ht="14.1" customHeight="1"/>
    <row r="234" ht="14.1" customHeight="1"/>
    <row r="235" ht="14.1" customHeight="1"/>
    <row r="236" ht="14.1" customHeight="1"/>
    <row r="237" ht="14.1" customHeight="1"/>
    <row r="238" ht="14.1" customHeight="1"/>
    <row r="239" ht="14.1" customHeight="1"/>
    <row r="240" ht="14.1" customHeight="1"/>
    <row r="241" ht="14.1" customHeight="1"/>
    <row r="242" ht="14.1" customHeight="1"/>
    <row r="243" ht="14.1" customHeight="1"/>
    <row r="244" ht="14.1" customHeight="1"/>
    <row r="245" ht="14.1" customHeight="1"/>
    <row r="246" ht="14.1" customHeight="1"/>
    <row r="247" ht="14.1" customHeight="1"/>
    <row r="248" ht="14.1" customHeight="1"/>
    <row r="249" ht="14.1" customHeight="1"/>
    <row r="250" ht="14.1" customHeight="1"/>
    <row r="251" ht="14.1" customHeight="1"/>
    <row r="252" ht="14.1" customHeight="1"/>
    <row r="253" ht="14.1" customHeight="1"/>
    <row r="254" ht="14.1" customHeight="1"/>
    <row r="255" ht="14.1" customHeight="1"/>
    <row r="256" ht="14.1" customHeight="1"/>
    <row r="257" ht="14.1" customHeight="1"/>
    <row r="258" ht="14.1" customHeight="1"/>
    <row r="259" ht="14.1" customHeight="1"/>
    <row r="260" ht="14.1" customHeight="1"/>
    <row r="261" ht="14.1" customHeight="1"/>
    <row r="262" ht="14.1" customHeight="1"/>
    <row r="263" ht="14.1" customHeight="1"/>
    <row r="264" ht="14.1" customHeight="1"/>
    <row r="265" ht="14.1" customHeight="1"/>
    <row r="266" ht="14.1" customHeight="1"/>
    <row r="267" ht="14.1" customHeight="1"/>
    <row r="268" ht="14.1" customHeight="1"/>
    <row r="269" ht="14.1" customHeight="1"/>
    <row r="270" ht="14.1" customHeight="1"/>
    <row r="271" ht="14.1" customHeight="1"/>
    <row r="272" ht="14.1" customHeight="1"/>
    <row r="273" ht="14.1" customHeight="1"/>
    <row r="274" ht="14.1" customHeight="1"/>
    <row r="275" ht="14.1" customHeight="1"/>
    <row r="276" ht="14.1" customHeight="1"/>
    <row r="277" ht="14.1" customHeight="1"/>
    <row r="278" ht="14.1" customHeight="1"/>
    <row r="279" ht="14.1" customHeight="1"/>
    <row r="280" ht="14.1" customHeight="1"/>
    <row r="281" ht="14.1" customHeight="1"/>
    <row r="282" ht="14.1" customHeight="1"/>
    <row r="283" ht="14.1" customHeight="1"/>
    <row r="284" ht="14.1" customHeight="1"/>
    <row r="285" ht="14.1" customHeight="1"/>
    <row r="286" ht="14.1" customHeight="1"/>
    <row r="287" ht="14.1" customHeight="1"/>
    <row r="288" ht="14.1" customHeight="1"/>
    <row r="289" ht="14.1" customHeight="1"/>
    <row r="290" ht="14.1" customHeight="1"/>
    <row r="291" ht="14.1" customHeight="1"/>
    <row r="292" ht="14.1" customHeight="1"/>
    <row r="293" ht="14.1" customHeight="1"/>
    <row r="294" ht="14.1" customHeight="1"/>
    <row r="295" ht="14.1" customHeight="1"/>
    <row r="296" ht="14.1" customHeight="1"/>
    <row r="297" ht="14.1" customHeight="1"/>
    <row r="298" ht="14.1" customHeight="1"/>
    <row r="299" ht="14.1" customHeight="1"/>
    <row r="300" ht="14.1" customHeight="1"/>
    <row r="301" ht="14.1" customHeight="1"/>
    <row r="302" ht="14.1" customHeight="1"/>
    <row r="303" ht="14.1" customHeight="1"/>
    <row r="304" ht="14.1" customHeight="1"/>
    <row r="305" ht="14.1" customHeight="1"/>
    <row r="306" ht="14.1" customHeight="1"/>
    <row r="307" ht="14.1" customHeight="1"/>
    <row r="308" ht="14.1" customHeight="1"/>
    <row r="309" ht="14.1" customHeight="1"/>
    <row r="310" ht="14.1" customHeight="1"/>
    <row r="311" ht="14.1" customHeight="1"/>
    <row r="312" ht="14.1" customHeight="1"/>
    <row r="313" ht="14.1" customHeight="1"/>
    <row r="314" ht="14.1" customHeight="1"/>
    <row r="315" ht="14.1" customHeight="1"/>
    <row r="316" ht="14.1" customHeight="1"/>
    <row r="317" ht="14.1" customHeight="1"/>
    <row r="318" ht="14.1" customHeight="1"/>
    <row r="319" ht="14.1" customHeight="1"/>
    <row r="320" ht="14.1" customHeight="1"/>
    <row r="321" ht="14.1" customHeight="1"/>
    <row r="322" ht="14.1" customHeight="1"/>
    <row r="323" ht="14.1" customHeight="1"/>
    <row r="324" ht="14.1" customHeight="1"/>
    <row r="325" ht="14.1" customHeight="1"/>
    <row r="326" ht="14.1" customHeight="1"/>
    <row r="327" ht="14.1" customHeight="1"/>
    <row r="328" ht="14.1" customHeight="1"/>
    <row r="329" ht="14.1" customHeight="1"/>
    <row r="330" ht="14.1" customHeight="1"/>
    <row r="331" ht="14.1" customHeight="1"/>
    <row r="332" ht="14.1" customHeight="1"/>
    <row r="333" ht="14.1" customHeight="1"/>
    <row r="334" ht="14.1" customHeight="1"/>
    <row r="335" ht="14.1" customHeight="1"/>
    <row r="336" ht="14.1" customHeight="1"/>
    <row r="337" ht="14.1" customHeight="1"/>
    <row r="338" ht="14.1" customHeight="1"/>
    <row r="339" ht="14.1" customHeight="1"/>
    <row r="340" ht="14.1" customHeight="1"/>
    <row r="341" ht="14.1" customHeight="1"/>
    <row r="342" ht="14.1" customHeight="1"/>
    <row r="343" ht="14.1" customHeight="1"/>
    <row r="344" ht="14.1" customHeight="1"/>
    <row r="345" ht="14.1" customHeight="1"/>
    <row r="346" ht="14.1" customHeight="1"/>
    <row r="347" ht="14.1" customHeight="1"/>
    <row r="348" ht="14.1" customHeight="1"/>
    <row r="349" ht="14.1" customHeight="1"/>
    <row r="350" ht="14.1" customHeight="1"/>
    <row r="351" ht="14.1" customHeight="1"/>
    <row r="352" ht="14.1" customHeight="1"/>
    <row r="353" ht="14.1" customHeight="1"/>
    <row r="354" ht="14.1" customHeight="1"/>
    <row r="355" ht="14.1" customHeight="1"/>
    <row r="356" ht="14.1" customHeight="1"/>
    <row r="357" ht="14.1" customHeight="1"/>
    <row r="358" ht="14.1" customHeight="1"/>
    <row r="359" ht="14.1" customHeight="1"/>
    <row r="360" ht="14.1" customHeight="1"/>
    <row r="361" ht="14.1" customHeight="1"/>
    <row r="362" ht="14.1" customHeight="1"/>
    <row r="363" ht="14.1" customHeight="1"/>
    <row r="364" ht="14.1" customHeight="1"/>
    <row r="365" ht="14.1" customHeight="1"/>
    <row r="366" ht="14.1" customHeight="1"/>
    <row r="367" ht="14.1" customHeight="1"/>
    <row r="368" ht="14.1" customHeight="1"/>
    <row r="369" ht="14.1" customHeight="1"/>
    <row r="370" ht="14.1" customHeight="1"/>
    <row r="371" ht="14.1" customHeight="1"/>
    <row r="372" ht="14.1" customHeight="1"/>
    <row r="373" ht="14.1" customHeight="1"/>
    <row r="374" ht="14.1" customHeight="1"/>
    <row r="375" ht="14.1" customHeight="1"/>
    <row r="376" ht="14.1" customHeight="1"/>
    <row r="377" ht="14.1" customHeight="1"/>
    <row r="378" ht="14.1" customHeight="1"/>
    <row r="379" ht="14.1" customHeight="1"/>
    <row r="380" ht="14.1" customHeight="1"/>
    <row r="381" ht="14.1" customHeight="1"/>
    <row r="382" ht="14.1" customHeight="1"/>
    <row r="383" ht="14.1" customHeight="1"/>
    <row r="384" ht="14.1" customHeight="1"/>
    <row r="385" ht="14.1" customHeight="1"/>
    <row r="386" ht="14.1" customHeight="1"/>
    <row r="387" ht="14.1" customHeight="1"/>
    <row r="388" ht="14.1" customHeight="1"/>
    <row r="389" ht="14.1" customHeight="1"/>
    <row r="390" ht="14.1" customHeight="1"/>
    <row r="391" ht="14.1" customHeight="1"/>
    <row r="392" ht="14.1" customHeight="1"/>
    <row r="393" ht="14.1" customHeight="1"/>
    <row r="394" ht="14.1" customHeight="1"/>
    <row r="395" ht="14.1" customHeight="1"/>
    <row r="396" ht="14.1" customHeight="1"/>
    <row r="397" ht="14.1" customHeight="1"/>
    <row r="398" ht="14.1" customHeight="1"/>
    <row r="399" ht="14.1" customHeight="1"/>
    <row r="400" ht="14.1" customHeight="1"/>
    <row r="401" ht="14.1" customHeight="1"/>
    <row r="402" ht="14.1" customHeight="1"/>
    <row r="403" ht="14.1" customHeight="1"/>
    <row r="404" ht="14.1" customHeight="1"/>
    <row r="405" ht="14.1" customHeight="1"/>
    <row r="406" ht="14.1" customHeight="1"/>
    <row r="407" ht="14.1" customHeight="1"/>
    <row r="408" ht="14.1" customHeight="1"/>
    <row r="409" ht="14.1" customHeight="1"/>
    <row r="410" ht="14.1" customHeight="1"/>
    <row r="411" ht="14.1" customHeight="1"/>
    <row r="412" ht="14.1" customHeight="1"/>
    <row r="413" ht="14.1" customHeight="1"/>
    <row r="414" ht="14.1" customHeight="1"/>
    <row r="415" ht="14.1" customHeight="1"/>
    <row r="416" ht="14.1" customHeight="1"/>
    <row r="417" ht="14.1" customHeight="1"/>
    <row r="418" ht="14.1" customHeight="1"/>
    <row r="419" ht="14.1" customHeight="1"/>
    <row r="420" ht="14.1" customHeight="1"/>
    <row r="421" ht="14.1" customHeight="1"/>
    <row r="422" ht="14.1" customHeight="1"/>
    <row r="423" ht="14.1" customHeight="1"/>
    <row r="424" ht="14.1" customHeight="1"/>
    <row r="425" ht="14.1" customHeight="1"/>
    <row r="426" ht="14.1" customHeight="1"/>
    <row r="427" ht="14.1" customHeight="1"/>
    <row r="428" ht="14.1" customHeight="1"/>
    <row r="429" ht="14.1" customHeight="1"/>
    <row r="430" ht="14.1" customHeight="1"/>
    <row r="431" ht="14.1" customHeight="1"/>
    <row r="432" ht="14.1" customHeight="1"/>
    <row r="433" ht="14.1" customHeight="1"/>
    <row r="434" ht="14.1" customHeight="1"/>
    <row r="435" ht="14.1" customHeight="1"/>
    <row r="436" ht="14.1" customHeight="1"/>
    <row r="437" ht="14.1" customHeight="1"/>
    <row r="438" ht="14.1" customHeight="1"/>
    <row r="439" ht="14.1" customHeight="1"/>
    <row r="440" ht="14.1" customHeight="1"/>
    <row r="441" ht="14.1" customHeight="1"/>
    <row r="442" ht="14.1" customHeight="1"/>
    <row r="443" ht="14.1" customHeight="1"/>
    <row r="444" ht="14.1" customHeight="1"/>
    <row r="445" ht="14.1" customHeight="1"/>
    <row r="446" ht="14.1" customHeight="1"/>
    <row r="447" ht="14.1" customHeight="1"/>
    <row r="448" ht="14.1" customHeight="1"/>
    <row r="449" ht="14.1" customHeight="1"/>
    <row r="450" ht="14.1" customHeight="1"/>
    <row r="451" ht="14.1" customHeight="1"/>
    <row r="452" ht="14.1" customHeight="1"/>
    <row r="453" ht="14.1" customHeight="1"/>
    <row r="454" ht="14.1" customHeight="1"/>
    <row r="455" ht="14.1" customHeight="1"/>
    <row r="456" ht="14.1" customHeight="1"/>
    <row r="457" ht="14.1" customHeight="1"/>
    <row r="458" ht="14.1" customHeight="1"/>
    <row r="459" ht="14.1" customHeight="1"/>
    <row r="460" ht="14.1" customHeight="1"/>
    <row r="461" ht="14.1" customHeight="1"/>
    <row r="462" ht="14.1" customHeight="1"/>
    <row r="463" ht="14.1" customHeight="1"/>
    <row r="464" ht="14.1" customHeight="1"/>
    <row r="465" ht="14.1" customHeight="1"/>
    <row r="466" ht="14.1" customHeight="1"/>
    <row r="467" ht="14.1" customHeight="1"/>
    <row r="468" ht="14.1" customHeight="1"/>
    <row r="469" ht="14.1" customHeight="1"/>
    <row r="470" ht="14.1" customHeight="1"/>
    <row r="471" ht="14.1" customHeight="1"/>
    <row r="472" ht="14.1" customHeight="1"/>
    <row r="473" ht="14.1" customHeight="1"/>
    <row r="474" ht="14.1" customHeight="1"/>
    <row r="475" ht="14.1" customHeight="1"/>
    <row r="476" ht="14.1" customHeight="1"/>
    <row r="477" ht="14.1" customHeight="1"/>
    <row r="478" ht="14.1" customHeight="1"/>
    <row r="479" ht="14.1" customHeight="1"/>
    <row r="480" ht="14.1" customHeight="1"/>
    <row r="481" ht="14.1" customHeight="1"/>
    <row r="482" ht="14.1" customHeight="1"/>
    <row r="483" ht="14.1" customHeight="1"/>
    <row r="484" ht="14.1" customHeight="1"/>
    <row r="485" ht="14.1" customHeight="1"/>
    <row r="486" ht="14.1" customHeight="1"/>
    <row r="487" ht="14.1" customHeight="1"/>
    <row r="488" ht="14.1" customHeight="1"/>
    <row r="489" ht="14.1" customHeight="1"/>
    <row r="490" ht="14.1" customHeight="1"/>
    <row r="491" ht="14.1" customHeight="1"/>
    <row r="492" ht="14.1" customHeight="1"/>
    <row r="493" ht="14.1" customHeight="1"/>
    <row r="494" ht="14.1" customHeight="1"/>
    <row r="495" ht="14.1" customHeight="1"/>
    <row r="496" ht="14.1" customHeight="1"/>
    <row r="497" ht="14.1" customHeight="1"/>
    <row r="498" ht="14.1" customHeight="1"/>
    <row r="499" ht="14.1" customHeight="1"/>
    <row r="500" ht="14.1" customHeight="1"/>
    <row r="501" ht="14.1" customHeight="1"/>
    <row r="502" ht="14.1" customHeight="1"/>
    <row r="503" ht="14.1" customHeight="1"/>
    <row r="504" ht="14.1" customHeight="1"/>
    <row r="505" ht="14.1" customHeight="1"/>
    <row r="506" ht="14.1" customHeight="1"/>
    <row r="507" ht="14.1" customHeight="1"/>
    <row r="508" ht="14.1" customHeight="1"/>
    <row r="509" ht="14.1" customHeight="1"/>
    <row r="510" ht="14.1" customHeight="1"/>
    <row r="511" ht="14.1" customHeight="1"/>
    <row r="512" ht="14.1" customHeight="1"/>
    <row r="513" ht="14.1" customHeight="1"/>
    <row r="514" ht="14.1" customHeight="1"/>
    <row r="515" ht="14.1" customHeight="1"/>
    <row r="516" ht="14.1" customHeight="1"/>
    <row r="517" ht="14.1" customHeight="1"/>
    <row r="518" ht="14.1" customHeight="1"/>
    <row r="519" ht="14.1" customHeight="1"/>
    <row r="520" ht="14.1" customHeight="1"/>
    <row r="521" ht="14.1" customHeight="1"/>
    <row r="522" ht="14.1" customHeight="1"/>
    <row r="523" ht="14.1" customHeight="1"/>
    <row r="524" ht="14.1" customHeight="1"/>
    <row r="525" ht="14.1" customHeight="1"/>
    <row r="526" ht="14.1" customHeight="1"/>
    <row r="527" ht="14.1" customHeight="1"/>
    <row r="528" ht="14.1" customHeight="1"/>
    <row r="529" ht="14.1" customHeight="1"/>
    <row r="530" ht="14.1" customHeight="1"/>
    <row r="531" ht="14.1" customHeight="1"/>
    <row r="532" ht="14.1" customHeight="1"/>
    <row r="533" ht="14.1" customHeight="1"/>
    <row r="534" ht="14.1" customHeight="1"/>
    <row r="535" ht="14.1" customHeight="1"/>
    <row r="536" ht="14.1" customHeight="1"/>
    <row r="537" ht="14.1" customHeight="1"/>
    <row r="538" ht="14.1" customHeight="1"/>
    <row r="539" ht="14.1" customHeight="1"/>
    <row r="540" ht="14.1" customHeight="1"/>
    <row r="541" ht="14.1" customHeight="1"/>
    <row r="542" ht="14.1" customHeight="1"/>
    <row r="543" ht="14.1" customHeight="1"/>
    <row r="544" ht="14.1" customHeight="1"/>
    <row r="545" ht="14.1" customHeight="1"/>
    <row r="546" ht="14.1" customHeight="1"/>
    <row r="547" ht="14.1" customHeight="1"/>
    <row r="548" ht="14.1" customHeight="1"/>
    <row r="549" ht="14.1" customHeight="1"/>
    <row r="550" ht="14.1" customHeight="1"/>
    <row r="551" ht="14.1" customHeight="1"/>
    <row r="552" ht="14.1" customHeight="1"/>
    <row r="553" ht="14.1" customHeight="1"/>
    <row r="554" ht="14.1" customHeight="1"/>
    <row r="555" ht="14.1" customHeight="1"/>
    <row r="556" ht="14.1" customHeight="1"/>
    <row r="557" ht="14.1" customHeight="1"/>
    <row r="558" ht="14.1" customHeight="1"/>
    <row r="559" ht="14.1" customHeight="1"/>
    <row r="560" ht="14.1" customHeight="1"/>
    <row r="561" ht="14.1" customHeight="1"/>
    <row r="562" ht="14.1" customHeight="1"/>
    <row r="563" ht="14.1" customHeight="1"/>
    <row r="564" ht="14.1" customHeight="1"/>
    <row r="565" ht="14.1" customHeight="1"/>
    <row r="566" ht="14.1" customHeight="1"/>
    <row r="567" ht="14.1" customHeight="1"/>
    <row r="568" ht="14.1" customHeight="1"/>
    <row r="569" ht="14.1" customHeight="1"/>
    <row r="570" ht="14.1" customHeight="1"/>
    <row r="571" ht="14.1" customHeight="1"/>
    <row r="572" ht="14.1" customHeight="1"/>
    <row r="573" ht="14.1" customHeight="1"/>
    <row r="574" ht="14.1" customHeight="1"/>
    <row r="575" ht="14.1" customHeight="1"/>
    <row r="576" ht="14.1" customHeight="1"/>
    <row r="577" ht="14.1" customHeight="1"/>
    <row r="578" ht="14.1" customHeight="1"/>
    <row r="579" ht="14.1" customHeight="1"/>
    <row r="580" ht="14.1" customHeight="1"/>
    <row r="581" ht="14.1" customHeight="1"/>
    <row r="582" ht="14.1" customHeight="1"/>
    <row r="583" ht="14.1" customHeight="1"/>
    <row r="584" ht="14.1" customHeight="1"/>
    <row r="585" ht="14.1" customHeight="1"/>
    <row r="586" ht="14.1" customHeight="1"/>
    <row r="587" ht="14.1" customHeight="1"/>
    <row r="588" ht="14.1" customHeight="1"/>
    <row r="589" ht="14.1" customHeight="1"/>
    <row r="590" ht="14.1" customHeight="1"/>
    <row r="591" ht="14.1" customHeight="1"/>
    <row r="592" ht="14.1" customHeight="1"/>
    <row r="593" ht="14.1" customHeight="1"/>
    <row r="594" ht="14.1" customHeight="1"/>
    <row r="595" ht="14.1" customHeight="1"/>
    <row r="596" ht="14.1" customHeight="1"/>
    <row r="597" ht="14.1" customHeight="1"/>
    <row r="598" ht="14.1" customHeight="1"/>
    <row r="599" ht="14.1" customHeight="1"/>
    <row r="600" ht="14.1" customHeight="1"/>
    <row r="601" ht="14.1" customHeight="1"/>
    <row r="602" ht="14.1" customHeight="1"/>
    <row r="603" ht="14.1" customHeight="1"/>
    <row r="604" ht="14.1" customHeight="1"/>
    <row r="605" ht="14.1" customHeight="1"/>
    <row r="606" ht="14.1" customHeight="1"/>
    <row r="607" ht="14.1" customHeight="1"/>
    <row r="608" ht="14.1" customHeight="1"/>
    <row r="609" ht="14.1" customHeight="1"/>
    <row r="610" ht="14.1" customHeight="1"/>
    <row r="611" ht="14.1" customHeight="1"/>
    <row r="612" ht="14.1" customHeight="1"/>
    <row r="613" ht="14.1" customHeight="1"/>
    <row r="614" ht="14.1" customHeight="1"/>
    <row r="615" ht="14.1" customHeight="1"/>
    <row r="616" ht="14.1" customHeight="1"/>
    <row r="617" ht="14.1" customHeight="1"/>
    <row r="618" ht="14.1" customHeight="1"/>
    <row r="619" ht="14.1" customHeight="1"/>
    <row r="620" ht="14.1" customHeight="1"/>
    <row r="621" ht="14.1" customHeight="1"/>
    <row r="622" ht="14.1" customHeight="1"/>
    <row r="623" ht="14.1" customHeight="1"/>
    <row r="624" ht="14.1" customHeight="1"/>
    <row r="625" ht="14.1" customHeight="1"/>
    <row r="626" ht="14.1" customHeight="1"/>
    <row r="627" ht="14.1" customHeight="1"/>
    <row r="628" ht="14.1" customHeight="1"/>
    <row r="629" ht="14.1" customHeight="1"/>
    <row r="630" ht="14.1" customHeight="1"/>
    <row r="631" ht="14.1" customHeight="1"/>
    <row r="632" ht="14.1" customHeight="1"/>
    <row r="633" ht="14.1" customHeight="1"/>
    <row r="634" ht="14.1" customHeight="1"/>
    <row r="635" ht="14.1" customHeight="1"/>
    <row r="636" ht="14.1" customHeight="1"/>
    <row r="637" ht="14.1" customHeight="1"/>
    <row r="638" ht="14.1" customHeight="1"/>
    <row r="639" ht="14.1" customHeight="1"/>
    <row r="640" ht="14.1" customHeight="1"/>
    <row r="641" ht="14.1" customHeight="1"/>
    <row r="642" ht="14.1" customHeight="1"/>
    <row r="643" ht="14.1" customHeight="1"/>
    <row r="644" ht="14.1" customHeight="1"/>
    <row r="645" ht="14.1" customHeight="1"/>
    <row r="646" ht="14.1" customHeight="1"/>
    <row r="647" ht="14.1" customHeight="1"/>
    <row r="648" ht="14.1" customHeight="1"/>
    <row r="649" ht="14.1" customHeight="1"/>
    <row r="650" ht="14.1" customHeight="1"/>
    <row r="651" ht="14.1" customHeight="1"/>
    <row r="652" ht="14.1" customHeight="1"/>
    <row r="653" ht="14.1" customHeight="1"/>
    <row r="654" ht="14.1" customHeight="1"/>
    <row r="655" ht="14.1" customHeight="1"/>
    <row r="656" ht="14.1" customHeight="1"/>
    <row r="657" ht="14.1" customHeight="1"/>
    <row r="658" ht="14.1" customHeight="1"/>
    <row r="659" ht="14.1" customHeight="1"/>
    <row r="660" ht="14.1" customHeight="1"/>
    <row r="661" ht="14.1" customHeight="1"/>
    <row r="662" ht="14.1" customHeight="1"/>
    <row r="663" ht="14.1" customHeight="1"/>
    <row r="664" ht="14.1" customHeight="1"/>
    <row r="665" ht="14.1" customHeight="1"/>
    <row r="666" ht="14.1" customHeight="1"/>
    <row r="667" ht="14.1" customHeight="1"/>
    <row r="668" ht="14.1" customHeight="1"/>
    <row r="669" ht="14.1" customHeight="1"/>
    <row r="670" ht="14.1" customHeight="1"/>
    <row r="671" ht="14.1" customHeight="1"/>
    <row r="672" ht="14.1" customHeight="1"/>
    <row r="673" ht="14.1" customHeight="1"/>
    <row r="674" ht="14.1" customHeight="1"/>
    <row r="675" ht="14.1" customHeight="1"/>
    <row r="676" ht="14.1" customHeight="1"/>
    <row r="677" ht="14.1" customHeight="1"/>
    <row r="678" ht="14.1" customHeight="1"/>
    <row r="679" ht="14.1" customHeight="1"/>
    <row r="680" ht="14.1" customHeight="1"/>
    <row r="681" ht="14.1" customHeight="1"/>
    <row r="682" ht="14.1" customHeight="1"/>
    <row r="683" ht="14.1" customHeight="1"/>
    <row r="684" ht="14.1" customHeight="1"/>
    <row r="685" ht="14.1" customHeight="1"/>
    <row r="686" ht="14.1" customHeight="1"/>
    <row r="687" ht="14.1" customHeight="1"/>
    <row r="688" ht="14.1" customHeight="1"/>
    <row r="689" ht="14.1" customHeight="1"/>
    <row r="690" ht="14.1" customHeight="1"/>
    <row r="691" ht="14.1" customHeight="1"/>
    <row r="692" ht="14.1" customHeight="1"/>
    <row r="693" ht="14.1" customHeight="1"/>
    <row r="694" ht="14.1" customHeight="1"/>
    <row r="695" ht="14.1" customHeight="1"/>
    <row r="696" ht="14.1" customHeight="1"/>
    <row r="697" ht="14.1" customHeight="1"/>
    <row r="698" ht="14.1" customHeight="1"/>
    <row r="699" ht="14.1" customHeight="1"/>
    <row r="700" ht="14.1" customHeight="1"/>
    <row r="701" ht="14.1" customHeight="1"/>
    <row r="702" ht="14.1" customHeight="1"/>
    <row r="703" ht="14.1" customHeight="1"/>
    <row r="704" ht="14.1" customHeight="1"/>
    <row r="705" ht="14.1" customHeight="1"/>
    <row r="706" ht="14.1" customHeight="1"/>
    <row r="707" ht="14.1" customHeight="1"/>
    <row r="708" ht="14.1" customHeight="1"/>
    <row r="709" ht="14.1" customHeight="1"/>
    <row r="710" ht="14.1" customHeight="1"/>
    <row r="711" ht="14.1" customHeight="1"/>
    <row r="712" ht="14.1" customHeight="1"/>
    <row r="713" ht="14.1" customHeight="1"/>
    <row r="714" ht="14.1" customHeight="1"/>
    <row r="715" ht="14.1" customHeight="1"/>
    <row r="716" ht="14.1" customHeight="1"/>
    <row r="717" ht="14.1" customHeight="1"/>
    <row r="718" ht="14.1" customHeight="1"/>
    <row r="719" ht="14.1" customHeight="1"/>
    <row r="720" ht="14.1" customHeight="1"/>
    <row r="721" ht="14.1" customHeight="1"/>
    <row r="722" ht="14.1" customHeight="1"/>
    <row r="723" ht="14.1" customHeight="1"/>
    <row r="724" ht="14.1" customHeight="1"/>
    <row r="725" ht="14.1" customHeight="1"/>
    <row r="726" ht="14.1" customHeight="1"/>
    <row r="727" ht="14.1" customHeight="1"/>
    <row r="728" ht="14.1" customHeight="1"/>
    <row r="729" ht="14.1" customHeight="1"/>
    <row r="730" ht="14.1" customHeight="1"/>
    <row r="731" ht="14.1" customHeight="1"/>
    <row r="732" ht="14.1" customHeight="1"/>
    <row r="733" ht="14.1" customHeight="1"/>
    <row r="734" ht="14.1" customHeight="1"/>
    <row r="735" ht="14.1" customHeight="1"/>
    <row r="736" ht="14.1" customHeight="1"/>
    <row r="737" ht="14.1" customHeight="1"/>
    <row r="738" ht="14.1" customHeight="1"/>
    <row r="739" ht="14.1" customHeight="1"/>
    <row r="740" ht="14.1" customHeight="1"/>
    <row r="741" ht="14.1" customHeight="1"/>
    <row r="742" ht="14.1" customHeight="1"/>
    <row r="743" ht="14.1" customHeight="1"/>
    <row r="744" ht="14.1" customHeight="1"/>
    <row r="745" ht="14.1" customHeight="1"/>
    <row r="746" ht="14.1" customHeight="1"/>
    <row r="747" ht="14.1" customHeight="1"/>
    <row r="748" ht="14.1" customHeight="1"/>
    <row r="749" ht="14.1" customHeight="1"/>
    <row r="750" ht="14.1" customHeight="1"/>
    <row r="751" ht="14.1" customHeight="1"/>
    <row r="752" ht="14.1" customHeight="1"/>
    <row r="753" ht="14.1" customHeight="1"/>
    <row r="754" ht="14.1" customHeight="1"/>
    <row r="755" ht="14.1" customHeight="1"/>
    <row r="756" ht="14.1" customHeight="1"/>
    <row r="757" ht="14.1" customHeight="1"/>
    <row r="758" ht="14.1" customHeight="1"/>
    <row r="759" ht="14.1" customHeight="1"/>
    <row r="760" ht="14.1" customHeight="1"/>
    <row r="761" ht="14.1" customHeight="1"/>
    <row r="762" ht="14.1" customHeight="1"/>
    <row r="763" ht="14.1" customHeight="1"/>
    <row r="764" ht="14.1" customHeight="1"/>
    <row r="765" ht="14.1" customHeight="1"/>
    <row r="766" ht="14.1" customHeight="1"/>
    <row r="767" ht="14.1" customHeight="1"/>
    <row r="768" ht="14.1" customHeight="1"/>
    <row r="769" ht="14.1" customHeight="1"/>
    <row r="770" ht="14.1" customHeight="1"/>
    <row r="771" ht="14.1" customHeight="1"/>
    <row r="772" ht="14.1" customHeight="1"/>
    <row r="773" ht="14.1" customHeight="1"/>
    <row r="774" ht="14.1" customHeight="1"/>
    <row r="775" ht="14.1" customHeight="1"/>
    <row r="776" ht="14.1" customHeight="1"/>
    <row r="777" ht="14.1" customHeight="1"/>
    <row r="778" ht="14.1" customHeight="1"/>
    <row r="779" ht="14.1" customHeight="1"/>
    <row r="780" ht="14.1" customHeight="1"/>
    <row r="781" ht="14.1" customHeight="1"/>
    <row r="782" ht="14.1" customHeight="1"/>
    <row r="783" ht="14.1" customHeight="1"/>
    <row r="784" ht="14.1" customHeight="1"/>
    <row r="785" ht="14.1" customHeight="1"/>
    <row r="786" ht="14.1" customHeight="1"/>
    <row r="787" ht="14.1" customHeight="1"/>
    <row r="788" ht="14.1" customHeight="1"/>
    <row r="789" ht="14.1" customHeight="1"/>
    <row r="790" ht="14.1" customHeight="1"/>
    <row r="791" ht="14.1" customHeight="1"/>
    <row r="792" ht="14.1" customHeight="1"/>
    <row r="793" ht="14.1" customHeight="1"/>
  </sheetData>
  <pageMargins left="0.61" right="0.16" top="0.87" bottom="0.21" header="0.16" footer="0.16"/>
  <pageSetup paperSize="8" scale="51" orientation="portrait"/>
  <headerFooter alignWithMargins="0">
    <oddFooter>&amp;L_x000D_&amp;1#&amp;"Arial"&amp;7&amp;KDAD4CE Public&amp;C&amp;"Verdana"&amp;10 &amp;KC1C1C1_x000D_# Restricted</oddFooter>
  </headerFooter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D00-000000000000}">
  <sheetPr codeName="Sheet39">
    <tabColor rgb="FF0070C0"/>
  </sheetPr>
  <dimension ref="A1:U793"/>
  <sheetViews>
    <sheetView zoomScale="80" zoomScaleNormal="80" workbookViewId="0">
      <selection activeCell="A16" sqref="A16"/>
    </sheetView>
  </sheetViews>
  <sheetFormatPr defaultColWidth="8.85546875" defaultRowHeight="15"/>
  <cols>
    <col min="1" max="1" width="4.140625" style="43" customWidth="1"/>
    <col min="2" max="3" width="8.5703125" style="22" customWidth="1"/>
    <col min="4" max="4" width="14.5703125" style="43" customWidth="1"/>
    <col min="5" max="5" width="20.5703125" style="22" customWidth="1"/>
    <col min="6" max="6" width="8.5703125" style="43" customWidth="1"/>
    <col min="7" max="7" width="32.5703125" style="22" customWidth="1"/>
    <col min="8" max="8" width="18.5703125" style="43" customWidth="1"/>
    <col min="9" max="9" width="62.5703125" style="22" customWidth="1"/>
    <col min="10" max="12" width="9.5703125" style="43" customWidth="1"/>
    <col min="13" max="13" width="10.5703125" style="43" customWidth="1"/>
    <col min="14" max="14" width="8.5703125" style="43" customWidth="1"/>
    <col min="15" max="15" width="10.5703125" style="43" customWidth="1"/>
    <col min="16" max="16" width="5.5703125" style="43" customWidth="1"/>
    <col min="17" max="17" width="1.5703125" style="22" customWidth="1"/>
    <col min="18" max="18" width="10.5703125" style="68" customWidth="1"/>
    <col min="19" max="19" width="1.5703125" style="22" customWidth="1"/>
    <col min="20" max="20" width="10.5703125" style="22" customWidth="1"/>
    <col min="21" max="21" width="10.5703125" style="43" customWidth="1"/>
    <col min="22" max="22" width="8.85546875" style="71" customWidth="1"/>
    <col min="23" max="16384" width="8.85546875" style="71"/>
  </cols>
  <sheetData>
    <row r="1" spans="1:21" s="2" customFormat="1" ht="14.1" customHeight="1">
      <c r="A1" s="1" t="s">
        <v>4261</v>
      </c>
      <c r="E1" s="20"/>
      <c r="R1" s="10"/>
    </row>
    <row r="2" spans="1:21" s="2" customFormat="1" ht="14.1" customHeight="1">
      <c r="A2" s="4" t="s">
        <v>4262</v>
      </c>
      <c r="E2" s="20"/>
      <c r="H2" s="4"/>
      <c r="K2" s="4"/>
      <c r="R2" s="336"/>
    </row>
    <row r="3" spans="1:21" s="6" customFormat="1" ht="14.1" customHeight="1">
      <c r="A3" s="3"/>
      <c r="B3" s="16"/>
      <c r="C3" s="16"/>
      <c r="D3" s="23"/>
      <c r="E3" s="16"/>
      <c r="F3" s="23"/>
      <c r="G3" s="15"/>
      <c r="H3" s="25"/>
      <c r="I3" s="15"/>
      <c r="J3" s="25"/>
      <c r="K3" s="25"/>
      <c r="L3" s="25"/>
      <c r="M3" s="25"/>
      <c r="N3" s="25"/>
      <c r="O3" s="25"/>
      <c r="P3" s="25"/>
      <c r="Q3" s="2"/>
      <c r="R3" s="355" t="s">
        <v>2</v>
      </c>
      <c r="S3" s="2"/>
      <c r="T3" s="25"/>
      <c r="U3" s="25"/>
    </row>
    <row r="4" spans="1:21" s="5" customFormat="1" ht="33" customHeight="1">
      <c r="A4" s="21" t="s">
        <v>3</v>
      </c>
      <c r="B4" s="52" t="s">
        <v>4</v>
      </c>
      <c r="C4" s="52" t="s">
        <v>5</v>
      </c>
      <c r="D4" s="21" t="s">
        <v>6</v>
      </c>
      <c r="E4" s="21" t="s">
        <v>7</v>
      </c>
      <c r="F4" s="21" t="s">
        <v>8</v>
      </c>
      <c r="G4" s="21" t="s">
        <v>9</v>
      </c>
      <c r="H4" s="21" t="s">
        <v>10</v>
      </c>
      <c r="I4" s="21" t="s">
        <v>11</v>
      </c>
      <c r="J4" s="21" t="s">
        <v>12</v>
      </c>
      <c r="K4" s="21" t="s">
        <v>13</v>
      </c>
      <c r="L4" s="21" t="s">
        <v>455</v>
      </c>
      <c r="M4" s="21" t="s">
        <v>15</v>
      </c>
      <c r="N4" s="21" t="s">
        <v>16</v>
      </c>
      <c r="O4" s="21" t="s">
        <v>17</v>
      </c>
      <c r="P4" s="21" t="s">
        <v>18</v>
      </c>
      <c r="Q4" s="3"/>
      <c r="R4" s="41" t="s">
        <v>19</v>
      </c>
      <c r="S4" s="3"/>
      <c r="T4" s="42" t="s">
        <v>20</v>
      </c>
      <c r="U4" s="42" t="s">
        <v>21</v>
      </c>
    </row>
    <row r="5" spans="1:21" ht="14.1" customHeight="1">
      <c r="A5" s="29">
        <v>1</v>
      </c>
      <c r="B5" s="19" t="s">
        <v>456</v>
      </c>
      <c r="C5" s="19" t="s">
        <v>388</v>
      </c>
      <c r="D5" s="29" t="s">
        <v>35</v>
      </c>
      <c r="E5" s="19" t="s">
        <v>4263</v>
      </c>
      <c r="F5" s="29" t="s">
        <v>457</v>
      </c>
      <c r="G5" s="19" t="s">
        <v>4264</v>
      </c>
      <c r="H5" s="29" t="s">
        <v>4019</v>
      </c>
      <c r="I5" s="19" t="s">
        <v>4265</v>
      </c>
      <c r="J5" s="29" t="s">
        <v>30</v>
      </c>
      <c r="K5" s="29" t="s">
        <v>4019</v>
      </c>
      <c r="L5" s="29" t="s">
        <v>322</v>
      </c>
      <c r="M5" s="29">
        <v>830140</v>
      </c>
      <c r="N5" s="29">
        <v>1200</v>
      </c>
      <c r="O5" s="29" t="s">
        <v>4266</v>
      </c>
      <c r="P5" s="29"/>
      <c r="R5" s="9">
        <v>57.951915332876801</v>
      </c>
      <c r="T5" s="19"/>
      <c r="U5" s="29" t="s">
        <v>34</v>
      </c>
    </row>
    <row r="6" spans="1:21" ht="14.1" customHeight="1">
      <c r="A6" s="29">
        <v>2</v>
      </c>
      <c r="B6" s="19" t="s">
        <v>456</v>
      </c>
      <c r="C6" s="19" t="s">
        <v>388</v>
      </c>
      <c r="D6" s="29" t="s">
        <v>260</v>
      </c>
      <c r="E6" s="19" t="s">
        <v>827</v>
      </c>
      <c r="F6" s="29" t="s">
        <v>457</v>
      </c>
      <c r="G6" s="19" t="s">
        <v>4267</v>
      </c>
      <c r="H6" s="29" t="s">
        <v>4019</v>
      </c>
      <c r="I6" s="19" t="s">
        <v>4268</v>
      </c>
      <c r="J6" s="29" t="s">
        <v>30</v>
      </c>
      <c r="K6" s="29" t="s">
        <v>4019</v>
      </c>
      <c r="L6" s="29" t="s">
        <v>322</v>
      </c>
      <c r="M6" s="29">
        <v>830241</v>
      </c>
      <c r="N6" s="29">
        <v>300</v>
      </c>
      <c r="O6" s="29" t="s">
        <v>4266</v>
      </c>
      <c r="P6" s="29"/>
      <c r="R6" s="9">
        <v>68.90048565635189</v>
      </c>
      <c r="T6" s="19"/>
      <c r="U6" s="29" t="s">
        <v>34</v>
      </c>
    </row>
    <row r="7" spans="1:21" ht="14.1" customHeight="1">
      <c r="A7" s="29">
        <v>3</v>
      </c>
      <c r="B7" s="19" t="s">
        <v>456</v>
      </c>
      <c r="C7" s="19" t="s">
        <v>388</v>
      </c>
      <c r="D7" s="29" t="s">
        <v>260</v>
      </c>
      <c r="E7" s="19" t="s">
        <v>827</v>
      </c>
      <c r="F7" s="29" t="s">
        <v>457</v>
      </c>
      <c r="G7" s="19" t="s">
        <v>4269</v>
      </c>
      <c r="H7" s="29" t="s">
        <v>4270</v>
      </c>
      <c r="I7" s="19" t="s">
        <v>4271</v>
      </c>
      <c r="J7" s="29" t="s">
        <v>30</v>
      </c>
      <c r="K7" s="29" t="s">
        <v>4019</v>
      </c>
      <c r="L7" s="29" t="s">
        <v>322</v>
      </c>
      <c r="M7" s="29">
        <v>830241</v>
      </c>
      <c r="N7" s="29">
        <v>300</v>
      </c>
      <c r="O7" s="29" t="s">
        <v>4266</v>
      </c>
      <c r="P7" s="29"/>
      <c r="R7" s="9">
        <v>43.794281293900383</v>
      </c>
      <c r="T7" s="19"/>
      <c r="U7" s="29" t="s">
        <v>34</v>
      </c>
    </row>
    <row r="8" spans="1:21" ht="14.1" customHeight="1">
      <c r="A8" s="29">
        <v>4</v>
      </c>
      <c r="B8" s="19" t="s">
        <v>456</v>
      </c>
      <c r="C8" s="19" t="s">
        <v>388</v>
      </c>
      <c r="D8" s="29" t="s">
        <v>260</v>
      </c>
      <c r="E8" s="19" t="s">
        <v>827</v>
      </c>
      <c r="F8" s="29" t="s">
        <v>457</v>
      </c>
      <c r="G8" s="19" t="s">
        <v>4272</v>
      </c>
      <c r="H8" s="29" t="s">
        <v>4019</v>
      </c>
      <c r="I8" s="19" t="s">
        <v>4273</v>
      </c>
      <c r="J8" s="29" t="s">
        <v>30</v>
      </c>
      <c r="K8" s="29" t="s">
        <v>4019</v>
      </c>
      <c r="L8" s="29" t="s">
        <v>322</v>
      </c>
      <c r="M8" s="29">
        <v>830241</v>
      </c>
      <c r="N8" s="29">
        <v>300</v>
      </c>
      <c r="O8" s="29" t="s">
        <v>4266</v>
      </c>
      <c r="P8" s="29"/>
      <c r="R8" s="9">
        <v>61.349747502231132</v>
      </c>
      <c r="T8" s="19"/>
      <c r="U8" s="29" t="s">
        <v>34</v>
      </c>
    </row>
    <row r="9" spans="1:21" ht="14.1" customHeight="1">
      <c r="A9" s="29">
        <v>5</v>
      </c>
      <c r="B9" s="19" t="s">
        <v>456</v>
      </c>
      <c r="C9" s="19" t="s">
        <v>388</v>
      </c>
      <c r="D9" s="29" t="s">
        <v>260</v>
      </c>
      <c r="E9" s="19" t="s">
        <v>827</v>
      </c>
      <c r="F9" s="29" t="s">
        <v>457</v>
      </c>
      <c r="G9" s="19" t="s">
        <v>4274</v>
      </c>
      <c r="H9" s="29" t="s">
        <v>4019</v>
      </c>
      <c r="I9" s="19" t="s">
        <v>4275</v>
      </c>
      <c r="J9" s="29" t="s">
        <v>30</v>
      </c>
      <c r="K9" s="29" t="s">
        <v>4019</v>
      </c>
      <c r="L9" s="29" t="s">
        <v>322</v>
      </c>
      <c r="M9" s="29">
        <v>830241</v>
      </c>
      <c r="N9" s="29">
        <v>300</v>
      </c>
      <c r="O9" s="29" t="s">
        <v>4266</v>
      </c>
      <c r="P9" s="29"/>
      <c r="R9" s="9">
        <v>23.784825185480379</v>
      </c>
      <c r="T9" s="19"/>
      <c r="U9" s="29" t="s">
        <v>34</v>
      </c>
    </row>
    <row r="10" spans="1:21" ht="14.1" customHeight="1">
      <c r="A10" s="29">
        <v>6</v>
      </c>
      <c r="B10" s="19" t="s">
        <v>456</v>
      </c>
      <c r="C10" s="19" t="s">
        <v>388</v>
      </c>
      <c r="D10" s="29" t="s">
        <v>260</v>
      </c>
      <c r="E10" s="19" t="s">
        <v>827</v>
      </c>
      <c r="F10" s="29" t="s">
        <v>457</v>
      </c>
      <c r="G10" s="19" t="s">
        <v>4276</v>
      </c>
      <c r="H10" s="29" t="s">
        <v>4019</v>
      </c>
      <c r="I10" s="19" t="s">
        <v>4277</v>
      </c>
      <c r="J10" s="29" t="s">
        <v>30</v>
      </c>
      <c r="K10" s="29" t="s">
        <v>4019</v>
      </c>
      <c r="L10" s="29" t="s">
        <v>322</v>
      </c>
      <c r="M10" s="29">
        <v>830241</v>
      </c>
      <c r="N10" s="29">
        <v>300</v>
      </c>
      <c r="O10" s="29" t="s">
        <v>4266</v>
      </c>
      <c r="P10" s="29"/>
      <c r="R10" s="9">
        <v>23.21851982392133</v>
      </c>
      <c r="T10" s="19"/>
      <c r="U10" s="29" t="s">
        <v>34</v>
      </c>
    </row>
    <row r="11" spans="1:21" ht="14.1" customHeight="1">
      <c r="A11" s="29">
        <v>7</v>
      </c>
      <c r="B11" s="19" t="s">
        <v>456</v>
      </c>
      <c r="C11" s="19" t="s">
        <v>388</v>
      </c>
      <c r="D11" s="29" t="s">
        <v>260</v>
      </c>
      <c r="E11" s="19" t="s">
        <v>827</v>
      </c>
      <c r="F11" s="29" t="s">
        <v>457</v>
      </c>
      <c r="G11" s="19" t="s">
        <v>4278</v>
      </c>
      <c r="H11" s="29" t="s">
        <v>4019</v>
      </c>
      <c r="I11" s="19" t="s">
        <v>4279</v>
      </c>
      <c r="J11" s="29" t="s">
        <v>30</v>
      </c>
      <c r="K11" s="29" t="s">
        <v>4019</v>
      </c>
      <c r="L11" s="29" t="s">
        <v>322</v>
      </c>
      <c r="M11" s="29">
        <v>830241</v>
      </c>
      <c r="N11" s="29">
        <v>300</v>
      </c>
      <c r="O11" s="29" t="s">
        <v>4266</v>
      </c>
      <c r="P11" s="29"/>
      <c r="R11" s="9">
        <v>3.7753690770603781</v>
      </c>
      <c r="T11" s="19"/>
      <c r="U11" s="29" t="s">
        <v>34</v>
      </c>
    </row>
    <row r="12" spans="1:21" ht="14.1" customHeight="1">
      <c r="A12" s="29">
        <v>8</v>
      </c>
      <c r="B12" s="19" t="s">
        <v>456</v>
      </c>
      <c r="C12" s="19" t="s">
        <v>388</v>
      </c>
      <c r="D12" s="29" t="s">
        <v>39</v>
      </c>
      <c r="E12" s="19" t="s">
        <v>3703</v>
      </c>
      <c r="F12" s="29" t="s">
        <v>457</v>
      </c>
      <c r="G12" s="19" t="s">
        <v>4280</v>
      </c>
      <c r="H12" s="29" t="s">
        <v>4019</v>
      </c>
      <c r="I12" s="19" t="s">
        <v>4281</v>
      </c>
      <c r="J12" s="29" t="s">
        <v>30</v>
      </c>
      <c r="K12" s="29" t="s">
        <v>4019</v>
      </c>
      <c r="L12" s="29" t="s">
        <v>322</v>
      </c>
      <c r="M12" s="29">
        <v>830241</v>
      </c>
      <c r="N12" s="29">
        <v>300</v>
      </c>
      <c r="O12" s="29" t="s">
        <v>4266</v>
      </c>
      <c r="P12" s="29"/>
      <c r="R12" s="9">
        <v>23.59605673162736</v>
      </c>
      <c r="T12" s="19"/>
      <c r="U12" s="29" t="s">
        <v>34</v>
      </c>
    </row>
    <row r="13" spans="1:21" ht="14.1" customHeight="1">
      <c r="A13" s="29">
        <v>9</v>
      </c>
      <c r="B13" s="19" t="s">
        <v>456</v>
      </c>
      <c r="C13" s="19" t="s">
        <v>388</v>
      </c>
      <c r="D13" s="29" t="s">
        <v>260</v>
      </c>
      <c r="E13" s="19" t="s">
        <v>827</v>
      </c>
      <c r="F13" s="29" t="s">
        <v>457</v>
      </c>
      <c r="G13" s="19" t="s">
        <v>4282</v>
      </c>
      <c r="H13" s="29" t="s">
        <v>4019</v>
      </c>
      <c r="I13" s="19" t="s">
        <v>4283</v>
      </c>
      <c r="J13" s="29" t="s">
        <v>30</v>
      </c>
      <c r="K13" s="29" t="s">
        <v>4019</v>
      </c>
      <c r="L13" s="29" t="s">
        <v>322</v>
      </c>
      <c r="M13" s="29">
        <v>830241</v>
      </c>
      <c r="N13" s="29">
        <v>300</v>
      </c>
      <c r="O13" s="29" t="s">
        <v>4266</v>
      </c>
      <c r="P13" s="29"/>
      <c r="R13" s="9">
        <v>24.16236209318642</v>
      </c>
      <c r="T13" s="19"/>
      <c r="U13" s="29" t="s">
        <v>34</v>
      </c>
    </row>
    <row r="14" spans="1:21" ht="14.1" customHeight="1">
      <c r="A14" s="29">
        <v>10</v>
      </c>
      <c r="B14" s="19" t="s">
        <v>456</v>
      </c>
      <c r="C14" s="19" t="s">
        <v>388</v>
      </c>
      <c r="D14" s="29" t="s">
        <v>260</v>
      </c>
      <c r="E14" s="19" t="s">
        <v>827</v>
      </c>
      <c r="F14" s="29" t="s">
        <v>457</v>
      </c>
      <c r="G14" s="19" t="s">
        <v>4284</v>
      </c>
      <c r="H14" s="29" t="s">
        <v>4019</v>
      </c>
      <c r="I14" s="19" t="s">
        <v>4285</v>
      </c>
      <c r="J14" s="29" t="s">
        <v>30</v>
      </c>
      <c r="K14" s="29" t="s">
        <v>4019</v>
      </c>
      <c r="L14" s="29" t="s">
        <v>322</v>
      </c>
      <c r="M14" s="29">
        <v>830241</v>
      </c>
      <c r="N14" s="29">
        <v>300</v>
      </c>
      <c r="O14" s="29" t="s">
        <v>4266</v>
      </c>
      <c r="P14" s="29"/>
      <c r="R14" s="9">
        <v>33.03447942427831</v>
      </c>
      <c r="T14" s="19"/>
      <c r="U14" s="29" t="s">
        <v>34</v>
      </c>
    </row>
    <row r="15" spans="1:21" ht="14.1" customHeight="1">
      <c r="A15" s="29">
        <v>11</v>
      </c>
      <c r="B15" s="19" t="s">
        <v>456</v>
      </c>
      <c r="C15" s="19" t="s">
        <v>388</v>
      </c>
      <c r="D15" s="29" t="s">
        <v>838</v>
      </c>
      <c r="E15" s="19" t="s">
        <v>4030</v>
      </c>
      <c r="F15" s="29" t="s">
        <v>457</v>
      </c>
      <c r="G15" s="19" t="s">
        <v>4286</v>
      </c>
      <c r="H15" s="29" t="s">
        <v>4019</v>
      </c>
      <c r="I15" s="19" t="s">
        <v>4287</v>
      </c>
      <c r="J15" s="29" t="s">
        <v>30</v>
      </c>
      <c r="K15" s="29" t="s">
        <v>4019</v>
      </c>
      <c r="L15" s="29" t="s">
        <v>322</v>
      </c>
      <c r="M15" s="29">
        <v>830241</v>
      </c>
      <c r="N15" s="29">
        <v>300</v>
      </c>
      <c r="O15" s="29" t="s">
        <v>4266</v>
      </c>
      <c r="P15" s="29"/>
      <c r="R15" s="9">
        <v>88.721173310918871</v>
      </c>
      <c r="T15" s="19"/>
      <c r="U15" s="29" t="s">
        <v>34</v>
      </c>
    </row>
    <row r="16" spans="1:21" ht="14.1" customHeight="1">
      <c r="A16" s="29">
        <v>12</v>
      </c>
      <c r="B16" s="19" t="s">
        <v>456</v>
      </c>
      <c r="C16" s="19" t="s">
        <v>388</v>
      </c>
      <c r="D16" s="29" t="s">
        <v>838</v>
      </c>
      <c r="E16" s="19" t="s">
        <v>4030</v>
      </c>
      <c r="F16" s="29" t="s">
        <v>457</v>
      </c>
      <c r="G16" s="19" t="s">
        <v>4288</v>
      </c>
      <c r="H16" s="29" t="s">
        <v>4019</v>
      </c>
      <c r="I16" s="19" t="s">
        <v>4289</v>
      </c>
      <c r="J16" s="29" t="s">
        <v>30</v>
      </c>
      <c r="K16" s="29" t="s">
        <v>4019</v>
      </c>
      <c r="L16" s="29" t="s">
        <v>322</v>
      </c>
      <c r="M16" s="29">
        <v>830241</v>
      </c>
      <c r="N16" s="29">
        <v>300</v>
      </c>
      <c r="O16" s="29" t="s">
        <v>4266</v>
      </c>
      <c r="P16" s="29"/>
      <c r="R16" s="9">
        <v>65.691421940850574</v>
      </c>
      <c r="T16" s="19"/>
      <c r="U16" s="29" t="s">
        <v>34</v>
      </c>
    </row>
    <row r="17" spans="1:21" ht="14.1" customHeight="1">
      <c r="A17" s="29">
        <v>13</v>
      </c>
      <c r="B17" s="19" t="s">
        <v>456</v>
      </c>
      <c r="C17" s="19" t="s">
        <v>388</v>
      </c>
      <c r="D17" s="29" t="s">
        <v>260</v>
      </c>
      <c r="E17" s="19" t="s">
        <v>827</v>
      </c>
      <c r="F17" s="29" t="s">
        <v>457</v>
      </c>
      <c r="G17" s="19" t="s">
        <v>4290</v>
      </c>
      <c r="H17" s="29" t="s">
        <v>4019</v>
      </c>
      <c r="I17" s="19" t="s">
        <v>4291</v>
      </c>
      <c r="J17" s="29" t="s">
        <v>30</v>
      </c>
      <c r="K17" s="29" t="s">
        <v>4019</v>
      </c>
      <c r="L17" s="29" t="s">
        <v>322</v>
      </c>
      <c r="M17" s="29">
        <v>830241</v>
      </c>
      <c r="N17" s="29">
        <v>300</v>
      </c>
      <c r="O17" s="29" t="s">
        <v>4266</v>
      </c>
      <c r="P17" s="29"/>
      <c r="R17" s="9">
        <v>27.937731170246789</v>
      </c>
      <c r="T17" s="19"/>
      <c r="U17" s="29" t="s">
        <v>34</v>
      </c>
    </row>
    <row r="18" spans="1:21" ht="14.1" customHeight="1">
      <c r="A18" s="29">
        <v>14</v>
      </c>
      <c r="B18" s="19" t="s">
        <v>456</v>
      </c>
      <c r="C18" s="19" t="s">
        <v>388</v>
      </c>
      <c r="D18" s="29" t="s">
        <v>1601</v>
      </c>
      <c r="E18" s="19" t="s">
        <v>3621</v>
      </c>
      <c r="F18" s="29" t="s">
        <v>457</v>
      </c>
      <c r="G18" s="19" t="s">
        <v>4292</v>
      </c>
      <c r="H18" s="29" t="s">
        <v>4019</v>
      </c>
      <c r="I18" s="19" t="s">
        <v>4293</v>
      </c>
      <c r="J18" s="29" t="s">
        <v>30</v>
      </c>
      <c r="K18" s="29" t="s">
        <v>4019</v>
      </c>
      <c r="L18" s="29" t="s">
        <v>322</v>
      </c>
      <c r="M18" s="29">
        <v>830140</v>
      </c>
      <c r="N18" s="29">
        <v>1000</v>
      </c>
      <c r="O18" s="29" t="s">
        <v>4266</v>
      </c>
      <c r="P18" s="29"/>
      <c r="R18" s="9">
        <v>356.77237778220558</v>
      </c>
      <c r="T18" s="19"/>
      <c r="U18" s="29" t="s">
        <v>34</v>
      </c>
    </row>
    <row r="19" spans="1:21" ht="14.1" customHeight="1">
      <c r="A19" s="29">
        <v>15</v>
      </c>
      <c r="B19" s="19" t="s">
        <v>456</v>
      </c>
      <c r="C19" s="19" t="s">
        <v>388</v>
      </c>
      <c r="D19" s="29" t="s">
        <v>39</v>
      </c>
      <c r="E19" s="19" t="s">
        <v>3703</v>
      </c>
      <c r="F19" s="29" t="s">
        <v>457</v>
      </c>
      <c r="G19" s="19" t="s">
        <v>4294</v>
      </c>
      <c r="H19" s="29" t="s">
        <v>4019</v>
      </c>
      <c r="I19" s="19" t="s">
        <v>4295</v>
      </c>
      <c r="J19" s="29" t="s">
        <v>30</v>
      </c>
      <c r="K19" s="29" t="s">
        <v>4019</v>
      </c>
      <c r="L19" s="29" t="s">
        <v>322</v>
      </c>
      <c r="M19" s="29">
        <v>830241</v>
      </c>
      <c r="N19" s="29">
        <v>300</v>
      </c>
      <c r="O19" s="29" t="s">
        <v>4266</v>
      </c>
      <c r="P19" s="29"/>
      <c r="R19" s="9">
        <v>36.809848501338678</v>
      </c>
      <c r="T19" s="19"/>
      <c r="U19" s="29" t="s">
        <v>34</v>
      </c>
    </row>
    <row r="20" spans="1:21" ht="14.1" customHeight="1">
      <c r="A20" s="29">
        <v>16</v>
      </c>
      <c r="B20" s="19" t="s">
        <v>456</v>
      </c>
      <c r="C20" s="19" t="s">
        <v>388</v>
      </c>
      <c r="D20" s="29" t="s">
        <v>39</v>
      </c>
      <c r="E20" s="19" t="s">
        <v>3703</v>
      </c>
      <c r="F20" s="29" t="s">
        <v>457</v>
      </c>
      <c r="G20" s="19" t="s">
        <v>4296</v>
      </c>
      <c r="H20" s="29" t="s">
        <v>4019</v>
      </c>
      <c r="I20" s="19" t="s">
        <v>4297</v>
      </c>
      <c r="J20" s="29" t="s">
        <v>30</v>
      </c>
      <c r="K20" s="29" t="s">
        <v>4019</v>
      </c>
      <c r="L20" s="29" t="s">
        <v>322</v>
      </c>
      <c r="M20" s="29">
        <v>830241</v>
      </c>
      <c r="N20" s="29">
        <v>300</v>
      </c>
      <c r="O20" s="29" t="s">
        <v>4266</v>
      </c>
      <c r="P20" s="29"/>
      <c r="R20" s="9">
        <v>43.794281293900383</v>
      </c>
      <c r="T20" s="19"/>
      <c r="U20" s="29" t="s">
        <v>34</v>
      </c>
    </row>
    <row r="21" spans="1:21" ht="14.1" customHeight="1">
      <c r="A21" s="29">
        <v>17</v>
      </c>
      <c r="B21" s="19" t="s">
        <v>456</v>
      </c>
      <c r="C21" s="19" t="s">
        <v>388</v>
      </c>
      <c r="D21" s="29" t="s">
        <v>39</v>
      </c>
      <c r="E21" s="19" t="s">
        <v>3703</v>
      </c>
      <c r="F21" s="29" t="s">
        <v>457</v>
      </c>
      <c r="G21" s="19" t="s">
        <v>4298</v>
      </c>
      <c r="H21" s="29" t="s">
        <v>4019</v>
      </c>
      <c r="I21" s="19" t="s">
        <v>4299</v>
      </c>
      <c r="J21" s="29" t="s">
        <v>30</v>
      </c>
      <c r="K21" s="29" t="s">
        <v>4019</v>
      </c>
      <c r="L21" s="29" t="s">
        <v>322</v>
      </c>
      <c r="M21" s="29">
        <v>830241</v>
      </c>
      <c r="N21" s="29">
        <v>300</v>
      </c>
      <c r="O21" s="29" t="s">
        <v>4266</v>
      </c>
      <c r="P21" s="29"/>
      <c r="R21" s="9">
        <v>59.462062963700937</v>
      </c>
      <c r="T21" s="19"/>
      <c r="U21" s="29" t="s">
        <v>34</v>
      </c>
    </row>
    <row r="22" spans="1:21" ht="14.1" customHeight="1">
      <c r="A22" s="29">
        <v>18</v>
      </c>
      <c r="B22" s="19" t="s">
        <v>609</v>
      </c>
      <c r="C22" s="19" t="s">
        <v>388</v>
      </c>
      <c r="D22" s="29" t="s">
        <v>810</v>
      </c>
      <c r="E22" s="19" t="s">
        <v>811</v>
      </c>
      <c r="F22" s="29" t="s">
        <v>26</v>
      </c>
      <c r="G22" s="19" t="s">
        <v>4300</v>
      </c>
      <c r="H22" s="29" t="s">
        <v>4019</v>
      </c>
      <c r="I22" s="19" t="s">
        <v>4301</v>
      </c>
      <c r="J22" s="29" t="s">
        <v>30</v>
      </c>
      <c r="K22" s="29" t="s">
        <v>4019</v>
      </c>
      <c r="L22" s="29" t="s">
        <v>322</v>
      </c>
      <c r="M22" s="29">
        <v>830241</v>
      </c>
      <c r="N22" s="29">
        <v>300</v>
      </c>
      <c r="O22" s="29" t="s">
        <v>4266</v>
      </c>
      <c r="P22" s="29"/>
      <c r="R22" s="9">
        <v>22.65221446236227</v>
      </c>
      <c r="T22" s="19"/>
      <c r="U22" s="29" t="s">
        <v>34</v>
      </c>
    </row>
    <row r="23" spans="1:21" ht="14.1" customHeight="1"/>
    <row r="24" spans="1:21" ht="14.1" customHeight="1"/>
    <row r="25" spans="1:21" ht="14.1" customHeight="1"/>
    <row r="26" spans="1:21" ht="14.1" customHeight="1"/>
    <row r="27" spans="1:21" ht="14.1" customHeight="1"/>
    <row r="28" spans="1:21" ht="14.1" customHeight="1"/>
    <row r="29" spans="1:21" ht="14.1" customHeight="1"/>
    <row r="30" spans="1:21" ht="14.1" customHeight="1"/>
    <row r="31" spans="1:21" ht="14.1" customHeight="1"/>
    <row r="32" spans="1:21" ht="14.1" customHeight="1"/>
    <row r="33" ht="14.1" customHeight="1"/>
    <row r="34" ht="14.1" customHeight="1"/>
    <row r="35" ht="14.1" customHeight="1"/>
    <row r="36" ht="14.1" customHeight="1"/>
    <row r="37" ht="14.1" customHeight="1"/>
    <row r="38" ht="14.1" customHeight="1"/>
    <row r="39" ht="14.1" customHeight="1"/>
    <row r="40" ht="14.1" customHeight="1"/>
    <row r="41" ht="14.1" customHeight="1"/>
    <row r="42" ht="14.1" customHeight="1"/>
    <row r="43" ht="14.1" customHeight="1"/>
    <row r="44" ht="14.1" customHeight="1"/>
    <row r="45" ht="14.1" customHeight="1"/>
    <row r="46" ht="14.1" customHeight="1"/>
    <row r="47" ht="14.1" customHeight="1"/>
    <row r="48" ht="14.1" customHeight="1"/>
    <row r="49" ht="14.1" customHeight="1"/>
    <row r="50" ht="14.1" customHeight="1"/>
    <row r="51" ht="14.1" customHeight="1"/>
    <row r="52" ht="14.1" customHeight="1"/>
    <row r="53" ht="14.1" customHeight="1"/>
    <row r="54" ht="14.1" customHeight="1"/>
    <row r="55" ht="14.1" customHeight="1"/>
    <row r="56" ht="14.1" customHeight="1"/>
    <row r="57" ht="14.1" customHeight="1"/>
    <row r="58" ht="14.1" customHeight="1"/>
    <row r="59" ht="14.1" customHeight="1"/>
    <row r="60" ht="14.1" customHeight="1"/>
    <row r="61" ht="14.1" customHeight="1"/>
    <row r="62" ht="14.1" customHeight="1"/>
    <row r="63" ht="14.1" customHeight="1"/>
    <row r="64" ht="14.1" customHeight="1"/>
    <row r="65" ht="14.1" customHeight="1"/>
    <row r="66" ht="14.1" customHeight="1"/>
    <row r="67" ht="14.1" customHeight="1"/>
    <row r="68" ht="14.1" customHeight="1"/>
    <row r="69" ht="14.1" customHeight="1"/>
    <row r="70" ht="14.1" customHeight="1"/>
    <row r="71" ht="14.1" customHeight="1"/>
    <row r="72" ht="14.1" customHeight="1"/>
    <row r="73" ht="14.1" customHeight="1"/>
    <row r="74" ht="14.1" customHeight="1"/>
    <row r="75" ht="14.1" customHeight="1"/>
    <row r="76" ht="14.1" customHeight="1"/>
    <row r="77" ht="14.1" customHeight="1"/>
    <row r="78" ht="14.1" customHeight="1"/>
    <row r="79" ht="14.1" customHeight="1"/>
    <row r="80" ht="14.1" customHeight="1"/>
    <row r="81" ht="14.1" customHeight="1"/>
    <row r="82" ht="14.1" customHeight="1"/>
    <row r="83" ht="14.1" customHeight="1"/>
    <row r="84" ht="14.1" customHeight="1"/>
    <row r="85" ht="14.1" customHeight="1"/>
    <row r="86" ht="14.1" customHeight="1"/>
    <row r="87" ht="14.1" customHeight="1"/>
    <row r="88" ht="14.1" customHeight="1"/>
    <row r="89" ht="14.1" customHeight="1"/>
    <row r="90" ht="14.1" customHeight="1"/>
    <row r="91" ht="14.1" customHeight="1"/>
    <row r="92" ht="14.1" customHeight="1"/>
    <row r="93" ht="14.1" customHeight="1"/>
    <row r="94" ht="14.1" customHeight="1"/>
    <row r="95" ht="14.1" customHeight="1"/>
    <row r="96" ht="14.1" customHeight="1"/>
    <row r="97" ht="14.1" customHeight="1"/>
    <row r="98" ht="14.1" customHeight="1"/>
    <row r="99" ht="14.1" customHeight="1"/>
    <row r="100" ht="14.1" customHeight="1"/>
    <row r="101" ht="14.1" customHeight="1"/>
    <row r="102" ht="14.1" customHeight="1"/>
    <row r="103" ht="14.1" customHeight="1"/>
    <row r="104" ht="14.1" customHeight="1"/>
    <row r="105" ht="14.1" customHeight="1"/>
    <row r="106" ht="14.1" customHeight="1"/>
    <row r="107" ht="14.1" customHeight="1"/>
    <row r="108" ht="14.1" customHeight="1"/>
    <row r="109" ht="14.1" customHeight="1"/>
    <row r="110" ht="14.1" customHeight="1"/>
    <row r="111" ht="14.1" customHeight="1"/>
    <row r="112" ht="14.1" customHeight="1"/>
    <row r="113" ht="14.1" customHeight="1"/>
    <row r="114" ht="14.1" customHeight="1"/>
    <row r="115" ht="14.1" customHeight="1"/>
    <row r="116" ht="14.1" customHeight="1"/>
    <row r="117" ht="14.1" customHeight="1"/>
    <row r="118" ht="14.1" customHeight="1"/>
    <row r="119" ht="14.1" customHeight="1"/>
    <row r="120" ht="14.1" customHeight="1"/>
    <row r="121" ht="14.1" customHeight="1"/>
    <row r="122" ht="14.1" customHeight="1"/>
    <row r="123" ht="14.1" customHeight="1"/>
    <row r="124" ht="14.1" customHeight="1"/>
    <row r="125" ht="14.1" customHeight="1"/>
    <row r="126" ht="14.1" customHeight="1"/>
    <row r="127" ht="14.1" customHeight="1"/>
    <row r="128" ht="14.1" customHeight="1"/>
    <row r="129" ht="14.1" customHeight="1"/>
    <row r="130" ht="14.1" customHeight="1"/>
    <row r="131" ht="14.1" customHeight="1"/>
    <row r="132" ht="14.1" customHeight="1"/>
    <row r="133" ht="14.1" customHeight="1"/>
    <row r="134" ht="14.1" customHeight="1"/>
    <row r="135" ht="14.1" customHeight="1"/>
    <row r="136" ht="14.1" customHeight="1"/>
    <row r="137" ht="14.1" customHeight="1"/>
    <row r="138" ht="14.1" customHeight="1"/>
    <row r="139" ht="14.1" customHeight="1"/>
    <row r="140" ht="14.1" customHeight="1"/>
    <row r="141" ht="14.1" customHeight="1"/>
    <row r="142" ht="14.1" customHeight="1"/>
    <row r="143" ht="14.1" customHeight="1"/>
    <row r="144" ht="14.1" customHeight="1"/>
    <row r="145" ht="14.1" customHeight="1"/>
    <row r="146" ht="14.1" customHeight="1"/>
    <row r="147" ht="14.1" customHeight="1"/>
    <row r="148" ht="14.1" customHeight="1"/>
    <row r="149" ht="14.1" customHeight="1"/>
    <row r="150" ht="14.1" customHeight="1"/>
    <row r="151" ht="14.1" customHeight="1"/>
    <row r="152" ht="14.1" customHeight="1"/>
    <row r="153" ht="14.1" customHeight="1"/>
    <row r="154" ht="14.1" customHeight="1"/>
    <row r="155" ht="14.1" customHeight="1"/>
    <row r="156" ht="14.1" customHeight="1"/>
    <row r="157" ht="14.1" customHeight="1"/>
    <row r="158" ht="14.1" customHeight="1"/>
    <row r="159" ht="14.1" customHeight="1"/>
    <row r="160" ht="14.1" customHeight="1"/>
    <row r="161" ht="14.1" customHeight="1"/>
    <row r="162" ht="14.1" customHeight="1"/>
    <row r="163" ht="14.1" customHeight="1"/>
    <row r="164" ht="14.1" customHeight="1"/>
    <row r="165" ht="14.1" customHeight="1"/>
    <row r="166" ht="14.1" customHeight="1"/>
    <row r="167" ht="14.1" customHeight="1"/>
    <row r="168" ht="14.1" customHeight="1"/>
    <row r="169" ht="14.1" customHeight="1"/>
    <row r="170" ht="14.1" customHeight="1"/>
    <row r="171" ht="14.1" customHeight="1"/>
    <row r="172" ht="14.1" customHeight="1"/>
    <row r="173" ht="14.1" customHeight="1"/>
    <row r="174" ht="14.1" customHeight="1"/>
    <row r="175" ht="14.1" customHeight="1"/>
    <row r="176" ht="14.1" customHeight="1"/>
    <row r="177" ht="14.1" customHeight="1"/>
    <row r="178" ht="14.1" customHeight="1"/>
    <row r="179" ht="14.1" customHeight="1"/>
    <row r="180" ht="14.1" customHeight="1"/>
    <row r="181" ht="14.1" customHeight="1"/>
    <row r="182" ht="14.1" customHeight="1"/>
    <row r="183" ht="14.1" customHeight="1"/>
    <row r="184" ht="14.1" customHeight="1"/>
    <row r="185" ht="14.1" customHeight="1"/>
    <row r="186" ht="14.1" customHeight="1"/>
    <row r="187" ht="14.1" customHeight="1"/>
    <row r="188" ht="14.1" customHeight="1"/>
    <row r="189" ht="14.1" customHeight="1"/>
    <row r="190" ht="14.1" customHeight="1"/>
    <row r="191" ht="14.1" customHeight="1"/>
    <row r="192" ht="14.1" customHeight="1"/>
    <row r="193" ht="14.1" customHeight="1"/>
    <row r="194" ht="14.1" customHeight="1"/>
    <row r="195" ht="14.1" customHeight="1"/>
    <row r="196" ht="14.1" customHeight="1"/>
    <row r="197" ht="14.1" customHeight="1"/>
    <row r="198" ht="14.1" customHeight="1"/>
    <row r="199" ht="14.1" customHeight="1"/>
    <row r="200" ht="14.1" customHeight="1"/>
    <row r="201" ht="14.1" customHeight="1"/>
    <row r="202" ht="14.1" customHeight="1"/>
    <row r="203" ht="14.1" customHeight="1"/>
    <row r="204" ht="14.1" customHeight="1"/>
    <row r="205" ht="14.1" customHeight="1"/>
    <row r="206" ht="14.1" customHeight="1"/>
    <row r="207" ht="14.1" customHeight="1"/>
    <row r="208" ht="14.1" customHeight="1"/>
    <row r="209" ht="14.1" customHeight="1"/>
    <row r="210" ht="14.1" customHeight="1"/>
    <row r="211" ht="14.1" customHeight="1"/>
    <row r="212" ht="14.1" customHeight="1"/>
    <row r="213" ht="14.1" customHeight="1"/>
    <row r="214" ht="14.1" customHeight="1"/>
    <row r="215" ht="14.1" customHeight="1"/>
    <row r="216" ht="14.1" customHeight="1"/>
    <row r="217" ht="14.1" customHeight="1"/>
    <row r="218" ht="14.1" customHeight="1"/>
    <row r="219" ht="14.1" customHeight="1"/>
    <row r="220" ht="14.1" customHeight="1"/>
    <row r="221" ht="14.1" customHeight="1"/>
    <row r="222" ht="14.1" customHeight="1"/>
    <row r="223" ht="14.1" customHeight="1"/>
    <row r="224" ht="14.1" customHeight="1"/>
    <row r="225" ht="14.1" customHeight="1"/>
    <row r="226" ht="14.1" customHeight="1"/>
    <row r="227" ht="14.1" customHeight="1"/>
    <row r="228" ht="14.1" customHeight="1"/>
    <row r="229" ht="14.1" customHeight="1"/>
    <row r="230" ht="14.1" customHeight="1"/>
    <row r="231" ht="14.1" customHeight="1"/>
    <row r="232" ht="14.1" customHeight="1"/>
    <row r="233" ht="14.1" customHeight="1"/>
    <row r="234" ht="14.1" customHeight="1"/>
    <row r="235" ht="14.1" customHeight="1"/>
    <row r="236" ht="14.1" customHeight="1"/>
    <row r="237" ht="14.1" customHeight="1"/>
    <row r="238" ht="14.1" customHeight="1"/>
    <row r="239" ht="14.1" customHeight="1"/>
    <row r="240" ht="14.1" customHeight="1"/>
    <row r="241" ht="14.1" customHeight="1"/>
    <row r="242" ht="14.1" customHeight="1"/>
    <row r="243" ht="14.1" customHeight="1"/>
    <row r="244" ht="14.1" customHeight="1"/>
    <row r="245" ht="14.1" customHeight="1"/>
    <row r="246" ht="14.1" customHeight="1"/>
    <row r="247" ht="14.1" customHeight="1"/>
    <row r="248" ht="14.1" customHeight="1"/>
    <row r="249" ht="14.1" customHeight="1"/>
    <row r="250" ht="14.1" customHeight="1"/>
    <row r="251" ht="14.1" customHeight="1"/>
    <row r="252" ht="14.1" customHeight="1"/>
    <row r="253" ht="14.1" customHeight="1"/>
    <row r="254" ht="14.1" customHeight="1"/>
    <row r="255" ht="14.1" customHeight="1"/>
    <row r="256" ht="14.1" customHeight="1"/>
    <row r="257" ht="14.1" customHeight="1"/>
    <row r="258" ht="14.1" customHeight="1"/>
    <row r="259" ht="14.1" customHeight="1"/>
    <row r="260" ht="14.1" customHeight="1"/>
    <row r="261" ht="14.1" customHeight="1"/>
    <row r="262" ht="14.1" customHeight="1"/>
    <row r="263" ht="14.1" customHeight="1"/>
    <row r="264" ht="14.1" customHeight="1"/>
    <row r="265" ht="14.1" customHeight="1"/>
    <row r="266" ht="14.1" customHeight="1"/>
    <row r="267" ht="14.1" customHeight="1"/>
    <row r="268" ht="14.1" customHeight="1"/>
    <row r="269" ht="14.1" customHeight="1"/>
    <row r="270" ht="14.1" customHeight="1"/>
    <row r="271" ht="14.1" customHeight="1"/>
    <row r="272" ht="14.1" customHeight="1"/>
    <row r="273" ht="14.1" customHeight="1"/>
    <row r="274" ht="14.1" customHeight="1"/>
    <row r="275" ht="14.1" customHeight="1"/>
    <row r="276" ht="14.1" customHeight="1"/>
    <row r="277" ht="14.1" customHeight="1"/>
    <row r="278" ht="14.1" customHeight="1"/>
    <row r="279" ht="14.1" customHeight="1"/>
    <row r="280" ht="14.1" customHeight="1"/>
    <row r="281" ht="14.1" customHeight="1"/>
    <row r="282" ht="14.1" customHeight="1"/>
    <row r="283" ht="14.1" customHeight="1"/>
    <row r="284" ht="14.1" customHeight="1"/>
    <row r="285" ht="14.1" customHeight="1"/>
    <row r="286" ht="14.1" customHeight="1"/>
    <row r="287" ht="14.1" customHeight="1"/>
    <row r="288" ht="14.1" customHeight="1"/>
    <row r="289" ht="14.1" customHeight="1"/>
    <row r="290" ht="14.1" customHeight="1"/>
    <row r="291" ht="14.1" customHeight="1"/>
    <row r="292" ht="14.1" customHeight="1"/>
    <row r="293" ht="14.1" customHeight="1"/>
    <row r="294" ht="14.1" customHeight="1"/>
    <row r="295" ht="14.1" customHeight="1"/>
    <row r="296" ht="14.1" customHeight="1"/>
    <row r="297" ht="14.1" customHeight="1"/>
    <row r="298" ht="14.1" customHeight="1"/>
    <row r="299" ht="14.1" customHeight="1"/>
    <row r="300" ht="14.1" customHeight="1"/>
    <row r="301" ht="14.1" customHeight="1"/>
    <row r="302" ht="14.1" customHeight="1"/>
    <row r="303" ht="14.1" customHeight="1"/>
    <row r="304" ht="14.1" customHeight="1"/>
    <row r="305" ht="14.1" customHeight="1"/>
    <row r="306" ht="14.1" customHeight="1"/>
    <row r="307" ht="14.1" customHeight="1"/>
    <row r="308" ht="14.1" customHeight="1"/>
    <row r="309" ht="14.1" customHeight="1"/>
    <row r="310" ht="14.1" customHeight="1"/>
    <row r="311" ht="14.1" customHeight="1"/>
    <row r="312" ht="14.1" customHeight="1"/>
    <row r="313" ht="14.1" customHeight="1"/>
    <row r="314" ht="14.1" customHeight="1"/>
    <row r="315" ht="14.1" customHeight="1"/>
    <row r="316" ht="14.1" customHeight="1"/>
    <row r="317" ht="14.1" customHeight="1"/>
    <row r="318" ht="14.1" customHeight="1"/>
    <row r="319" ht="14.1" customHeight="1"/>
    <row r="320" ht="14.1" customHeight="1"/>
    <row r="321" ht="14.1" customHeight="1"/>
    <row r="322" ht="14.1" customHeight="1"/>
    <row r="323" ht="14.1" customHeight="1"/>
    <row r="324" ht="14.1" customHeight="1"/>
    <row r="325" ht="14.1" customHeight="1"/>
    <row r="326" ht="14.1" customHeight="1"/>
    <row r="327" ht="14.1" customHeight="1"/>
    <row r="328" ht="14.1" customHeight="1"/>
    <row r="329" ht="14.1" customHeight="1"/>
    <row r="330" ht="14.1" customHeight="1"/>
    <row r="331" ht="14.1" customHeight="1"/>
    <row r="332" ht="14.1" customHeight="1"/>
    <row r="333" ht="14.1" customHeight="1"/>
    <row r="334" ht="14.1" customHeight="1"/>
    <row r="335" ht="14.1" customHeight="1"/>
    <row r="336" ht="14.1" customHeight="1"/>
    <row r="337" ht="14.1" customHeight="1"/>
    <row r="338" ht="14.1" customHeight="1"/>
    <row r="339" ht="14.1" customHeight="1"/>
    <row r="340" ht="14.1" customHeight="1"/>
    <row r="341" ht="14.1" customHeight="1"/>
    <row r="342" ht="14.1" customHeight="1"/>
    <row r="343" ht="14.1" customHeight="1"/>
    <row r="344" ht="14.1" customHeight="1"/>
    <row r="345" ht="14.1" customHeight="1"/>
    <row r="346" ht="14.1" customHeight="1"/>
    <row r="347" ht="14.1" customHeight="1"/>
    <row r="348" ht="14.1" customHeight="1"/>
    <row r="349" ht="14.1" customHeight="1"/>
    <row r="350" ht="14.1" customHeight="1"/>
    <row r="351" ht="14.1" customHeight="1"/>
    <row r="352" ht="14.1" customHeight="1"/>
    <row r="353" ht="14.1" customHeight="1"/>
    <row r="354" ht="14.1" customHeight="1"/>
    <row r="355" ht="14.1" customHeight="1"/>
    <row r="356" ht="14.1" customHeight="1"/>
    <row r="357" ht="14.1" customHeight="1"/>
    <row r="358" ht="14.1" customHeight="1"/>
    <row r="359" ht="14.1" customHeight="1"/>
    <row r="360" ht="14.1" customHeight="1"/>
    <row r="361" ht="14.1" customHeight="1"/>
    <row r="362" ht="14.1" customHeight="1"/>
    <row r="363" ht="14.1" customHeight="1"/>
    <row r="364" ht="14.1" customHeight="1"/>
    <row r="365" ht="14.1" customHeight="1"/>
    <row r="366" ht="14.1" customHeight="1"/>
    <row r="367" ht="14.1" customHeight="1"/>
    <row r="368" ht="14.1" customHeight="1"/>
    <row r="369" ht="14.1" customHeight="1"/>
    <row r="370" ht="14.1" customHeight="1"/>
    <row r="371" ht="14.1" customHeight="1"/>
    <row r="372" ht="14.1" customHeight="1"/>
    <row r="373" ht="14.1" customHeight="1"/>
    <row r="374" ht="14.1" customHeight="1"/>
    <row r="375" ht="14.1" customHeight="1"/>
    <row r="376" ht="14.1" customHeight="1"/>
    <row r="377" ht="14.1" customHeight="1"/>
    <row r="378" ht="14.1" customHeight="1"/>
    <row r="379" ht="14.1" customHeight="1"/>
    <row r="380" ht="14.1" customHeight="1"/>
    <row r="381" ht="14.1" customHeight="1"/>
    <row r="382" ht="14.1" customHeight="1"/>
    <row r="383" ht="14.1" customHeight="1"/>
    <row r="384" ht="14.1" customHeight="1"/>
    <row r="385" ht="14.1" customHeight="1"/>
    <row r="386" ht="14.1" customHeight="1"/>
    <row r="387" ht="14.1" customHeight="1"/>
    <row r="388" ht="14.1" customHeight="1"/>
    <row r="389" ht="14.1" customHeight="1"/>
    <row r="390" ht="14.1" customHeight="1"/>
    <row r="391" ht="14.1" customHeight="1"/>
    <row r="392" ht="14.1" customHeight="1"/>
    <row r="393" ht="14.1" customHeight="1"/>
    <row r="394" ht="14.1" customHeight="1"/>
    <row r="395" ht="14.1" customHeight="1"/>
    <row r="396" ht="14.1" customHeight="1"/>
    <row r="397" ht="14.1" customHeight="1"/>
    <row r="398" ht="14.1" customHeight="1"/>
    <row r="399" ht="14.1" customHeight="1"/>
    <row r="400" ht="14.1" customHeight="1"/>
    <row r="401" ht="14.1" customHeight="1"/>
    <row r="402" ht="14.1" customHeight="1"/>
    <row r="403" ht="14.1" customHeight="1"/>
    <row r="404" ht="14.1" customHeight="1"/>
    <row r="405" ht="14.1" customHeight="1"/>
    <row r="406" ht="14.1" customHeight="1"/>
    <row r="407" ht="14.1" customHeight="1"/>
    <row r="408" ht="14.1" customHeight="1"/>
    <row r="409" ht="14.1" customHeight="1"/>
    <row r="410" ht="14.1" customHeight="1"/>
    <row r="411" ht="14.1" customHeight="1"/>
    <row r="412" ht="14.1" customHeight="1"/>
    <row r="413" ht="14.1" customHeight="1"/>
    <row r="414" ht="14.1" customHeight="1"/>
    <row r="415" ht="14.1" customHeight="1"/>
    <row r="416" ht="14.1" customHeight="1"/>
    <row r="417" ht="14.1" customHeight="1"/>
    <row r="418" ht="14.1" customHeight="1"/>
    <row r="419" ht="14.1" customHeight="1"/>
    <row r="420" ht="14.1" customHeight="1"/>
    <row r="421" ht="14.1" customHeight="1"/>
    <row r="422" ht="14.1" customHeight="1"/>
    <row r="423" ht="14.1" customHeight="1"/>
    <row r="424" ht="14.1" customHeight="1"/>
    <row r="425" ht="14.1" customHeight="1"/>
    <row r="426" ht="14.1" customHeight="1"/>
    <row r="427" ht="14.1" customHeight="1"/>
    <row r="428" ht="14.1" customHeight="1"/>
    <row r="429" ht="14.1" customHeight="1"/>
    <row r="430" ht="14.1" customHeight="1"/>
    <row r="431" ht="14.1" customHeight="1"/>
    <row r="432" ht="14.1" customHeight="1"/>
    <row r="433" ht="14.1" customHeight="1"/>
    <row r="434" ht="14.1" customHeight="1"/>
    <row r="435" ht="14.1" customHeight="1"/>
    <row r="436" ht="14.1" customHeight="1"/>
    <row r="437" ht="14.1" customHeight="1"/>
    <row r="438" ht="14.1" customHeight="1"/>
    <row r="439" ht="14.1" customHeight="1"/>
    <row r="440" ht="14.1" customHeight="1"/>
    <row r="441" ht="14.1" customHeight="1"/>
    <row r="442" ht="14.1" customHeight="1"/>
    <row r="443" ht="14.1" customHeight="1"/>
    <row r="444" ht="14.1" customHeight="1"/>
    <row r="445" ht="14.1" customHeight="1"/>
    <row r="446" ht="14.1" customHeight="1"/>
    <row r="447" ht="14.1" customHeight="1"/>
    <row r="448" ht="14.1" customHeight="1"/>
    <row r="449" ht="14.1" customHeight="1"/>
    <row r="450" ht="14.1" customHeight="1"/>
    <row r="451" ht="14.1" customHeight="1"/>
    <row r="452" ht="14.1" customHeight="1"/>
    <row r="453" ht="14.1" customHeight="1"/>
    <row r="454" ht="14.1" customHeight="1"/>
    <row r="455" ht="14.1" customHeight="1"/>
    <row r="456" ht="14.1" customHeight="1"/>
    <row r="457" ht="14.1" customHeight="1"/>
    <row r="458" ht="14.1" customHeight="1"/>
    <row r="459" ht="14.1" customHeight="1"/>
    <row r="460" ht="14.1" customHeight="1"/>
    <row r="461" ht="14.1" customHeight="1"/>
    <row r="462" ht="14.1" customHeight="1"/>
    <row r="463" ht="14.1" customHeight="1"/>
    <row r="464" ht="14.1" customHeight="1"/>
    <row r="465" ht="14.1" customHeight="1"/>
    <row r="466" ht="14.1" customHeight="1"/>
    <row r="467" ht="14.1" customHeight="1"/>
    <row r="468" ht="14.1" customHeight="1"/>
    <row r="469" ht="14.1" customHeight="1"/>
    <row r="470" ht="14.1" customHeight="1"/>
    <row r="471" ht="14.1" customHeight="1"/>
    <row r="472" ht="14.1" customHeight="1"/>
    <row r="473" ht="14.1" customHeight="1"/>
    <row r="474" ht="14.1" customHeight="1"/>
    <row r="475" ht="14.1" customHeight="1"/>
    <row r="476" ht="14.1" customHeight="1"/>
    <row r="477" ht="14.1" customHeight="1"/>
    <row r="478" ht="14.1" customHeight="1"/>
    <row r="479" ht="14.1" customHeight="1"/>
    <row r="480" ht="14.1" customHeight="1"/>
    <row r="481" ht="14.1" customHeight="1"/>
    <row r="482" ht="14.1" customHeight="1"/>
    <row r="483" ht="14.1" customHeight="1"/>
    <row r="484" ht="14.1" customHeight="1"/>
    <row r="485" ht="14.1" customHeight="1"/>
    <row r="486" ht="14.1" customHeight="1"/>
    <row r="487" ht="14.1" customHeight="1"/>
    <row r="488" ht="14.1" customHeight="1"/>
    <row r="489" ht="14.1" customHeight="1"/>
    <row r="490" ht="14.1" customHeight="1"/>
    <row r="491" ht="14.1" customHeight="1"/>
    <row r="492" ht="14.1" customHeight="1"/>
    <row r="493" ht="14.1" customHeight="1"/>
    <row r="494" ht="14.1" customHeight="1"/>
    <row r="495" ht="14.1" customHeight="1"/>
    <row r="496" ht="14.1" customHeight="1"/>
    <row r="497" ht="14.1" customHeight="1"/>
    <row r="498" ht="14.1" customHeight="1"/>
    <row r="499" ht="14.1" customHeight="1"/>
    <row r="500" ht="14.1" customHeight="1"/>
    <row r="501" ht="14.1" customHeight="1"/>
    <row r="502" ht="14.1" customHeight="1"/>
    <row r="503" ht="14.1" customHeight="1"/>
    <row r="504" ht="14.1" customHeight="1"/>
    <row r="505" ht="14.1" customHeight="1"/>
    <row r="506" ht="14.1" customHeight="1"/>
    <row r="507" ht="14.1" customHeight="1"/>
    <row r="508" ht="14.1" customHeight="1"/>
    <row r="509" ht="14.1" customHeight="1"/>
    <row r="510" ht="14.1" customHeight="1"/>
    <row r="511" ht="14.1" customHeight="1"/>
    <row r="512" ht="14.1" customHeight="1"/>
    <row r="513" ht="14.1" customHeight="1"/>
    <row r="514" ht="14.1" customHeight="1"/>
    <row r="515" ht="14.1" customHeight="1"/>
    <row r="516" ht="14.1" customHeight="1"/>
    <row r="517" ht="14.1" customHeight="1"/>
    <row r="518" ht="14.1" customHeight="1"/>
    <row r="519" ht="14.1" customHeight="1"/>
    <row r="520" ht="14.1" customHeight="1"/>
    <row r="521" ht="14.1" customHeight="1"/>
    <row r="522" ht="14.1" customHeight="1"/>
    <row r="523" ht="14.1" customHeight="1"/>
    <row r="524" ht="14.1" customHeight="1"/>
    <row r="525" ht="14.1" customHeight="1"/>
    <row r="526" ht="14.1" customHeight="1"/>
    <row r="527" ht="14.1" customHeight="1"/>
    <row r="528" ht="14.1" customHeight="1"/>
    <row r="529" ht="14.1" customHeight="1"/>
    <row r="530" ht="14.1" customHeight="1"/>
    <row r="531" ht="14.1" customHeight="1"/>
    <row r="532" ht="14.1" customHeight="1"/>
    <row r="533" ht="14.1" customHeight="1"/>
    <row r="534" ht="14.1" customHeight="1"/>
    <row r="535" ht="14.1" customHeight="1"/>
    <row r="536" ht="14.1" customHeight="1"/>
    <row r="537" ht="14.1" customHeight="1"/>
    <row r="538" ht="14.1" customHeight="1"/>
    <row r="539" ht="14.1" customHeight="1"/>
    <row r="540" ht="14.1" customHeight="1"/>
    <row r="541" ht="14.1" customHeight="1"/>
    <row r="542" ht="14.1" customHeight="1"/>
    <row r="543" ht="14.1" customHeight="1"/>
    <row r="544" ht="14.1" customHeight="1"/>
    <row r="545" ht="14.1" customHeight="1"/>
    <row r="546" ht="14.1" customHeight="1"/>
    <row r="547" ht="14.1" customHeight="1"/>
    <row r="548" ht="14.1" customHeight="1"/>
    <row r="549" ht="14.1" customHeight="1"/>
    <row r="550" ht="14.1" customHeight="1"/>
    <row r="551" ht="14.1" customHeight="1"/>
    <row r="552" ht="14.1" customHeight="1"/>
    <row r="553" ht="14.1" customHeight="1"/>
    <row r="554" ht="14.1" customHeight="1"/>
    <row r="555" ht="14.1" customHeight="1"/>
    <row r="556" ht="14.1" customHeight="1"/>
    <row r="557" ht="14.1" customHeight="1"/>
    <row r="558" ht="14.1" customHeight="1"/>
    <row r="559" ht="14.1" customHeight="1"/>
    <row r="560" ht="14.1" customHeight="1"/>
    <row r="561" ht="14.1" customHeight="1"/>
    <row r="562" ht="14.1" customHeight="1"/>
    <row r="563" ht="14.1" customHeight="1"/>
    <row r="564" ht="14.1" customHeight="1"/>
    <row r="565" ht="14.1" customHeight="1"/>
    <row r="566" ht="14.1" customHeight="1"/>
    <row r="567" ht="14.1" customHeight="1"/>
    <row r="568" ht="14.1" customHeight="1"/>
    <row r="569" ht="14.1" customHeight="1"/>
    <row r="570" ht="14.1" customHeight="1"/>
    <row r="571" ht="14.1" customHeight="1"/>
    <row r="572" ht="14.1" customHeight="1"/>
    <row r="573" ht="14.1" customHeight="1"/>
    <row r="574" ht="14.1" customHeight="1"/>
    <row r="575" ht="14.1" customHeight="1"/>
    <row r="576" ht="14.1" customHeight="1"/>
    <row r="577" ht="14.1" customHeight="1"/>
    <row r="578" ht="14.1" customHeight="1"/>
    <row r="579" ht="14.1" customHeight="1"/>
    <row r="580" ht="14.1" customHeight="1"/>
    <row r="581" ht="14.1" customHeight="1"/>
    <row r="582" ht="14.1" customHeight="1"/>
    <row r="583" ht="14.1" customHeight="1"/>
    <row r="584" ht="14.1" customHeight="1"/>
    <row r="585" ht="14.1" customHeight="1"/>
    <row r="586" ht="14.1" customHeight="1"/>
    <row r="587" ht="14.1" customHeight="1"/>
    <row r="588" ht="14.1" customHeight="1"/>
    <row r="589" ht="14.1" customHeight="1"/>
    <row r="590" ht="14.1" customHeight="1"/>
    <row r="591" ht="14.1" customHeight="1"/>
    <row r="592" ht="14.1" customHeight="1"/>
    <row r="593" ht="14.1" customHeight="1"/>
    <row r="594" ht="14.1" customHeight="1"/>
    <row r="595" ht="14.1" customHeight="1"/>
    <row r="596" ht="14.1" customHeight="1"/>
    <row r="597" ht="14.1" customHeight="1"/>
    <row r="598" ht="14.1" customHeight="1"/>
    <row r="599" ht="14.1" customHeight="1"/>
    <row r="600" ht="14.1" customHeight="1"/>
    <row r="601" ht="14.1" customHeight="1"/>
    <row r="602" ht="14.1" customHeight="1"/>
    <row r="603" ht="14.1" customHeight="1"/>
    <row r="604" ht="14.1" customHeight="1"/>
    <row r="605" ht="14.1" customHeight="1"/>
    <row r="606" ht="14.1" customHeight="1"/>
    <row r="607" ht="14.1" customHeight="1"/>
    <row r="608" ht="14.1" customHeight="1"/>
    <row r="609" ht="14.1" customHeight="1"/>
    <row r="610" ht="14.1" customHeight="1"/>
    <row r="611" ht="14.1" customHeight="1"/>
    <row r="612" ht="14.1" customHeight="1"/>
    <row r="613" ht="14.1" customHeight="1"/>
    <row r="614" ht="14.1" customHeight="1"/>
    <row r="615" ht="14.1" customHeight="1"/>
    <row r="616" ht="14.1" customHeight="1"/>
    <row r="617" ht="14.1" customHeight="1"/>
    <row r="618" ht="14.1" customHeight="1"/>
    <row r="619" ht="14.1" customHeight="1"/>
    <row r="620" ht="14.1" customHeight="1"/>
    <row r="621" ht="14.1" customHeight="1"/>
    <row r="622" ht="14.1" customHeight="1"/>
    <row r="623" ht="14.1" customHeight="1"/>
    <row r="624" ht="14.1" customHeight="1"/>
    <row r="625" ht="14.1" customHeight="1"/>
    <row r="626" ht="14.1" customHeight="1"/>
    <row r="627" ht="14.1" customHeight="1"/>
    <row r="628" ht="14.1" customHeight="1"/>
    <row r="629" ht="14.1" customHeight="1"/>
    <row r="630" ht="14.1" customHeight="1"/>
    <row r="631" ht="14.1" customHeight="1"/>
    <row r="632" ht="14.1" customHeight="1"/>
    <row r="633" ht="14.1" customHeight="1"/>
    <row r="634" ht="14.1" customHeight="1"/>
    <row r="635" ht="14.1" customHeight="1"/>
    <row r="636" ht="14.1" customHeight="1"/>
    <row r="637" ht="14.1" customHeight="1"/>
    <row r="638" ht="14.1" customHeight="1"/>
    <row r="639" ht="14.1" customHeight="1"/>
    <row r="640" ht="14.1" customHeight="1"/>
    <row r="641" ht="14.1" customHeight="1"/>
    <row r="642" ht="14.1" customHeight="1"/>
    <row r="643" ht="14.1" customHeight="1"/>
    <row r="644" ht="14.1" customHeight="1"/>
    <row r="645" ht="14.1" customHeight="1"/>
    <row r="646" ht="14.1" customHeight="1"/>
    <row r="647" ht="14.1" customHeight="1"/>
    <row r="648" ht="14.1" customHeight="1"/>
    <row r="649" ht="14.1" customHeight="1"/>
    <row r="650" ht="14.1" customHeight="1"/>
    <row r="651" ht="14.1" customHeight="1"/>
    <row r="652" ht="14.1" customHeight="1"/>
    <row r="653" ht="14.1" customHeight="1"/>
    <row r="654" ht="14.1" customHeight="1"/>
    <row r="655" ht="14.1" customHeight="1"/>
    <row r="656" ht="14.1" customHeight="1"/>
    <row r="657" ht="14.1" customHeight="1"/>
    <row r="658" ht="14.1" customHeight="1"/>
    <row r="659" ht="14.1" customHeight="1"/>
    <row r="660" ht="14.1" customHeight="1"/>
    <row r="661" ht="14.1" customHeight="1"/>
    <row r="662" ht="14.1" customHeight="1"/>
    <row r="663" ht="14.1" customHeight="1"/>
    <row r="664" ht="14.1" customHeight="1"/>
    <row r="665" ht="14.1" customHeight="1"/>
    <row r="666" ht="14.1" customHeight="1"/>
    <row r="667" ht="14.1" customHeight="1"/>
    <row r="668" ht="14.1" customHeight="1"/>
    <row r="669" ht="14.1" customHeight="1"/>
    <row r="670" ht="14.1" customHeight="1"/>
    <row r="671" ht="14.1" customHeight="1"/>
    <row r="672" ht="14.1" customHeight="1"/>
    <row r="673" ht="14.1" customHeight="1"/>
    <row r="674" ht="14.1" customHeight="1"/>
    <row r="675" ht="14.1" customHeight="1"/>
    <row r="676" ht="14.1" customHeight="1"/>
    <row r="677" ht="14.1" customHeight="1"/>
    <row r="678" ht="14.1" customHeight="1"/>
    <row r="679" ht="14.1" customHeight="1"/>
    <row r="680" ht="14.1" customHeight="1"/>
    <row r="681" ht="14.1" customHeight="1"/>
    <row r="682" ht="14.1" customHeight="1"/>
    <row r="683" ht="14.1" customHeight="1"/>
    <row r="684" ht="14.1" customHeight="1"/>
    <row r="685" ht="14.1" customHeight="1"/>
    <row r="686" ht="14.1" customHeight="1"/>
    <row r="687" ht="14.1" customHeight="1"/>
    <row r="688" ht="14.1" customHeight="1"/>
    <row r="689" ht="14.1" customHeight="1"/>
    <row r="690" ht="14.1" customHeight="1"/>
    <row r="691" ht="14.1" customHeight="1"/>
    <row r="692" ht="14.1" customHeight="1"/>
    <row r="693" ht="14.1" customHeight="1"/>
    <row r="694" ht="14.1" customHeight="1"/>
    <row r="695" ht="14.1" customHeight="1"/>
    <row r="696" ht="14.1" customHeight="1"/>
    <row r="697" ht="14.1" customHeight="1"/>
    <row r="698" ht="14.1" customHeight="1"/>
    <row r="699" ht="14.1" customHeight="1"/>
    <row r="700" ht="14.1" customHeight="1"/>
    <row r="701" ht="14.1" customHeight="1"/>
    <row r="702" ht="14.1" customHeight="1"/>
    <row r="703" ht="14.1" customHeight="1"/>
    <row r="704" ht="14.1" customHeight="1"/>
    <row r="705" ht="14.1" customHeight="1"/>
    <row r="706" ht="14.1" customHeight="1"/>
    <row r="707" ht="14.1" customHeight="1"/>
    <row r="708" ht="14.1" customHeight="1"/>
    <row r="709" ht="14.1" customHeight="1"/>
    <row r="710" ht="14.1" customHeight="1"/>
    <row r="711" ht="14.1" customHeight="1"/>
    <row r="712" ht="14.1" customHeight="1"/>
    <row r="713" ht="14.1" customHeight="1"/>
    <row r="714" ht="14.1" customHeight="1"/>
    <row r="715" ht="14.1" customHeight="1"/>
    <row r="716" ht="14.1" customHeight="1"/>
    <row r="717" ht="14.1" customHeight="1"/>
    <row r="718" ht="14.1" customHeight="1"/>
    <row r="719" ht="14.1" customHeight="1"/>
    <row r="720" ht="14.1" customHeight="1"/>
    <row r="721" ht="14.1" customHeight="1"/>
    <row r="722" ht="14.1" customHeight="1"/>
    <row r="723" ht="14.1" customHeight="1"/>
    <row r="724" ht="14.1" customHeight="1"/>
    <row r="725" ht="14.1" customHeight="1"/>
    <row r="726" ht="14.1" customHeight="1"/>
    <row r="727" ht="14.1" customHeight="1"/>
    <row r="728" ht="14.1" customHeight="1"/>
    <row r="729" ht="14.1" customHeight="1"/>
    <row r="730" ht="14.1" customHeight="1"/>
    <row r="731" ht="14.1" customHeight="1"/>
    <row r="732" ht="14.1" customHeight="1"/>
    <row r="733" ht="14.1" customHeight="1"/>
    <row r="734" ht="14.1" customHeight="1"/>
    <row r="735" ht="14.1" customHeight="1"/>
    <row r="736" ht="14.1" customHeight="1"/>
    <row r="737" ht="14.1" customHeight="1"/>
    <row r="738" ht="14.1" customHeight="1"/>
    <row r="739" ht="14.1" customHeight="1"/>
    <row r="740" ht="14.1" customHeight="1"/>
    <row r="741" ht="14.1" customHeight="1"/>
    <row r="742" ht="14.1" customHeight="1"/>
    <row r="743" ht="14.1" customHeight="1"/>
    <row r="744" ht="14.1" customHeight="1"/>
    <row r="745" ht="14.1" customHeight="1"/>
    <row r="746" ht="14.1" customHeight="1"/>
    <row r="747" ht="14.1" customHeight="1"/>
    <row r="748" ht="14.1" customHeight="1"/>
    <row r="749" ht="14.1" customHeight="1"/>
    <row r="750" ht="14.1" customHeight="1"/>
    <row r="751" ht="14.1" customHeight="1"/>
    <row r="752" ht="14.1" customHeight="1"/>
    <row r="753" ht="14.1" customHeight="1"/>
    <row r="754" ht="14.1" customHeight="1"/>
    <row r="755" ht="14.1" customHeight="1"/>
    <row r="756" ht="14.1" customHeight="1"/>
    <row r="757" ht="14.1" customHeight="1"/>
    <row r="758" ht="14.1" customHeight="1"/>
    <row r="759" ht="14.1" customHeight="1"/>
    <row r="760" ht="14.1" customHeight="1"/>
    <row r="761" ht="14.1" customHeight="1"/>
    <row r="762" ht="14.1" customHeight="1"/>
    <row r="763" ht="14.1" customHeight="1"/>
    <row r="764" ht="14.1" customHeight="1"/>
    <row r="765" ht="14.1" customHeight="1"/>
    <row r="766" ht="14.1" customHeight="1"/>
    <row r="767" ht="14.1" customHeight="1"/>
    <row r="768" ht="14.1" customHeight="1"/>
    <row r="769" ht="14.1" customHeight="1"/>
    <row r="770" ht="14.1" customHeight="1"/>
    <row r="771" ht="14.1" customHeight="1"/>
    <row r="772" ht="14.1" customHeight="1"/>
    <row r="773" ht="14.1" customHeight="1"/>
    <row r="774" ht="14.1" customHeight="1"/>
    <row r="775" ht="14.1" customHeight="1"/>
    <row r="776" ht="14.1" customHeight="1"/>
    <row r="777" ht="14.1" customHeight="1"/>
    <row r="778" ht="14.1" customHeight="1"/>
    <row r="779" ht="14.1" customHeight="1"/>
    <row r="780" ht="14.1" customHeight="1"/>
    <row r="781" ht="14.1" customHeight="1"/>
    <row r="782" ht="14.1" customHeight="1"/>
    <row r="783" ht="14.1" customHeight="1"/>
    <row r="784" ht="14.1" customHeight="1"/>
    <row r="785" ht="14.1" customHeight="1"/>
    <row r="786" ht="14.1" customHeight="1"/>
    <row r="787" ht="14.1" customHeight="1"/>
    <row r="788" ht="14.1" customHeight="1"/>
    <row r="789" ht="14.1" customHeight="1"/>
    <row r="790" ht="14.1" customHeight="1"/>
    <row r="791" ht="14.1" customHeight="1"/>
    <row r="792" ht="14.1" customHeight="1"/>
    <row r="793" ht="14.1" customHeight="1"/>
  </sheetData>
  <pageMargins left="0.7" right="0.7" top="0.75" bottom="0.75" header="0.3" footer="0.3"/>
  <headerFooter>
    <oddFooter>&amp;L_x000D_&amp;1#&amp;"Arial"&amp;7&amp;KDAD4CE Public&amp;C&amp;"Verdana"&amp;10 &amp;KC1C1C1_x000D_# Restricted</oddFooter>
  </headerFooter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E00-000000000000}">
  <sheetPr codeName="Sheet3">
    <tabColor rgb="FF0070C0"/>
    <pageSetUpPr fitToPage="1"/>
  </sheetPr>
  <dimension ref="A1:U793"/>
  <sheetViews>
    <sheetView zoomScale="80" zoomScaleNormal="80" workbookViewId="0">
      <pane ySplit="4" topLeftCell="A5" activePane="bottomLeft" state="frozen"/>
      <selection activeCell="A16" sqref="A16"/>
      <selection pane="bottomLeft" activeCell="A16" sqref="A16"/>
    </sheetView>
  </sheetViews>
  <sheetFormatPr defaultColWidth="8.85546875" defaultRowHeight="15" customHeight="1"/>
  <cols>
    <col min="1" max="1" width="4.140625" style="3" customWidth="1"/>
    <col min="2" max="3" width="8.5703125" style="20" customWidth="1"/>
    <col min="4" max="4" width="14.5703125" style="3" customWidth="1"/>
    <col min="5" max="5" width="20.5703125" style="20" customWidth="1"/>
    <col min="6" max="6" width="8.5703125" style="3" customWidth="1"/>
    <col min="7" max="7" width="32.5703125" style="2" customWidth="1"/>
    <col min="8" max="8" width="18.5703125" style="3" customWidth="1"/>
    <col min="9" max="9" width="62.5703125" style="2" customWidth="1"/>
    <col min="10" max="12" width="9.5703125" style="3" customWidth="1"/>
    <col min="13" max="13" width="10.5703125" style="3" customWidth="1"/>
    <col min="14" max="14" width="8.5703125" style="3" customWidth="1"/>
    <col min="15" max="15" width="10.5703125" style="3" customWidth="1"/>
    <col min="16" max="16" width="5.5703125" style="3" customWidth="1"/>
    <col min="17" max="17" width="1.5703125" style="2" customWidth="1"/>
    <col min="18" max="18" width="10.5703125" style="30" customWidth="1"/>
    <col min="19" max="19" width="1.5703125" style="2" customWidth="1"/>
    <col min="20" max="21" width="10.5703125" style="2" customWidth="1"/>
    <col min="22" max="220" width="8.85546875" style="2" customWidth="1"/>
    <col min="221" max="221" width="8.140625" style="2" customWidth="1"/>
    <col min="222" max="222" width="14.42578125" style="2" customWidth="1"/>
    <col min="223" max="223" width="37.42578125" style="2" customWidth="1"/>
    <col min="224" max="224" width="63.140625" style="2" customWidth="1"/>
    <col min="225" max="225" width="20" style="2" customWidth="1"/>
    <col min="226" max="226" width="11.140625" style="2" customWidth="1"/>
    <col min="227" max="227" width="10.85546875" style="2" customWidth="1"/>
    <col min="228" max="228" width="21" style="2" customWidth="1"/>
    <col min="229" max="229" width="10.85546875" style="2" customWidth="1"/>
    <col min="230" max="230" width="17.42578125" style="2" customWidth="1"/>
    <col min="231" max="231" width="14.85546875" style="2" customWidth="1"/>
    <col min="232" max="232" width="15" style="2" customWidth="1"/>
    <col min="233" max="233" width="14.85546875" style="2" customWidth="1"/>
    <col min="234" max="234" width="7.140625" style="2" customWidth="1"/>
    <col min="235" max="236" width="20.140625" style="2" customWidth="1"/>
    <col min="237" max="237" width="18.42578125" style="2" customWidth="1"/>
    <col min="238" max="238" width="9.140625" style="2" customWidth="1"/>
    <col min="239" max="239" width="12" style="2" customWidth="1"/>
    <col min="240" max="240" width="14.85546875" style="2" customWidth="1"/>
    <col min="241" max="241" width="22.42578125" style="2" customWidth="1"/>
    <col min="242" max="242" width="14.85546875" style="2" customWidth="1"/>
    <col min="243" max="243" width="7.140625" style="2" customWidth="1"/>
    <col min="244" max="244" width="20.140625" style="2" customWidth="1"/>
    <col min="245" max="476" width="8.85546875" style="2" customWidth="1"/>
    <col min="477" max="477" width="8.140625" style="2" customWidth="1"/>
    <col min="478" max="478" width="14.42578125" style="2" customWidth="1"/>
    <col min="479" max="479" width="37.42578125" style="2" customWidth="1"/>
    <col min="480" max="480" width="63.140625" style="2" customWidth="1"/>
    <col min="481" max="481" width="20" style="2" customWidth="1"/>
    <col min="482" max="482" width="11.140625" style="2" customWidth="1"/>
    <col min="483" max="483" width="10.85546875" style="2" customWidth="1"/>
    <col min="484" max="484" width="21" style="2" customWidth="1"/>
    <col min="485" max="485" width="10.85546875" style="2" customWidth="1"/>
    <col min="486" max="486" width="17.42578125" style="2" customWidth="1"/>
    <col min="487" max="487" width="14.85546875" style="2" customWidth="1"/>
    <col min="488" max="488" width="15" style="2" customWidth="1"/>
    <col min="489" max="489" width="14.85546875" style="2" customWidth="1"/>
    <col min="490" max="490" width="7.140625" style="2" customWidth="1"/>
    <col min="491" max="492" width="20.140625" style="2" customWidth="1"/>
    <col min="493" max="493" width="18.42578125" style="2" customWidth="1"/>
    <col min="494" max="494" width="9.140625" style="2" customWidth="1"/>
    <col min="495" max="495" width="12" style="2" customWidth="1"/>
    <col min="496" max="496" width="14.85546875" style="2" customWidth="1"/>
    <col min="497" max="497" width="22.42578125" style="2" customWidth="1"/>
    <col min="498" max="498" width="14.85546875" style="2" customWidth="1"/>
    <col min="499" max="499" width="7.140625" style="2" customWidth="1"/>
    <col min="500" max="500" width="20.140625" style="2" customWidth="1"/>
    <col min="501" max="732" width="8.85546875" style="2" customWidth="1"/>
    <col min="733" max="733" width="8.140625" style="2" customWidth="1"/>
    <col min="734" max="734" width="14.42578125" style="2" customWidth="1"/>
    <col min="735" max="735" width="37.42578125" style="2" customWidth="1"/>
    <col min="736" max="736" width="63.140625" style="2" customWidth="1"/>
    <col min="737" max="737" width="20" style="2" customWidth="1"/>
    <col min="738" max="738" width="11.140625" style="2" customWidth="1"/>
    <col min="739" max="739" width="10.85546875" style="2" customWidth="1"/>
    <col min="740" max="740" width="21" style="2" customWidth="1"/>
    <col min="741" max="741" width="10.85546875" style="2" customWidth="1"/>
    <col min="742" max="742" width="17.42578125" style="2" customWidth="1"/>
    <col min="743" max="743" width="14.85546875" style="2" customWidth="1"/>
    <col min="744" max="744" width="15" style="2" customWidth="1"/>
    <col min="745" max="745" width="14.85546875" style="2" customWidth="1"/>
    <col min="746" max="746" width="7.140625" style="2" customWidth="1"/>
    <col min="747" max="748" width="20.140625" style="2" customWidth="1"/>
    <col min="749" max="749" width="18.42578125" style="2" customWidth="1"/>
    <col min="750" max="750" width="9.140625" style="2" customWidth="1"/>
    <col min="751" max="751" width="12" style="2" customWidth="1"/>
    <col min="752" max="752" width="14.85546875" style="2" customWidth="1"/>
    <col min="753" max="753" width="22.42578125" style="2" customWidth="1"/>
    <col min="754" max="754" width="14.85546875" style="2" customWidth="1"/>
    <col min="755" max="755" width="7.140625" style="2" customWidth="1"/>
    <col min="756" max="756" width="20.140625" style="2" customWidth="1"/>
    <col min="757" max="988" width="8.85546875" style="2" customWidth="1"/>
    <col min="989" max="989" width="8.140625" style="2" customWidth="1"/>
    <col min="990" max="990" width="14.42578125" style="2" customWidth="1"/>
    <col min="991" max="991" width="37.42578125" style="2" customWidth="1"/>
    <col min="992" max="992" width="63.140625" style="2" customWidth="1"/>
    <col min="993" max="993" width="20" style="2" customWidth="1"/>
    <col min="994" max="994" width="11.140625" style="2" customWidth="1"/>
    <col min="995" max="995" width="10.85546875" style="2" customWidth="1"/>
    <col min="996" max="996" width="21" style="2" customWidth="1"/>
    <col min="997" max="997" width="10.85546875" style="2" customWidth="1"/>
    <col min="998" max="998" width="17.42578125" style="2" customWidth="1"/>
    <col min="999" max="999" width="14.85546875" style="2" customWidth="1"/>
    <col min="1000" max="1000" width="15" style="2" customWidth="1"/>
    <col min="1001" max="1001" width="14.85546875" style="2" customWidth="1"/>
    <col min="1002" max="1002" width="7.140625" style="2" customWidth="1"/>
    <col min="1003" max="1004" width="20.140625" style="2" customWidth="1"/>
    <col min="1005" max="1005" width="18.42578125" style="2" customWidth="1"/>
    <col min="1006" max="1006" width="9.140625" style="2" customWidth="1"/>
    <col min="1007" max="1007" width="12" style="2" customWidth="1"/>
    <col min="1008" max="1008" width="14.85546875" style="2" customWidth="1"/>
    <col min="1009" max="1009" width="22.42578125" style="2" customWidth="1"/>
    <col min="1010" max="1010" width="14.85546875" style="2" customWidth="1"/>
    <col min="1011" max="1011" width="7.140625" style="2" customWidth="1"/>
    <col min="1012" max="1012" width="20.140625" style="2" customWidth="1"/>
    <col min="1013" max="1244" width="8.85546875" style="2" customWidth="1"/>
    <col min="1245" max="1245" width="8.140625" style="2" customWidth="1"/>
    <col min="1246" max="1246" width="14.42578125" style="2" customWidth="1"/>
    <col min="1247" max="1247" width="37.42578125" style="2" customWidth="1"/>
    <col min="1248" max="1248" width="63.140625" style="2" customWidth="1"/>
    <col min="1249" max="1249" width="20" style="2" customWidth="1"/>
    <col min="1250" max="1250" width="11.140625" style="2" customWidth="1"/>
    <col min="1251" max="1251" width="10.85546875" style="2" customWidth="1"/>
    <col min="1252" max="1252" width="21" style="2" customWidth="1"/>
    <col min="1253" max="1253" width="10.85546875" style="2" customWidth="1"/>
    <col min="1254" max="1254" width="17.42578125" style="2" customWidth="1"/>
    <col min="1255" max="1255" width="14.85546875" style="2" customWidth="1"/>
    <col min="1256" max="1256" width="15" style="2" customWidth="1"/>
    <col min="1257" max="1257" width="14.85546875" style="2" customWidth="1"/>
    <col min="1258" max="1258" width="7.140625" style="2" customWidth="1"/>
    <col min="1259" max="1260" width="20.140625" style="2" customWidth="1"/>
    <col min="1261" max="1261" width="18.42578125" style="2" customWidth="1"/>
    <col min="1262" max="1262" width="9.140625" style="2" customWidth="1"/>
    <col min="1263" max="1263" width="12" style="2" customWidth="1"/>
    <col min="1264" max="1264" width="14.85546875" style="2" customWidth="1"/>
    <col min="1265" max="1265" width="22.42578125" style="2" customWidth="1"/>
    <col min="1266" max="1266" width="14.85546875" style="2" customWidth="1"/>
    <col min="1267" max="1267" width="7.140625" style="2" customWidth="1"/>
    <col min="1268" max="1268" width="20.140625" style="2" customWidth="1"/>
    <col min="1269" max="1500" width="8.85546875" style="2" customWidth="1"/>
    <col min="1501" max="1501" width="8.140625" style="2" customWidth="1"/>
    <col min="1502" max="1502" width="14.42578125" style="2" customWidth="1"/>
    <col min="1503" max="1503" width="37.42578125" style="2" customWidth="1"/>
    <col min="1504" max="1504" width="63.140625" style="2" customWidth="1"/>
    <col min="1505" max="1505" width="20" style="2" customWidth="1"/>
    <col min="1506" max="1506" width="11.140625" style="2" customWidth="1"/>
    <col min="1507" max="1507" width="10.85546875" style="2" customWidth="1"/>
    <col min="1508" max="1508" width="21" style="2" customWidth="1"/>
    <col min="1509" max="1509" width="10.85546875" style="2" customWidth="1"/>
    <col min="1510" max="1510" width="17.42578125" style="2" customWidth="1"/>
    <col min="1511" max="1511" width="14.85546875" style="2" customWidth="1"/>
    <col min="1512" max="1512" width="15" style="2" customWidth="1"/>
    <col min="1513" max="1513" width="14.85546875" style="2" customWidth="1"/>
    <col min="1514" max="1514" width="7.140625" style="2" customWidth="1"/>
    <col min="1515" max="1516" width="20.140625" style="2" customWidth="1"/>
    <col min="1517" max="1517" width="18.42578125" style="2" customWidth="1"/>
    <col min="1518" max="1518" width="9.140625" style="2" customWidth="1"/>
    <col min="1519" max="1519" width="12" style="2" customWidth="1"/>
    <col min="1520" max="1520" width="14.85546875" style="2" customWidth="1"/>
    <col min="1521" max="1521" width="22.42578125" style="2" customWidth="1"/>
    <col min="1522" max="1522" width="14.85546875" style="2" customWidth="1"/>
    <col min="1523" max="1523" width="7.140625" style="2" customWidth="1"/>
    <col min="1524" max="1524" width="20.140625" style="2" customWidth="1"/>
    <col min="1525" max="1756" width="8.85546875" style="2" customWidth="1"/>
    <col min="1757" max="1757" width="8.140625" style="2" customWidth="1"/>
    <col min="1758" max="1758" width="14.42578125" style="2" customWidth="1"/>
    <col min="1759" max="1759" width="37.42578125" style="2" customWidth="1"/>
    <col min="1760" max="1760" width="63.140625" style="2" customWidth="1"/>
    <col min="1761" max="1761" width="20" style="2" customWidth="1"/>
    <col min="1762" max="1762" width="11.140625" style="2" customWidth="1"/>
    <col min="1763" max="1763" width="10.85546875" style="2" customWidth="1"/>
    <col min="1764" max="1764" width="21" style="2" customWidth="1"/>
    <col min="1765" max="1765" width="10.85546875" style="2" customWidth="1"/>
    <col min="1766" max="1766" width="17.42578125" style="2" customWidth="1"/>
    <col min="1767" max="1767" width="14.85546875" style="2" customWidth="1"/>
    <col min="1768" max="1768" width="15" style="2" customWidth="1"/>
    <col min="1769" max="1769" width="14.85546875" style="2" customWidth="1"/>
    <col min="1770" max="1770" width="7.140625" style="2" customWidth="1"/>
    <col min="1771" max="1772" width="20.140625" style="2" customWidth="1"/>
    <col min="1773" max="1773" width="18.42578125" style="2" customWidth="1"/>
    <col min="1774" max="1774" width="9.140625" style="2" customWidth="1"/>
    <col min="1775" max="1775" width="12" style="2" customWidth="1"/>
    <col min="1776" max="1776" width="14.85546875" style="2" customWidth="1"/>
    <col min="1777" max="1777" width="22.42578125" style="2" customWidth="1"/>
    <col min="1778" max="1778" width="14.85546875" style="2" customWidth="1"/>
    <col min="1779" max="1779" width="7.140625" style="2" customWidth="1"/>
    <col min="1780" max="1780" width="20.140625" style="2" customWidth="1"/>
    <col min="1781" max="2012" width="8.85546875" style="2" customWidth="1"/>
    <col min="2013" max="2013" width="8.140625" style="2" customWidth="1"/>
    <col min="2014" max="2014" width="14.42578125" style="2" customWidth="1"/>
    <col min="2015" max="2015" width="37.42578125" style="2" customWidth="1"/>
    <col min="2016" max="2016" width="63.140625" style="2" customWidth="1"/>
    <col min="2017" max="2017" width="20" style="2" customWidth="1"/>
    <col min="2018" max="2018" width="11.140625" style="2" customWidth="1"/>
    <col min="2019" max="2019" width="10.85546875" style="2" customWidth="1"/>
    <col min="2020" max="2020" width="21" style="2" customWidth="1"/>
    <col min="2021" max="2021" width="10.85546875" style="2" customWidth="1"/>
    <col min="2022" max="2022" width="17.42578125" style="2" customWidth="1"/>
    <col min="2023" max="2023" width="14.85546875" style="2" customWidth="1"/>
    <col min="2024" max="2024" width="15" style="2" customWidth="1"/>
    <col min="2025" max="2025" width="14.85546875" style="2" customWidth="1"/>
    <col min="2026" max="2026" width="7.140625" style="2" customWidth="1"/>
    <col min="2027" max="2028" width="20.140625" style="2" customWidth="1"/>
    <col min="2029" max="2029" width="18.42578125" style="2" customWidth="1"/>
    <col min="2030" max="2030" width="9.140625" style="2" customWidth="1"/>
    <col min="2031" max="2031" width="12" style="2" customWidth="1"/>
    <col min="2032" max="2032" width="14.85546875" style="2" customWidth="1"/>
    <col min="2033" max="2033" width="22.42578125" style="2" customWidth="1"/>
    <col min="2034" max="2034" width="14.85546875" style="2" customWidth="1"/>
    <col min="2035" max="2035" width="7.140625" style="2" customWidth="1"/>
    <col min="2036" max="2036" width="20.140625" style="2" customWidth="1"/>
    <col min="2037" max="2268" width="8.85546875" style="2" customWidth="1"/>
    <col min="2269" max="2269" width="8.140625" style="2" customWidth="1"/>
    <col min="2270" max="2270" width="14.42578125" style="2" customWidth="1"/>
    <col min="2271" max="2271" width="37.42578125" style="2" customWidth="1"/>
    <col min="2272" max="2272" width="63.140625" style="2" customWidth="1"/>
    <col min="2273" max="2273" width="20" style="2" customWidth="1"/>
    <col min="2274" max="2274" width="11.140625" style="2" customWidth="1"/>
    <col min="2275" max="2275" width="10.85546875" style="2" customWidth="1"/>
    <col min="2276" max="2276" width="21" style="2" customWidth="1"/>
    <col min="2277" max="2277" width="10.85546875" style="2" customWidth="1"/>
    <col min="2278" max="2278" width="17.42578125" style="2" customWidth="1"/>
    <col min="2279" max="2279" width="14.85546875" style="2" customWidth="1"/>
    <col min="2280" max="2280" width="15" style="2" customWidth="1"/>
    <col min="2281" max="2281" width="14.85546875" style="2" customWidth="1"/>
    <col min="2282" max="2282" width="7.140625" style="2" customWidth="1"/>
    <col min="2283" max="2284" width="20.140625" style="2" customWidth="1"/>
    <col min="2285" max="2285" width="18.42578125" style="2" customWidth="1"/>
    <col min="2286" max="2286" width="9.140625" style="2" customWidth="1"/>
    <col min="2287" max="2287" width="12" style="2" customWidth="1"/>
    <col min="2288" max="2288" width="14.85546875" style="2" customWidth="1"/>
    <col min="2289" max="2289" width="22.42578125" style="2" customWidth="1"/>
    <col min="2290" max="2290" width="14.85546875" style="2" customWidth="1"/>
    <col min="2291" max="2291" width="7.140625" style="2" customWidth="1"/>
    <col min="2292" max="2292" width="20.140625" style="2" customWidth="1"/>
    <col min="2293" max="2524" width="8.85546875" style="2" customWidth="1"/>
    <col min="2525" max="2525" width="8.140625" style="2" customWidth="1"/>
    <col min="2526" max="2526" width="14.42578125" style="2" customWidth="1"/>
    <col min="2527" max="2527" width="37.42578125" style="2" customWidth="1"/>
    <col min="2528" max="2528" width="63.140625" style="2" customWidth="1"/>
    <col min="2529" max="2529" width="20" style="2" customWidth="1"/>
    <col min="2530" max="2530" width="11.140625" style="2" customWidth="1"/>
    <col min="2531" max="2531" width="10.85546875" style="2" customWidth="1"/>
    <col min="2532" max="2532" width="21" style="2" customWidth="1"/>
    <col min="2533" max="2533" width="10.85546875" style="2" customWidth="1"/>
    <col min="2534" max="2534" width="17.42578125" style="2" customWidth="1"/>
    <col min="2535" max="2535" width="14.85546875" style="2" customWidth="1"/>
    <col min="2536" max="2536" width="15" style="2" customWidth="1"/>
    <col min="2537" max="2537" width="14.85546875" style="2" customWidth="1"/>
    <col min="2538" max="2538" width="7.140625" style="2" customWidth="1"/>
    <col min="2539" max="2540" width="20.140625" style="2" customWidth="1"/>
    <col min="2541" max="2541" width="18.42578125" style="2" customWidth="1"/>
    <col min="2542" max="2542" width="9.140625" style="2" customWidth="1"/>
    <col min="2543" max="2543" width="12" style="2" customWidth="1"/>
    <col min="2544" max="2544" width="14.85546875" style="2" customWidth="1"/>
    <col min="2545" max="2545" width="22.42578125" style="2" customWidth="1"/>
    <col min="2546" max="2546" width="14.85546875" style="2" customWidth="1"/>
    <col min="2547" max="2547" width="7.140625" style="2" customWidth="1"/>
    <col min="2548" max="2548" width="20.140625" style="2" customWidth="1"/>
    <col min="2549" max="2780" width="8.85546875" style="2" customWidth="1"/>
    <col min="2781" max="2781" width="8.140625" style="2" customWidth="1"/>
    <col min="2782" max="2782" width="14.42578125" style="2" customWidth="1"/>
    <col min="2783" max="2783" width="37.42578125" style="2" customWidth="1"/>
    <col min="2784" max="2784" width="63.140625" style="2" customWidth="1"/>
    <col min="2785" max="2785" width="20" style="2" customWidth="1"/>
    <col min="2786" max="2786" width="11.140625" style="2" customWidth="1"/>
    <col min="2787" max="2787" width="10.85546875" style="2" customWidth="1"/>
    <col min="2788" max="2788" width="21" style="2" customWidth="1"/>
    <col min="2789" max="2789" width="10.85546875" style="2" customWidth="1"/>
    <col min="2790" max="2790" width="17.42578125" style="2" customWidth="1"/>
    <col min="2791" max="2791" width="14.85546875" style="2" customWidth="1"/>
    <col min="2792" max="2792" width="15" style="2" customWidth="1"/>
    <col min="2793" max="2793" width="14.85546875" style="2" customWidth="1"/>
    <col min="2794" max="2794" width="7.140625" style="2" customWidth="1"/>
    <col min="2795" max="2796" width="20.140625" style="2" customWidth="1"/>
    <col min="2797" max="2797" width="18.42578125" style="2" customWidth="1"/>
    <col min="2798" max="2798" width="9.140625" style="2" customWidth="1"/>
    <col min="2799" max="2799" width="12" style="2" customWidth="1"/>
    <col min="2800" max="2800" width="14.85546875" style="2" customWidth="1"/>
    <col min="2801" max="2801" width="22.42578125" style="2" customWidth="1"/>
    <col min="2802" max="2802" width="14.85546875" style="2" customWidth="1"/>
    <col min="2803" max="2803" width="7.140625" style="2" customWidth="1"/>
    <col min="2804" max="2804" width="20.140625" style="2" customWidth="1"/>
    <col min="2805" max="3036" width="8.85546875" style="2" customWidth="1"/>
    <col min="3037" max="3037" width="8.140625" style="2" customWidth="1"/>
    <col min="3038" max="3038" width="14.42578125" style="2" customWidth="1"/>
    <col min="3039" max="3039" width="37.42578125" style="2" customWidth="1"/>
    <col min="3040" max="3040" width="63.140625" style="2" customWidth="1"/>
    <col min="3041" max="3041" width="20" style="2" customWidth="1"/>
    <col min="3042" max="3042" width="11.140625" style="2" customWidth="1"/>
    <col min="3043" max="3043" width="10.85546875" style="2" customWidth="1"/>
    <col min="3044" max="3044" width="21" style="2" customWidth="1"/>
    <col min="3045" max="3045" width="10.85546875" style="2" customWidth="1"/>
    <col min="3046" max="3046" width="17.42578125" style="2" customWidth="1"/>
    <col min="3047" max="3047" width="14.85546875" style="2" customWidth="1"/>
    <col min="3048" max="3048" width="15" style="2" customWidth="1"/>
    <col min="3049" max="3049" width="14.85546875" style="2" customWidth="1"/>
    <col min="3050" max="3050" width="7.140625" style="2" customWidth="1"/>
    <col min="3051" max="3052" width="20.140625" style="2" customWidth="1"/>
    <col min="3053" max="3053" width="18.42578125" style="2" customWidth="1"/>
    <col min="3054" max="3054" width="9.140625" style="2" customWidth="1"/>
    <col min="3055" max="3055" width="12" style="2" customWidth="1"/>
    <col min="3056" max="3056" width="14.85546875" style="2" customWidth="1"/>
    <col min="3057" max="3057" width="22.42578125" style="2" customWidth="1"/>
    <col min="3058" max="3058" width="14.85546875" style="2" customWidth="1"/>
    <col min="3059" max="3059" width="7.140625" style="2" customWidth="1"/>
    <col min="3060" max="3060" width="20.140625" style="2" customWidth="1"/>
    <col min="3061" max="3292" width="8.85546875" style="2" customWidth="1"/>
    <col min="3293" max="3293" width="8.140625" style="2" customWidth="1"/>
    <col min="3294" max="3294" width="14.42578125" style="2" customWidth="1"/>
    <col min="3295" max="3295" width="37.42578125" style="2" customWidth="1"/>
    <col min="3296" max="3296" width="63.140625" style="2" customWidth="1"/>
    <col min="3297" max="3297" width="20" style="2" customWidth="1"/>
    <col min="3298" max="3298" width="11.140625" style="2" customWidth="1"/>
    <col min="3299" max="3299" width="10.85546875" style="2" customWidth="1"/>
    <col min="3300" max="3300" width="21" style="2" customWidth="1"/>
    <col min="3301" max="3301" width="10.85546875" style="2" customWidth="1"/>
    <col min="3302" max="3302" width="17.42578125" style="2" customWidth="1"/>
    <col min="3303" max="3303" width="14.85546875" style="2" customWidth="1"/>
    <col min="3304" max="3304" width="15" style="2" customWidth="1"/>
    <col min="3305" max="3305" width="14.85546875" style="2" customWidth="1"/>
    <col min="3306" max="3306" width="7.140625" style="2" customWidth="1"/>
    <col min="3307" max="3308" width="20.140625" style="2" customWidth="1"/>
    <col min="3309" max="3309" width="18.42578125" style="2" customWidth="1"/>
    <col min="3310" max="3310" width="9.140625" style="2" customWidth="1"/>
    <col min="3311" max="3311" width="12" style="2" customWidth="1"/>
    <col min="3312" max="3312" width="14.85546875" style="2" customWidth="1"/>
    <col min="3313" max="3313" width="22.42578125" style="2" customWidth="1"/>
    <col min="3314" max="3314" width="14.85546875" style="2" customWidth="1"/>
    <col min="3315" max="3315" width="7.140625" style="2" customWidth="1"/>
    <col min="3316" max="3316" width="20.140625" style="2" customWidth="1"/>
    <col min="3317" max="3548" width="8.85546875" style="2" customWidth="1"/>
    <col min="3549" max="3549" width="8.140625" style="2" customWidth="1"/>
    <col min="3550" max="3550" width="14.42578125" style="2" customWidth="1"/>
    <col min="3551" max="3551" width="37.42578125" style="2" customWidth="1"/>
    <col min="3552" max="3552" width="63.140625" style="2" customWidth="1"/>
    <col min="3553" max="3553" width="20" style="2" customWidth="1"/>
    <col min="3554" max="3554" width="11.140625" style="2" customWidth="1"/>
    <col min="3555" max="3555" width="10.85546875" style="2" customWidth="1"/>
    <col min="3556" max="3556" width="21" style="2" customWidth="1"/>
    <col min="3557" max="3557" width="10.85546875" style="2" customWidth="1"/>
    <col min="3558" max="3558" width="17.42578125" style="2" customWidth="1"/>
    <col min="3559" max="3559" width="14.85546875" style="2" customWidth="1"/>
    <col min="3560" max="3560" width="15" style="2" customWidth="1"/>
    <col min="3561" max="3561" width="14.85546875" style="2" customWidth="1"/>
    <col min="3562" max="3562" width="7.140625" style="2" customWidth="1"/>
    <col min="3563" max="3564" width="20.140625" style="2" customWidth="1"/>
    <col min="3565" max="3565" width="18.42578125" style="2" customWidth="1"/>
    <col min="3566" max="3566" width="9.140625" style="2" customWidth="1"/>
    <col min="3567" max="3567" width="12" style="2" customWidth="1"/>
    <col min="3568" max="3568" width="14.85546875" style="2" customWidth="1"/>
    <col min="3569" max="3569" width="22.42578125" style="2" customWidth="1"/>
    <col min="3570" max="3570" width="14.85546875" style="2" customWidth="1"/>
    <col min="3571" max="3571" width="7.140625" style="2" customWidth="1"/>
    <col min="3572" max="3572" width="20.140625" style="2" customWidth="1"/>
    <col min="3573" max="3804" width="8.85546875" style="2" customWidth="1"/>
    <col min="3805" max="3805" width="8.140625" style="2" customWidth="1"/>
    <col min="3806" max="3806" width="14.42578125" style="2" customWidth="1"/>
    <col min="3807" max="3807" width="37.42578125" style="2" customWidth="1"/>
    <col min="3808" max="3808" width="63.140625" style="2" customWidth="1"/>
    <col min="3809" max="3809" width="20" style="2" customWidth="1"/>
    <col min="3810" max="3810" width="11.140625" style="2" customWidth="1"/>
    <col min="3811" max="3811" width="10.85546875" style="2" customWidth="1"/>
    <col min="3812" max="3812" width="21" style="2" customWidth="1"/>
    <col min="3813" max="3813" width="10.85546875" style="2" customWidth="1"/>
    <col min="3814" max="3814" width="17.42578125" style="2" customWidth="1"/>
    <col min="3815" max="3815" width="14.85546875" style="2" customWidth="1"/>
    <col min="3816" max="3816" width="15" style="2" customWidth="1"/>
    <col min="3817" max="3817" width="14.85546875" style="2" customWidth="1"/>
    <col min="3818" max="3818" width="7.140625" style="2" customWidth="1"/>
    <col min="3819" max="3820" width="20.140625" style="2" customWidth="1"/>
    <col min="3821" max="3821" width="18.42578125" style="2" customWidth="1"/>
    <col min="3822" max="3822" width="9.140625" style="2" customWidth="1"/>
    <col min="3823" max="3823" width="12" style="2" customWidth="1"/>
    <col min="3824" max="3824" width="14.85546875" style="2" customWidth="1"/>
    <col min="3825" max="3825" width="22.42578125" style="2" customWidth="1"/>
    <col min="3826" max="3826" width="14.85546875" style="2" customWidth="1"/>
    <col min="3827" max="3827" width="7.140625" style="2" customWidth="1"/>
    <col min="3828" max="3828" width="20.140625" style="2" customWidth="1"/>
    <col min="3829" max="4060" width="8.85546875" style="2" customWidth="1"/>
    <col min="4061" max="4061" width="8.140625" style="2" customWidth="1"/>
    <col min="4062" max="4062" width="14.42578125" style="2" customWidth="1"/>
    <col min="4063" max="4063" width="37.42578125" style="2" customWidth="1"/>
    <col min="4064" max="4064" width="63.140625" style="2" customWidth="1"/>
    <col min="4065" max="4065" width="20" style="2" customWidth="1"/>
    <col min="4066" max="4066" width="11.140625" style="2" customWidth="1"/>
    <col min="4067" max="4067" width="10.85546875" style="2" customWidth="1"/>
    <col min="4068" max="4068" width="21" style="2" customWidth="1"/>
    <col min="4069" max="4069" width="10.85546875" style="2" customWidth="1"/>
    <col min="4070" max="4070" width="17.42578125" style="2" customWidth="1"/>
    <col min="4071" max="4071" width="14.85546875" style="2" customWidth="1"/>
    <col min="4072" max="4072" width="15" style="2" customWidth="1"/>
    <col min="4073" max="4073" width="14.85546875" style="2" customWidth="1"/>
    <col min="4074" max="4074" width="7.140625" style="2" customWidth="1"/>
    <col min="4075" max="4076" width="20.140625" style="2" customWidth="1"/>
    <col min="4077" max="4077" width="18.42578125" style="2" customWidth="1"/>
    <col min="4078" max="4078" width="9.140625" style="2" customWidth="1"/>
    <col min="4079" max="4079" width="12" style="2" customWidth="1"/>
    <col min="4080" max="4080" width="14.85546875" style="2" customWidth="1"/>
    <col min="4081" max="4081" width="22.42578125" style="2" customWidth="1"/>
    <col min="4082" max="4082" width="14.85546875" style="2" customWidth="1"/>
    <col min="4083" max="4083" width="7.140625" style="2" customWidth="1"/>
    <col min="4084" max="4084" width="20.140625" style="2" customWidth="1"/>
    <col min="4085" max="4316" width="8.85546875" style="2" customWidth="1"/>
    <col min="4317" max="4317" width="8.140625" style="2" customWidth="1"/>
    <col min="4318" max="4318" width="14.42578125" style="2" customWidth="1"/>
    <col min="4319" max="4319" width="37.42578125" style="2" customWidth="1"/>
    <col min="4320" max="4320" width="63.140625" style="2" customWidth="1"/>
    <col min="4321" max="4321" width="20" style="2" customWidth="1"/>
    <col min="4322" max="4322" width="11.140625" style="2" customWidth="1"/>
    <col min="4323" max="4323" width="10.85546875" style="2" customWidth="1"/>
    <col min="4324" max="4324" width="21" style="2" customWidth="1"/>
    <col min="4325" max="4325" width="10.85546875" style="2" customWidth="1"/>
    <col min="4326" max="4326" width="17.42578125" style="2" customWidth="1"/>
    <col min="4327" max="4327" width="14.85546875" style="2" customWidth="1"/>
    <col min="4328" max="4328" width="15" style="2" customWidth="1"/>
    <col min="4329" max="4329" width="14.85546875" style="2" customWidth="1"/>
    <col min="4330" max="4330" width="7.140625" style="2" customWidth="1"/>
    <col min="4331" max="4332" width="20.140625" style="2" customWidth="1"/>
    <col min="4333" max="4333" width="18.42578125" style="2" customWidth="1"/>
    <col min="4334" max="4334" width="9.140625" style="2" customWidth="1"/>
    <col min="4335" max="4335" width="12" style="2" customWidth="1"/>
    <col min="4336" max="4336" width="14.85546875" style="2" customWidth="1"/>
    <col min="4337" max="4337" width="22.42578125" style="2" customWidth="1"/>
    <col min="4338" max="4338" width="14.85546875" style="2" customWidth="1"/>
    <col min="4339" max="4339" width="7.140625" style="2" customWidth="1"/>
    <col min="4340" max="4340" width="20.140625" style="2" customWidth="1"/>
    <col min="4341" max="4572" width="8.85546875" style="2" customWidth="1"/>
    <col min="4573" max="4573" width="8.140625" style="2" customWidth="1"/>
    <col min="4574" max="4574" width="14.42578125" style="2" customWidth="1"/>
    <col min="4575" max="4575" width="37.42578125" style="2" customWidth="1"/>
    <col min="4576" max="4576" width="63.140625" style="2" customWidth="1"/>
    <col min="4577" max="4577" width="20" style="2" customWidth="1"/>
    <col min="4578" max="4578" width="11.140625" style="2" customWidth="1"/>
    <col min="4579" max="4579" width="10.85546875" style="2" customWidth="1"/>
    <col min="4580" max="4580" width="21" style="2" customWidth="1"/>
    <col min="4581" max="4581" width="10.85546875" style="2" customWidth="1"/>
    <col min="4582" max="4582" width="17.42578125" style="2" customWidth="1"/>
    <col min="4583" max="4583" width="14.85546875" style="2" customWidth="1"/>
    <col min="4584" max="4584" width="15" style="2" customWidth="1"/>
    <col min="4585" max="4585" width="14.85546875" style="2" customWidth="1"/>
    <col min="4586" max="4586" width="7.140625" style="2" customWidth="1"/>
    <col min="4587" max="4588" width="20.140625" style="2" customWidth="1"/>
    <col min="4589" max="4589" width="18.42578125" style="2" customWidth="1"/>
    <col min="4590" max="4590" width="9.140625" style="2" customWidth="1"/>
    <col min="4591" max="4591" width="12" style="2" customWidth="1"/>
    <col min="4592" max="4592" width="14.85546875" style="2" customWidth="1"/>
    <col min="4593" max="4593" width="22.42578125" style="2" customWidth="1"/>
    <col min="4594" max="4594" width="14.85546875" style="2" customWidth="1"/>
    <col min="4595" max="4595" width="7.140625" style="2" customWidth="1"/>
    <col min="4596" max="4596" width="20.140625" style="2" customWidth="1"/>
    <col min="4597" max="4828" width="8.85546875" style="2" customWidth="1"/>
    <col min="4829" max="4829" width="8.140625" style="2" customWidth="1"/>
    <col min="4830" max="4830" width="14.42578125" style="2" customWidth="1"/>
    <col min="4831" max="4831" width="37.42578125" style="2" customWidth="1"/>
    <col min="4832" max="4832" width="63.140625" style="2" customWidth="1"/>
    <col min="4833" max="4833" width="20" style="2" customWidth="1"/>
    <col min="4834" max="4834" width="11.140625" style="2" customWidth="1"/>
    <col min="4835" max="4835" width="10.85546875" style="2" customWidth="1"/>
    <col min="4836" max="4836" width="21" style="2" customWidth="1"/>
    <col min="4837" max="4837" width="10.85546875" style="2" customWidth="1"/>
    <col min="4838" max="4838" width="17.42578125" style="2" customWidth="1"/>
    <col min="4839" max="4839" width="14.85546875" style="2" customWidth="1"/>
    <col min="4840" max="4840" width="15" style="2" customWidth="1"/>
    <col min="4841" max="4841" width="14.85546875" style="2" customWidth="1"/>
    <col min="4842" max="4842" width="7.140625" style="2" customWidth="1"/>
    <col min="4843" max="4844" width="20.140625" style="2" customWidth="1"/>
    <col min="4845" max="4845" width="18.42578125" style="2" customWidth="1"/>
    <col min="4846" max="4846" width="9.140625" style="2" customWidth="1"/>
    <col min="4847" max="4847" width="12" style="2" customWidth="1"/>
    <col min="4848" max="4848" width="14.85546875" style="2" customWidth="1"/>
    <col min="4849" max="4849" width="22.42578125" style="2" customWidth="1"/>
    <col min="4850" max="4850" width="14.85546875" style="2" customWidth="1"/>
    <col min="4851" max="4851" width="7.140625" style="2" customWidth="1"/>
    <col min="4852" max="4852" width="20.140625" style="2" customWidth="1"/>
    <col min="4853" max="5084" width="8.85546875" style="2" customWidth="1"/>
    <col min="5085" max="5085" width="8.140625" style="2" customWidth="1"/>
    <col min="5086" max="5086" width="14.42578125" style="2" customWidth="1"/>
    <col min="5087" max="5087" width="37.42578125" style="2" customWidth="1"/>
    <col min="5088" max="5088" width="63.140625" style="2" customWidth="1"/>
    <col min="5089" max="5089" width="20" style="2" customWidth="1"/>
    <col min="5090" max="5090" width="11.140625" style="2" customWidth="1"/>
    <col min="5091" max="5091" width="10.85546875" style="2" customWidth="1"/>
    <col min="5092" max="5092" width="21" style="2" customWidth="1"/>
    <col min="5093" max="5093" width="10.85546875" style="2" customWidth="1"/>
    <col min="5094" max="5094" width="17.42578125" style="2" customWidth="1"/>
    <col min="5095" max="5095" width="14.85546875" style="2" customWidth="1"/>
    <col min="5096" max="5096" width="15" style="2" customWidth="1"/>
    <col min="5097" max="5097" width="14.85546875" style="2" customWidth="1"/>
    <col min="5098" max="5098" width="7.140625" style="2" customWidth="1"/>
    <col min="5099" max="5100" width="20.140625" style="2" customWidth="1"/>
    <col min="5101" max="5101" width="18.42578125" style="2" customWidth="1"/>
    <col min="5102" max="5102" width="9.140625" style="2" customWidth="1"/>
    <col min="5103" max="5103" width="12" style="2" customWidth="1"/>
    <col min="5104" max="5104" width="14.85546875" style="2" customWidth="1"/>
    <col min="5105" max="5105" width="22.42578125" style="2" customWidth="1"/>
    <col min="5106" max="5106" width="14.85546875" style="2" customWidth="1"/>
    <col min="5107" max="5107" width="7.140625" style="2" customWidth="1"/>
    <col min="5108" max="5108" width="20.140625" style="2" customWidth="1"/>
    <col min="5109" max="5340" width="8.85546875" style="2" customWidth="1"/>
    <col min="5341" max="5341" width="8.140625" style="2" customWidth="1"/>
    <col min="5342" max="5342" width="14.42578125" style="2" customWidth="1"/>
    <col min="5343" max="5343" width="37.42578125" style="2" customWidth="1"/>
    <col min="5344" max="5344" width="63.140625" style="2" customWidth="1"/>
    <col min="5345" max="5345" width="20" style="2" customWidth="1"/>
    <col min="5346" max="5346" width="11.140625" style="2" customWidth="1"/>
    <col min="5347" max="5347" width="10.85546875" style="2" customWidth="1"/>
    <col min="5348" max="5348" width="21" style="2" customWidth="1"/>
    <col min="5349" max="5349" width="10.85546875" style="2" customWidth="1"/>
    <col min="5350" max="5350" width="17.42578125" style="2" customWidth="1"/>
    <col min="5351" max="5351" width="14.85546875" style="2" customWidth="1"/>
    <col min="5352" max="5352" width="15" style="2" customWidth="1"/>
    <col min="5353" max="5353" width="14.85546875" style="2" customWidth="1"/>
    <col min="5354" max="5354" width="7.140625" style="2" customWidth="1"/>
    <col min="5355" max="5356" width="20.140625" style="2" customWidth="1"/>
    <col min="5357" max="5357" width="18.42578125" style="2" customWidth="1"/>
    <col min="5358" max="5358" width="9.140625" style="2" customWidth="1"/>
    <col min="5359" max="5359" width="12" style="2" customWidth="1"/>
    <col min="5360" max="5360" width="14.85546875" style="2" customWidth="1"/>
    <col min="5361" max="5361" width="22.42578125" style="2" customWidth="1"/>
    <col min="5362" max="5362" width="14.85546875" style="2" customWidth="1"/>
    <col min="5363" max="5363" width="7.140625" style="2" customWidth="1"/>
    <col min="5364" max="5364" width="20.140625" style="2" customWidth="1"/>
    <col min="5365" max="5596" width="8.85546875" style="2" customWidth="1"/>
    <col min="5597" max="5597" width="8.140625" style="2" customWidth="1"/>
    <col min="5598" max="5598" width="14.42578125" style="2" customWidth="1"/>
    <col min="5599" max="5599" width="37.42578125" style="2" customWidth="1"/>
    <col min="5600" max="5600" width="63.140625" style="2" customWidth="1"/>
    <col min="5601" max="5601" width="20" style="2" customWidth="1"/>
    <col min="5602" max="5602" width="11.140625" style="2" customWidth="1"/>
    <col min="5603" max="5603" width="10.85546875" style="2" customWidth="1"/>
    <col min="5604" max="5604" width="21" style="2" customWidth="1"/>
    <col min="5605" max="5605" width="10.85546875" style="2" customWidth="1"/>
    <col min="5606" max="5606" width="17.42578125" style="2" customWidth="1"/>
    <col min="5607" max="5607" width="14.85546875" style="2" customWidth="1"/>
    <col min="5608" max="5608" width="15" style="2" customWidth="1"/>
    <col min="5609" max="5609" width="14.85546875" style="2" customWidth="1"/>
    <col min="5610" max="5610" width="7.140625" style="2" customWidth="1"/>
    <col min="5611" max="5612" width="20.140625" style="2" customWidth="1"/>
    <col min="5613" max="5613" width="18.42578125" style="2" customWidth="1"/>
    <col min="5614" max="5614" width="9.140625" style="2" customWidth="1"/>
    <col min="5615" max="5615" width="12" style="2" customWidth="1"/>
    <col min="5616" max="5616" width="14.85546875" style="2" customWidth="1"/>
    <col min="5617" max="5617" width="22.42578125" style="2" customWidth="1"/>
    <col min="5618" max="5618" width="14.85546875" style="2" customWidth="1"/>
    <col min="5619" max="5619" width="7.140625" style="2" customWidth="1"/>
    <col min="5620" max="5620" width="20.140625" style="2" customWidth="1"/>
    <col min="5621" max="5852" width="8.85546875" style="2" customWidth="1"/>
    <col min="5853" max="5853" width="8.140625" style="2" customWidth="1"/>
    <col min="5854" max="5854" width="14.42578125" style="2" customWidth="1"/>
    <col min="5855" max="5855" width="37.42578125" style="2" customWidth="1"/>
    <col min="5856" max="5856" width="63.140625" style="2" customWidth="1"/>
    <col min="5857" max="5857" width="20" style="2" customWidth="1"/>
    <col min="5858" max="5858" width="11.140625" style="2" customWidth="1"/>
    <col min="5859" max="5859" width="10.85546875" style="2" customWidth="1"/>
    <col min="5860" max="5860" width="21" style="2" customWidth="1"/>
    <col min="5861" max="5861" width="10.85546875" style="2" customWidth="1"/>
    <col min="5862" max="5862" width="17.42578125" style="2" customWidth="1"/>
    <col min="5863" max="5863" width="14.85546875" style="2" customWidth="1"/>
    <col min="5864" max="5864" width="15" style="2" customWidth="1"/>
    <col min="5865" max="5865" width="14.85546875" style="2" customWidth="1"/>
    <col min="5866" max="5866" width="7.140625" style="2" customWidth="1"/>
    <col min="5867" max="5868" width="20.140625" style="2" customWidth="1"/>
    <col min="5869" max="5869" width="18.42578125" style="2" customWidth="1"/>
    <col min="5870" max="5870" width="9.140625" style="2" customWidth="1"/>
    <col min="5871" max="5871" width="12" style="2" customWidth="1"/>
    <col min="5872" max="5872" width="14.85546875" style="2" customWidth="1"/>
    <col min="5873" max="5873" width="22.42578125" style="2" customWidth="1"/>
    <col min="5874" max="5874" width="14.85546875" style="2" customWidth="1"/>
    <col min="5875" max="5875" width="7.140625" style="2" customWidth="1"/>
    <col min="5876" max="5876" width="20.140625" style="2" customWidth="1"/>
    <col min="5877" max="6108" width="8.85546875" style="2" customWidth="1"/>
    <col min="6109" max="6109" width="8.140625" style="2" customWidth="1"/>
    <col min="6110" max="6110" width="14.42578125" style="2" customWidth="1"/>
    <col min="6111" max="6111" width="37.42578125" style="2" customWidth="1"/>
    <col min="6112" max="6112" width="63.140625" style="2" customWidth="1"/>
    <col min="6113" max="6113" width="20" style="2" customWidth="1"/>
    <col min="6114" max="6114" width="11.140625" style="2" customWidth="1"/>
    <col min="6115" max="6115" width="10.85546875" style="2" customWidth="1"/>
    <col min="6116" max="6116" width="21" style="2" customWidth="1"/>
    <col min="6117" max="6117" width="10.85546875" style="2" customWidth="1"/>
    <col min="6118" max="6118" width="17.42578125" style="2" customWidth="1"/>
    <col min="6119" max="6119" width="14.85546875" style="2" customWidth="1"/>
    <col min="6120" max="6120" width="15" style="2" customWidth="1"/>
    <col min="6121" max="6121" width="14.85546875" style="2" customWidth="1"/>
    <col min="6122" max="6122" width="7.140625" style="2" customWidth="1"/>
    <col min="6123" max="6124" width="20.140625" style="2" customWidth="1"/>
    <col min="6125" max="6125" width="18.42578125" style="2" customWidth="1"/>
    <col min="6126" max="6126" width="9.140625" style="2" customWidth="1"/>
    <col min="6127" max="6127" width="12" style="2" customWidth="1"/>
    <col min="6128" max="6128" width="14.85546875" style="2" customWidth="1"/>
    <col min="6129" max="6129" width="22.42578125" style="2" customWidth="1"/>
    <col min="6130" max="6130" width="14.85546875" style="2" customWidth="1"/>
    <col min="6131" max="6131" width="7.140625" style="2" customWidth="1"/>
    <col min="6132" max="6132" width="20.140625" style="2" customWidth="1"/>
    <col min="6133" max="6364" width="8.85546875" style="2" customWidth="1"/>
    <col min="6365" max="6365" width="8.140625" style="2" customWidth="1"/>
    <col min="6366" max="6366" width="14.42578125" style="2" customWidth="1"/>
    <col min="6367" max="6367" width="37.42578125" style="2" customWidth="1"/>
    <col min="6368" max="6368" width="63.140625" style="2" customWidth="1"/>
    <col min="6369" max="6369" width="20" style="2" customWidth="1"/>
    <col min="6370" max="6370" width="11.140625" style="2" customWidth="1"/>
    <col min="6371" max="6371" width="10.85546875" style="2" customWidth="1"/>
    <col min="6372" max="6372" width="21" style="2" customWidth="1"/>
    <col min="6373" max="6373" width="10.85546875" style="2" customWidth="1"/>
    <col min="6374" max="6374" width="17.42578125" style="2" customWidth="1"/>
    <col min="6375" max="6375" width="14.85546875" style="2" customWidth="1"/>
    <col min="6376" max="6376" width="15" style="2" customWidth="1"/>
    <col min="6377" max="6377" width="14.85546875" style="2" customWidth="1"/>
    <col min="6378" max="6378" width="7.140625" style="2" customWidth="1"/>
    <col min="6379" max="6380" width="20.140625" style="2" customWidth="1"/>
    <col min="6381" max="6381" width="18.42578125" style="2" customWidth="1"/>
    <col min="6382" max="6382" width="9.140625" style="2" customWidth="1"/>
    <col min="6383" max="6383" width="12" style="2" customWidth="1"/>
    <col min="6384" max="6384" width="14.85546875" style="2" customWidth="1"/>
    <col min="6385" max="6385" width="22.42578125" style="2" customWidth="1"/>
    <col min="6386" max="6386" width="14.85546875" style="2" customWidth="1"/>
    <col min="6387" max="6387" width="7.140625" style="2" customWidth="1"/>
    <col min="6388" max="6388" width="20.140625" style="2" customWidth="1"/>
    <col min="6389" max="6620" width="8.85546875" style="2" customWidth="1"/>
    <col min="6621" max="6621" width="8.140625" style="2" customWidth="1"/>
    <col min="6622" max="6622" width="14.42578125" style="2" customWidth="1"/>
    <col min="6623" max="6623" width="37.42578125" style="2" customWidth="1"/>
    <col min="6624" max="6624" width="63.140625" style="2" customWidth="1"/>
    <col min="6625" max="6625" width="20" style="2" customWidth="1"/>
    <col min="6626" max="6626" width="11.140625" style="2" customWidth="1"/>
    <col min="6627" max="6627" width="10.85546875" style="2" customWidth="1"/>
    <col min="6628" max="6628" width="21" style="2" customWidth="1"/>
    <col min="6629" max="6629" width="10.85546875" style="2" customWidth="1"/>
    <col min="6630" max="6630" width="17.42578125" style="2" customWidth="1"/>
    <col min="6631" max="6631" width="14.85546875" style="2" customWidth="1"/>
    <col min="6632" max="6632" width="15" style="2" customWidth="1"/>
    <col min="6633" max="6633" width="14.85546875" style="2" customWidth="1"/>
    <col min="6634" max="6634" width="7.140625" style="2" customWidth="1"/>
    <col min="6635" max="6636" width="20.140625" style="2" customWidth="1"/>
    <col min="6637" max="6637" width="18.42578125" style="2" customWidth="1"/>
    <col min="6638" max="6638" width="9.140625" style="2" customWidth="1"/>
    <col min="6639" max="6639" width="12" style="2" customWidth="1"/>
    <col min="6640" max="6640" width="14.85546875" style="2" customWidth="1"/>
    <col min="6641" max="6641" width="22.42578125" style="2" customWidth="1"/>
    <col min="6642" max="6642" width="14.85546875" style="2" customWidth="1"/>
    <col min="6643" max="6643" width="7.140625" style="2" customWidth="1"/>
    <col min="6644" max="6644" width="20.140625" style="2" customWidth="1"/>
    <col min="6645" max="6876" width="8.85546875" style="2" customWidth="1"/>
    <col min="6877" max="6877" width="8.140625" style="2" customWidth="1"/>
    <col min="6878" max="6878" width="14.42578125" style="2" customWidth="1"/>
    <col min="6879" max="6879" width="37.42578125" style="2" customWidth="1"/>
    <col min="6880" max="6880" width="63.140625" style="2" customWidth="1"/>
    <col min="6881" max="6881" width="20" style="2" customWidth="1"/>
    <col min="6882" max="6882" width="11.140625" style="2" customWidth="1"/>
    <col min="6883" max="6883" width="10.85546875" style="2" customWidth="1"/>
    <col min="6884" max="6884" width="21" style="2" customWidth="1"/>
    <col min="6885" max="6885" width="10.85546875" style="2" customWidth="1"/>
    <col min="6886" max="6886" width="17.42578125" style="2" customWidth="1"/>
    <col min="6887" max="6887" width="14.85546875" style="2" customWidth="1"/>
    <col min="6888" max="6888" width="15" style="2" customWidth="1"/>
    <col min="6889" max="6889" width="14.85546875" style="2" customWidth="1"/>
    <col min="6890" max="6890" width="7.140625" style="2" customWidth="1"/>
    <col min="6891" max="6892" width="20.140625" style="2" customWidth="1"/>
    <col min="6893" max="6893" width="18.42578125" style="2" customWidth="1"/>
    <col min="6894" max="6894" width="9.140625" style="2" customWidth="1"/>
    <col min="6895" max="6895" width="12" style="2" customWidth="1"/>
    <col min="6896" max="6896" width="14.85546875" style="2" customWidth="1"/>
    <col min="6897" max="6897" width="22.42578125" style="2" customWidth="1"/>
    <col min="6898" max="6898" width="14.85546875" style="2" customWidth="1"/>
    <col min="6899" max="6899" width="7.140625" style="2" customWidth="1"/>
    <col min="6900" max="6900" width="20.140625" style="2" customWidth="1"/>
    <col min="6901" max="7132" width="8.85546875" style="2" customWidth="1"/>
    <col min="7133" max="7133" width="8.140625" style="2" customWidth="1"/>
    <col min="7134" max="7134" width="14.42578125" style="2" customWidth="1"/>
    <col min="7135" max="7135" width="37.42578125" style="2" customWidth="1"/>
    <col min="7136" max="7136" width="63.140625" style="2" customWidth="1"/>
    <col min="7137" max="7137" width="20" style="2" customWidth="1"/>
    <col min="7138" max="7138" width="11.140625" style="2" customWidth="1"/>
    <col min="7139" max="7139" width="10.85546875" style="2" customWidth="1"/>
    <col min="7140" max="7140" width="21" style="2" customWidth="1"/>
    <col min="7141" max="7141" width="10.85546875" style="2" customWidth="1"/>
    <col min="7142" max="7142" width="17.42578125" style="2" customWidth="1"/>
    <col min="7143" max="7143" width="14.85546875" style="2" customWidth="1"/>
    <col min="7144" max="7144" width="15" style="2" customWidth="1"/>
    <col min="7145" max="7145" width="14.85546875" style="2" customWidth="1"/>
    <col min="7146" max="7146" width="7.140625" style="2" customWidth="1"/>
    <col min="7147" max="7148" width="20.140625" style="2" customWidth="1"/>
    <col min="7149" max="7149" width="18.42578125" style="2" customWidth="1"/>
    <col min="7150" max="7150" width="9.140625" style="2" customWidth="1"/>
    <col min="7151" max="7151" width="12" style="2" customWidth="1"/>
    <col min="7152" max="7152" width="14.85546875" style="2" customWidth="1"/>
    <col min="7153" max="7153" width="22.42578125" style="2" customWidth="1"/>
    <col min="7154" max="7154" width="14.85546875" style="2" customWidth="1"/>
    <col min="7155" max="7155" width="7.140625" style="2" customWidth="1"/>
    <col min="7156" max="7156" width="20.140625" style="2" customWidth="1"/>
    <col min="7157" max="7388" width="8.85546875" style="2" customWidth="1"/>
    <col min="7389" max="7389" width="8.140625" style="2" customWidth="1"/>
    <col min="7390" max="7390" width="14.42578125" style="2" customWidth="1"/>
    <col min="7391" max="7391" width="37.42578125" style="2" customWidth="1"/>
    <col min="7392" max="7392" width="63.140625" style="2" customWidth="1"/>
    <col min="7393" max="7393" width="20" style="2" customWidth="1"/>
    <col min="7394" max="7394" width="11.140625" style="2" customWidth="1"/>
    <col min="7395" max="7395" width="10.85546875" style="2" customWidth="1"/>
    <col min="7396" max="7396" width="21" style="2" customWidth="1"/>
    <col min="7397" max="7397" width="10.85546875" style="2" customWidth="1"/>
    <col min="7398" max="7398" width="17.42578125" style="2" customWidth="1"/>
    <col min="7399" max="7399" width="14.85546875" style="2" customWidth="1"/>
    <col min="7400" max="7400" width="15" style="2" customWidth="1"/>
    <col min="7401" max="7401" width="14.85546875" style="2" customWidth="1"/>
    <col min="7402" max="7402" width="7.140625" style="2" customWidth="1"/>
    <col min="7403" max="7404" width="20.140625" style="2" customWidth="1"/>
    <col min="7405" max="7405" width="18.42578125" style="2" customWidth="1"/>
    <col min="7406" max="7406" width="9.140625" style="2" customWidth="1"/>
    <col min="7407" max="7407" width="12" style="2" customWidth="1"/>
    <col min="7408" max="7408" width="14.85546875" style="2" customWidth="1"/>
    <col min="7409" max="7409" width="22.42578125" style="2" customWidth="1"/>
    <col min="7410" max="7410" width="14.85546875" style="2" customWidth="1"/>
    <col min="7411" max="7411" width="7.140625" style="2" customWidth="1"/>
    <col min="7412" max="7412" width="20.140625" style="2" customWidth="1"/>
    <col min="7413" max="7644" width="8.85546875" style="2" customWidth="1"/>
    <col min="7645" max="7645" width="8.140625" style="2" customWidth="1"/>
    <col min="7646" max="7646" width="14.42578125" style="2" customWidth="1"/>
    <col min="7647" max="7647" width="37.42578125" style="2" customWidth="1"/>
    <col min="7648" max="7648" width="63.140625" style="2" customWidth="1"/>
    <col min="7649" max="7649" width="20" style="2" customWidth="1"/>
    <col min="7650" max="7650" width="11.140625" style="2" customWidth="1"/>
    <col min="7651" max="7651" width="10.85546875" style="2" customWidth="1"/>
    <col min="7652" max="7652" width="21" style="2" customWidth="1"/>
    <col min="7653" max="7653" width="10.85546875" style="2" customWidth="1"/>
    <col min="7654" max="7654" width="17.42578125" style="2" customWidth="1"/>
    <col min="7655" max="7655" width="14.85546875" style="2" customWidth="1"/>
    <col min="7656" max="7656" width="15" style="2" customWidth="1"/>
    <col min="7657" max="7657" width="14.85546875" style="2" customWidth="1"/>
    <col min="7658" max="7658" width="7.140625" style="2" customWidth="1"/>
    <col min="7659" max="7660" width="20.140625" style="2" customWidth="1"/>
    <col min="7661" max="7661" width="18.42578125" style="2" customWidth="1"/>
    <col min="7662" max="7662" width="9.140625" style="2" customWidth="1"/>
    <col min="7663" max="7663" width="12" style="2" customWidth="1"/>
    <col min="7664" max="7664" width="14.85546875" style="2" customWidth="1"/>
    <col min="7665" max="7665" width="22.42578125" style="2" customWidth="1"/>
    <col min="7666" max="7666" width="14.85546875" style="2" customWidth="1"/>
    <col min="7667" max="7667" width="7.140625" style="2" customWidth="1"/>
    <col min="7668" max="7668" width="20.140625" style="2" customWidth="1"/>
    <col min="7669" max="7900" width="8.85546875" style="2" customWidth="1"/>
    <col min="7901" max="7901" width="8.140625" style="2" customWidth="1"/>
    <col min="7902" max="7902" width="14.42578125" style="2" customWidth="1"/>
    <col min="7903" max="7903" width="37.42578125" style="2" customWidth="1"/>
    <col min="7904" max="7904" width="63.140625" style="2" customWidth="1"/>
    <col min="7905" max="7905" width="20" style="2" customWidth="1"/>
    <col min="7906" max="7906" width="11.140625" style="2" customWidth="1"/>
    <col min="7907" max="7907" width="10.85546875" style="2" customWidth="1"/>
    <col min="7908" max="7908" width="21" style="2" customWidth="1"/>
    <col min="7909" max="7909" width="10.85546875" style="2" customWidth="1"/>
    <col min="7910" max="7910" width="17.42578125" style="2" customWidth="1"/>
    <col min="7911" max="7911" width="14.85546875" style="2" customWidth="1"/>
    <col min="7912" max="7912" width="15" style="2" customWidth="1"/>
    <col min="7913" max="7913" width="14.85546875" style="2" customWidth="1"/>
    <col min="7914" max="7914" width="7.140625" style="2" customWidth="1"/>
    <col min="7915" max="7916" width="20.140625" style="2" customWidth="1"/>
    <col min="7917" max="7917" width="18.42578125" style="2" customWidth="1"/>
    <col min="7918" max="7918" width="9.140625" style="2" customWidth="1"/>
    <col min="7919" max="7919" width="12" style="2" customWidth="1"/>
    <col min="7920" max="7920" width="14.85546875" style="2" customWidth="1"/>
    <col min="7921" max="7921" width="22.42578125" style="2" customWidth="1"/>
    <col min="7922" max="7922" width="14.85546875" style="2" customWidth="1"/>
    <col min="7923" max="7923" width="7.140625" style="2" customWidth="1"/>
    <col min="7924" max="7924" width="20.140625" style="2" customWidth="1"/>
    <col min="7925" max="8156" width="8.85546875" style="2" customWidth="1"/>
    <col min="8157" max="8157" width="8.140625" style="2" customWidth="1"/>
    <col min="8158" max="8158" width="14.42578125" style="2" customWidth="1"/>
    <col min="8159" max="8159" width="37.42578125" style="2" customWidth="1"/>
    <col min="8160" max="8160" width="63.140625" style="2" customWidth="1"/>
    <col min="8161" max="8161" width="20" style="2" customWidth="1"/>
    <col min="8162" max="8162" width="11.140625" style="2" customWidth="1"/>
    <col min="8163" max="8163" width="10.85546875" style="2" customWidth="1"/>
    <col min="8164" max="8164" width="21" style="2" customWidth="1"/>
    <col min="8165" max="8165" width="10.85546875" style="2" customWidth="1"/>
    <col min="8166" max="8166" width="17.42578125" style="2" customWidth="1"/>
    <col min="8167" max="8167" width="14.85546875" style="2" customWidth="1"/>
    <col min="8168" max="8168" width="15" style="2" customWidth="1"/>
    <col min="8169" max="8169" width="14.85546875" style="2" customWidth="1"/>
    <col min="8170" max="8170" width="7.140625" style="2" customWidth="1"/>
    <col min="8171" max="8172" width="20.140625" style="2" customWidth="1"/>
    <col min="8173" max="8173" width="18.42578125" style="2" customWidth="1"/>
    <col min="8174" max="8174" width="9.140625" style="2" customWidth="1"/>
    <col min="8175" max="8175" width="12" style="2" customWidth="1"/>
    <col min="8176" max="8176" width="14.85546875" style="2" customWidth="1"/>
    <col min="8177" max="8177" width="22.42578125" style="2" customWidth="1"/>
    <col min="8178" max="8178" width="14.85546875" style="2" customWidth="1"/>
    <col min="8179" max="8179" width="7.140625" style="2" customWidth="1"/>
    <col min="8180" max="8180" width="20.140625" style="2" customWidth="1"/>
    <col min="8181" max="8412" width="8.85546875" style="2" customWidth="1"/>
    <col min="8413" max="8413" width="8.140625" style="2" customWidth="1"/>
    <col min="8414" max="8414" width="14.42578125" style="2" customWidth="1"/>
    <col min="8415" max="8415" width="37.42578125" style="2" customWidth="1"/>
    <col min="8416" max="8416" width="63.140625" style="2" customWidth="1"/>
    <col min="8417" max="8417" width="20" style="2" customWidth="1"/>
    <col min="8418" max="8418" width="11.140625" style="2" customWidth="1"/>
    <col min="8419" max="8419" width="10.85546875" style="2" customWidth="1"/>
    <col min="8420" max="8420" width="21" style="2" customWidth="1"/>
    <col min="8421" max="8421" width="10.85546875" style="2" customWidth="1"/>
    <col min="8422" max="8422" width="17.42578125" style="2" customWidth="1"/>
    <col min="8423" max="8423" width="14.85546875" style="2" customWidth="1"/>
    <col min="8424" max="8424" width="15" style="2" customWidth="1"/>
    <col min="8425" max="8425" width="14.85546875" style="2" customWidth="1"/>
    <col min="8426" max="8426" width="7.140625" style="2" customWidth="1"/>
    <col min="8427" max="8428" width="20.140625" style="2" customWidth="1"/>
    <col min="8429" max="8429" width="18.42578125" style="2" customWidth="1"/>
    <col min="8430" max="8430" width="9.140625" style="2" customWidth="1"/>
    <col min="8431" max="8431" width="12" style="2" customWidth="1"/>
    <col min="8432" max="8432" width="14.85546875" style="2" customWidth="1"/>
    <col min="8433" max="8433" width="22.42578125" style="2" customWidth="1"/>
    <col min="8434" max="8434" width="14.85546875" style="2" customWidth="1"/>
    <col min="8435" max="8435" width="7.140625" style="2" customWidth="1"/>
    <col min="8436" max="8436" width="20.140625" style="2" customWidth="1"/>
    <col min="8437" max="8668" width="8.85546875" style="2" customWidth="1"/>
    <col min="8669" max="8669" width="8.140625" style="2" customWidth="1"/>
    <col min="8670" max="8670" width="14.42578125" style="2" customWidth="1"/>
    <col min="8671" max="8671" width="37.42578125" style="2" customWidth="1"/>
    <col min="8672" max="8672" width="63.140625" style="2" customWidth="1"/>
    <col min="8673" max="8673" width="20" style="2" customWidth="1"/>
    <col min="8674" max="8674" width="11.140625" style="2" customWidth="1"/>
    <col min="8675" max="8675" width="10.85546875" style="2" customWidth="1"/>
    <col min="8676" max="8676" width="21" style="2" customWidth="1"/>
    <col min="8677" max="8677" width="10.85546875" style="2" customWidth="1"/>
    <col min="8678" max="8678" width="17.42578125" style="2" customWidth="1"/>
    <col min="8679" max="8679" width="14.85546875" style="2" customWidth="1"/>
    <col min="8680" max="8680" width="15" style="2" customWidth="1"/>
    <col min="8681" max="8681" width="14.85546875" style="2" customWidth="1"/>
    <col min="8682" max="8682" width="7.140625" style="2" customWidth="1"/>
    <col min="8683" max="8684" width="20.140625" style="2" customWidth="1"/>
    <col min="8685" max="8685" width="18.42578125" style="2" customWidth="1"/>
    <col min="8686" max="8686" width="9.140625" style="2" customWidth="1"/>
    <col min="8687" max="8687" width="12" style="2" customWidth="1"/>
    <col min="8688" max="8688" width="14.85546875" style="2" customWidth="1"/>
    <col min="8689" max="8689" width="22.42578125" style="2" customWidth="1"/>
    <col min="8690" max="8690" width="14.85546875" style="2" customWidth="1"/>
    <col min="8691" max="8691" width="7.140625" style="2" customWidth="1"/>
    <col min="8692" max="8692" width="20.140625" style="2" customWidth="1"/>
    <col min="8693" max="8924" width="8.85546875" style="2" customWidth="1"/>
    <col min="8925" max="8925" width="8.140625" style="2" customWidth="1"/>
    <col min="8926" max="8926" width="14.42578125" style="2" customWidth="1"/>
    <col min="8927" max="8927" width="37.42578125" style="2" customWidth="1"/>
    <col min="8928" max="8928" width="63.140625" style="2" customWidth="1"/>
    <col min="8929" max="8929" width="20" style="2" customWidth="1"/>
    <col min="8930" max="8930" width="11.140625" style="2" customWidth="1"/>
    <col min="8931" max="8931" width="10.85546875" style="2" customWidth="1"/>
    <col min="8932" max="8932" width="21" style="2" customWidth="1"/>
    <col min="8933" max="8933" width="10.85546875" style="2" customWidth="1"/>
    <col min="8934" max="8934" width="17.42578125" style="2" customWidth="1"/>
    <col min="8935" max="8935" width="14.85546875" style="2" customWidth="1"/>
    <col min="8936" max="8936" width="15" style="2" customWidth="1"/>
    <col min="8937" max="8937" width="14.85546875" style="2" customWidth="1"/>
    <col min="8938" max="8938" width="7.140625" style="2" customWidth="1"/>
    <col min="8939" max="8940" width="20.140625" style="2" customWidth="1"/>
    <col min="8941" max="8941" width="18.42578125" style="2" customWidth="1"/>
    <col min="8942" max="8942" width="9.140625" style="2" customWidth="1"/>
    <col min="8943" max="8943" width="12" style="2" customWidth="1"/>
    <col min="8944" max="8944" width="14.85546875" style="2" customWidth="1"/>
    <col min="8945" max="8945" width="22.42578125" style="2" customWidth="1"/>
    <col min="8946" max="8946" width="14.85546875" style="2" customWidth="1"/>
    <col min="8947" max="8947" width="7.140625" style="2" customWidth="1"/>
    <col min="8948" max="8948" width="20.140625" style="2" customWidth="1"/>
    <col min="8949" max="9180" width="8.85546875" style="2" customWidth="1"/>
    <col min="9181" max="9181" width="8.140625" style="2" customWidth="1"/>
    <col min="9182" max="9182" width="14.42578125" style="2" customWidth="1"/>
    <col min="9183" max="9183" width="37.42578125" style="2" customWidth="1"/>
    <col min="9184" max="9184" width="63.140625" style="2" customWidth="1"/>
    <col min="9185" max="9185" width="20" style="2" customWidth="1"/>
    <col min="9186" max="9186" width="11.140625" style="2" customWidth="1"/>
    <col min="9187" max="9187" width="10.85546875" style="2" customWidth="1"/>
    <col min="9188" max="9188" width="21" style="2" customWidth="1"/>
    <col min="9189" max="9189" width="10.85546875" style="2" customWidth="1"/>
    <col min="9190" max="9190" width="17.42578125" style="2" customWidth="1"/>
    <col min="9191" max="9191" width="14.85546875" style="2" customWidth="1"/>
    <col min="9192" max="9192" width="15" style="2" customWidth="1"/>
    <col min="9193" max="9193" width="14.85546875" style="2" customWidth="1"/>
    <col min="9194" max="9194" width="7.140625" style="2" customWidth="1"/>
    <col min="9195" max="9196" width="20.140625" style="2" customWidth="1"/>
    <col min="9197" max="9197" width="18.42578125" style="2" customWidth="1"/>
    <col min="9198" max="9198" width="9.140625" style="2" customWidth="1"/>
    <col min="9199" max="9199" width="12" style="2" customWidth="1"/>
    <col min="9200" max="9200" width="14.85546875" style="2" customWidth="1"/>
    <col min="9201" max="9201" width="22.42578125" style="2" customWidth="1"/>
    <col min="9202" max="9202" width="14.85546875" style="2" customWidth="1"/>
    <col min="9203" max="9203" width="7.140625" style="2" customWidth="1"/>
    <col min="9204" max="9204" width="20.140625" style="2" customWidth="1"/>
    <col min="9205" max="9436" width="8.85546875" style="2" customWidth="1"/>
    <col min="9437" max="9437" width="8.140625" style="2" customWidth="1"/>
    <col min="9438" max="9438" width="14.42578125" style="2" customWidth="1"/>
    <col min="9439" max="9439" width="37.42578125" style="2" customWidth="1"/>
    <col min="9440" max="9440" width="63.140625" style="2" customWidth="1"/>
    <col min="9441" max="9441" width="20" style="2" customWidth="1"/>
    <col min="9442" max="9442" width="11.140625" style="2" customWidth="1"/>
    <col min="9443" max="9443" width="10.85546875" style="2" customWidth="1"/>
    <col min="9444" max="9444" width="21" style="2" customWidth="1"/>
    <col min="9445" max="9445" width="10.85546875" style="2" customWidth="1"/>
    <col min="9446" max="9446" width="17.42578125" style="2" customWidth="1"/>
    <col min="9447" max="9447" width="14.85546875" style="2" customWidth="1"/>
    <col min="9448" max="9448" width="15" style="2" customWidth="1"/>
    <col min="9449" max="9449" width="14.85546875" style="2" customWidth="1"/>
    <col min="9450" max="9450" width="7.140625" style="2" customWidth="1"/>
    <col min="9451" max="9452" width="20.140625" style="2" customWidth="1"/>
    <col min="9453" max="9453" width="18.42578125" style="2" customWidth="1"/>
    <col min="9454" max="9454" width="9.140625" style="2" customWidth="1"/>
    <col min="9455" max="9455" width="12" style="2" customWidth="1"/>
    <col min="9456" max="9456" width="14.85546875" style="2" customWidth="1"/>
    <col min="9457" max="9457" width="22.42578125" style="2" customWidth="1"/>
    <col min="9458" max="9458" width="14.85546875" style="2" customWidth="1"/>
    <col min="9459" max="9459" width="7.140625" style="2" customWidth="1"/>
    <col min="9460" max="9460" width="20.140625" style="2" customWidth="1"/>
    <col min="9461" max="9692" width="8.85546875" style="2" customWidth="1"/>
    <col min="9693" max="9693" width="8.140625" style="2" customWidth="1"/>
    <col min="9694" max="9694" width="14.42578125" style="2" customWidth="1"/>
    <col min="9695" max="9695" width="37.42578125" style="2" customWidth="1"/>
    <col min="9696" max="9696" width="63.140625" style="2" customWidth="1"/>
    <col min="9697" max="9697" width="20" style="2" customWidth="1"/>
    <col min="9698" max="9698" width="11.140625" style="2" customWidth="1"/>
    <col min="9699" max="9699" width="10.85546875" style="2" customWidth="1"/>
    <col min="9700" max="9700" width="21" style="2" customWidth="1"/>
    <col min="9701" max="9701" width="10.85546875" style="2" customWidth="1"/>
    <col min="9702" max="9702" width="17.42578125" style="2" customWidth="1"/>
    <col min="9703" max="9703" width="14.85546875" style="2" customWidth="1"/>
    <col min="9704" max="9704" width="15" style="2" customWidth="1"/>
    <col min="9705" max="9705" width="14.85546875" style="2" customWidth="1"/>
    <col min="9706" max="9706" width="7.140625" style="2" customWidth="1"/>
    <col min="9707" max="9708" width="20.140625" style="2" customWidth="1"/>
    <col min="9709" max="9709" width="18.42578125" style="2" customWidth="1"/>
    <col min="9710" max="9710" width="9.140625" style="2" customWidth="1"/>
    <col min="9711" max="9711" width="12" style="2" customWidth="1"/>
    <col min="9712" max="9712" width="14.85546875" style="2" customWidth="1"/>
    <col min="9713" max="9713" width="22.42578125" style="2" customWidth="1"/>
    <col min="9714" max="9714" width="14.85546875" style="2" customWidth="1"/>
    <col min="9715" max="9715" width="7.140625" style="2" customWidth="1"/>
    <col min="9716" max="9716" width="20.140625" style="2" customWidth="1"/>
    <col min="9717" max="9948" width="8.85546875" style="2" customWidth="1"/>
    <col min="9949" max="9949" width="8.140625" style="2" customWidth="1"/>
    <col min="9950" max="9950" width="14.42578125" style="2" customWidth="1"/>
    <col min="9951" max="9951" width="37.42578125" style="2" customWidth="1"/>
    <col min="9952" max="9952" width="63.140625" style="2" customWidth="1"/>
    <col min="9953" max="9953" width="20" style="2" customWidth="1"/>
    <col min="9954" max="9954" width="11.140625" style="2" customWidth="1"/>
    <col min="9955" max="9955" width="10.85546875" style="2" customWidth="1"/>
    <col min="9956" max="9956" width="21" style="2" customWidth="1"/>
    <col min="9957" max="9957" width="10.85546875" style="2" customWidth="1"/>
    <col min="9958" max="9958" width="17.42578125" style="2" customWidth="1"/>
    <col min="9959" max="9959" width="14.85546875" style="2" customWidth="1"/>
    <col min="9960" max="9960" width="15" style="2" customWidth="1"/>
    <col min="9961" max="9961" width="14.85546875" style="2" customWidth="1"/>
    <col min="9962" max="9962" width="7.140625" style="2" customWidth="1"/>
    <col min="9963" max="9964" width="20.140625" style="2" customWidth="1"/>
    <col min="9965" max="9965" width="18.42578125" style="2" customWidth="1"/>
    <col min="9966" max="9966" width="9.140625" style="2" customWidth="1"/>
    <col min="9967" max="9967" width="12" style="2" customWidth="1"/>
    <col min="9968" max="9968" width="14.85546875" style="2" customWidth="1"/>
    <col min="9969" max="9969" width="22.42578125" style="2" customWidth="1"/>
    <col min="9970" max="9970" width="14.85546875" style="2" customWidth="1"/>
    <col min="9971" max="9971" width="7.140625" style="2" customWidth="1"/>
    <col min="9972" max="9972" width="20.140625" style="2" customWidth="1"/>
    <col min="9973" max="10204" width="8.85546875" style="2" customWidth="1"/>
    <col min="10205" max="10205" width="8.140625" style="2" customWidth="1"/>
    <col min="10206" max="10206" width="14.42578125" style="2" customWidth="1"/>
    <col min="10207" max="10207" width="37.42578125" style="2" customWidth="1"/>
    <col min="10208" max="10208" width="63.140625" style="2" customWidth="1"/>
    <col min="10209" max="10209" width="20" style="2" customWidth="1"/>
    <col min="10210" max="10210" width="11.140625" style="2" customWidth="1"/>
    <col min="10211" max="10211" width="10.85546875" style="2" customWidth="1"/>
    <col min="10212" max="10212" width="21" style="2" customWidth="1"/>
    <col min="10213" max="10213" width="10.85546875" style="2" customWidth="1"/>
    <col min="10214" max="10214" width="17.42578125" style="2" customWidth="1"/>
    <col min="10215" max="10215" width="14.85546875" style="2" customWidth="1"/>
    <col min="10216" max="10216" width="15" style="2" customWidth="1"/>
    <col min="10217" max="10217" width="14.85546875" style="2" customWidth="1"/>
    <col min="10218" max="10218" width="7.140625" style="2" customWidth="1"/>
    <col min="10219" max="10220" width="20.140625" style="2" customWidth="1"/>
    <col min="10221" max="10221" width="18.42578125" style="2" customWidth="1"/>
    <col min="10222" max="10222" width="9.140625" style="2" customWidth="1"/>
    <col min="10223" max="10223" width="12" style="2" customWidth="1"/>
    <col min="10224" max="10224" width="14.85546875" style="2" customWidth="1"/>
    <col min="10225" max="10225" width="22.42578125" style="2" customWidth="1"/>
    <col min="10226" max="10226" width="14.85546875" style="2" customWidth="1"/>
    <col min="10227" max="10227" width="7.140625" style="2" customWidth="1"/>
    <col min="10228" max="10228" width="20.140625" style="2" customWidth="1"/>
    <col min="10229" max="10460" width="8.85546875" style="2" customWidth="1"/>
    <col min="10461" max="10461" width="8.140625" style="2" customWidth="1"/>
    <col min="10462" max="10462" width="14.42578125" style="2" customWidth="1"/>
    <col min="10463" max="10463" width="37.42578125" style="2" customWidth="1"/>
    <col min="10464" max="10464" width="63.140625" style="2" customWidth="1"/>
    <col min="10465" max="10465" width="20" style="2" customWidth="1"/>
    <col min="10466" max="10466" width="11.140625" style="2" customWidth="1"/>
    <col min="10467" max="10467" width="10.85546875" style="2" customWidth="1"/>
    <col min="10468" max="10468" width="21" style="2" customWidth="1"/>
    <col min="10469" max="10469" width="10.85546875" style="2" customWidth="1"/>
    <col min="10470" max="10470" width="17.42578125" style="2" customWidth="1"/>
    <col min="10471" max="10471" width="14.85546875" style="2" customWidth="1"/>
    <col min="10472" max="10472" width="15" style="2" customWidth="1"/>
    <col min="10473" max="10473" width="14.85546875" style="2" customWidth="1"/>
    <col min="10474" max="10474" width="7.140625" style="2" customWidth="1"/>
    <col min="10475" max="10476" width="20.140625" style="2" customWidth="1"/>
    <col min="10477" max="10477" width="18.42578125" style="2" customWidth="1"/>
    <col min="10478" max="10478" width="9.140625" style="2" customWidth="1"/>
    <col min="10479" max="10479" width="12" style="2" customWidth="1"/>
    <col min="10480" max="10480" width="14.85546875" style="2" customWidth="1"/>
    <col min="10481" max="10481" width="22.42578125" style="2" customWidth="1"/>
    <col min="10482" max="10482" width="14.85546875" style="2" customWidth="1"/>
    <col min="10483" max="10483" width="7.140625" style="2" customWidth="1"/>
    <col min="10484" max="10484" width="20.140625" style="2" customWidth="1"/>
    <col min="10485" max="10716" width="8.85546875" style="2" customWidth="1"/>
    <col min="10717" max="10717" width="8.140625" style="2" customWidth="1"/>
    <col min="10718" max="10718" width="14.42578125" style="2" customWidth="1"/>
    <col min="10719" max="10719" width="37.42578125" style="2" customWidth="1"/>
    <col min="10720" max="10720" width="63.140625" style="2" customWidth="1"/>
    <col min="10721" max="10721" width="20" style="2" customWidth="1"/>
    <col min="10722" max="10722" width="11.140625" style="2" customWidth="1"/>
    <col min="10723" max="10723" width="10.85546875" style="2" customWidth="1"/>
    <col min="10724" max="10724" width="21" style="2" customWidth="1"/>
    <col min="10725" max="10725" width="10.85546875" style="2" customWidth="1"/>
    <col min="10726" max="10726" width="17.42578125" style="2" customWidth="1"/>
    <col min="10727" max="10727" width="14.85546875" style="2" customWidth="1"/>
    <col min="10728" max="10728" width="15" style="2" customWidth="1"/>
    <col min="10729" max="10729" width="14.85546875" style="2" customWidth="1"/>
    <col min="10730" max="10730" width="7.140625" style="2" customWidth="1"/>
    <col min="10731" max="10732" width="20.140625" style="2" customWidth="1"/>
    <col min="10733" max="10733" width="18.42578125" style="2" customWidth="1"/>
    <col min="10734" max="10734" width="9.140625" style="2" customWidth="1"/>
    <col min="10735" max="10735" width="12" style="2" customWidth="1"/>
    <col min="10736" max="10736" width="14.85546875" style="2" customWidth="1"/>
    <col min="10737" max="10737" width="22.42578125" style="2" customWidth="1"/>
    <col min="10738" max="10738" width="14.85546875" style="2" customWidth="1"/>
    <col min="10739" max="10739" width="7.140625" style="2" customWidth="1"/>
    <col min="10740" max="10740" width="20.140625" style="2" customWidth="1"/>
    <col min="10741" max="10972" width="8.85546875" style="2" customWidth="1"/>
    <col min="10973" max="10973" width="8.140625" style="2" customWidth="1"/>
    <col min="10974" max="10974" width="14.42578125" style="2" customWidth="1"/>
    <col min="10975" max="10975" width="37.42578125" style="2" customWidth="1"/>
    <col min="10976" max="10976" width="63.140625" style="2" customWidth="1"/>
    <col min="10977" max="10977" width="20" style="2" customWidth="1"/>
    <col min="10978" max="10978" width="11.140625" style="2" customWidth="1"/>
    <col min="10979" max="10979" width="10.85546875" style="2" customWidth="1"/>
    <col min="10980" max="10980" width="21" style="2" customWidth="1"/>
    <col min="10981" max="10981" width="10.85546875" style="2" customWidth="1"/>
    <col min="10982" max="10982" width="17.42578125" style="2" customWidth="1"/>
    <col min="10983" max="10983" width="14.85546875" style="2" customWidth="1"/>
    <col min="10984" max="10984" width="15" style="2" customWidth="1"/>
    <col min="10985" max="10985" width="14.85546875" style="2" customWidth="1"/>
    <col min="10986" max="10986" width="7.140625" style="2" customWidth="1"/>
    <col min="10987" max="10988" width="20.140625" style="2" customWidth="1"/>
    <col min="10989" max="10989" width="18.42578125" style="2" customWidth="1"/>
    <col min="10990" max="10990" width="9.140625" style="2" customWidth="1"/>
    <col min="10991" max="10991" width="12" style="2" customWidth="1"/>
    <col min="10992" max="10992" width="14.85546875" style="2" customWidth="1"/>
    <col min="10993" max="10993" width="22.42578125" style="2" customWidth="1"/>
    <col min="10994" max="10994" width="14.85546875" style="2" customWidth="1"/>
    <col min="10995" max="10995" width="7.140625" style="2" customWidth="1"/>
    <col min="10996" max="10996" width="20.140625" style="2" customWidth="1"/>
    <col min="10997" max="11228" width="8.85546875" style="2" customWidth="1"/>
    <col min="11229" max="11229" width="8.140625" style="2" customWidth="1"/>
    <col min="11230" max="11230" width="14.42578125" style="2" customWidth="1"/>
    <col min="11231" max="11231" width="37.42578125" style="2" customWidth="1"/>
    <col min="11232" max="11232" width="63.140625" style="2" customWidth="1"/>
    <col min="11233" max="11233" width="20" style="2" customWidth="1"/>
    <col min="11234" max="11234" width="11.140625" style="2" customWidth="1"/>
    <col min="11235" max="11235" width="10.85546875" style="2" customWidth="1"/>
    <col min="11236" max="11236" width="21" style="2" customWidth="1"/>
    <col min="11237" max="11237" width="10.85546875" style="2" customWidth="1"/>
    <col min="11238" max="11238" width="17.42578125" style="2" customWidth="1"/>
    <col min="11239" max="11239" width="14.85546875" style="2" customWidth="1"/>
    <col min="11240" max="11240" width="15" style="2" customWidth="1"/>
    <col min="11241" max="11241" width="14.85546875" style="2" customWidth="1"/>
    <col min="11242" max="11242" width="7.140625" style="2" customWidth="1"/>
    <col min="11243" max="11244" width="20.140625" style="2" customWidth="1"/>
    <col min="11245" max="11245" width="18.42578125" style="2" customWidth="1"/>
    <col min="11246" max="11246" width="9.140625" style="2" customWidth="1"/>
    <col min="11247" max="11247" width="12" style="2" customWidth="1"/>
    <col min="11248" max="11248" width="14.85546875" style="2" customWidth="1"/>
    <col min="11249" max="11249" width="22.42578125" style="2" customWidth="1"/>
    <col min="11250" max="11250" width="14.85546875" style="2" customWidth="1"/>
    <col min="11251" max="11251" width="7.140625" style="2" customWidth="1"/>
    <col min="11252" max="11252" width="20.140625" style="2" customWidth="1"/>
    <col min="11253" max="11484" width="8.85546875" style="2" customWidth="1"/>
    <col min="11485" max="11485" width="8.140625" style="2" customWidth="1"/>
    <col min="11486" max="11486" width="14.42578125" style="2" customWidth="1"/>
    <col min="11487" max="11487" width="37.42578125" style="2" customWidth="1"/>
    <col min="11488" max="11488" width="63.140625" style="2" customWidth="1"/>
    <col min="11489" max="11489" width="20" style="2" customWidth="1"/>
    <col min="11490" max="11490" width="11.140625" style="2" customWidth="1"/>
    <col min="11491" max="11491" width="10.85546875" style="2" customWidth="1"/>
    <col min="11492" max="11492" width="21" style="2" customWidth="1"/>
    <col min="11493" max="11493" width="10.85546875" style="2" customWidth="1"/>
    <col min="11494" max="11494" width="17.42578125" style="2" customWidth="1"/>
    <col min="11495" max="11495" width="14.85546875" style="2" customWidth="1"/>
    <col min="11496" max="11496" width="15" style="2" customWidth="1"/>
    <col min="11497" max="11497" width="14.85546875" style="2" customWidth="1"/>
    <col min="11498" max="11498" width="7.140625" style="2" customWidth="1"/>
    <col min="11499" max="11500" width="20.140625" style="2" customWidth="1"/>
    <col min="11501" max="11501" width="18.42578125" style="2" customWidth="1"/>
    <col min="11502" max="11502" width="9.140625" style="2" customWidth="1"/>
    <col min="11503" max="11503" width="12" style="2" customWidth="1"/>
    <col min="11504" max="11504" width="14.85546875" style="2" customWidth="1"/>
    <col min="11505" max="11505" width="22.42578125" style="2" customWidth="1"/>
    <col min="11506" max="11506" width="14.85546875" style="2" customWidth="1"/>
    <col min="11507" max="11507" width="7.140625" style="2" customWidth="1"/>
    <col min="11508" max="11508" width="20.140625" style="2" customWidth="1"/>
    <col min="11509" max="11740" width="8.85546875" style="2" customWidth="1"/>
    <col min="11741" max="11741" width="8.140625" style="2" customWidth="1"/>
    <col min="11742" max="11742" width="14.42578125" style="2" customWidth="1"/>
    <col min="11743" max="11743" width="37.42578125" style="2" customWidth="1"/>
    <col min="11744" max="11744" width="63.140625" style="2" customWidth="1"/>
    <col min="11745" max="11745" width="20" style="2" customWidth="1"/>
    <col min="11746" max="11746" width="11.140625" style="2" customWidth="1"/>
    <col min="11747" max="11747" width="10.85546875" style="2" customWidth="1"/>
    <col min="11748" max="11748" width="21" style="2" customWidth="1"/>
    <col min="11749" max="11749" width="10.85546875" style="2" customWidth="1"/>
    <col min="11750" max="11750" width="17.42578125" style="2" customWidth="1"/>
    <col min="11751" max="11751" width="14.85546875" style="2" customWidth="1"/>
    <col min="11752" max="11752" width="15" style="2" customWidth="1"/>
    <col min="11753" max="11753" width="14.85546875" style="2" customWidth="1"/>
    <col min="11754" max="11754" width="7.140625" style="2" customWidth="1"/>
    <col min="11755" max="11756" width="20.140625" style="2" customWidth="1"/>
    <col min="11757" max="11757" width="18.42578125" style="2" customWidth="1"/>
    <col min="11758" max="11758" width="9.140625" style="2" customWidth="1"/>
    <col min="11759" max="11759" width="12" style="2" customWidth="1"/>
    <col min="11760" max="11760" width="14.85546875" style="2" customWidth="1"/>
    <col min="11761" max="11761" width="22.42578125" style="2" customWidth="1"/>
    <col min="11762" max="11762" width="14.85546875" style="2" customWidth="1"/>
    <col min="11763" max="11763" width="7.140625" style="2" customWidth="1"/>
    <col min="11764" max="11764" width="20.140625" style="2" customWidth="1"/>
    <col min="11765" max="11996" width="8.85546875" style="2" customWidth="1"/>
    <col min="11997" max="11997" width="8.140625" style="2" customWidth="1"/>
    <col min="11998" max="11998" width="14.42578125" style="2" customWidth="1"/>
    <col min="11999" max="11999" width="37.42578125" style="2" customWidth="1"/>
    <col min="12000" max="12000" width="63.140625" style="2" customWidth="1"/>
    <col min="12001" max="12001" width="20" style="2" customWidth="1"/>
    <col min="12002" max="12002" width="11.140625" style="2" customWidth="1"/>
    <col min="12003" max="12003" width="10.85546875" style="2" customWidth="1"/>
    <col min="12004" max="12004" width="21" style="2" customWidth="1"/>
    <col min="12005" max="12005" width="10.85546875" style="2" customWidth="1"/>
    <col min="12006" max="12006" width="17.42578125" style="2" customWidth="1"/>
    <col min="12007" max="12007" width="14.85546875" style="2" customWidth="1"/>
    <col min="12008" max="12008" width="15" style="2" customWidth="1"/>
    <col min="12009" max="12009" width="14.85546875" style="2" customWidth="1"/>
    <col min="12010" max="12010" width="7.140625" style="2" customWidth="1"/>
    <col min="12011" max="12012" width="20.140625" style="2" customWidth="1"/>
    <col min="12013" max="12013" width="18.42578125" style="2" customWidth="1"/>
    <col min="12014" max="12014" width="9.140625" style="2" customWidth="1"/>
    <col min="12015" max="12015" width="12" style="2" customWidth="1"/>
    <col min="12016" max="12016" width="14.85546875" style="2" customWidth="1"/>
    <col min="12017" max="12017" width="22.42578125" style="2" customWidth="1"/>
    <col min="12018" max="12018" width="14.85546875" style="2" customWidth="1"/>
    <col min="12019" max="12019" width="7.140625" style="2" customWidth="1"/>
    <col min="12020" max="12020" width="20.140625" style="2" customWidth="1"/>
    <col min="12021" max="12252" width="8.85546875" style="2" customWidth="1"/>
    <col min="12253" max="12253" width="8.140625" style="2" customWidth="1"/>
    <col min="12254" max="12254" width="14.42578125" style="2" customWidth="1"/>
    <col min="12255" max="12255" width="37.42578125" style="2" customWidth="1"/>
    <col min="12256" max="12256" width="63.140625" style="2" customWidth="1"/>
    <col min="12257" max="12257" width="20" style="2" customWidth="1"/>
    <col min="12258" max="12258" width="11.140625" style="2" customWidth="1"/>
    <col min="12259" max="12259" width="10.85546875" style="2" customWidth="1"/>
    <col min="12260" max="12260" width="21" style="2" customWidth="1"/>
    <col min="12261" max="12261" width="10.85546875" style="2" customWidth="1"/>
    <col min="12262" max="12262" width="17.42578125" style="2" customWidth="1"/>
    <col min="12263" max="12263" width="14.85546875" style="2" customWidth="1"/>
    <col min="12264" max="12264" width="15" style="2" customWidth="1"/>
    <col min="12265" max="12265" width="14.85546875" style="2" customWidth="1"/>
    <col min="12266" max="12266" width="7.140625" style="2" customWidth="1"/>
    <col min="12267" max="12268" width="20.140625" style="2" customWidth="1"/>
    <col min="12269" max="12269" width="18.42578125" style="2" customWidth="1"/>
    <col min="12270" max="12270" width="9.140625" style="2" customWidth="1"/>
    <col min="12271" max="12271" width="12" style="2" customWidth="1"/>
    <col min="12272" max="12272" width="14.85546875" style="2" customWidth="1"/>
    <col min="12273" max="12273" width="22.42578125" style="2" customWidth="1"/>
    <col min="12274" max="12274" width="14.85546875" style="2" customWidth="1"/>
    <col min="12275" max="12275" width="7.140625" style="2" customWidth="1"/>
    <col min="12276" max="12276" width="20.140625" style="2" customWidth="1"/>
    <col min="12277" max="12508" width="8.85546875" style="2" customWidth="1"/>
    <col min="12509" max="12509" width="8.140625" style="2" customWidth="1"/>
    <col min="12510" max="12510" width="14.42578125" style="2" customWidth="1"/>
    <col min="12511" max="12511" width="37.42578125" style="2" customWidth="1"/>
    <col min="12512" max="12512" width="63.140625" style="2" customWidth="1"/>
    <col min="12513" max="12513" width="20" style="2" customWidth="1"/>
    <col min="12514" max="12514" width="11.140625" style="2" customWidth="1"/>
    <col min="12515" max="12515" width="10.85546875" style="2" customWidth="1"/>
    <col min="12516" max="12516" width="21" style="2" customWidth="1"/>
    <col min="12517" max="12517" width="10.85546875" style="2" customWidth="1"/>
    <col min="12518" max="12518" width="17.42578125" style="2" customWidth="1"/>
    <col min="12519" max="12519" width="14.85546875" style="2" customWidth="1"/>
    <col min="12520" max="12520" width="15" style="2" customWidth="1"/>
    <col min="12521" max="12521" width="14.85546875" style="2" customWidth="1"/>
    <col min="12522" max="12522" width="7.140625" style="2" customWidth="1"/>
    <col min="12523" max="12524" width="20.140625" style="2" customWidth="1"/>
    <col min="12525" max="12525" width="18.42578125" style="2" customWidth="1"/>
    <col min="12526" max="12526" width="9.140625" style="2" customWidth="1"/>
    <col min="12527" max="12527" width="12" style="2" customWidth="1"/>
    <col min="12528" max="12528" width="14.85546875" style="2" customWidth="1"/>
    <col min="12529" max="12529" width="22.42578125" style="2" customWidth="1"/>
    <col min="12530" max="12530" width="14.85546875" style="2" customWidth="1"/>
    <col min="12531" max="12531" width="7.140625" style="2" customWidth="1"/>
    <col min="12532" max="12532" width="20.140625" style="2" customWidth="1"/>
    <col min="12533" max="12764" width="8.85546875" style="2" customWidth="1"/>
    <col min="12765" max="12765" width="8.140625" style="2" customWidth="1"/>
    <col min="12766" max="12766" width="14.42578125" style="2" customWidth="1"/>
    <col min="12767" max="12767" width="37.42578125" style="2" customWidth="1"/>
    <col min="12768" max="12768" width="63.140625" style="2" customWidth="1"/>
    <col min="12769" max="12769" width="20" style="2" customWidth="1"/>
    <col min="12770" max="12770" width="11.140625" style="2" customWidth="1"/>
    <col min="12771" max="12771" width="10.85546875" style="2" customWidth="1"/>
    <col min="12772" max="12772" width="21" style="2" customWidth="1"/>
    <col min="12773" max="12773" width="10.85546875" style="2" customWidth="1"/>
    <col min="12774" max="12774" width="17.42578125" style="2" customWidth="1"/>
    <col min="12775" max="12775" width="14.85546875" style="2" customWidth="1"/>
    <col min="12776" max="12776" width="15" style="2" customWidth="1"/>
    <col min="12777" max="12777" width="14.85546875" style="2" customWidth="1"/>
    <col min="12778" max="12778" width="7.140625" style="2" customWidth="1"/>
    <col min="12779" max="12780" width="20.140625" style="2" customWidth="1"/>
    <col min="12781" max="12781" width="18.42578125" style="2" customWidth="1"/>
    <col min="12782" max="12782" width="9.140625" style="2" customWidth="1"/>
    <col min="12783" max="12783" width="12" style="2" customWidth="1"/>
    <col min="12784" max="12784" width="14.85546875" style="2" customWidth="1"/>
    <col min="12785" max="12785" width="22.42578125" style="2" customWidth="1"/>
    <col min="12786" max="12786" width="14.85546875" style="2" customWidth="1"/>
    <col min="12787" max="12787" width="7.140625" style="2" customWidth="1"/>
    <col min="12788" max="12788" width="20.140625" style="2" customWidth="1"/>
    <col min="12789" max="13020" width="8.85546875" style="2" customWidth="1"/>
    <col min="13021" max="13021" width="8.140625" style="2" customWidth="1"/>
    <col min="13022" max="13022" width="14.42578125" style="2" customWidth="1"/>
    <col min="13023" max="13023" width="37.42578125" style="2" customWidth="1"/>
    <col min="13024" max="13024" width="63.140625" style="2" customWidth="1"/>
    <col min="13025" max="13025" width="20" style="2" customWidth="1"/>
    <col min="13026" max="13026" width="11.140625" style="2" customWidth="1"/>
    <col min="13027" max="13027" width="10.85546875" style="2" customWidth="1"/>
    <col min="13028" max="13028" width="21" style="2" customWidth="1"/>
    <col min="13029" max="13029" width="10.85546875" style="2" customWidth="1"/>
    <col min="13030" max="13030" width="17.42578125" style="2" customWidth="1"/>
    <col min="13031" max="13031" width="14.85546875" style="2" customWidth="1"/>
    <col min="13032" max="13032" width="15" style="2" customWidth="1"/>
    <col min="13033" max="13033" width="14.85546875" style="2" customWidth="1"/>
    <col min="13034" max="13034" width="7.140625" style="2" customWidth="1"/>
    <col min="13035" max="13036" width="20.140625" style="2" customWidth="1"/>
    <col min="13037" max="13037" width="18.42578125" style="2" customWidth="1"/>
    <col min="13038" max="13038" width="9.140625" style="2" customWidth="1"/>
    <col min="13039" max="13039" width="12" style="2" customWidth="1"/>
    <col min="13040" max="13040" width="14.85546875" style="2" customWidth="1"/>
    <col min="13041" max="13041" width="22.42578125" style="2" customWidth="1"/>
    <col min="13042" max="13042" width="14.85546875" style="2" customWidth="1"/>
    <col min="13043" max="13043" width="7.140625" style="2" customWidth="1"/>
    <col min="13044" max="13044" width="20.140625" style="2" customWidth="1"/>
    <col min="13045" max="13276" width="8.85546875" style="2" customWidth="1"/>
    <col min="13277" max="13277" width="8.140625" style="2" customWidth="1"/>
    <col min="13278" max="13278" width="14.42578125" style="2" customWidth="1"/>
    <col min="13279" max="13279" width="37.42578125" style="2" customWidth="1"/>
    <col min="13280" max="13280" width="63.140625" style="2" customWidth="1"/>
    <col min="13281" max="13281" width="20" style="2" customWidth="1"/>
    <col min="13282" max="13282" width="11.140625" style="2" customWidth="1"/>
    <col min="13283" max="13283" width="10.85546875" style="2" customWidth="1"/>
    <col min="13284" max="13284" width="21" style="2" customWidth="1"/>
    <col min="13285" max="13285" width="10.85546875" style="2" customWidth="1"/>
    <col min="13286" max="13286" width="17.42578125" style="2" customWidth="1"/>
    <col min="13287" max="13287" width="14.85546875" style="2" customWidth="1"/>
    <col min="13288" max="13288" width="15" style="2" customWidth="1"/>
    <col min="13289" max="13289" width="14.85546875" style="2" customWidth="1"/>
    <col min="13290" max="13290" width="7.140625" style="2" customWidth="1"/>
    <col min="13291" max="13292" width="20.140625" style="2" customWidth="1"/>
    <col min="13293" max="13293" width="18.42578125" style="2" customWidth="1"/>
    <col min="13294" max="13294" width="9.140625" style="2" customWidth="1"/>
    <col min="13295" max="13295" width="12" style="2" customWidth="1"/>
    <col min="13296" max="13296" width="14.85546875" style="2" customWidth="1"/>
    <col min="13297" max="13297" width="22.42578125" style="2" customWidth="1"/>
    <col min="13298" max="13298" width="14.85546875" style="2" customWidth="1"/>
    <col min="13299" max="13299" width="7.140625" style="2" customWidth="1"/>
    <col min="13300" max="13300" width="20.140625" style="2" customWidth="1"/>
    <col min="13301" max="13532" width="8.85546875" style="2" customWidth="1"/>
    <col min="13533" max="13533" width="8.140625" style="2" customWidth="1"/>
    <col min="13534" max="13534" width="14.42578125" style="2" customWidth="1"/>
    <col min="13535" max="13535" width="37.42578125" style="2" customWidth="1"/>
    <col min="13536" max="13536" width="63.140625" style="2" customWidth="1"/>
    <col min="13537" max="13537" width="20" style="2" customWidth="1"/>
    <col min="13538" max="13538" width="11.140625" style="2" customWidth="1"/>
    <col min="13539" max="13539" width="10.85546875" style="2" customWidth="1"/>
    <col min="13540" max="13540" width="21" style="2" customWidth="1"/>
    <col min="13541" max="13541" width="10.85546875" style="2" customWidth="1"/>
    <col min="13542" max="13542" width="17.42578125" style="2" customWidth="1"/>
    <col min="13543" max="13543" width="14.85546875" style="2" customWidth="1"/>
    <col min="13544" max="13544" width="15" style="2" customWidth="1"/>
    <col min="13545" max="13545" width="14.85546875" style="2" customWidth="1"/>
    <col min="13546" max="13546" width="7.140625" style="2" customWidth="1"/>
    <col min="13547" max="13548" width="20.140625" style="2" customWidth="1"/>
    <col min="13549" max="13549" width="18.42578125" style="2" customWidth="1"/>
    <col min="13550" max="13550" width="9.140625" style="2" customWidth="1"/>
    <col min="13551" max="13551" width="12" style="2" customWidth="1"/>
    <col min="13552" max="13552" width="14.85546875" style="2" customWidth="1"/>
    <col min="13553" max="13553" width="22.42578125" style="2" customWidth="1"/>
    <col min="13554" max="13554" width="14.85546875" style="2" customWidth="1"/>
    <col min="13555" max="13555" width="7.140625" style="2" customWidth="1"/>
    <col min="13556" max="13556" width="20.140625" style="2" customWidth="1"/>
    <col min="13557" max="13788" width="8.85546875" style="2" customWidth="1"/>
    <col min="13789" max="13789" width="8.140625" style="2" customWidth="1"/>
    <col min="13790" max="13790" width="14.42578125" style="2" customWidth="1"/>
    <col min="13791" max="13791" width="37.42578125" style="2" customWidth="1"/>
    <col min="13792" max="13792" width="63.140625" style="2" customWidth="1"/>
    <col min="13793" max="13793" width="20" style="2" customWidth="1"/>
    <col min="13794" max="13794" width="11.140625" style="2" customWidth="1"/>
    <col min="13795" max="13795" width="10.85546875" style="2" customWidth="1"/>
    <col min="13796" max="13796" width="21" style="2" customWidth="1"/>
    <col min="13797" max="13797" width="10.85546875" style="2" customWidth="1"/>
    <col min="13798" max="13798" width="17.42578125" style="2" customWidth="1"/>
    <col min="13799" max="13799" width="14.85546875" style="2" customWidth="1"/>
    <col min="13800" max="13800" width="15" style="2" customWidth="1"/>
    <col min="13801" max="13801" width="14.85546875" style="2" customWidth="1"/>
    <col min="13802" max="13802" width="7.140625" style="2" customWidth="1"/>
    <col min="13803" max="13804" width="20.140625" style="2" customWidth="1"/>
    <col min="13805" max="13805" width="18.42578125" style="2" customWidth="1"/>
    <col min="13806" max="13806" width="9.140625" style="2" customWidth="1"/>
    <col min="13807" max="13807" width="12" style="2" customWidth="1"/>
    <col min="13808" max="13808" width="14.85546875" style="2" customWidth="1"/>
    <col min="13809" max="13809" width="22.42578125" style="2" customWidth="1"/>
    <col min="13810" max="13810" width="14.85546875" style="2" customWidth="1"/>
    <col min="13811" max="13811" width="7.140625" style="2" customWidth="1"/>
    <col min="13812" max="13812" width="20.140625" style="2" customWidth="1"/>
    <col min="13813" max="14044" width="8.85546875" style="2" customWidth="1"/>
    <col min="14045" max="14045" width="8.140625" style="2" customWidth="1"/>
    <col min="14046" max="14046" width="14.42578125" style="2" customWidth="1"/>
    <col min="14047" max="14047" width="37.42578125" style="2" customWidth="1"/>
    <col min="14048" max="14048" width="63.140625" style="2" customWidth="1"/>
    <col min="14049" max="14049" width="20" style="2" customWidth="1"/>
    <col min="14050" max="14050" width="11.140625" style="2" customWidth="1"/>
    <col min="14051" max="14051" width="10.85546875" style="2" customWidth="1"/>
    <col min="14052" max="14052" width="21" style="2" customWidth="1"/>
    <col min="14053" max="14053" width="10.85546875" style="2" customWidth="1"/>
    <col min="14054" max="14054" width="17.42578125" style="2" customWidth="1"/>
    <col min="14055" max="14055" width="14.85546875" style="2" customWidth="1"/>
    <col min="14056" max="14056" width="15" style="2" customWidth="1"/>
    <col min="14057" max="14057" width="14.85546875" style="2" customWidth="1"/>
    <col min="14058" max="14058" width="7.140625" style="2" customWidth="1"/>
    <col min="14059" max="14060" width="20.140625" style="2" customWidth="1"/>
    <col min="14061" max="14061" width="18.42578125" style="2" customWidth="1"/>
    <col min="14062" max="14062" width="9.140625" style="2" customWidth="1"/>
    <col min="14063" max="14063" width="12" style="2" customWidth="1"/>
    <col min="14064" max="14064" width="14.85546875" style="2" customWidth="1"/>
    <col min="14065" max="14065" width="22.42578125" style="2" customWidth="1"/>
    <col min="14066" max="14066" width="14.85546875" style="2" customWidth="1"/>
    <col min="14067" max="14067" width="7.140625" style="2" customWidth="1"/>
    <col min="14068" max="14068" width="20.140625" style="2" customWidth="1"/>
    <col min="14069" max="14300" width="8.85546875" style="2" customWidth="1"/>
    <col min="14301" max="14301" width="8.140625" style="2" customWidth="1"/>
    <col min="14302" max="14302" width="14.42578125" style="2" customWidth="1"/>
    <col min="14303" max="14303" width="37.42578125" style="2" customWidth="1"/>
    <col min="14304" max="14304" width="63.140625" style="2" customWidth="1"/>
    <col min="14305" max="14305" width="20" style="2" customWidth="1"/>
    <col min="14306" max="14306" width="11.140625" style="2" customWidth="1"/>
    <col min="14307" max="14307" width="10.85546875" style="2" customWidth="1"/>
    <col min="14308" max="14308" width="21" style="2" customWidth="1"/>
    <col min="14309" max="14309" width="10.85546875" style="2" customWidth="1"/>
    <col min="14310" max="14310" width="17.42578125" style="2" customWidth="1"/>
    <col min="14311" max="14311" width="14.85546875" style="2" customWidth="1"/>
    <col min="14312" max="14312" width="15" style="2" customWidth="1"/>
    <col min="14313" max="14313" width="14.85546875" style="2" customWidth="1"/>
    <col min="14314" max="14314" width="7.140625" style="2" customWidth="1"/>
    <col min="14315" max="14316" width="20.140625" style="2" customWidth="1"/>
    <col min="14317" max="14317" width="18.42578125" style="2" customWidth="1"/>
    <col min="14318" max="14318" width="9.140625" style="2" customWidth="1"/>
    <col min="14319" max="14319" width="12" style="2" customWidth="1"/>
    <col min="14320" max="14320" width="14.85546875" style="2" customWidth="1"/>
    <col min="14321" max="14321" width="22.42578125" style="2" customWidth="1"/>
    <col min="14322" max="14322" width="14.85546875" style="2" customWidth="1"/>
    <col min="14323" max="14323" width="7.140625" style="2" customWidth="1"/>
    <col min="14324" max="14324" width="20.140625" style="2" customWidth="1"/>
    <col min="14325" max="14556" width="8.85546875" style="2" customWidth="1"/>
    <col min="14557" max="14557" width="8.140625" style="2" customWidth="1"/>
    <col min="14558" max="14558" width="14.42578125" style="2" customWidth="1"/>
    <col min="14559" max="14559" width="37.42578125" style="2" customWidth="1"/>
    <col min="14560" max="14560" width="63.140625" style="2" customWidth="1"/>
    <col min="14561" max="14561" width="20" style="2" customWidth="1"/>
    <col min="14562" max="14562" width="11.140625" style="2" customWidth="1"/>
    <col min="14563" max="14563" width="10.85546875" style="2" customWidth="1"/>
    <col min="14564" max="14564" width="21" style="2" customWidth="1"/>
    <col min="14565" max="14565" width="10.85546875" style="2" customWidth="1"/>
    <col min="14566" max="14566" width="17.42578125" style="2" customWidth="1"/>
    <col min="14567" max="14567" width="14.85546875" style="2" customWidth="1"/>
    <col min="14568" max="14568" width="15" style="2" customWidth="1"/>
    <col min="14569" max="14569" width="14.85546875" style="2" customWidth="1"/>
    <col min="14570" max="14570" width="7.140625" style="2" customWidth="1"/>
    <col min="14571" max="14572" width="20.140625" style="2" customWidth="1"/>
    <col min="14573" max="14573" width="18.42578125" style="2" customWidth="1"/>
    <col min="14574" max="14574" width="9.140625" style="2" customWidth="1"/>
    <col min="14575" max="14575" width="12" style="2" customWidth="1"/>
    <col min="14576" max="14576" width="14.85546875" style="2" customWidth="1"/>
    <col min="14577" max="14577" width="22.42578125" style="2" customWidth="1"/>
    <col min="14578" max="14578" width="14.85546875" style="2" customWidth="1"/>
    <col min="14579" max="14579" width="7.140625" style="2" customWidth="1"/>
    <col min="14580" max="14580" width="20.140625" style="2" customWidth="1"/>
    <col min="14581" max="14812" width="8.85546875" style="2" customWidth="1"/>
    <col min="14813" max="14813" width="8.140625" style="2" customWidth="1"/>
    <col min="14814" max="14814" width="14.42578125" style="2" customWidth="1"/>
    <col min="14815" max="14815" width="37.42578125" style="2" customWidth="1"/>
    <col min="14816" max="14816" width="63.140625" style="2" customWidth="1"/>
    <col min="14817" max="14817" width="20" style="2" customWidth="1"/>
    <col min="14818" max="14818" width="11.140625" style="2" customWidth="1"/>
    <col min="14819" max="14819" width="10.85546875" style="2" customWidth="1"/>
    <col min="14820" max="14820" width="21" style="2" customWidth="1"/>
    <col min="14821" max="14821" width="10.85546875" style="2" customWidth="1"/>
    <col min="14822" max="14822" width="17.42578125" style="2" customWidth="1"/>
    <col min="14823" max="14823" width="14.85546875" style="2" customWidth="1"/>
    <col min="14824" max="14824" width="15" style="2" customWidth="1"/>
    <col min="14825" max="14825" width="14.85546875" style="2" customWidth="1"/>
    <col min="14826" max="14826" width="7.140625" style="2" customWidth="1"/>
    <col min="14827" max="14828" width="20.140625" style="2" customWidth="1"/>
    <col min="14829" max="14829" width="18.42578125" style="2" customWidth="1"/>
    <col min="14830" max="14830" width="9.140625" style="2" customWidth="1"/>
    <col min="14831" max="14831" width="12" style="2" customWidth="1"/>
    <col min="14832" max="14832" width="14.85546875" style="2" customWidth="1"/>
    <col min="14833" max="14833" width="22.42578125" style="2" customWidth="1"/>
    <col min="14834" max="14834" width="14.85546875" style="2" customWidth="1"/>
    <col min="14835" max="14835" width="7.140625" style="2" customWidth="1"/>
    <col min="14836" max="14836" width="20.140625" style="2" customWidth="1"/>
    <col min="14837" max="15068" width="8.85546875" style="2" customWidth="1"/>
    <col min="15069" max="15069" width="8.140625" style="2" customWidth="1"/>
    <col min="15070" max="15070" width="14.42578125" style="2" customWidth="1"/>
    <col min="15071" max="15071" width="37.42578125" style="2" customWidth="1"/>
    <col min="15072" max="15072" width="63.140625" style="2" customWidth="1"/>
    <col min="15073" max="15073" width="20" style="2" customWidth="1"/>
    <col min="15074" max="15074" width="11.140625" style="2" customWidth="1"/>
    <col min="15075" max="15075" width="10.85546875" style="2" customWidth="1"/>
    <col min="15076" max="15076" width="21" style="2" customWidth="1"/>
    <col min="15077" max="15077" width="10.85546875" style="2" customWidth="1"/>
    <col min="15078" max="15078" width="17.42578125" style="2" customWidth="1"/>
    <col min="15079" max="15079" width="14.85546875" style="2" customWidth="1"/>
    <col min="15080" max="15080" width="15" style="2" customWidth="1"/>
    <col min="15081" max="15081" width="14.85546875" style="2" customWidth="1"/>
    <col min="15082" max="15082" width="7.140625" style="2" customWidth="1"/>
    <col min="15083" max="15084" width="20.140625" style="2" customWidth="1"/>
    <col min="15085" max="15085" width="18.42578125" style="2" customWidth="1"/>
    <col min="15086" max="15086" width="9.140625" style="2" customWidth="1"/>
    <col min="15087" max="15087" width="12" style="2" customWidth="1"/>
    <col min="15088" max="15088" width="14.85546875" style="2" customWidth="1"/>
    <col min="15089" max="15089" width="22.42578125" style="2" customWidth="1"/>
    <col min="15090" max="15090" width="14.85546875" style="2" customWidth="1"/>
    <col min="15091" max="15091" width="7.140625" style="2" customWidth="1"/>
    <col min="15092" max="15092" width="20.140625" style="2" customWidth="1"/>
    <col min="15093" max="15324" width="8.85546875" style="2" customWidth="1"/>
    <col min="15325" max="15325" width="8.140625" style="2" customWidth="1"/>
    <col min="15326" max="15326" width="14.42578125" style="2" customWidth="1"/>
    <col min="15327" max="15327" width="37.42578125" style="2" customWidth="1"/>
    <col min="15328" max="15328" width="63.140625" style="2" customWidth="1"/>
    <col min="15329" max="15329" width="20" style="2" customWidth="1"/>
    <col min="15330" max="15330" width="11.140625" style="2" customWidth="1"/>
    <col min="15331" max="15331" width="10.85546875" style="2" customWidth="1"/>
    <col min="15332" max="15332" width="21" style="2" customWidth="1"/>
    <col min="15333" max="15333" width="10.85546875" style="2" customWidth="1"/>
    <col min="15334" max="15334" width="17.42578125" style="2" customWidth="1"/>
    <col min="15335" max="15335" width="14.85546875" style="2" customWidth="1"/>
    <col min="15336" max="15336" width="15" style="2" customWidth="1"/>
    <col min="15337" max="15337" width="14.85546875" style="2" customWidth="1"/>
    <col min="15338" max="15338" width="7.140625" style="2" customWidth="1"/>
    <col min="15339" max="15340" width="20.140625" style="2" customWidth="1"/>
    <col min="15341" max="15341" width="18.42578125" style="2" customWidth="1"/>
    <col min="15342" max="15342" width="9.140625" style="2" customWidth="1"/>
    <col min="15343" max="15343" width="12" style="2" customWidth="1"/>
    <col min="15344" max="15344" width="14.85546875" style="2" customWidth="1"/>
    <col min="15345" max="15345" width="22.42578125" style="2" customWidth="1"/>
    <col min="15346" max="15346" width="14.85546875" style="2" customWidth="1"/>
    <col min="15347" max="15347" width="7.140625" style="2" customWidth="1"/>
    <col min="15348" max="15348" width="20.140625" style="2" customWidth="1"/>
    <col min="15349" max="15580" width="8.85546875" style="2" customWidth="1"/>
    <col min="15581" max="15581" width="8.140625" style="2" customWidth="1"/>
    <col min="15582" max="15582" width="14.42578125" style="2" customWidth="1"/>
    <col min="15583" max="15583" width="37.42578125" style="2" customWidth="1"/>
    <col min="15584" max="15584" width="63.140625" style="2" customWidth="1"/>
    <col min="15585" max="15585" width="20" style="2" customWidth="1"/>
    <col min="15586" max="15586" width="11.140625" style="2" customWidth="1"/>
    <col min="15587" max="15587" width="10.85546875" style="2" customWidth="1"/>
    <col min="15588" max="15588" width="21" style="2" customWidth="1"/>
    <col min="15589" max="15589" width="10.85546875" style="2" customWidth="1"/>
    <col min="15590" max="15590" width="17.42578125" style="2" customWidth="1"/>
    <col min="15591" max="15591" width="14.85546875" style="2" customWidth="1"/>
    <col min="15592" max="15592" width="15" style="2" customWidth="1"/>
    <col min="15593" max="15593" width="14.85546875" style="2" customWidth="1"/>
    <col min="15594" max="15594" width="7.140625" style="2" customWidth="1"/>
    <col min="15595" max="15596" width="20.140625" style="2" customWidth="1"/>
    <col min="15597" max="15597" width="18.42578125" style="2" customWidth="1"/>
    <col min="15598" max="15598" width="9.140625" style="2" customWidth="1"/>
    <col min="15599" max="15599" width="12" style="2" customWidth="1"/>
    <col min="15600" max="15600" width="14.85546875" style="2" customWidth="1"/>
    <col min="15601" max="15601" width="22.42578125" style="2" customWidth="1"/>
    <col min="15602" max="15602" width="14.85546875" style="2" customWidth="1"/>
    <col min="15603" max="15603" width="7.140625" style="2" customWidth="1"/>
    <col min="15604" max="15604" width="20.140625" style="2" customWidth="1"/>
    <col min="15605" max="15836" width="8.85546875" style="2" customWidth="1"/>
    <col min="15837" max="15837" width="8.140625" style="2" customWidth="1"/>
    <col min="15838" max="15838" width="14.42578125" style="2" customWidth="1"/>
    <col min="15839" max="15839" width="37.42578125" style="2" customWidth="1"/>
    <col min="15840" max="15840" width="63.140625" style="2" customWidth="1"/>
    <col min="15841" max="15841" width="20" style="2" customWidth="1"/>
    <col min="15842" max="15842" width="11.140625" style="2" customWidth="1"/>
    <col min="15843" max="15843" width="10.85546875" style="2" customWidth="1"/>
    <col min="15844" max="15844" width="21" style="2" customWidth="1"/>
    <col min="15845" max="15845" width="10.85546875" style="2" customWidth="1"/>
    <col min="15846" max="15846" width="17.42578125" style="2" customWidth="1"/>
    <col min="15847" max="15847" width="14.85546875" style="2" customWidth="1"/>
    <col min="15848" max="15848" width="15" style="2" customWidth="1"/>
    <col min="15849" max="15849" width="14.85546875" style="2" customWidth="1"/>
    <col min="15850" max="15850" width="7.140625" style="2" customWidth="1"/>
    <col min="15851" max="15852" width="20.140625" style="2" customWidth="1"/>
    <col min="15853" max="15853" width="18.42578125" style="2" customWidth="1"/>
    <col min="15854" max="15854" width="9.140625" style="2" customWidth="1"/>
    <col min="15855" max="15855" width="12" style="2" customWidth="1"/>
    <col min="15856" max="15856" width="14.85546875" style="2" customWidth="1"/>
    <col min="15857" max="15857" width="22.42578125" style="2" customWidth="1"/>
    <col min="15858" max="15858" width="14.85546875" style="2" customWidth="1"/>
    <col min="15859" max="15859" width="7.140625" style="2" customWidth="1"/>
    <col min="15860" max="15860" width="20.140625" style="2" customWidth="1"/>
    <col min="15861" max="16092" width="8.85546875" style="2" customWidth="1"/>
    <col min="16093" max="16093" width="8.140625" style="2" customWidth="1"/>
    <col min="16094" max="16094" width="14.42578125" style="2" customWidth="1"/>
    <col min="16095" max="16095" width="37.42578125" style="2" customWidth="1"/>
    <col min="16096" max="16096" width="63.140625" style="2" customWidth="1"/>
    <col min="16097" max="16097" width="20" style="2" customWidth="1"/>
    <col min="16098" max="16098" width="11.140625" style="2" customWidth="1"/>
    <col min="16099" max="16099" width="10.85546875" style="2" customWidth="1"/>
    <col min="16100" max="16100" width="21" style="2" customWidth="1"/>
    <col min="16101" max="16101" width="10.85546875" style="2" customWidth="1"/>
    <col min="16102" max="16102" width="17.42578125" style="2" customWidth="1"/>
    <col min="16103" max="16103" width="14.85546875" style="2" customWidth="1"/>
    <col min="16104" max="16104" width="15" style="2" customWidth="1"/>
    <col min="16105" max="16105" width="14.85546875" style="2" customWidth="1"/>
    <col min="16106" max="16106" width="7.140625" style="2" customWidth="1"/>
    <col min="16107" max="16108" width="20.140625" style="2" customWidth="1"/>
    <col min="16109" max="16109" width="18.42578125" style="2" customWidth="1"/>
    <col min="16110" max="16110" width="9.140625" style="2" customWidth="1"/>
    <col min="16111" max="16111" width="12" style="2" customWidth="1"/>
    <col min="16112" max="16112" width="14.85546875" style="2" customWidth="1"/>
    <col min="16113" max="16113" width="22.42578125" style="2" customWidth="1"/>
    <col min="16114" max="16114" width="14.85546875" style="2" customWidth="1"/>
    <col min="16115" max="16115" width="7.140625" style="2" customWidth="1"/>
    <col min="16116" max="16116" width="20.140625" style="2" customWidth="1"/>
    <col min="16117" max="16384" width="8.85546875" style="2" customWidth="1"/>
  </cols>
  <sheetData>
    <row r="1" spans="1:21" ht="14.1" customHeight="1">
      <c r="A1" s="1" t="s">
        <v>4302</v>
      </c>
      <c r="B1" s="2"/>
      <c r="C1" s="2"/>
      <c r="D1" s="2"/>
      <c r="F1" s="2"/>
      <c r="H1" s="2"/>
      <c r="J1" s="2"/>
      <c r="K1" s="2"/>
      <c r="L1" s="2"/>
      <c r="M1" s="2"/>
      <c r="N1" s="2"/>
      <c r="O1" s="2"/>
      <c r="P1" s="2"/>
      <c r="R1" s="10"/>
    </row>
    <row r="2" spans="1:21" s="4" customFormat="1" ht="14.1" customHeight="1">
      <c r="A2" s="4" t="s">
        <v>3444</v>
      </c>
      <c r="E2" s="69"/>
      <c r="R2" s="336"/>
    </row>
    <row r="3" spans="1:21" s="6" customFormat="1" ht="14.1" customHeight="1">
      <c r="A3" s="3"/>
      <c r="B3" s="16"/>
      <c r="C3" s="16"/>
      <c r="D3" s="23"/>
      <c r="E3" s="16"/>
      <c r="F3" s="23"/>
      <c r="G3" s="15"/>
      <c r="H3" s="25"/>
      <c r="I3" s="15"/>
      <c r="J3" s="25"/>
      <c r="K3" s="25"/>
      <c r="L3" s="25"/>
      <c r="M3" s="25"/>
      <c r="N3" s="25"/>
      <c r="O3" s="25"/>
      <c r="P3" s="25"/>
      <c r="Q3" s="2"/>
      <c r="R3" s="355" t="s">
        <v>2</v>
      </c>
      <c r="S3" s="2"/>
      <c r="T3" s="2"/>
      <c r="U3" s="2"/>
    </row>
    <row r="4" spans="1:21" s="5" customFormat="1" ht="33" customHeight="1">
      <c r="A4" s="21" t="s">
        <v>3</v>
      </c>
      <c r="B4" s="52" t="s">
        <v>4</v>
      </c>
      <c r="C4" s="52" t="s">
        <v>5</v>
      </c>
      <c r="D4" s="21" t="s">
        <v>6</v>
      </c>
      <c r="E4" s="21" t="s">
        <v>7</v>
      </c>
      <c r="F4" s="21" t="s">
        <v>8</v>
      </c>
      <c r="G4" s="21" t="s">
        <v>9</v>
      </c>
      <c r="H4" s="21" t="s">
        <v>10</v>
      </c>
      <c r="I4" s="21" t="s">
        <v>11</v>
      </c>
      <c r="J4" s="21" t="s">
        <v>12</v>
      </c>
      <c r="K4" s="21" t="s">
        <v>13</v>
      </c>
      <c r="L4" s="21" t="s">
        <v>14</v>
      </c>
      <c r="M4" s="21" t="s">
        <v>15</v>
      </c>
      <c r="N4" s="21" t="s">
        <v>16</v>
      </c>
      <c r="O4" s="21" t="s">
        <v>17</v>
      </c>
      <c r="P4" s="21" t="s">
        <v>18</v>
      </c>
      <c r="Q4" s="3"/>
      <c r="R4" s="41" t="s">
        <v>19</v>
      </c>
      <c r="S4" s="20"/>
      <c r="T4" s="42" t="s">
        <v>20</v>
      </c>
      <c r="U4" s="42" t="s">
        <v>21</v>
      </c>
    </row>
    <row r="5" spans="1:21" ht="14.1" customHeight="1">
      <c r="A5" s="7">
        <v>1</v>
      </c>
      <c r="B5" s="14" t="s">
        <v>124</v>
      </c>
      <c r="C5" s="14" t="s">
        <v>391</v>
      </c>
      <c r="D5" s="7" t="s">
        <v>611</v>
      </c>
      <c r="E5" s="14" t="s">
        <v>355</v>
      </c>
      <c r="F5" s="7" t="s">
        <v>26</v>
      </c>
      <c r="G5" s="8" t="s">
        <v>4303</v>
      </c>
      <c r="H5" s="7" t="s">
        <v>518</v>
      </c>
      <c r="I5" s="8" t="s">
        <v>4304</v>
      </c>
      <c r="J5" s="7" t="s">
        <v>123</v>
      </c>
      <c r="K5" s="7" t="s">
        <v>520</v>
      </c>
      <c r="L5" s="7" t="s">
        <v>322</v>
      </c>
      <c r="M5" s="7">
        <v>8302.6</v>
      </c>
      <c r="N5" s="7">
        <v>1000</v>
      </c>
      <c r="O5" s="7">
        <v>45</v>
      </c>
      <c r="P5" s="7"/>
      <c r="R5" s="9">
        <v>139.68865585123399</v>
      </c>
      <c r="S5" s="22"/>
      <c r="T5" s="7" t="s">
        <v>34</v>
      </c>
      <c r="U5" s="7" t="s">
        <v>34</v>
      </c>
    </row>
    <row r="6" spans="1:21" ht="14.1" customHeight="1">
      <c r="A6" s="7">
        <v>2</v>
      </c>
      <c r="B6" s="14" t="s">
        <v>124</v>
      </c>
      <c r="C6" s="14" t="s">
        <v>391</v>
      </c>
      <c r="D6" s="7" t="s">
        <v>611</v>
      </c>
      <c r="E6" s="14" t="s">
        <v>355</v>
      </c>
      <c r="F6" s="7" t="s">
        <v>26</v>
      </c>
      <c r="G6" s="8" t="s">
        <v>4305</v>
      </c>
      <c r="H6" s="7" t="s">
        <v>518</v>
      </c>
      <c r="I6" s="8" t="s">
        <v>4306</v>
      </c>
      <c r="J6" s="7" t="s">
        <v>123</v>
      </c>
      <c r="K6" s="7" t="s">
        <v>520</v>
      </c>
      <c r="L6" s="7" t="s">
        <v>322</v>
      </c>
      <c r="M6" s="7">
        <v>8302.6</v>
      </c>
      <c r="N6" s="7">
        <v>1000</v>
      </c>
      <c r="O6" s="7">
        <v>45</v>
      </c>
      <c r="P6" s="7"/>
      <c r="R6" s="9">
        <v>185.37062168366461</v>
      </c>
      <c r="T6" s="7" t="s">
        <v>34</v>
      </c>
      <c r="U6" s="7" t="s">
        <v>34</v>
      </c>
    </row>
    <row r="7" spans="1:21" ht="14.1" customHeight="1">
      <c r="A7" s="7">
        <v>3</v>
      </c>
      <c r="B7" s="14" t="s">
        <v>124</v>
      </c>
      <c r="C7" s="14" t="s">
        <v>391</v>
      </c>
      <c r="D7" s="7" t="s">
        <v>611</v>
      </c>
      <c r="E7" s="14" t="s">
        <v>355</v>
      </c>
      <c r="F7" s="7" t="s">
        <v>26</v>
      </c>
      <c r="G7" s="61" t="s">
        <v>4307</v>
      </c>
      <c r="H7" s="7" t="s">
        <v>518</v>
      </c>
      <c r="I7" s="8" t="s">
        <v>4308</v>
      </c>
      <c r="J7" s="7" t="s">
        <v>123</v>
      </c>
      <c r="K7" s="12" t="s">
        <v>520</v>
      </c>
      <c r="L7" s="7" t="s">
        <v>322</v>
      </c>
      <c r="M7" s="7">
        <v>8302.6</v>
      </c>
      <c r="N7" s="7">
        <v>1000</v>
      </c>
      <c r="O7" s="7">
        <v>45</v>
      </c>
      <c r="P7" s="7"/>
      <c r="R7" s="9">
        <v>122.69949500446231</v>
      </c>
      <c r="T7" s="7" t="s">
        <v>34</v>
      </c>
      <c r="U7" s="7" t="s">
        <v>34</v>
      </c>
    </row>
    <row r="8" spans="1:21" ht="14.1" customHeight="1">
      <c r="A8" s="7">
        <v>4</v>
      </c>
      <c r="B8" s="14" t="s">
        <v>124</v>
      </c>
      <c r="C8" s="14" t="s">
        <v>391</v>
      </c>
      <c r="D8" s="7" t="s">
        <v>611</v>
      </c>
      <c r="E8" s="14" t="s">
        <v>355</v>
      </c>
      <c r="F8" s="7" t="s">
        <v>26</v>
      </c>
      <c r="G8" s="13" t="s">
        <v>4309</v>
      </c>
      <c r="H8" s="7" t="s">
        <v>518</v>
      </c>
      <c r="I8" s="8" t="s">
        <v>4304</v>
      </c>
      <c r="J8" s="7" t="s">
        <v>123</v>
      </c>
      <c r="K8" s="7" t="s">
        <v>520</v>
      </c>
      <c r="L8" s="7" t="s">
        <v>322</v>
      </c>
      <c r="M8" s="7">
        <v>8302.6</v>
      </c>
      <c r="N8" s="7">
        <v>1000</v>
      </c>
      <c r="O8" s="7">
        <v>45</v>
      </c>
      <c r="P8" s="7"/>
      <c r="R8" s="9">
        <v>135.9132867741736</v>
      </c>
      <c r="T8" s="7" t="s">
        <v>34</v>
      </c>
      <c r="U8" s="7" t="s">
        <v>34</v>
      </c>
    </row>
    <row r="9" spans="1:21" ht="14.1" customHeight="1">
      <c r="A9" s="7">
        <v>5</v>
      </c>
      <c r="B9" s="14" t="s">
        <v>124</v>
      </c>
      <c r="C9" s="14" t="s">
        <v>391</v>
      </c>
      <c r="D9" s="7" t="s">
        <v>611</v>
      </c>
      <c r="E9" s="14" t="s">
        <v>355</v>
      </c>
      <c r="F9" s="7" t="s">
        <v>26</v>
      </c>
      <c r="G9" s="13" t="s">
        <v>4310</v>
      </c>
      <c r="H9" s="7" t="s">
        <v>518</v>
      </c>
      <c r="I9" s="8" t="s">
        <v>4311</v>
      </c>
      <c r="J9" s="7" t="s">
        <v>123</v>
      </c>
      <c r="K9" s="7" t="s">
        <v>520</v>
      </c>
      <c r="L9" s="7" t="s">
        <v>322</v>
      </c>
      <c r="M9" s="7">
        <v>8302.6</v>
      </c>
      <c r="N9" s="7">
        <v>1000</v>
      </c>
      <c r="O9" s="7">
        <v>45</v>
      </c>
      <c r="P9" s="7"/>
      <c r="R9" s="9">
        <v>181.59525260660411</v>
      </c>
      <c r="T9" s="7" t="s">
        <v>34</v>
      </c>
      <c r="U9" s="7" t="s">
        <v>34</v>
      </c>
    </row>
    <row r="10" spans="1:21" ht="14.1" customHeight="1">
      <c r="A10" s="7">
        <v>6</v>
      </c>
      <c r="B10" s="14" t="s">
        <v>124</v>
      </c>
      <c r="C10" s="14" t="s">
        <v>391</v>
      </c>
      <c r="D10" s="7" t="s">
        <v>611</v>
      </c>
      <c r="E10" s="14" t="s">
        <v>355</v>
      </c>
      <c r="F10" s="7" t="s">
        <v>26</v>
      </c>
      <c r="G10" s="13" t="s">
        <v>4312</v>
      </c>
      <c r="H10" s="7" t="s">
        <v>518</v>
      </c>
      <c r="I10" s="8" t="s">
        <v>4313</v>
      </c>
      <c r="J10" s="7" t="s">
        <v>123</v>
      </c>
      <c r="K10" s="7" t="s">
        <v>520</v>
      </c>
      <c r="L10" s="7" t="s">
        <v>322</v>
      </c>
      <c r="M10" s="7">
        <v>8302.6</v>
      </c>
      <c r="N10" s="7">
        <v>1000</v>
      </c>
      <c r="O10" s="7">
        <v>45</v>
      </c>
      <c r="P10" s="7"/>
      <c r="R10" s="9">
        <v>205.75761469979059</v>
      </c>
      <c r="T10" s="7" t="s">
        <v>34</v>
      </c>
      <c r="U10" s="7" t="s">
        <v>34</v>
      </c>
    </row>
    <row r="11" spans="1:21" ht="14.1" customHeight="1">
      <c r="A11" s="7">
        <v>7</v>
      </c>
      <c r="B11" s="14" t="s">
        <v>124</v>
      </c>
      <c r="C11" s="14" t="s">
        <v>391</v>
      </c>
      <c r="D11" s="7" t="s">
        <v>252</v>
      </c>
      <c r="E11" s="14" t="s">
        <v>4135</v>
      </c>
      <c r="F11" s="7" t="s">
        <v>26</v>
      </c>
      <c r="G11" s="8" t="s">
        <v>4314</v>
      </c>
      <c r="H11" s="7" t="s">
        <v>518</v>
      </c>
      <c r="I11" s="8" t="s">
        <v>4315</v>
      </c>
      <c r="J11" s="7" t="s">
        <v>123</v>
      </c>
      <c r="K11" s="7" t="s">
        <v>520</v>
      </c>
      <c r="L11" s="7" t="s">
        <v>322</v>
      </c>
      <c r="M11" s="7">
        <v>8301.4</v>
      </c>
      <c r="N11" s="7">
        <v>500</v>
      </c>
      <c r="O11" s="7">
        <v>45</v>
      </c>
      <c r="P11" s="7"/>
      <c r="R11" s="9">
        <v>330.34479424278311</v>
      </c>
      <c r="T11" s="7" t="s">
        <v>34</v>
      </c>
      <c r="U11" s="7" t="s">
        <v>34</v>
      </c>
    </row>
    <row r="12" spans="1:21" ht="14.1" customHeight="1">
      <c r="A12" s="7">
        <v>8</v>
      </c>
      <c r="B12" s="14" t="s">
        <v>124</v>
      </c>
      <c r="C12" s="14" t="s">
        <v>391</v>
      </c>
      <c r="D12" s="7" t="s">
        <v>252</v>
      </c>
      <c r="E12" s="14" t="s">
        <v>4135</v>
      </c>
      <c r="F12" s="7" t="s">
        <v>26</v>
      </c>
      <c r="G12" s="8" t="s">
        <v>4316</v>
      </c>
      <c r="H12" s="7" t="s">
        <v>518</v>
      </c>
      <c r="I12" s="8" t="s">
        <v>4315</v>
      </c>
      <c r="J12" s="7" t="s">
        <v>123</v>
      </c>
      <c r="K12" s="7" t="s">
        <v>520</v>
      </c>
      <c r="L12" s="7" t="s">
        <v>322</v>
      </c>
      <c r="M12" s="7">
        <v>8301.4</v>
      </c>
      <c r="N12" s="7">
        <v>500</v>
      </c>
      <c r="O12" s="7">
        <v>45</v>
      </c>
      <c r="P12" s="7"/>
      <c r="R12" s="9">
        <v>273.71425808687741</v>
      </c>
      <c r="T12" s="7" t="s">
        <v>34</v>
      </c>
      <c r="U12" s="7" t="s">
        <v>34</v>
      </c>
    </row>
    <row r="13" spans="1:21" ht="14.1" customHeight="1"/>
    <row r="14" spans="1:21" ht="14.1" customHeight="1"/>
    <row r="15" spans="1:21" ht="14.1" customHeight="1"/>
    <row r="16" spans="1:21" ht="14.1" customHeight="1"/>
    <row r="17" ht="14.1" customHeight="1"/>
    <row r="18" ht="14.1" customHeight="1"/>
    <row r="19" ht="14.1" customHeight="1"/>
    <row r="20" ht="14.1" customHeight="1"/>
    <row r="21" ht="14.1" customHeight="1"/>
    <row r="22" ht="14.1" customHeight="1"/>
    <row r="23" ht="14.1" customHeight="1"/>
    <row r="24" ht="14.1" customHeight="1"/>
    <row r="25" ht="14.1" customHeight="1"/>
    <row r="26" ht="14.1" customHeight="1"/>
    <row r="27" ht="14.1" customHeight="1"/>
    <row r="28" ht="14.1" customHeight="1"/>
    <row r="29" ht="14.1" customHeight="1"/>
    <row r="30" ht="14.1" customHeight="1"/>
    <row r="31" ht="14.1" customHeight="1"/>
    <row r="32" ht="14.1" customHeight="1"/>
    <row r="33" ht="14.1" customHeight="1"/>
    <row r="34" ht="14.1" customHeight="1"/>
    <row r="35" ht="14.1" customHeight="1"/>
    <row r="36" ht="14.1" customHeight="1"/>
    <row r="37" ht="14.1" customHeight="1"/>
    <row r="38" ht="14.1" customHeight="1"/>
    <row r="39" ht="14.1" customHeight="1"/>
    <row r="40" ht="14.1" customHeight="1"/>
    <row r="41" ht="14.1" customHeight="1"/>
    <row r="42" ht="14.1" customHeight="1"/>
    <row r="43" ht="14.1" customHeight="1"/>
    <row r="44" ht="14.1" customHeight="1"/>
    <row r="45" ht="14.1" customHeight="1"/>
    <row r="46" ht="14.1" customHeight="1"/>
    <row r="47" ht="14.1" customHeight="1"/>
    <row r="48" ht="14.1" customHeight="1"/>
    <row r="49" ht="14.1" customHeight="1"/>
    <row r="50" ht="14.1" customHeight="1"/>
    <row r="51" ht="14.1" customHeight="1"/>
    <row r="52" ht="14.1" customHeight="1"/>
    <row r="53" ht="14.1" customHeight="1"/>
    <row r="54" ht="14.1" customHeight="1"/>
    <row r="55" ht="14.1" customHeight="1"/>
    <row r="56" ht="14.1" customHeight="1"/>
    <row r="57" ht="14.1" customHeight="1"/>
    <row r="58" ht="14.1" customHeight="1"/>
    <row r="59" ht="14.1" customHeight="1"/>
    <row r="60" ht="14.1" customHeight="1"/>
    <row r="61" ht="14.1" customHeight="1"/>
    <row r="62" ht="14.1" customHeight="1"/>
    <row r="63" ht="14.1" customHeight="1"/>
    <row r="64" ht="14.1" customHeight="1"/>
    <row r="65" ht="14.1" customHeight="1"/>
    <row r="66" ht="14.1" customHeight="1"/>
    <row r="67" ht="14.1" customHeight="1"/>
    <row r="68" ht="14.1" customHeight="1"/>
    <row r="69" ht="14.1" customHeight="1"/>
    <row r="70" ht="14.1" customHeight="1"/>
    <row r="71" ht="14.1" customHeight="1"/>
    <row r="72" ht="14.1" customHeight="1"/>
    <row r="73" ht="14.1" customHeight="1"/>
    <row r="74" ht="14.1" customHeight="1"/>
    <row r="75" ht="14.1" customHeight="1"/>
    <row r="76" ht="14.1" customHeight="1"/>
    <row r="77" ht="14.1" customHeight="1"/>
    <row r="78" ht="14.1" customHeight="1"/>
    <row r="79" ht="14.1" customHeight="1"/>
    <row r="80" ht="14.1" customHeight="1"/>
    <row r="81" ht="14.1" customHeight="1"/>
    <row r="82" ht="14.1" customHeight="1"/>
    <row r="83" ht="14.1" customHeight="1"/>
    <row r="84" ht="14.1" customHeight="1"/>
    <row r="85" ht="14.1" customHeight="1"/>
    <row r="86" ht="14.1" customHeight="1"/>
    <row r="87" ht="14.1" customHeight="1"/>
    <row r="88" ht="14.1" customHeight="1"/>
    <row r="89" ht="14.1" customHeight="1"/>
    <row r="90" ht="14.1" customHeight="1"/>
    <row r="91" ht="14.1" customHeight="1"/>
    <row r="92" ht="14.1" customHeight="1"/>
    <row r="93" ht="14.1" customHeight="1"/>
    <row r="94" ht="14.1" customHeight="1"/>
    <row r="95" ht="14.1" customHeight="1"/>
    <row r="96" ht="14.1" customHeight="1"/>
    <row r="97" ht="14.1" customHeight="1"/>
    <row r="98" ht="14.1" customHeight="1"/>
    <row r="99" ht="14.1" customHeight="1"/>
    <row r="100" ht="14.1" customHeight="1"/>
    <row r="101" ht="14.1" customHeight="1"/>
    <row r="102" ht="14.1" customHeight="1"/>
    <row r="103" ht="14.1" customHeight="1"/>
    <row r="104" ht="14.1" customHeight="1"/>
    <row r="105" ht="14.1" customHeight="1"/>
    <row r="106" ht="14.1" customHeight="1"/>
    <row r="107" ht="14.1" customHeight="1"/>
    <row r="108" ht="14.1" customHeight="1"/>
    <row r="109" ht="14.1" customHeight="1"/>
    <row r="110" ht="14.1" customHeight="1"/>
    <row r="111" ht="14.1" customHeight="1"/>
    <row r="112" ht="14.1" customHeight="1"/>
    <row r="113" ht="14.1" customHeight="1"/>
    <row r="114" ht="14.1" customHeight="1"/>
    <row r="115" ht="14.1" customHeight="1"/>
    <row r="116" ht="14.1" customHeight="1"/>
    <row r="117" ht="14.1" customHeight="1"/>
    <row r="118" ht="14.1" customHeight="1"/>
    <row r="119" ht="14.1" customHeight="1"/>
    <row r="120" ht="14.1" customHeight="1"/>
    <row r="121" ht="14.1" customHeight="1"/>
    <row r="122" ht="14.1" customHeight="1"/>
    <row r="123" ht="14.1" customHeight="1"/>
    <row r="124" ht="14.1" customHeight="1"/>
    <row r="125" ht="14.1" customHeight="1"/>
    <row r="126" ht="14.1" customHeight="1"/>
    <row r="127" ht="14.1" customHeight="1"/>
    <row r="128" ht="14.1" customHeight="1"/>
    <row r="129" ht="14.1" customHeight="1"/>
    <row r="130" ht="14.1" customHeight="1"/>
    <row r="131" ht="14.1" customHeight="1"/>
    <row r="132" ht="14.1" customHeight="1"/>
    <row r="133" ht="14.1" customHeight="1"/>
    <row r="134" ht="14.1" customHeight="1"/>
    <row r="135" ht="14.1" customHeight="1"/>
    <row r="136" ht="14.1" customHeight="1"/>
    <row r="137" ht="14.1" customHeight="1"/>
    <row r="138" ht="14.1" customHeight="1"/>
    <row r="139" ht="14.1" customHeight="1"/>
    <row r="140" ht="14.1" customHeight="1"/>
    <row r="141" ht="14.1" customHeight="1"/>
    <row r="142" ht="14.1" customHeight="1"/>
    <row r="143" ht="14.1" customHeight="1"/>
    <row r="144" ht="14.1" customHeight="1"/>
    <row r="145" ht="14.1" customHeight="1"/>
    <row r="146" ht="14.1" customHeight="1"/>
    <row r="147" ht="14.1" customHeight="1"/>
    <row r="148" ht="14.1" customHeight="1"/>
    <row r="149" ht="14.1" customHeight="1"/>
    <row r="150" ht="14.1" customHeight="1"/>
    <row r="151" ht="14.1" customHeight="1"/>
    <row r="152" ht="14.1" customHeight="1"/>
    <row r="153" ht="14.1" customHeight="1"/>
    <row r="154" ht="14.1" customHeight="1"/>
    <row r="155" ht="14.1" customHeight="1"/>
    <row r="156" ht="14.1" customHeight="1"/>
    <row r="157" ht="14.1" customHeight="1"/>
    <row r="158" ht="14.1" customHeight="1"/>
    <row r="159" ht="14.1" customHeight="1"/>
    <row r="160" ht="14.1" customHeight="1"/>
    <row r="161" ht="14.1" customHeight="1"/>
    <row r="162" ht="14.1" customHeight="1"/>
    <row r="163" ht="14.1" customHeight="1"/>
    <row r="164" ht="14.1" customHeight="1"/>
    <row r="165" ht="14.1" customHeight="1"/>
    <row r="166" ht="14.1" customHeight="1"/>
    <row r="167" ht="14.1" customHeight="1"/>
    <row r="168" ht="14.1" customHeight="1"/>
    <row r="169" ht="14.1" customHeight="1"/>
    <row r="170" ht="14.1" customHeight="1"/>
    <row r="171" ht="14.1" customHeight="1"/>
    <row r="172" ht="14.1" customHeight="1"/>
    <row r="173" ht="14.1" customHeight="1"/>
    <row r="174" ht="14.1" customHeight="1"/>
    <row r="175" ht="14.1" customHeight="1"/>
    <row r="176" ht="14.1" customHeight="1"/>
    <row r="177" ht="14.1" customHeight="1"/>
    <row r="178" ht="14.1" customHeight="1"/>
    <row r="179" ht="14.1" customHeight="1"/>
    <row r="180" ht="14.1" customHeight="1"/>
    <row r="181" ht="14.1" customHeight="1"/>
    <row r="182" ht="14.1" customHeight="1"/>
    <row r="183" ht="14.1" customHeight="1"/>
    <row r="184" ht="14.1" customHeight="1"/>
    <row r="185" ht="14.1" customHeight="1"/>
    <row r="186" ht="14.1" customHeight="1"/>
    <row r="187" ht="14.1" customHeight="1"/>
    <row r="188" ht="14.1" customHeight="1"/>
    <row r="189" ht="14.1" customHeight="1"/>
    <row r="190" ht="14.1" customHeight="1"/>
    <row r="191" ht="14.1" customHeight="1"/>
    <row r="192" ht="14.1" customHeight="1"/>
    <row r="193" ht="14.1" customHeight="1"/>
    <row r="194" ht="14.1" customHeight="1"/>
    <row r="195" ht="14.1" customHeight="1"/>
    <row r="196" ht="14.1" customHeight="1"/>
    <row r="197" ht="14.1" customHeight="1"/>
    <row r="198" ht="14.1" customHeight="1"/>
    <row r="199" ht="14.1" customHeight="1"/>
    <row r="200" ht="14.1" customHeight="1"/>
    <row r="201" ht="14.1" customHeight="1"/>
    <row r="202" ht="14.1" customHeight="1"/>
    <row r="203" ht="14.1" customHeight="1"/>
    <row r="204" ht="14.1" customHeight="1"/>
    <row r="205" ht="14.1" customHeight="1"/>
    <row r="206" ht="14.1" customHeight="1"/>
    <row r="207" ht="14.1" customHeight="1"/>
    <row r="208" ht="14.1" customHeight="1"/>
    <row r="209" ht="14.1" customHeight="1"/>
    <row r="210" ht="14.1" customHeight="1"/>
    <row r="211" ht="14.1" customHeight="1"/>
    <row r="212" ht="14.1" customHeight="1"/>
    <row r="213" ht="14.1" customHeight="1"/>
    <row r="214" ht="14.1" customHeight="1"/>
    <row r="215" ht="14.1" customHeight="1"/>
    <row r="216" ht="14.1" customHeight="1"/>
    <row r="217" ht="14.1" customHeight="1"/>
    <row r="218" ht="14.1" customHeight="1"/>
    <row r="219" ht="14.1" customHeight="1"/>
    <row r="220" ht="14.1" customHeight="1"/>
    <row r="221" ht="14.1" customHeight="1"/>
    <row r="222" ht="14.1" customHeight="1"/>
    <row r="223" ht="14.1" customHeight="1"/>
    <row r="224" ht="14.1" customHeight="1"/>
    <row r="225" ht="14.1" customHeight="1"/>
    <row r="226" ht="14.1" customHeight="1"/>
    <row r="227" ht="14.1" customHeight="1"/>
    <row r="228" ht="14.1" customHeight="1"/>
    <row r="229" ht="14.1" customHeight="1"/>
    <row r="230" ht="14.1" customHeight="1"/>
    <row r="231" ht="14.1" customHeight="1"/>
    <row r="232" ht="14.1" customHeight="1"/>
    <row r="233" ht="14.1" customHeight="1"/>
    <row r="234" ht="14.1" customHeight="1"/>
    <row r="235" ht="14.1" customHeight="1"/>
    <row r="236" ht="14.1" customHeight="1"/>
    <row r="237" ht="14.1" customHeight="1"/>
    <row r="238" ht="14.1" customHeight="1"/>
    <row r="239" ht="14.1" customHeight="1"/>
    <row r="240" ht="14.1" customHeight="1"/>
    <row r="241" ht="14.1" customHeight="1"/>
    <row r="242" ht="14.1" customHeight="1"/>
    <row r="243" ht="14.1" customHeight="1"/>
    <row r="244" ht="14.1" customHeight="1"/>
    <row r="245" ht="14.1" customHeight="1"/>
    <row r="246" ht="14.1" customHeight="1"/>
    <row r="247" ht="14.1" customHeight="1"/>
    <row r="248" ht="14.1" customHeight="1"/>
    <row r="249" ht="14.1" customHeight="1"/>
    <row r="250" ht="14.1" customHeight="1"/>
    <row r="251" ht="14.1" customHeight="1"/>
    <row r="252" ht="14.1" customHeight="1"/>
    <row r="253" ht="14.1" customHeight="1"/>
    <row r="254" ht="14.1" customHeight="1"/>
    <row r="255" ht="14.1" customHeight="1"/>
    <row r="256" ht="14.1" customHeight="1"/>
    <row r="257" ht="14.1" customHeight="1"/>
    <row r="258" ht="14.1" customHeight="1"/>
    <row r="259" ht="14.1" customHeight="1"/>
    <row r="260" ht="14.1" customHeight="1"/>
    <row r="261" ht="14.1" customHeight="1"/>
    <row r="262" ht="14.1" customHeight="1"/>
    <row r="263" ht="14.1" customHeight="1"/>
    <row r="264" ht="14.1" customHeight="1"/>
    <row r="265" ht="14.1" customHeight="1"/>
    <row r="266" ht="14.1" customHeight="1"/>
    <row r="267" ht="14.1" customHeight="1"/>
    <row r="268" ht="14.1" customHeight="1"/>
    <row r="269" ht="14.1" customHeight="1"/>
    <row r="270" ht="14.1" customHeight="1"/>
    <row r="271" ht="14.1" customHeight="1"/>
    <row r="272" ht="14.1" customHeight="1"/>
    <row r="273" ht="14.1" customHeight="1"/>
    <row r="274" ht="14.1" customHeight="1"/>
    <row r="275" ht="14.1" customHeight="1"/>
    <row r="276" ht="14.1" customHeight="1"/>
    <row r="277" ht="14.1" customHeight="1"/>
    <row r="278" ht="14.1" customHeight="1"/>
    <row r="279" ht="14.1" customHeight="1"/>
    <row r="280" ht="14.1" customHeight="1"/>
    <row r="281" ht="14.1" customHeight="1"/>
    <row r="282" ht="14.1" customHeight="1"/>
    <row r="283" ht="14.1" customHeight="1"/>
    <row r="284" ht="14.1" customHeight="1"/>
    <row r="285" ht="14.1" customHeight="1"/>
    <row r="286" ht="14.1" customHeight="1"/>
    <row r="287" ht="14.1" customHeight="1"/>
    <row r="288" ht="14.1" customHeight="1"/>
    <row r="289" ht="14.1" customHeight="1"/>
    <row r="290" ht="14.1" customHeight="1"/>
    <row r="291" ht="14.1" customHeight="1"/>
    <row r="292" ht="14.1" customHeight="1"/>
    <row r="293" ht="14.1" customHeight="1"/>
    <row r="294" ht="14.1" customHeight="1"/>
    <row r="295" ht="14.1" customHeight="1"/>
    <row r="296" ht="14.1" customHeight="1"/>
    <row r="297" ht="14.1" customHeight="1"/>
    <row r="298" ht="14.1" customHeight="1"/>
    <row r="299" ht="14.1" customHeight="1"/>
    <row r="300" ht="14.1" customHeight="1"/>
    <row r="301" ht="14.1" customHeight="1"/>
    <row r="302" ht="14.1" customHeight="1"/>
    <row r="303" ht="14.1" customHeight="1"/>
    <row r="304" ht="14.1" customHeight="1"/>
    <row r="305" ht="14.1" customHeight="1"/>
    <row r="306" ht="14.1" customHeight="1"/>
    <row r="307" ht="14.1" customHeight="1"/>
    <row r="308" ht="14.1" customHeight="1"/>
    <row r="309" ht="14.1" customHeight="1"/>
    <row r="310" ht="14.1" customHeight="1"/>
    <row r="311" ht="14.1" customHeight="1"/>
    <row r="312" ht="14.1" customHeight="1"/>
    <row r="313" ht="14.1" customHeight="1"/>
    <row r="314" ht="14.1" customHeight="1"/>
    <row r="315" ht="14.1" customHeight="1"/>
    <row r="316" ht="14.1" customHeight="1"/>
    <row r="317" ht="14.1" customHeight="1"/>
    <row r="318" ht="14.1" customHeight="1"/>
    <row r="319" ht="14.1" customHeight="1"/>
    <row r="320" ht="14.1" customHeight="1"/>
    <row r="321" ht="14.1" customHeight="1"/>
    <row r="322" ht="14.1" customHeight="1"/>
    <row r="323" ht="14.1" customHeight="1"/>
    <row r="324" ht="14.1" customHeight="1"/>
    <row r="325" ht="14.1" customHeight="1"/>
    <row r="326" ht="14.1" customHeight="1"/>
    <row r="327" ht="14.1" customHeight="1"/>
    <row r="328" ht="14.1" customHeight="1"/>
    <row r="329" ht="14.1" customHeight="1"/>
    <row r="330" ht="14.1" customHeight="1"/>
    <row r="331" ht="14.1" customHeight="1"/>
    <row r="332" ht="14.1" customHeight="1"/>
    <row r="333" ht="14.1" customHeight="1"/>
    <row r="334" ht="14.1" customHeight="1"/>
    <row r="335" ht="14.1" customHeight="1"/>
    <row r="336" ht="14.1" customHeight="1"/>
    <row r="337" ht="14.1" customHeight="1"/>
    <row r="338" ht="14.1" customHeight="1"/>
    <row r="339" ht="14.1" customHeight="1"/>
    <row r="340" ht="14.1" customHeight="1"/>
    <row r="341" ht="14.1" customHeight="1"/>
    <row r="342" ht="14.1" customHeight="1"/>
    <row r="343" ht="14.1" customHeight="1"/>
    <row r="344" ht="14.1" customHeight="1"/>
    <row r="345" ht="14.1" customHeight="1"/>
    <row r="346" ht="14.1" customHeight="1"/>
    <row r="347" ht="14.1" customHeight="1"/>
    <row r="348" ht="14.1" customHeight="1"/>
    <row r="349" ht="14.1" customHeight="1"/>
    <row r="350" ht="14.1" customHeight="1"/>
    <row r="351" ht="14.1" customHeight="1"/>
    <row r="352" ht="14.1" customHeight="1"/>
    <row r="353" ht="14.1" customHeight="1"/>
    <row r="354" ht="14.1" customHeight="1"/>
    <row r="355" ht="14.1" customHeight="1"/>
    <row r="356" ht="14.1" customHeight="1"/>
    <row r="357" ht="14.1" customHeight="1"/>
    <row r="358" ht="14.1" customHeight="1"/>
    <row r="359" ht="14.1" customHeight="1"/>
    <row r="360" ht="14.1" customHeight="1"/>
    <row r="361" ht="14.1" customHeight="1"/>
    <row r="362" ht="14.1" customHeight="1"/>
    <row r="363" ht="14.1" customHeight="1"/>
    <row r="364" ht="14.1" customHeight="1"/>
    <row r="365" ht="14.1" customHeight="1"/>
    <row r="366" ht="14.1" customHeight="1"/>
    <row r="367" ht="14.1" customHeight="1"/>
    <row r="368" ht="14.1" customHeight="1"/>
    <row r="369" ht="14.1" customHeight="1"/>
    <row r="370" ht="14.1" customHeight="1"/>
    <row r="371" ht="14.1" customHeight="1"/>
    <row r="372" ht="14.1" customHeight="1"/>
    <row r="373" ht="14.1" customHeight="1"/>
    <row r="374" ht="14.1" customHeight="1"/>
    <row r="375" ht="14.1" customHeight="1"/>
    <row r="376" ht="14.1" customHeight="1"/>
    <row r="377" ht="14.1" customHeight="1"/>
    <row r="378" ht="14.1" customHeight="1"/>
    <row r="379" ht="14.1" customHeight="1"/>
    <row r="380" ht="14.1" customHeight="1"/>
    <row r="381" ht="14.1" customHeight="1"/>
    <row r="382" ht="14.1" customHeight="1"/>
    <row r="383" ht="14.1" customHeight="1"/>
    <row r="384" ht="14.1" customHeight="1"/>
    <row r="385" ht="14.1" customHeight="1"/>
    <row r="386" ht="14.1" customHeight="1"/>
    <row r="387" ht="14.1" customHeight="1"/>
    <row r="388" ht="14.1" customHeight="1"/>
    <row r="389" ht="14.1" customHeight="1"/>
    <row r="390" ht="14.1" customHeight="1"/>
    <row r="391" ht="14.1" customHeight="1"/>
    <row r="392" ht="14.1" customHeight="1"/>
    <row r="393" ht="14.1" customHeight="1"/>
    <row r="394" ht="14.1" customHeight="1"/>
    <row r="395" ht="14.1" customHeight="1"/>
    <row r="396" ht="14.1" customHeight="1"/>
    <row r="397" ht="14.1" customHeight="1"/>
    <row r="398" ht="14.1" customHeight="1"/>
    <row r="399" ht="14.1" customHeight="1"/>
    <row r="400" ht="14.1" customHeight="1"/>
    <row r="401" ht="14.1" customHeight="1"/>
    <row r="402" ht="14.1" customHeight="1"/>
    <row r="403" ht="14.1" customHeight="1"/>
    <row r="404" ht="14.1" customHeight="1"/>
    <row r="405" ht="14.1" customHeight="1"/>
    <row r="406" ht="14.1" customHeight="1"/>
    <row r="407" ht="14.1" customHeight="1"/>
    <row r="408" ht="14.1" customHeight="1"/>
    <row r="409" ht="14.1" customHeight="1"/>
    <row r="410" ht="14.1" customHeight="1"/>
    <row r="411" ht="14.1" customHeight="1"/>
    <row r="412" ht="14.1" customHeight="1"/>
    <row r="413" ht="14.1" customHeight="1"/>
    <row r="414" ht="14.1" customHeight="1"/>
    <row r="415" ht="14.1" customHeight="1"/>
    <row r="416" ht="14.1" customHeight="1"/>
    <row r="417" ht="14.1" customHeight="1"/>
    <row r="418" ht="14.1" customHeight="1"/>
    <row r="419" ht="14.1" customHeight="1"/>
    <row r="420" ht="14.1" customHeight="1"/>
    <row r="421" ht="14.1" customHeight="1"/>
    <row r="422" ht="14.1" customHeight="1"/>
    <row r="423" ht="14.1" customHeight="1"/>
    <row r="424" ht="14.1" customHeight="1"/>
    <row r="425" ht="14.1" customHeight="1"/>
    <row r="426" ht="14.1" customHeight="1"/>
    <row r="427" ht="14.1" customHeight="1"/>
    <row r="428" ht="14.1" customHeight="1"/>
    <row r="429" ht="14.1" customHeight="1"/>
    <row r="430" ht="14.1" customHeight="1"/>
    <row r="431" ht="14.1" customHeight="1"/>
    <row r="432" ht="14.1" customHeight="1"/>
    <row r="433" ht="14.1" customHeight="1"/>
    <row r="434" ht="14.1" customHeight="1"/>
    <row r="435" ht="14.1" customHeight="1"/>
    <row r="436" ht="14.1" customHeight="1"/>
    <row r="437" ht="14.1" customHeight="1"/>
    <row r="438" ht="14.1" customHeight="1"/>
    <row r="439" ht="14.1" customHeight="1"/>
    <row r="440" ht="14.1" customHeight="1"/>
    <row r="441" ht="14.1" customHeight="1"/>
    <row r="442" ht="14.1" customHeight="1"/>
    <row r="443" ht="14.1" customHeight="1"/>
    <row r="444" ht="14.1" customHeight="1"/>
    <row r="445" ht="14.1" customHeight="1"/>
    <row r="446" ht="14.1" customHeight="1"/>
    <row r="447" ht="14.1" customHeight="1"/>
    <row r="448" ht="14.1" customHeight="1"/>
    <row r="449" ht="14.1" customHeight="1"/>
    <row r="450" ht="14.1" customHeight="1"/>
    <row r="451" ht="14.1" customHeight="1"/>
    <row r="452" ht="14.1" customHeight="1"/>
    <row r="453" ht="14.1" customHeight="1"/>
    <row r="454" ht="14.1" customHeight="1"/>
    <row r="455" ht="14.1" customHeight="1"/>
    <row r="456" ht="14.1" customHeight="1"/>
    <row r="457" ht="14.1" customHeight="1"/>
    <row r="458" ht="14.1" customHeight="1"/>
    <row r="459" ht="14.1" customHeight="1"/>
    <row r="460" ht="14.1" customHeight="1"/>
    <row r="461" ht="14.1" customHeight="1"/>
    <row r="462" ht="14.1" customHeight="1"/>
    <row r="463" ht="14.1" customHeight="1"/>
    <row r="464" ht="14.1" customHeight="1"/>
    <row r="465" ht="14.1" customHeight="1"/>
    <row r="466" ht="14.1" customHeight="1"/>
    <row r="467" ht="14.1" customHeight="1"/>
    <row r="468" ht="14.1" customHeight="1"/>
    <row r="469" ht="14.1" customHeight="1"/>
    <row r="470" ht="14.1" customHeight="1"/>
    <row r="471" ht="14.1" customHeight="1"/>
    <row r="472" ht="14.1" customHeight="1"/>
    <row r="473" ht="14.1" customHeight="1"/>
    <row r="474" ht="14.1" customHeight="1"/>
    <row r="475" ht="14.1" customHeight="1"/>
    <row r="476" ht="14.1" customHeight="1"/>
    <row r="477" ht="14.1" customHeight="1"/>
    <row r="478" ht="14.1" customHeight="1"/>
    <row r="479" ht="14.1" customHeight="1"/>
    <row r="480" ht="14.1" customHeight="1"/>
    <row r="481" ht="14.1" customHeight="1"/>
    <row r="482" ht="14.1" customHeight="1"/>
    <row r="483" ht="14.1" customHeight="1"/>
    <row r="484" ht="14.1" customHeight="1"/>
    <row r="485" ht="14.1" customHeight="1"/>
    <row r="486" ht="14.1" customHeight="1"/>
    <row r="487" ht="14.1" customHeight="1"/>
    <row r="488" ht="14.1" customHeight="1"/>
    <row r="489" ht="14.1" customHeight="1"/>
    <row r="490" ht="14.1" customHeight="1"/>
    <row r="491" ht="14.1" customHeight="1"/>
    <row r="492" ht="14.1" customHeight="1"/>
    <row r="493" ht="14.1" customHeight="1"/>
    <row r="494" ht="14.1" customHeight="1"/>
    <row r="495" ht="14.1" customHeight="1"/>
    <row r="496" ht="14.1" customHeight="1"/>
    <row r="497" ht="14.1" customHeight="1"/>
    <row r="498" ht="14.1" customHeight="1"/>
    <row r="499" ht="14.1" customHeight="1"/>
    <row r="500" ht="14.1" customHeight="1"/>
    <row r="501" ht="14.1" customHeight="1"/>
    <row r="502" ht="14.1" customHeight="1"/>
    <row r="503" ht="14.1" customHeight="1"/>
    <row r="504" ht="14.1" customHeight="1"/>
    <row r="505" ht="14.1" customHeight="1"/>
    <row r="506" ht="14.1" customHeight="1"/>
    <row r="507" ht="14.1" customHeight="1"/>
    <row r="508" ht="14.1" customHeight="1"/>
    <row r="509" ht="14.1" customHeight="1"/>
    <row r="510" ht="14.1" customHeight="1"/>
    <row r="511" ht="14.1" customHeight="1"/>
    <row r="512" ht="14.1" customHeight="1"/>
    <row r="513" ht="14.1" customHeight="1"/>
    <row r="514" ht="14.1" customHeight="1"/>
    <row r="515" ht="14.1" customHeight="1"/>
    <row r="516" ht="14.1" customHeight="1"/>
    <row r="517" ht="14.1" customHeight="1"/>
    <row r="518" ht="14.1" customHeight="1"/>
    <row r="519" ht="14.1" customHeight="1"/>
    <row r="520" ht="14.1" customHeight="1"/>
    <row r="521" ht="14.1" customHeight="1"/>
    <row r="522" ht="14.1" customHeight="1"/>
    <row r="523" ht="14.1" customHeight="1"/>
    <row r="524" ht="14.1" customHeight="1"/>
    <row r="525" ht="14.1" customHeight="1"/>
    <row r="526" ht="14.1" customHeight="1"/>
    <row r="527" ht="14.1" customHeight="1"/>
    <row r="528" ht="14.1" customHeight="1"/>
    <row r="529" ht="14.1" customHeight="1"/>
    <row r="530" ht="14.1" customHeight="1"/>
    <row r="531" ht="14.1" customHeight="1"/>
    <row r="532" ht="14.1" customHeight="1"/>
    <row r="533" ht="14.1" customHeight="1"/>
    <row r="534" ht="14.1" customHeight="1"/>
    <row r="535" ht="14.1" customHeight="1"/>
    <row r="536" ht="14.1" customHeight="1"/>
    <row r="537" ht="14.1" customHeight="1"/>
    <row r="538" ht="14.1" customHeight="1"/>
    <row r="539" ht="14.1" customHeight="1"/>
    <row r="540" ht="14.1" customHeight="1"/>
    <row r="541" ht="14.1" customHeight="1"/>
    <row r="542" ht="14.1" customHeight="1"/>
    <row r="543" ht="14.1" customHeight="1"/>
    <row r="544" ht="14.1" customHeight="1"/>
    <row r="545" ht="14.1" customHeight="1"/>
    <row r="546" ht="14.1" customHeight="1"/>
    <row r="547" ht="14.1" customHeight="1"/>
    <row r="548" ht="14.1" customHeight="1"/>
    <row r="549" ht="14.1" customHeight="1"/>
    <row r="550" ht="14.1" customHeight="1"/>
    <row r="551" ht="14.1" customHeight="1"/>
    <row r="552" ht="14.1" customHeight="1"/>
    <row r="553" ht="14.1" customHeight="1"/>
    <row r="554" ht="14.1" customHeight="1"/>
    <row r="555" ht="14.1" customHeight="1"/>
    <row r="556" ht="14.1" customHeight="1"/>
    <row r="557" ht="14.1" customHeight="1"/>
    <row r="558" ht="14.1" customHeight="1"/>
    <row r="559" ht="14.1" customHeight="1"/>
    <row r="560" ht="14.1" customHeight="1"/>
    <row r="561" ht="14.1" customHeight="1"/>
    <row r="562" ht="14.1" customHeight="1"/>
    <row r="563" ht="14.1" customHeight="1"/>
    <row r="564" ht="14.1" customHeight="1"/>
    <row r="565" ht="14.1" customHeight="1"/>
    <row r="566" ht="14.1" customHeight="1"/>
    <row r="567" ht="14.1" customHeight="1"/>
    <row r="568" ht="14.1" customHeight="1"/>
    <row r="569" ht="14.1" customHeight="1"/>
    <row r="570" ht="14.1" customHeight="1"/>
    <row r="571" ht="14.1" customHeight="1"/>
    <row r="572" ht="14.1" customHeight="1"/>
    <row r="573" ht="14.1" customHeight="1"/>
    <row r="574" ht="14.1" customHeight="1"/>
    <row r="575" ht="14.1" customHeight="1"/>
    <row r="576" ht="14.1" customHeight="1"/>
    <row r="577" ht="14.1" customHeight="1"/>
    <row r="578" ht="14.1" customHeight="1"/>
    <row r="579" ht="14.1" customHeight="1"/>
    <row r="580" ht="14.1" customHeight="1"/>
    <row r="581" ht="14.1" customHeight="1"/>
    <row r="582" ht="14.1" customHeight="1"/>
    <row r="583" ht="14.1" customHeight="1"/>
    <row r="584" ht="14.1" customHeight="1"/>
    <row r="585" ht="14.1" customHeight="1"/>
    <row r="586" ht="14.1" customHeight="1"/>
    <row r="587" ht="14.1" customHeight="1"/>
    <row r="588" ht="14.1" customHeight="1"/>
    <row r="589" ht="14.1" customHeight="1"/>
    <row r="590" ht="14.1" customHeight="1"/>
    <row r="591" ht="14.1" customHeight="1"/>
    <row r="592" ht="14.1" customHeight="1"/>
    <row r="593" ht="14.1" customHeight="1"/>
    <row r="594" ht="14.1" customHeight="1"/>
    <row r="595" ht="14.1" customHeight="1"/>
    <row r="596" ht="14.1" customHeight="1"/>
    <row r="597" ht="14.1" customHeight="1"/>
    <row r="598" ht="14.1" customHeight="1"/>
    <row r="599" ht="14.1" customHeight="1"/>
    <row r="600" ht="14.1" customHeight="1"/>
    <row r="601" ht="14.1" customHeight="1"/>
    <row r="602" ht="14.1" customHeight="1"/>
    <row r="603" ht="14.1" customHeight="1"/>
    <row r="604" ht="14.1" customHeight="1"/>
    <row r="605" ht="14.1" customHeight="1"/>
    <row r="606" ht="14.1" customHeight="1"/>
    <row r="607" ht="14.1" customHeight="1"/>
    <row r="608" ht="14.1" customHeight="1"/>
    <row r="609" ht="14.1" customHeight="1"/>
    <row r="610" ht="14.1" customHeight="1"/>
    <row r="611" ht="14.1" customHeight="1"/>
    <row r="612" ht="14.1" customHeight="1"/>
    <row r="613" ht="14.1" customHeight="1"/>
    <row r="614" ht="14.1" customHeight="1"/>
    <row r="615" ht="14.1" customHeight="1"/>
    <row r="616" ht="14.1" customHeight="1"/>
    <row r="617" ht="14.1" customHeight="1"/>
    <row r="618" ht="14.1" customHeight="1"/>
    <row r="619" ht="14.1" customHeight="1"/>
    <row r="620" ht="14.1" customHeight="1"/>
    <row r="621" ht="14.1" customHeight="1"/>
    <row r="622" ht="14.1" customHeight="1"/>
    <row r="623" ht="14.1" customHeight="1"/>
    <row r="624" ht="14.1" customHeight="1"/>
    <row r="625" ht="14.1" customHeight="1"/>
    <row r="626" ht="14.1" customHeight="1"/>
    <row r="627" ht="14.1" customHeight="1"/>
    <row r="628" ht="14.1" customHeight="1"/>
    <row r="629" ht="14.1" customHeight="1"/>
    <row r="630" ht="14.1" customHeight="1"/>
    <row r="631" ht="14.1" customHeight="1"/>
    <row r="632" ht="14.1" customHeight="1"/>
    <row r="633" ht="14.1" customHeight="1"/>
    <row r="634" ht="14.1" customHeight="1"/>
    <row r="635" ht="14.1" customHeight="1"/>
    <row r="636" ht="14.1" customHeight="1"/>
    <row r="637" ht="14.1" customHeight="1"/>
    <row r="638" ht="14.1" customHeight="1"/>
    <row r="639" ht="14.1" customHeight="1"/>
    <row r="640" ht="14.1" customHeight="1"/>
    <row r="641" ht="14.1" customHeight="1"/>
    <row r="642" ht="14.1" customHeight="1"/>
    <row r="643" ht="14.1" customHeight="1"/>
    <row r="644" ht="14.1" customHeight="1"/>
    <row r="645" ht="14.1" customHeight="1"/>
    <row r="646" ht="14.1" customHeight="1"/>
    <row r="647" ht="14.1" customHeight="1"/>
    <row r="648" ht="14.1" customHeight="1"/>
    <row r="649" ht="14.1" customHeight="1"/>
    <row r="650" ht="14.1" customHeight="1"/>
    <row r="651" ht="14.1" customHeight="1"/>
    <row r="652" ht="14.1" customHeight="1"/>
    <row r="653" ht="14.1" customHeight="1"/>
    <row r="654" ht="14.1" customHeight="1"/>
    <row r="655" ht="14.1" customHeight="1"/>
    <row r="656" ht="14.1" customHeight="1"/>
    <row r="657" ht="14.1" customHeight="1"/>
    <row r="658" ht="14.1" customHeight="1"/>
    <row r="659" ht="14.1" customHeight="1"/>
    <row r="660" ht="14.1" customHeight="1"/>
    <row r="661" ht="14.1" customHeight="1"/>
    <row r="662" ht="14.1" customHeight="1"/>
    <row r="663" ht="14.1" customHeight="1"/>
    <row r="664" ht="14.1" customHeight="1"/>
    <row r="665" ht="14.1" customHeight="1"/>
    <row r="666" ht="14.1" customHeight="1"/>
    <row r="667" ht="14.1" customHeight="1"/>
    <row r="668" ht="14.1" customHeight="1"/>
    <row r="669" ht="14.1" customHeight="1"/>
    <row r="670" ht="14.1" customHeight="1"/>
    <row r="671" ht="14.1" customHeight="1"/>
    <row r="672" ht="14.1" customHeight="1"/>
    <row r="673" ht="14.1" customHeight="1"/>
    <row r="674" ht="14.1" customHeight="1"/>
    <row r="675" ht="14.1" customHeight="1"/>
    <row r="676" ht="14.1" customHeight="1"/>
    <row r="677" ht="14.1" customHeight="1"/>
    <row r="678" ht="14.1" customHeight="1"/>
    <row r="679" ht="14.1" customHeight="1"/>
    <row r="680" ht="14.1" customHeight="1"/>
    <row r="681" ht="14.1" customHeight="1"/>
    <row r="682" ht="14.1" customHeight="1"/>
    <row r="683" ht="14.1" customHeight="1"/>
    <row r="684" ht="14.1" customHeight="1"/>
    <row r="685" ht="14.1" customHeight="1"/>
    <row r="686" ht="14.1" customHeight="1"/>
    <row r="687" ht="14.1" customHeight="1"/>
    <row r="688" ht="14.1" customHeight="1"/>
    <row r="689" ht="14.1" customHeight="1"/>
    <row r="690" ht="14.1" customHeight="1"/>
    <row r="691" ht="14.1" customHeight="1"/>
    <row r="692" ht="14.1" customHeight="1"/>
    <row r="693" ht="14.1" customHeight="1"/>
    <row r="694" ht="14.1" customHeight="1"/>
    <row r="695" ht="14.1" customHeight="1"/>
    <row r="696" ht="14.1" customHeight="1"/>
    <row r="697" ht="14.1" customHeight="1"/>
    <row r="698" ht="14.1" customHeight="1"/>
    <row r="699" ht="14.1" customHeight="1"/>
    <row r="700" ht="14.1" customHeight="1"/>
    <row r="701" ht="14.1" customHeight="1"/>
    <row r="702" ht="14.1" customHeight="1"/>
    <row r="703" ht="14.1" customHeight="1"/>
    <row r="704" ht="14.1" customHeight="1"/>
    <row r="705" ht="14.1" customHeight="1"/>
    <row r="706" ht="14.1" customHeight="1"/>
    <row r="707" ht="14.1" customHeight="1"/>
    <row r="708" ht="14.1" customHeight="1"/>
    <row r="709" ht="14.1" customHeight="1"/>
    <row r="710" ht="14.1" customHeight="1"/>
    <row r="711" ht="14.1" customHeight="1"/>
    <row r="712" ht="14.1" customHeight="1"/>
    <row r="713" ht="14.1" customHeight="1"/>
    <row r="714" ht="14.1" customHeight="1"/>
    <row r="715" ht="14.1" customHeight="1"/>
    <row r="716" ht="14.1" customHeight="1"/>
    <row r="717" ht="14.1" customHeight="1"/>
    <row r="718" ht="14.1" customHeight="1"/>
    <row r="719" ht="14.1" customHeight="1"/>
    <row r="720" ht="14.1" customHeight="1"/>
    <row r="721" ht="14.1" customHeight="1"/>
    <row r="722" ht="14.1" customHeight="1"/>
    <row r="723" ht="14.1" customHeight="1"/>
    <row r="724" ht="14.1" customHeight="1"/>
    <row r="725" ht="14.1" customHeight="1"/>
    <row r="726" ht="14.1" customHeight="1"/>
    <row r="727" ht="14.1" customHeight="1"/>
    <row r="728" ht="14.1" customHeight="1"/>
    <row r="729" ht="14.1" customHeight="1"/>
    <row r="730" ht="14.1" customHeight="1"/>
    <row r="731" ht="14.1" customHeight="1"/>
    <row r="732" ht="14.1" customHeight="1"/>
    <row r="733" ht="14.1" customHeight="1"/>
    <row r="734" ht="14.1" customHeight="1"/>
    <row r="735" ht="14.1" customHeight="1"/>
    <row r="736" ht="14.1" customHeight="1"/>
    <row r="737" ht="14.1" customHeight="1"/>
    <row r="738" ht="14.1" customHeight="1"/>
    <row r="739" ht="14.1" customHeight="1"/>
    <row r="740" ht="14.1" customHeight="1"/>
    <row r="741" ht="14.1" customHeight="1"/>
    <row r="742" ht="14.1" customHeight="1"/>
    <row r="743" ht="14.1" customHeight="1"/>
    <row r="744" ht="14.1" customHeight="1"/>
    <row r="745" ht="14.1" customHeight="1"/>
    <row r="746" ht="14.1" customHeight="1"/>
    <row r="747" ht="14.1" customHeight="1"/>
    <row r="748" ht="14.1" customHeight="1"/>
    <row r="749" ht="14.1" customHeight="1"/>
    <row r="750" ht="14.1" customHeight="1"/>
    <row r="751" ht="14.1" customHeight="1"/>
    <row r="752" ht="14.1" customHeight="1"/>
    <row r="753" ht="14.1" customHeight="1"/>
    <row r="754" ht="14.1" customHeight="1"/>
    <row r="755" ht="14.1" customHeight="1"/>
    <row r="756" ht="14.1" customHeight="1"/>
    <row r="757" ht="14.1" customHeight="1"/>
    <row r="758" ht="14.1" customHeight="1"/>
    <row r="759" ht="14.1" customHeight="1"/>
    <row r="760" ht="14.1" customHeight="1"/>
    <row r="761" ht="14.1" customHeight="1"/>
    <row r="762" ht="14.1" customHeight="1"/>
    <row r="763" ht="14.1" customHeight="1"/>
    <row r="764" ht="14.1" customHeight="1"/>
    <row r="765" ht="14.1" customHeight="1"/>
    <row r="766" ht="14.1" customHeight="1"/>
    <row r="767" ht="14.1" customHeight="1"/>
    <row r="768" ht="14.1" customHeight="1"/>
    <row r="769" ht="14.1" customHeight="1"/>
    <row r="770" ht="14.1" customHeight="1"/>
    <row r="771" ht="14.1" customHeight="1"/>
    <row r="772" ht="14.1" customHeight="1"/>
    <row r="773" ht="14.1" customHeight="1"/>
    <row r="774" ht="14.1" customHeight="1"/>
    <row r="775" ht="14.1" customHeight="1"/>
    <row r="776" ht="14.1" customHeight="1"/>
    <row r="777" ht="14.1" customHeight="1"/>
    <row r="778" ht="14.1" customHeight="1"/>
    <row r="779" ht="14.1" customHeight="1"/>
    <row r="780" ht="14.1" customHeight="1"/>
    <row r="781" ht="14.1" customHeight="1"/>
    <row r="782" ht="14.1" customHeight="1"/>
    <row r="783" ht="14.1" customHeight="1"/>
    <row r="784" ht="14.1" customHeight="1"/>
    <row r="785" ht="14.1" customHeight="1"/>
    <row r="786" ht="14.1" customHeight="1"/>
    <row r="787" ht="14.1" customHeight="1"/>
    <row r="788" ht="14.1" customHeight="1"/>
    <row r="789" ht="14.1" customHeight="1"/>
    <row r="790" ht="14.1" customHeight="1"/>
    <row r="791" ht="14.1" customHeight="1"/>
    <row r="792" ht="14.1" customHeight="1"/>
    <row r="793" ht="14.1" customHeight="1"/>
  </sheetData>
  <pageMargins left="0.61" right="0.16" top="0.87" bottom="0.21" header="0.16" footer="0.16"/>
  <pageSetup paperSize="8" scale="51" orientation="portrait"/>
  <headerFooter alignWithMargins="0">
    <oddFooter>&amp;L_x000D_&amp;1#&amp;"Arial"&amp;7&amp;KDAD4CE Public&amp;C&amp;"Verdana"&amp;10 &amp;KC1C1C1_x000D_# Restricted</oddFooter>
  </headerFooter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F00-000000000000}">
  <sheetPr>
    <tabColor rgb="FF0070C0"/>
  </sheetPr>
  <dimension ref="A1:IP793"/>
  <sheetViews>
    <sheetView zoomScale="80" zoomScaleNormal="80" workbookViewId="0">
      <selection activeCell="A16" sqref="A16"/>
    </sheetView>
  </sheetViews>
  <sheetFormatPr defaultColWidth="8.85546875" defaultRowHeight="12.75"/>
  <cols>
    <col min="1" max="1" width="4.140625" style="3" customWidth="1"/>
    <col min="2" max="3" width="8.5703125" style="20" customWidth="1"/>
    <col min="4" max="4" width="14.5703125" style="3" customWidth="1"/>
    <col min="5" max="5" width="20.5703125" style="20" customWidth="1"/>
    <col min="6" max="6" width="8.5703125" style="3" customWidth="1"/>
    <col min="7" max="7" width="32.5703125" style="2" customWidth="1"/>
    <col min="8" max="8" width="18.5703125" style="3" customWidth="1"/>
    <col min="9" max="9" width="62.5703125" style="2" customWidth="1"/>
    <col min="10" max="12" width="9.5703125" style="3" customWidth="1"/>
    <col min="13" max="13" width="10.5703125" style="3" customWidth="1"/>
    <col min="14" max="14" width="8.5703125" style="3" customWidth="1"/>
    <col min="15" max="15" width="10.5703125" style="3" customWidth="1"/>
    <col min="16" max="16" width="5.5703125" style="3" customWidth="1"/>
    <col min="17" max="17" width="1.5703125" style="2" customWidth="1"/>
    <col min="18" max="18" width="10.5703125" style="30" customWidth="1"/>
    <col min="19" max="19" width="1.5703125" style="2" customWidth="1"/>
    <col min="20" max="21" width="10.5703125" style="2" customWidth="1"/>
    <col min="22" max="221" width="8.85546875" style="2" customWidth="1"/>
    <col min="222" max="222" width="7.42578125" style="2" customWidth="1"/>
    <col min="223" max="223" width="13.140625" style="2" customWidth="1"/>
    <col min="224" max="224" width="34.140625" style="2" customWidth="1"/>
    <col min="225" max="225" width="57.42578125" style="2" customWidth="1"/>
    <col min="226" max="226" width="18.140625" style="2" customWidth="1"/>
    <col min="227" max="227" width="10.140625" style="2" customWidth="1"/>
    <col min="228" max="228" width="9.85546875" style="2" customWidth="1"/>
    <col min="229" max="229" width="19.140625" style="2" customWidth="1"/>
    <col min="230" max="230" width="9.85546875" style="2" customWidth="1"/>
    <col min="231" max="231" width="15.85546875" style="2" customWidth="1"/>
    <col min="232" max="234" width="13.42578125" style="2" customWidth="1"/>
    <col min="235" max="235" width="6.42578125" style="2" customWidth="1"/>
    <col min="236" max="237" width="18.42578125" style="2" customWidth="1"/>
    <col min="238" max="238" width="16.85546875" style="2" customWidth="1"/>
    <col min="239" max="239" width="8.42578125" style="2" customWidth="1"/>
    <col min="240" max="240" width="10.85546875" style="2" customWidth="1"/>
    <col min="241" max="241" width="13.42578125" style="2" customWidth="1"/>
    <col min="242" max="242" width="20.42578125" style="2" customWidth="1"/>
    <col min="243" max="243" width="13.42578125" style="2" customWidth="1"/>
    <col min="244" max="244" width="6.42578125" style="2" customWidth="1"/>
    <col min="245" max="245" width="18.42578125" style="2" customWidth="1"/>
    <col min="246" max="249" width="8.85546875" style="2" customWidth="1"/>
    <col min="250" max="250" width="4.85546875" style="2" customWidth="1"/>
    <col min="251" max="251" width="8.85546875" style="244" customWidth="1"/>
    <col min="252" max="252" width="11.85546875" style="244" customWidth="1"/>
    <col min="253" max="253" width="12.85546875" style="244" bestFit="1" customWidth="1"/>
    <col min="254" max="254" width="15.85546875" style="244" customWidth="1"/>
    <col min="255" max="255" width="27.85546875" style="244" customWidth="1"/>
    <col min="256" max="256" width="8.140625" style="244" customWidth="1"/>
    <col min="257" max="257" width="45.42578125" style="244" bestFit="1" customWidth="1"/>
    <col min="258" max="258" width="20.85546875" style="244" customWidth="1"/>
    <col min="259" max="259" width="18.140625" style="244" customWidth="1"/>
    <col min="260" max="260" width="9" style="244" customWidth="1"/>
    <col min="261" max="261" width="10.140625" style="244" customWidth="1"/>
    <col min="262" max="262" width="9.85546875" style="244" customWidth="1"/>
    <col min="263" max="263" width="11" style="244" bestFit="1" customWidth="1"/>
    <col min="264" max="264" width="8.42578125" style="244" bestFit="1" customWidth="1"/>
    <col min="265" max="265" width="10.140625" style="244" customWidth="1"/>
    <col min="266" max="266" width="7.85546875" style="244" customWidth="1"/>
    <col min="267" max="267" width="9.42578125" style="244" customWidth="1"/>
    <col min="268" max="477" width="8.85546875" style="244" customWidth="1"/>
    <col min="478" max="478" width="7.42578125" style="244" customWidth="1"/>
    <col min="479" max="479" width="13.140625" style="244" customWidth="1"/>
    <col min="480" max="480" width="34.140625" style="244" customWidth="1"/>
    <col min="481" max="481" width="57.42578125" style="244" customWidth="1"/>
    <col min="482" max="482" width="18.140625" style="244" customWidth="1"/>
    <col min="483" max="483" width="10.140625" style="244" customWidth="1"/>
    <col min="484" max="484" width="9.85546875" style="244" customWidth="1"/>
    <col min="485" max="485" width="19.140625" style="244" customWidth="1"/>
    <col min="486" max="486" width="9.85546875" style="244" customWidth="1"/>
    <col min="487" max="487" width="15.85546875" style="244" customWidth="1"/>
    <col min="488" max="490" width="13.42578125" style="244" customWidth="1"/>
    <col min="491" max="491" width="6.42578125" style="244" customWidth="1"/>
    <col min="492" max="493" width="18.42578125" style="244" customWidth="1"/>
    <col min="494" max="494" width="16.85546875" style="244" customWidth="1"/>
    <col min="495" max="495" width="8.42578125" style="244" customWidth="1"/>
    <col min="496" max="496" width="10.85546875" style="244" customWidth="1"/>
    <col min="497" max="497" width="13.42578125" style="244" customWidth="1"/>
    <col min="498" max="498" width="20.42578125" style="244" customWidth="1"/>
    <col min="499" max="499" width="13.42578125" style="244" customWidth="1"/>
    <col min="500" max="500" width="6.42578125" style="244" customWidth="1"/>
    <col min="501" max="501" width="18.42578125" style="244" customWidth="1"/>
    <col min="502" max="505" width="8.85546875" style="244" customWidth="1"/>
    <col min="506" max="506" width="4.85546875" style="244" customWidth="1"/>
    <col min="507" max="507" width="8.85546875" style="244" customWidth="1"/>
    <col min="508" max="508" width="11.85546875" style="244" customWidth="1"/>
    <col min="509" max="509" width="12.85546875" style="244" bestFit="1" customWidth="1"/>
    <col min="510" max="510" width="15.85546875" style="244" customWidth="1"/>
    <col min="511" max="511" width="27.85546875" style="244" customWidth="1"/>
    <col min="512" max="512" width="8.140625" style="244" customWidth="1"/>
    <col min="513" max="513" width="45.42578125" style="244" bestFit="1" customWidth="1"/>
    <col min="514" max="514" width="20.85546875" style="244" customWidth="1"/>
    <col min="515" max="515" width="18.140625" style="244" customWidth="1"/>
    <col min="516" max="516" width="9" style="244" customWidth="1"/>
    <col min="517" max="517" width="10.140625" style="244" customWidth="1"/>
    <col min="518" max="518" width="9.85546875" style="244" customWidth="1"/>
    <col min="519" max="519" width="11" style="244" bestFit="1" customWidth="1"/>
    <col min="520" max="520" width="8.42578125" style="244" bestFit="1" customWidth="1"/>
    <col min="521" max="521" width="10.140625" style="244" customWidth="1"/>
    <col min="522" max="522" width="7.85546875" style="244" customWidth="1"/>
    <col min="523" max="523" width="9.42578125" style="244" customWidth="1"/>
    <col min="524" max="733" width="8.85546875" style="244" customWidth="1"/>
    <col min="734" max="734" width="7.42578125" style="244" customWidth="1"/>
    <col min="735" max="735" width="13.140625" style="244" customWidth="1"/>
    <col min="736" max="736" width="34.140625" style="244" customWidth="1"/>
    <col min="737" max="737" width="57.42578125" style="244" customWidth="1"/>
    <col min="738" max="738" width="18.140625" style="244" customWidth="1"/>
    <col min="739" max="739" width="10.140625" style="244" customWidth="1"/>
    <col min="740" max="740" width="9.85546875" style="244" customWidth="1"/>
    <col min="741" max="741" width="19.140625" style="244" customWidth="1"/>
    <col min="742" max="742" width="9.85546875" style="244" customWidth="1"/>
    <col min="743" max="743" width="15.85546875" style="244" customWidth="1"/>
    <col min="744" max="746" width="13.42578125" style="244" customWidth="1"/>
    <col min="747" max="747" width="6.42578125" style="244" customWidth="1"/>
    <col min="748" max="749" width="18.42578125" style="244" customWidth="1"/>
    <col min="750" max="750" width="16.85546875" style="244" customWidth="1"/>
    <col min="751" max="751" width="8.42578125" style="244" customWidth="1"/>
    <col min="752" max="752" width="10.85546875" style="244" customWidth="1"/>
    <col min="753" max="753" width="13.42578125" style="244" customWidth="1"/>
    <col min="754" max="754" width="20.42578125" style="244" customWidth="1"/>
    <col min="755" max="755" width="13.42578125" style="244" customWidth="1"/>
    <col min="756" max="756" width="6.42578125" style="244" customWidth="1"/>
    <col min="757" max="757" width="18.42578125" style="244" customWidth="1"/>
    <col min="758" max="761" width="8.85546875" style="244" customWidth="1"/>
    <col min="762" max="762" width="4.85546875" style="244" customWidth="1"/>
    <col min="763" max="763" width="8.85546875" style="244" customWidth="1"/>
    <col min="764" max="764" width="11.85546875" style="244" customWidth="1"/>
    <col min="765" max="765" width="12.85546875" style="244" bestFit="1" customWidth="1"/>
    <col min="766" max="766" width="15.85546875" style="244" customWidth="1"/>
    <col min="767" max="767" width="27.85546875" style="244" customWidth="1"/>
    <col min="768" max="768" width="8.140625" style="244" customWidth="1"/>
    <col min="769" max="769" width="45.42578125" style="244" bestFit="1" customWidth="1"/>
    <col min="770" max="770" width="20.85546875" style="244" customWidth="1"/>
    <col min="771" max="771" width="18.140625" style="244" customWidth="1"/>
    <col min="772" max="772" width="9" style="244" customWidth="1"/>
    <col min="773" max="773" width="10.140625" style="244" customWidth="1"/>
    <col min="774" max="774" width="9.85546875" style="244" customWidth="1"/>
    <col min="775" max="775" width="11" style="244" bestFit="1" customWidth="1"/>
    <col min="776" max="776" width="8.42578125" style="244" bestFit="1" customWidth="1"/>
    <col min="777" max="777" width="10.140625" style="244" customWidth="1"/>
    <col min="778" max="778" width="7.85546875" style="244" customWidth="1"/>
    <col min="779" max="779" width="9.42578125" style="244" customWidth="1"/>
    <col min="780" max="989" width="8.85546875" style="244" customWidth="1"/>
    <col min="990" max="990" width="7.42578125" style="244" customWidth="1"/>
    <col min="991" max="991" width="13.140625" style="244" customWidth="1"/>
    <col min="992" max="992" width="34.140625" style="244" customWidth="1"/>
    <col min="993" max="993" width="57.42578125" style="244" customWidth="1"/>
    <col min="994" max="994" width="18.140625" style="244" customWidth="1"/>
    <col min="995" max="995" width="10.140625" style="244" customWidth="1"/>
    <col min="996" max="996" width="9.85546875" style="244" customWidth="1"/>
    <col min="997" max="997" width="19.140625" style="244" customWidth="1"/>
    <col min="998" max="998" width="9.85546875" style="244" customWidth="1"/>
    <col min="999" max="999" width="15.85546875" style="244" customWidth="1"/>
    <col min="1000" max="1002" width="13.42578125" style="244" customWidth="1"/>
    <col min="1003" max="1003" width="6.42578125" style="244" customWidth="1"/>
    <col min="1004" max="1005" width="18.42578125" style="244" customWidth="1"/>
    <col min="1006" max="1006" width="16.85546875" style="244" customWidth="1"/>
    <col min="1007" max="1007" width="8.42578125" style="244" customWidth="1"/>
    <col min="1008" max="1008" width="10.85546875" style="244" customWidth="1"/>
    <col min="1009" max="1009" width="13.42578125" style="244" customWidth="1"/>
    <col min="1010" max="1010" width="20.42578125" style="244" customWidth="1"/>
    <col min="1011" max="1011" width="13.42578125" style="244" customWidth="1"/>
    <col min="1012" max="1012" width="6.42578125" style="244" customWidth="1"/>
    <col min="1013" max="1013" width="18.42578125" style="244" customWidth="1"/>
    <col min="1014" max="1017" width="8.85546875" style="244" customWidth="1"/>
    <col min="1018" max="1018" width="4.85546875" style="244" customWidth="1"/>
    <col min="1019" max="1019" width="8.85546875" style="244" customWidth="1"/>
    <col min="1020" max="1020" width="11.85546875" style="244" customWidth="1"/>
    <col min="1021" max="1021" width="12.85546875" style="244" bestFit="1" customWidth="1"/>
    <col min="1022" max="1022" width="15.85546875" style="244" customWidth="1"/>
    <col min="1023" max="1023" width="27.85546875" style="244" customWidth="1"/>
    <col min="1024" max="1024" width="8.140625" style="244" customWidth="1"/>
    <col min="1025" max="1025" width="45.42578125" style="244" bestFit="1" customWidth="1"/>
    <col min="1026" max="1026" width="20.85546875" style="244" customWidth="1"/>
    <col min="1027" max="1027" width="18.140625" style="244" customWidth="1"/>
    <col min="1028" max="1028" width="9" style="244" customWidth="1"/>
    <col min="1029" max="1029" width="10.140625" style="244" customWidth="1"/>
    <col min="1030" max="1030" width="9.85546875" style="244" customWidth="1"/>
    <col min="1031" max="1031" width="11" style="244" bestFit="1" customWidth="1"/>
    <col min="1032" max="1032" width="8.42578125" style="244" bestFit="1" customWidth="1"/>
    <col min="1033" max="1033" width="10.140625" style="244" customWidth="1"/>
    <col min="1034" max="1034" width="7.85546875" style="244" customWidth="1"/>
    <col min="1035" max="1035" width="9.42578125" style="244" customWidth="1"/>
    <col min="1036" max="1245" width="8.85546875" style="244" customWidth="1"/>
    <col min="1246" max="1246" width="7.42578125" style="244" customWidth="1"/>
    <col min="1247" max="1247" width="13.140625" style="244" customWidth="1"/>
    <col min="1248" max="1248" width="34.140625" style="244" customWidth="1"/>
    <col min="1249" max="1249" width="57.42578125" style="244" customWidth="1"/>
    <col min="1250" max="1250" width="18.140625" style="244" customWidth="1"/>
    <col min="1251" max="1251" width="10.140625" style="244" customWidth="1"/>
    <col min="1252" max="1252" width="9.85546875" style="244" customWidth="1"/>
    <col min="1253" max="1253" width="19.140625" style="244" customWidth="1"/>
    <col min="1254" max="1254" width="9.85546875" style="244" customWidth="1"/>
    <col min="1255" max="1255" width="15.85546875" style="244" customWidth="1"/>
    <col min="1256" max="1258" width="13.42578125" style="244" customWidth="1"/>
    <col min="1259" max="1259" width="6.42578125" style="244" customWidth="1"/>
    <col min="1260" max="1261" width="18.42578125" style="244" customWidth="1"/>
    <col min="1262" max="1262" width="16.85546875" style="244" customWidth="1"/>
    <col min="1263" max="1263" width="8.42578125" style="244" customWidth="1"/>
    <col min="1264" max="1264" width="10.85546875" style="244" customWidth="1"/>
    <col min="1265" max="1265" width="13.42578125" style="244" customWidth="1"/>
    <col min="1266" max="1266" width="20.42578125" style="244" customWidth="1"/>
    <col min="1267" max="1267" width="13.42578125" style="244" customWidth="1"/>
    <col min="1268" max="1268" width="6.42578125" style="244" customWidth="1"/>
    <col min="1269" max="1269" width="18.42578125" style="244" customWidth="1"/>
    <col min="1270" max="1273" width="8.85546875" style="244" customWidth="1"/>
    <col min="1274" max="1274" width="4.85546875" style="244" customWidth="1"/>
    <col min="1275" max="1275" width="8.85546875" style="244" customWidth="1"/>
    <col min="1276" max="1276" width="11.85546875" style="244" customWidth="1"/>
    <col min="1277" max="1277" width="12.85546875" style="244" bestFit="1" customWidth="1"/>
    <col min="1278" max="1278" width="15.85546875" style="244" customWidth="1"/>
    <col min="1279" max="1279" width="27.85546875" style="244" customWidth="1"/>
    <col min="1280" max="1280" width="8.140625" style="244" customWidth="1"/>
    <col min="1281" max="1281" width="45.42578125" style="244" bestFit="1" customWidth="1"/>
    <col min="1282" max="1282" width="20.85546875" style="244" customWidth="1"/>
    <col min="1283" max="1283" width="18.140625" style="244" customWidth="1"/>
    <col min="1284" max="1284" width="9" style="244" customWidth="1"/>
    <col min="1285" max="1285" width="10.140625" style="244" customWidth="1"/>
    <col min="1286" max="1286" width="9.85546875" style="244" customWidth="1"/>
    <col min="1287" max="1287" width="11" style="244" bestFit="1" customWidth="1"/>
    <col min="1288" max="1288" width="8.42578125" style="244" bestFit="1" customWidth="1"/>
    <col min="1289" max="1289" width="10.140625" style="244" customWidth="1"/>
    <col min="1290" max="1290" width="7.85546875" style="244" customWidth="1"/>
    <col min="1291" max="1291" width="9.42578125" style="244" customWidth="1"/>
    <col min="1292" max="1501" width="8.85546875" style="244" customWidth="1"/>
    <col min="1502" max="1502" width="7.42578125" style="244" customWidth="1"/>
    <col min="1503" max="1503" width="13.140625" style="244" customWidth="1"/>
    <col min="1504" max="1504" width="34.140625" style="244" customWidth="1"/>
    <col min="1505" max="1505" width="57.42578125" style="244" customWidth="1"/>
    <col min="1506" max="1506" width="18.140625" style="244" customWidth="1"/>
    <col min="1507" max="1507" width="10.140625" style="244" customWidth="1"/>
    <col min="1508" max="1508" width="9.85546875" style="244" customWidth="1"/>
    <col min="1509" max="1509" width="19.140625" style="244" customWidth="1"/>
    <col min="1510" max="1510" width="9.85546875" style="244" customWidth="1"/>
    <col min="1511" max="1511" width="15.85546875" style="244" customWidth="1"/>
    <col min="1512" max="1514" width="13.42578125" style="244" customWidth="1"/>
    <col min="1515" max="1515" width="6.42578125" style="244" customWidth="1"/>
    <col min="1516" max="1517" width="18.42578125" style="244" customWidth="1"/>
    <col min="1518" max="1518" width="16.85546875" style="244" customWidth="1"/>
    <col min="1519" max="1519" width="8.42578125" style="244" customWidth="1"/>
    <col min="1520" max="1520" width="10.85546875" style="244" customWidth="1"/>
    <col min="1521" max="1521" width="13.42578125" style="244" customWidth="1"/>
    <col min="1522" max="1522" width="20.42578125" style="244" customWidth="1"/>
    <col min="1523" max="1523" width="13.42578125" style="244" customWidth="1"/>
    <col min="1524" max="1524" width="6.42578125" style="244" customWidth="1"/>
    <col min="1525" max="1525" width="18.42578125" style="244" customWidth="1"/>
    <col min="1526" max="1529" width="8.85546875" style="244" customWidth="1"/>
    <col min="1530" max="1530" width="4.85546875" style="244" customWidth="1"/>
    <col min="1531" max="1531" width="8.85546875" style="244" customWidth="1"/>
    <col min="1532" max="1532" width="11.85546875" style="244" customWidth="1"/>
    <col min="1533" max="1533" width="12.85546875" style="244" bestFit="1" customWidth="1"/>
    <col min="1534" max="1534" width="15.85546875" style="244" customWidth="1"/>
    <col min="1535" max="1535" width="27.85546875" style="244" customWidth="1"/>
    <col min="1536" max="1536" width="8.140625" style="244" customWidth="1"/>
    <col min="1537" max="1537" width="45.42578125" style="244" bestFit="1" customWidth="1"/>
    <col min="1538" max="1538" width="20.85546875" style="244" customWidth="1"/>
    <col min="1539" max="1539" width="18.140625" style="244" customWidth="1"/>
    <col min="1540" max="1540" width="9" style="244" customWidth="1"/>
    <col min="1541" max="1541" width="10.140625" style="244" customWidth="1"/>
    <col min="1542" max="1542" width="9.85546875" style="244" customWidth="1"/>
    <col min="1543" max="1543" width="11" style="244" bestFit="1" customWidth="1"/>
    <col min="1544" max="1544" width="8.42578125" style="244" bestFit="1" customWidth="1"/>
    <col min="1545" max="1545" width="10.140625" style="244" customWidth="1"/>
    <col min="1546" max="1546" width="7.85546875" style="244" customWidth="1"/>
    <col min="1547" max="1547" width="9.42578125" style="244" customWidth="1"/>
    <col min="1548" max="1757" width="8.85546875" style="244" customWidth="1"/>
    <col min="1758" max="1758" width="7.42578125" style="244" customWidth="1"/>
    <col min="1759" max="1759" width="13.140625" style="244" customWidth="1"/>
    <col min="1760" max="1760" width="34.140625" style="244" customWidth="1"/>
    <col min="1761" max="1761" width="57.42578125" style="244" customWidth="1"/>
    <col min="1762" max="1762" width="18.140625" style="244" customWidth="1"/>
    <col min="1763" max="1763" width="10.140625" style="244" customWidth="1"/>
    <col min="1764" max="1764" width="9.85546875" style="244" customWidth="1"/>
    <col min="1765" max="1765" width="19.140625" style="244" customWidth="1"/>
    <col min="1766" max="1766" width="9.85546875" style="244" customWidth="1"/>
    <col min="1767" max="1767" width="15.85546875" style="244" customWidth="1"/>
    <col min="1768" max="1770" width="13.42578125" style="244" customWidth="1"/>
    <col min="1771" max="1771" width="6.42578125" style="244" customWidth="1"/>
    <col min="1772" max="1773" width="18.42578125" style="244" customWidth="1"/>
    <col min="1774" max="1774" width="16.85546875" style="244" customWidth="1"/>
    <col min="1775" max="1775" width="8.42578125" style="244" customWidth="1"/>
    <col min="1776" max="1776" width="10.85546875" style="244" customWidth="1"/>
    <col min="1777" max="1777" width="13.42578125" style="244" customWidth="1"/>
    <col min="1778" max="1778" width="20.42578125" style="244" customWidth="1"/>
    <col min="1779" max="1779" width="13.42578125" style="244" customWidth="1"/>
    <col min="1780" max="1780" width="6.42578125" style="244" customWidth="1"/>
    <col min="1781" max="1781" width="18.42578125" style="244" customWidth="1"/>
    <col min="1782" max="1785" width="8.85546875" style="244" customWidth="1"/>
    <col min="1786" max="1786" width="4.85546875" style="244" customWidth="1"/>
    <col min="1787" max="1787" width="8.85546875" style="244" customWidth="1"/>
    <col min="1788" max="1788" width="11.85546875" style="244" customWidth="1"/>
    <col min="1789" max="1789" width="12.85546875" style="244" bestFit="1" customWidth="1"/>
    <col min="1790" max="1790" width="15.85546875" style="244" customWidth="1"/>
    <col min="1791" max="1791" width="27.85546875" style="244" customWidth="1"/>
    <col min="1792" max="1792" width="8.140625" style="244" customWidth="1"/>
    <col min="1793" max="1793" width="45.42578125" style="244" bestFit="1" customWidth="1"/>
    <col min="1794" max="1794" width="20.85546875" style="244" customWidth="1"/>
    <col min="1795" max="1795" width="18.140625" style="244" customWidth="1"/>
    <col min="1796" max="1796" width="9" style="244" customWidth="1"/>
    <col min="1797" max="1797" width="10.140625" style="244" customWidth="1"/>
    <col min="1798" max="1798" width="9.85546875" style="244" customWidth="1"/>
    <col min="1799" max="1799" width="11" style="244" bestFit="1" customWidth="1"/>
    <col min="1800" max="1800" width="8.42578125" style="244" bestFit="1" customWidth="1"/>
    <col min="1801" max="1801" width="10.140625" style="244" customWidth="1"/>
    <col min="1802" max="1802" width="7.85546875" style="244" customWidth="1"/>
    <col min="1803" max="1803" width="9.42578125" style="244" customWidth="1"/>
    <col min="1804" max="2013" width="8.85546875" style="244" customWidth="1"/>
    <col min="2014" max="2014" width="7.42578125" style="244" customWidth="1"/>
    <col min="2015" max="2015" width="13.140625" style="244" customWidth="1"/>
    <col min="2016" max="2016" width="34.140625" style="244" customWidth="1"/>
    <col min="2017" max="2017" width="57.42578125" style="244" customWidth="1"/>
    <col min="2018" max="2018" width="18.140625" style="244" customWidth="1"/>
    <col min="2019" max="2019" width="10.140625" style="244" customWidth="1"/>
    <col min="2020" max="2020" width="9.85546875" style="244" customWidth="1"/>
    <col min="2021" max="2021" width="19.140625" style="244" customWidth="1"/>
    <col min="2022" max="2022" width="9.85546875" style="244" customWidth="1"/>
    <col min="2023" max="2023" width="15.85546875" style="244" customWidth="1"/>
    <col min="2024" max="2026" width="13.42578125" style="244" customWidth="1"/>
    <col min="2027" max="2027" width="6.42578125" style="244" customWidth="1"/>
    <col min="2028" max="2029" width="18.42578125" style="244" customWidth="1"/>
    <col min="2030" max="2030" width="16.85546875" style="244" customWidth="1"/>
    <col min="2031" max="2031" width="8.42578125" style="244" customWidth="1"/>
    <col min="2032" max="2032" width="10.85546875" style="244" customWidth="1"/>
    <col min="2033" max="2033" width="13.42578125" style="244" customWidth="1"/>
    <col min="2034" max="2034" width="20.42578125" style="244" customWidth="1"/>
    <col min="2035" max="2035" width="13.42578125" style="244" customWidth="1"/>
    <col min="2036" max="2036" width="6.42578125" style="244" customWidth="1"/>
    <col min="2037" max="2037" width="18.42578125" style="244" customWidth="1"/>
    <col min="2038" max="2041" width="8.85546875" style="244" customWidth="1"/>
    <col min="2042" max="2042" width="4.85546875" style="244" customWidth="1"/>
    <col min="2043" max="2043" width="8.85546875" style="244" customWidth="1"/>
    <col min="2044" max="2044" width="11.85546875" style="244" customWidth="1"/>
    <col min="2045" max="2045" width="12.85546875" style="244" bestFit="1" customWidth="1"/>
    <col min="2046" max="2046" width="15.85546875" style="244" customWidth="1"/>
    <col min="2047" max="2047" width="27.85546875" style="244" customWidth="1"/>
    <col min="2048" max="2048" width="8.140625" style="244" customWidth="1"/>
    <col min="2049" max="2049" width="45.42578125" style="244" bestFit="1" customWidth="1"/>
    <col min="2050" max="2050" width="20.85546875" style="244" customWidth="1"/>
    <col min="2051" max="2051" width="18.140625" style="244" customWidth="1"/>
    <col min="2052" max="2052" width="9" style="244" customWidth="1"/>
    <col min="2053" max="2053" width="10.140625" style="244" customWidth="1"/>
    <col min="2054" max="2054" width="9.85546875" style="244" customWidth="1"/>
    <col min="2055" max="2055" width="11" style="244" bestFit="1" customWidth="1"/>
    <col min="2056" max="2056" width="8.42578125" style="244" bestFit="1" customWidth="1"/>
    <col min="2057" max="2057" width="10.140625" style="244" customWidth="1"/>
    <col min="2058" max="2058" width="7.85546875" style="244" customWidth="1"/>
    <col min="2059" max="2059" width="9.42578125" style="244" customWidth="1"/>
    <col min="2060" max="2269" width="8.85546875" style="244" customWidth="1"/>
    <col min="2270" max="2270" width="7.42578125" style="244" customWidth="1"/>
    <col min="2271" max="2271" width="13.140625" style="244" customWidth="1"/>
    <col min="2272" max="2272" width="34.140625" style="244" customWidth="1"/>
    <col min="2273" max="2273" width="57.42578125" style="244" customWidth="1"/>
    <col min="2274" max="2274" width="18.140625" style="244" customWidth="1"/>
    <col min="2275" max="2275" width="10.140625" style="244" customWidth="1"/>
    <col min="2276" max="2276" width="9.85546875" style="244" customWidth="1"/>
    <col min="2277" max="2277" width="19.140625" style="244" customWidth="1"/>
    <col min="2278" max="2278" width="9.85546875" style="244" customWidth="1"/>
    <col min="2279" max="2279" width="15.85546875" style="244" customWidth="1"/>
    <col min="2280" max="2282" width="13.42578125" style="244" customWidth="1"/>
    <col min="2283" max="2283" width="6.42578125" style="244" customWidth="1"/>
    <col min="2284" max="2285" width="18.42578125" style="244" customWidth="1"/>
    <col min="2286" max="2286" width="16.85546875" style="244" customWidth="1"/>
    <col min="2287" max="2287" width="8.42578125" style="244" customWidth="1"/>
    <col min="2288" max="2288" width="10.85546875" style="244" customWidth="1"/>
    <col min="2289" max="2289" width="13.42578125" style="244" customWidth="1"/>
    <col min="2290" max="2290" width="20.42578125" style="244" customWidth="1"/>
    <col min="2291" max="2291" width="13.42578125" style="244" customWidth="1"/>
    <col min="2292" max="2292" width="6.42578125" style="244" customWidth="1"/>
    <col min="2293" max="2293" width="18.42578125" style="244" customWidth="1"/>
    <col min="2294" max="2297" width="8.85546875" style="244" customWidth="1"/>
    <col min="2298" max="2298" width="4.85546875" style="244" customWidth="1"/>
    <col min="2299" max="2299" width="8.85546875" style="244" customWidth="1"/>
    <col min="2300" max="2300" width="11.85546875" style="244" customWidth="1"/>
    <col min="2301" max="2301" width="12.85546875" style="244" bestFit="1" customWidth="1"/>
    <col min="2302" max="2302" width="15.85546875" style="244" customWidth="1"/>
    <col min="2303" max="2303" width="27.85546875" style="244" customWidth="1"/>
    <col min="2304" max="2304" width="8.140625" style="244" customWidth="1"/>
    <col min="2305" max="2305" width="45.42578125" style="244" bestFit="1" customWidth="1"/>
    <col min="2306" max="2306" width="20.85546875" style="244" customWidth="1"/>
    <col min="2307" max="2307" width="18.140625" style="244" customWidth="1"/>
    <col min="2308" max="2308" width="9" style="244" customWidth="1"/>
    <col min="2309" max="2309" width="10.140625" style="244" customWidth="1"/>
    <col min="2310" max="2310" width="9.85546875" style="244" customWidth="1"/>
    <col min="2311" max="2311" width="11" style="244" bestFit="1" customWidth="1"/>
    <col min="2312" max="2312" width="8.42578125" style="244" bestFit="1" customWidth="1"/>
    <col min="2313" max="2313" width="10.140625" style="244" customWidth="1"/>
    <col min="2314" max="2314" width="7.85546875" style="244" customWidth="1"/>
    <col min="2315" max="2315" width="9.42578125" style="244" customWidth="1"/>
    <col min="2316" max="2525" width="8.85546875" style="244" customWidth="1"/>
    <col min="2526" max="2526" width="7.42578125" style="244" customWidth="1"/>
    <col min="2527" max="2527" width="13.140625" style="244" customWidth="1"/>
    <col min="2528" max="2528" width="34.140625" style="244" customWidth="1"/>
    <col min="2529" max="2529" width="57.42578125" style="244" customWidth="1"/>
    <col min="2530" max="2530" width="18.140625" style="244" customWidth="1"/>
    <col min="2531" max="2531" width="10.140625" style="244" customWidth="1"/>
    <col min="2532" max="2532" width="9.85546875" style="244" customWidth="1"/>
    <col min="2533" max="2533" width="19.140625" style="244" customWidth="1"/>
    <col min="2534" max="2534" width="9.85546875" style="244" customWidth="1"/>
    <col min="2535" max="2535" width="15.85546875" style="244" customWidth="1"/>
    <col min="2536" max="2538" width="13.42578125" style="244" customWidth="1"/>
    <col min="2539" max="2539" width="6.42578125" style="244" customWidth="1"/>
    <col min="2540" max="2541" width="18.42578125" style="244" customWidth="1"/>
    <col min="2542" max="2542" width="16.85546875" style="244" customWidth="1"/>
    <col min="2543" max="2543" width="8.42578125" style="244" customWidth="1"/>
    <col min="2544" max="2544" width="10.85546875" style="244" customWidth="1"/>
    <col min="2545" max="2545" width="13.42578125" style="244" customWidth="1"/>
    <col min="2546" max="2546" width="20.42578125" style="244" customWidth="1"/>
    <col min="2547" max="2547" width="13.42578125" style="244" customWidth="1"/>
    <col min="2548" max="2548" width="6.42578125" style="244" customWidth="1"/>
    <col min="2549" max="2549" width="18.42578125" style="244" customWidth="1"/>
    <col min="2550" max="2553" width="8.85546875" style="244" customWidth="1"/>
    <col min="2554" max="2554" width="4.85546875" style="244" customWidth="1"/>
    <col min="2555" max="2555" width="8.85546875" style="244" customWidth="1"/>
    <col min="2556" max="2556" width="11.85546875" style="244" customWidth="1"/>
    <col min="2557" max="2557" width="12.85546875" style="244" bestFit="1" customWidth="1"/>
    <col min="2558" max="2558" width="15.85546875" style="244" customWidth="1"/>
    <col min="2559" max="2559" width="27.85546875" style="244" customWidth="1"/>
    <col min="2560" max="2560" width="8.140625" style="244" customWidth="1"/>
    <col min="2561" max="2561" width="45.42578125" style="244" bestFit="1" customWidth="1"/>
    <col min="2562" max="2562" width="20.85546875" style="244" customWidth="1"/>
    <col min="2563" max="2563" width="18.140625" style="244" customWidth="1"/>
    <col min="2564" max="2564" width="9" style="244" customWidth="1"/>
    <col min="2565" max="2565" width="10.140625" style="244" customWidth="1"/>
    <col min="2566" max="2566" width="9.85546875" style="244" customWidth="1"/>
    <col min="2567" max="2567" width="11" style="244" bestFit="1" customWidth="1"/>
    <col min="2568" max="2568" width="8.42578125" style="244" bestFit="1" customWidth="1"/>
    <col min="2569" max="2569" width="10.140625" style="244" customWidth="1"/>
    <col min="2570" max="2570" width="7.85546875" style="244" customWidth="1"/>
    <col min="2571" max="2571" width="9.42578125" style="244" customWidth="1"/>
    <col min="2572" max="2781" width="8.85546875" style="244" customWidth="1"/>
    <col min="2782" max="2782" width="7.42578125" style="244" customWidth="1"/>
    <col min="2783" max="2783" width="13.140625" style="244" customWidth="1"/>
    <col min="2784" max="2784" width="34.140625" style="244" customWidth="1"/>
    <col min="2785" max="2785" width="57.42578125" style="244" customWidth="1"/>
    <col min="2786" max="2786" width="18.140625" style="244" customWidth="1"/>
    <col min="2787" max="2787" width="10.140625" style="244" customWidth="1"/>
    <col min="2788" max="2788" width="9.85546875" style="244" customWidth="1"/>
    <col min="2789" max="2789" width="19.140625" style="244" customWidth="1"/>
    <col min="2790" max="2790" width="9.85546875" style="244" customWidth="1"/>
    <col min="2791" max="2791" width="15.85546875" style="244" customWidth="1"/>
    <col min="2792" max="2794" width="13.42578125" style="244" customWidth="1"/>
    <col min="2795" max="2795" width="6.42578125" style="244" customWidth="1"/>
    <col min="2796" max="2797" width="18.42578125" style="244" customWidth="1"/>
    <col min="2798" max="2798" width="16.85546875" style="244" customWidth="1"/>
    <col min="2799" max="2799" width="8.42578125" style="244" customWidth="1"/>
    <col min="2800" max="2800" width="10.85546875" style="244" customWidth="1"/>
    <col min="2801" max="2801" width="13.42578125" style="244" customWidth="1"/>
    <col min="2802" max="2802" width="20.42578125" style="244" customWidth="1"/>
    <col min="2803" max="2803" width="13.42578125" style="244" customWidth="1"/>
    <col min="2804" max="2804" width="6.42578125" style="244" customWidth="1"/>
    <col min="2805" max="2805" width="18.42578125" style="244" customWidth="1"/>
    <col min="2806" max="2809" width="8.85546875" style="244" customWidth="1"/>
    <col min="2810" max="2810" width="4.85546875" style="244" customWidth="1"/>
    <col min="2811" max="2811" width="8.85546875" style="244" customWidth="1"/>
    <col min="2812" max="2812" width="11.85546875" style="244" customWidth="1"/>
    <col min="2813" max="2813" width="12.85546875" style="244" bestFit="1" customWidth="1"/>
    <col min="2814" max="2814" width="15.85546875" style="244" customWidth="1"/>
    <col min="2815" max="2815" width="27.85546875" style="244" customWidth="1"/>
    <col min="2816" max="2816" width="8.140625" style="244" customWidth="1"/>
    <col min="2817" max="2817" width="45.42578125" style="244" bestFit="1" customWidth="1"/>
    <col min="2818" max="2818" width="20.85546875" style="244" customWidth="1"/>
    <col min="2819" max="2819" width="18.140625" style="244" customWidth="1"/>
    <col min="2820" max="2820" width="9" style="244" customWidth="1"/>
    <col min="2821" max="2821" width="10.140625" style="244" customWidth="1"/>
    <col min="2822" max="2822" width="9.85546875" style="244" customWidth="1"/>
    <col min="2823" max="2823" width="11" style="244" bestFit="1" customWidth="1"/>
    <col min="2824" max="2824" width="8.42578125" style="244" bestFit="1" customWidth="1"/>
    <col min="2825" max="2825" width="10.140625" style="244" customWidth="1"/>
    <col min="2826" max="2826" width="7.85546875" style="244" customWidth="1"/>
    <col min="2827" max="2827" width="9.42578125" style="244" customWidth="1"/>
    <col min="2828" max="3037" width="8.85546875" style="244" customWidth="1"/>
    <col min="3038" max="3038" width="7.42578125" style="244" customWidth="1"/>
    <col min="3039" max="3039" width="13.140625" style="244" customWidth="1"/>
    <col min="3040" max="3040" width="34.140625" style="244" customWidth="1"/>
    <col min="3041" max="3041" width="57.42578125" style="244" customWidth="1"/>
    <col min="3042" max="3042" width="18.140625" style="244" customWidth="1"/>
    <col min="3043" max="3043" width="10.140625" style="244" customWidth="1"/>
    <col min="3044" max="3044" width="9.85546875" style="244" customWidth="1"/>
    <col min="3045" max="3045" width="19.140625" style="244" customWidth="1"/>
    <col min="3046" max="3046" width="9.85546875" style="244" customWidth="1"/>
    <col min="3047" max="3047" width="15.85546875" style="244" customWidth="1"/>
    <col min="3048" max="3050" width="13.42578125" style="244" customWidth="1"/>
    <col min="3051" max="3051" width="6.42578125" style="244" customWidth="1"/>
    <col min="3052" max="3053" width="18.42578125" style="244" customWidth="1"/>
    <col min="3054" max="3054" width="16.85546875" style="244" customWidth="1"/>
    <col min="3055" max="3055" width="8.42578125" style="244" customWidth="1"/>
    <col min="3056" max="3056" width="10.85546875" style="244" customWidth="1"/>
    <col min="3057" max="3057" width="13.42578125" style="244" customWidth="1"/>
    <col min="3058" max="3058" width="20.42578125" style="244" customWidth="1"/>
    <col min="3059" max="3059" width="13.42578125" style="244" customWidth="1"/>
    <col min="3060" max="3060" width="6.42578125" style="244" customWidth="1"/>
    <col min="3061" max="3061" width="18.42578125" style="244" customWidth="1"/>
    <col min="3062" max="3065" width="8.85546875" style="244" customWidth="1"/>
    <col min="3066" max="3066" width="4.85546875" style="244" customWidth="1"/>
    <col min="3067" max="3067" width="8.85546875" style="244" customWidth="1"/>
    <col min="3068" max="3068" width="11.85546875" style="244" customWidth="1"/>
    <col min="3069" max="3069" width="12.85546875" style="244" bestFit="1" customWidth="1"/>
    <col min="3070" max="3070" width="15.85546875" style="244" customWidth="1"/>
    <col min="3071" max="3071" width="27.85546875" style="244" customWidth="1"/>
    <col min="3072" max="3072" width="8.140625" style="244" customWidth="1"/>
    <col min="3073" max="3073" width="45.42578125" style="244" bestFit="1" customWidth="1"/>
    <col min="3074" max="3074" width="20.85546875" style="244" customWidth="1"/>
    <col min="3075" max="3075" width="18.140625" style="244" customWidth="1"/>
    <col min="3076" max="3076" width="9" style="244" customWidth="1"/>
    <col min="3077" max="3077" width="10.140625" style="244" customWidth="1"/>
    <col min="3078" max="3078" width="9.85546875" style="244" customWidth="1"/>
    <col min="3079" max="3079" width="11" style="244" bestFit="1" customWidth="1"/>
    <col min="3080" max="3080" width="8.42578125" style="244" bestFit="1" customWidth="1"/>
    <col min="3081" max="3081" width="10.140625" style="244" customWidth="1"/>
    <col min="3082" max="3082" width="7.85546875" style="244" customWidth="1"/>
    <col min="3083" max="3083" width="9.42578125" style="244" customWidth="1"/>
    <col min="3084" max="3293" width="8.85546875" style="244" customWidth="1"/>
    <col min="3294" max="3294" width="7.42578125" style="244" customWidth="1"/>
    <col min="3295" max="3295" width="13.140625" style="244" customWidth="1"/>
    <col min="3296" max="3296" width="34.140625" style="244" customWidth="1"/>
    <col min="3297" max="3297" width="57.42578125" style="244" customWidth="1"/>
    <col min="3298" max="3298" width="18.140625" style="244" customWidth="1"/>
    <col min="3299" max="3299" width="10.140625" style="244" customWidth="1"/>
    <col min="3300" max="3300" width="9.85546875" style="244" customWidth="1"/>
    <col min="3301" max="3301" width="19.140625" style="244" customWidth="1"/>
    <col min="3302" max="3302" width="9.85546875" style="244" customWidth="1"/>
    <col min="3303" max="3303" width="15.85546875" style="244" customWidth="1"/>
    <col min="3304" max="3306" width="13.42578125" style="244" customWidth="1"/>
    <col min="3307" max="3307" width="6.42578125" style="244" customWidth="1"/>
    <col min="3308" max="3309" width="18.42578125" style="244" customWidth="1"/>
    <col min="3310" max="3310" width="16.85546875" style="244" customWidth="1"/>
    <col min="3311" max="3311" width="8.42578125" style="244" customWidth="1"/>
    <col min="3312" max="3312" width="10.85546875" style="244" customWidth="1"/>
    <col min="3313" max="3313" width="13.42578125" style="244" customWidth="1"/>
    <col min="3314" max="3314" width="20.42578125" style="244" customWidth="1"/>
    <col min="3315" max="3315" width="13.42578125" style="244" customWidth="1"/>
    <col min="3316" max="3316" width="6.42578125" style="244" customWidth="1"/>
    <col min="3317" max="3317" width="18.42578125" style="244" customWidth="1"/>
    <col min="3318" max="3321" width="8.85546875" style="244" customWidth="1"/>
    <col min="3322" max="3322" width="4.85546875" style="244" customWidth="1"/>
    <col min="3323" max="3323" width="8.85546875" style="244" customWidth="1"/>
    <col min="3324" max="3324" width="11.85546875" style="244" customWidth="1"/>
    <col min="3325" max="3325" width="12.85546875" style="244" bestFit="1" customWidth="1"/>
    <col min="3326" max="3326" width="15.85546875" style="244" customWidth="1"/>
    <col min="3327" max="3327" width="27.85546875" style="244" customWidth="1"/>
    <col min="3328" max="3328" width="8.140625" style="244" customWidth="1"/>
    <col min="3329" max="3329" width="45.42578125" style="244" bestFit="1" customWidth="1"/>
    <col min="3330" max="3330" width="20.85546875" style="244" customWidth="1"/>
    <col min="3331" max="3331" width="18.140625" style="244" customWidth="1"/>
    <col min="3332" max="3332" width="9" style="244" customWidth="1"/>
    <col min="3333" max="3333" width="10.140625" style="244" customWidth="1"/>
    <col min="3334" max="3334" width="9.85546875" style="244" customWidth="1"/>
    <col min="3335" max="3335" width="11" style="244" bestFit="1" customWidth="1"/>
    <col min="3336" max="3336" width="8.42578125" style="244" bestFit="1" customWidth="1"/>
    <col min="3337" max="3337" width="10.140625" style="244" customWidth="1"/>
    <col min="3338" max="3338" width="7.85546875" style="244" customWidth="1"/>
    <col min="3339" max="3339" width="9.42578125" style="244" customWidth="1"/>
    <col min="3340" max="3549" width="8.85546875" style="244" customWidth="1"/>
    <col min="3550" max="3550" width="7.42578125" style="244" customWidth="1"/>
    <col min="3551" max="3551" width="13.140625" style="244" customWidth="1"/>
    <col min="3552" max="3552" width="34.140625" style="244" customWidth="1"/>
    <col min="3553" max="3553" width="57.42578125" style="244" customWidth="1"/>
    <col min="3554" max="3554" width="18.140625" style="244" customWidth="1"/>
    <col min="3555" max="3555" width="10.140625" style="244" customWidth="1"/>
    <col min="3556" max="3556" width="9.85546875" style="244" customWidth="1"/>
    <col min="3557" max="3557" width="19.140625" style="244" customWidth="1"/>
    <col min="3558" max="3558" width="9.85546875" style="244" customWidth="1"/>
    <col min="3559" max="3559" width="15.85546875" style="244" customWidth="1"/>
    <col min="3560" max="3562" width="13.42578125" style="244" customWidth="1"/>
    <col min="3563" max="3563" width="6.42578125" style="244" customWidth="1"/>
    <col min="3564" max="3565" width="18.42578125" style="244" customWidth="1"/>
    <col min="3566" max="3566" width="16.85546875" style="244" customWidth="1"/>
    <col min="3567" max="3567" width="8.42578125" style="244" customWidth="1"/>
    <col min="3568" max="3568" width="10.85546875" style="244" customWidth="1"/>
    <col min="3569" max="3569" width="13.42578125" style="244" customWidth="1"/>
    <col min="3570" max="3570" width="20.42578125" style="244" customWidth="1"/>
    <col min="3571" max="3571" width="13.42578125" style="244" customWidth="1"/>
    <col min="3572" max="3572" width="6.42578125" style="244" customWidth="1"/>
    <col min="3573" max="3573" width="18.42578125" style="244" customWidth="1"/>
    <col min="3574" max="3577" width="8.85546875" style="244" customWidth="1"/>
    <col min="3578" max="3578" width="4.85546875" style="244" customWidth="1"/>
    <col min="3579" max="3579" width="8.85546875" style="244" customWidth="1"/>
    <col min="3580" max="3580" width="11.85546875" style="244" customWidth="1"/>
    <col min="3581" max="3581" width="12.85546875" style="244" bestFit="1" customWidth="1"/>
    <col min="3582" max="3582" width="15.85546875" style="244" customWidth="1"/>
    <col min="3583" max="3583" width="27.85546875" style="244" customWidth="1"/>
    <col min="3584" max="3584" width="8.140625" style="244" customWidth="1"/>
    <col min="3585" max="3585" width="45.42578125" style="244" bestFit="1" customWidth="1"/>
    <col min="3586" max="3586" width="20.85546875" style="244" customWidth="1"/>
    <col min="3587" max="3587" width="18.140625" style="244" customWidth="1"/>
    <col min="3588" max="3588" width="9" style="244" customWidth="1"/>
    <col min="3589" max="3589" width="10.140625" style="244" customWidth="1"/>
    <col min="3590" max="3590" width="9.85546875" style="244" customWidth="1"/>
    <col min="3591" max="3591" width="11" style="244" bestFit="1" customWidth="1"/>
    <col min="3592" max="3592" width="8.42578125" style="244" bestFit="1" customWidth="1"/>
    <col min="3593" max="3593" width="10.140625" style="244" customWidth="1"/>
    <col min="3594" max="3594" width="7.85546875" style="244" customWidth="1"/>
    <col min="3595" max="3595" width="9.42578125" style="244" customWidth="1"/>
    <col min="3596" max="3805" width="8.85546875" style="244" customWidth="1"/>
    <col min="3806" max="3806" width="7.42578125" style="244" customWidth="1"/>
    <col min="3807" max="3807" width="13.140625" style="244" customWidth="1"/>
    <col min="3808" max="3808" width="34.140625" style="244" customWidth="1"/>
    <col min="3809" max="3809" width="57.42578125" style="244" customWidth="1"/>
    <col min="3810" max="3810" width="18.140625" style="244" customWidth="1"/>
    <col min="3811" max="3811" width="10.140625" style="244" customWidth="1"/>
    <col min="3812" max="3812" width="9.85546875" style="244" customWidth="1"/>
    <col min="3813" max="3813" width="19.140625" style="244" customWidth="1"/>
    <col min="3814" max="3814" width="9.85546875" style="244" customWidth="1"/>
    <col min="3815" max="3815" width="15.85546875" style="244" customWidth="1"/>
    <col min="3816" max="3818" width="13.42578125" style="244" customWidth="1"/>
    <col min="3819" max="3819" width="6.42578125" style="244" customWidth="1"/>
    <col min="3820" max="3821" width="18.42578125" style="244" customWidth="1"/>
    <col min="3822" max="3822" width="16.85546875" style="244" customWidth="1"/>
    <col min="3823" max="3823" width="8.42578125" style="244" customWidth="1"/>
    <col min="3824" max="3824" width="10.85546875" style="244" customWidth="1"/>
    <col min="3825" max="3825" width="13.42578125" style="244" customWidth="1"/>
    <col min="3826" max="3826" width="20.42578125" style="244" customWidth="1"/>
    <col min="3827" max="3827" width="13.42578125" style="244" customWidth="1"/>
    <col min="3828" max="3828" width="6.42578125" style="244" customWidth="1"/>
    <col min="3829" max="3829" width="18.42578125" style="244" customWidth="1"/>
    <col min="3830" max="3833" width="8.85546875" style="244" customWidth="1"/>
    <col min="3834" max="3834" width="4.85546875" style="244" customWidth="1"/>
    <col min="3835" max="3835" width="8.85546875" style="244" customWidth="1"/>
    <col min="3836" max="3836" width="11.85546875" style="244" customWidth="1"/>
    <col min="3837" max="3837" width="12.85546875" style="244" bestFit="1" customWidth="1"/>
    <col min="3838" max="3838" width="15.85546875" style="244" customWidth="1"/>
    <col min="3839" max="3839" width="27.85546875" style="244" customWidth="1"/>
    <col min="3840" max="3840" width="8.140625" style="244" customWidth="1"/>
    <col min="3841" max="3841" width="45.42578125" style="244" bestFit="1" customWidth="1"/>
    <col min="3842" max="3842" width="20.85546875" style="244" customWidth="1"/>
    <col min="3843" max="3843" width="18.140625" style="244" customWidth="1"/>
    <col min="3844" max="3844" width="9" style="244" customWidth="1"/>
    <col min="3845" max="3845" width="10.140625" style="244" customWidth="1"/>
    <col min="3846" max="3846" width="9.85546875" style="244" customWidth="1"/>
    <col min="3847" max="3847" width="11" style="244" bestFit="1" customWidth="1"/>
    <col min="3848" max="3848" width="8.42578125" style="244" bestFit="1" customWidth="1"/>
    <col min="3849" max="3849" width="10.140625" style="244" customWidth="1"/>
    <col min="3850" max="3850" width="7.85546875" style="244" customWidth="1"/>
    <col min="3851" max="3851" width="9.42578125" style="244" customWidth="1"/>
    <col min="3852" max="4061" width="8.85546875" style="244" customWidth="1"/>
    <col min="4062" max="4062" width="7.42578125" style="244" customWidth="1"/>
    <col min="4063" max="4063" width="13.140625" style="244" customWidth="1"/>
    <col min="4064" max="4064" width="34.140625" style="244" customWidth="1"/>
    <col min="4065" max="4065" width="57.42578125" style="244" customWidth="1"/>
    <col min="4066" max="4066" width="18.140625" style="244" customWidth="1"/>
    <col min="4067" max="4067" width="10.140625" style="244" customWidth="1"/>
    <col min="4068" max="4068" width="9.85546875" style="244" customWidth="1"/>
    <col min="4069" max="4069" width="19.140625" style="244" customWidth="1"/>
    <col min="4070" max="4070" width="9.85546875" style="244" customWidth="1"/>
    <col min="4071" max="4071" width="15.85546875" style="244" customWidth="1"/>
    <col min="4072" max="4074" width="13.42578125" style="244" customWidth="1"/>
    <col min="4075" max="4075" width="6.42578125" style="244" customWidth="1"/>
    <col min="4076" max="4077" width="18.42578125" style="244" customWidth="1"/>
    <col min="4078" max="4078" width="16.85546875" style="244" customWidth="1"/>
    <col min="4079" max="4079" width="8.42578125" style="244" customWidth="1"/>
    <col min="4080" max="4080" width="10.85546875" style="244" customWidth="1"/>
    <col min="4081" max="4081" width="13.42578125" style="244" customWidth="1"/>
    <col min="4082" max="4082" width="20.42578125" style="244" customWidth="1"/>
    <col min="4083" max="4083" width="13.42578125" style="244" customWidth="1"/>
    <col min="4084" max="4084" width="6.42578125" style="244" customWidth="1"/>
    <col min="4085" max="4085" width="18.42578125" style="244" customWidth="1"/>
    <col min="4086" max="4089" width="8.85546875" style="244" customWidth="1"/>
    <col min="4090" max="4090" width="4.85546875" style="244" customWidth="1"/>
    <col min="4091" max="4091" width="8.85546875" style="244" customWidth="1"/>
    <col min="4092" max="4092" width="11.85546875" style="244" customWidth="1"/>
    <col min="4093" max="4093" width="12.85546875" style="244" bestFit="1" customWidth="1"/>
    <col min="4094" max="4094" width="15.85546875" style="244" customWidth="1"/>
    <col min="4095" max="4095" width="27.85546875" style="244" customWidth="1"/>
    <col min="4096" max="4096" width="8.140625" style="244" customWidth="1"/>
    <col min="4097" max="4097" width="45.42578125" style="244" bestFit="1" customWidth="1"/>
    <col min="4098" max="4098" width="20.85546875" style="244" customWidth="1"/>
    <col min="4099" max="4099" width="18.140625" style="244" customWidth="1"/>
    <col min="4100" max="4100" width="9" style="244" customWidth="1"/>
    <col min="4101" max="4101" width="10.140625" style="244" customWidth="1"/>
    <col min="4102" max="4102" width="9.85546875" style="244" customWidth="1"/>
    <col min="4103" max="4103" width="11" style="244" bestFit="1" customWidth="1"/>
    <col min="4104" max="4104" width="8.42578125" style="244" bestFit="1" customWidth="1"/>
    <col min="4105" max="4105" width="10.140625" style="244" customWidth="1"/>
    <col min="4106" max="4106" width="7.85546875" style="244" customWidth="1"/>
    <col min="4107" max="4107" width="9.42578125" style="244" customWidth="1"/>
    <col min="4108" max="4317" width="8.85546875" style="244" customWidth="1"/>
    <col min="4318" max="4318" width="7.42578125" style="244" customWidth="1"/>
    <col min="4319" max="4319" width="13.140625" style="244" customWidth="1"/>
    <col min="4320" max="4320" width="34.140625" style="244" customWidth="1"/>
    <col min="4321" max="4321" width="57.42578125" style="244" customWidth="1"/>
    <col min="4322" max="4322" width="18.140625" style="244" customWidth="1"/>
    <col min="4323" max="4323" width="10.140625" style="244" customWidth="1"/>
    <col min="4324" max="4324" width="9.85546875" style="244" customWidth="1"/>
    <col min="4325" max="4325" width="19.140625" style="244" customWidth="1"/>
    <col min="4326" max="4326" width="9.85546875" style="244" customWidth="1"/>
    <col min="4327" max="4327" width="15.85546875" style="244" customWidth="1"/>
    <col min="4328" max="4330" width="13.42578125" style="244" customWidth="1"/>
    <col min="4331" max="4331" width="6.42578125" style="244" customWidth="1"/>
    <col min="4332" max="4333" width="18.42578125" style="244" customWidth="1"/>
    <col min="4334" max="4334" width="16.85546875" style="244" customWidth="1"/>
    <col min="4335" max="4335" width="8.42578125" style="244" customWidth="1"/>
    <col min="4336" max="4336" width="10.85546875" style="244" customWidth="1"/>
    <col min="4337" max="4337" width="13.42578125" style="244" customWidth="1"/>
    <col min="4338" max="4338" width="20.42578125" style="244" customWidth="1"/>
    <col min="4339" max="4339" width="13.42578125" style="244" customWidth="1"/>
    <col min="4340" max="4340" width="6.42578125" style="244" customWidth="1"/>
    <col min="4341" max="4341" width="18.42578125" style="244" customWidth="1"/>
    <col min="4342" max="4345" width="8.85546875" style="244" customWidth="1"/>
    <col min="4346" max="4346" width="4.85546875" style="244" customWidth="1"/>
    <col min="4347" max="4347" width="8.85546875" style="244" customWidth="1"/>
    <col min="4348" max="4348" width="11.85546875" style="244" customWidth="1"/>
    <col min="4349" max="4349" width="12.85546875" style="244" bestFit="1" customWidth="1"/>
    <col min="4350" max="4350" width="15.85546875" style="244" customWidth="1"/>
    <col min="4351" max="4351" width="27.85546875" style="244" customWidth="1"/>
    <col min="4352" max="4352" width="8.140625" style="244" customWidth="1"/>
    <col min="4353" max="4353" width="45.42578125" style="244" bestFit="1" customWidth="1"/>
    <col min="4354" max="4354" width="20.85546875" style="244" customWidth="1"/>
    <col min="4355" max="4355" width="18.140625" style="244" customWidth="1"/>
    <col min="4356" max="4356" width="9" style="244" customWidth="1"/>
    <col min="4357" max="4357" width="10.140625" style="244" customWidth="1"/>
    <col min="4358" max="4358" width="9.85546875" style="244" customWidth="1"/>
    <col min="4359" max="4359" width="11" style="244" bestFit="1" customWidth="1"/>
    <col min="4360" max="4360" width="8.42578125" style="244" bestFit="1" customWidth="1"/>
    <col min="4361" max="4361" width="10.140625" style="244" customWidth="1"/>
    <col min="4362" max="4362" width="7.85546875" style="244" customWidth="1"/>
    <col min="4363" max="4363" width="9.42578125" style="244" customWidth="1"/>
    <col min="4364" max="4573" width="8.85546875" style="244" customWidth="1"/>
    <col min="4574" max="4574" width="7.42578125" style="244" customWidth="1"/>
    <col min="4575" max="4575" width="13.140625" style="244" customWidth="1"/>
    <col min="4576" max="4576" width="34.140625" style="244" customWidth="1"/>
    <col min="4577" max="4577" width="57.42578125" style="244" customWidth="1"/>
    <col min="4578" max="4578" width="18.140625" style="244" customWidth="1"/>
    <col min="4579" max="4579" width="10.140625" style="244" customWidth="1"/>
    <col min="4580" max="4580" width="9.85546875" style="244" customWidth="1"/>
    <col min="4581" max="4581" width="19.140625" style="244" customWidth="1"/>
    <col min="4582" max="4582" width="9.85546875" style="244" customWidth="1"/>
    <col min="4583" max="4583" width="15.85546875" style="244" customWidth="1"/>
    <col min="4584" max="4586" width="13.42578125" style="244" customWidth="1"/>
    <col min="4587" max="4587" width="6.42578125" style="244" customWidth="1"/>
    <col min="4588" max="4589" width="18.42578125" style="244" customWidth="1"/>
    <col min="4590" max="4590" width="16.85546875" style="244" customWidth="1"/>
    <col min="4591" max="4591" width="8.42578125" style="244" customWidth="1"/>
    <col min="4592" max="4592" width="10.85546875" style="244" customWidth="1"/>
    <col min="4593" max="4593" width="13.42578125" style="244" customWidth="1"/>
    <col min="4594" max="4594" width="20.42578125" style="244" customWidth="1"/>
    <col min="4595" max="4595" width="13.42578125" style="244" customWidth="1"/>
    <col min="4596" max="4596" width="6.42578125" style="244" customWidth="1"/>
    <col min="4597" max="4597" width="18.42578125" style="244" customWidth="1"/>
    <col min="4598" max="4601" width="8.85546875" style="244" customWidth="1"/>
    <col min="4602" max="4602" width="4.85546875" style="244" customWidth="1"/>
    <col min="4603" max="4603" width="8.85546875" style="244" customWidth="1"/>
    <col min="4604" max="4604" width="11.85546875" style="244" customWidth="1"/>
    <col min="4605" max="4605" width="12.85546875" style="244" bestFit="1" customWidth="1"/>
    <col min="4606" max="4606" width="15.85546875" style="244" customWidth="1"/>
    <col min="4607" max="4607" width="27.85546875" style="244" customWidth="1"/>
    <col min="4608" max="4608" width="8.140625" style="244" customWidth="1"/>
    <col min="4609" max="4609" width="45.42578125" style="244" bestFit="1" customWidth="1"/>
    <col min="4610" max="4610" width="20.85546875" style="244" customWidth="1"/>
    <col min="4611" max="4611" width="18.140625" style="244" customWidth="1"/>
    <col min="4612" max="4612" width="9" style="244" customWidth="1"/>
    <col min="4613" max="4613" width="10.140625" style="244" customWidth="1"/>
    <col min="4614" max="4614" width="9.85546875" style="244" customWidth="1"/>
    <col min="4615" max="4615" width="11" style="244" bestFit="1" customWidth="1"/>
    <col min="4616" max="4616" width="8.42578125" style="244" bestFit="1" customWidth="1"/>
    <col min="4617" max="4617" width="10.140625" style="244" customWidth="1"/>
    <col min="4618" max="4618" width="7.85546875" style="244" customWidth="1"/>
    <col min="4619" max="4619" width="9.42578125" style="244" customWidth="1"/>
    <col min="4620" max="4829" width="8.85546875" style="244" customWidth="1"/>
    <col min="4830" max="4830" width="7.42578125" style="244" customWidth="1"/>
    <col min="4831" max="4831" width="13.140625" style="244" customWidth="1"/>
    <col min="4832" max="4832" width="34.140625" style="244" customWidth="1"/>
    <col min="4833" max="4833" width="57.42578125" style="244" customWidth="1"/>
    <col min="4834" max="4834" width="18.140625" style="244" customWidth="1"/>
    <col min="4835" max="4835" width="10.140625" style="244" customWidth="1"/>
    <col min="4836" max="4836" width="9.85546875" style="244" customWidth="1"/>
    <col min="4837" max="4837" width="19.140625" style="244" customWidth="1"/>
    <col min="4838" max="4838" width="9.85546875" style="244" customWidth="1"/>
    <col min="4839" max="4839" width="15.85546875" style="244" customWidth="1"/>
    <col min="4840" max="4842" width="13.42578125" style="244" customWidth="1"/>
    <col min="4843" max="4843" width="6.42578125" style="244" customWidth="1"/>
    <col min="4844" max="4845" width="18.42578125" style="244" customWidth="1"/>
    <col min="4846" max="4846" width="16.85546875" style="244" customWidth="1"/>
    <col min="4847" max="4847" width="8.42578125" style="244" customWidth="1"/>
    <col min="4848" max="4848" width="10.85546875" style="244" customWidth="1"/>
    <col min="4849" max="4849" width="13.42578125" style="244" customWidth="1"/>
    <col min="4850" max="4850" width="20.42578125" style="244" customWidth="1"/>
    <col min="4851" max="4851" width="13.42578125" style="244" customWidth="1"/>
    <col min="4852" max="4852" width="6.42578125" style="244" customWidth="1"/>
    <col min="4853" max="4853" width="18.42578125" style="244" customWidth="1"/>
    <col min="4854" max="4857" width="8.85546875" style="244" customWidth="1"/>
    <col min="4858" max="4858" width="4.85546875" style="244" customWidth="1"/>
    <col min="4859" max="4859" width="8.85546875" style="244" customWidth="1"/>
    <col min="4860" max="4860" width="11.85546875" style="244" customWidth="1"/>
    <col min="4861" max="4861" width="12.85546875" style="244" bestFit="1" customWidth="1"/>
    <col min="4862" max="4862" width="15.85546875" style="244" customWidth="1"/>
    <col min="4863" max="4863" width="27.85546875" style="244" customWidth="1"/>
    <col min="4864" max="4864" width="8.140625" style="244" customWidth="1"/>
    <col min="4865" max="4865" width="45.42578125" style="244" bestFit="1" customWidth="1"/>
    <col min="4866" max="4866" width="20.85546875" style="244" customWidth="1"/>
    <col min="4867" max="4867" width="18.140625" style="244" customWidth="1"/>
    <col min="4868" max="4868" width="9" style="244" customWidth="1"/>
    <col min="4869" max="4869" width="10.140625" style="244" customWidth="1"/>
    <col min="4870" max="4870" width="9.85546875" style="244" customWidth="1"/>
    <col min="4871" max="4871" width="11" style="244" bestFit="1" customWidth="1"/>
    <col min="4872" max="4872" width="8.42578125" style="244" bestFit="1" customWidth="1"/>
    <col min="4873" max="4873" width="10.140625" style="244" customWidth="1"/>
    <col min="4874" max="4874" width="7.85546875" style="244" customWidth="1"/>
    <col min="4875" max="4875" width="9.42578125" style="244" customWidth="1"/>
    <col min="4876" max="5085" width="8.85546875" style="244" customWidth="1"/>
    <col min="5086" max="5086" width="7.42578125" style="244" customWidth="1"/>
    <col min="5087" max="5087" width="13.140625" style="244" customWidth="1"/>
    <col min="5088" max="5088" width="34.140625" style="244" customWidth="1"/>
    <col min="5089" max="5089" width="57.42578125" style="244" customWidth="1"/>
    <col min="5090" max="5090" width="18.140625" style="244" customWidth="1"/>
    <col min="5091" max="5091" width="10.140625" style="244" customWidth="1"/>
    <col min="5092" max="5092" width="9.85546875" style="244" customWidth="1"/>
    <col min="5093" max="5093" width="19.140625" style="244" customWidth="1"/>
    <col min="5094" max="5094" width="9.85546875" style="244" customWidth="1"/>
    <col min="5095" max="5095" width="15.85546875" style="244" customWidth="1"/>
    <col min="5096" max="5098" width="13.42578125" style="244" customWidth="1"/>
    <col min="5099" max="5099" width="6.42578125" style="244" customWidth="1"/>
    <col min="5100" max="5101" width="18.42578125" style="244" customWidth="1"/>
    <col min="5102" max="5102" width="16.85546875" style="244" customWidth="1"/>
    <col min="5103" max="5103" width="8.42578125" style="244" customWidth="1"/>
    <col min="5104" max="5104" width="10.85546875" style="244" customWidth="1"/>
    <col min="5105" max="5105" width="13.42578125" style="244" customWidth="1"/>
    <col min="5106" max="5106" width="20.42578125" style="244" customWidth="1"/>
    <col min="5107" max="5107" width="13.42578125" style="244" customWidth="1"/>
    <col min="5108" max="5108" width="6.42578125" style="244" customWidth="1"/>
    <col min="5109" max="5109" width="18.42578125" style="244" customWidth="1"/>
    <col min="5110" max="5113" width="8.85546875" style="244" customWidth="1"/>
    <col min="5114" max="5114" width="4.85546875" style="244" customWidth="1"/>
    <col min="5115" max="5115" width="8.85546875" style="244" customWidth="1"/>
    <col min="5116" max="5116" width="11.85546875" style="244" customWidth="1"/>
    <col min="5117" max="5117" width="12.85546875" style="244" bestFit="1" customWidth="1"/>
    <col min="5118" max="5118" width="15.85546875" style="244" customWidth="1"/>
    <col min="5119" max="5119" width="27.85546875" style="244" customWidth="1"/>
    <col min="5120" max="5120" width="8.140625" style="244" customWidth="1"/>
    <col min="5121" max="5121" width="45.42578125" style="244" bestFit="1" customWidth="1"/>
    <col min="5122" max="5122" width="20.85546875" style="244" customWidth="1"/>
    <col min="5123" max="5123" width="18.140625" style="244" customWidth="1"/>
    <col min="5124" max="5124" width="9" style="244" customWidth="1"/>
    <col min="5125" max="5125" width="10.140625" style="244" customWidth="1"/>
    <col min="5126" max="5126" width="9.85546875" style="244" customWidth="1"/>
    <col min="5127" max="5127" width="11" style="244" bestFit="1" customWidth="1"/>
    <col min="5128" max="5128" width="8.42578125" style="244" bestFit="1" customWidth="1"/>
    <col min="5129" max="5129" width="10.140625" style="244" customWidth="1"/>
    <col min="5130" max="5130" width="7.85546875" style="244" customWidth="1"/>
    <col min="5131" max="5131" width="9.42578125" style="244" customWidth="1"/>
    <col min="5132" max="5341" width="8.85546875" style="244" customWidth="1"/>
    <col min="5342" max="5342" width="7.42578125" style="244" customWidth="1"/>
    <col min="5343" max="5343" width="13.140625" style="244" customWidth="1"/>
    <col min="5344" max="5344" width="34.140625" style="244" customWidth="1"/>
    <col min="5345" max="5345" width="57.42578125" style="244" customWidth="1"/>
    <col min="5346" max="5346" width="18.140625" style="244" customWidth="1"/>
    <col min="5347" max="5347" width="10.140625" style="244" customWidth="1"/>
    <col min="5348" max="5348" width="9.85546875" style="244" customWidth="1"/>
    <col min="5349" max="5349" width="19.140625" style="244" customWidth="1"/>
    <col min="5350" max="5350" width="9.85546875" style="244" customWidth="1"/>
    <col min="5351" max="5351" width="15.85546875" style="244" customWidth="1"/>
    <col min="5352" max="5354" width="13.42578125" style="244" customWidth="1"/>
    <col min="5355" max="5355" width="6.42578125" style="244" customWidth="1"/>
    <col min="5356" max="5357" width="18.42578125" style="244" customWidth="1"/>
    <col min="5358" max="5358" width="16.85546875" style="244" customWidth="1"/>
    <col min="5359" max="5359" width="8.42578125" style="244" customWidth="1"/>
    <col min="5360" max="5360" width="10.85546875" style="244" customWidth="1"/>
    <col min="5361" max="5361" width="13.42578125" style="244" customWidth="1"/>
    <col min="5362" max="5362" width="20.42578125" style="244" customWidth="1"/>
    <col min="5363" max="5363" width="13.42578125" style="244" customWidth="1"/>
    <col min="5364" max="5364" width="6.42578125" style="244" customWidth="1"/>
    <col min="5365" max="5365" width="18.42578125" style="244" customWidth="1"/>
    <col min="5366" max="5369" width="8.85546875" style="244" customWidth="1"/>
    <col min="5370" max="5370" width="4.85546875" style="244" customWidth="1"/>
    <col min="5371" max="5371" width="8.85546875" style="244" customWidth="1"/>
    <col min="5372" max="5372" width="11.85546875" style="244" customWidth="1"/>
    <col min="5373" max="5373" width="12.85546875" style="244" bestFit="1" customWidth="1"/>
    <col min="5374" max="5374" width="15.85546875" style="244" customWidth="1"/>
    <col min="5375" max="5375" width="27.85546875" style="244" customWidth="1"/>
    <col min="5376" max="5376" width="8.140625" style="244" customWidth="1"/>
    <col min="5377" max="5377" width="45.42578125" style="244" bestFit="1" customWidth="1"/>
    <col min="5378" max="5378" width="20.85546875" style="244" customWidth="1"/>
    <col min="5379" max="5379" width="18.140625" style="244" customWidth="1"/>
    <col min="5380" max="5380" width="9" style="244" customWidth="1"/>
    <col min="5381" max="5381" width="10.140625" style="244" customWidth="1"/>
    <col min="5382" max="5382" width="9.85546875" style="244" customWidth="1"/>
    <col min="5383" max="5383" width="11" style="244" bestFit="1" customWidth="1"/>
    <col min="5384" max="5384" width="8.42578125" style="244" bestFit="1" customWidth="1"/>
    <col min="5385" max="5385" width="10.140625" style="244" customWidth="1"/>
    <col min="5386" max="5386" width="7.85546875" style="244" customWidth="1"/>
    <col min="5387" max="5387" width="9.42578125" style="244" customWidth="1"/>
    <col min="5388" max="5597" width="8.85546875" style="244" customWidth="1"/>
    <col min="5598" max="5598" width="7.42578125" style="244" customWidth="1"/>
    <col min="5599" max="5599" width="13.140625" style="244" customWidth="1"/>
    <col min="5600" max="5600" width="34.140625" style="244" customWidth="1"/>
    <col min="5601" max="5601" width="57.42578125" style="244" customWidth="1"/>
    <col min="5602" max="5602" width="18.140625" style="244" customWidth="1"/>
    <col min="5603" max="5603" width="10.140625" style="244" customWidth="1"/>
    <col min="5604" max="5604" width="9.85546875" style="244" customWidth="1"/>
    <col min="5605" max="5605" width="19.140625" style="244" customWidth="1"/>
    <col min="5606" max="5606" width="9.85546875" style="244" customWidth="1"/>
    <col min="5607" max="5607" width="15.85546875" style="244" customWidth="1"/>
    <col min="5608" max="5610" width="13.42578125" style="244" customWidth="1"/>
    <col min="5611" max="5611" width="6.42578125" style="244" customWidth="1"/>
    <col min="5612" max="5613" width="18.42578125" style="244" customWidth="1"/>
    <col min="5614" max="5614" width="16.85546875" style="244" customWidth="1"/>
    <col min="5615" max="5615" width="8.42578125" style="244" customWidth="1"/>
    <col min="5616" max="5616" width="10.85546875" style="244" customWidth="1"/>
    <col min="5617" max="5617" width="13.42578125" style="244" customWidth="1"/>
    <col min="5618" max="5618" width="20.42578125" style="244" customWidth="1"/>
    <col min="5619" max="5619" width="13.42578125" style="244" customWidth="1"/>
    <col min="5620" max="5620" width="6.42578125" style="244" customWidth="1"/>
    <col min="5621" max="5621" width="18.42578125" style="244" customWidth="1"/>
    <col min="5622" max="5625" width="8.85546875" style="244" customWidth="1"/>
    <col min="5626" max="5626" width="4.85546875" style="244" customWidth="1"/>
    <col min="5627" max="5627" width="8.85546875" style="244" customWidth="1"/>
    <col min="5628" max="5628" width="11.85546875" style="244" customWidth="1"/>
    <col min="5629" max="5629" width="12.85546875" style="244" bestFit="1" customWidth="1"/>
    <col min="5630" max="5630" width="15.85546875" style="244" customWidth="1"/>
    <col min="5631" max="5631" width="27.85546875" style="244" customWidth="1"/>
    <col min="5632" max="5632" width="8.140625" style="244" customWidth="1"/>
    <col min="5633" max="5633" width="45.42578125" style="244" bestFit="1" customWidth="1"/>
    <col min="5634" max="5634" width="20.85546875" style="244" customWidth="1"/>
    <col min="5635" max="5635" width="18.140625" style="244" customWidth="1"/>
    <col min="5636" max="5636" width="9" style="244" customWidth="1"/>
    <col min="5637" max="5637" width="10.140625" style="244" customWidth="1"/>
    <col min="5638" max="5638" width="9.85546875" style="244" customWidth="1"/>
    <col min="5639" max="5639" width="11" style="244" bestFit="1" customWidth="1"/>
    <col min="5640" max="5640" width="8.42578125" style="244" bestFit="1" customWidth="1"/>
    <col min="5641" max="5641" width="10.140625" style="244" customWidth="1"/>
    <col min="5642" max="5642" width="7.85546875" style="244" customWidth="1"/>
    <col min="5643" max="5643" width="9.42578125" style="244" customWidth="1"/>
    <col min="5644" max="5853" width="8.85546875" style="244" customWidth="1"/>
    <col min="5854" max="5854" width="7.42578125" style="244" customWidth="1"/>
    <col min="5855" max="5855" width="13.140625" style="244" customWidth="1"/>
    <col min="5856" max="5856" width="34.140625" style="244" customWidth="1"/>
    <col min="5857" max="5857" width="57.42578125" style="244" customWidth="1"/>
    <col min="5858" max="5858" width="18.140625" style="244" customWidth="1"/>
    <col min="5859" max="5859" width="10.140625" style="244" customWidth="1"/>
    <col min="5860" max="5860" width="9.85546875" style="244" customWidth="1"/>
    <col min="5861" max="5861" width="19.140625" style="244" customWidth="1"/>
    <col min="5862" max="5862" width="9.85546875" style="244" customWidth="1"/>
    <col min="5863" max="5863" width="15.85546875" style="244" customWidth="1"/>
    <col min="5864" max="5866" width="13.42578125" style="244" customWidth="1"/>
    <col min="5867" max="5867" width="6.42578125" style="244" customWidth="1"/>
    <col min="5868" max="5869" width="18.42578125" style="244" customWidth="1"/>
    <col min="5870" max="5870" width="16.85546875" style="244" customWidth="1"/>
    <col min="5871" max="5871" width="8.42578125" style="244" customWidth="1"/>
    <col min="5872" max="5872" width="10.85546875" style="244" customWidth="1"/>
    <col min="5873" max="5873" width="13.42578125" style="244" customWidth="1"/>
    <col min="5874" max="5874" width="20.42578125" style="244" customWidth="1"/>
    <col min="5875" max="5875" width="13.42578125" style="244" customWidth="1"/>
    <col min="5876" max="5876" width="6.42578125" style="244" customWidth="1"/>
    <col min="5877" max="5877" width="18.42578125" style="244" customWidth="1"/>
    <col min="5878" max="5881" width="8.85546875" style="244" customWidth="1"/>
    <col min="5882" max="5882" width="4.85546875" style="244" customWidth="1"/>
    <col min="5883" max="5883" width="8.85546875" style="244" customWidth="1"/>
    <col min="5884" max="5884" width="11.85546875" style="244" customWidth="1"/>
    <col min="5885" max="5885" width="12.85546875" style="244" bestFit="1" customWidth="1"/>
    <col min="5886" max="5886" width="15.85546875" style="244" customWidth="1"/>
    <col min="5887" max="5887" width="27.85546875" style="244" customWidth="1"/>
    <col min="5888" max="5888" width="8.140625" style="244" customWidth="1"/>
    <col min="5889" max="5889" width="45.42578125" style="244" bestFit="1" customWidth="1"/>
    <col min="5890" max="5890" width="20.85546875" style="244" customWidth="1"/>
    <col min="5891" max="5891" width="18.140625" style="244" customWidth="1"/>
    <col min="5892" max="5892" width="9" style="244" customWidth="1"/>
    <col min="5893" max="5893" width="10.140625" style="244" customWidth="1"/>
    <col min="5894" max="5894" width="9.85546875" style="244" customWidth="1"/>
    <col min="5895" max="5895" width="11" style="244" bestFit="1" customWidth="1"/>
    <col min="5896" max="5896" width="8.42578125" style="244" bestFit="1" customWidth="1"/>
    <col min="5897" max="5897" width="10.140625" style="244" customWidth="1"/>
    <col min="5898" max="5898" width="7.85546875" style="244" customWidth="1"/>
    <col min="5899" max="5899" width="9.42578125" style="244" customWidth="1"/>
    <col min="5900" max="6109" width="8.85546875" style="244" customWidth="1"/>
    <col min="6110" max="6110" width="7.42578125" style="244" customWidth="1"/>
    <col min="6111" max="6111" width="13.140625" style="244" customWidth="1"/>
    <col min="6112" max="6112" width="34.140625" style="244" customWidth="1"/>
    <col min="6113" max="6113" width="57.42578125" style="244" customWidth="1"/>
    <col min="6114" max="6114" width="18.140625" style="244" customWidth="1"/>
    <col min="6115" max="6115" width="10.140625" style="244" customWidth="1"/>
    <col min="6116" max="6116" width="9.85546875" style="244" customWidth="1"/>
    <col min="6117" max="6117" width="19.140625" style="244" customWidth="1"/>
    <col min="6118" max="6118" width="9.85546875" style="244" customWidth="1"/>
    <col min="6119" max="6119" width="15.85546875" style="244" customWidth="1"/>
    <col min="6120" max="6122" width="13.42578125" style="244" customWidth="1"/>
    <col min="6123" max="6123" width="6.42578125" style="244" customWidth="1"/>
    <col min="6124" max="6125" width="18.42578125" style="244" customWidth="1"/>
    <col min="6126" max="6126" width="16.85546875" style="244" customWidth="1"/>
    <col min="6127" max="6127" width="8.42578125" style="244" customWidth="1"/>
    <col min="6128" max="6128" width="10.85546875" style="244" customWidth="1"/>
    <col min="6129" max="6129" width="13.42578125" style="244" customWidth="1"/>
    <col min="6130" max="6130" width="20.42578125" style="244" customWidth="1"/>
    <col min="6131" max="6131" width="13.42578125" style="244" customWidth="1"/>
    <col min="6132" max="6132" width="6.42578125" style="244" customWidth="1"/>
    <col min="6133" max="6133" width="18.42578125" style="244" customWidth="1"/>
    <col min="6134" max="6137" width="8.85546875" style="244" customWidth="1"/>
    <col min="6138" max="6138" width="4.85546875" style="244" customWidth="1"/>
    <col min="6139" max="6139" width="8.85546875" style="244" customWidth="1"/>
    <col min="6140" max="6140" width="11.85546875" style="244" customWidth="1"/>
    <col min="6141" max="6141" width="12.85546875" style="244" bestFit="1" customWidth="1"/>
    <col min="6142" max="6142" width="15.85546875" style="244" customWidth="1"/>
    <col min="6143" max="6143" width="27.85546875" style="244" customWidth="1"/>
    <col min="6144" max="6144" width="8.140625" style="244" customWidth="1"/>
    <col min="6145" max="6145" width="45.42578125" style="244" bestFit="1" customWidth="1"/>
    <col min="6146" max="6146" width="20.85546875" style="244" customWidth="1"/>
    <col min="6147" max="6147" width="18.140625" style="244" customWidth="1"/>
    <col min="6148" max="6148" width="9" style="244" customWidth="1"/>
    <col min="6149" max="6149" width="10.140625" style="244" customWidth="1"/>
    <col min="6150" max="6150" width="9.85546875" style="244" customWidth="1"/>
    <col min="6151" max="6151" width="11" style="244" bestFit="1" customWidth="1"/>
    <col min="6152" max="6152" width="8.42578125" style="244" bestFit="1" customWidth="1"/>
    <col min="6153" max="6153" width="10.140625" style="244" customWidth="1"/>
    <col min="6154" max="6154" width="7.85546875" style="244" customWidth="1"/>
    <col min="6155" max="6155" width="9.42578125" style="244" customWidth="1"/>
    <col min="6156" max="6365" width="8.85546875" style="244" customWidth="1"/>
    <col min="6366" max="6366" width="7.42578125" style="244" customWidth="1"/>
    <col min="6367" max="6367" width="13.140625" style="244" customWidth="1"/>
    <col min="6368" max="6368" width="34.140625" style="244" customWidth="1"/>
    <col min="6369" max="6369" width="57.42578125" style="244" customWidth="1"/>
    <col min="6370" max="6370" width="18.140625" style="244" customWidth="1"/>
    <col min="6371" max="6371" width="10.140625" style="244" customWidth="1"/>
    <col min="6372" max="6372" width="9.85546875" style="244" customWidth="1"/>
    <col min="6373" max="6373" width="19.140625" style="244" customWidth="1"/>
    <col min="6374" max="6374" width="9.85546875" style="244" customWidth="1"/>
    <col min="6375" max="6375" width="15.85546875" style="244" customWidth="1"/>
    <col min="6376" max="6378" width="13.42578125" style="244" customWidth="1"/>
    <col min="6379" max="6379" width="6.42578125" style="244" customWidth="1"/>
    <col min="6380" max="6381" width="18.42578125" style="244" customWidth="1"/>
    <col min="6382" max="6382" width="16.85546875" style="244" customWidth="1"/>
    <col min="6383" max="6383" width="8.42578125" style="244" customWidth="1"/>
    <col min="6384" max="6384" width="10.85546875" style="244" customWidth="1"/>
    <col min="6385" max="6385" width="13.42578125" style="244" customWidth="1"/>
    <col min="6386" max="6386" width="20.42578125" style="244" customWidth="1"/>
    <col min="6387" max="6387" width="13.42578125" style="244" customWidth="1"/>
    <col min="6388" max="6388" width="6.42578125" style="244" customWidth="1"/>
    <col min="6389" max="6389" width="18.42578125" style="244" customWidth="1"/>
    <col min="6390" max="6393" width="8.85546875" style="244" customWidth="1"/>
    <col min="6394" max="6394" width="4.85546875" style="244" customWidth="1"/>
    <col min="6395" max="6395" width="8.85546875" style="244" customWidth="1"/>
    <col min="6396" max="6396" width="11.85546875" style="244" customWidth="1"/>
    <col min="6397" max="6397" width="12.85546875" style="244" bestFit="1" customWidth="1"/>
    <col min="6398" max="6398" width="15.85546875" style="244" customWidth="1"/>
    <col min="6399" max="6399" width="27.85546875" style="244" customWidth="1"/>
    <col min="6400" max="6400" width="8.140625" style="244" customWidth="1"/>
    <col min="6401" max="6401" width="45.42578125" style="244" bestFit="1" customWidth="1"/>
    <col min="6402" max="6402" width="20.85546875" style="244" customWidth="1"/>
    <col min="6403" max="6403" width="18.140625" style="244" customWidth="1"/>
    <col min="6404" max="6404" width="9" style="244" customWidth="1"/>
    <col min="6405" max="6405" width="10.140625" style="244" customWidth="1"/>
    <col min="6406" max="6406" width="9.85546875" style="244" customWidth="1"/>
    <col min="6407" max="6407" width="11" style="244" bestFit="1" customWidth="1"/>
    <col min="6408" max="6408" width="8.42578125" style="244" bestFit="1" customWidth="1"/>
    <col min="6409" max="6409" width="10.140625" style="244" customWidth="1"/>
    <col min="6410" max="6410" width="7.85546875" style="244" customWidth="1"/>
    <col min="6411" max="6411" width="9.42578125" style="244" customWidth="1"/>
    <col min="6412" max="6621" width="8.85546875" style="244" customWidth="1"/>
    <col min="6622" max="6622" width="7.42578125" style="244" customWidth="1"/>
    <col min="6623" max="6623" width="13.140625" style="244" customWidth="1"/>
    <col min="6624" max="6624" width="34.140625" style="244" customWidth="1"/>
    <col min="6625" max="6625" width="57.42578125" style="244" customWidth="1"/>
    <col min="6626" max="6626" width="18.140625" style="244" customWidth="1"/>
    <col min="6627" max="6627" width="10.140625" style="244" customWidth="1"/>
    <col min="6628" max="6628" width="9.85546875" style="244" customWidth="1"/>
    <col min="6629" max="6629" width="19.140625" style="244" customWidth="1"/>
    <col min="6630" max="6630" width="9.85546875" style="244" customWidth="1"/>
    <col min="6631" max="6631" width="15.85546875" style="244" customWidth="1"/>
    <col min="6632" max="6634" width="13.42578125" style="244" customWidth="1"/>
    <col min="6635" max="6635" width="6.42578125" style="244" customWidth="1"/>
    <col min="6636" max="6637" width="18.42578125" style="244" customWidth="1"/>
    <col min="6638" max="6638" width="16.85546875" style="244" customWidth="1"/>
    <col min="6639" max="6639" width="8.42578125" style="244" customWidth="1"/>
    <col min="6640" max="6640" width="10.85546875" style="244" customWidth="1"/>
    <col min="6641" max="6641" width="13.42578125" style="244" customWidth="1"/>
    <col min="6642" max="6642" width="20.42578125" style="244" customWidth="1"/>
    <col min="6643" max="6643" width="13.42578125" style="244" customWidth="1"/>
    <col min="6644" max="6644" width="6.42578125" style="244" customWidth="1"/>
    <col min="6645" max="6645" width="18.42578125" style="244" customWidth="1"/>
    <col min="6646" max="6649" width="8.85546875" style="244" customWidth="1"/>
    <col min="6650" max="6650" width="4.85546875" style="244" customWidth="1"/>
    <col min="6651" max="6651" width="8.85546875" style="244" customWidth="1"/>
    <col min="6652" max="6652" width="11.85546875" style="244" customWidth="1"/>
    <col min="6653" max="6653" width="12.85546875" style="244" bestFit="1" customWidth="1"/>
    <col min="6654" max="6654" width="15.85546875" style="244" customWidth="1"/>
    <col min="6655" max="6655" width="27.85546875" style="244" customWidth="1"/>
    <col min="6656" max="6656" width="8.140625" style="244" customWidth="1"/>
    <col min="6657" max="6657" width="45.42578125" style="244" bestFit="1" customWidth="1"/>
    <col min="6658" max="6658" width="20.85546875" style="244" customWidth="1"/>
    <col min="6659" max="6659" width="18.140625" style="244" customWidth="1"/>
    <col min="6660" max="6660" width="9" style="244" customWidth="1"/>
    <col min="6661" max="6661" width="10.140625" style="244" customWidth="1"/>
    <col min="6662" max="6662" width="9.85546875" style="244" customWidth="1"/>
    <col min="6663" max="6663" width="11" style="244" bestFit="1" customWidth="1"/>
    <col min="6664" max="6664" width="8.42578125" style="244" bestFit="1" customWidth="1"/>
    <col min="6665" max="6665" width="10.140625" style="244" customWidth="1"/>
    <col min="6666" max="6666" width="7.85546875" style="244" customWidth="1"/>
    <col min="6667" max="6667" width="9.42578125" style="244" customWidth="1"/>
    <col min="6668" max="6877" width="8.85546875" style="244" customWidth="1"/>
    <col min="6878" max="6878" width="7.42578125" style="244" customWidth="1"/>
    <col min="6879" max="6879" width="13.140625" style="244" customWidth="1"/>
    <col min="6880" max="6880" width="34.140625" style="244" customWidth="1"/>
    <col min="6881" max="6881" width="57.42578125" style="244" customWidth="1"/>
    <col min="6882" max="6882" width="18.140625" style="244" customWidth="1"/>
    <col min="6883" max="6883" width="10.140625" style="244" customWidth="1"/>
    <col min="6884" max="6884" width="9.85546875" style="244" customWidth="1"/>
    <col min="6885" max="6885" width="19.140625" style="244" customWidth="1"/>
    <col min="6886" max="6886" width="9.85546875" style="244" customWidth="1"/>
    <col min="6887" max="6887" width="15.85546875" style="244" customWidth="1"/>
    <col min="6888" max="6890" width="13.42578125" style="244" customWidth="1"/>
    <col min="6891" max="6891" width="6.42578125" style="244" customWidth="1"/>
    <col min="6892" max="6893" width="18.42578125" style="244" customWidth="1"/>
    <col min="6894" max="6894" width="16.85546875" style="244" customWidth="1"/>
    <col min="6895" max="6895" width="8.42578125" style="244" customWidth="1"/>
    <col min="6896" max="6896" width="10.85546875" style="244" customWidth="1"/>
    <col min="6897" max="6897" width="13.42578125" style="244" customWidth="1"/>
    <col min="6898" max="6898" width="20.42578125" style="244" customWidth="1"/>
    <col min="6899" max="6899" width="13.42578125" style="244" customWidth="1"/>
    <col min="6900" max="6900" width="6.42578125" style="244" customWidth="1"/>
    <col min="6901" max="6901" width="18.42578125" style="244" customWidth="1"/>
    <col min="6902" max="6905" width="8.85546875" style="244" customWidth="1"/>
    <col min="6906" max="6906" width="4.85546875" style="244" customWidth="1"/>
    <col min="6907" max="6907" width="8.85546875" style="244" customWidth="1"/>
    <col min="6908" max="6908" width="11.85546875" style="244" customWidth="1"/>
    <col min="6909" max="6909" width="12.85546875" style="244" bestFit="1" customWidth="1"/>
    <col min="6910" max="6910" width="15.85546875" style="244" customWidth="1"/>
    <col min="6911" max="6911" width="27.85546875" style="244" customWidth="1"/>
    <col min="6912" max="6912" width="8.140625" style="244" customWidth="1"/>
    <col min="6913" max="6913" width="45.42578125" style="244" bestFit="1" customWidth="1"/>
    <col min="6914" max="6914" width="20.85546875" style="244" customWidth="1"/>
    <col min="6915" max="6915" width="18.140625" style="244" customWidth="1"/>
    <col min="6916" max="6916" width="9" style="244" customWidth="1"/>
    <col min="6917" max="6917" width="10.140625" style="244" customWidth="1"/>
    <col min="6918" max="6918" width="9.85546875" style="244" customWidth="1"/>
    <col min="6919" max="6919" width="11" style="244" bestFit="1" customWidth="1"/>
    <col min="6920" max="6920" width="8.42578125" style="244" bestFit="1" customWidth="1"/>
    <col min="6921" max="6921" width="10.140625" style="244" customWidth="1"/>
    <col min="6922" max="6922" width="7.85546875" style="244" customWidth="1"/>
    <col min="6923" max="6923" width="9.42578125" style="244" customWidth="1"/>
    <col min="6924" max="7133" width="8.85546875" style="244" customWidth="1"/>
    <col min="7134" max="7134" width="7.42578125" style="244" customWidth="1"/>
    <col min="7135" max="7135" width="13.140625" style="244" customWidth="1"/>
    <col min="7136" max="7136" width="34.140625" style="244" customWidth="1"/>
    <col min="7137" max="7137" width="57.42578125" style="244" customWidth="1"/>
    <col min="7138" max="7138" width="18.140625" style="244" customWidth="1"/>
    <col min="7139" max="7139" width="10.140625" style="244" customWidth="1"/>
    <col min="7140" max="7140" width="9.85546875" style="244" customWidth="1"/>
    <col min="7141" max="7141" width="19.140625" style="244" customWidth="1"/>
    <col min="7142" max="7142" width="9.85546875" style="244" customWidth="1"/>
    <col min="7143" max="7143" width="15.85546875" style="244" customWidth="1"/>
    <col min="7144" max="7146" width="13.42578125" style="244" customWidth="1"/>
    <col min="7147" max="7147" width="6.42578125" style="244" customWidth="1"/>
    <col min="7148" max="7149" width="18.42578125" style="244" customWidth="1"/>
    <col min="7150" max="7150" width="16.85546875" style="244" customWidth="1"/>
    <col min="7151" max="7151" width="8.42578125" style="244" customWidth="1"/>
    <col min="7152" max="7152" width="10.85546875" style="244" customWidth="1"/>
    <col min="7153" max="7153" width="13.42578125" style="244" customWidth="1"/>
    <col min="7154" max="7154" width="20.42578125" style="244" customWidth="1"/>
    <col min="7155" max="7155" width="13.42578125" style="244" customWidth="1"/>
    <col min="7156" max="7156" width="6.42578125" style="244" customWidth="1"/>
    <col min="7157" max="7157" width="18.42578125" style="244" customWidth="1"/>
    <col min="7158" max="7161" width="8.85546875" style="244" customWidth="1"/>
    <col min="7162" max="7162" width="4.85546875" style="244" customWidth="1"/>
    <col min="7163" max="7163" width="8.85546875" style="244" customWidth="1"/>
    <col min="7164" max="7164" width="11.85546875" style="244" customWidth="1"/>
    <col min="7165" max="7165" width="12.85546875" style="244" bestFit="1" customWidth="1"/>
    <col min="7166" max="7166" width="15.85546875" style="244" customWidth="1"/>
    <col min="7167" max="7167" width="27.85546875" style="244" customWidth="1"/>
    <col min="7168" max="7168" width="8.140625" style="244" customWidth="1"/>
    <col min="7169" max="7169" width="45.42578125" style="244" bestFit="1" customWidth="1"/>
    <col min="7170" max="7170" width="20.85546875" style="244" customWidth="1"/>
    <col min="7171" max="7171" width="18.140625" style="244" customWidth="1"/>
    <col min="7172" max="7172" width="9" style="244" customWidth="1"/>
    <col min="7173" max="7173" width="10.140625" style="244" customWidth="1"/>
    <col min="7174" max="7174" width="9.85546875" style="244" customWidth="1"/>
    <col min="7175" max="7175" width="11" style="244" bestFit="1" customWidth="1"/>
    <col min="7176" max="7176" width="8.42578125" style="244" bestFit="1" customWidth="1"/>
    <col min="7177" max="7177" width="10.140625" style="244" customWidth="1"/>
    <col min="7178" max="7178" width="7.85546875" style="244" customWidth="1"/>
    <col min="7179" max="7179" width="9.42578125" style="244" customWidth="1"/>
    <col min="7180" max="7389" width="8.85546875" style="244" customWidth="1"/>
    <col min="7390" max="7390" width="7.42578125" style="244" customWidth="1"/>
    <col min="7391" max="7391" width="13.140625" style="244" customWidth="1"/>
    <col min="7392" max="7392" width="34.140625" style="244" customWidth="1"/>
    <col min="7393" max="7393" width="57.42578125" style="244" customWidth="1"/>
    <col min="7394" max="7394" width="18.140625" style="244" customWidth="1"/>
    <col min="7395" max="7395" width="10.140625" style="244" customWidth="1"/>
    <col min="7396" max="7396" width="9.85546875" style="244" customWidth="1"/>
    <col min="7397" max="7397" width="19.140625" style="244" customWidth="1"/>
    <col min="7398" max="7398" width="9.85546875" style="244" customWidth="1"/>
    <col min="7399" max="7399" width="15.85546875" style="244" customWidth="1"/>
    <col min="7400" max="7402" width="13.42578125" style="244" customWidth="1"/>
    <col min="7403" max="7403" width="6.42578125" style="244" customWidth="1"/>
    <col min="7404" max="7405" width="18.42578125" style="244" customWidth="1"/>
    <col min="7406" max="7406" width="16.85546875" style="244" customWidth="1"/>
    <col min="7407" max="7407" width="8.42578125" style="244" customWidth="1"/>
    <col min="7408" max="7408" width="10.85546875" style="244" customWidth="1"/>
    <col min="7409" max="7409" width="13.42578125" style="244" customWidth="1"/>
    <col min="7410" max="7410" width="20.42578125" style="244" customWidth="1"/>
    <col min="7411" max="7411" width="13.42578125" style="244" customWidth="1"/>
    <col min="7412" max="7412" width="6.42578125" style="244" customWidth="1"/>
    <col min="7413" max="7413" width="18.42578125" style="244" customWidth="1"/>
    <col min="7414" max="7417" width="8.85546875" style="244" customWidth="1"/>
    <col min="7418" max="7418" width="4.85546875" style="244" customWidth="1"/>
    <col min="7419" max="7419" width="8.85546875" style="244" customWidth="1"/>
    <col min="7420" max="7420" width="11.85546875" style="244" customWidth="1"/>
    <col min="7421" max="7421" width="12.85546875" style="244" bestFit="1" customWidth="1"/>
    <col min="7422" max="7422" width="15.85546875" style="244" customWidth="1"/>
    <col min="7423" max="7423" width="27.85546875" style="244" customWidth="1"/>
    <col min="7424" max="7424" width="8.140625" style="244" customWidth="1"/>
    <col min="7425" max="7425" width="45.42578125" style="244" bestFit="1" customWidth="1"/>
    <col min="7426" max="7426" width="20.85546875" style="244" customWidth="1"/>
    <col min="7427" max="7427" width="18.140625" style="244" customWidth="1"/>
    <col min="7428" max="7428" width="9" style="244" customWidth="1"/>
    <col min="7429" max="7429" width="10.140625" style="244" customWidth="1"/>
    <col min="7430" max="7430" width="9.85546875" style="244" customWidth="1"/>
    <col min="7431" max="7431" width="11" style="244" bestFit="1" customWidth="1"/>
    <col min="7432" max="7432" width="8.42578125" style="244" bestFit="1" customWidth="1"/>
    <col min="7433" max="7433" width="10.140625" style="244" customWidth="1"/>
    <col min="7434" max="7434" width="7.85546875" style="244" customWidth="1"/>
    <col min="7435" max="7435" width="9.42578125" style="244" customWidth="1"/>
    <col min="7436" max="7645" width="8.85546875" style="244" customWidth="1"/>
    <col min="7646" max="7646" width="7.42578125" style="244" customWidth="1"/>
    <col min="7647" max="7647" width="13.140625" style="244" customWidth="1"/>
    <col min="7648" max="7648" width="34.140625" style="244" customWidth="1"/>
    <col min="7649" max="7649" width="57.42578125" style="244" customWidth="1"/>
    <col min="7650" max="7650" width="18.140625" style="244" customWidth="1"/>
    <col min="7651" max="7651" width="10.140625" style="244" customWidth="1"/>
    <col min="7652" max="7652" width="9.85546875" style="244" customWidth="1"/>
    <col min="7653" max="7653" width="19.140625" style="244" customWidth="1"/>
    <col min="7654" max="7654" width="9.85546875" style="244" customWidth="1"/>
    <col min="7655" max="7655" width="15.85546875" style="244" customWidth="1"/>
    <col min="7656" max="7658" width="13.42578125" style="244" customWidth="1"/>
    <col min="7659" max="7659" width="6.42578125" style="244" customWidth="1"/>
    <col min="7660" max="7661" width="18.42578125" style="244" customWidth="1"/>
    <col min="7662" max="7662" width="16.85546875" style="244" customWidth="1"/>
    <col min="7663" max="7663" width="8.42578125" style="244" customWidth="1"/>
    <col min="7664" max="7664" width="10.85546875" style="244" customWidth="1"/>
    <col min="7665" max="7665" width="13.42578125" style="244" customWidth="1"/>
    <col min="7666" max="7666" width="20.42578125" style="244" customWidth="1"/>
    <col min="7667" max="7667" width="13.42578125" style="244" customWidth="1"/>
    <col min="7668" max="7668" width="6.42578125" style="244" customWidth="1"/>
    <col min="7669" max="7669" width="18.42578125" style="244" customWidth="1"/>
    <col min="7670" max="7673" width="8.85546875" style="244" customWidth="1"/>
    <col min="7674" max="7674" width="4.85546875" style="244" customWidth="1"/>
    <col min="7675" max="7675" width="8.85546875" style="244" customWidth="1"/>
    <col min="7676" max="7676" width="11.85546875" style="244" customWidth="1"/>
    <col min="7677" max="7677" width="12.85546875" style="244" bestFit="1" customWidth="1"/>
    <col min="7678" max="7678" width="15.85546875" style="244" customWidth="1"/>
    <col min="7679" max="7679" width="27.85546875" style="244" customWidth="1"/>
    <col min="7680" max="7680" width="8.140625" style="244" customWidth="1"/>
    <col min="7681" max="7681" width="45.42578125" style="244" bestFit="1" customWidth="1"/>
    <col min="7682" max="7682" width="20.85546875" style="244" customWidth="1"/>
    <col min="7683" max="7683" width="18.140625" style="244" customWidth="1"/>
    <col min="7684" max="7684" width="9" style="244" customWidth="1"/>
    <col min="7685" max="7685" width="10.140625" style="244" customWidth="1"/>
    <col min="7686" max="7686" width="9.85546875" style="244" customWidth="1"/>
    <col min="7687" max="7687" width="11" style="244" bestFit="1" customWidth="1"/>
    <col min="7688" max="7688" width="8.42578125" style="244" bestFit="1" customWidth="1"/>
    <col min="7689" max="7689" width="10.140625" style="244" customWidth="1"/>
    <col min="7690" max="7690" width="7.85546875" style="244" customWidth="1"/>
    <col min="7691" max="7691" width="9.42578125" style="244" customWidth="1"/>
    <col min="7692" max="7901" width="8.85546875" style="244" customWidth="1"/>
    <col min="7902" max="7902" width="7.42578125" style="244" customWidth="1"/>
    <col min="7903" max="7903" width="13.140625" style="244" customWidth="1"/>
    <col min="7904" max="7904" width="34.140625" style="244" customWidth="1"/>
    <col min="7905" max="7905" width="57.42578125" style="244" customWidth="1"/>
    <col min="7906" max="7906" width="18.140625" style="244" customWidth="1"/>
    <col min="7907" max="7907" width="10.140625" style="244" customWidth="1"/>
    <col min="7908" max="7908" width="9.85546875" style="244" customWidth="1"/>
    <col min="7909" max="7909" width="19.140625" style="244" customWidth="1"/>
    <col min="7910" max="7910" width="9.85546875" style="244" customWidth="1"/>
    <col min="7911" max="7911" width="15.85546875" style="244" customWidth="1"/>
    <col min="7912" max="7914" width="13.42578125" style="244" customWidth="1"/>
    <col min="7915" max="7915" width="6.42578125" style="244" customWidth="1"/>
    <col min="7916" max="7917" width="18.42578125" style="244" customWidth="1"/>
    <col min="7918" max="7918" width="16.85546875" style="244" customWidth="1"/>
    <col min="7919" max="7919" width="8.42578125" style="244" customWidth="1"/>
    <col min="7920" max="7920" width="10.85546875" style="244" customWidth="1"/>
    <col min="7921" max="7921" width="13.42578125" style="244" customWidth="1"/>
    <col min="7922" max="7922" width="20.42578125" style="244" customWidth="1"/>
    <col min="7923" max="7923" width="13.42578125" style="244" customWidth="1"/>
    <col min="7924" max="7924" width="6.42578125" style="244" customWidth="1"/>
    <col min="7925" max="7925" width="18.42578125" style="244" customWidth="1"/>
    <col min="7926" max="7929" width="8.85546875" style="244" customWidth="1"/>
    <col min="7930" max="7930" width="4.85546875" style="244" customWidth="1"/>
    <col min="7931" max="7931" width="8.85546875" style="244" customWidth="1"/>
    <col min="7932" max="7932" width="11.85546875" style="244" customWidth="1"/>
    <col min="7933" max="7933" width="12.85546875" style="244" bestFit="1" customWidth="1"/>
    <col min="7934" max="7934" width="15.85546875" style="244" customWidth="1"/>
    <col min="7935" max="7935" width="27.85546875" style="244" customWidth="1"/>
    <col min="7936" max="7936" width="8.140625" style="244" customWidth="1"/>
    <col min="7937" max="7937" width="45.42578125" style="244" bestFit="1" customWidth="1"/>
    <col min="7938" max="7938" width="20.85546875" style="244" customWidth="1"/>
    <col min="7939" max="7939" width="18.140625" style="244" customWidth="1"/>
    <col min="7940" max="7940" width="9" style="244" customWidth="1"/>
    <col min="7941" max="7941" width="10.140625" style="244" customWidth="1"/>
    <col min="7942" max="7942" width="9.85546875" style="244" customWidth="1"/>
    <col min="7943" max="7943" width="11" style="244" bestFit="1" customWidth="1"/>
    <col min="7944" max="7944" width="8.42578125" style="244" bestFit="1" customWidth="1"/>
    <col min="7945" max="7945" width="10.140625" style="244" customWidth="1"/>
    <col min="7946" max="7946" width="7.85546875" style="244" customWidth="1"/>
    <col min="7947" max="7947" width="9.42578125" style="244" customWidth="1"/>
    <col min="7948" max="8157" width="8.85546875" style="244" customWidth="1"/>
    <col min="8158" max="8158" width="7.42578125" style="244" customWidth="1"/>
    <col min="8159" max="8159" width="13.140625" style="244" customWidth="1"/>
    <col min="8160" max="8160" width="34.140625" style="244" customWidth="1"/>
    <col min="8161" max="8161" width="57.42578125" style="244" customWidth="1"/>
    <col min="8162" max="8162" width="18.140625" style="244" customWidth="1"/>
    <col min="8163" max="8163" width="10.140625" style="244" customWidth="1"/>
    <col min="8164" max="8164" width="9.85546875" style="244" customWidth="1"/>
    <col min="8165" max="8165" width="19.140625" style="244" customWidth="1"/>
    <col min="8166" max="8166" width="9.85546875" style="244" customWidth="1"/>
    <col min="8167" max="8167" width="15.85546875" style="244" customWidth="1"/>
    <col min="8168" max="8170" width="13.42578125" style="244" customWidth="1"/>
    <col min="8171" max="8171" width="6.42578125" style="244" customWidth="1"/>
    <col min="8172" max="8173" width="18.42578125" style="244" customWidth="1"/>
    <col min="8174" max="8174" width="16.85546875" style="244" customWidth="1"/>
    <col min="8175" max="8175" width="8.42578125" style="244" customWidth="1"/>
    <col min="8176" max="8176" width="10.85546875" style="244" customWidth="1"/>
    <col min="8177" max="8177" width="13.42578125" style="244" customWidth="1"/>
    <col min="8178" max="8178" width="20.42578125" style="244" customWidth="1"/>
    <col min="8179" max="8179" width="13.42578125" style="244" customWidth="1"/>
    <col min="8180" max="8180" width="6.42578125" style="244" customWidth="1"/>
    <col min="8181" max="8181" width="18.42578125" style="244" customWidth="1"/>
    <col min="8182" max="8185" width="8.85546875" style="244" customWidth="1"/>
    <col min="8186" max="8186" width="4.85546875" style="244" customWidth="1"/>
    <col min="8187" max="8187" width="8.85546875" style="244" customWidth="1"/>
    <col min="8188" max="8188" width="11.85546875" style="244" customWidth="1"/>
    <col min="8189" max="8189" width="12.85546875" style="244" bestFit="1" customWidth="1"/>
    <col min="8190" max="8190" width="15.85546875" style="244" customWidth="1"/>
    <col min="8191" max="8191" width="27.85546875" style="244" customWidth="1"/>
    <col min="8192" max="8192" width="8.140625" style="244" customWidth="1"/>
    <col min="8193" max="8193" width="45.42578125" style="244" bestFit="1" customWidth="1"/>
    <col min="8194" max="8194" width="20.85546875" style="244" customWidth="1"/>
    <col min="8195" max="8195" width="18.140625" style="244" customWidth="1"/>
    <col min="8196" max="8196" width="9" style="244" customWidth="1"/>
    <col min="8197" max="8197" width="10.140625" style="244" customWidth="1"/>
    <col min="8198" max="8198" width="9.85546875" style="244" customWidth="1"/>
    <col min="8199" max="8199" width="11" style="244" bestFit="1" customWidth="1"/>
    <col min="8200" max="8200" width="8.42578125" style="244" bestFit="1" customWidth="1"/>
    <col min="8201" max="8201" width="10.140625" style="244" customWidth="1"/>
    <col min="8202" max="8202" width="7.85546875" style="244" customWidth="1"/>
    <col min="8203" max="8203" width="9.42578125" style="244" customWidth="1"/>
    <col min="8204" max="8413" width="8.85546875" style="244" customWidth="1"/>
    <col min="8414" max="8414" width="7.42578125" style="244" customWidth="1"/>
    <col min="8415" max="8415" width="13.140625" style="244" customWidth="1"/>
    <col min="8416" max="8416" width="34.140625" style="244" customWidth="1"/>
    <col min="8417" max="8417" width="57.42578125" style="244" customWidth="1"/>
    <col min="8418" max="8418" width="18.140625" style="244" customWidth="1"/>
    <col min="8419" max="8419" width="10.140625" style="244" customWidth="1"/>
    <col min="8420" max="8420" width="9.85546875" style="244" customWidth="1"/>
    <col min="8421" max="8421" width="19.140625" style="244" customWidth="1"/>
    <col min="8422" max="8422" width="9.85546875" style="244" customWidth="1"/>
    <col min="8423" max="8423" width="15.85546875" style="244" customWidth="1"/>
    <col min="8424" max="8426" width="13.42578125" style="244" customWidth="1"/>
    <col min="8427" max="8427" width="6.42578125" style="244" customWidth="1"/>
    <col min="8428" max="8429" width="18.42578125" style="244" customWidth="1"/>
    <col min="8430" max="8430" width="16.85546875" style="244" customWidth="1"/>
    <col min="8431" max="8431" width="8.42578125" style="244" customWidth="1"/>
    <col min="8432" max="8432" width="10.85546875" style="244" customWidth="1"/>
    <col min="8433" max="8433" width="13.42578125" style="244" customWidth="1"/>
    <col min="8434" max="8434" width="20.42578125" style="244" customWidth="1"/>
    <col min="8435" max="8435" width="13.42578125" style="244" customWidth="1"/>
    <col min="8436" max="8436" width="6.42578125" style="244" customWidth="1"/>
    <col min="8437" max="8437" width="18.42578125" style="244" customWidth="1"/>
    <col min="8438" max="8441" width="8.85546875" style="244" customWidth="1"/>
    <col min="8442" max="8442" width="4.85546875" style="244" customWidth="1"/>
    <col min="8443" max="8443" width="8.85546875" style="244" customWidth="1"/>
    <col min="8444" max="8444" width="11.85546875" style="244" customWidth="1"/>
    <col min="8445" max="8445" width="12.85546875" style="244" bestFit="1" customWidth="1"/>
    <col min="8446" max="8446" width="15.85546875" style="244" customWidth="1"/>
    <col min="8447" max="8447" width="27.85546875" style="244" customWidth="1"/>
    <col min="8448" max="8448" width="8.140625" style="244" customWidth="1"/>
    <col min="8449" max="8449" width="45.42578125" style="244" bestFit="1" customWidth="1"/>
    <col min="8450" max="8450" width="20.85546875" style="244" customWidth="1"/>
    <col min="8451" max="8451" width="18.140625" style="244" customWidth="1"/>
    <col min="8452" max="8452" width="9" style="244" customWidth="1"/>
    <col min="8453" max="8453" width="10.140625" style="244" customWidth="1"/>
    <col min="8454" max="8454" width="9.85546875" style="244" customWidth="1"/>
    <col min="8455" max="8455" width="11" style="244" bestFit="1" customWidth="1"/>
    <col min="8456" max="8456" width="8.42578125" style="244" bestFit="1" customWidth="1"/>
    <col min="8457" max="8457" width="10.140625" style="244" customWidth="1"/>
    <col min="8458" max="8458" width="7.85546875" style="244" customWidth="1"/>
    <col min="8459" max="8459" width="9.42578125" style="244" customWidth="1"/>
    <col min="8460" max="8669" width="8.85546875" style="244" customWidth="1"/>
    <col min="8670" max="8670" width="7.42578125" style="244" customWidth="1"/>
    <col min="8671" max="8671" width="13.140625" style="244" customWidth="1"/>
    <col min="8672" max="8672" width="34.140625" style="244" customWidth="1"/>
    <col min="8673" max="8673" width="57.42578125" style="244" customWidth="1"/>
    <col min="8674" max="8674" width="18.140625" style="244" customWidth="1"/>
    <col min="8675" max="8675" width="10.140625" style="244" customWidth="1"/>
    <col min="8676" max="8676" width="9.85546875" style="244" customWidth="1"/>
    <col min="8677" max="8677" width="19.140625" style="244" customWidth="1"/>
    <col min="8678" max="8678" width="9.85546875" style="244" customWidth="1"/>
    <col min="8679" max="8679" width="15.85546875" style="244" customWidth="1"/>
    <col min="8680" max="8682" width="13.42578125" style="244" customWidth="1"/>
    <col min="8683" max="8683" width="6.42578125" style="244" customWidth="1"/>
    <col min="8684" max="8685" width="18.42578125" style="244" customWidth="1"/>
    <col min="8686" max="8686" width="16.85546875" style="244" customWidth="1"/>
    <col min="8687" max="8687" width="8.42578125" style="244" customWidth="1"/>
    <col min="8688" max="8688" width="10.85546875" style="244" customWidth="1"/>
    <col min="8689" max="8689" width="13.42578125" style="244" customWidth="1"/>
    <col min="8690" max="8690" width="20.42578125" style="244" customWidth="1"/>
    <col min="8691" max="8691" width="13.42578125" style="244" customWidth="1"/>
    <col min="8692" max="8692" width="6.42578125" style="244" customWidth="1"/>
    <col min="8693" max="8693" width="18.42578125" style="244" customWidth="1"/>
    <col min="8694" max="8697" width="8.85546875" style="244" customWidth="1"/>
    <col min="8698" max="8698" width="4.85546875" style="244" customWidth="1"/>
    <col min="8699" max="8699" width="8.85546875" style="244" customWidth="1"/>
    <col min="8700" max="8700" width="11.85546875" style="244" customWidth="1"/>
    <col min="8701" max="8701" width="12.85546875" style="244" bestFit="1" customWidth="1"/>
    <col min="8702" max="8702" width="15.85546875" style="244" customWidth="1"/>
    <col min="8703" max="8703" width="27.85546875" style="244" customWidth="1"/>
    <col min="8704" max="8704" width="8.140625" style="244" customWidth="1"/>
    <col min="8705" max="8705" width="45.42578125" style="244" bestFit="1" customWidth="1"/>
    <col min="8706" max="8706" width="20.85546875" style="244" customWidth="1"/>
    <col min="8707" max="8707" width="18.140625" style="244" customWidth="1"/>
    <col min="8708" max="8708" width="9" style="244" customWidth="1"/>
    <col min="8709" max="8709" width="10.140625" style="244" customWidth="1"/>
    <col min="8710" max="8710" width="9.85546875" style="244" customWidth="1"/>
    <col min="8711" max="8711" width="11" style="244" bestFit="1" customWidth="1"/>
    <col min="8712" max="8712" width="8.42578125" style="244" bestFit="1" customWidth="1"/>
    <col min="8713" max="8713" width="10.140625" style="244" customWidth="1"/>
    <col min="8714" max="8714" width="7.85546875" style="244" customWidth="1"/>
    <col min="8715" max="8715" width="9.42578125" style="244" customWidth="1"/>
    <col min="8716" max="8925" width="8.85546875" style="244" customWidth="1"/>
    <col min="8926" max="8926" width="7.42578125" style="244" customWidth="1"/>
    <col min="8927" max="8927" width="13.140625" style="244" customWidth="1"/>
    <col min="8928" max="8928" width="34.140625" style="244" customWidth="1"/>
    <col min="8929" max="8929" width="57.42578125" style="244" customWidth="1"/>
    <col min="8930" max="8930" width="18.140625" style="244" customWidth="1"/>
    <col min="8931" max="8931" width="10.140625" style="244" customWidth="1"/>
    <col min="8932" max="8932" width="9.85546875" style="244" customWidth="1"/>
    <col min="8933" max="8933" width="19.140625" style="244" customWidth="1"/>
    <col min="8934" max="8934" width="9.85546875" style="244" customWidth="1"/>
    <col min="8935" max="8935" width="15.85546875" style="244" customWidth="1"/>
    <col min="8936" max="8938" width="13.42578125" style="244" customWidth="1"/>
    <col min="8939" max="8939" width="6.42578125" style="244" customWidth="1"/>
    <col min="8940" max="8941" width="18.42578125" style="244" customWidth="1"/>
    <col min="8942" max="8942" width="16.85546875" style="244" customWidth="1"/>
    <col min="8943" max="8943" width="8.42578125" style="244" customWidth="1"/>
    <col min="8944" max="8944" width="10.85546875" style="244" customWidth="1"/>
    <col min="8945" max="8945" width="13.42578125" style="244" customWidth="1"/>
    <col min="8946" max="8946" width="20.42578125" style="244" customWidth="1"/>
    <col min="8947" max="8947" width="13.42578125" style="244" customWidth="1"/>
    <col min="8948" max="8948" width="6.42578125" style="244" customWidth="1"/>
    <col min="8949" max="8949" width="18.42578125" style="244" customWidth="1"/>
    <col min="8950" max="8953" width="8.85546875" style="244" customWidth="1"/>
    <col min="8954" max="8954" width="4.85546875" style="244" customWidth="1"/>
    <col min="8955" max="8955" width="8.85546875" style="244" customWidth="1"/>
    <col min="8956" max="8956" width="11.85546875" style="244" customWidth="1"/>
    <col min="8957" max="8957" width="12.85546875" style="244" bestFit="1" customWidth="1"/>
    <col min="8958" max="8958" width="15.85546875" style="244" customWidth="1"/>
    <col min="8959" max="8959" width="27.85546875" style="244" customWidth="1"/>
    <col min="8960" max="8960" width="8.140625" style="244" customWidth="1"/>
    <col min="8961" max="8961" width="45.42578125" style="244" bestFit="1" customWidth="1"/>
    <col min="8962" max="8962" width="20.85546875" style="244" customWidth="1"/>
    <col min="8963" max="8963" width="18.140625" style="244" customWidth="1"/>
    <col min="8964" max="8964" width="9" style="244" customWidth="1"/>
    <col min="8965" max="8965" width="10.140625" style="244" customWidth="1"/>
    <col min="8966" max="8966" width="9.85546875" style="244" customWidth="1"/>
    <col min="8967" max="8967" width="11" style="244" bestFit="1" customWidth="1"/>
    <col min="8968" max="8968" width="8.42578125" style="244" bestFit="1" customWidth="1"/>
    <col min="8969" max="8969" width="10.140625" style="244" customWidth="1"/>
    <col min="8970" max="8970" width="7.85546875" style="244" customWidth="1"/>
    <col min="8971" max="8971" width="9.42578125" style="244" customWidth="1"/>
    <col min="8972" max="9181" width="8.85546875" style="244" customWidth="1"/>
    <col min="9182" max="9182" width="7.42578125" style="244" customWidth="1"/>
    <col min="9183" max="9183" width="13.140625" style="244" customWidth="1"/>
    <col min="9184" max="9184" width="34.140625" style="244" customWidth="1"/>
    <col min="9185" max="9185" width="57.42578125" style="244" customWidth="1"/>
    <col min="9186" max="9186" width="18.140625" style="244" customWidth="1"/>
    <col min="9187" max="9187" width="10.140625" style="244" customWidth="1"/>
    <col min="9188" max="9188" width="9.85546875" style="244" customWidth="1"/>
    <col min="9189" max="9189" width="19.140625" style="244" customWidth="1"/>
    <col min="9190" max="9190" width="9.85546875" style="244" customWidth="1"/>
    <col min="9191" max="9191" width="15.85546875" style="244" customWidth="1"/>
    <col min="9192" max="9194" width="13.42578125" style="244" customWidth="1"/>
    <col min="9195" max="9195" width="6.42578125" style="244" customWidth="1"/>
    <col min="9196" max="9197" width="18.42578125" style="244" customWidth="1"/>
    <col min="9198" max="9198" width="16.85546875" style="244" customWidth="1"/>
    <col min="9199" max="9199" width="8.42578125" style="244" customWidth="1"/>
    <col min="9200" max="9200" width="10.85546875" style="244" customWidth="1"/>
    <col min="9201" max="9201" width="13.42578125" style="244" customWidth="1"/>
    <col min="9202" max="9202" width="20.42578125" style="244" customWidth="1"/>
    <col min="9203" max="9203" width="13.42578125" style="244" customWidth="1"/>
    <col min="9204" max="9204" width="6.42578125" style="244" customWidth="1"/>
    <col min="9205" max="9205" width="18.42578125" style="244" customWidth="1"/>
    <col min="9206" max="9209" width="8.85546875" style="244" customWidth="1"/>
    <col min="9210" max="9210" width="4.85546875" style="244" customWidth="1"/>
    <col min="9211" max="9211" width="8.85546875" style="244" customWidth="1"/>
    <col min="9212" max="9212" width="11.85546875" style="244" customWidth="1"/>
    <col min="9213" max="9213" width="12.85546875" style="244" bestFit="1" customWidth="1"/>
    <col min="9214" max="9214" width="15.85546875" style="244" customWidth="1"/>
    <col min="9215" max="9215" width="27.85546875" style="244" customWidth="1"/>
    <col min="9216" max="9216" width="8.140625" style="244" customWidth="1"/>
    <col min="9217" max="9217" width="45.42578125" style="244" bestFit="1" customWidth="1"/>
    <col min="9218" max="9218" width="20.85546875" style="244" customWidth="1"/>
    <col min="9219" max="9219" width="18.140625" style="244" customWidth="1"/>
    <col min="9220" max="9220" width="9" style="244" customWidth="1"/>
    <col min="9221" max="9221" width="10.140625" style="244" customWidth="1"/>
    <col min="9222" max="9222" width="9.85546875" style="244" customWidth="1"/>
    <col min="9223" max="9223" width="11" style="244" bestFit="1" customWidth="1"/>
    <col min="9224" max="9224" width="8.42578125" style="244" bestFit="1" customWidth="1"/>
    <col min="9225" max="9225" width="10.140625" style="244" customWidth="1"/>
    <col min="9226" max="9226" width="7.85546875" style="244" customWidth="1"/>
    <col min="9227" max="9227" width="9.42578125" style="244" customWidth="1"/>
    <col min="9228" max="9437" width="8.85546875" style="244" customWidth="1"/>
    <col min="9438" max="9438" width="7.42578125" style="244" customWidth="1"/>
    <col min="9439" max="9439" width="13.140625" style="244" customWidth="1"/>
    <col min="9440" max="9440" width="34.140625" style="244" customWidth="1"/>
    <col min="9441" max="9441" width="57.42578125" style="244" customWidth="1"/>
    <col min="9442" max="9442" width="18.140625" style="244" customWidth="1"/>
    <col min="9443" max="9443" width="10.140625" style="244" customWidth="1"/>
    <col min="9444" max="9444" width="9.85546875" style="244" customWidth="1"/>
    <col min="9445" max="9445" width="19.140625" style="244" customWidth="1"/>
    <col min="9446" max="9446" width="9.85546875" style="244" customWidth="1"/>
    <col min="9447" max="9447" width="15.85546875" style="244" customWidth="1"/>
    <col min="9448" max="9450" width="13.42578125" style="244" customWidth="1"/>
    <col min="9451" max="9451" width="6.42578125" style="244" customWidth="1"/>
    <col min="9452" max="9453" width="18.42578125" style="244" customWidth="1"/>
    <col min="9454" max="9454" width="16.85546875" style="244" customWidth="1"/>
    <col min="9455" max="9455" width="8.42578125" style="244" customWidth="1"/>
    <col min="9456" max="9456" width="10.85546875" style="244" customWidth="1"/>
    <col min="9457" max="9457" width="13.42578125" style="244" customWidth="1"/>
    <col min="9458" max="9458" width="20.42578125" style="244" customWidth="1"/>
    <col min="9459" max="9459" width="13.42578125" style="244" customWidth="1"/>
    <col min="9460" max="9460" width="6.42578125" style="244" customWidth="1"/>
    <col min="9461" max="9461" width="18.42578125" style="244" customWidth="1"/>
    <col min="9462" max="9465" width="8.85546875" style="244" customWidth="1"/>
    <col min="9466" max="9466" width="4.85546875" style="244" customWidth="1"/>
    <col min="9467" max="9467" width="8.85546875" style="244" customWidth="1"/>
    <col min="9468" max="9468" width="11.85546875" style="244" customWidth="1"/>
    <col min="9469" max="9469" width="12.85546875" style="244" bestFit="1" customWidth="1"/>
    <col min="9470" max="9470" width="15.85546875" style="244" customWidth="1"/>
    <col min="9471" max="9471" width="27.85546875" style="244" customWidth="1"/>
    <col min="9472" max="9472" width="8.140625" style="244" customWidth="1"/>
    <col min="9473" max="9473" width="45.42578125" style="244" bestFit="1" customWidth="1"/>
    <col min="9474" max="9474" width="20.85546875" style="244" customWidth="1"/>
    <col min="9475" max="9475" width="18.140625" style="244" customWidth="1"/>
    <col min="9476" max="9476" width="9" style="244" customWidth="1"/>
    <col min="9477" max="9477" width="10.140625" style="244" customWidth="1"/>
    <col min="9478" max="9478" width="9.85546875" style="244" customWidth="1"/>
    <col min="9479" max="9479" width="11" style="244" bestFit="1" customWidth="1"/>
    <col min="9480" max="9480" width="8.42578125" style="244" bestFit="1" customWidth="1"/>
    <col min="9481" max="9481" width="10.140625" style="244" customWidth="1"/>
    <col min="9482" max="9482" width="7.85546875" style="244" customWidth="1"/>
    <col min="9483" max="9483" width="9.42578125" style="244" customWidth="1"/>
    <col min="9484" max="9693" width="8.85546875" style="244" customWidth="1"/>
    <col min="9694" max="9694" width="7.42578125" style="244" customWidth="1"/>
    <col min="9695" max="9695" width="13.140625" style="244" customWidth="1"/>
    <col min="9696" max="9696" width="34.140625" style="244" customWidth="1"/>
    <col min="9697" max="9697" width="57.42578125" style="244" customWidth="1"/>
    <col min="9698" max="9698" width="18.140625" style="244" customWidth="1"/>
    <col min="9699" max="9699" width="10.140625" style="244" customWidth="1"/>
    <col min="9700" max="9700" width="9.85546875" style="244" customWidth="1"/>
    <col min="9701" max="9701" width="19.140625" style="244" customWidth="1"/>
    <col min="9702" max="9702" width="9.85546875" style="244" customWidth="1"/>
    <col min="9703" max="9703" width="15.85546875" style="244" customWidth="1"/>
    <col min="9704" max="9706" width="13.42578125" style="244" customWidth="1"/>
    <col min="9707" max="9707" width="6.42578125" style="244" customWidth="1"/>
    <col min="9708" max="9709" width="18.42578125" style="244" customWidth="1"/>
    <col min="9710" max="9710" width="16.85546875" style="244" customWidth="1"/>
    <col min="9711" max="9711" width="8.42578125" style="244" customWidth="1"/>
    <col min="9712" max="9712" width="10.85546875" style="244" customWidth="1"/>
    <col min="9713" max="9713" width="13.42578125" style="244" customWidth="1"/>
    <col min="9714" max="9714" width="20.42578125" style="244" customWidth="1"/>
    <col min="9715" max="9715" width="13.42578125" style="244" customWidth="1"/>
    <col min="9716" max="9716" width="6.42578125" style="244" customWidth="1"/>
    <col min="9717" max="9717" width="18.42578125" style="244" customWidth="1"/>
    <col min="9718" max="9721" width="8.85546875" style="244" customWidth="1"/>
    <col min="9722" max="9722" width="4.85546875" style="244" customWidth="1"/>
    <col min="9723" max="9723" width="8.85546875" style="244" customWidth="1"/>
    <col min="9724" max="9724" width="11.85546875" style="244" customWidth="1"/>
    <col min="9725" max="9725" width="12.85546875" style="244" bestFit="1" customWidth="1"/>
    <col min="9726" max="9726" width="15.85546875" style="244" customWidth="1"/>
    <col min="9727" max="9727" width="27.85546875" style="244" customWidth="1"/>
    <col min="9728" max="9728" width="8.140625" style="244" customWidth="1"/>
    <col min="9729" max="9729" width="45.42578125" style="244" bestFit="1" customWidth="1"/>
    <col min="9730" max="9730" width="20.85546875" style="244" customWidth="1"/>
    <col min="9731" max="9731" width="18.140625" style="244" customWidth="1"/>
    <col min="9732" max="9732" width="9" style="244" customWidth="1"/>
    <col min="9733" max="9733" width="10.140625" style="244" customWidth="1"/>
    <col min="9734" max="9734" width="9.85546875" style="244" customWidth="1"/>
    <col min="9735" max="9735" width="11" style="244" bestFit="1" customWidth="1"/>
    <col min="9736" max="9736" width="8.42578125" style="244" bestFit="1" customWidth="1"/>
    <col min="9737" max="9737" width="10.140625" style="244" customWidth="1"/>
    <col min="9738" max="9738" width="7.85546875" style="244" customWidth="1"/>
    <col min="9739" max="9739" width="9.42578125" style="244" customWidth="1"/>
    <col min="9740" max="9949" width="8.85546875" style="244" customWidth="1"/>
    <col min="9950" max="9950" width="7.42578125" style="244" customWidth="1"/>
    <col min="9951" max="9951" width="13.140625" style="244" customWidth="1"/>
    <col min="9952" max="9952" width="34.140625" style="244" customWidth="1"/>
    <col min="9953" max="9953" width="57.42578125" style="244" customWidth="1"/>
    <col min="9954" max="9954" width="18.140625" style="244" customWidth="1"/>
    <col min="9955" max="9955" width="10.140625" style="244" customWidth="1"/>
    <col min="9956" max="9956" width="9.85546875" style="244" customWidth="1"/>
    <col min="9957" max="9957" width="19.140625" style="244" customWidth="1"/>
    <col min="9958" max="9958" width="9.85546875" style="244" customWidth="1"/>
    <col min="9959" max="9959" width="15.85546875" style="244" customWidth="1"/>
    <col min="9960" max="9962" width="13.42578125" style="244" customWidth="1"/>
    <col min="9963" max="9963" width="6.42578125" style="244" customWidth="1"/>
    <col min="9964" max="9965" width="18.42578125" style="244" customWidth="1"/>
    <col min="9966" max="9966" width="16.85546875" style="244" customWidth="1"/>
    <col min="9967" max="9967" width="8.42578125" style="244" customWidth="1"/>
    <col min="9968" max="9968" width="10.85546875" style="244" customWidth="1"/>
    <col min="9969" max="9969" width="13.42578125" style="244" customWidth="1"/>
    <col min="9970" max="9970" width="20.42578125" style="244" customWidth="1"/>
    <col min="9971" max="9971" width="13.42578125" style="244" customWidth="1"/>
    <col min="9972" max="9972" width="6.42578125" style="244" customWidth="1"/>
    <col min="9973" max="9973" width="18.42578125" style="244" customWidth="1"/>
    <col min="9974" max="9977" width="8.85546875" style="244" customWidth="1"/>
    <col min="9978" max="9978" width="4.85546875" style="244" customWidth="1"/>
    <col min="9979" max="9979" width="8.85546875" style="244" customWidth="1"/>
    <col min="9980" max="9980" width="11.85546875" style="244" customWidth="1"/>
    <col min="9981" max="9981" width="12.85546875" style="244" bestFit="1" customWidth="1"/>
    <col min="9982" max="9982" width="15.85546875" style="244" customWidth="1"/>
    <col min="9983" max="9983" width="27.85546875" style="244" customWidth="1"/>
    <col min="9984" max="9984" width="8.140625" style="244" customWidth="1"/>
    <col min="9985" max="9985" width="45.42578125" style="244" bestFit="1" customWidth="1"/>
    <col min="9986" max="9986" width="20.85546875" style="244" customWidth="1"/>
    <col min="9987" max="9987" width="18.140625" style="244" customWidth="1"/>
    <col min="9988" max="9988" width="9" style="244" customWidth="1"/>
    <col min="9989" max="9989" width="10.140625" style="244" customWidth="1"/>
    <col min="9990" max="9990" width="9.85546875" style="244" customWidth="1"/>
    <col min="9991" max="9991" width="11" style="244" bestFit="1" customWidth="1"/>
    <col min="9992" max="9992" width="8.42578125" style="244" bestFit="1" customWidth="1"/>
    <col min="9993" max="9993" width="10.140625" style="244" customWidth="1"/>
    <col min="9994" max="9994" width="7.85546875" style="244" customWidth="1"/>
    <col min="9995" max="9995" width="9.42578125" style="244" customWidth="1"/>
    <col min="9996" max="10205" width="8.85546875" style="244" customWidth="1"/>
    <col min="10206" max="10206" width="7.42578125" style="244" customWidth="1"/>
    <col min="10207" max="10207" width="13.140625" style="244" customWidth="1"/>
    <col min="10208" max="10208" width="34.140625" style="244" customWidth="1"/>
    <col min="10209" max="10209" width="57.42578125" style="244" customWidth="1"/>
    <col min="10210" max="10210" width="18.140625" style="244" customWidth="1"/>
    <col min="10211" max="10211" width="10.140625" style="244" customWidth="1"/>
    <col min="10212" max="10212" width="9.85546875" style="244" customWidth="1"/>
    <col min="10213" max="10213" width="19.140625" style="244" customWidth="1"/>
    <col min="10214" max="10214" width="9.85546875" style="244" customWidth="1"/>
    <col min="10215" max="10215" width="15.85546875" style="244" customWidth="1"/>
    <col min="10216" max="10218" width="13.42578125" style="244" customWidth="1"/>
    <col min="10219" max="10219" width="6.42578125" style="244" customWidth="1"/>
    <col min="10220" max="10221" width="18.42578125" style="244" customWidth="1"/>
    <col min="10222" max="10222" width="16.85546875" style="244" customWidth="1"/>
    <col min="10223" max="10223" width="8.42578125" style="244" customWidth="1"/>
    <col min="10224" max="10224" width="10.85546875" style="244" customWidth="1"/>
    <col min="10225" max="10225" width="13.42578125" style="244" customWidth="1"/>
    <col min="10226" max="10226" width="20.42578125" style="244" customWidth="1"/>
    <col min="10227" max="10227" width="13.42578125" style="244" customWidth="1"/>
    <col min="10228" max="10228" width="6.42578125" style="244" customWidth="1"/>
    <col min="10229" max="10229" width="18.42578125" style="244" customWidth="1"/>
    <col min="10230" max="10233" width="8.85546875" style="244" customWidth="1"/>
    <col min="10234" max="10234" width="4.85546875" style="244" customWidth="1"/>
    <col min="10235" max="10235" width="8.85546875" style="244" customWidth="1"/>
    <col min="10236" max="10236" width="11.85546875" style="244" customWidth="1"/>
    <col min="10237" max="10237" width="12.85546875" style="244" bestFit="1" customWidth="1"/>
    <col min="10238" max="10238" width="15.85546875" style="244" customWidth="1"/>
    <col min="10239" max="10239" width="27.85546875" style="244" customWidth="1"/>
    <col min="10240" max="10240" width="8.140625" style="244" customWidth="1"/>
    <col min="10241" max="10241" width="45.42578125" style="244" bestFit="1" customWidth="1"/>
    <col min="10242" max="10242" width="20.85546875" style="244" customWidth="1"/>
    <col min="10243" max="10243" width="18.140625" style="244" customWidth="1"/>
    <col min="10244" max="10244" width="9" style="244" customWidth="1"/>
    <col min="10245" max="10245" width="10.140625" style="244" customWidth="1"/>
    <col min="10246" max="10246" width="9.85546875" style="244" customWidth="1"/>
    <col min="10247" max="10247" width="11" style="244" bestFit="1" customWidth="1"/>
    <col min="10248" max="10248" width="8.42578125" style="244" bestFit="1" customWidth="1"/>
    <col min="10249" max="10249" width="10.140625" style="244" customWidth="1"/>
    <col min="10250" max="10250" width="7.85546875" style="244" customWidth="1"/>
    <col min="10251" max="10251" width="9.42578125" style="244" customWidth="1"/>
    <col min="10252" max="10461" width="8.85546875" style="244" customWidth="1"/>
    <col min="10462" max="10462" width="7.42578125" style="244" customWidth="1"/>
    <col min="10463" max="10463" width="13.140625" style="244" customWidth="1"/>
    <col min="10464" max="10464" width="34.140625" style="244" customWidth="1"/>
    <col min="10465" max="10465" width="57.42578125" style="244" customWidth="1"/>
    <col min="10466" max="10466" width="18.140625" style="244" customWidth="1"/>
    <col min="10467" max="10467" width="10.140625" style="244" customWidth="1"/>
    <col min="10468" max="10468" width="9.85546875" style="244" customWidth="1"/>
    <col min="10469" max="10469" width="19.140625" style="244" customWidth="1"/>
    <col min="10470" max="10470" width="9.85546875" style="244" customWidth="1"/>
    <col min="10471" max="10471" width="15.85546875" style="244" customWidth="1"/>
    <col min="10472" max="10474" width="13.42578125" style="244" customWidth="1"/>
    <col min="10475" max="10475" width="6.42578125" style="244" customWidth="1"/>
    <col min="10476" max="10477" width="18.42578125" style="244" customWidth="1"/>
    <col min="10478" max="10478" width="16.85546875" style="244" customWidth="1"/>
    <col min="10479" max="10479" width="8.42578125" style="244" customWidth="1"/>
    <col min="10480" max="10480" width="10.85546875" style="244" customWidth="1"/>
    <col min="10481" max="10481" width="13.42578125" style="244" customWidth="1"/>
    <col min="10482" max="10482" width="20.42578125" style="244" customWidth="1"/>
    <col min="10483" max="10483" width="13.42578125" style="244" customWidth="1"/>
    <col min="10484" max="10484" width="6.42578125" style="244" customWidth="1"/>
    <col min="10485" max="10485" width="18.42578125" style="244" customWidth="1"/>
    <col min="10486" max="10489" width="8.85546875" style="244" customWidth="1"/>
    <col min="10490" max="10490" width="4.85546875" style="244" customWidth="1"/>
    <col min="10491" max="10491" width="8.85546875" style="244" customWidth="1"/>
    <col min="10492" max="10492" width="11.85546875" style="244" customWidth="1"/>
    <col min="10493" max="10493" width="12.85546875" style="244" bestFit="1" customWidth="1"/>
    <col min="10494" max="10494" width="15.85546875" style="244" customWidth="1"/>
    <col min="10495" max="10495" width="27.85546875" style="244" customWidth="1"/>
    <col min="10496" max="10496" width="8.140625" style="244" customWidth="1"/>
    <col min="10497" max="10497" width="45.42578125" style="244" bestFit="1" customWidth="1"/>
    <col min="10498" max="10498" width="20.85546875" style="244" customWidth="1"/>
    <col min="10499" max="10499" width="18.140625" style="244" customWidth="1"/>
    <col min="10500" max="10500" width="9" style="244" customWidth="1"/>
    <col min="10501" max="10501" width="10.140625" style="244" customWidth="1"/>
    <col min="10502" max="10502" width="9.85546875" style="244" customWidth="1"/>
    <col min="10503" max="10503" width="11" style="244" bestFit="1" customWidth="1"/>
    <col min="10504" max="10504" width="8.42578125" style="244" bestFit="1" customWidth="1"/>
    <col min="10505" max="10505" width="10.140625" style="244" customWidth="1"/>
    <col min="10506" max="10506" width="7.85546875" style="244" customWidth="1"/>
    <col min="10507" max="10507" width="9.42578125" style="244" customWidth="1"/>
    <col min="10508" max="10717" width="8.85546875" style="244" customWidth="1"/>
    <col min="10718" max="10718" width="7.42578125" style="244" customWidth="1"/>
    <col min="10719" max="10719" width="13.140625" style="244" customWidth="1"/>
    <col min="10720" max="10720" width="34.140625" style="244" customWidth="1"/>
    <col min="10721" max="10721" width="57.42578125" style="244" customWidth="1"/>
    <col min="10722" max="10722" width="18.140625" style="244" customWidth="1"/>
    <col min="10723" max="10723" width="10.140625" style="244" customWidth="1"/>
    <col min="10724" max="10724" width="9.85546875" style="244" customWidth="1"/>
    <col min="10725" max="10725" width="19.140625" style="244" customWidth="1"/>
    <col min="10726" max="10726" width="9.85546875" style="244" customWidth="1"/>
    <col min="10727" max="10727" width="15.85546875" style="244" customWidth="1"/>
    <col min="10728" max="10730" width="13.42578125" style="244" customWidth="1"/>
    <col min="10731" max="10731" width="6.42578125" style="244" customWidth="1"/>
    <col min="10732" max="10733" width="18.42578125" style="244" customWidth="1"/>
    <col min="10734" max="10734" width="16.85546875" style="244" customWidth="1"/>
    <col min="10735" max="10735" width="8.42578125" style="244" customWidth="1"/>
    <col min="10736" max="10736" width="10.85546875" style="244" customWidth="1"/>
    <col min="10737" max="10737" width="13.42578125" style="244" customWidth="1"/>
    <col min="10738" max="10738" width="20.42578125" style="244" customWidth="1"/>
    <col min="10739" max="10739" width="13.42578125" style="244" customWidth="1"/>
    <col min="10740" max="10740" width="6.42578125" style="244" customWidth="1"/>
    <col min="10741" max="10741" width="18.42578125" style="244" customWidth="1"/>
    <col min="10742" max="10745" width="8.85546875" style="244" customWidth="1"/>
    <col min="10746" max="10746" width="4.85546875" style="244" customWidth="1"/>
    <col min="10747" max="10747" width="8.85546875" style="244" customWidth="1"/>
    <col min="10748" max="10748" width="11.85546875" style="244" customWidth="1"/>
    <col min="10749" max="10749" width="12.85546875" style="244" bestFit="1" customWidth="1"/>
    <col min="10750" max="10750" width="15.85546875" style="244" customWidth="1"/>
    <col min="10751" max="10751" width="27.85546875" style="244" customWidth="1"/>
    <col min="10752" max="10752" width="8.140625" style="244" customWidth="1"/>
    <col min="10753" max="10753" width="45.42578125" style="244" bestFit="1" customWidth="1"/>
    <col min="10754" max="10754" width="20.85546875" style="244" customWidth="1"/>
    <col min="10755" max="10755" width="18.140625" style="244" customWidth="1"/>
    <col min="10756" max="10756" width="9" style="244" customWidth="1"/>
    <col min="10757" max="10757" width="10.140625" style="244" customWidth="1"/>
    <col min="10758" max="10758" width="9.85546875" style="244" customWidth="1"/>
    <col min="10759" max="10759" width="11" style="244" bestFit="1" customWidth="1"/>
    <col min="10760" max="10760" width="8.42578125" style="244" bestFit="1" customWidth="1"/>
    <col min="10761" max="10761" width="10.140625" style="244" customWidth="1"/>
    <col min="10762" max="10762" width="7.85546875" style="244" customWidth="1"/>
    <col min="10763" max="10763" width="9.42578125" style="244" customWidth="1"/>
    <col min="10764" max="10973" width="8.85546875" style="244" customWidth="1"/>
    <col min="10974" max="10974" width="7.42578125" style="244" customWidth="1"/>
    <col min="10975" max="10975" width="13.140625" style="244" customWidth="1"/>
    <col min="10976" max="10976" width="34.140625" style="244" customWidth="1"/>
    <col min="10977" max="10977" width="57.42578125" style="244" customWidth="1"/>
    <col min="10978" max="10978" width="18.140625" style="244" customWidth="1"/>
    <col min="10979" max="10979" width="10.140625" style="244" customWidth="1"/>
    <col min="10980" max="10980" width="9.85546875" style="244" customWidth="1"/>
    <col min="10981" max="10981" width="19.140625" style="244" customWidth="1"/>
    <col min="10982" max="10982" width="9.85546875" style="244" customWidth="1"/>
    <col min="10983" max="10983" width="15.85546875" style="244" customWidth="1"/>
    <col min="10984" max="10986" width="13.42578125" style="244" customWidth="1"/>
    <col min="10987" max="10987" width="6.42578125" style="244" customWidth="1"/>
    <col min="10988" max="10989" width="18.42578125" style="244" customWidth="1"/>
    <col min="10990" max="10990" width="16.85546875" style="244" customWidth="1"/>
    <col min="10991" max="10991" width="8.42578125" style="244" customWidth="1"/>
    <col min="10992" max="10992" width="10.85546875" style="244" customWidth="1"/>
    <col min="10993" max="10993" width="13.42578125" style="244" customWidth="1"/>
    <col min="10994" max="10994" width="20.42578125" style="244" customWidth="1"/>
    <col min="10995" max="10995" width="13.42578125" style="244" customWidth="1"/>
    <col min="10996" max="10996" width="6.42578125" style="244" customWidth="1"/>
    <col min="10997" max="10997" width="18.42578125" style="244" customWidth="1"/>
    <col min="10998" max="11001" width="8.85546875" style="244" customWidth="1"/>
    <col min="11002" max="11002" width="4.85546875" style="244" customWidth="1"/>
    <col min="11003" max="11003" width="8.85546875" style="244" customWidth="1"/>
    <col min="11004" max="11004" width="11.85546875" style="244" customWidth="1"/>
    <col min="11005" max="11005" width="12.85546875" style="244" bestFit="1" customWidth="1"/>
    <col min="11006" max="11006" width="15.85546875" style="244" customWidth="1"/>
    <col min="11007" max="11007" width="27.85546875" style="244" customWidth="1"/>
    <col min="11008" max="11008" width="8.140625" style="244" customWidth="1"/>
    <col min="11009" max="11009" width="45.42578125" style="244" bestFit="1" customWidth="1"/>
    <col min="11010" max="11010" width="20.85546875" style="244" customWidth="1"/>
    <col min="11011" max="11011" width="18.140625" style="244" customWidth="1"/>
    <col min="11012" max="11012" width="9" style="244" customWidth="1"/>
    <col min="11013" max="11013" width="10.140625" style="244" customWidth="1"/>
    <col min="11014" max="11014" width="9.85546875" style="244" customWidth="1"/>
    <col min="11015" max="11015" width="11" style="244" bestFit="1" customWidth="1"/>
    <col min="11016" max="11016" width="8.42578125" style="244" bestFit="1" customWidth="1"/>
    <col min="11017" max="11017" width="10.140625" style="244" customWidth="1"/>
    <col min="11018" max="11018" width="7.85546875" style="244" customWidth="1"/>
    <col min="11019" max="11019" width="9.42578125" style="244" customWidth="1"/>
    <col min="11020" max="11229" width="8.85546875" style="244" customWidth="1"/>
    <col min="11230" max="11230" width="7.42578125" style="244" customWidth="1"/>
    <col min="11231" max="11231" width="13.140625" style="244" customWidth="1"/>
    <col min="11232" max="11232" width="34.140625" style="244" customWidth="1"/>
    <col min="11233" max="11233" width="57.42578125" style="244" customWidth="1"/>
    <col min="11234" max="11234" width="18.140625" style="244" customWidth="1"/>
    <col min="11235" max="11235" width="10.140625" style="244" customWidth="1"/>
    <col min="11236" max="11236" width="9.85546875" style="244" customWidth="1"/>
    <col min="11237" max="11237" width="19.140625" style="244" customWidth="1"/>
    <col min="11238" max="11238" width="9.85546875" style="244" customWidth="1"/>
    <col min="11239" max="11239" width="15.85546875" style="244" customWidth="1"/>
    <col min="11240" max="11242" width="13.42578125" style="244" customWidth="1"/>
    <col min="11243" max="11243" width="6.42578125" style="244" customWidth="1"/>
    <col min="11244" max="11245" width="18.42578125" style="244" customWidth="1"/>
    <col min="11246" max="11246" width="16.85546875" style="244" customWidth="1"/>
    <col min="11247" max="11247" width="8.42578125" style="244" customWidth="1"/>
    <col min="11248" max="11248" width="10.85546875" style="244" customWidth="1"/>
    <col min="11249" max="11249" width="13.42578125" style="244" customWidth="1"/>
    <col min="11250" max="11250" width="20.42578125" style="244" customWidth="1"/>
    <col min="11251" max="11251" width="13.42578125" style="244" customWidth="1"/>
    <col min="11252" max="11252" width="6.42578125" style="244" customWidth="1"/>
    <col min="11253" max="11253" width="18.42578125" style="244" customWidth="1"/>
    <col min="11254" max="11257" width="8.85546875" style="244" customWidth="1"/>
    <col min="11258" max="11258" width="4.85546875" style="244" customWidth="1"/>
    <col min="11259" max="11259" width="8.85546875" style="244" customWidth="1"/>
    <col min="11260" max="11260" width="11.85546875" style="244" customWidth="1"/>
    <col min="11261" max="11261" width="12.85546875" style="244" bestFit="1" customWidth="1"/>
    <col min="11262" max="11262" width="15.85546875" style="244" customWidth="1"/>
    <col min="11263" max="11263" width="27.85546875" style="244" customWidth="1"/>
    <col min="11264" max="11264" width="8.140625" style="244" customWidth="1"/>
    <col min="11265" max="11265" width="45.42578125" style="244" bestFit="1" customWidth="1"/>
    <col min="11266" max="11266" width="20.85546875" style="244" customWidth="1"/>
    <col min="11267" max="11267" width="18.140625" style="244" customWidth="1"/>
    <col min="11268" max="11268" width="9" style="244" customWidth="1"/>
    <col min="11269" max="11269" width="10.140625" style="244" customWidth="1"/>
    <col min="11270" max="11270" width="9.85546875" style="244" customWidth="1"/>
    <col min="11271" max="11271" width="11" style="244" bestFit="1" customWidth="1"/>
    <col min="11272" max="11272" width="8.42578125" style="244" bestFit="1" customWidth="1"/>
    <col min="11273" max="11273" width="10.140625" style="244" customWidth="1"/>
    <col min="11274" max="11274" width="7.85546875" style="244" customWidth="1"/>
    <col min="11275" max="11275" width="9.42578125" style="244" customWidth="1"/>
    <col min="11276" max="11485" width="8.85546875" style="244" customWidth="1"/>
    <col min="11486" max="11486" width="7.42578125" style="244" customWidth="1"/>
    <col min="11487" max="11487" width="13.140625" style="244" customWidth="1"/>
    <col min="11488" max="11488" width="34.140625" style="244" customWidth="1"/>
    <col min="11489" max="11489" width="57.42578125" style="244" customWidth="1"/>
    <col min="11490" max="11490" width="18.140625" style="244" customWidth="1"/>
    <col min="11491" max="11491" width="10.140625" style="244" customWidth="1"/>
    <col min="11492" max="11492" width="9.85546875" style="244" customWidth="1"/>
    <col min="11493" max="11493" width="19.140625" style="244" customWidth="1"/>
    <col min="11494" max="11494" width="9.85546875" style="244" customWidth="1"/>
    <col min="11495" max="11495" width="15.85546875" style="244" customWidth="1"/>
    <col min="11496" max="11498" width="13.42578125" style="244" customWidth="1"/>
    <col min="11499" max="11499" width="6.42578125" style="244" customWidth="1"/>
    <col min="11500" max="11501" width="18.42578125" style="244" customWidth="1"/>
    <col min="11502" max="11502" width="16.85546875" style="244" customWidth="1"/>
    <col min="11503" max="11503" width="8.42578125" style="244" customWidth="1"/>
    <col min="11504" max="11504" width="10.85546875" style="244" customWidth="1"/>
    <col min="11505" max="11505" width="13.42578125" style="244" customWidth="1"/>
    <col min="11506" max="11506" width="20.42578125" style="244" customWidth="1"/>
    <col min="11507" max="11507" width="13.42578125" style="244" customWidth="1"/>
    <col min="11508" max="11508" width="6.42578125" style="244" customWidth="1"/>
    <col min="11509" max="11509" width="18.42578125" style="244" customWidth="1"/>
    <col min="11510" max="11513" width="8.85546875" style="244" customWidth="1"/>
    <col min="11514" max="11514" width="4.85546875" style="244" customWidth="1"/>
    <col min="11515" max="11515" width="8.85546875" style="244" customWidth="1"/>
    <col min="11516" max="11516" width="11.85546875" style="244" customWidth="1"/>
    <col min="11517" max="11517" width="12.85546875" style="244" bestFit="1" customWidth="1"/>
    <col min="11518" max="11518" width="15.85546875" style="244" customWidth="1"/>
    <col min="11519" max="11519" width="27.85546875" style="244" customWidth="1"/>
    <col min="11520" max="11520" width="8.140625" style="244" customWidth="1"/>
    <col min="11521" max="11521" width="45.42578125" style="244" bestFit="1" customWidth="1"/>
    <col min="11522" max="11522" width="20.85546875" style="244" customWidth="1"/>
    <col min="11523" max="11523" width="18.140625" style="244" customWidth="1"/>
    <col min="11524" max="11524" width="9" style="244" customWidth="1"/>
    <col min="11525" max="11525" width="10.140625" style="244" customWidth="1"/>
    <col min="11526" max="11526" width="9.85546875" style="244" customWidth="1"/>
    <col min="11527" max="11527" width="11" style="244" bestFit="1" customWidth="1"/>
    <col min="11528" max="11528" width="8.42578125" style="244" bestFit="1" customWidth="1"/>
    <col min="11529" max="11529" width="10.140625" style="244" customWidth="1"/>
    <col min="11530" max="11530" width="7.85546875" style="244" customWidth="1"/>
    <col min="11531" max="11531" width="9.42578125" style="244" customWidth="1"/>
    <col min="11532" max="11741" width="8.85546875" style="244" customWidth="1"/>
    <col min="11742" max="11742" width="7.42578125" style="244" customWidth="1"/>
    <col min="11743" max="11743" width="13.140625" style="244" customWidth="1"/>
    <col min="11744" max="11744" width="34.140625" style="244" customWidth="1"/>
    <col min="11745" max="11745" width="57.42578125" style="244" customWidth="1"/>
    <col min="11746" max="11746" width="18.140625" style="244" customWidth="1"/>
    <col min="11747" max="11747" width="10.140625" style="244" customWidth="1"/>
    <col min="11748" max="11748" width="9.85546875" style="244" customWidth="1"/>
    <col min="11749" max="11749" width="19.140625" style="244" customWidth="1"/>
    <col min="11750" max="11750" width="9.85546875" style="244" customWidth="1"/>
    <col min="11751" max="11751" width="15.85546875" style="244" customWidth="1"/>
    <col min="11752" max="11754" width="13.42578125" style="244" customWidth="1"/>
    <col min="11755" max="11755" width="6.42578125" style="244" customWidth="1"/>
    <col min="11756" max="11757" width="18.42578125" style="244" customWidth="1"/>
    <col min="11758" max="11758" width="16.85546875" style="244" customWidth="1"/>
    <col min="11759" max="11759" width="8.42578125" style="244" customWidth="1"/>
    <col min="11760" max="11760" width="10.85546875" style="244" customWidth="1"/>
    <col min="11761" max="11761" width="13.42578125" style="244" customWidth="1"/>
    <col min="11762" max="11762" width="20.42578125" style="244" customWidth="1"/>
    <col min="11763" max="11763" width="13.42578125" style="244" customWidth="1"/>
    <col min="11764" max="11764" width="6.42578125" style="244" customWidth="1"/>
    <col min="11765" max="11765" width="18.42578125" style="244" customWidth="1"/>
    <col min="11766" max="11769" width="8.85546875" style="244" customWidth="1"/>
    <col min="11770" max="11770" width="4.85546875" style="244" customWidth="1"/>
    <col min="11771" max="11771" width="8.85546875" style="244" customWidth="1"/>
    <col min="11772" max="11772" width="11.85546875" style="244" customWidth="1"/>
    <col min="11773" max="11773" width="12.85546875" style="244" bestFit="1" customWidth="1"/>
    <col min="11774" max="11774" width="15.85546875" style="244" customWidth="1"/>
    <col min="11775" max="11775" width="27.85546875" style="244" customWidth="1"/>
    <col min="11776" max="11776" width="8.140625" style="244" customWidth="1"/>
    <col min="11777" max="11777" width="45.42578125" style="244" bestFit="1" customWidth="1"/>
    <col min="11778" max="11778" width="20.85546875" style="244" customWidth="1"/>
    <col min="11779" max="11779" width="18.140625" style="244" customWidth="1"/>
    <col min="11780" max="11780" width="9" style="244" customWidth="1"/>
    <col min="11781" max="11781" width="10.140625" style="244" customWidth="1"/>
    <col min="11782" max="11782" width="9.85546875" style="244" customWidth="1"/>
    <col min="11783" max="11783" width="11" style="244" bestFit="1" customWidth="1"/>
    <col min="11784" max="11784" width="8.42578125" style="244" bestFit="1" customWidth="1"/>
    <col min="11785" max="11785" width="10.140625" style="244" customWidth="1"/>
    <col min="11786" max="11786" width="7.85546875" style="244" customWidth="1"/>
    <col min="11787" max="11787" width="9.42578125" style="244" customWidth="1"/>
    <col min="11788" max="11997" width="8.85546875" style="244" customWidth="1"/>
    <col min="11998" max="11998" width="7.42578125" style="244" customWidth="1"/>
    <col min="11999" max="11999" width="13.140625" style="244" customWidth="1"/>
    <col min="12000" max="12000" width="34.140625" style="244" customWidth="1"/>
    <col min="12001" max="12001" width="57.42578125" style="244" customWidth="1"/>
    <col min="12002" max="12002" width="18.140625" style="244" customWidth="1"/>
    <col min="12003" max="12003" width="10.140625" style="244" customWidth="1"/>
    <col min="12004" max="12004" width="9.85546875" style="244" customWidth="1"/>
    <col min="12005" max="12005" width="19.140625" style="244" customWidth="1"/>
    <col min="12006" max="12006" width="9.85546875" style="244" customWidth="1"/>
    <col min="12007" max="12007" width="15.85546875" style="244" customWidth="1"/>
    <col min="12008" max="12010" width="13.42578125" style="244" customWidth="1"/>
    <col min="12011" max="12011" width="6.42578125" style="244" customWidth="1"/>
    <col min="12012" max="12013" width="18.42578125" style="244" customWidth="1"/>
    <col min="12014" max="12014" width="16.85546875" style="244" customWidth="1"/>
    <col min="12015" max="12015" width="8.42578125" style="244" customWidth="1"/>
    <col min="12016" max="12016" width="10.85546875" style="244" customWidth="1"/>
    <col min="12017" max="12017" width="13.42578125" style="244" customWidth="1"/>
    <col min="12018" max="12018" width="20.42578125" style="244" customWidth="1"/>
    <col min="12019" max="12019" width="13.42578125" style="244" customWidth="1"/>
    <col min="12020" max="12020" width="6.42578125" style="244" customWidth="1"/>
    <col min="12021" max="12021" width="18.42578125" style="244" customWidth="1"/>
    <col min="12022" max="12025" width="8.85546875" style="244" customWidth="1"/>
    <col min="12026" max="12026" width="4.85546875" style="244" customWidth="1"/>
    <col min="12027" max="12027" width="8.85546875" style="244" customWidth="1"/>
    <col min="12028" max="12028" width="11.85546875" style="244" customWidth="1"/>
    <col min="12029" max="12029" width="12.85546875" style="244" bestFit="1" customWidth="1"/>
    <col min="12030" max="12030" width="15.85546875" style="244" customWidth="1"/>
    <col min="12031" max="12031" width="27.85546875" style="244" customWidth="1"/>
    <col min="12032" max="12032" width="8.140625" style="244" customWidth="1"/>
    <col min="12033" max="12033" width="45.42578125" style="244" bestFit="1" customWidth="1"/>
    <col min="12034" max="12034" width="20.85546875" style="244" customWidth="1"/>
    <col min="12035" max="12035" width="18.140625" style="244" customWidth="1"/>
    <col min="12036" max="12036" width="9" style="244" customWidth="1"/>
    <col min="12037" max="12037" width="10.140625" style="244" customWidth="1"/>
    <col min="12038" max="12038" width="9.85546875" style="244" customWidth="1"/>
    <col min="12039" max="12039" width="11" style="244" bestFit="1" customWidth="1"/>
    <col min="12040" max="12040" width="8.42578125" style="244" bestFit="1" customWidth="1"/>
    <col min="12041" max="12041" width="10.140625" style="244" customWidth="1"/>
    <col min="12042" max="12042" width="7.85546875" style="244" customWidth="1"/>
    <col min="12043" max="12043" width="9.42578125" style="244" customWidth="1"/>
    <col min="12044" max="12253" width="8.85546875" style="244" customWidth="1"/>
    <col min="12254" max="12254" width="7.42578125" style="244" customWidth="1"/>
    <col min="12255" max="12255" width="13.140625" style="244" customWidth="1"/>
    <col min="12256" max="12256" width="34.140625" style="244" customWidth="1"/>
    <col min="12257" max="12257" width="57.42578125" style="244" customWidth="1"/>
    <col min="12258" max="12258" width="18.140625" style="244" customWidth="1"/>
    <col min="12259" max="12259" width="10.140625" style="244" customWidth="1"/>
    <col min="12260" max="12260" width="9.85546875" style="244" customWidth="1"/>
    <col min="12261" max="12261" width="19.140625" style="244" customWidth="1"/>
    <col min="12262" max="12262" width="9.85546875" style="244" customWidth="1"/>
    <col min="12263" max="12263" width="15.85546875" style="244" customWidth="1"/>
    <col min="12264" max="12266" width="13.42578125" style="244" customWidth="1"/>
    <col min="12267" max="12267" width="6.42578125" style="244" customWidth="1"/>
    <col min="12268" max="12269" width="18.42578125" style="244" customWidth="1"/>
    <col min="12270" max="12270" width="16.85546875" style="244" customWidth="1"/>
    <col min="12271" max="12271" width="8.42578125" style="244" customWidth="1"/>
    <col min="12272" max="12272" width="10.85546875" style="244" customWidth="1"/>
    <col min="12273" max="12273" width="13.42578125" style="244" customWidth="1"/>
    <col min="12274" max="12274" width="20.42578125" style="244" customWidth="1"/>
    <col min="12275" max="12275" width="13.42578125" style="244" customWidth="1"/>
    <col min="12276" max="12276" width="6.42578125" style="244" customWidth="1"/>
    <col min="12277" max="12277" width="18.42578125" style="244" customWidth="1"/>
    <col min="12278" max="12281" width="8.85546875" style="244" customWidth="1"/>
    <col min="12282" max="12282" width="4.85546875" style="244" customWidth="1"/>
    <col min="12283" max="12283" width="8.85546875" style="244" customWidth="1"/>
    <col min="12284" max="12284" width="11.85546875" style="244" customWidth="1"/>
    <col min="12285" max="12285" width="12.85546875" style="244" bestFit="1" customWidth="1"/>
    <col min="12286" max="12286" width="15.85546875" style="244" customWidth="1"/>
    <col min="12287" max="12287" width="27.85546875" style="244" customWidth="1"/>
    <col min="12288" max="12288" width="8.140625" style="244" customWidth="1"/>
    <col min="12289" max="12289" width="45.42578125" style="244" bestFit="1" customWidth="1"/>
    <col min="12290" max="12290" width="20.85546875" style="244" customWidth="1"/>
    <col min="12291" max="12291" width="18.140625" style="244" customWidth="1"/>
    <col min="12292" max="12292" width="9" style="244" customWidth="1"/>
    <col min="12293" max="12293" width="10.140625" style="244" customWidth="1"/>
    <col min="12294" max="12294" width="9.85546875" style="244" customWidth="1"/>
    <col min="12295" max="12295" width="11" style="244" bestFit="1" customWidth="1"/>
    <col min="12296" max="12296" width="8.42578125" style="244" bestFit="1" customWidth="1"/>
    <col min="12297" max="12297" width="10.140625" style="244" customWidth="1"/>
    <col min="12298" max="12298" width="7.85546875" style="244" customWidth="1"/>
    <col min="12299" max="12299" width="9.42578125" style="244" customWidth="1"/>
    <col min="12300" max="12509" width="8.85546875" style="244" customWidth="1"/>
    <col min="12510" max="12510" width="7.42578125" style="244" customWidth="1"/>
    <col min="12511" max="12511" width="13.140625" style="244" customWidth="1"/>
    <col min="12512" max="12512" width="34.140625" style="244" customWidth="1"/>
    <col min="12513" max="12513" width="57.42578125" style="244" customWidth="1"/>
    <col min="12514" max="12514" width="18.140625" style="244" customWidth="1"/>
    <col min="12515" max="12515" width="10.140625" style="244" customWidth="1"/>
    <col min="12516" max="12516" width="9.85546875" style="244" customWidth="1"/>
    <col min="12517" max="12517" width="19.140625" style="244" customWidth="1"/>
    <col min="12518" max="12518" width="9.85546875" style="244" customWidth="1"/>
    <col min="12519" max="12519" width="15.85546875" style="244" customWidth="1"/>
    <col min="12520" max="12522" width="13.42578125" style="244" customWidth="1"/>
    <col min="12523" max="12523" width="6.42578125" style="244" customWidth="1"/>
    <col min="12524" max="12525" width="18.42578125" style="244" customWidth="1"/>
    <col min="12526" max="12526" width="16.85546875" style="244" customWidth="1"/>
    <col min="12527" max="12527" width="8.42578125" style="244" customWidth="1"/>
    <col min="12528" max="12528" width="10.85546875" style="244" customWidth="1"/>
    <col min="12529" max="12529" width="13.42578125" style="244" customWidth="1"/>
    <col min="12530" max="12530" width="20.42578125" style="244" customWidth="1"/>
    <col min="12531" max="12531" width="13.42578125" style="244" customWidth="1"/>
    <col min="12532" max="12532" width="6.42578125" style="244" customWidth="1"/>
    <col min="12533" max="12533" width="18.42578125" style="244" customWidth="1"/>
    <col min="12534" max="12537" width="8.85546875" style="244" customWidth="1"/>
    <col min="12538" max="12538" width="4.85546875" style="244" customWidth="1"/>
    <col min="12539" max="12539" width="8.85546875" style="244" customWidth="1"/>
    <col min="12540" max="12540" width="11.85546875" style="244" customWidth="1"/>
    <col min="12541" max="12541" width="12.85546875" style="244" bestFit="1" customWidth="1"/>
    <col min="12542" max="12542" width="15.85546875" style="244" customWidth="1"/>
    <col min="12543" max="12543" width="27.85546875" style="244" customWidth="1"/>
    <col min="12544" max="12544" width="8.140625" style="244" customWidth="1"/>
    <col min="12545" max="12545" width="45.42578125" style="244" bestFit="1" customWidth="1"/>
    <col min="12546" max="12546" width="20.85546875" style="244" customWidth="1"/>
    <col min="12547" max="12547" width="18.140625" style="244" customWidth="1"/>
    <col min="12548" max="12548" width="9" style="244" customWidth="1"/>
    <col min="12549" max="12549" width="10.140625" style="244" customWidth="1"/>
    <col min="12550" max="12550" width="9.85546875" style="244" customWidth="1"/>
    <col min="12551" max="12551" width="11" style="244" bestFit="1" customWidth="1"/>
    <col min="12552" max="12552" width="8.42578125" style="244" bestFit="1" customWidth="1"/>
    <col min="12553" max="12553" width="10.140625" style="244" customWidth="1"/>
    <col min="12554" max="12554" width="7.85546875" style="244" customWidth="1"/>
    <col min="12555" max="12555" width="9.42578125" style="244" customWidth="1"/>
    <col min="12556" max="12765" width="8.85546875" style="244" customWidth="1"/>
    <col min="12766" max="12766" width="7.42578125" style="244" customWidth="1"/>
    <col min="12767" max="12767" width="13.140625" style="244" customWidth="1"/>
    <col min="12768" max="12768" width="34.140625" style="244" customWidth="1"/>
    <col min="12769" max="12769" width="57.42578125" style="244" customWidth="1"/>
    <col min="12770" max="12770" width="18.140625" style="244" customWidth="1"/>
    <col min="12771" max="12771" width="10.140625" style="244" customWidth="1"/>
    <col min="12772" max="12772" width="9.85546875" style="244" customWidth="1"/>
    <col min="12773" max="12773" width="19.140625" style="244" customWidth="1"/>
    <col min="12774" max="12774" width="9.85546875" style="244" customWidth="1"/>
    <col min="12775" max="12775" width="15.85546875" style="244" customWidth="1"/>
    <col min="12776" max="12778" width="13.42578125" style="244" customWidth="1"/>
    <col min="12779" max="12779" width="6.42578125" style="244" customWidth="1"/>
    <col min="12780" max="12781" width="18.42578125" style="244" customWidth="1"/>
    <col min="12782" max="12782" width="16.85546875" style="244" customWidth="1"/>
    <col min="12783" max="12783" width="8.42578125" style="244" customWidth="1"/>
    <col min="12784" max="12784" width="10.85546875" style="244" customWidth="1"/>
    <col min="12785" max="12785" width="13.42578125" style="244" customWidth="1"/>
    <col min="12786" max="12786" width="20.42578125" style="244" customWidth="1"/>
    <col min="12787" max="12787" width="13.42578125" style="244" customWidth="1"/>
    <col min="12788" max="12788" width="6.42578125" style="244" customWidth="1"/>
    <col min="12789" max="12789" width="18.42578125" style="244" customWidth="1"/>
    <col min="12790" max="12793" width="8.85546875" style="244" customWidth="1"/>
    <col min="12794" max="12794" width="4.85546875" style="244" customWidth="1"/>
    <col min="12795" max="12795" width="8.85546875" style="244" customWidth="1"/>
    <col min="12796" max="12796" width="11.85546875" style="244" customWidth="1"/>
    <col min="12797" max="12797" width="12.85546875" style="244" bestFit="1" customWidth="1"/>
    <col min="12798" max="12798" width="15.85546875" style="244" customWidth="1"/>
    <col min="12799" max="12799" width="27.85546875" style="244" customWidth="1"/>
    <col min="12800" max="12800" width="8.140625" style="244" customWidth="1"/>
    <col min="12801" max="12801" width="45.42578125" style="244" bestFit="1" customWidth="1"/>
    <col min="12802" max="12802" width="20.85546875" style="244" customWidth="1"/>
    <col min="12803" max="12803" width="18.140625" style="244" customWidth="1"/>
    <col min="12804" max="12804" width="9" style="244" customWidth="1"/>
    <col min="12805" max="12805" width="10.140625" style="244" customWidth="1"/>
    <col min="12806" max="12806" width="9.85546875" style="244" customWidth="1"/>
    <col min="12807" max="12807" width="11" style="244" bestFit="1" customWidth="1"/>
    <col min="12808" max="12808" width="8.42578125" style="244" bestFit="1" customWidth="1"/>
    <col min="12809" max="12809" width="10.140625" style="244" customWidth="1"/>
    <col min="12810" max="12810" width="7.85546875" style="244" customWidth="1"/>
    <col min="12811" max="12811" width="9.42578125" style="244" customWidth="1"/>
    <col min="12812" max="13021" width="8.85546875" style="244" customWidth="1"/>
    <col min="13022" max="13022" width="7.42578125" style="244" customWidth="1"/>
    <col min="13023" max="13023" width="13.140625" style="244" customWidth="1"/>
    <col min="13024" max="13024" width="34.140625" style="244" customWidth="1"/>
    <col min="13025" max="13025" width="57.42578125" style="244" customWidth="1"/>
    <col min="13026" max="13026" width="18.140625" style="244" customWidth="1"/>
    <col min="13027" max="13027" width="10.140625" style="244" customWidth="1"/>
    <col min="13028" max="13028" width="9.85546875" style="244" customWidth="1"/>
    <col min="13029" max="13029" width="19.140625" style="244" customWidth="1"/>
    <col min="13030" max="13030" width="9.85546875" style="244" customWidth="1"/>
    <col min="13031" max="13031" width="15.85546875" style="244" customWidth="1"/>
    <col min="13032" max="13034" width="13.42578125" style="244" customWidth="1"/>
    <col min="13035" max="13035" width="6.42578125" style="244" customWidth="1"/>
    <col min="13036" max="13037" width="18.42578125" style="244" customWidth="1"/>
    <col min="13038" max="13038" width="16.85546875" style="244" customWidth="1"/>
    <col min="13039" max="13039" width="8.42578125" style="244" customWidth="1"/>
    <col min="13040" max="13040" width="10.85546875" style="244" customWidth="1"/>
    <col min="13041" max="13041" width="13.42578125" style="244" customWidth="1"/>
    <col min="13042" max="13042" width="20.42578125" style="244" customWidth="1"/>
    <col min="13043" max="13043" width="13.42578125" style="244" customWidth="1"/>
    <col min="13044" max="13044" width="6.42578125" style="244" customWidth="1"/>
    <col min="13045" max="13045" width="18.42578125" style="244" customWidth="1"/>
    <col min="13046" max="13049" width="8.85546875" style="244" customWidth="1"/>
    <col min="13050" max="13050" width="4.85546875" style="244" customWidth="1"/>
    <col min="13051" max="13051" width="8.85546875" style="244" customWidth="1"/>
    <col min="13052" max="13052" width="11.85546875" style="244" customWidth="1"/>
    <col min="13053" max="13053" width="12.85546875" style="244" bestFit="1" customWidth="1"/>
    <col min="13054" max="13054" width="15.85546875" style="244" customWidth="1"/>
    <col min="13055" max="13055" width="27.85546875" style="244" customWidth="1"/>
    <col min="13056" max="13056" width="8.140625" style="244" customWidth="1"/>
    <col min="13057" max="13057" width="45.42578125" style="244" bestFit="1" customWidth="1"/>
    <col min="13058" max="13058" width="20.85546875" style="244" customWidth="1"/>
    <col min="13059" max="13059" width="18.140625" style="244" customWidth="1"/>
    <col min="13060" max="13060" width="9" style="244" customWidth="1"/>
    <col min="13061" max="13061" width="10.140625" style="244" customWidth="1"/>
    <col min="13062" max="13062" width="9.85546875" style="244" customWidth="1"/>
    <col min="13063" max="13063" width="11" style="244" bestFit="1" customWidth="1"/>
    <col min="13064" max="13064" width="8.42578125" style="244" bestFit="1" customWidth="1"/>
    <col min="13065" max="13065" width="10.140625" style="244" customWidth="1"/>
    <col min="13066" max="13066" width="7.85546875" style="244" customWidth="1"/>
    <col min="13067" max="13067" width="9.42578125" style="244" customWidth="1"/>
    <col min="13068" max="13277" width="8.85546875" style="244" customWidth="1"/>
    <col min="13278" max="13278" width="7.42578125" style="244" customWidth="1"/>
    <col min="13279" max="13279" width="13.140625" style="244" customWidth="1"/>
    <col min="13280" max="13280" width="34.140625" style="244" customWidth="1"/>
    <col min="13281" max="13281" width="57.42578125" style="244" customWidth="1"/>
    <col min="13282" max="13282" width="18.140625" style="244" customWidth="1"/>
    <col min="13283" max="13283" width="10.140625" style="244" customWidth="1"/>
    <col min="13284" max="13284" width="9.85546875" style="244" customWidth="1"/>
    <col min="13285" max="13285" width="19.140625" style="244" customWidth="1"/>
    <col min="13286" max="13286" width="9.85546875" style="244" customWidth="1"/>
    <col min="13287" max="13287" width="15.85546875" style="244" customWidth="1"/>
    <col min="13288" max="13290" width="13.42578125" style="244" customWidth="1"/>
    <col min="13291" max="13291" width="6.42578125" style="244" customWidth="1"/>
    <col min="13292" max="13293" width="18.42578125" style="244" customWidth="1"/>
    <col min="13294" max="13294" width="16.85546875" style="244" customWidth="1"/>
    <col min="13295" max="13295" width="8.42578125" style="244" customWidth="1"/>
    <col min="13296" max="13296" width="10.85546875" style="244" customWidth="1"/>
    <col min="13297" max="13297" width="13.42578125" style="244" customWidth="1"/>
    <col min="13298" max="13298" width="20.42578125" style="244" customWidth="1"/>
    <col min="13299" max="13299" width="13.42578125" style="244" customWidth="1"/>
    <col min="13300" max="13300" width="6.42578125" style="244" customWidth="1"/>
    <col min="13301" max="13301" width="18.42578125" style="244" customWidth="1"/>
    <col min="13302" max="13305" width="8.85546875" style="244" customWidth="1"/>
    <col min="13306" max="13306" width="4.85546875" style="244" customWidth="1"/>
    <col min="13307" max="13307" width="8.85546875" style="244" customWidth="1"/>
    <col min="13308" max="13308" width="11.85546875" style="244" customWidth="1"/>
    <col min="13309" max="13309" width="12.85546875" style="244" bestFit="1" customWidth="1"/>
    <col min="13310" max="13310" width="15.85546875" style="244" customWidth="1"/>
    <col min="13311" max="13311" width="27.85546875" style="244" customWidth="1"/>
    <col min="13312" max="13312" width="8.140625" style="244" customWidth="1"/>
    <col min="13313" max="13313" width="45.42578125" style="244" bestFit="1" customWidth="1"/>
    <col min="13314" max="13314" width="20.85546875" style="244" customWidth="1"/>
    <col min="13315" max="13315" width="18.140625" style="244" customWidth="1"/>
    <col min="13316" max="13316" width="9" style="244" customWidth="1"/>
    <col min="13317" max="13317" width="10.140625" style="244" customWidth="1"/>
    <col min="13318" max="13318" width="9.85546875" style="244" customWidth="1"/>
    <col min="13319" max="13319" width="11" style="244" bestFit="1" customWidth="1"/>
    <col min="13320" max="13320" width="8.42578125" style="244" bestFit="1" customWidth="1"/>
    <col min="13321" max="13321" width="10.140625" style="244" customWidth="1"/>
    <col min="13322" max="13322" width="7.85546875" style="244" customWidth="1"/>
    <col min="13323" max="13323" width="9.42578125" style="244" customWidth="1"/>
    <col min="13324" max="13533" width="8.85546875" style="244" customWidth="1"/>
    <col min="13534" max="13534" width="7.42578125" style="244" customWidth="1"/>
    <col min="13535" max="13535" width="13.140625" style="244" customWidth="1"/>
    <col min="13536" max="13536" width="34.140625" style="244" customWidth="1"/>
    <col min="13537" max="13537" width="57.42578125" style="244" customWidth="1"/>
    <col min="13538" max="13538" width="18.140625" style="244" customWidth="1"/>
    <col min="13539" max="13539" width="10.140625" style="244" customWidth="1"/>
    <col min="13540" max="13540" width="9.85546875" style="244" customWidth="1"/>
    <col min="13541" max="13541" width="19.140625" style="244" customWidth="1"/>
    <col min="13542" max="13542" width="9.85546875" style="244" customWidth="1"/>
    <col min="13543" max="13543" width="15.85546875" style="244" customWidth="1"/>
    <col min="13544" max="13546" width="13.42578125" style="244" customWidth="1"/>
    <col min="13547" max="13547" width="6.42578125" style="244" customWidth="1"/>
    <col min="13548" max="13549" width="18.42578125" style="244" customWidth="1"/>
    <col min="13550" max="13550" width="16.85546875" style="244" customWidth="1"/>
    <col min="13551" max="13551" width="8.42578125" style="244" customWidth="1"/>
    <col min="13552" max="13552" width="10.85546875" style="244" customWidth="1"/>
    <col min="13553" max="13553" width="13.42578125" style="244" customWidth="1"/>
    <col min="13554" max="13554" width="20.42578125" style="244" customWidth="1"/>
    <col min="13555" max="13555" width="13.42578125" style="244" customWidth="1"/>
    <col min="13556" max="13556" width="6.42578125" style="244" customWidth="1"/>
    <col min="13557" max="13557" width="18.42578125" style="244" customWidth="1"/>
    <col min="13558" max="13561" width="8.85546875" style="244" customWidth="1"/>
    <col min="13562" max="13562" width="4.85546875" style="244" customWidth="1"/>
    <col min="13563" max="13563" width="8.85546875" style="244" customWidth="1"/>
    <col min="13564" max="13564" width="11.85546875" style="244" customWidth="1"/>
    <col min="13565" max="13565" width="12.85546875" style="244" bestFit="1" customWidth="1"/>
    <col min="13566" max="13566" width="15.85546875" style="244" customWidth="1"/>
    <col min="13567" max="13567" width="27.85546875" style="244" customWidth="1"/>
    <col min="13568" max="13568" width="8.140625" style="244" customWidth="1"/>
    <col min="13569" max="13569" width="45.42578125" style="244" bestFit="1" customWidth="1"/>
    <col min="13570" max="13570" width="20.85546875" style="244" customWidth="1"/>
    <col min="13571" max="13571" width="18.140625" style="244" customWidth="1"/>
    <col min="13572" max="13572" width="9" style="244" customWidth="1"/>
    <col min="13573" max="13573" width="10.140625" style="244" customWidth="1"/>
    <col min="13574" max="13574" width="9.85546875" style="244" customWidth="1"/>
    <col min="13575" max="13575" width="11" style="244" bestFit="1" customWidth="1"/>
    <col min="13576" max="13576" width="8.42578125" style="244" bestFit="1" customWidth="1"/>
    <col min="13577" max="13577" width="10.140625" style="244" customWidth="1"/>
    <col min="13578" max="13578" width="7.85546875" style="244" customWidth="1"/>
    <col min="13579" max="13579" width="9.42578125" style="244" customWidth="1"/>
    <col min="13580" max="13789" width="8.85546875" style="244" customWidth="1"/>
    <col min="13790" max="13790" width="7.42578125" style="244" customWidth="1"/>
    <col min="13791" max="13791" width="13.140625" style="244" customWidth="1"/>
    <col min="13792" max="13792" width="34.140625" style="244" customWidth="1"/>
    <col min="13793" max="13793" width="57.42578125" style="244" customWidth="1"/>
    <col min="13794" max="13794" width="18.140625" style="244" customWidth="1"/>
    <col min="13795" max="13795" width="10.140625" style="244" customWidth="1"/>
    <col min="13796" max="13796" width="9.85546875" style="244" customWidth="1"/>
    <col min="13797" max="13797" width="19.140625" style="244" customWidth="1"/>
    <col min="13798" max="13798" width="9.85546875" style="244" customWidth="1"/>
    <col min="13799" max="13799" width="15.85546875" style="244" customWidth="1"/>
    <col min="13800" max="13802" width="13.42578125" style="244" customWidth="1"/>
    <col min="13803" max="13803" width="6.42578125" style="244" customWidth="1"/>
    <col min="13804" max="13805" width="18.42578125" style="244" customWidth="1"/>
    <col min="13806" max="13806" width="16.85546875" style="244" customWidth="1"/>
    <col min="13807" max="13807" width="8.42578125" style="244" customWidth="1"/>
    <col min="13808" max="13808" width="10.85546875" style="244" customWidth="1"/>
    <col min="13809" max="13809" width="13.42578125" style="244" customWidth="1"/>
    <col min="13810" max="13810" width="20.42578125" style="244" customWidth="1"/>
    <col min="13811" max="13811" width="13.42578125" style="244" customWidth="1"/>
    <col min="13812" max="13812" width="6.42578125" style="244" customWidth="1"/>
    <col min="13813" max="13813" width="18.42578125" style="244" customWidth="1"/>
    <col min="13814" max="13817" width="8.85546875" style="244" customWidth="1"/>
    <col min="13818" max="13818" width="4.85546875" style="244" customWidth="1"/>
    <col min="13819" max="13819" width="8.85546875" style="244" customWidth="1"/>
    <col min="13820" max="13820" width="11.85546875" style="244" customWidth="1"/>
    <col min="13821" max="13821" width="12.85546875" style="244" bestFit="1" customWidth="1"/>
    <col min="13822" max="13822" width="15.85546875" style="244" customWidth="1"/>
    <col min="13823" max="13823" width="27.85546875" style="244" customWidth="1"/>
    <col min="13824" max="13824" width="8.140625" style="244" customWidth="1"/>
    <col min="13825" max="13825" width="45.42578125" style="244" bestFit="1" customWidth="1"/>
    <col min="13826" max="13826" width="20.85546875" style="244" customWidth="1"/>
    <col min="13827" max="13827" width="18.140625" style="244" customWidth="1"/>
    <col min="13828" max="13828" width="9" style="244" customWidth="1"/>
    <col min="13829" max="13829" width="10.140625" style="244" customWidth="1"/>
    <col min="13830" max="13830" width="9.85546875" style="244" customWidth="1"/>
    <col min="13831" max="13831" width="11" style="244" bestFit="1" customWidth="1"/>
    <col min="13832" max="13832" width="8.42578125" style="244" bestFit="1" customWidth="1"/>
    <col min="13833" max="13833" width="10.140625" style="244" customWidth="1"/>
    <col min="13834" max="13834" width="7.85546875" style="244" customWidth="1"/>
    <col min="13835" max="13835" width="9.42578125" style="244" customWidth="1"/>
    <col min="13836" max="14045" width="8.85546875" style="244" customWidth="1"/>
    <col min="14046" max="14046" width="7.42578125" style="244" customWidth="1"/>
    <col min="14047" max="14047" width="13.140625" style="244" customWidth="1"/>
    <col min="14048" max="14048" width="34.140625" style="244" customWidth="1"/>
    <col min="14049" max="14049" width="57.42578125" style="244" customWidth="1"/>
    <col min="14050" max="14050" width="18.140625" style="244" customWidth="1"/>
    <col min="14051" max="14051" width="10.140625" style="244" customWidth="1"/>
    <col min="14052" max="14052" width="9.85546875" style="244" customWidth="1"/>
    <col min="14053" max="14053" width="19.140625" style="244" customWidth="1"/>
    <col min="14054" max="14054" width="9.85546875" style="244" customWidth="1"/>
    <col min="14055" max="14055" width="15.85546875" style="244" customWidth="1"/>
    <col min="14056" max="14058" width="13.42578125" style="244" customWidth="1"/>
    <col min="14059" max="14059" width="6.42578125" style="244" customWidth="1"/>
    <col min="14060" max="14061" width="18.42578125" style="244" customWidth="1"/>
    <col min="14062" max="14062" width="16.85546875" style="244" customWidth="1"/>
    <col min="14063" max="14063" width="8.42578125" style="244" customWidth="1"/>
    <col min="14064" max="14064" width="10.85546875" style="244" customWidth="1"/>
    <col min="14065" max="14065" width="13.42578125" style="244" customWidth="1"/>
    <col min="14066" max="14066" width="20.42578125" style="244" customWidth="1"/>
    <col min="14067" max="14067" width="13.42578125" style="244" customWidth="1"/>
    <col min="14068" max="14068" width="6.42578125" style="244" customWidth="1"/>
    <col min="14069" max="14069" width="18.42578125" style="244" customWidth="1"/>
    <col min="14070" max="14073" width="8.85546875" style="244" customWidth="1"/>
    <col min="14074" max="14074" width="4.85546875" style="244" customWidth="1"/>
    <col min="14075" max="14075" width="8.85546875" style="244" customWidth="1"/>
    <col min="14076" max="14076" width="11.85546875" style="244" customWidth="1"/>
    <col min="14077" max="14077" width="12.85546875" style="244" bestFit="1" customWidth="1"/>
    <col min="14078" max="14078" width="15.85546875" style="244" customWidth="1"/>
    <col min="14079" max="14079" width="27.85546875" style="244" customWidth="1"/>
    <col min="14080" max="14080" width="8.140625" style="244" customWidth="1"/>
    <col min="14081" max="14081" width="45.42578125" style="244" bestFit="1" customWidth="1"/>
    <col min="14082" max="14082" width="20.85546875" style="244" customWidth="1"/>
    <col min="14083" max="14083" width="18.140625" style="244" customWidth="1"/>
    <col min="14084" max="14084" width="9" style="244" customWidth="1"/>
    <col min="14085" max="14085" width="10.140625" style="244" customWidth="1"/>
    <col min="14086" max="14086" width="9.85546875" style="244" customWidth="1"/>
    <col min="14087" max="14087" width="11" style="244" bestFit="1" customWidth="1"/>
    <col min="14088" max="14088" width="8.42578125" style="244" bestFit="1" customWidth="1"/>
    <col min="14089" max="14089" width="10.140625" style="244" customWidth="1"/>
    <col min="14090" max="14090" width="7.85546875" style="244" customWidth="1"/>
    <col min="14091" max="14091" width="9.42578125" style="244" customWidth="1"/>
    <col min="14092" max="14301" width="8.85546875" style="244" customWidth="1"/>
    <col min="14302" max="14302" width="7.42578125" style="244" customWidth="1"/>
    <col min="14303" max="14303" width="13.140625" style="244" customWidth="1"/>
    <col min="14304" max="14304" width="34.140625" style="244" customWidth="1"/>
    <col min="14305" max="14305" width="57.42578125" style="244" customWidth="1"/>
    <col min="14306" max="14306" width="18.140625" style="244" customWidth="1"/>
    <col min="14307" max="14307" width="10.140625" style="244" customWidth="1"/>
    <col min="14308" max="14308" width="9.85546875" style="244" customWidth="1"/>
    <col min="14309" max="14309" width="19.140625" style="244" customWidth="1"/>
    <col min="14310" max="14310" width="9.85546875" style="244" customWidth="1"/>
    <col min="14311" max="14311" width="15.85546875" style="244" customWidth="1"/>
    <col min="14312" max="14314" width="13.42578125" style="244" customWidth="1"/>
    <col min="14315" max="14315" width="6.42578125" style="244" customWidth="1"/>
    <col min="14316" max="14317" width="18.42578125" style="244" customWidth="1"/>
    <col min="14318" max="14318" width="16.85546875" style="244" customWidth="1"/>
    <col min="14319" max="14319" width="8.42578125" style="244" customWidth="1"/>
    <col min="14320" max="14320" width="10.85546875" style="244" customWidth="1"/>
    <col min="14321" max="14321" width="13.42578125" style="244" customWidth="1"/>
    <col min="14322" max="14322" width="20.42578125" style="244" customWidth="1"/>
    <col min="14323" max="14323" width="13.42578125" style="244" customWidth="1"/>
    <col min="14324" max="14324" width="6.42578125" style="244" customWidth="1"/>
    <col min="14325" max="14325" width="18.42578125" style="244" customWidth="1"/>
    <col min="14326" max="14329" width="8.85546875" style="244" customWidth="1"/>
    <col min="14330" max="14330" width="4.85546875" style="244" customWidth="1"/>
    <col min="14331" max="14331" width="8.85546875" style="244" customWidth="1"/>
    <col min="14332" max="14332" width="11.85546875" style="244" customWidth="1"/>
    <col min="14333" max="14333" width="12.85546875" style="244" bestFit="1" customWidth="1"/>
    <col min="14334" max="14334" width="15.85546875" style="244" customWidth="1"/>
    <col min="14335" max="14335" width="27.85546875" style="244" customWidth="1"/>
    <col min="14336" max="14336" width="8.140625" style="244" customWidth="1"/>
    <col min="14337" max="14337" width="45.42578125" style="244" bestFit="1" customWidth="1"/>
    <col min="14338" max="14338" width="20.85546875" style="244" customWidth="1"/>
    <col min="14339" max="14339" width="18.140625" style="244" customWidth="1"/>
    <col min="14340" max="14340" width="9" style="244" customWidth="1"/>
    <col min="14341" max="14341" width="10.140625" style="244" customWidth="1"/>
    <col min="14342" max="14342" width="9.85546875" style="244" customWidth="1"/>
    <col min="14343" max="14343" width="11" style="244" bestFit="1" customWidth="1"/>
    <col min="14344" max="14344" width="8.42578125" style="244" bestFit="1" customWidth="1"/>
    <col min="14345" max="14345" width="10.140625" style="244" customWidth="1"/>
    <col min="14346" max="14346" width="7.85546875" style="244" customWidth="1"/>
    <col min="14347" max="14347" width="9.42578125" style="244" customWidth="1"/>
    <col min="14348" max="14557" width="8.85546875" style="244" customWidth="1"/>
    <col min="14558" max="14558" width="7.42578125" style="244" customWidth="1"/>
    <col min="14559" max="14559" width="13.140625" style="244" customWidth="1"/>
    <col min="14560" max="14560" width="34.140625" style="244" customWidth="1"/>
    <col min="14561" max="14561" width="57.42578125" style="244" customWidth="1"/>
    <col min="14562" max="14562" width="18.140625" style="244" customWidth="1"/>
    <col min="14563" max="14563" width="10.140625" style="244" customWidth="1"/>
    <col min="14564" max="14564" width="9.85546875" style="244" customWidth="1"/>
    <col min="14565" max="14565" width="19.140625" style="244" customWidth="1"/>
    <col min="14566" max="14566" width="9.85546875" style="244" customWidth="1"/>
    <col min="14567" max="14567" width="15.85546875" style="244" customWidth="1"/>
    <col min="14568" max="14570" width="13.42578125" style="244" customWidth="1"/>
    <col min="14571" max="14571" width="6.42578125" style="244" customWidth="1"/>
    <col min="14572" max="14573" width="18.42578125" style="244" customWidth="1"/>
    <col min="14574" max="14574" width="16.85546875" style="244" customWidth="1"/>
    <col min="14575" max="14575" width="8.42578125" style="244" customWidth="1"/>
    <col min="14576" max="14576" width="10.85546875" style="244" customWidth="1"/>
    <col min="14577" max="14577" width="13.42578125" style="244" customWidth="1"/>
    <col min="14578" max="14578" width="20.42578125" style="244" customWidth="1"/>
    <col min="14579" max="14579" width="13.42578125" style="244" customWidth="1"/>
    <col min="14580" max="14580" width="6.42578125" style="244" customWidth="1"/>
    <col min="14581" max="14581" width="18.42578125" style="244" customWidth="1"/>
    <col min="14582" max="14585" width="8.85546875" style="244" customWidth="1"/>
    <col min="14586" max="14586" width="4.85546875" style="244" customWidth="1"/>
    <col min="14587" max="14587" width="8.85546875" style="244" customWidth="1"/>
    <col min="14588" max="14588" width="11.85546875" style="244" customWidth="1"/>
    <col min="14589" max="14589" width="12.85546875" style="244" bestFit="1" customWidth="1"/>
    <col min="14590" max="14590" width="15.85546875" style="244" customWidth="1"/>
    <col min="14591" max="14591" width="27.85546875" style="244" customWidth="1"/>
    <col min="14592" max="14592" width="8.140625" style="244" customWidth="1"/>
    <col min="14593" max="14593" width="45.42578125" style="244" bestFit="1" customWidth="1"/>
    <col min="14594" max="14594" width="20.85546875" style="244" customWidth="1"/>
    <col min="14595" max="14595" width="18.140625" style="244" customWidth="1"/>
    <col min="14596" max="14596" width="9" style="244" customWidth="1"/>
    <col min="14597" max="14597" width="10.140625" style="244" customWidth="1"/>
    <col min="14598" max="14598" width="9.85546875" style="244" customWidth="1"/>
    <col min="14599" max="14599" width="11" style="244" bestFit="1" customWidth="1"/>
    <col min="14600" max="14600" width="8.42578125" style="244" bestFit="1" customWidth="1"/>
    <col min="14601" max="14601" width="10.140625" style="244" customWidth="1"/>
    <col min="14602" max="14602" width="7.85546875" style="244" customWidth="1"/>
    <col min="14603" max="14603" width="9.42578125" style="244" customWidth="1"/>
    <col min="14604" max="14813" width="8.85546875" style="244" customWidth="1"/>
    <col min="14814" max="14814" width="7.42578125" style="244" customWidth="1"/>
    <col min="14815" max="14815" width="13.140625" style="244" customWidth="1"/>
    <col min="14816" max="14816" width="34.140625" style="244" customWidth="1"/>
    <col min="14817" max="14817" width="57.42578125" style="244" customWidth="1"/>
    <col min="14818" max="14818" width="18.140625" style="244" customWidth="1"/>
    <col min="14819" max="14819" width="10.140625" style="244" customWidth="1"/>
    <col min="14820" max="14820" width="9.85546875" style="244" customWidth="1"/>
    <col min="14821" max="14821" width="19.140625" style="244" customWidth="1"/>
    <col min="14822" max="14822" width="9.85546875" style="244" customWidth="1"/>
    <col min="14823" max="14823" width="15.85546875" style="244" customWidth="1"/>
    <col min="14824" max="14826" width="13.42578125" style="244" customWidth="1"/>
    <col min="14827" max="14827" width="6.42578125" style="244" customWidth="1"/>
    <col min="14828" max="14829" width="18.42578125" style="244" customWidth="1"/>
    <col min="14830" max="14830" width="16.85546875" style="244" customWidth="1"/>
    <col min="14831" max="14831" width="8.42578125" style="244" customWidth="1"/>
    <col min="14832" max="14832" width="10.85546875" style="244" customWidth="1"/>
    <col min="14833" max="14833" width="13.42578125" style="244" customWidth="1"/>
    <col min="14834" max="14834" width="20.42578125" style="244" customWidth="1"/>
    <col min="14835" max="14835" width="13.42578125" style="244" customWidth="1"/>
    <col min="14836" max="14836" width="6.42578125" style="244" customWidth="1"/>
    <col min="14837" max="14837" width="18.42578125" style="244" customWidth="1"/>
    <col min="14838" max="14841" width="8.85546875" style="244" customWidth="1"/>
    <col min="14842" max="14842" width="4.85546875" style="244" customWidth="1"/>
    <col min="14843" max="14843" width="8.85546875" style="244" customWidth="1"/>
    <col min="14844" max="14844" width="11.85546875" style="244" customWidth="1"/>
    <col min="14845" max="14845" width="12.85546875" style="244" bestFit="1" customWidth="1"/>
    <col min="14846" max="14846" width="15.85546875" style="244" customWidth="1"/>
    <col min="14847" max="14847" width="27.85546875" style="244" customWidth="1"/>
    <col min="14848" max="14848" width="8.140625" style="244" customWidth="1"/>
    <col min="14849" max="14849" width="45.42578125" style="244" bestFit="1" customWidth="1"/>
    <col min="14850" max="14850" width="20.85546875" style="244" customWidth="1"/>
    <col min="14851" max="14851" width="18.140625" style="244" customWidth="1"/>
    <col min="14852" max="14852" width="9" style="244" customWidth="1"/>
    <col min="14853" max="14853" width="10.140625" style="244" customWidth="1"/>
    <col min="14854" max="14854" width="9.85546875" style="244" customWidth="1"/>
    <col min="14855" max="14855" width="11" style="244" bestFit="1" customWidth="1"/>
    <col min="14856" max="14856" width="8.42578125" style="244" bestFit="1" customWidth="1"/>
    <col min="14857" max="14857" width="10.140625" style="244" customWidth="1"/>
    <col min="14858" max="14858" width="7.85546875" style="244" customWidth="1"/>
    <col min="14859" max="14859" width="9.42578125" style="244" customWidth="1"/>
    <col min="14860" max="15069" width="8.85546875" style="244" customWidth="1"/>
    <col min="15070" max="15070" width="7.42578125" style="244" customWidth="1"/>
    <col min="15071" max="15071" width="13.140625" style="244" customWidth="1"/>
    <col min="15072" max="15072" width="34.140625" style="244" customWidth="1"/>
    <col min="15073" max="15073" width="57.42578125" style="244" customWidth="1"/>
    <col min="15074" max="15074" width="18.140625" style="244" customWidth="1"/>
    <col min="15075" max="15075" width="10.140625" style="244" customWidth="1"/>
    <col min="15076" max="15076" width="9.85546875" style="244" customWidth="1"/>
    <col min="15077" max="15077" width="19.140625" style="244" customWidth="1"/>
    <col min="15078" max="15078" width="9.85546875" style="244" customWidth="1"/>
    <col min="15079" max="15079" width="15.85546875" style="244" customWidth="1"/>
    <col min="15080" max="15082" width="13.42578125" style="244" customWidth="1"/>
    <col min="15083" max="15083" width="6.42578125" style="244" customWidth="1"/>
    <col min="15084" max="15085" width="18.42578125" style="244" customWidth="1"/>
    <col min="15086" max="15086" width="16.85546875" style="244" customWidth="1"/>
    <col min="15087" max="15087" width="8.42578125" style="244" customWidth="1"/>
    <col min="15088" max="15088" width="10.85546875" style="244" customWidth="1"/>
    <col min="15089" max="15089" width="13.42578125" style="244" customWidth="1"/>
    <col min="15090" max="15090" width="20.42578125" style="244" customWidth="1"/>
    <col min="15091" max="15091" width="13.42578125" style="244" customWidth="1"/>
    <col min="15092" max="15092" width="6.42578125" style="244" customWidth="1"/>
    <col min="15093" max="15093" width="18.42578125" style="244" customWidth="1"/>
    <col min="15094" max="15097" width="8.85546875" style="244" customWidth="1"/>
    <col min="15098" max="15098" width="4.85546875" style="244" customWidth="1"/>
    <col min="15099" max="15099" width="8.85546875" style="244" customWidth="1"/>
    <col min="15100" max="15100" width="11.85546875" style="244" customWidth="1"/>
    <col min="15101" max="15101" width="12.85546875" style="244" bestFit="1" customWidth="1"/>
    <col min="15102" max="15102" width="15.85546875" style="244" customWidth="1"/>
    <col min="15103" max="15103" width="27.85546875" style="244" customWidth="1"/>
    <col min="15104" max="15104" width="8.140625" style="244" customWidth="1"/>
    <col min="15105" max="15105" width="45.42578125" style="244" bestFit="1" customWidth="1"/>
    <col min="15106" max="15106" width="20.85546875" style="244" customWidth="1"/>
    <col min="15107" max="15107" width="18.140625" style="244" customWidth="1"/>
    <col min="15108" max="15108" width="9" style="244" customWidth="1"/>
    <col min="15109" max="15109" width="10.140625" style="244" customWidth="1"/>
    <col min="15110" max="15110" width="9.85546875" style="244" customWidth="1"/>
    <col min="15111" max="15111" width="11" style="244" bestFit="1" customWidth="1"/>
    <col min="15112" max="15112" width="8.42578125" style="244" bestFit="1" customWidth="1"/>
    <col min="15113" max="15113" width="10.140625" style="244" customWidth="1"/>
    <col min="15114" max="15114" width="7.85546875" style="244" customWidth="1"/>
    <col min="15115" max="15115" width="9.42578125" style="244" customWidth="1"/>
    <col min="15116" max="15325" width="8.85546875" style="244" customWidth="1"/>
    <col min="15326" max="15326" width="7.42578125" style="244" customWidth="1"/>
    <col min="15327" max="15327" width="13.140625" style="244" customWidth="1"/>
    <col min="15328" max="15328" width="34.140625" style="244" customWidth="1"/>
    <col min="15329" max="15329" width="57.42578125" style="244" customWidth="1"/>
    <col min="15330" max="15330" width="18.140625" style="244" customWidth="1"/>
    <col min="15331" max="15331" width="10.140625" style="244" customWidth="1"/>
    <col min="15332" max="15332" width="9.85546875" style="244" customWidth="1"/>
    <col min="15333" max="15333" width="19.140625" style="244" customWidth="1"/>
    <col min="15334" max="15334" width="9.85546875" style="244" customWidth="1"/>
    <col min="15335" max="15335" width="15.85546875" style="244" customWidth="1"/>
    <col min="15336" max="15338" width="13.42578125" style="244" customWidth="1"/>
    <col min="15339" max="15339" width="6.42578125" style="244" customWidth="1"/>
    <col min="15340" max="15341" width="18.42578125" style="244" customWidth="1"/>
    <col min="15342" max="15342" width="16.85546875" style="244" customWidth="1"/>
    <col min="15343" max="15343" width="8.42578125" style="244" customWidth="1"/>
    <col min="15344" max="15344" width="10.85546875" style="244" customWidth="1"/>
    <col min="15345" max="15345" width="13.42578125" style="244" customWidth="1"/>
    <col min="15346" max="15346" width="20.42578125" style="244" customWidth="1"/>
    <col min="15347" max="15347" width="13.42578125" style="244" customWidth="1"/>
    <col min="15348" max="15348" width="6.42578125" style="244" customWidth="1"/>
    <col min="15349" max="15349" width="18.42578125" style="244" customWidth="1"/>
    <col min="15350" max="15353" width="8.85546875" style="244" customWidth="1"/>
    <col min="15354" max="15354" width="4.85546875" style="244" customWidth="1"/>
    <col min="15355" max="15355" width="8.85546875" style="244" customWidth="1"/>
    <col min="15356" max="15356" width="11.85546875" style="244" customWidth="1"/>
    <col min="15357" max="15357" width="12.85546875" style="244" bestFit="1" customWidth="1"/>
    <col min="15358" max="15358" width="15.85546875" style="244" customWidth="1"/>
    <col min="15359" max="15359" width="27.85546875" style="244" customWidth="1"/>
    <col min="15360" max="15360" width="8.140625" style="244" customWidth="1"/>
    <col min="15361" max="15361" width="45.42578125" style="244" bestFit="1" customWidth="1"/>
    <col min="15362" max="15362" width="20.85546875" style="244" customWidth="1"/>
    <col min="15363" max="15363" width="18.140625" style="244" customWidth="1"/>
    <col min="15364" max="15364" width="9" style="244" customWidth="1"/>
    <col min="15365" max="15365" width="10.140625" style="244" customWidth="1"/>
    <col min="15366" max="15366" width="9.85546875" style="244" customWidth="1"/>
    <col min="15367" max="15367" width="11" style="244" bestFit="1" customWidth="1"/>
    <col min="15368" max="15368" width="8.42578125" style="244" bestFit="1" customWidth="1"/>
    <col min="15369" max="15369" width="10.140625" style="244" customWidth="1"/>
    <col min="15370" max="15370" width="7.85546875" style="244" customWidth="1"/>
    <col min="15371" max="15371" width="9.42578125" style="244" customWidth="1"/>
    <col min="15372" max="15581" width="8.85546875" style="244" customWidth="1"/>
    <col min="15582" max="15582" width="7.42578125" style="244" customWidth="1"/>
    <col min="15583" max="15583" width="13.140625" style="244" customWidth="1"/>
    <col min="15584" max="15584" width="34.140625" style="244" customWidth="1"/>
    <col min="15585" max="15585" width="57.42578125" style="244" customWidth="1"/>
    <col min="15586" max="15586" width="18.140625" style="244" customWidth="1"/>
    <col min="15587" max="15587" width="10.140625" style="244" customWidth="1"/>
    <col min="15588" max="15588" width="9.85546875" style="244" customWidth="1"/>
    <col min="15589" max="15589" width="19.140625" style="244" customWidth="1"/>
    <col min="15590" max="15590" width="9.85546875" style="244" customWidth="1"/>
    <col min="15591" max="15591" width="15.85546875" style="244" customWidth="1"/>
    <col min="15592" max="15594" width="13.42578125" style="244" customWidth="1"/>
    <col min="15595" max="15595" width="6.42578125" style="244" customWidth="1"/>
    <col min="15596" max="15597" width="18.42578125" style="244" customWidth="1"/>
    <col min="15598" max="15598" width="16.85546875" style="244" customWidth="1"/>
    <col min="15599" max="15599" width="8.42578125" style="244" customWidth="1"/>
    <col min="15600" max="15600" width="10.85546875" style="244" customWidth="1"/>
    <col min="15601" max="15601" width="13.42578125" style="244" customWidth="1"/>
    <col min="15602" max="15602" width="20.42578125" style="244" customWidth="1"/>
    <col min="15603" max="15603" width="13.42578125" style="244" customWidth="1"/>
    <col min="15604" max="15604" width="6.42578125" style="244" customWidth="1"/>
    <col min="15605" max="15605" width="18.42578125" style="244" customWidth="1"/>
    <col min="15606" max="15609" width="8.85546875" style="244" customWidth="1"/>
    <col min="15610" max="15610" width="4.85546875" style="244" customWidth="1"/>
    <col min="15611" max="15611" width="8.85546875" style="244" customWidth="1"/>
    <col min="15612" max="15612" width="11.85546875" style="244" customWidth="1"/>
    <col min="15613" max="15613" width="12.85546875" style="244" bestFit="1" customWidth="1"/>
    <col min="15614" max="15614" width="15.85546875" style="244" customWidth="1"/>
    <col min="15615" max="15615" width="27.85546875" style="244" customWidth="1"/>
    <col min="15616" max="15616" width="8.140625" style="244" customWidth="1"/>
    <col min="15617" max="15617" width="45.42578125" style="244" bestFit="1" customWidth="1"/>
    <col min="15618" max="15618" width="20.85546875" style="244" customWidth="1"/>
    <col min="15619" max="15619" width="18.140625" style="244" customWidth="1"/>
    <col min="15620" max="15620" width="9" style="244" customWidth="1"/>
    <col min="15621" max="15621" width="10.140625" style="244" customWidth="1"/>
    <col min="15622" max="15622" width="9.85546875" style="244" customWidth="1"/>
    <col min="15623" max="15623" width="11" style="244" bestFit="1" customWidth="1"/>
    <col min="15624" max="15624" width="8.42578125" style="244" bestFit="1" customWidth="1"/>
    <col min="15625" max="15625" width="10.140625" style="244" customWidth="1"/>
    <col min="15626" max="15626" width="7.85546875" style="244" customWidth="1"/>
    <col min="15627" max="15627" width="9.42578125" style="244" customWidth="1"/>
    <col min="15628" max="15837" width="8.85546875" style="244" customWidth="1"/>
    <col min="15838" max="15838" width="7.42578125" style="244" customWidth="1"/>
    <col min="15839" max="15839" width="13.140625" style="244" customWidth="1"/>
    <col min="15840" max="15840" width="34.140625" style="244" customWidth="1"/>
    <col min="15841" max="15841" width="57.42578125" style="244" customWidth="1"/>
    <col min="15842" max="15842" width="18.140625" style="244" customWidth="1"/>
    <col min="15843" max="15843" width="10.140625" style="244" customWidth="1"/>
    <col min="15844" max="15844" width="9.85546875" style="244" customWidth="1"/>
    <col min="15845" max="15845" width="19.140625" style="244" customWidth="1"/>
    <col min="15846" max="15846" width="9.85546875" style="244" customWidth="1"/>
    <col min="15847" max="15847" width="15.85546875" style="244" customWidth="1"/>
    <col min="15848" max="15850" width="13.42578125" style="244" customWidth="1"/>
    <col min="15851" max="15851" width="6.42578125" style="244" customWidth="1"/>
    <col min="15852" max="15853" width="18.42578125" style="244" customWidth="1"/>
    <col min="15854" max="15854" width="16.85546875" style="244" customWidth="1"/>
    <col min="15855" max="15855" width="8.42578125" style="244" customWidth="1"/>
    <col min="15856" max="15856" width="10.85546875" style="244" customWidth="1"/>
    <col min="15857" max="15857" width="13.42578125" style="244" customWidth="1"/>
    <col min="15858" max="15858" width="20.42578125" style="244" customWidth="1"/>
    <col min="15859" max="15859" width="13.42578125" style="244" customWidth="1"/>
    <col min="15860" max="15860" width="6.42578125" style="244" customWidth="1"/>
    <col min="15861" max="15861" width="18.42578125" style="244" customWidth="1"/>
    <col min="15862" max="15865" width="8.85546875" style="244" customWidth="1"/>
    <col min="15866" max="15866" width="4.85546875" style="244" customWidth="1"/>
    <col min="15867" max="15867" width="8.85546875" style="244" customWidth="1"/>
    <col min="15868" max="15868" width="11.85546875" style="244" customWidth="1"/>
    <col min="15869" max="15869" width="12.85546875" style="244" bestFit="1" customWidth="1"/>
    <col min="15870" max="15870" width="15.85546875" style="244" customWidth="1"/>
    <col min="15871" max="15871" width="27.85546875" style="244" customWidth="1"/>
    <col min="15872" max="15872" width="8.140625" style="244" customWidth="1"/>
    <col min="15873" max="15873" width="45.42578125" style="244" bestFit="1" customWidth="1"/>
    <col min="15874" max="15874" width="20.85546875" style="244" customWidth="1"/>
    <col min="15875" max="15875" width="18.140625" style="244" customWidth="1"/>
    <col min="15876" max="15876" width="9" style="244" customWidth="1"/>
    <col min="15877" max="15877" width="10.140625" style="244" customWidth="1"/>
    <col min="15878" max="15878" width="9.85546875" style="244" customWidth="1"/>
    <col min="15879" max="15879" width="11" style="244" bestFit="1" customWidth="1"/>
    <col min="15880" max="15880" width="8.42578125" style="244" bestFit="1" customWidth="1"/>
    <col min="15881" max="15881" width="10.140625" style="244" customWidth="1"/>
    <col min="15882" max="15882" width="7.85546875" style="244" customWidth="1"/>
    <col min="15883" max="15883" width="9.42578125" style="244" customWidth="1"/>
    <col min="15884" max="16093" width="8.85546875" style="244" customWidth="1"/>
    <col min="16094" max="16094" width="7.42578125" style="244" customWidth="1"/>
    <col min="16095" max="16095" width="13.140625" style="244" customWidth="1"/>
    <col min="16096" max="16096" width="34.140625" style="244" customWidth="1"/>
    <col min="16097" max="16097" width="57.42578125" style="244" customWidth="1"/>
    <col min="16098" max="16098" width="18.140625" style="244" customWidth="1"/>
    <col min="16099" max="16099" width="10.140625" style="244" customWidth="1"/>
    <col min="16100" max="16100" width="9.85546875" style="244" customWidth="1"/>
    <col min="16101" max="16101" width="19.140625" style="244" customWidth="1"/>
    <col min="16102" max="16102" width="9.85546875" style="244" customWidth="1"/>
    <col min="16103" max="16103" width="15.85546875" style="244" customWidth="1"/>
    <col min="16104" max="16106" width="13.42578125" style="244" customWidth="1"/>
    <col min="16107" max="16107" width="6.42578125" style="244" customWidth="1"/>
    <col min="16108" max="16109" width="18.42578125" style="244" customWidth="1"/>
    <col min="16110" max="16110" width="16.85546875" style="244" customWidth="1"/>
    <col min="16111" max="16111" width="8.42578125" style="244" customWidth="1"/>
    <col min="16112" max="16112" width="10.85546875" style="244" customWidth="1"/>
    <col min="16113" max="16113" width="13.42578125" style="244" customWidth="1"/>
    <col min="16114" max="16114" width="20.42578125" style="244" customWidth="1"/>
    <col min="16115" max="16115" width="13.42578125" style="244" customWidth="1"/>
    <col min="16116" max="16116" width="6.42578125" style="244" customWidth="1"/>
    <col min="16117" max="16117" width="18.42578125" style="244" customWidth="1"/>
    <col min="16118" max="16121" width="8.85546875" style="244" customWidth="1"/>
    <col min="16122" max="16122" width="4.85546875" style="244" customWidth="1"/>
    <col min="16123" max="16123" width="8.85546875" style="244" customWidth="1"/>
    <col min="16124" max="16124" width="11.85546875" style="244" customWidth="1"/>
    <col min="16125" max="16125" width="12.85546875" style="244" bestFit="1" customWidth="1"/>
    <col min="16126" max="16126" width="15.85546875" style="244" customWidth="1"/>
    <col min="16127" max="16127" width="27.85546875" style="244" customWidth="1"/>
    <col min="16128" max="16128" width="8.140625" style="244" customWidth="1"/>
    <col min="16129" max="16129" width="45.42578125" style="244" bestFit="1" customWidth="1"/>
    <col min="16130" max="16130" width="20.85546875" style="244" customWidth="1"/>
    <col min="16131" max="16131" width="18.140625" style="244" customWidth="1"/>
    <col min="16132" max="16132" width="9" style="244" customWidth="1"/>
    <col min="16133" max="16133" width="10.140625" style="244" customWidth="1"/>
    <col min="16134" max="16134" width="9.85546875" style="244" customWidth="1"/>
    <col min="16135" max="16135" width="11" style="244" bestFit="1" customWidth="1"/>
    <col min="16136" max="16136" width="8.42578125" style="244" bestFit="1" customWidth="1"/>
    <col min="16137" max="16137" width="10.140625" style="244" customWidth="1"/>
    <col min="16138" max="16138" width="7.85546875" style="244" customWidth="1"/>
    <col min="16139" max="16139" width="9.42578125" style="244" customWidth="1"/>
    <col min="16140" max="16349" width="8.85546875" style="244" customWidth="1"/>
    <col min="16350" max="16350" width="7.42578125" style="244" customWidth="1"/>
    <col min="16351" max="16351" width="13.140625" style="244" customWidth="1"/>
    <col min="16352" max="16352" width="34.140625" style="244" customWidth="1"/>
    <col min="16353" max="16353" width="57.42578125" style="244" customWidth="1"/>
    <col min="16354" max="16354" width="18.140625" style="244" customWidth="1"/>
    <col min="16355" max="16355" width="10.140625" style="244" customWidth="1"/>
    <col min="16356" max="16356" width="9.85546875" style="244" customWidth="1"/>
    <col min="16357" max="16357" width="19.140625" style="244" customWidth="1"/>
    <col min="16358" max="16358" width="9.85546875" style="244" customWidth="1"/>
    <col min="16359" max="16359" width="15.85546875" style="244" customWidth="1"/>
    <col min="16360" max="16362" width="13.42578125" style="244" customWidth="1"/>
    <col min="16363" max="16363" width="6.42578125" style="244" customWidth="1"/>
    <col min="16364" max="16365" width="18.42578125" style="244" customWidth="1"/>
    <col min="16366" max="16366" width="16.85546875" style="244" customWidth="1"/>
    <col min="16367" max="16367" width="8.42578125" style="244" customWidth="1"/>
    <col min="16368" max="16368" width="10.85546875" style="244" customWidth="1"/>
    <col min="16369" max="16369" width="13.42578125" style="244" customWidth="1"/>
    <col min="16370" max="16384" width="20.42578125" style="244" customWidth="1"/>
  </cols>
  <sheetData>
    <row r="1" spans="1:21" s="242" customFormat="1" ht="14.1" customHeight="1">
      <c r="A1" s="1" t="s">
        <v>4317</v>
      </c>
      <c r="B1" s="2"/>
      <c r="C1" s="2"/>
      <c r="D1" s="2"/>
      <c r="E1" s="20"/>
      <c r="F1" s="2"/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10"/>
      <c r="S1" s="2"/>
      <c r="T1" s="2"/>
      <c r="U1" s="2"/>
    </row>
    <row r="2" spans="1:21" s="4" customFormat="1" ht="14.1" customHeight="1">
      <c r="A2" s="4" t="s">
        <v>4318</v>
      </c>
      <c r="E2" s="69"/>
      <c r="R2" s="336"/>
    </row>
    <row r="3" spans="1:21" s="243" customFormat="1" ht="14.1" customHeight="1">
      <c r="A3" s="3"/>
      <c r="B3" s="16"/>
      <c r="C3" s="16"/>
      <c r="D3" s="23"/>
      <c r="E3" s="16"/>
      <c r="F3" s="23"/>
      <c r="G3" s="15"/>
      <c r="H3" s="25"/>
      <c r="I3" s="15"/>
      <c r="J3" s="25"/>
      <c r="K3" s="25"/>
      <c r="L3" s="25"/>
      <c r="M3" s="25"/>
      <c r="N3" s="25"/>
      <c r="O3" s="25"/>
      <c r="P3" s="25"/>
      <c r="Q3" s="2"/>
      <c r="R3" s="355" t="s">
        <v>2</v>
      </c>
      <c r="S3" s="2"/>
      <c r="T3" s="2"/>
      <c r="U3" s="2"/>
    </row>
    <row r="4" spans="1:21" s="243" customFormat="1" ht="33" customHeight="1">
      <c r="A4" s="21" t="s">
        <v>3</v>
      </c>
      <c r="B4" s="52" t="s">
        <v>4</v>
      </c>
      <c r="C4" s="52" t="s">
        <v>5</v>
      </c>
      <c r="D4" s="21" t="s">
        <v>6</v>
      </c>
      <c r="E4" s="21" t="s">
        <v>7</v>
      </c>
      <c r="F4" s="21" t="s">
        <v>8</v>
      </c>
      <c r="G4" s="21" t="s">
        <v>9</v>
      </c>
      <c r="H4" s="21" t="s">
        <v>10</v>
      </c>
      <c r="I4" s="21" t="s">
        <v>11</v>
      </c>
      <c r="J4" s="21" t="s">
        <v>12</v>
      </c>
      <c r="K4" s="21" t="s">
        <v>13</v>
      </c>
      <c r="L4" s="21" t="s">
        <v>14</v>
      </c>
      <c r="M4" s="21" t="s">
        <v>15</v>
      </c>
      <c r="N4" s="21" t="s">
        <v>16</v>
      </c>
      <c r="O4" s="21" t="s">
        <v>17</v>
      </c>
      <c r="P4" s="21" t="s">
        <v>18</v>
      </c>
      <c r="Q4" s="3"/>
      <c r="R4" s="41" t="s">
        <v>19</v>
      </c>
      <c r="S4" s="3"/>
      <c r="T4" s="42" t="s">
        <v>20</v>
      </c>
      <c r="U4" s="42" t="s">
        <v>21</v>
      </c>
    </row>
    <row r="5" spans="1:21" ht="14.1" customHeight="1">
      <c r="A5" s="7">
        <v>1</v>
      </c>
      <c r="B5" s="14" t="s">
        <v>124</v>
      </c>
      <c r="C5" s="14" t="s">
        <v>393</v>
      </c>
      <c r="D5" s="7" t="s">
        <v>35</v>
      </c>
      <c r="E5" s="14" t="s">
        <v>4319</v>
      </c>
      <c r="F5" s="7" t="s">
        <v>26</v>
      </c>
      <c r="G5" s="8" t="s">
        <v>4320</v>
      </c>
      <c r="H5" s="7" t="s">
        <v>121</v>
      </c>
      <c r="I5" s="8" t="s">
        <v>4319</v>
      </c>
      <c r="J5" s="7" t="s">
        <v>123</v>
      </c>
      <c r="K5" s="7" t="s">
        <v>31</v>
      </c>
      <c r="L5" s="7" t="s">
        <v>387</v>
      </c>
      <c r="M5" s="7">
        <v>8302.41</v>
      </c>
      <c r="N5" s="7">
        <v>120</v>
      </c>
      <c r="O5" s="7" t="s">
        <v>4321</v>
      </c>
      <c r="P5" s="7"/>
      <c r="R5" s="9">
        <v>123.8321057275804</v>
      </c>
      <c r="T5" s="7" t="s">
        <v>34</v>
      </c>
      <c r="U5" s="7" t="s">
        <v>34</v>
      </c>
    </row>
    <row r="6" spans="1:21" ht="14.1" customHeight="1">
      <c r="A6" s="7">
        <v>2</v>
      </c>
      <c r="B6" s="14" t="s">
        <v>124</v>
      </c>
      <c r="C6" s="14" t="s">
        <v>393</v>
      </c>
      <c r="D6" s="7" t="s">
        <v>35</v>
      </c>
      <c r="E6" s="14" t="s">
        <v>4319</v>
      </c>
      <c r="F6" s="7" t="s">
        <v>26</v>
      </c>
      <c r="G6" s="8" t="s">
        <v>4322</v>
      </c>
      <c r="H6" s="7" t="s">
        <v>121</v>
      </c>
      <c r="I6" s="8" t="s">
        <v>4319</v>
      </c>
      <c r="J6" s="7" t="s">
        <v>123</v>
      </c>
      <c r="K6" s="7" t="s">
        <v>31</v>
      </c>
      <c r="L6" s="7" t="s">
        <v>387</v>
      </c>
      <c r="M6" s="7">
        <v>8302.41</v>
      </c>
      <c r="N6" s="7">
        <v>120</v>
      </c>
      <c r="O6" s="7" t="s">
        <v>4321</v>
      </c>
      <c r="P6" s="7"/>
      <c r="R6" s="9">
        <v>173.47820909092439</v>
      </c>
      <c r="T6" s="7" t="s">
        <v>34</v>
      </c>
      <c r="U6" s="7" t="s">
        <v>34</v>
      </c>
    </row>
    <row r="7" spans="1:21" ht="14.1" customHeight="1">
      <c r="A7" s="7">
        <v>3</v>
      </c>
      <c r="B7" s="14" t="s">
        <v>124</v>
      </c>
      <c r="C7" s="14" t="s">
        <v>393</v>
      </c>
      <c r="D7" s="7" t="s">
        <v>35</v>
      </c>
      <c r="E7" s="14" t="s">
        <v>4319</v>
      </c>
      <c r="F7" s="7" t="s">
        <v>26</v>
      </c>
      <c r="G7" s="8" t="s">
        <v>4323</v>
      </c>
      <c r="H7" s="7" t="s">
        <v>121</v>
      </c>
      <c r="I7" s="8" t="s">
        <v>4319</v>
      </c>
      <c r="J7" s="7" t="s">
        <v>123</v>
      </c>
      <c r="K7" s="7" t="s">
        <v>31</v>
      </c>
      <c r="L7" s="7" t="s">
        <v>387</v>
      </c>
      <c r="M7" s="7">
        <v>8302.41</v>
      </c>
      <c r="N7" s="7">
        <v>120</v>
      </c>
      <c r="O7" s="7" t="s">
        <v>4321</v>
      </c>
      <c r="P7" s="7"/>
      <c r="R7" s="9">
        <v>132.13791769711321</v>
      </c>
      <c r="T7" s="7" t="s">
        <v>34</v>
      </c>
      <c r="U7" s="7" t="s">
        <v>34</v>
      </c>
    </row>
    <row r="8" spans="1:21" ht="14.1" customHeight="1">
      <c r="A8" s="7">
        <v>4</v>
      </c>
      <c r="B8" s="14" t="s">
        <v>124</v>
      </c>
      <c r="C8" s="14" t="s">
        <v>393</v>
      </c>
      <c r="D8" s="7" t="s">
        <v>35</v>
      </c>
      <c r="E8" s="14" t="s">
        <v>4319</v>
      </c>
      <c r="F8" s="7" t="s">
        <v>26</v>
      </c>
      <c r="G8" s="8" t="s">
        <v>4324</v>
      </c>
      <c r="H8" s="7" t="s">
        <v>121</v>
      </c>
      <c r="I8" s="8" t="s">
        <v>4319</v>
      </c>
      <c r="J8" s="7" t="s">
        <v>123</v>
      </c>
      <c r="K8" s="7" t="s">
        <v>31</v>
      </c>
      <c r="L8" s="7" t="s">
        <v>387</v>
      </c>
      <c r="M8" s="7">
        <v>8302.41</v>
      </c>
      <c r="N8" s="7">
        <v>120</v>
      </c>
      <c r="O8" s="7" t="s">
        <v>4321</v>
      </c>
      <c r="P8" s="7"/>
      <c r="R8" s="9">
        <v>157.81042742112379</v>
      </c>
      <c r="T8" s="7" t="s">
        <v>34</v>
      </c>
      <c r="U8" s="7" t="s">
        <v>34</v>
      </c>
    </row>
    <row r="9" spans="1:21" ht="14.1" customHeight="1">
      <c r="A9" s="7">
        <v>5</v>
      </c>
      <c r="B9" s="14" t="s">
        <v>124</v>
      </c>
      <c r="C9" s="14" t="s">
        <v>393</v>
      </c>
      <c r="D9" s="7" t="s">
        <v>35</v>
      </c>
      <c r="E9" s="14" t="s">
        <v>4319</v>
      </c>
      <c r="F9" s="7" t="s">
        <v>26</v>
      </c>
      <c r="G9" s="8" t="s">
        <v>4325</v>
      </c>
      <c r="H9" s="7" t="s">
        <v>121</v>
      </c>
      <c r="I9" s="8" t="s">
        <v>4319</v>
      </c>
      <c r="J9" s="7" t="s">
        <v>123</v>
      </c>
      <c r="K9" s="7" t="s">
        <v>31</v>
      </c>
      <c r="L9" s="7" t="s">
        <v>387</v>
      </c>
      <c r="M9" s="7">
        <v>8302.41</v>
      </c>
      <c r="N9" s="7">
        <v>120</v>
      </c>
      <c r="O9" s="7" t="s">
        <v>4321</v>
      </c>
      <c r="P9" s="7"/>
      <c r="R9" s="9">
        <v>151.20353153626809</v>
      </c>
      <c r="T9" s="7" t="s">
        <v>34</v>
      </c>
      <c r="U9" s="7" t="s">
        <v>34</v>
      </c>
    </row>
    <row r="10" spans="1:21" ht="14.1" customHeight="1">
      <c r="A10" s="7">
        <v>6</v>
      </c>
      <c r="B10" s="14" t="s">
        <v>124</v>
      </c>
      <c r="C10" s="14" t="s">
        <v>393</v>
      </c>
      <c r="D10" s="7" t="s">
        <v>35</v>
      </c>
      <c r="E10" s="14" t="s">
        <v>4326</v>
      </c>
      <c r="F10" s="7" t="s">
        <v>26</v>
      </c>
      <c r="G10" s="8" t="s">
        <v>4327</v>
      </c>
      <c r="H10" s="7" t="s">
        <v>4328</v>
      </c>
      <c r="I10" s="8" t="s">
        <v>4329</v>
      </c>
      <c r="J10" s="7" t="s">
        <v>123</v>
      </c>
      <c r="K10" s="7" t="s">
        <v>4330</v>
      </c>
      <c r="L10" s="7" t="s">
        <v>387</v>
      </c>
      <c r="M10" s="7">
        <v>8301.4</v>
      </c>
      <c r="N10" s="7">
        <v>120</v>
      </c>
      <c r="O10" s="7" t="s">
        <v>4321</v>
      </c>
      <c r="P10" s="7"/>
      <c r="R10" s="9">
        <v>150.07092081315011</v>
      </c>
      <c r="T10" s="7" t="s">
        <v>34</v>
      </c>
      <c r="U10" s="7"/>
    </row>
    <row r="11" spans="1:21" ht="14.1" customHeight="1">
      <c r="A11" s="7">
        <v>7</v>
      </c>
      <c r="B11" s="14" t="s">
        <v>124</v>
      </c>
      <c r="C11" s="14" t="s">
        <v>393</v>
      </c>
      <c r="D11" s="7" t="s">
        <v>35</v>
      </c>
      <c r="E11" s="14" t="s">
        <v>4326</v>
      </c>
      <c r="F11" s="7" t="s">
        <v>26</v>
      </c>
      <c r="G11" s="8" t="s">
        <v>4331</v>
      </c>
      <c r="H11" s="7" t="s">
        <v>4332</v>
      </c>
      <c r="I11" s="8" t="s">
        <v>4329</v>
      </c>
      <c r="J11" s="7" t="s">
        <v>123</v>
      </c>
      <c r="K11" s="7" t="s">
        <v>1001</v>
      </c>
      <c r="L11" s="7" t="s">
        <v>387</v>
      </c>
      <c r="M11" s="7">
        <v>8301.4</v>
      </c>
      <c r="N11" s="7">
        <v>120</v>
      </c>
      <c r="O11" s="7" t="s">
        <v>4321</v>
      </c>
      <c r="P11" s="7"/>
      <c r="R11" s="9">
        <v>142.3314142051762</v>
      </c>
      <c r="T11" s="7" t="s">
        <v>34</v>
      </c>
      <c r="U11" s="7"/>
    </row>
    <row r="12" spans="1:21" ht="14.1" customHeight="1">
      <c r="A12" s="7">
        <v>8</v>
      </c>
      <c r="B12" s="14" t="s">
        <v>124</v>
      </c>
      <c r="C12" s="14" t="s">
        <v>393</v>
      </c>
      <c r="D12" s="7" t="s">
        <v>35</v>
      </c>
      <c r="E12" s="14" t="s">
        <v>4326</v>
      </c>
      <c r="F12" s="7" t="s">
        <v>26</v>
      </c>
      <c r="G12" s="8" t="s">
        <v>4333</v>
      </c>
      <c r="H12" s="7" t="s">
        <v>121</v>
      </c>
      <c r="I12" s="8" t="s">
        <v>4329</v>
      </c>
      <c r="J12" s="7" t="s">
        <v>123</v>
      </c>
      <c r="K12" s="7" t="s">
        <v>31</v>
      </c>
      <c r="L12" s="7" t="s">
        <v>387</v>
      </c>
      <c r="M12" s="7">
        <v>8301.4</v>
      </c>
      <c r="N12" s="7">
        <v>120</v>
      </c>
      <c r="O12" s="7" t="s">
        <v>4321</v>
      </c>
      <c r="P12" s="7"/>
      <c r="R12" s="9">
        <v>127.0411694430817</v>
      </c>
      <c r="T12" s="7" t="s">
        <v>34</v>
      </c>
      <c r="U12" s="7"/>
    </row>
    <row r="13" spans="1:21" ht="14.1" customHeight="1">
      <c r="A13" s="7">
        <v>9</v>
      </c>
      <c r="B13" s="14" t="s">
        <v>124</v>
      </c>
      <c r="C13" s="14" t="s">
        <v>393</v>
      </c>
      <c r="D13" s="7" t="s">
        <v>35</v>
      </c>
      <c r="E13" s="14" t="s">
        <v>4326</v>
      </c>
      <c r="F13" s="7" t="s">
        <v>26</v>
      </c>
      <c r="G13" s="8" t="s">
        <v>4334</v>
      </c>
      <c r="H13" s="7" t="s">
        <v>121</v>
      </c>
      <c r="I13" s="8" t="s">
        <v>4335</v>
      </c>
      <c r="J13" s="7" t="s">
        <v>123</v>
      </c>
      <c r="K13" s="7" t="s">
        <v>31</v>
      </c>
      <c r="L13" s="7" t="s">
        <v>387</v>
      </c>
      <c r="M13" s="7">
        <v>8302.41</v>
      </c>
      <c r="N13" s="7">
        <v>120</v>
      </c>
      <c r="O13" s="7" t="s">
        <v>4321</v>
      </c>
      <c r="P13" s="7"/>
      <c r="R13" s="9">
        <v>84.945804233858482</v>
      </c>
      <c r="T13" s="7" t="s">
        <v>34</v>
      </c>
      <c r="U13" s="7"/>
    </row>
    <row r="14" spans="1:21" ht="14.1" customHeight="1">
      <c r="A14" s="7">
        <v>10</v>
      </c>
      <c r="B14" s="14" t="s">
        <v>124</v>
      </c>
      <c r="C14" s="14" t="s">
        <v>393</v>
      </c>
      <c r="D14" s="7" t="s">
        <v>35</v>
      </c>
      <c r="E14" s="14" t="s">
        <v>4336</v>
      </c>
      <c r="F14" s="7" t="s">
        <v>26</v>
      </c>
      <c r="G14" s="8" t="s">
        <v>4337</v>
      </c>
      <c r="H14" s="7" t="s">
        <v>3780</v>
      </c>
      <c r="I14" s="8" t="s">
        <v>4338</v>
      </c>
      <c r="J14" s="7" t="s">
        <v>123</v>
      </c>
      <c r="K14" s="7" t="s">
        <v>26</v>
      </c>
      <c r="L14" s="7" t="s">
        <v>387</v>
      </c>
      <c r="M14" s="7">
        <v>8301.4</v>
      </c>
      <c r="N14" s="7">
        <v>120</v>
      </c>
      <c r="O14" s="7" t="s">
        <v>4321</v>
      </c>
      <c r="P14" s="7"/>
      <c r="R14" s="9">
        <v>161.58579649818421</v>
      </c>
      <c r="T14" s="7" t="s">
        <v>34</v>
      </c>
      <c r="U14" s="8"/>
    </row>
    <row r="15" spans="1:21" ht="14.1" customHeight="1">
      <c r="A15" s="7">
        <v>11</v>
      </c>
      <c r="B15" s="14" t="s">
        <v>124</v>
      </c>
      <c r="C15" s="14" t="s">
        <v>393</v>
      </c>
      <c r="D15" s="7" t="s">
        <v>35</v>
      </c>
      <c r="E15" s="14" t="s">
        <v>4336</v>
      </c>
      <c r="F15" s="7" t="s">
        <v>26</v>
      </c>
      <c r="G15" s="8" t="s">
        <v>4339</v>
      </c>
      <c r="H15" s="7" t="s">
        <v>4328</v>
      </c>
      <c r="I15" s="8" t="s">
        <v>4338</v>
      </c>
      <c r="J15" s="7" t="s">
        <v>123</v>
      </c>
      <c r="K15" s="7" t="s">
        <v>4330</v>
      </c>
      <c r="L15" s="7" t="s">
        <v>387</v>
      </c>
      <c r="M15" s="7">
        <v>8301.4</v>
      </c>
      <c r="N15" s="7">
        <v>120</v>
      </c>
      <c r="O15" s="7" t="s">
        <v>4321</v>
      </c>
      <c r="P15" s="7"/>
      <c r="R15" s="9">
        <v>163.0959441290083</v>
      </c>
      <c r="T15" s="7" t="s">
        <v>34</v>
      </c>
      <c r="U15" s="8"/>
    </row>
    <row r="16" spans="1:21" ht="14.1" customHeight="1">
      <c r="A16" s="7">
        <v>12</v>
      </c>
      <c r="B16" s="14" t="s">
        <v>124</v>
      </c>
      <c r="C16" s="14" t="s">
        <v>393</v>
      </c>
      <c r="D16" s="7" t="s">
        <v>35</v>
      </c>
      <c r="E16" s="14" t="s">
        <v>4336</v>
      </c>
      <c r="F16" s="7" t="s">
        <v>26</v>
      </c>
      <c r="G16" s="8" t="s">
        <v>4340</v>
      </c>
      <c r="H16" s="7" t="s">
        <v>4332</v>
      </c>
      <c r="I16" s="8" t="s">
        <v>4338</v>
      </c>
      <c r="J16" s="7" t="s">
        <v>123</v>
      </c>
      <c r="K16" s="7" t="s">
        <v>1001</v>
      </c>
      <c r="L16" s="7" t="s">
        <v>387</v>
      </c>
      <c r="M16" s="7">
        <v>8301.4</v>
      </c>
      <c r="N16" s="7">
        <v>120</v>
      </c>
      <c r="O16" s="7" t="s">
        <v>4321</v>
      </c>
      <c r="P16" s="7"/>
      <c r="R16" s="9">
        <v>154.79013215947549</v>
      </c>
      <c r="T16" s="7" t="s">
        <v>34</v>
      </c>
      <c r="U16" s="8"/>
    </row>
    <row r="17" spans="1:21" ht="14.1" customHeight="1">
      <c r="A17" s="7">
        <v>13</v>
      </c>
      <c r="B17" s="14" t="s">
        <v>124</v>
      </c>
      <c r="C17" s="14" t="s">
        <v>393</v>
      </c>
      <c r="D17" s="7" t="s">
        <v>35</v>
      </c>
      <c r="E17" s="14" t="s">
        <v>4336</v>
      </c>
      <c r="F17" s="7" t="s">
        <v>26</v>
      </c>
      <c r="G17" s="8" t="s">
        <v>4341</v>
      </c>
      <c r="H17" s="7" t="s">
        <v>121</v>
      </c>
      <c r="I17" s="8" t="s">
        <v>4338</v>
      </c>
      <c r="J17" s="7" t="s">
        <v>123</v>
      </c>
      <c r="K17" s="7" t="s">
        <v>31</v>
      </c>
      <c r="L17" s="7" t="s">
        <v>387</v>
      </c>
      <c r="M17" s="7">
        <v>8301.4</v>
      </c>
      <c r="N17" s="7">
        <v>120</v>
      </c>
      <c r="O17" s="7" t="s">
        <v>4321</v>
      </c>
      <c r="P17" s="7"/>
      <c r="R17" s="9">
        <v>134.96944450490849</v>
      </c>
      <c r="T17" s="7" t="s">
        <v>34</v>
      </c>
      <c r="U17" s="8"/>
    </row>
    <row r="18" spans="1:21" ht="14.1" customHeight="1">
      <c r="A18" s="7">
        <v>14</v>
      </c>
      <c r="B18" s="14" t="s">
        <v>124</v>
      </c>
      <c r="C18" s="14" t="s">
        <v>393</v>
      </c>
      <c r="D18" s="7" t="s">
        <v>35</v>
      </c>
      <c r="E18" s="14" t="s">
        <v>4336</v>
      </c>
      <c r="F18" s="7" t="s">
        <v>26</v>
      </c>
      <c r="G18" s="8" t="s">
        <v>4342</v>
      </c>
      <c r="H18" s="7" t="s">
        <v>121</v>
      </c>
      <c r="I18" s="8" t="s">
        <v>4338</v>
      </c>
      <c r="J18" s="7" t="s">
        <v>123</v>
      </c>
      <c r="K18" s="7" t="s">
        <v>31</v>
      </c>
      <c r="L18" s="7" t="s">
        <v>387</v>
      </c>
      <c r="M18" s="7">
        <v>8301.4</v>
      </c>
      <c r="N18" s="7">
        <v>120</v>
      </c>
      <c r="O18" s="7" t="s">
        <v>4321</v>
      </c>
      <c r="P18" s="7"/>
      <c r="R18" s="9">
        <v>140.82126657435211</v>
      </c>
      <c r="T18" s="7" t="s">
        <v>34</v>
      </c>
      <c r="U18" s="8"/>
    </row>
    <row r="19" spans="1:21" ht="14.1" customHeight="1">
      <c r="A19" s="7">
        <v>15</v>
      </c>
      <c r="B19" s="14" t="s">
        <v>124</v>
      </c>
      <c r="C19" s="14" t="s">
        <v>393</v>
      </c>
      <c r="D19" s="7" t="s">
        <v>35</v>
      </c>
      <c r="E19" s="14" t="s">
        <v>4336</v>
      </c>
      <c r="F19" s="7" t="s">
        <v>26</v>
      </c>
      <c r="G19" s="8" t="s">
        <v>4343</v>
      </c>
      <c r="H19" s="7" t="s">
        <v>3780</v>
      </c>
      <c r="I19" s="8" t="s">
        <v>4344</v>
      </c>
      <c r="J19" s="7" t="s">
        <v>123</v>
      </c>
      <c r="K19" s="7" t="s">
        <v>26</v>
      </c>
      <c r="L19" s="7" t="s">
        <v>387</v>
      </c>
      <c r="M19" s="7">
        <v>8301.4</v>
      </c>
      <c r="N19" s="7">
        <v>120</v>
      </c>
      <c r="O19" s="7" t="s">
        <v>4321</v>
      </c>
      <c r="P19" s="7"/>
      <c r="R19" s="9">
        <v>119.1128943812549</v>
      </c>
      <c r="T19" s="7" t="s">
        <v>34</v>
      </c>
      <c r="U19" s="8"/>
    </row>
    <row r="20" spans="1:21" ht="14.1" customHeight="1">
      <c r="A20" s="7">
        <v>16</v>
      </c>
      <c r="B20" s="14" t="s">
        <v>124</v>
      </c>
      <c r="C20" s="14" t="s">
        <v>393</v>
      </c>
      <c r="D20" s="7" t="s">
        <v>35</v>
      </c>
      <c r="E20" s="14" t="s">
        <v>4336</v>
      </c>
      <c r="F20" s="7" t="s">
        <v>26</v>
      </c>
      <c r="G20" s="8" t="s">
        <v>4345</v>
      </c>
      <c r="H20" s="7" t="s">
        <v>4328</v>
      </c>
      <c r="I20" s="8" t="s">
        <v>4344</v>
      </c>
      <c r="J20" s="7" t="s">
        <v>123</v>
      </c>
      <c r="K20" s="7" t="s">
        <v>4330</v>
      </c>
      <c r="L20" s="7" t="s">
        <v>387</v>
      </c>
      <c r="M20" s="7">
        <v>8302.41</v>
      </c>
      <c r="N20" s="7">
        <v>120</v>
      </c>
      <c r="O20" s="7" t="s">
        <v>4321</v>
      </c>
      <c r="P20" s="7"/>
      <c r="R20" s="9">
        <v>120.434273558226</v>
      </c>
      <c r="T20" s="7" t="s">
        <v>34</v>
      </c>
      <c r="U20" s="8"/>
    </row>
    <row r="21" spans="1:21" ht="14.1" customHeight="1">
      <c r="A21" s="7">
        <v>17</v>
      </c>
      <c r="B21" s="14" t="s">
        <v>124</v>
      </c>
      <c r="C21" s="14" t="s">
        <v>393</v>
      </c>
      <c r="D21" s="7" t="s">
        <v>35</v>
      </c>
      <c r="E21" s="14" t="s">
        <v>4326</v>
      </c>
      <c r="F21" s="7" t="s">
        <v>26</v>
      </c>
      <c r="G21" s="8" t="s">
        <v>4346</v>
      </c>
      <c r="H21" s="7" t="s">
        <v>121</v>
      </c>
      <c r="I21" s="8" t="s">
        <v>4329</v>
      </c>
      <c r="J21" s="7" t="s">
        <v>123</v>
      </c>
      <c r="K21" s="7" t="s">
        <v>31</v>
      </c>
      <c r="L21" s="7" t="s">
        <v>387</v>
      </c>
      <c r="M21" s="7">
        <v>8301.4</v>
      </c>
      <c r="N21" s="7">
        <v>120</v>
      </c>
      <c r="O21" s="7" t="s">
        <v>4321</v>
      </c>
      <c r="P21" s="7"/>
      <c r="R21" s="9">
        <v>96.271911465039622</v>
      </c>
      <c r="T21" s="7" t="s">
        <v>34</v>
      </c>
      <c r="U21" s="8"/>
    </row>
    <row r="22" spans="1:21" ht="14.1" customHeight="1">
      <c r="A22" s="7">
        <v>18</v>
      </c>
      <c r="B22" s="14" t="s">
        <v>124</v>
      </c>
      <c r="C22" s="14" t="s">
        <v>393</v>
      </c>
      <c r="D22" s="7" t="s">
        <v>35</v>
      </c>
      <c r="E22" s="14" t="s">
        <v>4326</v>
      </c>
      <c r="F22" s="7" t="s">
        <v>26</v>
      </c>
      <c r="G22" s="8" t="s">
        <v>4347</v>
      </c>
      <c r="H22" s="7" t="s">
        <v>121</v>
      </c>
      <c r="I22" s="8" t="s">
        <v>4335</v>
      </c>
      <c r="J22" s="7" t="s">
        <v>123</v>
      </c>
      <c r="K22" s="7" t="s">
        <v>31</v>
      </c>
      <c r="L22" s="7" t="s">
        <v>387</v>
      </c>
      <c r="M22" s="7">
        <v>8302.41</v>
      </c>
      <c r="N22" s="7">
        <v>120</v>
      </c>
      <c r="O22" s="7" t="s">
        <v>4321</v>
      </c>
      <c r="P22" s="7"/>
      <c r="R22" s="9">
        <v>70.976938648735086</v>
      </c>
      <c r="T22" s="7" t="s">
        <v>34</v>
      </c>
      <c r="U22" s="8"/>
    </row>
    <row r="23" spans="1:21" ht="14.1" customHeight="1">
      <c r="A23" s="7">
        <v>19</v>
      </c>
      <c r="B23" s="14" t="s">
        <v>124</v>
      </c>
      <c r="C23" s="14" t="s">
        <v>393</v>
      </c>
      <c r="D23" s="7" t="s">
        <v>35</v>
      </c>
      <c r="E23" s="14" t="s">
        <v>4348</v>
      </c>
      <c r="F23" s="7" t="s">
        <v>26</v>
      </c>
      <c r="G23" s="8" t="s">
        <v>4349</v>
      </c>
      <c r="H23" s="7" t="s">
        <v>3780</v>
      </c>
      <c r="I23" s="8" t="s">
        <v>4350</v>
      </c>
      <c r="J23" s="7" t="s">
        <v>123</v>
      </c>
      <c r="K23" s="7" t="s">
        <v>26</v>
      </c>
      <c r="L23" s="7" t="s">
        <v>387</v>
      </c>
      <c r="M23" s="7">
        <v>8301.4</v>
      </c>
      <c r="N23" s="7">
        <v>120</v>
      </c>
      <c r="O23" s="7" t="s">
        <v>4321</v>
      </c>
      <c r="P23" s="7"/>
      <c r="R23" s="9">
        <v>175.1771251756015</v>
      </c>
      <c r="T23" s="7" t="s">
        <v>34</v>
      </c>
      <c r="U23" s="8"/>
    </row>
    <row r="24" spans="1:21" ht="14.1" customHeight="1">
      <c r="A24" s="7">
        <v>20</v>
      </c>
      <c r="B24" s="14" t="s">
        <v>124</v>
      </c>
      <c r="C24" s="14" t="s">
        <v>393</v>
      </c>
      <c r="D24" s="7" t="s">
        <v>35</v>
      </c>
      <c r="E24" s="14" t="s">
        <v>4348</v>
      </c>
      <c r="F24" s="7" t="s">
        <v>26</v>
      </c>
      <c r="G24" s="8" t="s">
        <v>4351</v>
      </c>
      <c r="H24" s="7" t="s">
        <v>4328</v>
      </c>
      <c r="I24" s="8" t="s">
        <v>4350</v>
      </c>
      <c r="J24" s="7" t="s">
        <v>123</v>
      </c>
      <c r="K24" s="7" t="s">
        <v>4330</v>
      </c>
      <c r="L24" s="7" t="s">
        <v>387</v>
      </c>
      <c r="M24" s="7">
        <v>8301.4</v>
      </c>
      <c r="N24" s="7">
        <v>120</v>
      </c>
      <c r="O24" s="7" t="s">
        <v>4321</v>
      </c>
      <c r="P24" s="7"/>
      <c r="R24" s="9">
        <v>177.44234662183769</v>
      </c>
      <c r="T24" s="7" t="s">
        <v>34</v>
      </c>
      <c r="U24" s="8"/>
    </row>
    <row r="25" spans="1:21" ht="14.1" customHeight="1">
      <c r="A25" s="7">
        <v>21</v>
      </c>
      <c r="B25" s="14" t="s">
        <v>124</v>
      </c>
      <c r="C25" s="14" t="s">
        <v>393</v>
      </c>
      <c r="D25" s="7" t="s">
        <v>35</v>
      </c>
      <c r="E25" s="14" t="s">
        <v>4348</v>
      </c>
      <c r="F25" s="7" t="s">
        <v>26</v>
      </c>
      <c r="G25" s="8" t="s">
        <v>4352</v>
      </c>
      <c r="H25" s="7" t="s">
        <v>121</v>
      </c>
      <c r="I25" s="8" t="s">
        <v>4350</v>
      </c>
      <c r="J25" s="7" t="s">
        <v>123</v>
      </c>
      <c r="K25" s="7" t="s">
        <v>31</v>
      </c>
      <c r="L25" s="7" t="s">
        <v>387</v>
      </c>
      <c r="M25" s="7">
        <v>8301.4</v>
      </c>
      <c r="N25" s="7">
        <v>120</v>
      </c>
      <c r="O25" s="7" t="s">
        <v>4321</v>
      </c>
      <c r="P25" s="7"/>
      <c r="R25" s="9">
        <v>181.02894724504509</v>
      </c>
      <c r="T25" s="7" t="s">
        <v>34</v>
      </c>
      <c r="U25" s="8"/>
    </row>
    <row r="26" spans="1:21" ht="14.1" customHeight="1">
      <c r="A26" s="7">
        <v>22</v>
      </c>
      <c r="B26" s="14" t="s">
        <v>124</v>
      </c>
      <c r="C26" s="14" t="s">
        <v>393</v>
      </c>
      <c r="D26" s="7" t="s">
        <v>35</v>
      </c>
      <c r="E26" s="14" t="s">
        <v>4348</v>
      </c>
      <c r="F26" s="7" t="s">
        <v>26</v>
      </c>
      <c r="G26" s="8" t="s">
        <v>4353</v>
      </c>
      <c r="H26" s="7" t="s">
        <v>121</v>
      </c>
      <c r="I26" s="8" t="s">
        <v>4350</v>
      </c>
      <c r="J26" s="7" t="s">
        <v>123</v>
      </c>
      <c r="K26" s="7" t="s">
        <v>31</v>
      </c>
      <c r="L26" s="7" t="s">
        <v>387</v>
      </c>
      <c r="M26" s="7">
        <v>8301.4</v>
      </c>
      <c r="N26" s="7">
        <v>120</v>
      </c>
      <c r="O26" s="7" t="s">
        <v>4321</v>
      </c>
      <c r="P26" s="7"/>
      <c r="R26" s="9">
        <v>184.42677941439939</v>
      </c>
      <c r="T26" s="7" t="s">
        <v>34</v>
      </c>
      <c r="U26" s="8"/>
    </row>
    <row r="27" spans="1:21" ht="14.1" customHeight="1">
      <c r="A27" s="7">
        <v>24</v>
      </c>
      <c r="B27" s="14" t="s">
        <v>124</v>
      </c>
      <c r="C27" s="14" t="s">
        <v>393</v>
      </c>
      <c r="D27" s="7" t="s">
        <v>35</v>
      </c>
      <c r="E27" s="14" t="s">
        <v>4348</v>
      </c>
      <c r="F27" s="7" t="s">
        <v>26</v>
      </c>
      <c r="G27" s="8" t="s">
        <v>4354</v>
      </c>
      <c r="H27" s="7" t="s">
        <v>4328</v>
      </c>
      <c r="I27" s="8" t="s">
        <v>4350</v>
      </c>
      <c r="J27" s="7" t="s">
        <v>123</v>
      </c>
      <c r="K27" s="7" t="s">
        <v>31</v>
      </c>
      <c r="L27" s="7" t="s">
        <v>387</v>
      </c>
      <c r="M27" s="7">
        <v>8301.4</v>
      </c>
      <c r="N27" s="7">
        <v>120</v>
      </c>
      <c r="O27" s="7" t="s">
        <v>4321</v>
      </c>
      <c r="P27" s="7"/>
      <c r="R27" s="9">
        <v>113.82737767337041</v>
      </c>
      <c r="T27" s="7" t="s">
        <v>34</v>
      </c>
      <c r="U27" s="7" t="s">
        <v>34</v>
      </c>
    </row>
    <row r="28" spans="1:21" ht="14.1" customHeight="1">
      <c r="A28" s="7">
        <v>25</v>
      </c>
      <c r="B28" s="14" t="s">
        <v>124</v>
      </c>
      <c r="C28" s="14" t="s">
        <v>393</v>
      </c>
      <c r="D28" s="7" t="s">
        <v>35</v>
      </c>
      <c r="E28" s="14" t="s">
        <v>4348</v>
      </c>
      <c r="F28" s="7" t="s">
        <v>26</v>
      </c>
      <c r="G28" s="8" t="s">
        <v>4355</v>
      </c>
      <c r="H28" s="7" t="s">
        <v>4332</v>
      </c>
      <c r="I28" s="8" t="s">
        <v>4350</v>
      </c>
      <c r="J28" s="7" t="s">
        <v>123</v>
      </c>
      <c r="K28" s="7" t="s">
        <v>1001</v>
      </c>
      <c r="L28" s="7" t="s">
        <v>387</v>
      </c>
      <c r="M28" s="7">
        <v>8301.4</v>
      </c>
      <c r="N28" s="7">
        <v>120</v>
      </c>
      <c r="O28" s="7" t="s">
        <v>4321</v>
      </c>
      <c r="P28" s="7"/>
      <c r="R28" s="9">
        <v>108.9193978731919</v>
      </c>
      <c r="T28" s="7" t="s">
        <v>34</v>
      </c>
      <c r="U28" s="7" t="s">
        <v>34</v>
      </c>
    </row>
    <row r="29" spans="1:21" ht="14.1" customHeight="1">
      <c r="A29" s="7">
        <v>26</v>
      </c>
      <c r="B29" s="14" t="s">
        <v>124</v>
      </c>
      <c r="C29" s="14" t="s">
        <v>393</v>
      </c>
      <c r="D29" s="7" t="s">
        <v>35</v>
      </c>
      <c r="E29" s="14" t="s">
        <v>4348</v>
      </c>
      <c r="F29" s="7" t="s">
        <v>26</v>
      </c>
      <c r="G29" s="8" t="s">
        <v>4356</v>
      </c>
      <c r="H29" s="7" t="s">
        <v>121</v>
      </c>
      <c r="I29" s="8" t="s">
        <v>4350</v>
      </c>
      <c r="J29" s="7" t="s">
        <v>123</v>
      </c>
      <c r="K29" s="7" t="s">
        <v>31</v>
      </c>
      <c r="L29" s="7" t="s">
        <v>387</v>
      </c>
      <c r="M29" s="7">
        <v>8301.4</v>
      </c>
      <c r="N29" s="7">
        <v>120</v>
      </c>
      <c r="O29" s="7" t="s">
        <v>4321</v>
      </c>
      <c r="P29" s="7"/>
      <c r="R29" s="9">
        <v>101.74619662677721</v>
      </c>
      <c r="T29" s="7" t="s">
        <v>34</v>
      </c>
      <c r="U29" s="7" t="s">
        <v>34</v>
      </c>
    </row>
    <row r="30" spans="1:21" ht="14.1" customHeight="1">
      <c r="A30" s="7">
        <v>27</v>
      </c>
      <c r="B30" s="14" t="s">
        <v>124</v>
      </c>
      <c r="C30" s="14" t="s">
        <v>393</v>
      </c>
      <c r="D30" s="7" t="s">
        <v>35</v>
      </c>
      <c r="E30" s="14" t="s">
        <v>4348</v>
      </c>
      <c r="F30" s="7" t="s">
        <v>26</v>
      </c>
      <c r="G30" s="8" t="s">
        <v>4357</v>
      </c>
      <c r="H30" s="7" t="s">
        <v>3780</v>
      </c>
      <c r="I30" s="8" t="s">
        <v>4350</v>
      </c>
      <c r="J30" s="7" t="s">
        <v>123</v>
      </c>
      <c r="K30" s="7" t="s">
        <v>31</v>
      </c>
      <c r="L30" s="7" t="s">
        <v>387</v>
      </c>
      <c r="M30" s="7">
        <v>8301.4</v>
      </c>
      <c r="N30" s="7">
        <v>120</v>
      </c>
      <c r="O30" s="7" t="s">
        <v>4321</v>
      </c>
      <c r="P30" s="7"/>
      <c r="R30" s="9">
        <v>113.82737767337041</v>
      </c>
      <c r="T30" s="7" t="s">
        <v>34</v>
      </c>
      <c r="U30" s="7" t="s">
        <v>34</v>
      </c>
    </row>
    <row r="31" spans="1:21" ht="14.1" customHeight="1">
      <c r="A31" s="7">
        <v>28</v>
      </c>
      <c r="B31" s="14" t="s">
        <v>124</v>
      </c>
      <c r="C31" s="14" t="s">
        <v>393</v>
      </c>
      <c r="D31" s="7" t="s">
        <v>35</v>
      </c>
      <c r="E31" s="14" t="s">
        <v>4348</v>
      </c>
      <c r="F31" s="7" t="s">
        <v>26</v>
      </c>
      <c r="G31" s="8" t="s">
        <v>4358</v>
      </c>
      <c r="H31" s="7" t="s">
        <v>121</v>
      </c>
      <c r="I31" s="8" t="s">
        <v>4359</v>
      </c>
      <c r="J31" s="7" t="s">
        <v>123</v>
      </c>
      <c r="K31" s="7" t="s">
        <v>31</v>
      </c>
      <c r="L31" s="7" t="s">
        <v>387</v>
      </c>
      <c r="M31" s="7">
        <v>8302.41</v>
      </c>
      <c r="N31" s="7">
        <v>120</v>
      </c>
      <c r="O31" s="7" t="s">
        <v>4321</v>
      </c>
      <c r="P31" s="7"/>
      <c r="R31" s="9">
        <v>78.33890834900285</v>
      </c>
      <c r="T31" s="7" t="s">
        <v>34</v>
      </c>
      <c r="U31" s="7" t="s">
        <v>34</v>
      </c>
    </row>
    <row r="32" spans="1:21" ht="14.1" customHeight="1">
      <c r="A32" s="7">
        <v>29</v>
      </c>
      <c r="B32" s="14" t="s">
        <v>124</v>
      </c>
      <c r="C32" s="123" t="s">
        <v>393</v>
      </c>
      <c r="D32" s="7" t="s">
        <v>35</v>
      </c>
      <c r="E32" s="123" t="s">
        <v>4348</v>
      </c>
      <c r="F32" s="7" t="s">
        <v>26</v>
      </c>
      <c r="G32" s="18" t="s">
        <v>4360</v>
      </c>
      <c r="H32" s="124" t="s">
        <v>4361</v>
      </c>
      <c r="I32" s="18" t="s">
        <v>4362</v>
      </c>
      <c r="J32" s="124" t="s">
        <v>123</v>
      </c>
      <c r="K32" s="124" t="s">
        <v>1426</v>
      </c>
      <c r="L32" s="124" t="s">
        <v>387</v>
      </c>
      <c r="M32" s="124">
        <v>8301.4</v>
      </c>
      <c r="N32" s="124">
        <v>120</v>
      </c>
      <c r="O32" s="124" t="s">
        <v>4321</v>
      </c>
      <c r="P32" s="124"/>
      <c r="R32" s="9">
        <v>218.2163326540898</v>
      </c>
      <c r="T32" s="7" t="s">
        <v>34</v>
      </c>
      <c r="U32" s="7" t="s">
        <v>34</v>
      </c>
    </row>
    <row r="33" spans="1:21" ht="14.1" customHeight="1">
      <c r="A33" s="7">
        <v>30</v>
      </c>
      <c r="B33" s="14" t="s">
        <v>124</v>
      </c>
      <c r="C33" s="14" t="s">
        <v>393</v>
      </c>
      <c r="D33" s="7" t="s">
        <v>35</v>
      </c>
      <c r="E33" s="14" t="s">
        <v>4348</v>
      </c>
      <c r="F33" s="7" t="s">
        <v>26</v>
      </c>
      <c r="G33" s="8" t="s">
        <v>4363</v>
      </c>
      <c r="H33" s="7" t="s">
        <v>4361</v>
      </c>
      <c r="I33" s="8" t="s">
        <v>4364</v>
      </c>
      <c r="J33" s="7" t="s">
        <v>123</v>
      </c>
      <c r="K33" s="7" t="s">
        <v>1426</v>
      </c>
      <c r="L33" s="7" t="s">
        <v>387</v>
      </c>
      <c r="M33" s="7">
        <v>8301.4</v>
      </c>
      <c r="N33" s="7">
        <v>120</v>
      </c>
      <c r="O33" s="7" t="s">
        <v>4321</v>
      </c>
      <c r="P33" s="7"/>
      <c r="Q33" s="115"/>
      <c r="R33" s="9">
        <v>286.9280498565887</v>
      </c>
      <c r="S33" s="115"/>
      <c r="T33" s="7" t="s">
        <v>34</v>
      </c>
      <c r="U33" s="7" t="s">
        <v>34</v>
      </c>
    </row>
    <row r="34" spans="1:21" ht="14.1" customHeight="1">
      <c r="A34" s="7">
        <v>31</v>
      </c>
      <c r="B34" s="14" t="s">
        <v>3715</v>
      </c>
      <c r="C34" s="14" t="s">
        <v>393</v>
      </c>
      <c r="D34" s="7" t="s">
        <v>35</v>
      </c>
      <c r="E34" s="14" t="s">
        <v>4263</v>
      </c>
      <c r="F34" s="7" t="s">
        <v>3716</v>
      </c>
      <c r="G34" s="8" t="s">
        <v>4365</v>
      </c>
      <c r="H34" s="7" t="s">
        <v>4361</v>
      </c>
      <c r="I34" s="8" t="s">
        <v>4366</v>
      </c>
      <c r="J34" s="7" t="s">
        <v>123</v>
      </c>
      <c r="K34" s="7" t="s">
        <v>1426</v>
      </c>
      <c r="L34" s="7" t="s">
        <v>387</v>
      </c>
      <c r="M34" s="7">
        <v>8301.4</v>
      </c>
      <c r="N34" s="7">
        <v>120</v>
      </c>
      <c r="O34" s="7" t="s">
        <v>4321</v>
      </c>
      <c r="P34" s="7"/>
      <c r="Q34" s="115"/>
      <c r="R34" s="9">
        <v>188.39091694531291</v>
      </c>
      <c r="S34" s="115"/>
      <c r="T34" s="7" t="s">
        <v>34</v>
      </c>
      <c r="U34" s="7" t="s">
        <v>34</v>
      </c>
    </row>
    <row r="35" spans="1:21" ht="14.1" customHeight="1">
      <c r="A35" s="7">
        <v>32</v>
      </c>
      <c r="B35" s="14" t="s">
        <v>3715</v>
      </c>
      <c r="C35" s="14" t="s">
        <v>393</v>
      </c>
      <c r="D35" s="7" t="s">
        <v>35</v>
      </c>
      <c r="E35" s="14" t="s">
        <v>4348</v>
      </c>
      <c r="F35" s="7" t="s">
        <v>3716</v>
      </c>
      <c r="G35" s="8" t="s">
        <v>4367</v>
      </c>
      <c r="H35" s="7" t="s">
        <v>4361</v>
      </c>
      <c r="I35" s="8" t="s">
        <v>4366</v>
      </c>
      <c r="J35" s="7" t="s">
        <v>123</v>
      </c>
      <c r="K35" s="7" t="s">
        <v>1426</v>
      </c>
      <c r="L35" s="7" t="s">
        <v>387</v>
      </c>
      <c r="M35" s="7">
        <v>8301.4</v>
      </c>
      <c r="N35" s="7">
        <v>120</v>
      </c>
      <c r="O35" s="7" t="s">
        <v>4321</v>
      </c>
      <c r="P35" s="7"/>
      <c r="Q35" s="115"/>
      <c r="R35" s="9">
        <v>188.39091694531291</v>
      </c>
      <c r="S35" s="115"/>
      <c r="T35" s="7" t="s">
        <v>34</v>
      </c>
      <c r="U35" s="7" t="s">
        <v>34</v>
      </c>
    </row>
    <row r="36" spans="1:21" ht="14.1" customHeight="1">
      <c r="A36" s="7">
        <v>33</v>
      </c>
      <c r="B36" s="14" t="s">
        <v>3715</v>
      </c>
      <c r="C36" s="14" t="s">
        <v>393</v>
      </c>
      <c r="D36" s="7" t="s">
        <v>35</v>
      </c>
      <c r="E36" s="14" t="s">
        <v>4348</v>
      </c>
      <c r="F36" s="7" t="s">
        <v>3716</v>
      </c>
      <c r="G36" s="8" t="s">
        <v>4368</v>
      </c>
      <c r="H36" s="7" t="s">
        <v>4361</v>
      </c>
      <c r="I36" s="8" t="s">
        <v>4366</v>
      </c>
      <c r="J36" s="7" t="s">
        <v>123</v>
      </c>
      <c r="K36" s="7" t="s">
        <v>1426</v>
      </c>
      <c r="L36" s="7" t="s">
        <v>387</v>
      </c>
      <c r="M36" s="7">
        <v>8301.4</v>
      </c>
      <c r="N36" s="7">
        <v>120</v>
      </c>
      <c r="O36" s="7" t="s">
        <v>4321</v>
      </c>
      <c r="P36" s="7"/>
      <c r="Q36" s="115"/>
      <c r="R36" s="9">
        <v>188.39091694531291</v>
      </c>
      <c r="S36" s="115"/>
      <c r="T36" s="7" t="s">
        <v>34</v>
      </c>
      <c r="U36" s="7" t="s">
        <v>34</v>
      </c>
    </row>
    <row r="37" spans="1:21" ht="14.1" customHeight="1">
      <c r="A37" s="7">
        <v>34</v>
      </c>
      <c r="B37" s="14" t="s">
        <v>3715</v>
      </c>
      <c r="C37" s="14" t="s">
        <v>393</v>
      </c>
      <c r="D37" s="7" t="s">
        <v>35</v>
      </c>
      <c r="E37" s="14" t="s">
        <v>4348</v>
      </c>
      <c r="F37" s="7" t="s">
        <v>3716</v>
      </c>
      <c r="G37" s="8" t="s">
        <v>4369</v>
      </c>
      <c r="H37" s="7" t="s">
        <v>4361</v>
      </c>
      <c r="I37" s="8" t="s">
        <v>4366</v>
      </c>
      <c r="J37" s="7" t="s">
        <v>123</v>
      </c>
      <c r="K37" s="7" t="s">
        <v>1426</v>
      </c>
      <c r="L37" s="7" t="s">
        <v>387</v>
      </c>
      <c r="M37" s="7">
        <v>8301.4</v>
      </c>
      <c r="N37" s="7">
        <v>120</v>
      </c>
      <c r="O37" s="7" t="s">
        <v>4321</v>
      </c>
      <c r="P37" s="7"/>
      <c r="Q37" s="115"/>
      <c r="R37" s="9">
        <v>188.39091694531291</v>
      </c>
      <c r="S37" s="115"/>
      <c r="T37" s="7" t="s">
        <v>34</v>
      </c>
      <c r="U37" s="7" t="s">
        <v>34</v>
      </c>
    </row>
    <row r="38" spans="1:21" ht="14.1" customHeight="1">
      <c r="A38" s="7">
        <v>35</v>
      </c>
      <c r="B38" s="14" t="s">
        <v>3715</v>
      </c>
      <c r="C38" s="14" t="s">
        <v>393</v>
      </c>
      <c r="D38" s="7" t="s">
        <v>35</v>
      </c>
      <c r="E38" s="14" t="s">
        <v>4348</v>
      </c>
      <c r="F38" s="7" t="s">
        <v>3716</v>
      </c>
      <c r="G38" s="8" t="s">
        <v>4370</v>
      </c>
      <c r="H38" s="7" t="s">
        <v>4361</v>
      </c>
      <c r="I38" s="8" t="s">
        <v>4366</v>
      </c>
      <c r="J38" s="7" t="s">
        <v>123</v>
      </c>
      <c r="K38" s="7" t="s">
        <v>1426</v>
      </c>
      <c r="L38" s="7" t="s">
        <v>387</v>
      </c>
      <c r="M38" s="7">
        <v>8301.4</v>
      </c>
      <c r="N38" s="7">
        <v>120</v>
      </c>
      <c r="O38" s="7" t="s">
        <v>4321</v>
      </c>
      <c r="P38" s="7"/>
      <c r="Q38" s="115"/>
      <c r="R38" s="9">
        <v>210.09928913841</v>
      </c>
      <c r="S38" s="115"/>
      <c r="T38" s="7" t="s">
        <v>34</v>
      </c>
      <c r="U38" s="7" t="s">
        <v>34</v>
      </c>
    </row>
    <row r="39" spans="1:21" ht="14.1" customHeight="1">
      <c r="A39" s="7">
        <v>36</v>
      </c>
      <c r="B39" s="14" t="s">
        <v>3715</v>
      </c>
      <c r="C39" s="14" t="s">
        <v>393</v>
      </c>
      <c r="D39" s="7" t="s">
        <v>35</v>
      </c>
      <c r="E39" s="14" t="s">
        <v>4263</v>
      </c>
      <c r="F39" s="7" t="s">
        <v>3716</v>
      </c>
      <c r="G39" s="8" t="s">
        <v>4371</v>
      </c>
      <c r="H39" s="7" t="s">
        <v>4361</v>
      </c>
      <c r="I39" s="8" t="s">
        <v>4372</v>
      </c>
      <c r="J39" s="7" t="s">
        <v>123</v>
      </c>
      <c r="K39" s="7" t="s">
        <v>1426</v>
      </c>
      <c r="L39" s="7" t="s">
        <v>387</v>
      </c>
      <c r="M39" s="7">
        <v>8301.4</v>
      </c>
      <c r="N39" s="7">
        <v>120</v>
      </c>
      <c r="O39" s="7" t="s">
        <v>4321</v>
      </c>
      <c r="P39" s="7"/>
      <c r="Q39" s="115"/>
      <c r="R39" s="9">
        <v>246.90913763974871</v>
      </c>
      <c r="S39" s="115"/>
      <c r="T39" s="7" t="s">
        <v>34</v>
      </c>
      <c r="U39" s="7" t="s">
        <v>34</v>
      </c>
    </row>
    <row r="40" spans="1:21" ht="14.1" customHeight="1">
      <c r="A40" s="7">
        <v>37</v>
      </c>
      <c r="B40" s="14" t="s">
        <v>3715</v>
      </c>
      <c r="C40" s="14" t="s">
        <v>393</v>
      </c>
      <c r="D40" s="7" t="s">
        <v>35</v>
      </c>
      <c r="E40" s="14" t="s">
        <v>4336</v>
      </c>
      <c r="F40" s="7" t="s">
        <v>3716</v>
      </c>
      <c r="G40" s="8" t="s">
        <v>4373</v>
      </c>
      <c r="H40" s="7" t="s">
        <v>4374</v>
      </c>
      <c r="I40" s="8" t="s">
        <v>4338</v>
      </c>
      <c r="J40" s="7" t="s">
        <v>123</v>
      </c>
      <c r="K40" s="7" t="s">
        <v>1001</v>
      </c>
      <c r="L40" s="7" t="s">
        <v>387</v>
      </c>
      <c r="M40" s="7">
        <v>8301.4</v>
      </c>
      <c r="N40" s="7">
        <v>120</v>
      </c>
      <c r="O40" s="7" t="s">
        <v>4321</v>
      </c>
      <c r="P40" s="7"/>
      <c r="Q40" s="115"/>
      <c r="R40" s="9">
        <v>96.838216826598668</v>
      </c>
      <c r="S40" s="115"/>
      <c r="T40" s="7" t="s">
        <v>34</v>
      </c>
      <c r="U40" s="7" t="s">
        <v>34</v>
      </c>
    </row>
    <row r="41" spans="1:21" ht="14.1" customHeight="1">
      <c r="A41" s="7">
        <v>38</v>
      </c>
      <c r="B41" s="14" t="s">
        <v>3715</v>
      </c>
      <c r="C41" s="14" t="s">
        <v>393</v>
      </c>
      <c r="D41" s="7" t="s">
        <v>35</v>
      </c>
      <c r="E41" s="14" t="s">
        <v>4336</v>
      </c>
      <c r="F41" s="7" t="s">
        <v>3716</v>
      </c>
      <c r="G41" s="8" t="s">
        <v>4375</v>
      </c>
      <c r="H41" s="7" t="s">
        <v>4374</v>
      </c>
      <c r="I41" s="8" t="s">
        <v>4376</v>
      </c>
      <c r="J41" s="7" t="s">
        <v>123</v>
      </c>
      <c r="K41" s="7" t="s">
        <v>1001</v>
      </c>
      <c r="L41" s="7" t="s">
        <v>387</v>
      </c>
      <c r="M41" s="7">
        <v>8302.41</v>
      </c>
      <c r="N41" s="7">
        <v>120</v>
      </c>
      <c r="O41" s="7" t="s">
        <v>4321</v>
      </c>
      <c r="P41" s="7"/>
      <c r="Q41" s="115"/>
      <c r="R41" s="9">
        <v>83.058119695328315</v>
      </c>
      <c r="S41" s="115"/>
      <c r="T41" s="7" t="s">
        <v>34</v>
      </c>
      <c r="U41" s="7" t="s">
        <v>34</v>
      </c>
    </row>
    <row r="42" spans="1:21" ht="14.1" customHeight="1">
      <c r="A42" s="7">
        <v>39</v>
      </c>
      <c r="B42" s="14" t="s">
        <v>3715</v>
      </c>
      <c r="C42" s="14" t="s">
        <v>393</v>
      </c>
      <c r="D42" s="7" t="s">
        <v>35</v>
      </c>
      <c r="E42" s="14" t="s">
        <v>295</v>
      </c>
      <c r="F42" s="7" t="s">
        <v>3716</v>
      </c>
      <c r="G42" s="8" t="s">
        <v>4377</v>
      </c>
      <c r="H42" s="7" t="s">
        <v>4378</v>
      </c>
      <c r="I42" s="8" t="s">
        <v>4379</v>
      </c>
      <c r="J42" s="7" t="s">
        <v>123</v>
      </c>
      <c r="K42" s="7" t="s">
        <v>997</v>
      </c>
      <c r="L42" s="7" t="s">
        <v>387</v>
      </c>
      <c r="M42" s="7">
        <v>8302.41</v>
      </c>
      <c r="N42" s="7">
        <v>120</v>
      </c>
      <c r="O42" s="7" t="s">
        <v>4321</v>
      </c>
      <c r="P42" s="7"/>
      <c r="Q42" s="115"/>
      <c r="R42" s="9">
        <v>553.09156978934539</v>
      </c>
      <c r="S42" s="115"/>
      <c r="T42" s="7" t="s">
        <v>34</v>
      </c>
      <c r="U42" s="7" t="s">
        <v>34</v>
      </c>
    </row>
    <row r="43" spans="1:21" ht="14.1" customHeight="1">
      <c r="A43" s="7">
        <v>40</v>
      </c>
      <c r="B43" s="14" t="s">
        <v>3715</v>
      </c>
      <c r="C43" s="14" t="s">
        <v>393</v>
      </c>
      <c r="D43" s="7" t="s">
        <v>35</v>
      </c>
      <c r="E43" s="14" t="s">
        <v>295</v>
      </c>
      <c r="F43" s="7" t="s">
        <v>3716</v>
      </c>
      <c r="G43" s="8" t="s">
        <v>4380</v>
      </c>
      <c r="H43" s="7" t="s">
        <v>4378</v>
      </c>
      <c r="I43" s="8" t="s">
        <v>4379</v>
      </c>
      <c r="J43" s="7" t="s">
        <v>123</v>
      </c>
      <c r="K43" s="7" t="s">
        <v>997</v>
      </c>
      <c r="L43" s="7" t="s">
        <v>387</v>
      </c>
      <c r="M43" s="7">
        <v>8302.41</v>
      </c>
      <c r="N43" s="7">
        <v>120</v>
      </c>
      <c r="O43" s="7" t="s">
        <v>4321</v>
      </c>
      <c r="P43" s="7"/>
      <c r="Q43" s="115"/>
      <c r="R43" s="9">
        <v>553.09156978934539</v>
      </c>
      <c r="S43" s="115"/>
      <c r="T43" s="7" t="s">
        <v>34</v>
      </c>
      <c r="U43" s="7" t="s">
        <v>34</v>
      </c>
    </row>
    <row r="44" spans="1:21" ht="14.1" customHeight="1">
      <c r="A44" s="7">
        <v>41</v>
      </c>
      <c r="B44" s="14" t="s">
        <v>3715</v>
      </c>
      <c r="C44" s="14" t="s">
        <v>393</v>
      </c>
      <c r="D44" s="7" t="s">
        <v>35</v>
      </c>
      <c r="E44" s="14" t="s">
        <v>295</v>
      </c>
      <c r="F44" s="7" t="s">
        <v>3716</v>
      </c>
      <c r="G44" s="8" t="s">
        <v>4381</v>
      </c>
      <c r="H44" s="7" t="s">
        <v>4378</v>
      </c>
      <c r="I44" s="8" t="s">
        <v>4382</v>
      </c>
      <c r="J44" s="7" t="s">
        <v>123</v>
      </c>
      <c r="K44" s="7" t="s">
        <v>997</v>
      </c>
      <c r="L44" s="7" t="s">
        <v>387</v>
      </c>
      <c r="M44" s="7">
        <v>8301.4</v>
      </c>
      <c r="N44" s="7">
        <v>120</v>
      </c>
      <c r="O44" s="7" t="s">
        <v>4321</v>
      </c>
      <c r="P44" s="7"/>
      <c r="Q44" s="115"/>
      <c r="R44" s="9">
        <v>584.23836467509341</v>
      </c>
      <c r="S44" s="115"/>
      <c r="T44" s="7" t="s">
        <v>34</v>
      </c>
      <c r="U44" s="7" t="s">
        <v>34</v>
      </c>
    </row>
    <row r="45" spans="1:21" ht="14.1" customHeight="1">
      <c r="A45" s="7">
        <v>42</v>
      </c>
      <c r="B45" s="14" t="s">
        <v>3715</v>
      </c>
      <c r="C45" s="14" t="s">
        <v>393</v>
      </c>
      <c r="D45" s="7" t="s">
        <v>35</v>
      </c>
      <c r="E45" s="14" t="s">
        <v>295</v>
      </c>
      <c r="F45" s="7" t="s">
        <v>3716</v>
      </c>
      <c r="G45" s="8" t="s">
        <v>4383</v>
      </c>
      <c r="H45" s="7" t="s">
        <v>4378</v>
      </c>
      <c r="I45" s="8" t="s">
        <v>4382</v>
      </c>
      <c r="J45" s="7" t="s">
        <v>123</v>
      </c>
      <c r="K45" s="7" t="s">
        <v>997</v>
      </c>
      <c r="L45" s="7" t="s">
        <v>387</v>
      </c>
      <c r="M45" s="7">
        <v>8301.4</v>
      </c>
      <c r="N45" s="7">
        <v>120</v>
      </c>
      <c r="O45" s="7" t="s">
        <v>4321</v>
      </c>
      <c r="P45" s="7"/>
      <c r="Q45" s="115"/>
      <c r="R45" s="9">
        <v>584.23836467509341</v>
      </c>
      <c r="S45" s="115"/>
      <c r="T45" s="7" t="s">
        <v>34</v>
      </c>
      <c r="U45" s="7" t="s">
        <v>34</v>
      </c>
    </row>
    <row r="46" spans="1:21" ht="14.1" customHeight="1">
      <c r="A46" s="7">
        <v>43</v>
      </c>
      <c r="B46" s="14" t="s">
        <v>4384</v>
      </c>
      <c r="C46" s="14" t="s">
        <v>393</v>
      </c>
      <c r="D46" s="7" t="s">
        <v>35</v>
      </c>
      <c r="E46" s="14" t="s">
        <v>295</v>
      </c>
      <c r="F46" s="7" t="s">
        <v>457</v>
      </c>
      <c r="G46" s="8" t="s">
        <v>4385</v>
      </c>
      <c r="H46" s="7" t="s">
        <v>4378</v>
      </c>
      <c r="I46" s="8" t="s">
        <v>4386</v>
      </c>
      <c r="J46" s="7" t="s">
        <v>123</v>
      </c>
      <c r="K46" s="7" t="s">
        <v>997</v>
      </c>
      <c r="L46" s="7" t="s">
        <v>387</v>
      </c>
      <c r="M46" s="7">
        <v>8302.41</v>
      </c>
      <c r="N46" s="7">
        <v>120</v>
      </c>
      <c r="O46" s="7" t="s">
        <v>4321</v>
      </c>
      <c r="P46" s="7"/>
      <c r="Q46" s="115"/>
      <c r="R46" s="9">
        <v>562.15245557429034</v>
      </c>
      <c r="S46" s="115"/>
      <c r="T46" s="7" t="s">
        <v>34</v>
      </c>
      <c r="U46" s="7" t="s">
        <v>34</v>
      </c>
    </row>
    <row r="47" spans="1:21" ht="14.1" customHeight="1">
      <c r="A47" s="7">
        <v>44</v>
      </c>
      <c r="B47" s="14" t="s">
        <v>4384</v>
      </c>
      <c r="C47" s="14" t="s">
        <v>393</v>
      </c>
      <c r="D47" s="7" t="s">
        <v>35</v>
      </c>
      <c r="E47" s="14" t="s">
        <v>295</v>
      </c>
      <c r="F47" s="7" t="s">
        <v>457</v>
      </c>
      <c r="G47" s="8" t="s">
        <v>4387</v>
      </c>
      <c r="H47" s="7" t="s">
        <v>4378</v>
      </c>
      <c r="I47" s="8" t="s">
        <v>4386</v>
      </c>
      <c r="J47" s="7" t="s">
        <v>123</v>
      </c>
      <c r="K47" s="7" t="s">
        <v>997</v>
      </c>
      <c r="L47" s="7" t="s">
        <v>387</v>
      </c>
      <c r="M47" s="7">
        <v>8302.41</v>
      </c>
      <c r="N47" s="7">
        <v>120</v>
      </c>
      <c r="O47" s="7" t="s">
        <v>4321</v>
      </c>
      <c r="P47" s="7"/>
      <c r="Q47" s="115"/>
      <c r="R47" s="9">
        <v>562.15245557429034</v>
      </c>
      <c r="S47" s="115"/>
      <c r="T47" s="7" t="s">
        <v>34</v>
      </c>
      <c r="U47" s="7" t="s">
        <v>34</v>
      </c>
    </row>
    <row r="48" spans="1:21" ht="14.1" customHeight="1">
      <c r="A48" s="7">
        <v>45</v>
      </c>
      <c r="B48" s="14" t="s">
        <v>4384</v>
      </c>
      <c r="C48" s="14" t="s">
        <v>393</v>
      </c>
      <c r="D48" s="7" t="s">
        <v>35</v>
      </c>
      <c r="E48" s="14" t="s">
        <v>295</v>
      </c>
      <c r="F48" s="7" t="s">
        <v>457</v>
      </c>
      <c r="G48" s="8" t="s">
        <v>4388</v>
      </c>
      <c r="H48" s="7" t="s">
        <v>4378</v>
      </c>
      <c r="I48" s="8" t="s">
        <v>4389</v>
      </c>
      <c r="J48" s="7" t="s">
        <v>123</v>
      </c>
      <c r="K48" s="7" t="s">
        <v>997</v>
      </c>
      <c r="L48" s="7" t="s">
        <v>387</v>
      </c>
      <c r="M48" s="7">
        <v>8302.41</v>
      </c>
      <c r="N48" s="7">
        <v>120</v>
      </c>
      <c r="O48" s="7" t="s">
        <v>4321</v>
      </c>
      <c r="P48" s="7"/>
      <c r="Q48" s="115"/>
      <c r="R48" s="9">
        <v>276.54578489467269</v>
      </c>
      <c r="S48" s="115"/>
      <c r="T48" s="7" t="s">
        <v>34</v>
      </c>
      <c r="U48" s="7" t="s">
        <v>34</v>
      </c>
    </row>
    <row r="49" spans="1:21" ht="14.1" customHeight="1">
      <c r="A49" s="7">
        <v>46</v>
      </c>
      <c r="B49" s="14" t="s">
        <v>4384</v>
      </c>
      <c r="C49" s="14" t="s">
        <v>393</v>
      </c>
      <c r="D49" s="7" t="s">
        <v>35</v>
      </c>
      <c r="E49" s="14" t="s">
        <v>295</v>
      </c>
      <c r="F49" s="7" t="s">
        <v>457</v>
      </c>
      <c r="G49" s="8" t="s">
        <v>4390</v>
      </c>
      <c r="H49" s="7" t="s">
        <v>4378</v>
      </c>
      <c r="I49" s="8" t="s">
        <v>4389</v>
      </c>
      <c r="J49" s="7" t="s">
        <v>123</v>
      </c>
      <c r="K49" s="7" t="s">
        <v>997</v>
      </c>
      <c r="L49" s="7" t="s">
        <v>387</v>
      </c>
      <c r="M49" s="7">
        <v>8302.41</v>
      </c>
      <c r="N49" s="7">
        <v>120</v>
      </c>
      <c r="O49" s="7" t="s">
        <v>4321</v>
      </c>
      <c r="P49" s="7"/>
      <c r="Q49" s="115"/>
      <c r="R49" s="9">
        <v>276.54578489467269</v>
      </c>
      <c r="S49" s="115"/>
      <c r="T49" s="7" t="s">
        <v>34</v>
      </c>
      <c r="U49" s="7" t="s">
        <v>34</v>
      </c>
    </row>
    <row r="50" spans="1:21" ht="14.1" customHeight="1">
      <c r="A50" s="7">
        <v>47</v>
      </c>
      <c r="B50" s="14" t="s">
        <v>4384</v>
      </c>
      <c r="C50" s="14" t="s">
        <v>393</v>
      </c>
      <c r="D50" s="7" t="s">
        <v>35</v>
      </c>
      <c r="E50" s="14" t="s">
        <v>295</v>
      </c>
      <c r="F50" s="7" t="s">
        <v>457</v>
      </c>
      <c r="G50" s="8" t="s">
        <v>4391</v>
      </c>
      <c r="H50" s="7" t="s">
        <v>4378</v>
      </c>
      <c r="I50" s="8" t="s">
        <v>4392</v>
      </c>
      <c r="J50" s="7" t="s">
        <v>123</v>
      </c>
      <c r="K50" s="7" t="s">
        <v>997</v>
      </c>
      <c r="L50" s="7" t="s">
        <v>387</v>
      </c>
      <c r="M50" s="7">
        <v>8301.4</v>
      </c>
      <c r="N50" s="7">
        <v>120</v>
      </c>
      <c r="O50" s="7" t="s">
        <v>4321</v>
      </c>
      <c r="P50" s="7"/>
      <c r="Q50" s="115"/>
      <c r="R50" s="9">
        <v>587.6361968444478</v>
      </c>
      <c r="S50" s="115"/>
      <c r="T50" s="7" t="s">
        <v>34</v>
      </c>
      <c r="U50" s="7" t="s">
        <v>34</v>
      </c>
    </row>
    <row r="51" spans="1:21" ht="14.1" customHeight="1">
      <c r="A51" s="7">
        <v>48</v>
      </c>
      <c r="B51" s="14" t="s">
        <v>4384</v>
      </c>
      <c r="C51" s="14" t="s">
        <v>393</v>
      </c>
      <c r="D51" s="7" t="s">
        <v>35</v>
      </c>
      <c r="E51" s="14" t="s">
        <v>295</v>
      </c>
      <c r="F51" s="7" t="s">
        <v>457</v>
      </c>
      <c r="G51" s="8" t="s">
        <v>4393</v>
      </c>
      <c r="H51" s="7" t="s">
        <v>4378</v>
      </c>
      <c r="I51" s="8" t="s">
        <v>4392</v>
      </c>
      <c r="J51" s="7" t="s">
        <v>123</v>
      </c>
      <c r="K51" s="7" t="s">
        <v>997</v>
      </c>
      <c r="L51" s="7" t="s">
        <v>387</v>
      </c>
      <c r="M51" s="7">
        <v>8301.4</v>
      </c>
      <c r="N51" s="7">
        <v>120</v>
      </c>
      <c r="O51" s="7" t="s">
        <v>4321</v>
      </c>
      <c r="P51" s="7"/>
      <c r="Q51" s="115"/>
      <c r="R51" s="9">
        <v>587.6361968444478</v>
      </c>
      <c r="S51" s="115"/>
      <c r="T51" s="7" t="s">
        <v>34</v>
      </c>
      <c r="U51" s="7" t="s">
        <v>34</v>
      </c>
    </row>
    <row r="52" spans="1:21" ht="14.1" customHeight="1">
      <c r="A52" s="7">
        <v>49</v>
      </c>
      <c r="B52" s="14" t="s">
        <v>4384</v>
      </c>
      <c r="C52" s="14" t="s">
        <v>393</v>
      </c>
      <c r="D52" s="7" t="s">
        <v>35</v>
      </c>
      <c r="E52" s="14" t="s">
        <v>295</v>
      </c>
      <c r="F52" s="7" t="s">
        <v>457</v>
      </c>
      <c r="G52" s="8" t="s">
        <v>4394</v>
      </c>
      <c r="H52" s="7" t="s">
        <v>4378</v>
      </c>
      <c r="I52" s="8" t="s">
        <v>4395</v>
      </c>
      <c r="J52" s="7" t="s">
        <v>123</v>
      </c>
      <c r="K52" s="7" t="s">
        <v>997</v>
      </c>
      <c r="L52" s="7" t="s">
        <v>387</v>
      </c>
      <c r="M52" s="7">
        <v>8302.41</v>
      </c>
      <c r="N52" s="7">
        <v>120</v>
      </c>
      <c r="O52" s="7" t="s">
        <v>4321</v>
      </c>
      <c r="P52" s="7"/>
      <c r="Q52" s="115"/>
      <c r="R52" s="9">
        <v>268.99504674055191</v>
      </c>
      <c r="S52" s="115"/>
      <c r="T52" s="7" t="s">
        <v>34</v>
      </c>
      <c r="U52" s="7" t="s">
        <v>34</v>
      </c>
    </row>
    <row r="53" spans="1:21" ht="14.1" customHeight="1">
      <c r="A53" s="7">
        <v>50</v>
      </c>
      <c r="B53" s="14" t="s">
        <v>4384</v>
      </c>
      <c r="C53" s="14" t="s">
        <v>393</v>
      </c>
      <c r="D53" s="7" t="s">
        <v>35</v>
      </c>
      <c r="E53" s="14" t="s">
        <v>295</v>
      </c>
      <c r="F53" s="7" t="s">
        <v>457</v>
      </c>
      <c r="G53" s="8" t="s">
        <v>4396</v>
      </c>
      <c r="H53" s="7" t="s">
        <v>4378</v>
      </c>
      <c r="I53" s="8" t="s">
        <v>4395</v>
      </c>
      <c r="J53" s="7" t="s">
        <v>123</v>
      </c>
      <c r="K53" s="7" t="s">
        <v>997</v>
      </c>
      <c r="L53" s="7" t="s">
        <v>387</v>
      </c>
      <c r="M53" s="7">
        <v>8302.41</v>
      </c>
      <c r="N53" s="7">
        <v>120</v>
      </c>
      <c r="O53" s="7" t="s">
        <v>4321</v>
      </c>
      <c r="P53" s="7"/>
      <c r="Q53" s="115"/>
      <c r="R53" s="9">
        <v>268.99504674055191</v>
      </c>
      <c r="S53" s="115"/>
      <c r="T53" s="7" t="s">
        <v>34</v>
      </c>
      <c r="U53" s="7" t="s">
        <v>34</v>
      </c>
    </row>
    <row r="54" spans="1:21" ht="14.1" customHeight="1">
      <c r="A54" s="7">
        <v>51</v>
      </c>
      <c r="B54" s="14" t="s">
        <v>4384</v>
      </c>
      <c r="C54" s="14" t="s">
        <v>393</v>
      </c>
      <c r="D54" s="7" t="s">
        <v>35</v>
      </c>
      <c r="E54" s="14" t="s">
        <v>295</v>
      </c>
      <c r="F54" s="7" t="s">
        <v>457</v>
      </c>
      <c r="G54" s="8" t="s">
        <v>4397</v>
      </c>
      <c r="H54" s="7" t="s">
        <v>4378</v>
      </c>
      <c r="I54" s="8" t="s">
        <v>4398</v>
      </c>
      <c r="J54" s="7" t="s">
        <v>123</v>
      </c>
      <c r="K54" s="7" t="s">
        <v>997</v>
      </c>
      <c r="L54" s="7" t="s">
        <v>387</v>
      </c>
      <c r="M54" s="7">
        <v>8301.4</v>
      </c>
      <c r="N54" s="7">
        <v>120</v>
      </c>
      <c r="O54" s="7" t="s">
        <v>4321</v>
      </c>
      <c r="P54" s="7"/>
      <c r="Q54" s="115"/>
      <c r="R54" s="9">
        <v>299.95307317244698</v>
      </c>
      <c r="S54" s="115"/>
      <c r="T54" s="7" t="s">
        <v>34</v>
      </c>
      <c r="U54" s="7" t="s">
        <v>34</v>
      </c>
    </row>
    <row r="55" spans="1:21" ht="14.1" customHeight="1">
      <c r="A55" s="7">
        <v>52</v>
      </c>
      <c r="B55" s="14" t="s">
        <v>4384</v>
      </c>
      <c r="C55" s="14" t="s">
        <v>393</v>
      </c>
      <c r="D55" s="7" t="s">
        <v>35</v>
      </c>
      <c r="E55" s="14" t="s">
        <v>295</v>
      </c>
      <c r="F55" s="7" t="s">
        <v>457</v>
      </c>
      <c r="G55" s="8" t="s">
        <v>4399</v>
      </c>
      <c r="H55" s="7" t="s">
        <v>4378</v>
      </c>
      <c r="I55" s="8" t="s">
        <v>4398</v>
      </c>
      <c r="J55" s="7" t="s">
        <v>123</v>
      </c>
      <c r="K55" s="7" t="s">
        <v>997</v>
      </c>
      <c r="L55" s="7" t="s">
        <v>387</v>
      </c>
      <c r="M55" s="7">
        <v>8301.4</v>
      </c>
      <c r="N55" s="7">
        <v>120</v>
      </c>
      <c r="O55" s="7" t="s">
        <v>4321</v>
      </c>
      <c r="P55" s="7"/>
      <c r="Q55" s="115"/>
      <c r="R55" s="9">
        <v>299.95307317244698</v>
      </c>
      <c r="S55" s="115"/>
      <c r="T55" s="7" t="s">
        <v>34</v>
      </c>
      <c r="U55" s="7" t="s">
        <v>34</v>
      </c>
    </row>
    <row r="56" spans="1:21" ht="14.1" customHeight="1">
      <c r="A56" s="7">
        <v>53</v>
      </c>
      <c r="B56" s="14" t="s">
        <v>4384</v>
      </c>
      <c r="C56" s="14" t="s">
        <v>393</v>
      </c>
      <c r="D56" s="7" t="s">
        <v>35</v>
      </c>
      <c r="E56" s="14" t="s">
        <v>295</v>
      </c>
      <c r="F56" s="7" t="s">
        <v>457</v>
      </c>
      <c r="G56" s="8" t="s">
        <v>4400</v>
      </c>
      <c r="H56" s="7" t="s">
        <v>4378</v>
      </c>
      <c r="I56" s="8" t="s">
        <v>4401</v>
      </c>
      <c r="J56" s="7" t="s">
        <v>123</v>
      </c>
      <c r="K56" s="7" t="s">
        <v>997</v>
      </c>
      <c r="L56" s="7" t="s">
        <v>387</v>
      </c>
      <c r="M56" s="7">
        <v>8301.4</v>
      </c>
      <c r="N56" s="7">
        <v>120</v>
      </c>
      <c r="O56" s="7" t="s">
        <v>4321</v>
      </c>
      <c r="P56" s="7"/>
      <c r="Q56" s="115"/>
      <c r="R56" s="9">
        <v>321.85021381939708</v>
      </c>
      <c r="S56" s="115"/>
      <c r="T56" s="7" t="s">
        <v>34</v>
      </c>
      <c r="U56" s="7" t="s">
        <v>34</v>
      </c>
    </row>
    <row r="57" spans="1:21" ht="14.1" customHeight="1">
      <c r="A57" s="7">
        <v>54</v>
      </c>
      <c r="B57" s="14" t="s">
        <v>4384</v>
      </c>
      <c r="C57" s="14" t="s">
        <v>393</v>
      </c>
      <c r="D57" s="7" t="s">
        <v>35</v>
      </c>
      <c r="E57" s="14" t="s">
        <v>295</v>
      </c>
      <c r="F57" s="7" t="s">
        <v>457</v>
      </c>
      <c r="G57" s="8" t="s">
        <v>4402</v>
      </c>
      <c r="H57" s="7" t="s">
        <v>4378</v>
      </c>
      <c r="I57" s="8" t="s">
        <v>4403</v>
      </c>
      <c r="J57" s="7" t="s">
        <v>123</v>
      </c>
      <c r="K57" s="7" t="s">
        <v>997</v>
      </c>
      <c r="L57" s="7" t="s">
        <v>387</v>
      </c>
      <c r="M57" s="7">
        <v>8302.41</v>
      </c>
      <c r="N57" s="7">
        <v>120</v>
      </c>
      <c r="O57" s="7" t="s">
        <v>4321</v>
      </c>
      <c r="P57" s="7"/>
      <c r="Q57" s="115"/>
      <c r="R57" s="9">
        <v>278.05593252549681</v>
      </c>
      <c r="S57" s="115"/>
      <c r="T57" s="7" t="s">
        <v>34</v>
      </c>
      <c r="U57" s="7" t="s">
        <v>34</v>
      </c>
    </row>
    <row r="58" spans="1:21" ht="14.1" customHeight="1">
      <c r="A58" s="7">
        <v>55</v>
      </c>
      <c r="B58" s="14" t="s">
        <v>4384</v>
      </c>
      <c r="C58" s="14" t="s">
        <v>393</v>
      </c>
      <c r="D58" s="7" t="s">
        <v>35</v>
      </c>
      <c r="E58" s="14" t="s">
        <v>295</v>
      </c>
      <c r="F58" s="7" t="s">
        <v>457</v>
      </c>
      <c r="G58" s="8" t="s">
        <v>4404</v>
      </c>
      <c r="H58" s="7" t="s">
        <v>4378</v>
      </c>
      <c r="I58" s="8" t="s">
        <v>4403</v>
      </c>
      <c r="J58" s="7" t="s">
        <v>123</v>
      </c>
      <c r="K58" s="7" t="s">
        <v>997</v>
      </c>
      <c r="L58" s="7" t="s">
        <v>387</v>
      </c>
      <c r="M58" s="7">
        <v>8302.41</v>
      </c>
      <c r="N58" s="7">
        <v>120</v>
      </c>
      <c r="O58" s="7" t="s">
        <v>4321</v>
      </c>
      <c r="P58" s="7"/>
      <c r="Q58" s="115"/>
      <c r="R58" s="9">
        <v>278.05593252549681</v>
      </c>
      <c r="S58" s="115"/>
      <c r="T58" s="7" t="s">
        <v>34</v>
      </c>
      <c r="U58" s="7" t="s">
        <v>34</v>
      </c>
    </row>
    <row r="59" spans="1:21" ht="14.1" customHeight="1">
      <c r="A59" s="7">
        <v>56</v>
      </c>
      <c r="B59" s="14" t="s">
        <v>4384</v>
      </c>
      <c r="C59" s="14" t="s">
        <v>393</v>
      </c>
      <c r="D59" s="7" t="s">
        <v>35</v>
      </c>
      <c r="E59" s="14" t="s">
        <v>295</v>
      </c>
      <c r="F59" s="7" t="s">
        <v>457</v>
      </c>
      <c r="G59" s="8" t="s">
        <v>4405</v>
      </c>
      <c r="H59" s="7" t="s">
        <v>4378</v>
      </c>
      <c r="I59" s="8" t="s">
        <v>4406</v>
      </c>
      <c r="J59" s="7" t="s">
        <v>123</v>
      </c>
      <c r="K59" s="7" t="s">
        <v>997</v>
      </c>
      <c r="L59" s="7" t="s">
        <v>387</v>
      </c>
      <c r="M59" s="7">
        <v>8302.41</v>
      </c>
      <c r="N59" s="7">
        <v>120</v>
      </c>
      <c r="O59" s="7" t="s">
        <v>4321</v>
      </c>
      <c r="P59" s="7"/>
      <c r="Q59" s="115"/>
      <c r="R59" s="9">
        <v>147.9944678207668</v>
      </c>
      <c r="S59" s="115"/>
      <c r="T59" s="7" t="s">
        <v>34</v>
      </c>
      <c r="U59" s="7" t="s">
        <v>34</v>
      </c>
    </row>
    <row r="60" spans="1:21" ht="14.1" customHeight="1">
      <c r="A60" s="7">
        <v>57</v>
      </c>
      <c r="B60" s="14" t="s">
        <v>4384</v>
      </c>
      <c r="C60" s="14" t="s">
        <v>393</v>
      </c>
      <c r="D60" s="7" t="s">
        <v>35</v>
      </c>
      <c r="E60" s="14" t="s">
        <v>295</v>
      </c>
      <c r="F60" s="7" t="s">
        <v>457</v>
      </c>
      <c r="G60" s="8" t="s">
        <v>4407</v>
      </c>
      <c r="H60" s="7" t="s">
        <v>4378</v>
      </c>
      <c r="I60" s="8" t="s">
        <v>4406</v>
      </c>
      <c r="J60" s="7" t="s">
        <v>123</v>
      </c>
      <c r="K60" s="7" t="s">
        <v>997</v>
      </c>
      <c r="L60" s="7" t="s">
        <v>387</v>
      </c>
      <c r="M60" s="7">
        <v>8302.41</v>
      </c>
      <c r="N60" s="7">
        <v>120</v>
      </c>
      <c r="O60" s="7" t="s">
        <v>4321</v>
      </c>
      <c r="P60" s="7"/>
      <c r="Q60" s="115"/>
      <c r="R60" s="9">
        <v>147.9944678207668</v>
      </c>
      <c r="S60" s="115"/>
      <c r="T60" s="7" t="s">
        <v>34</v>
      </c>
      <c r="U60" s="7" t="s">
        <v>34</v>
      </c>
    </row>
    <row r="61" spans="1:21" ht="14.1" customHeight="1">
      <c r="A61" s="7">
        <v>58</v>
      </c>
      <c r="B61" s="14" t="s">
        <v>4384</v>
      </c>
      <c r="C61" s="14" t="s">
        <v>393</v>
      </c>
      <c r="D61" s="7" t="s">
        <v>35</v>
      </c>
      <c r="E61" s="14" t="s">
        <v>295</v>
      </c>
      <c r="F61" s="7" t="s">
        <v>457</v>
      </c>
      <c r="G61" s="8" t="s">
        <v>4408</v>
      </c>
      <c r="H61" s="7" t="s">
        <v>4378</v>
      </c>
      <c r="I61" s="8" t="s">
        <v>4409</v>
      </c>
      <c r="J61" s="7" t="s">
        <v>123</v>
      </c>
      <c r="K61" s="7" t="s">
        <v>997</v>
      </c>
      <c r="L61" s="7" t="s">
        <v>387</v>
      </c>
      <c r="M61" s="7">
        <v>8301.4</v>
      </c>
      <c r="N61" s="7">
        <v>120</v>
      </c>
      <c r="O61" s="7" t="s">
        <v>4321</v>
      </c>
      <c r="P61" s="7"/>
      <c r="Q61" s="115"/>
      <c r="R61" s="9">
        <v>303.53967379565432</v>
      </c>
      <c r="S61" s="115"/>
      <c r="T61" s="7" t="s">
        <v>34</v>
      </c>
      <c r="U61" s="7" t="s">
        <v>34</v>
      </c>
    </row>
    <row r="62" spans="1:21" ht="14.1" customHeight="1">
      <c r="A62" s="7">
        <v>59</v>
      </c>
      <c r="B62" s="14" t="s">
        <v>4384</v>
      </c>
      <c r="C62" s="14" t="s">
        <v>393</v>
      </c>
      <c r="D62" s="7" t="s">
        <v>35</v>
      </c>
      <c r="E62" s="14" t="s">
        <v>295</v>
      </c>
      <c r="F62" s="7" t="s">
        <v>457</v>
      </c>
      <c r="G62" s="8" t="s">
        <v>4410</v>
      </c>
      <c r="H62" s="7" t="s">
        <v>4378</v>
      </c>
      <c r="I62" s="8" t="s">
        <v>4409</v>
      </c>
      <c r="J62" s="7" t="s">
        <v>123</v>
      </c>
      <c r="K62" s="7" t="s">
        <v>997</v>
      </c>
      <c r="L62" s="7" t="s">
        <v>387</v>
      </c>
      <c r="M62" s="7">
        <v>8301.4</v>
      </c>
      <c r="N62" s="7">
        <v>120</v>
      </c>
      <c r="O62" s="7" t="s">
        <v>4321</v>
      </c>
      <c r="P62" s="7"/>
      <c r="Q62" s="115"/>
      <c r="R62" s="9">
        <v>303.53967379565432</v>
      </c>
      <c r="S62" s="115"/>
      <c r="T62" s="7" t="s">
        <v>34</v>
      </c>
      <c r="U62" s="7" t="s">
        <v>34</v>
      </c>
    </row>
    <row r="63" spans="1:21" ht="14.1" customHeight="1">
      <c r="A63" s="7">
        <v>60</v>
      </c>
      <c r="B63" s="14" t="s">
        <v>4384</v>
      </c>
      <c r="C63" s="14" t="s">
        <v>393</v>
      </c>
      <c r="D63" s="7" t="s">
        <v>35</v>
      </c>
      <c r="E63" s="14" t="s">
        <v>4336</v>
      </c>
      <c r="F63" s="7" t="s">
        <v>457</v>
      </c>
      <c r="G63" s="8" t="s">
        <v>4411</v>
      </c>
      <c r="H63" s="7" t="s">
        <v>4328</v>
      </c>
      <c r="I63" s="8" t="s">
        <v>4376</v>
      </c>
      <c r="J63" s="7" t="s">
        <v>123</v>
      </c>
      <c r="K63" s="7" t="s">
        <v>4330</v>
      </c>
      <c r="L63" s="7" t="s">
        <v>387</v>
      </c>
      <c r="M63" s="7">
        <v>8302.41</v>
      </c>
      <c r="N63" s="7">
        <v>120</v>
      </c>
      <c r="O63" s="7" t="s">
        <v>4321</v>
      </c>
      <c r="P63" s="7"/>
      <c r="Q63" s="115"/>
      <c r="R63" s="9">
        <v>88.909941764771887</v>
      </c>
      <c r="S63" s="115"/>
      <c r="T63" s="7" t="s">
        <v>34</v>
      </c>
      <c r="U63" s="7" t="s">
        <v>34</v>
      </c>
    </row>
    <row r="64" spans="1:21" ht="14.1" customHeight="1">
      <c r="A64" s="7">
        <v>61</v>
      </c>
      <c r="B64" s="14" t="s">
        <v>4384</v>
      </c>
      <c r="C64" s="14" t="s">
        <v>393</v>
      </c>
      <c r="D64" s="7" t="s">
        <v>35</v>
      </c>
      <c r="E64" s="14" t="s">
        <v>4336</v>
      </c>
      <c r="F64" s="7" t="s">
        <v>457</v>
      </c>
      <c r="G64" s="8" t="s">
        <v>4412</v>
      </c>
      <c r="H64" s="7" t="s">
        <v>121</v>
      </c>
      <c r="I64" s="8" t="s">
        <v>4376</v>
      </c>
      <c r="J64" s="7" t="s">
        <v>123</v>
      </c>
      <c r="K64" s="7" t="s">
        <v>31</v>
      </c>
      <c r="L64" s="7" t="s">
        <v>387</v>
      </c>
      <c r="M64" s="7">
        <v>8302.41</v>
      </c>
      <c r="N64" s="7">
        <v>120</v>
      </c>
      <c r="O64" s="7" t="s">
        <v>4321</v>
      </c>
      <c r="P64" s="7"/>
      <c r="Q64" s="115"/>
      <c r="R64" s="9">
        <v>64.936348125438485</v>
      </c>
      <c r="S64" s="115"/>
      <c r="T64" s="7" t="s">
        <v>34</v>
      </c>
      <c r="U64" s="7" t="s">
        <v>34</v>
      </c>
    </row>
    <row r="65" spans="1:21" ht="14.1" customHeight="1">
      <c r="A65" s="7">
        <v>62</v>
      </c>
      <c r="B65" s="14" t="s">
        <v>4384</v>
      </c>
      <c r="C65" s="14" t="s">
        <v>393</v>
      </c>
      <c r="D65" s="7" t="s">
        <v>35</v>
      </c>
      <c r="E65" s="14" t="s">
        <v>4336</v>
      </c>
      <c r="F65" s="7" t="s">
        <v>457</v>
      </c>
      <c r="G65" s="8" t="s">
        <v>4413</v>
      </c>
      <c r="H65" s="7" t="s">
        <v>4328</v>
      </c>
      <c r="I65" s="8" t="s">
        <v>4338</v>
      </c>
      <c r="J65" s="7" t="s">
        <v>123</v>
      </c>
      <c r="K65" s="7" t="s">
        <v>4330</v>
      </c>
      <c r="L65" s="7" t="s">
        <v>387</v>
      </c>
      <c r="M65" s="7">
        <v>8301.4</v>
      </c>
      <c r="N65" s="7">
        <v>120</v>
      </c>
      <c r="O65" s="7" t="s">
        <v>4321</v>
      </c>
      <c r="P65" s="7"/>
      <c r="Q65" s="115"/>
      <c r="R65" s="9">
        <v>100.236048995953</v>
      </c>
      <c r="S65" s="115"/>
      <c r="T65" s="7" t="s">
        <v>34</v>
      </c>
      <c r="U65" s="7" t="s">
        <v>34</v>
      </c>
    </row>
    <row r="66" spans="1:21" ht="14.1" customHeight="1">
      <c r="A66" s="7">
        <v>63</v>
      </c>
      <c r="B66" s="14" t="s">
        <v>4384</v>
      </c>
      <c r="C66" s="14" t="s">
        <v>393</v>
      </c>
      <c r="D66" s="7" t="s">
        <v>35</v>
      </c>
      <c r="E66" s="14" t="s">
        <v>4336</v>
      </c>
      <c r="F66" s="7" t="s">
        <v>457</v>
      </c>
      <c r="G66" s="8" t="s">
        <v>4414</v>
      </c>
      <c r="H66" s="7" t="s">
        <v>121</v>
      </c>
      <c r="I66" s="8" t="s">
        <v>4338</v>
      </c>
      <c r="J66" s="7" t="s">
        <v>123</v>
      </c>
      <c r="K66" s="7" t="s">
        <v>31</v>
      </c>
      <c r="L66" s="7" t="s">
        <v>387</v>
      </c>
      <c r="M66" s="7">
        <v>8301.4</v>
      </c>
      <c r="N66" s="7">
        <v>120</v>
      </c>
      <c r="O66" s="7" t="s">
        <v>4321</v>
      </c>
      <c r="P66" s="7"/>
      <c r="Q66" s="115"/>
      <c r="R66" s="9">
        <v>74.56353927194246</v>
      </c>
      <c r="S66" s="115"/>
      <c r="T66" s="7" t="s">
        <v>34</v>
      </c>
      <c r="U66" s="7" t="s">
        <v>34</v>
      </c>
    </row>
    <row r="67" spans="1:21" ht="14.1" customHeight="1">
      <c r="A67" s="7">
        <v>64</v>
      </c>
      <c r="B67" s="14" t="s">
        <v>4384</v>
      </c>
      <c r="C67" s="14" t="s">
        <v>393</v>
      </c>
      <c r="D67" s="7" t="s">
        <v>35</v>
      </c>
      <c r="E67" s="14" t="s">
        <v>4336</v>
      </c>
      <c r="F67" s="7" t="s">
        <v>457</v>
      </c>
      <c r="G67" s="8" t="s">
        <v>4415</v>
      </c>
      <c r="H67" s="7" t="s">
        <v>1424</v>
      </c>
      <c r="I67" s="8" t="s">
        <v>4416</v>
      </c>
      <c r="J67" s="7" t="s">
        <v>123</v>
      </c>
      <c r="K67" s="7" t="s">
        <v>1426</v>
      </c>
      <c r="L67" s="7" t="s">
        <v>387</v>
      </c>
      <c r="M67" s="7">
        <v>8302.41</v>
      </c>
      <c r="N67" s="7">
        <v>120</v>
      </c>
      <c r="O67" s="7" t="s">
        <v>4321</v>
      </c>
      <c r="P67" s="7"/>
      <c r="Q67" s="245"/>
      <c r="R67" s="9">
        <v>164.98362866753851</v>
      </c>
      <c r="S67" s="115"/>
      <c r="T67" s="7" t="s">
        <v>34</v>
      </c>
      <c r="U67" s="7" t="s">
        <v>34</v>
      </c>
    </row>
    <row r="68" spans="1:21" ht="14.1" customHeight="1">
      <c r="A68" s="7">
        <v>65</v>
      </c>
      <c r="B68" s="14" t="s">
        <v>4384</v>
      </c>
      <c r="C68" s="14" t="s">
        <v>393</v>
      </c>
      <c r="D68" s="7" t="s">
        <v>35</v>
      </c>
      <c r="E68" s="14" t="s">
        <v>4336</v>
      </c>
      <c r="F68" s="7" t="s">
        <v>457</v>
      </c>
      <c r="G68" s="8" t="s">
        <v>4417</v>
      </c>
      <c r="H68" s="7" t="s">
        <v>1424</v>
      </c>
      <c r="I68" s="8" t="s">
        <v>4418</v>
      </c>
      <c r="J68" s="7" t="s">
        <v>123</v>
      </c>
      <c r="K68" s="7" t="s">
        <v>1426</v>
      </c>
      <c r="L68" s="7" t="s">
        <v>387</v>
      </c>
      <c r="M68" s="7">
        <v>8302.41</v>
      </c>
      <c r="N68" s="7">
        <v>120</v>
      </c>
      <c r="O68" s="7" t="s">
        <v>4321</v>
      </c>
      <c r="P68" s="7"/>
      <c r="Q68" s="245"/>
      <c r="R68" s="9">
        <v>139.3111189435279</v>
      </c>
      <c r="S68" s="115"/>
      <c r="T68" s="7" t="s">
        <v>34</v>
      </c>
      <c r="U68" s="7" t="s">
        <v>34</v>
      </c>
    </row>
    <row r="69" spans="1:21" ht="14.1" customHeight="1">
      <c r="A69" s="7">
        <v>66</v>
      </c>
      <c r="B69" s="14" t="s">
        <v>4384</v>
      </c>
      <c r="C69" s="14" t="s">
        <v>393</v>
      </c>
      <c r="D69" s="7" t="s">
        <v>35</v>
      </c>
      <c r="E69" s="14" t="s">
        <v>4336</v>
      </c>
      <c r="F69" s="7" t="s">
        <v>457</v>
      </c>
      <c r="G69" s="8" t="s">
        <v>4419</v>
      </c>
      <c r="H69" s="7" t="s">
        <v>1424</v>
      </c>
      <c r="I69" s="8" t="s">
        <v>4420</v>
      </c>
      <c r="J69" s="7" t="s">
        <v>123</v>
      </c>
      <c r="K69" s="7" t="s">
        <v>1426</v>
      </c>
      <c r="L69" s="7" t="s">
        <v>387</v>
      </c>
      <c r="M69" s="7">
        <v>8302.41</v>
      </c>
      <c r="N69" s="7">
        <v>120</v>
      </c>
      <c r="O69" s="7" t="s">
        <v>4321</v>
      </c>
      <c r="P69" s="7"/>
      <c r="Q69" s="245"/>
      <c r="R69" s="9">
        <v>139.3111189435279</v>
      </c>
      <c r="S69" s="115"/>
      <c r="T69" s="7" t="s">
        <v>34</v>
      </c>
      <c r="U69" s="7" t="s">
        <v>34</v>
      </c>
    </row>
    <row r="70" spans="1:21" ht="14.1" customHeight="1">
      <c r="A70" s="7">
        <v>67</v>
      </c>
      <c r="B70" s="14" t="s">
        <v>4384</v>
      </c>
      <c r="C70" s="14" t="s">
        <v>393</v>
      </c>
      <c r="D70" s="7" t="s">
        <v>35</v>
      </c>
      <c r="E70" s="14" t="s">
        <v>4336</v>
      </c>
      <c r="F70" s="7" t="s">
        <v>457</v>
      </c>
      <c r="G70" s="8" t="s">
        <v>4421</v>
      </c>
      <c r="H70" s="7" t="s">
        <v>1424</v>
      </c>
      <c r="I70" s="8" t="s">
        <v>4422</v>
      </c>
      <c r="J70" s="7" t="s">
        <v>123</v>
      </c>
      <c r="K70" s="7" t="s">
        <v>1426</v>
      </c>
      <c r="L70" s="7" t="s">
        <v>387</v>
      </c>
      <c r="M70" s="7">
        <v>8302.41</v>
      </c>
      <c r="N70" s="7">
        <v>120</v>
      </c>
      <c r="O70" s="7" t="s">
        <v>4321</v>
      </c>
      <c r="P70" s="7"/>
      <c r="Q70" s="245"/>
      <c r="R70" s="9">
        <v>135.9132867741736</v>
      </c>
      <c r="S70" s="115"/>
      <c r="T70" s="7" t="s">
        <v>34</v>
      </c>
      <c r="U70" s="7" t="s">
        <v>34</v>
      </c>
    </row>
    <row r="71" spans="1:21" ht="14.1" customHeight="1">
      <c r="A71" s="7">
        <v>68</v>
      </c>
      <c r="B71" s="14" t="s">
        <v>4384</v>
      </c>
      <c r="C71" s="14" t="s">
        <v>393</v>
      </c>
      <c r="D71" s="7" t="s">
        <v>35</v>
      </c>
      <c r="E71" s="14" t="s">
        <v>4336</v>
      </c>
      <c r="F71" s="7" t="s">
        <v>457</v>
      </c>
      <c r="G71" s="8" t="s">
        <v>4423</v>
      </c>
      <c r="H71" s="7" t="s">
        <v>1424</v>
      </c>
      <c r="I71" s="8" t="s">
        <v>4424</v>
      </c>
      <c r="J71" s="7" t="s">
        <v>123</v>
      </c>
      <c r="K71" s="7" t="s">
        <v>1426</v>
      </c>
      <c r="L71" s="7" t="s">
        <v>387</v>
      </c>
      <c r="M71" s="7">
        <v>8302.41</v>
      </c>
      <c r="N71" s="7">
        <v>120</v>
      </c>
      <c r="O71" s="7" t="s">
        <v>4321</v>
      </c>
      <c r="P71" s="7"/>
      <c r="Q71" s="245"/>
      <c r="R71" s="9">
        <v>74.56353927194246</v>
      </c>
      <c r="S71" s="115"/>
      <c r="T71" s="7" t="s">
        <v>34</v>
      </c>
      <c r="U71" s="7" t="s">
        <v>34</v>
      </c>
    </row>
    <row r="72" spans="1:21" ht="14.1" customHeight="1">
      <c r="A72" s="7">
        <v>69</v>
      </c>
      <c r="B72" s="14" t="s">
        <v>4384</v>
      </c>
      <c r="C72" s="14" t="s">
        <v>393</v>
      </c>
      <c r="D72" s="7" t="s">
        <v>35</v>
      </c>
      <c r="E72" s="14" t="s">
        <v>4336</v>
      </c>
      <c r="F72" s="7" t="s">
        <v>457</v>
      </c>
      <c r="G72" s="8" t="s">
        <v>4425</v>
      </c>
      <c r="H72" s="7" t="s">
        <v>1424</v>
      </c>
      <c r="I72" s="8" t="s">
        <v>4426</v>
      </c>
      <c r="J72" s="7" t="s">
        <v>123</v>
      </c>
      <c r="K72" s="7" t="s">
        <v>1426</v>
      </c>
      <c r="L72" s="7" t="s">
        <v>387</v>
      </c>
      <c r="M72" s="7">
        <v>8302.41</v>
      </c>
      <c r="N72" s="7">
        <v>120</v>
      </c>
      <c r="O72" s="7" t="s">
        <v>4321</v>
      </c>
      <c r="P72" s="7"/>
      <c r="Q72" s="245"/>
      <c r="R72" s="9">
        <v>168.57022929074591</v>
      </c>
      <c r="S72" s="115"/>
      <c r="T72" s="7" t="s">
        <v>34</v>
      </c>
      <c r="U72" s="7" t="s">
        <v>34</v>
      </c>
    </row>
    <row r="73" spans="1:21" ht="14.1" customHeight="1">
      <c r="A73" s="7">
        <v>70</v>
      </c>
      <c r="B73" s="14" t="s">
        <v>4384</v>
      </c>
      <c r="C73" s="14" t="s">
        <v>393</v>
      </c>
      <c r="D73" s="7" t="s">
        <v>35</v>
      </c>
      <c r="E73" s="14" t="s">
        <v>4336</v>
      </c>
      <c r="F73" s="7" t="s">
        <v>457</v>
      </c>
      <c r="G73" s="8" t="s">
        <v>4427</v>
      </c>
      <c r="H73" s="7" t="s">
        <v>524</v>
      </c>
      <c r="I73" s="8" t="s">
        <v>4416</v>
      </c>
      <c r="J73" s="7" t="s">
        <v>123</v>
      </c>
      <c r="K73" s="7" t="s">
        <v>461</v>
      </c>
      <c r="L73" s="7" t="s">
        <v>387</v>
      </c>
      <c r="M73" s="7">
        <v>8302.41</v>
      </c>
      <c r="N73" s="7">
        <v>120</v>
      </c>
      <c r="O73" s="7" t="s">
        <v>4321</v>
      </c>
      <c r="P73" s="7"/>
      <c r="Q73" s="245"/>
      <c r="R73" s="9">
        <v>193.29889674549139</v>
      </c>
      <c r="S73" s="115"/>
      <c r="T73" s="7" t="s">
        <v>34</v>
      </c>
      <c r="U73" s="7" t="s">
        <v>34</v>
      </c>
    </row>
    <row r="74" spans="1:21" ht="14.1" customHeight="1">
      <c r="A74" s="7">
        <v>71</v>
      </c>
      <c r="B74" s="14" t="s">
        <v>4384</v>
      </c>
      <c r="C74" s="14" t="s">
        <v>393</v>
      </c>
      <c r="D74" s="7" t="s">
        <v>35</v>
      </c>
      <c r="E74" s="14" t="s">
        <v>4336</v>
      </c>
      <c r="F74" s="7" t="s">
        <v>457</v>
      </c>
      <c r="G74" s="8" t="s">
        <v>4428</v>
      </c>
      <c r="H74" s="7" t="s">
        <v>524</v>
      </c>
      <c r="I74" s="8" t="s">
        <v>4418</v>
      </c>
      <c r="J74" s="7" t="s">
        <v>123</v>
      </c>
      <c r="K74" s="7" t="s">
        <v>461</v>
      </c>
      <c r="L74" s="7" t="s">
        <v>387</v>
      </c>
      <c r="M74" s="7">
        <v>8302.41</v>
      </c>
      <c r="N74" s="7">
        <v>120</v>
      </c>
      <c r="O74" s="7" t="s">
        <v>4321</v>
      </c>
      <c r="P74" s="7"/>
      <c r="Q74" s="245"/>
      <c r="R74" s="9">
        <v>167.6263870214807</v>
      </c>
      <c r="S74" s="115"/>
      <c r="T74" s="7" t="s">
        <v>34</v>
      </c>
      <c r="U74" s="7" t="s">
        <v>34</v>
      </c>
    </row>
    <row r="75" spans="1:21" ht="14.1" customHeight="1">
      <c r="A75" s="7">
        <v>72</v>
      </c>
      <c r="B75" s="14" t="s">
        <v>4384</v>
      </c>
      <c r="C75" s="14" t="s">
        <v>393</v>
      </c>
      <c r="D75" s="7" t="s">
        <v>35</v>
      </c>
      <c r="E75" s="14" t="s">
        <v>4336</v>
      </c>
      <c r="F75" s="7" t="s">
        <v>457</v>
      </c>
      <c r="G75" s="8" t="s">
        <v>4429</v>
      </c>
      <c r="H75" s="7" t="s">
        <v>524</v>
      </c>
      <c r="I75" s="8" t="s">
        <v>4420</v>
      </c>
      <c r="J75" s="7" t="s">
        <v>123</v>
      </c>
      <c r="K75" s="7" t="s">
        <v>461</v>
      </c>
      <c r="L75" s="7" t="s">
        <v>387</v>
      </c>
      <c r="M75" s="7">
        <v>8302.41</v>
      </c>
      <c r="N75" s="7">
        <v>120</v>
      </c>
      <c r="O75" s="7" t="s">
        <v>4321</v>
      </c>
      <c r="P75" s="7"/>
      <c r="Q75" s="245"/>
      <c r="R75" s="9">
        <v>167.6263870214807</v>
      </c>
      <c r="S75" s="115"/>
      <c r="T75" s="7" t="s">
        <v>34</v>
      </c>
      <c r="U75" s="7" t="s">
        <v>34</v>
      </c>
    </row>
    <row r="76" spans="1:21" ht="14.1" customHeight="1">
      <c r="A76" s="7">
        <v>73</v>
      </c>
      <c r="B76" s="14" t="s">
        <v>4384</v>
      </c>
      <c r="C76" s="14" t="s">
        <v>393</v>
      </c>
      <c r="D76" s="7" t="s">
        <v>35</v>
      </c>
      <c r="E76" s="14" t="s">
        <v>4336</v>
      </c>
      <c r="F76" s="7" t="s">
        <v>457</v>
      </c>
      <c r="G76" s="8" t="s">
        <v>4430</v>
      </c>
      <c r="H76" s="7" t="s">
        <v>524</v>
      </c>
      <c r="I76" s="8" t="s">
        <v>4422</v>
      </c>
      <c r="J76" s="7" t="s">
        <v>123</v>
      </c>
      <c r="K76" s="7" t="s">
        <v>461</v>
      </c>
      <c r="L76" s="7" t="s">
        <v>387</v>
      </c>
      <c r="M76" s="7">
        <v>8302.41</v>
      </c>
      <c r="N76" s="7">
        <v>120</v>
      </c>
      <c r="O76" s="7" t="s">
        <v>4321</v>
      </c>
      <c r="P76" s="7"/>
      <c r="Q76" s="245"/>
      <c r="R76" s="9">
        <v>164.22855485212651</v>
      </c>
      <c r="S76" s="115"/>
      <c r="T76" s="7" t="s">
        <v>34</v>
      </c>
      <c r="U76" s="7" t="s">
        <v>34</v>
      </c>
    </row>
    <row r="77" spans="1:21" ht="14.1" customHeight="1">
      <c r="A77" s="7">
        <v>74</v>
      </c>
      <c r="B77" s="14" t="s">
        <v>4384</v>
      </c>
      <c r="C77" s="14" t="s">
        <v>393</v>
      </c>
      <c r="D77" s="7" t="s">
        <v>35</v>
      </c>
      <c r="E77" s="14" t="s">
        <v>4336</v>
      </c>
      <c r="F77" s="7" t="s">
        <v>457</v>
      </c>
      <c r="G77" s="8" t="s">
        <v>4431</v>
      </c>
      <c r="H77" s="7" t="s">
        <v>524</v>
      </c>
      <c r="I77" s="8" t="s">
        <v>4424</v>
      </c>
      <c r="J77" s="7" t="s">
        <v>123</v>
      </c>
      <c r="K77" s="7" t="s">
        <v>461</v>
      </c>
      <c r="L77" s="7" t="s">
        <v>387</v>
      </c>
      <c r="M77" s="7">
        <v>8302.41</v>
      </c>
      <c r="N77" s="7">
        <v>120</v>
      </c>
      <c r="O77" s="7" t="s">
        <v>4321</v>
      </c>
      <c r="P77" s="7"/>
      <c r="Q77" s="245"/>
      <c r="R77" s="9">
        <v>88.721173310918871</v>
      </c>
      <c r="S77" s="115"/>
      <c r="T77" s="7" t="s">
        <v>34</v>
      </c>
      <c r="U77" s="7" t="s">
        <v>34</v>
      </c>
    </row>
    <row r="78" spans="1:21" ht="14.1" customHeight="1">
      <c r="A78" s="7">
        <v>75</v>
      </c>
      <c r="B78" s="14" t="s">
        <v>4384</v>
      </c>
      <c r="C78" s="14" t="s">
        <v>393</v>
      </c>
      <c r="D78" s="7" t="s">
        <v>35</v>
      </c>
      <c r="E78" s="14" t="s">
        <v>4336</v>
      </c>
      <c r="F78" s="7" t="s">
        <v>457</v>
      </c>
      <c r="G78" s="8" t="s">
        <v>4432</v>
      </c>
      <c r="H78" s="7" t="s">
        <v>524</v>
      </c>
      <c r="I78" s="8" t="s">
        <v>4426</v>
      </c>
      <c r="J78" s="7" t="s">
        <v>123</v>
      </c>
      <c r="K78" s="7" t="s">
        <v>461</v>
      </c>
      <c r="L78" s="7" t="s">
        <v>387</v>
      </c>
      <c r="M78" s="7">
        <v>8302.41</v>
      </c>
      <c r="N78" s="7">
        <v>120</v>
      </c>
      <c r="O78" s="7" t="s">
        <v>4321</v>
      </c>
      <c r="P78" s="7"/>
      <c r="Q78" s="245"/>
      <c r="R78" s="9">
        <v>196.88549736869871</v>
      </c>
      <c r="S78" s="115"/>
      <c r="T78" s="7" t="s">
        <v>34</v>
      </c>
      <c r="U78" s="7" t="s">
        <v>34</v>
      </c>
    </row>
    <row r="79" spans="1:21" ht="14.1" customHeight="1">
      <c r="A79" s="7">
        <v>76</v>
      </c>
      <c r="B79" s="14" t="s">
        <v>4384</v>
      </c>
      <c r="C79" s="14" t="s">
        <v>393</v>
      </c>
      <c r="D79" s="7" t="s">
        <v>35</v>
      </c>
      <c r="E79" s="14" t="s">
        <v>4336</v>
      </c>
      <c r="F79" s="7" t="s">
        <v>457</v>
      </c>
      <c r="G79" s="8" t="s">
        <v>4433</v>
      </c>
      <c r="H79" s="7" t="s">
        <v>4328</v>
      </c>
      <c r="I79" s="8" t="s">
        <v>4434</v>
      </c>
      <c r="J79" s="7" t="s">
        <v>123</v>
      </c>
      <c r="K79" s="7" t="s">
        <v>4330</v>
      </c>
      <c r="L79" s="7" t="s">
        <v>387</v>
      </c>
      <c r="M79" s="7">
        <v>8302.41</v>
      </c>
      <c r="N79" s="7">
        <v>120</v>
      </c>
      <c r="O79" s="7" t="s">
        <v>4321</v>
      </c>
      <c r="P79" s="7"/>
      <c r="Q79" s="115"/>
      <c r="R79" s="9">
        <v>81.547972064504165</v>
      </c>
      <c r="S79" s="115"/>
      <c r="T79" s="7" t="s">
        <v>34</v>
      </c>
      <c r="U79" s="7" t="s">
        <v>34</v>
      </c>
    </row>
    <row r="80" spans="1:21" ht="14.1" customHeight="1">
      <c r="A80" s="7">
        <v>77</v>
      </c>
      <c r="B80" s="14" t="s">
        <v>4384</v>
      </c>
      <c r="C80" s="14" t="s">
        <v>393</v>
      </c>
      <c r="D80" s="7" t="s">
        <v>35</v>
      </c>
      <c r="E80" s="14" t="s">
        <v>4336</v>
      </c>
      <c r="F80" s="7" t="s">
        <v>457</v>
      </c>
      <c r="G80" s="8" t="s">
        <v>4435</v>
      </c>
      <c r="H80" s="7" t="s">
        <v>121</v>
      </c>
      <c r="I80" s="8" t="s">
        <v>4434</v>
      </c>
      <c r="J80" s="7" t="s">
        <v>123</v>
      </c>
      <c r="K80" s="7" t="s">
        <v>31</v>
      </c>
      <c r="L80" s="7" t="s">
        <v>387</v>
      </c>
      <c r="M80" s="7">
        <v>8302.41</v>
      </c>
      <c r="N80" s="7">
        <v>120</v>
      </c>
      <c r="O80" s="7" t="s">
        <v>4321</v>
      </c>
      <c r="P80" s="7"/>
      <c r="Q80" s="115"/>
      <c r="R80" s="9">
        <v>65.502653486997559</v>
      </c>
      <c r="S80" s="115"/>
      <c r="T80" s="7" t="s">
        <v>34</v>
      </c>
      <c r="U80" s="7" t="s">
        <v>34</v>
      </c>
    </row>
    <row r="81" spans="1:21" ht="14.1" customHeight="1">
      <c r="A81" s="7">
        <v>78</v>
      </c>
      <c r="B81" s="14" t="s">
        <v>4384</v>
      </c>
      <c r="C81" s="14" t="s">
        <v>393</v>
      </c>
      <c r="D81" s="7" t="s">
        <v>35</v>
      </c>
      <c r="E81" s="14" t="s">
        <v>4336</v>
      </c>
      <c r="F81" s="7" t="s">
        <v>457</v>
      </c>
      <c r="G81" s="8" t="s">
        <v>4436</v>
      </c>
      <c r="H81" s="7" t="s">
        <v>121</v>
      </c>
      <c r="I81" s="8" t="s">
        <v>4434</v>
      </c>
      <c r="J81" s="7" t="s">
        <v>123</v>
      </c>
      <c r="K81" s="7" t="s">
        <v>31</v>
      </c>
      <c r="L81" s="7" t="s">
        <v>387</v>
      </c>
      <c r="M81" s="7">
        <v>8302.41</v>
      </c>
      <c r="N81" s="7">
        <v>120</v>
      </c>
      <c r="O81" s="7" t="s">
        <v>4321</v>
      </c>
      <c r="P81" s="7"/>
      <c r="Q81" s="115"/>
      <c r="R81" s="9">
        <v>63.23743204076132</v>
      </c>
      <c r="S81" s="115"/>
      <c r="T81" s="7" t="s">
        <v>34</v>
      </c>
      <c r="U81" s="7" t="s">
        <v>34</v>
      </c>
    </row>
    <row r="82" spans="1:21" ht="14.1" customHeight="1">
      <c r="A82" s="7">
        <v>79</v>
      </c>
      <c r="B82" s="14" t="s">
        <v>4384</v>
      </c>
      <c r="C82" s="14" t="s">
        <v>393</v>
      </c>
      <c r="D82" s="7" t="s">
        <v>35</v>
      </c>
      <c r="E82" s="14" t="s">
        <v>4336</v>
      </c>
      <c r="F82" s="7" t="s">
        <v>457</v>
      </c>
      <c r="G82" s="8" t="s">
        <v>4437</v>
      </c>
      <c r="H82" s="7" t="s">
        <v>4328</v>
      </c>
      <c r="I82" s="8" t="s">
        <v>4376</v>
      </c>
      <c r="J82" s="7" t="s">
        <v>123</v>
      </c>
      <c r="K82" s="7" t="s">
        <v>4330</v>
      </c>
      <c r="L82" s="7" t="s">
        <v>387</v>
      </c>
      <c r="M82" s="7">
        <v>8302.41</v>
      </c>
      <c r="N82" s="7">
        <v>120</v>
      </c>
      <c r="O82" s="7" t="s">
        <v>4321</v>
      </c>
      <c r="P82" s="7"/>
      <c r="Q82" s="115"/>
      <c r="R82" s="9">
        <v>83.435656603034332</v>
      </c>
      <c r="S82" s="115"/>
      <c r="T82" s="7" t="s">
        <v>34</v>
      </c>
      <c r="U82" s="7" t="s">
        <v>34</v>
      </c>
    </row>
    <row r="83" spans="1:21" ht="14.1" customHeight="1">
      <c r="A83" s="7">
        <v>80</v>
      </c>
      <c r="B83" s="14" t="s">
        <v>4384</v>
      </c>
      <c r="C83" s="14" t="s">
        <v>393</v>
      </c>
      <c r="D83" s="7" t="s">
        <v>35</v>
      </c>
      <c r="E83" s="14" t="s">
        <v>4336</v>
      </c>
      <c r="F83" s="7" t="s">
        <v>457</v>
      </c>
      <c r="G83" s="8" t="s">
        <v>4438</v>
      </c>
      <c r="H83" s="7" t="s">
        <v>4328</v>
      </c>
      <c r="I83" s="8" t="s">
        <v>4376</v>
      </c>
      <c r="J83" s="7" t="s">
        <v>123</v>
      </c>
      <c r="K83" s="7" t="s">
        <v>4330</v>
      </c>
      <c r="L83" s="7" t="s">
        <v>387</v>
      </c>
      <c r="M83" s="7">
        <v>8302.41</v>
      </c>
      <c r="N83" s="7">
        <v>120</v>
      </c>
      <c r="O83" s="7" t="s">
        <v>4321</v>
      </c>
      <c r="P83" s="7"/>
      <c r="Q83" s="115"/>
      <c r="R83" s="9">
        <v>98.725901365128891</v>
      </c>
      <c r="S83" s="115"/>
      <c r="T83" s="7" t="s">
        <v>34</v>
      </c>
      <c r="U83" s="7" t="s">
        <v>34</v>
      </c>
    </row>
    <row r="84" spans="1:21" ht="14.1" customHeight="1">
      <c r="A84" s="7">
        <v>81</v>
      </c>
      <c r="B84" s="14" t="s">
        <v>4384</v>
      </c>
      <c r="C84" s="14" t="s">
        <v>393</v>
      </c>
      <c r="D84" s="7" t="s">
        <v>35</v>
      </c>
      <c r="E84" s="14" t="s">
        <v>4336</v>
      </c>
      <c r="F84" s="7" t="s">
        <v>457</v>
      </c>
      <c r="G84" s="8" t="s">
        <v>4439</v>
      </c>
      <c r="H84" s="7" t="s">
        <v>121</v>
      </c>
      <c r="I84" s="8" t="s">
        <v>4376</v>
      </c>
      <c r="J84" s="7" t="s">
        <v>123</v>
      </c>
      <c r="K84" s="7" t="s">
        <v>31</v>
      </c>
      <c r="L84" s="7" t="s">
        <v>387</v>
      </c>
      <c r="M84" s="7">
        <v>8302.41</v>
      </c>
      <c r="N84" s="7">
        <v>120</v>
      </c>
      <c r="O84" s="7" t="s">
        <v>4321</v>
      </c>
      <c r="P84" s="7"/>
      <c r="Q84" s="115"/>
      <c r="R84" s="9">
        <v>67.767874933233784</v>
      </c>
      <c r="S84" s="115"/>
      <c r="T84" s="7" t="s">
        <v>34</v>
      </c>
      <c r="U84" s="7" t="s">
        <v>34</v>
      </c>
    </row>
    <row r="85" spans="1:21" ht="14.1" customHeight="1">
      <c r="A85" s="7">
        <v>82</v>
      </c>
      <c r="B85" s="14" t="s">
        <v>3715</v>
      </c>
      <c r="C85" s="14" t="s">
        <v>393</v>
      </c>
      <c r="D85" s="7" t="s">
        <v>35</v>
      </c>
      <c r="E85" s="14" t="s">
        <v>4336</v>
      </c>
      <c r="F85" s="7" t="s">
        <v>3716</v>
      </c>
      <c r="G85" s="8" t="s">
        <v>4440</v>
      </c>
      <c r="H85" s="7" t="s">
        <v>121</v>
      </c>
      <c r="I85" s="8" t="s">
        <v>4376</v>
      </c>
      <c r="J85" s="7" t="s">
        <v>123</v>
      </c>
      <c r="K85" s="7" t="s">
        <v>31</v>
      </c>
      <c r="L85" s="7" t="s">
        <v>387</v>
      </c>
      <c r="M85" s="7">
        <v>8302.41</v>
      </c>
      <c r="N85" s="7">
        <v>120</v>
      </c>
      <c r="O85" s="7" t="s">
        <v>4321</v>
      </c>
      <c r="P85" s="7"/>
      <c r="Q85" s="115"/>
      <c r="R85" s="9">
        <v>64.936348125438485</v>
      </c>
      <c r="S85" s="115"/>
      <c r="T85" s="7" t="s">
        <v>34</v>
      </c>
      <c r="U85" s="7" t="s">
        <v>34</v>
      </c>
    </row>
    <row r="86" spans="1:21" ht="14.1" customHeight="1">
      <c r="A86" s="7">
        <v>83</v>
      </c>
      <c r="B86" s="14" t="s">
        <v>3715</v>
      </c>
      <c r="C86" s="14" t="s">
        <v>393</v>
      </c>
      <c r="D86" s="7" t="s">
        <v>35</v>
      </c>
      <c r="E86" s="14" t="s">
        <v>4336</v>
      </c>
      <c r="F86" s="7" t="s">
        <v>3716</v>
      </c>
      <c r="G86" s="8" t="s">
        <v>4441</v>
      </c>
      <c r="H86" s="7" t="s">
        <v>121</v>
      </c>
      <c r="I86" s="8" t="s">
        <v>4376</v>
      </c>
      <c r="J86" s="7" t="s">
        <v>123</v>
      </c>
      <c r="K86" s="7" t="s">
        <v>31</v>
      </c>
      <c r="L86" s="7" t="s">
        <v>387</v>
      </c>
      <c r="M86" s="7">
        <v>8302.41</v>
      </c>
      <c r="N86" s="7">
        <v>120</v>
      </c>
      <c r="O86" s="7" t="s">
        <v>4321</v>
      </c>
      <c r="P86" s="7"/>
      <c r="Q86" s="115"/>
      <c r="R86" s="9">
        <v>80.415361341386046</v>
      </c>
      <c r="S86" s="115"/>
      <c r="T86" s="7" t="s">
        <v>34</v>
      </c>
      <c r="U86" s="7" t="s">
        <v>34</v>
      </c>
    </row>
    <row r="87" spans="1:21" ht="14.1" customHeight="1">
      <c r="A87" s="7">
        <v>84</v>
      </c>
      <c r="B87" s="14" t="s">
        <v>3715</v>
      </c>
      <c r="C87" s="14" t="s">
        <v>393</v>
      </c>
      <c r="D87" s="7" t="s">
        <v>35</v>
      </c>
      <c r="E87" s="14" t="s">
        <v>4336</v>
      </c>
      <c r="F87" s="7" t="s">
        <v>3716</v>
      </c>
      <c r="G87" s="8" t="s">
        <v>4442</v>
      </c>
      <c r="H87" s="7" t="s">
        <v>3780</v>
      </c>
      <c r="I87" s="8" t="s">
        <v>4376</v>
      </c>
      <c r="J87" s="7" t="s">
        <v>123</v>
      </c>
      <c r="K87" s="7" t="s">
        <v>26</v>
      </c>
      <c r="L87" s="7" t="s">
        <v>387</v>
      </c>
      <c r="M87" s="7">
        <v>8301.4</v>
      </c>
      <c r="N87" s="7">
        <v>120</v>
      </c>
      <c r="O87" s="7" t="s">
        <v>4321</v>
      </c>
      <c r="P87" s="7"/>
      <c r="Q87" s="115"/>
      <c r="R87" s="9">
        <v>83.435656603034332</v>
      </c>
      <c r="S87" s="115"/>
      <c r="T87" s="7" t="s">
        <v>34</v>
      </c>
      <c r="U87" s="7" t="s">
        <v>34</v>
      </c>
    </row>
    <row r="88" spans="1:21" ht="14.1" customHeight="1">
      <c r="A88" s="7">
        <v>85</v>
      </c>
      <c r="B88" s="14" t="s">
        <v>3715</v>
      </c>
      <c r="C88" s="14" t="s">
        <v>393</v>
      </c>
      <c r="D88" s="7" t="s">
        <v>35</v>
      </c>
      <c r="E88" s="14" t="s">
        <v>4336</v>
      </c>
      <c r="F88" s="7" t="s">
        <v>3716</v>
      </c>
      <c r="G88" s="8" t="s">
        <v>4443</v>
      </c>
      <c r="H88" s="7" t="s">
        <v>3780</v>
      </c>
      <c r="I88" s="8" t="s">
        <v>4376</v>
      </c>
      <c r="J88" s="7" t="s">
        <v>123</v>
      </c>
      <c r="K88" s="7" t="s">
        <v>26</v>
      </c>
      <c r="L88" s="7" t="s">
        <v>387</v>
      </c>
      <c r="M88" s="7">
        <v>8302.41</v>
      </c>
      <c r="N88" s="7">
        <v>120</v>
      </c>
      <c r="O88" s="7" t="s">
        <v>4321</v>
      </c>
      <c r="P88" s="7"/>
      <c r="Q88" s="115"/>
      <c r="R88" s="9">
        <v>98.725901365128891</v>
      </c>
      <c r="S88" s="115"/>
      <c r="T88" s="7" t="s">
        <v>34</v>
      </c>
      <c r="U88" s="7" t="s">
        <v>34</v>
      </c>
    </row>
    <row r="89" spans="1:21" ht="14.1" customHeight="1">
      <c r="A89" s="7">
        <v>86</v>
      </c>
      <c r="B89" s="14" t="s">
        <v>3715</v>
      </c>
      <c r="C89" s="14" t="s">
        <v>393</v>
      </c>
      <c r="D89" s="7" t="s">
        <v>35</v>
      </c>
      <c r="E89" s="14" t="s">
        <v>4336</v>
      </c>
      <c r="F89" s="7" t="s">
        <v>3716</v>
      </c>
      <c r="G89" s="8" t="s">
        <v>4444</v>
      </c>
      <c r="H89" s="7" t="s">
        <v>4328</v>
      </c>
      <c r="I89" s="8" t="s">
        <v>4445</v>
      </c>
      <c r="J89" s="7" t="s">
        <v>123</v>
      </c>
      <c r="K89" s="7" t="s">
        <v>4330</v>
      </c>
      <c r="L89" s="7" t="s">
        <v>387</v>
      </c>
      <c r="M89" s="7">
        <v>8301.4</v>
      </c>
      <c r="N89" s="7">
        <v>120</v>
      </c>
      <c r="O89" s="7" t="s">
        <v>4321</v>
      </c>
      <c r="P89" s="7"/>
      <c r="Q89" s="115"/>
      <c r="R89" s="9">
        <v>98.914669818981906</v>
      </c>
      <c r="S89" s="115"/>
      <c r="T89" s="7" t="s">
        <v>34</v>
      </c>
      <c r="U89" s="7" t="s">
        <v>34</v>
      </c>
    </row>
    <row r="90" spans="1:21" ht="14.1" customHeight="1">
      <c r="A90" s="7">
        <v>87</v>
      </c>
      <c r="B90" s="14" t="s">
        <v>3715</v>
      </c>
      <c r="C90" s="14" t="s">
        <v>393</v>
      </c>
      <c r="D90" s="7" t="s">
        <v>35</v>
      </c>
      <c r="E90" s="14" t="s">
        <v>4336</v>
      </c>
      <c r="F90" s="7" t="s">
        <v>3716</v>
      </c>
      <c r="G90" s="8" t="s">
        <v>4446</v>
      </c>
      <c r="H90" s="7" t="s">
        <v>121</v>
      </c>
      <c r="I90" s="8" t="s">
        <v>4445</v>
      </c>
      <c r="J90" s="7" t="s">
        <v>123</v>
      </c>
      <c r="K90" s="7" t="s">
        <v>31</v>
      </c>
      <c r="L90" s="7" t="s">
        <v>387</v>
      </c>
      <c r="M90" s="7">
        <v>8301.4</v>
      </c>
      <c r="N90" s="7">
        <v>120</v>
      </c>
      <c r="O90" s="7" t="s">
        <v>4321</v>
      </c>
      <c r="P90" s="7"/>
      <c r="Q90" s="115"/>
      <c r="R90" s="9">
        <v>83.813193510740376</v>
      </c>
      <c r="S90" s="115"/>
      <c r="T90" s="7" t="s">
        <v>34</v>
      </c>
      <c r="U90" s="7" t="s">
        <v>34</v>
      </c>
    </row>
    <row r="91" spans="1:21" ht="14.1" customHeight="1">
      <c r="A91" s="7">
        <v>88</v>
      </c>
      <c r="B91" s="14" t="s">
        <v>4384</v>
      </c>
      <c r="C91" s="14" t="s">
        <v>393</v>
      </c>
      <c r="D91" s="7" t="s">
        <v>35</v>
      </c>
      <c r="E91" s="14" t="s">
        <v>4336</v>
      </c>
      <c r="F91" s="7" t="s">
        <v>457</v>
      </c>
      <c r="G91" s="8" t="s">
        <v>4447</v>
      </c>
      <c r="H91" s="7" t="s">
        <v>4328</v>
      </c>
      <c r="I91" s="8" t="s">
        <v>4338</v>
      </c>
      <c r="J91" s="7" t="s">
        <v>123</v>
      </c>
      <c r="K91" s="7" t="s">
        <v>4330</v>
      </c>
      <c r="L91" s="7" t="s">
        <v>387</v>
      </c>
      <c r="M91" s="7">
        <v>8301.4</v>
      </c>
      <c r="N91" s="7">
        <v>120</v>
      </c>
      <c r="O91" s="7" t="s">
        <v>4321</v>
      </c>
      <c r="P91" s="7"/>
      <c r="Q91" s="115"/>
      <c r="R91" s="9">
        <v>99.292206726687922</v>
      </c>
      <c r="S91" s="115"/>
      <c r="T91" s="7" t="s">
        <v>34</v>
      </c>
      <c r="U91" s="7" t="s">
        <v>34</v>
      </c>
    </row>
    <row r="92" spans="1:21" ht="14.1" customHeight="1">
      <c r="A92" s="7">
        <v>89</v>
      </c>
      <c r="B92" s="14" t="s">
        <v>4384</v>
      </c>
      <c r="C92" s="14" t="s">
        <v>393</v>
      </c>
      <c r="D92" s="7" t="s">
        <v>35</v>
      </c>
      <c r="E92" s="14" t="s">
        <v>4336</v>
      </c>
      <c r="F92" s="7" t="s">
        <v>457</v>
      </c>
      <c r="G92" s="8" t="s">
        <v>4448</v>
      </c>
      <c r="H92" s="7" t="s">
        <v>4328</v>
      </c>
      <c r="I92" s="8" t="s">
        <v>4338</v>
      </c>
      <c r="J92" s="7" t="s">
        <v>123</v>
      </c>
      <c r="K92" s="7" t="s">
        <v>4330</v>
      </c>
      <c r="L92" s="7" t="s">
        <v>387</v>
      </c>
      <c r="M92" s="7">
        <v>8301.4</v>
      </c>
      <c r="N92" s="7">
        <v>120</v>
      </c>
      <c r="O92" s="7" t="s">
        <v>4321</v>
      </c>
      <c r="P92" s="7"/>
      <c r="Q92" s="115"/>
      <c r="R92" s="9">
        <v>99.292206726687922</v>
      </c>
      <c r="S92" s="115"/>
      <c r="T92" s="7" t="s">
        <v>34</v>
      </c>
      <c r="U92" s="7" t="s">
        <v>34</v>
      </c>
    </row>
    <row r="93" spans="1:21" ht="14.1" customHeight="1">
      <c r="A93" s="7">
        <v>90</v>
      </c>
      <c r="B93" s="14" t="s">
        <v>4384</v>
      </c>
      <c r="C93" s="14" t="s">
        <v>393</v>
      </c>
      <c r="D93" s="7" t="s">
        <v>35</v>
      </c>
      <c r="E93" s="14" t="s">
        <v>4336</v>
      </c>
      <c r="F93" s="7" t="s">
        <v>457</v>
      </c>
      <c r="G93" s="8" t="s">
        <v>4449</v>
      </c>
      <c r="H93" s="7" t="s">
        <v>4328</v>
      </c>
      <c r="I93" s="8" t="s">
        <v>4338</v>
      </c>
      <c r="J93" s="7" t="s">
        <v>123</v>
      </c>
      <c r="K93" s="7" t="s">
        <v>4330</v>
      </c>
      <c r="L93" s="7" t="s">
        <v>387</v>
      </c>
      <c r="M93" s="7">
        <v>8301.4</v>
      </c>
      <c r="N93" s="7">
        <v>120</v>
      </c>
      <c r="O93" s="7" t="s">
        <v>4321</v>
      </c>
      <c r="P93" s="7"/>
      <c r="Q93" s="115"/>
      <c r="R93" s="9">
        <v>115.3375253041945</v>
      </c>
      <c r="S93" s="115"/>
      <c r="T93" s="7" t="s">
        <v>34</v>
      </c>
      <c r="U93" s="7" t="s">
        <v>34</v>
      </c>
    </row>
    <row r="94" spans="1:21" ht="14.1" customHeight="1">
      <c r="A94" s="7">
        <v>91</v>
      </c>
      <c r="B94" s="14" t="s">
        <v>4384</v>
      </c>
      <c r="C94" s="14" t="s">
        <v>393</v>
      </c>
      <c r="D94" s="7" t="s">
        <v>35</v>
      </c>
      <c r="E94" s="14" t="s">
        <v>4336</v>
      </c>
      <c r="F94" s="7" t="s">
        <v>457</v>
      </c>
      <c r="G94" s="8" t="s">
        <v>4450</v>
      </c>
      <c r="H94" s="7" t="s">
        <v>4332</v>
      </c>
      <c r="I94" s="8" t="s">
        <v>4338</v>
      </c>
      <c r="J94" s="7" t="s">
        <v>123</v>
      </c>
      <c r="K94" s="7" t="s">
        <v>1001</v>
      </c>
      <c r="L94" s="7" t="s">
        <v>387</v>
      </c>
      <c r="M94" s="7">
        <v>8301.4</v>
      </c>
      <c r="N94" s="7">
        <v>120</v>
      </c>
      <c r="O94" s="7" t="s">
        <v>4321</v>
      </c>
      <c r="P94" s="7"/>
      <c r="Q94" s="115"/>
      <c r="R94" s="9">
        <v>85.889646503123586</v>
      </c>
      <c r="S94" s="115"/>
      <c r="T94" s="7" t="s">
        <v>34</v>
      </c>
      <c r="U94" s="7" t="s">
        <v>34</v>
      </c>
    </row>
    <row r="95" spans="1:21" ht="14.1" customHeight="1">
      <c r="A95" s="7">
        <v>92</v>
      </c>
      <c r="B95" s="14" t="s">
        <v>4384</v>
      </c>
      <c r="C95" s="14" t="s">
        <v>393</v>
      </c>
      <c r="D95" s="7" t="s">
        <v>35</v>
      </c>
      <c r="E95" s="14" t="s">
        <v>4336</v>
      </c>
      <c r="F95" s="7" t="s">
        <v>457</v>
      </c>
      <c r="G95" s="8" t="s">
        <v>4451</v>
      </c>
      <c r="H95" s="7" t="s">
        <v>1081</v>
      </c>
      <c r="I95" s="8" t="s">
        <v>4338</v>
      </c>
      <c r="J95" s="7" t="s">
        <v>123</v>
      </c>
      <c r="K95" s="7" t="s">
        <v>1083</v>
      </c>
      <c r="L95" s="7" t="s">
        <v>387</v>
      </c>
      <c r="M95" s="7">
        <v>8301.4</v>
      </c>
      <c r="N95" s="7">
        <v>120</v>
      </c>
      <c r="O95" s="7" t="s">
        <v>4321</v>
      </c>
      <c r="P95" s="7"/>
      <c r="Q95" s="115"/>
      <c r="R95" s="9">
        <v>82.303045879916226</v>
      </c>
      <c r="S95" s="115"/>
      <c r="T95" s="7" t="s">
        <v>34</v>
      </c>
      <c r="U95" s="7" t="s">
        <v>34</v>
      </c>
    </row>
    <row r="96" spans="1:21" ht="14.1" customHeight="1">
      <c r="A96" s="7">
        <v>93</v>
      </c>
      <c r="B96" s="14" t="s">
        <v>4384</v>
      </c>
      <c r="C96" s="14" t="s">
        <v>393</v>
      </c>
      <c r="D96" s="7" t="s">
        <v>35</v>
      </c>
      <c r="E96" s="14" t="s">
        <v>4336</v>
      </c>
      <c r="F96" s="7" t="s">
        <v>457</v>
      </c>
      <c r="G96" s="8" t="s">
        <v>4452</v>
      </c>
      <c r="H96" s="7" t="s">
        <v>121</v>
      </c>
      <c r="I96" s="8" t="s">
        <v>4338</v>
      </c>
      <c r="J96" s="7" t="s">
        <v>123</v>
      </c>
      <c r="K96" s="7" t="s">
        <v>31</v>
      </c>
      <c r="L96" s="7" t="s">
        <v>387</v>
      </c>
      <c r="M96" s="7">
        <v>8301.4</v>
      </c>
      <c r="N96" s="7">
        <v>120</v>
      </c>
      <c r="O96" s="7" t="s">
        <v>4321</v>
      </c>
      <c r="P96" s="7"/>
      <c r="Q96" s="115"/>
      <c r="R96" s="9">
        <v>81.547972064504165</v>
      </c>
      <c r="S96" s="115"/>
      <c r="T96" s="7" t="s">
        <v>34</v>
      </c>
      <c r="U96" s="7" t="s">
        <v>34</v>
      </c>
    </row>
    <row r="97" spans="1:21" ht="14.1" customHeight="1">
      <c r="A97" s="7">
        <v>94</v>
      </c>
      <c r="B97" s="14" t="s">
        <v>4384</v>
      </c>
      <c r="C97" s="14" t="s">
        <v>393</v>
      </c>
      <c r="D97" s="7" t="s">
        <v>35</v>
      </c>
      <c r="E97" s="14" t="s">
        <v>4336</v>
      </c>
      <c r="F97" s="7" t="s">
        <v>457</v>
      </c>
      <c r="G97" s="8" t="s">
        <v>4453</v>
      </c>
      <c r="H97" s="7" t="s">
        <v>121</v>
      </c>
      <c r="I97" s="8" t="s">
        <v>4338</v>
      </c>
      <c r="J97" s="7" t="s">
        <v>123</v>
      </c>
      <c r="K97" s="7" t="s">
        <v>31</v>
      </c>
      <c r="L97" s="7" t="s">
        <v>387</v>
      </c>
      <c r="M97" s="7">
        <v>8301.4</v>
      </c>
      <c r="N97" s="7">
        <v>120</v>
      </c>
      <c r="O97" s="7" t="s">
        <v>4321</v>
      </c>
      <c r="P97" s="7"/>
      <c r="Q97" s="115"/>
      <c r="R97" s="9">
        <v>78.15013989514982</v>
      </c>
      <c r="S97" s="115"/>
      <c r="T97" s="7" t="s">
        <v>34</v>
      </c>
      <c r="U97" s="7" t="s">
        <v>34</v>
      </c>
    </row>
    <row r="98" spans="1:21" ht="14.1" customHeight="1">
      <c r="A98" s="7">
        <v>95</v>
      </c>
      <c r="B98" s="14" t="s">
        <v>4384</v>
      </c>
      <c r="C98" s="14" t="s">
        <v>393</v>
      </c>
      <c r="D98" s="7" t="s">
        <v>35</v>
      </c>
      <c r="E98" s="14" t="s">
        <v>4336</v>
      </c>
      <c r="F98" s="7" t="s">
        <v>457</v>
      </c>
      <c r="G98" s="8" t="s">
        <v>4454</v>
      </c>
      <c r="H98" s="7" t="s">
        <v>121</v>
      </c>
      <c r="I98" s="8" t="s">
        <v>4338</v>
      </c>
      <c r="J98" s="7" t="s">
        <v>123</v>
      </c>
      <c r="K98" s="7" t="s">
        <v>31</v>
      </c>
      <c r="L98" s="7" t="s">
        <v>387</v>
      </c>
      <c r="M98" s="7">
        <v>8301.4</v>
      </c>
      <c r="N98" s="7">
        <v>120</v>
      </c>
      <c r="O98" s="7" t="s">
        <v>4321</v>
      </c>
      <c r="P98" s="7"/>
      <c r="Q98" s="115"/>
      <c r="R98" s="9">
        <v>89.853784034036963</v>
      </c>
      <c r="S98" s="115"/>
      <c r="T98" s="7" t="s">
        <v>34</v>
      </c>
      <c r="U98" s="7" t="s">
        <v>34</v>
      </c>
    </row>
    <row r="99" spans="1:21" ht="14.1" customHeight="1">
      <c r="A99" s="7">
        <v>96</v>
      </c>
      <c r="B99" s="14" t="s">
        <v>4384</v>
      </c>
      <c r="C99" s="14" t="s">
        <v>393</v>
      </c>
      <c r="D99" s="7" t="s">
        <v>35</v>
      </c>
      <c r="E99" s="14" t="s">
        <v>4336</v>
      </c>
      <c r="F99" s="7" t="s">
        <v>457</v>
      </c>
      <c r="G99" s="8" t="s">
        <v>4455</v>
      </c>
      <c r="H99" s="7" t="s">
        <v>3780</v>
      </c>
      <c r="I99" s="8" t="s">
        <v>4338</v>
      </c>
      <c r="J99" s="7" t="s">
        <v>123</v>
      </c>
      <c r="K99" s="7" t="s">
        <v>26</v>
      </c>
      <c r="L99" s="7" t="s">
        <v>387</v>
      </c>
      <c r="M99" s="7">
        <v>8301.4</v>
      </c>
      <c r="N99" s="7">
        <v>120</v>
      </c>
      <c r="O99" s="7" t="s">
        <v>4321</v>
      </c>
      <c r="P99" s="7"/>
      <c r="Q99" s="115"/>
      <c r="R99" s="9">
        <v>92.874079295685306</v>
      </c>
      <c r="S99" s="115"/>
      <c r="T99" s="7" t="s">
        <v>34</v>
      </c>
      <c r="U99" s="7" t="s">
        <v>34</v>
      </c>
    </row>
    <row r="100" spans="1:21" ht="14.1" customHeight="1">
      <c r="A100" s="7">
        <v>97</v>
      </c>
      <c r="B100" s="14" t="s">
        <v>4384</v>
      </c>
      <c r="C100" s="14" t="s">
        <v>393</v>
      </c>
      <c r="D100" s="7" t="s">
        <v>35</v>
      </c>
      <c r="E100" s="14" t="s">
        <v>4336</v>
      </c>
      <c r="F100" s="7" t="s">
        <v>457</v>
      </c>
      <c r="G100" s="8" t="s">
        <v>4456</v>
      </c>
      <c r="H100" s="7" t="s">
        <v>3780</v>
      </c>
      <c r="I100" s="8" t="s">
        <v>4338</v>
      </c>
      <c r="J100" s="7" t="s">
        <v>123</v>
      </c>
      <c r="K100" s="7" t="s">
        <v>26</v>
      </c>
      <c r="L100" s="7" t="s">
        <v>387</v>
      </c>
      <c r="M100" s="7">
        <v>8301.4</v>
      </c>
      <c r="N100" s="7">
        <v>120</v>
      </c>
      <c r="O100" s="7" t="s">
        <v>4321</v>
      </c>
      <c r="P100" s="7"/>
      <c r="Q100" s="115"/>
      <c r="R100" s="9">
        <v>107.97555560392679</v>
      </c>
      <c r="S100" s="115"/>
      <c r="T100" s="7" t="s">
        <v>34</v>
      </c>
      <c r="U100" s="7" t="s">
        <v>34</v>
      </c>
    </row>
    <row r="101" spans="1:21" ht="14.1" customHeight="1">
      <c r="A101" s="7">
        <v>98</v>
      </c>
      <c r="B101" s="14" t="s">
        <v>4384</v>
      </c>
      <c r="C101" s="14" t="s">
        <v>393</v>
      </c>
      <c r="D101" s="7" t="s">
        <v>35</v>
      </c>
      <c r="E101" s="14" t="s">
        <v>4348</v>
      </c>
      <c r="F101" s="7" t="s">
        <v>457</v>
      </c>
      <c r="G101" s="8" t="s">
        <v>4457</v>
      </c>
      <c r="H101" s="7" t="s">
        <v>121</v>
      </c>
      <c r="I101" s="8" t="s">
        <v>4366</v>
      </c>
      <c r="J101" s="7" t="s">
        <v>123</v>
      </c>
      <c r="K101" s="7" t="s">
        <v>31</v>
      </c>
      <c r="L101" s="7" t="s">
        <v>387</v>
      </c>
      <c r="M101" s="7">
        <v>8301.4</v>
      </c>
      <c r="N101" s="7">
        <v>120</v>
      </c>
      <c r="O101" s="7" t="s">
        <v>4321</v>
      </c>
      <c r="P101" s="7"/>
      <c r="Q101" s="115"/>
      <c r="R101" s="9">
        <v>188.39091694531291</v>
      </c>
      <c r="S101" s="115"/>
      <c r="T101" s="7" t="s">
        <v>34</v>
      </c>
      <c r="U101" s="7" t="s">
        <v>34</v>
      </c>
    </row>
    <row r="102" spans="1:21" ht="14.1" customHeight="1">
      <c r="A102" s="7">
        <v>99</v>
      </c>
      <c r="B102" s="14" t="s">
        <v>4384</v>
      </c>
      <c r="C102" s="14" t="s">
        <v>393</v>
      </c>
      <c r="D102" s="7" t="s">
        <v>35</v>
      </c>
      <c r="E102" s="14" t="s">
        <v>4348</v>
      </c>
      <c r="F102" s="7" t="s">
        <v>457</v>
      </c>
      <c r="G102" s="8" t="s">
        <v>4458</v>
      </c>
      <c r="H102" s="7" t="s">
        <v>121</v>
      </c>
      <c r="I102" s="8" t="s">
        <v>4372</v>
      </c>
      <c r="J102" s="7" t="s">
        <v>123</v>
      </c>
      <c r="K102" s="7" t="s">
        <v>31</v>
      </c>
      <c r="L102" s="7" t="s">
        <v>387</v>
      </c>
      <c r="M102" s="7">
        <v>8301.4</v>
      </c>
      <c r="N102" s="7">
        <v>120</v>
      </c>
      <c r="O102" s="7" t="s">
        <v>4321</v>
      </c>
      <c r="P102" s="7"/>
      <c r="Q102" s="115"/>
      <c r="R102" s="9">
        <v>261.0667716787251</v>
      </c>
      <c r="S102" s="115"/>
      <c r="T102" s="7" t="s">
        <v>34</v>
      </c>
      <c r="U102" s="7" t="s">
        <v>34</v>
      </c>
    </row>
    <row r="103" spans="1:21" ht="14.1" customHeight="1">
      <c r="A103" s="7">
        <v>100</v>
      </c>
      <c r="B103" s="14" t="s">
        <v>4384</v>
      </c>
      <c r="C103" s="14" t="s">
        <v>393</v>
      </c>
      <c r="D103" s="7" t="s">
        <v>35</v>
      </c>
      <c r="E103" s="14" t="s">
        <v>4348</v>
      </c>
      <c r="F103" s="7" t="s">
        <v>457</v>
      </c>
      <c r="G103" s="8" t="s">
        <v>4459</v>
      </c>
      <c r="H103" s="7" t="s">
        <v>121</v>
      </c>
      <c r="I103" s="8" t="s">
        <v>4460</v>
      </c>
      <c r="J103" s="7" t="s">
        <v>123</v>
      </c>
      <c r="K103" s="7" t="s">
        <v>31</v>
      </c>
      <c r="L103" s="7" t="s">
        <v>387</v>
      </c>
      <c r="M103" s="7">
        <v>8302.41</v>
      </c>
      <c r="N103" s="7">
        <v>120</v>
      </c>
      <c r="O103" s="7" t="s">
        <v>4321</v>
      </c>
      <c r="P103" s="7"/>
      <c r="Q103" s="115"/>
      <c r="R103" s="9">
        <v>183.10540023742831</v>
      </c>
      <c r="S103" s="115"/>
      <c r="T103" s="7" t="s">
        <v>34</v>
      </c>
      <c r="U103" s="7" t="s">
        <v>34</v>
      </c>
    </row>
    <row r="104" spans="1:21" ht="14.1" customHeight="1">
      <c r="A104" s="7">
        <v>101</v>
      </c>
      <c r="B104" s="14" t="s">
        <v>3715</v>
      </c>
      <c r="C104" s="14" t="s">
        <v>393</v>
      </c>
      <c r="D104" s="7" t="s">
        <v>35</v>
      </c>
      <c r="E104" s="14" t="s">
        <v>4348</v>
      </c>
      <c r="F104" s="7" t="s">
        <v>3716</v>
      </c>
      <c r="G104" s="8" t="s">
        <v>4461</v>
      </c>
      <c r="H104" s="7" t="s">
        <v>121</v>
      </c>
      <c r="I104" s="8" t="s">
        <v>4462</v>
      </c>
      <c r="J104" s="7" t="s">
        <v>123</v>
      </c>
      <c r="K104" s="7" t="s">
        <v>31</v>
      </c>
      <c r="L104" s="7" t="s">
        <v>387</v>
      </c>
      <c r="M104" s="7">
        <v>8302.41</v>
      </c>
      <c r="N104" s="7">
        <v>120</v>
      </c>
      <c r="O104" s="7" t="s">
        <v>4321</v>
      </c>
      <c r="P104" s="7"/>
      <c r="Q104" s="115"/>
      <c r="R104" s="9">
        <v>124.9647164506985</v>
      </c>
      <c r="S104" s="115"/>
      <c r="T104" s="7" t="s">
        <v>34</v>
      </c>
      <c r="U104" s="8"/>
    </row>
    <row r="105" spans="1:21" ht="14.1" customHeight="1">
      <c r="A105" s="7">
        <v>102</v>
      </c>
      <c r="B105" s="14" t="s">
        <v>4384</v>
      </c>
      <c r="C105" s="14" t="s">
        <v>393</v>
      </c>
      <c r="D105" s="7" t="s">
        <v>35</v>
      </c>
      <c r="E105" s="14" t="s">
        <v>4348</v>
      </c>
      <c r="F105" s="7" t="s">
        <v>457</v>
      </c>
      <c r="G105" s="8" t="s">
        <v>4463</v>
      </c>
      <c r="H105" s="7" t="s">
        <v>121</v>
      </c>
      <c r="I105" s="8" t="s">
        <v>4464</v>
      </c>
      <c r="J105" s="7" t="s">
        <v>123</v>
      </c>
      <c r="K105" s="7" t="s">
        <v>31</v>
      </c>
      <c r="L105" s="7" t="s">
        <v>387</v>
      </c>
      <c r="M105" s="7">
        <v>8302.41</v>
      </c>
      <c r="N105" s="7">
        <v>120</v>
      </c>
      <c r="O105" s="7" t="s">
        <v>4321</v>
      </c>
      <c r="P105" s="7"/>
      <c r="Q105" s="115"/>
      <c r="R105" s="9">
        <v>63.803737402320372</v>
      </c>
      <c r="S105" s="115"/>
      <c r="T105" s="7" t="s">
        <v>34</v>
      </c>
      <c r="U105" s="7" t="s">
        <v>34</v>
      </c>
    </row>
    <row r="106" spans="1:21" ht="14.1" customHeight="1">
      <c r="A106" s="7">
        <v>103</v>
      </c>
      <c r="B106" s="14" t="s">
        <v>4384</v>
      </c>
      <c r="C106" s="14" t="s">
        <v>393</v>
      </c>
      <c r="D106" s="7" t="s">
        <v>35</v>
      </c>
      <c r="E106" s="14" t="s">
        <v>4465</v>
      </c>
      <c r="F106" s="7" t="s">
        <v>457</v>
      </c>
      <c r="G106" s="8" t="s">
        <v>4466</v>
      </c>
      <c r="H106" s="7" t="s">
        <v>4328</v>
      </c>
      <c r="I106" s="8" t="s">
        <v>4467</v>
      </c>
      <c r="J106" s="7" t="s">
        <v>123</v>
      </c>
      <c r="K106" s="7" t="s">
        <v>4330</v>
      </c>
      <c r="L106" s="7" t="s">
        <v>387</v>
      </c>
      <c r="M106" s="7">
        <v>8301.4</v>
      </c>
      <c r="N106" s="7">
        <v>120</v>
      </c>
      <c r="O106" s="7" t="s">
        <v>4321</v>
      </c>
      <c r="P106" s="7"/>
      <c r="Q106" s="115"/>
      <c r="R106" s="9">
        <v>443.0395611930353</v>
      </c>
      <c r="S106" s="115"/>
      <c r="T106" s="7" t="s">
        <v>34</v>
      </c>
      <c r="U106" s="7" t="s">
        <v>34</v>
      </c>
    </row>
    <row r="107" spans="1:21" ht="14.1" customHeight="1">
      <c r="A107" s="7">
        <v>104</v>
      </c>
      <c r="B107" s="14" t="s">
        <v>4384</v>
      </c>
      <c r="C107" s="14" t="s">
        <v>393</v>
      </c>
      <c r="D107" s="7" t="s">
        <v>35</v>
      </c>
      <c r="E107" s="14" t="s">
        <v>4465</v>
      </c>
      <c r="F107" s="7" t="s">
        <v>457</v>
      </c>
      <c r="G107" s="8" t="s">
        <v>4468</v>
      </c>
      <c r="H107" s="7" t="s">
        <v>4332</v>
      </c>
      <c r="I107" s="8" t="s">
        <v>4467</v>
      </c>
      <c r="J107" s="7" t="s">
        <v>123</v>
      </c>
      <c r="K107" s="7" t="s">
        <v>1001</v>
      </c>
      <c r="L107" s="7" t="s">
        <v>387</v>
      </c>
      <c r="M107" s="7">
        <v>8301.4</v>
      </c>
      <c r="N107" s="7">
        <v>120</v>
      </c>
      <c r="O107" s="7" t="s">
        <v>4321</v>
      </c>
      <c r="P107" s="7"/>
      <c r="Q107" s="115"/>
      <c r="R107" s="9">
        <v>443.0395611930353</v>
      </c>
      <c r="S107" s="115"/>
      <c r="T107" s="7" t="s">
        <v>34</v>
      </c>
      <c r="U107" s="7" t="s">
        <v>34</v>
      </c>
    </row>
    <row r="108" spans="1:21" ht="14.1" customHeight="1">
      <c r="A108" s="7">
        <v>105</v>
      </c>
      <c r="B108" s="14" t="s">
        <v>4384</v>
      </c>
      <c r="C108" s="14" t="s">
        <v>393</v>
      </c>
      <c r="D108" s="7" t="s">
        <v>35</v>
      </c>
      <c r="E108" s="14" t="s">
        <v>4465</v>
      </c>
      <c r="F108" s="7" t="s">
        <v>457</v>
      </c>
      <c r="G108" s="8" t="s">
        <v>4469</v>
      </c>
      <c r="H108" s="7" t="s">
        <v>3780</v>
      </c>
      <c r="I108" s="8" t="s">
        <v>4467</v>
      </c>
      <c r="J108" s="7" t="s">
        <v>123</v>
      </c>
      <c r="K108" s="7" t="s">
        <v>26</v>
      </c>
      <c r="L108" s="7" t="s">
        <v>387</v>
      </c>
      <c r="M108" s="7">
        <v>8301.4</v>
      </c>
      <c r="N108" s="7">
        <v>120</v>
      </c>
      <c r="O108" s="7" t="s">
        <v>4321</v>
      </c>
      <c r="P108" s="7"/>
      <c r="Q108" s="115"/>
      <c r="R108" s="9">
        <v>443.0395611930353</v>
      </c>
      <c r="S108" s="115"/>
      <c r="T108" s="7" t="s">
        <v>34</v>
      </c>
      <c r="U108" s="7" t="s">
        <v>34</v>
      </c>
    </row>
    <row r="109" spans="1:21" ht="14.1" customHeight="1">
      <c r="A109" s="7">
        <v>106</v>
      </c>
      <c r="B109" s="14" t="s">
        <v>4384</v>
      </c>
      <c r="C109" s="14" t="s">
        <v>393</v>
      </c>
      <c r="D109" s="7" t="s">
        <v>35</v>
      </c>
      <c r="E109" s="14" t="s">
        <v>4465</v>
      </c>
      <c r="F109" s="7" t="s">
        <v>457</v>
      </c>
      <c r="G109" s="8" t="s">
        <v>4470</v>
      </c>
      <c r="H109" s="7" t="s">
        <v>4328</v>
      </c>
      <c r="I109" s="8" t="s">
        <v>4467</v>
      </c>
      <c r="J109" s="7" t="s">
        <v>123</v>
      </c>
      <c r="K109" s="7" t="s">
        <v>4330</v>
      </c>
      <c r="L109" s="7" t="s">
        <v>387</v>
      </c>
      <c r="M109" s="7">
        <v>8301.4</v>
      </c>
      <c r="N109" s="7">
        <v>120</v>
      </c>
      <c r="O109" s="7" t="s">
        <v>4321</v>
      </c>
      <c r="P109" s="7"/>
      <c r="Q109" s="115"/>
      <c r="R109" s="9">
        <v>400.94419598381222</v>
      </c>
      <c r="S109" s="115"/>
      <c r="T109" s="7" t="s">
        <v>34</v>
      </c>
      <c r="U109" s="7" t="s">
        <v>34</v>
      </c>
    </row>
    <row r="110" spans="1:21" ht="14.1" customHeight="1">
      <c r="A110" s="7">
        <v>107</v>
      </c>
      <c r="B110" s="14" t="s">
        <v>4384</v>
      </c>
      <c r="C110" s="14" t="s">
        <v>393</v>
      </c>
      <c r="D110" s="7" t="s">
        <v>35</v>
      </c>
      <c r="E110" s="14" t="s">
        <v>4465</v>
      </c>
      <c r="F110" s="7" t="s">
        <v>457</v>
      </c>
      <c r="G110" s="8" t="s">
        <v>4471</v>
      </c>
      <c r="H110" s="7" t="s">
        <v>4472</v>
      </c>
      <c r="I110" s="8" t="s">
        <v>4467</v>
      </c>
      <c r="J110" s="7" t="s">
        <v>123</v>
      </c>
      <c r="K110" s="7" t="s">
        <v>1322</v>
      </c>
      <c r="L110" s="7" t="s">
        <v>387</v>
      </c>
      <c r="M110" s="7">
        <v>8301.4</v>
      </c>
      <c r="N110" s="7">
        <v>120</v>
      </c>
      <c r="O110" s="7" t="s">
        <v>4321</v>
      </c>
      <c r="P110" s="7"/>
      <c r="Q110" s="115"/>
      <c r="R110" s="9">
        <v>400.94419598381222</v>
      </c>
      <c r="S110" s="115"/>
      <c r="T110" s="7" t="s">
        <v>34</v>
      </c>
      <c r="U110" s="7" t="s">
        <v>34</v>
      </c>
    </row>
    <row r="111" spans="1:21" ht="14.1" customHeight="1">
      <c r="A111" s="7">
        <v>108</v>
      </c>
      <c r="B111" s="14" t="s">
        <v>4384</v>
      </c>
      <c r="C111" s="14" t="s">
        <v>393</v>
      </c>
      <c r="D111" s="7" t="s">
        <v>35</v>
      </c>
      <c r="E111" s="14" t="s">
        <v>4465</v>
      </c>
      <c r="F111" s="7" t="s">
        <v>457</v>
      </c>
      <c r="G111" s="8" t="s">
        <v>4473</v>
      </c>
      <c r="H111" s="7" t="s">
        <v>995</v>
      </c>
      <c r="I111" s="8" t="s">
        <v>4467</v>
      </c>
      <c r="J111" s="7" t="s">
        <v>123</v>
      </c>
      <c r="K111" s="7" t="s">
        <v>997</v>
      </c>
      <c r="L111" s="7" t="s">
        <v>387</v>
      </c>
      <c r="M111" s="7">
        <v>8301.4</v>
      </c>
      <c r="N111" s="7">
        <v>120</v>
      </c>
      <c r="O111" s="7" t="s">
        <v>4321</v>
      </c>
      <c r="P111" s="7"/>
      <c r="Q111" s="115"/>
      <c r="R111" s="9">
        <v>386.97533039868881</v>
      </c>
      <c r="S111" s="115"/>
      <c r="T111" s="7" t="s">
        <v>34</v>
      </c>
      <c r="U111" s="7" t="s">
        <v>34</v>
      </c>
    </row>
    <row r="112" spans="1:21" ht="14.1" customHeight="1">
      <c r="A112" s="7">
        <v>109</v>
      </c>
      <c r="B112" s="14" t="s">
        <v>4384</v>
      </c>
      <c r="C112" s="14" t="s">
        <v>393</v>
      </c>
      <c r="D112" s="7" t="s">
        <v>35</v>
      </c>
      <c r="E112" s="14" t="s">
        <v>4465</v>
      </c>
      <c r="F112" s="7" t="s">
        <v>457</v>
      </c>
      <c r="G112" s="8" t="s">
        <v>4474</v>
      </c>
      <c r="H112" s="7" t="s">
        <v>4332</v>
      </c>
      <c r="I112" s="8" t="s">
        <v>4467</v>
      </c>
      <c r="J112" s="7" t="s">
        <v>123</v>
      </c>
      <c r="K112" s="7" t="s">
        <v>1001</v>
      </c>
      <c r="L112" s="7" t="s">
        <v>387</v>
      </c>
      <c r="M112" s="7">
        <v>8301.4</v>
      </c>
      <c r="N112" s="7">
        <v>120</v>
      </c>
      <c r="O112" s="7" t="s">
        <v>4321</v>
      </c>
      <c r="P112" s="7"/>
      <c r="Q112" s="115"/>
      <c r="R112" s="9">
        <v>400.94419598381222</v>
      </c>
      <c r="S112" s="115"/>
      <c r="T112" s="7" t="s">
        <v>34</v>
      </c>
      <c r="U112" s="7" t="s">
        <v>34</v>
      </c>
    </row>
    <row r="113" spans="1:21" ht="14.1" customHeight="1">
      <c r="A113" s="7">
        <v>110</v>
      </c>
      <c r="B113" s="14" t="s">
        <v>3715</v>
      </c>
      <c r="C113" s="14" t="s">
        <v>393</v>
      </c>
      <c r="D113" s="7" t="s">
        <v>35</v>
      </c>
      <c r="E113" s="14" t="s">
        <v>4465</v>
      </c>
      <c r="F113" s="7" t="s">
        <v>3716</v>
      </c>
      <c r="G113" s="8" t="s">
        <v>4475</v>
      </c>
      <c r="H113" s="7" t="s">
        <v>3780</v>
      </c>
      <c r="I113" s="8" t="s">
        <v>4467</v>
      </c>
      <c r="J113" s="7" t="s">
        <v>123</v>
      </c>
      <c r="K113" s="7" t="s">
        <v>26</v>
      </c>
      <c r="L113" s="7" t="s">
        <v>387</v>
      </c>
      <c r="M113" s="7">
        <v>8301.4</v>
      </c>
      <c r="N113" s="7">
        <v>120</v>
      </c>
      <c r="O113" s="7" t="s">
        <v>4321</v>
      </c>
      <c r="P113" s="7"/>
      <c r="Q113" s="115"/>
      <c r="R113" s="9">
        <v>400.94419598381222</v>
      </c>
      <c r="S113" s="115"/>
      <c r="T113" s="7" t="s">
        <v>34</v>
      </c>
      <c r="U113" s="7" t="s">
        <v>34</v>
      </c>
    </row>
    <row r="114" spans="1:21" ht="14.1" customHeight="1">
      <c r="A114" s="7">
        <v>111</v>
      </c>
      <c r="B114" s="14" t="s">
        <v>3715</v>
      </c>
      <c r="C114" s="14" t="s">
        <v>393</v>
      </c>
      <c r="D114" s="7" t="s">
        <v>35</v>
      </c>
      <c r="E114" s="14" t="s">
        <v>4336</v>
      </c>
      <c r="F114" s="7" t="s">
        <v>3716</v>
      </c>
      <c r="G114" s="8" t="s">
        <v>4476</v>
      </c>
      <c r="H114" s="7" t="s">
        <v>121</v>
      </c>
      <c r="I114" s="8" t="s">
        <v>4338</v>
      </c>
      <c r="J114" s="7" t="s">
        <v>123</v>
      </c>
      <c r="K114" s="7" t="s">
        <v>31</v>
      </c>
      <c r="L114" s="7" t="s">
        <v>387</v>
      </c>
      <c r="M114" s="7">
        <v>8301.4</v>
      </c>
      <c r="N114" s="7">
        <v>120</v>
      </c>
      <c r="O114" s="7" t="s">
        <v>4321</v>
      </c>
      <c r="P114" s="7"/>
      <c r="Q114" s="115"/>
      <c r="R114" s="9">
        <v>105.7103341576906</v>
      </c>
      <c r="S114" s="115"/>
      <c r="T114" s="7" t="s">
        <v>34</v>
      </c>
      <c r="U114" s="8"/>
    </row>
    <row r="115" spans="1:21" ht="14.1" customHeight="1">
      <c r="A115" s="7">
        <v>112</v>
      </c>
      <c r="B115" s="14" t="s">
        <v>3715</v>
      </c>
      <c r="C115" s="14" t="s">
        <v>393</v>
      </c>
      <c r="D115" s="7" t="s">
        <v>35</v>
      </c>
      <c r="E115" s="14" t="s">
        <v>4336</v>
      </c>
      <c r="F115" s="7" t="s">
        <v>3716</v>
      </c>
      <c r="G115" s="8" t="s">
        <v>4477</v>
      </c>
      <c r="H115" s="7" t="s">
        <v>121</v>
      </c>
      <c r="I115" s="8" t="s">
        <v>4478</v>
      </c>
      <c r="J115" s="7" t="s">
        <v>123</v>
      </c>
      <c r="K115" s="7" t="s">
        <v>31</v>
      </c>
      <c r="L115" s="7" t="s">
        <v>387</v>
      </c>
      <c r="M115" s="7">
        <v>8301.4</v>
      </c>
      <c r="N115" s="7">
        <v>120</v>
      </c>
      <c r="O115" s="7" t="s">
        <v>4321</v>
      </c>
      <c r="P115" s="7"/>
      <c r="Q115" s="115"/>
      <c r="R115" s="9">
        <v>94.572995380362443</v>
      </c>
      <c r="S115" s="115"/>
      <c r="T115" s="7" t="s">
        <v>34</v>
      </c>
      <c r="U115" s="8"/>
    </row>
    <row r="116" spans="1:21" ht="14.1" customHeight="1">
      <c r="A116" s="7">
        <v>113</v>
      </c>
      <c r="B116" s="14" t="s">
        <v>3715</v>
      </c>
      <c r="C116" s="14" t="s">
        <v>393</v>
      </c>
      <c r="D116" s="7" t="s">
        <v>35</v>
      </c>
      <c r="E116" s="14" t="s">
        <v>4336</v>
      </c>
      <c r="F116" s="7" t="s">
        <v>3716</v>
      </c>
      <c r="G116" s="8" t="s">
        <v>4479</v>
      </c>
      <c r="H116" s="7" t="s">
        <v>121</v>
      </c>
      <c r="I116" s="8" t="s">
        <v>4344</v>
      </c>
      <c r="J116" s="7" t="s">
        <v>123</v>
      </c>
      <c r="K116" s="7" t="s">
        <v>31</v>
      </c>
      <c r="L116" s="7" t="s">
        <v>387</v>
      </c>
      <c r="M116" s="7">
        <v>8302.41</v>
      </c>
      <c r="N116" s="7">
        <v>120</v>
      </c>
      <c r="O116" s="7" t="s">
        <v>4321</v>
      </c>
      <c r="P116" s="7"/>
      <c r="Q116" s="115"/>
      <c r="R116" s="9">
        <v>96.271911465039622</v>
      </c>
      <c r="S116" s="115"/>
      <c r="T116" s="7" t="s">
        <v>34</v>
      </c>
      <c r="U116" s="8"/>
    </row>
    <row r="117" spans="1:21" ht="14.1" customHeight="1">
      <c r="A117" s="7">
        <v>114</v>
      </c>
      <c r="B117" s="14" t="s">
        <v>3715</v>
      </c>
      <c r="C117" s="14" t="s">
        <v>393</v>
      </c>
      <c r="D117" s="7" t="s">
        <v>35</v>
      </c>
      <c r="E117" s="14" t="s">
        <v>4336</v>
      </c>
      <c r="F117" s="7" t="s">
        <v>3716</v>
      </c>
      <c r="G117" s="8" t="s">
        <v>4480</v>
      </c>
      <c r="H117" s="7" t="s">
        <v>121</v>
      </c>
      <c r="I117" s="8" t="s">
        <v>4481</v>
      </c>
      <c r="J117" s="7" t="s">
        <v>123</v>
      </c>
      <c r="K117" s="7" t="s">
        <v>31</v>
      </c>
      <c r="L117" s="7" t="s">
        <v>387</v>
      </c>
      <c r="M117" s="7">
        <v>8301.4</v>
      </c>
      <c r="N117" s="7">
        <v>120</v>
      </c>
      <c r="O117" s="7" t="s">
        <v>4321</v>
      </c>
      <c r="P117" s="7"/>
      <c r="Q117" s="115"/>
      <c r="R117" s="9">
        <v>133.08175996637831</v>
      </c>
      <c r="S117" s="115"/>
      <c r="T117" s="7" t="s">
        <v>34</v>
      </c>
      <c r="U117" s="8"/>
    </row>
    <row r="118" spans="1:21" ht="14.1" customHeight="1">
      <c r="A118" s="7">
        <v>115</v>
      </c>
      <c r="B118" s="14" t="s">
        <v>3715</v>
      </c>
      <c r="C118" s="14" t="s">
        <v>393</v>
      </c>
      <c r="D118" s="7" t="s">
        <v>35</v>
      </c>
      <c r="E118" s="14" t="s">
        <v>4336</v>
      </c>
      <c r="F118" s="7" t="s">
        <v>3716</v>
      </c>
      <c r="G118" s="8" t="s">
        <v>4482</v>
      </c>
      <c r="H118" s="7" t="s">
        <v>121</v>
      </c>
      <c r="I118" s="8" t="s">
        <v>4483</v>
      </c>
      <c r="J118" s="7" t="s">
        <v>123</v>
      </c>
      <c r="K118" s="7" t="s">
        <v>31</v>
      </c>
      <c r="L118" s="7" t="s">
        <v>387</v>
      </c>
      <c r="M118" s="7">
        <v>8301.4</v>
      </c>
      <c r="N118" s="7">
        <v>120</v>
      </c>
      <c r="O118" s="7" t="s">
        <v>4321</v>
      </c>
      <c r="P118" s="7"/>
      <c r="Q118" s="115"/>
      <c r="R118" s="9">
        <v>108.7306294193389</v>
      </c>
      <c r="S118" s="115"/>
      <c r="T118" s="7" t="s">
        <v>34</v>
      </c>
      <c r="U118" s="8"/>
    </row>
    <row r="119" spans="1:21" ht="14.1" customHeight="1">
      <c r="A119" s="7">
        <v>116</v>
      </c>
      <c r="B119" s="14" t="s">
        <v>4384</v>
      </c>
      <c r="C119" s="14" t="s">
        <v>393</v>
      </c>
      <c r="D119" s="7" t="s">
        <v>35</v>
      </c>
      <c r="E119" s="14" t="s">
        <v>4465</v>
      </c>
      <c r="F119" s="7" t="s">
        <v>457</v>
      </c>
      <c r="G119" s="8" t="s">
        <v>4484</v>
      </c>
      <c r="H119" s="7" t="s">
        <v>4328</v>
      </c>
      <c r="I119" s="8" t="s">
        <v>4467</v>
      </c>
      <c r="J119" s="7" t="s">
        <v>123</v>
      </c>
      <c r="K119" s="7" t="s">
        <v>4330</v>
      </c>
      <c r="L119" s="7" t="s">
        <v>387</v>
      </c>
      <c r="M119" s="7">
        <v>8301.4</v>
      </c>
      <c r="N119" s="7">
        <v>120</v>
      </c>
      <c r="O119" s="7" t="s">
        <v>4321</v>
      </c>
      <c r="P119" s="7"/>
      <c r="Q119" s="115"/>
      <c r="R119" s="9">
        <v>484.94615794840558</v>
      </c>
      <c r="S119" s="115"/>
      <c r="T119" s="7" t="s">
        <v>34</v>
      </c>
      <c r="U119" s="7" t="s">
        <v>34</v>
      </c>
    </row>
    <row r="120" spans="1:21" ht="14.1" customHeight="1">
      <c r="A120" s="7">
        <v>117</v>
      </c>
      <c r="B120" s="14" t="s">
        <v>4384</v>
      </c>
      <c r="C120" s="14" t="s">
        <v>393</v>
      </c>
      <c r="D120" s="7" t="s">
        <v>35</v>
      </c>
      <c r="E120" s="14" t="s">
        <v>4465</v>
      </c>
      <c r="F120" s="7" t="s">
        <v>457</v>
      </c>
      <c r="G120" s="8" t="s">
        <v>4485</v>
      </c>
      <c r="H120" s="7" t="s">
        <v>4328</v>
      </c>
      <c r="I120" s="8" t="s">
        <v>4467</v>
      </c>
      <c r="J120" s="7" t="s">
        <v>123</v>
      </c>
      <c r="K120" s="7" t="s">
        <v>4330</v>
      </c>
      <c r="L120" s="7" t="s">
        <v>387</v>
      </c>
      <c r="M120" s="7">
        <v>8301.4</v>
      </c>
      <c r="N120" s="7">
        <v>120</v>
      </c>
      <c r="O120" s="7" t="s">
        <v>4321</v>
      </c>
      <c r="P120" s="7"/>
      <c r="Q120" s="115"/>
      <c r="R120" s="9">
        <v>478.15049360969681</v>
      </c>
      <c r="S120" s="115"/>
      <c r="T120" s="7" t="s">
        <v>34</v>
      </c>
      <c r="U120" s="7" t="s">
        <v>34</v>
      </c>
    </row>
    <row r="121" spans="1:21" ht="14.1" customHeight="1">
      <c r="A121" s="7">
        <v>118</v>
      </c>
      <c r="B121" s="14" t="s">
        <v>4384</v>
      </c>
      <c r="C121" s="14" t="s">
        <v>393</v>
      </c>
      <c r="D121" s="7" t="s">
        <v>35</v>
      </c>
      <c r="E121" s="14" t="s">
        <v>4465</v>
      </c>
      <c r="F121" s="7" t="s">
        <v>457</v>
      </c>
      <c r="G121" s="8" t="s">
        <v>4486</v>
      </c>
      <c r="H121" s="7" t="s">
        <v>4472</v>
      </c>
      <c r="I121" s="8" t="s">
        <v>4467</v>
      </c>
      <c r="J121" s="7" t="s">
        <v>123</v>
      </c>
      <c r="K121" s="7" t="s">
        <v>1322</v>
      </c>
      <c r="L121" s="7" t="s">
        <v>387</v>
      </c>
      <c r="M121" s="7">
        <v>8301.4</v>
      </c>
      <c r="N121" s="7">
        <v>120</v>
      </c>
      <c r="O121" s="7" t="s">
        <v>4321</v>
      </c>
      <c r="P121" s="7"/>
      <c r="Q121" s="115"/>
      <c r="R121" s="9">
        <v>480.41571505593299</v>
      </c>
      <c r="S121" s="115"/>
      <c r="T121" s="7" t="s">
        <v>34</v>
      </c>
      <c r="U121" s="7" t="s">
        <v>34</v>
      </c>
    </row>
    <row r="122" spans="1:21" ht="14.1" customHeight="1">
      <c r="A122" s="7">
        <v>119</v>
      </c>
      <c r="B122" s="14" t="s">
        <v>4384</v>
      </c>
      <c r="C122" s="14" t="s">
        <v>393</v>
      </c>
      <c r="D122" s="7" t="s">
        <v>35</v>
      </c>
      <c r="E122" s="14" t="s">
        <v>4465</v>
      </c>
      <c r="F122" s="7" t="s">
        <v>457</v>
      </c>
      <c r="G122" s="8" t="s">
        <v>4487</v>
      </c>
      <c r="H122" s="7" t="s">
        <v>4472</v>
      </c>
      <c r="I122" s="8" t="s">
        <v>4467</v>
      </c>
      <c r="J122" s="7" t="s">
        <v>123</v>
      </c>
      <c r="K122" s="7" t="s">
        <v>1322</v>
      </c>
      <c r="L122" s="7" t="s">
        <v>387</v>
      </c>
      <c r="M122" s="7">
        <v>8301.4</v>
      </c>
      <c r="N122" s="7">
        <v>120</v>
      </c>
      <c r="O122" s="7" t="s">
        <v>4321</v>
      </c>
      <c r="P122" s="7"/>
      <c r="Q122" s="115"/>
      <c r="R122" s="9">
        <v>473.24251380951841</v>
      </c>
      <c r="S122" s="115"/>
      <c r="T122" s="7" t="s">
        <v>34</v>
      </c>
      <c r="U122" s="7" t="s">
        <v>34</v>
      </c>
    </row>
    <row r="123" spans="1:21" ht="14.1" customHeight="1">
      <c r="A123" s="7">
        <v>120</v>
      </c>
      <c r="B123" s="14" t="s">
        <v>4384</v>
      </c>
      <c r="C123" s="14" t="s">
        <v>393</v>
      </c>
      <c r="D123" s="7" t="s">
        <v>35</v>
      </c>
      <c r="E123" s="14" t="s">
        <v>4465</v>
      </c>
      <c r="F123" s="7" t="s">
        <v>457</v>
      </c>
      <c r="G123" s="8" t="s">
        <v>4488</v>
      </c>
      <c r="H123" s="7" t="s">
        <v>4472</v>
      </c>
      <c r="I123" s="8" t="s">
        <v>4467</v>
      </c>
      <c r="J123" s="7" t="s">
        <v>123</v>
      </c>
      <c r="K123" s="7" t="s">
        <v>1322</v>
      </c>
      <c r="L123" s="7" t="s">
        <v>387</v>
      </c>
      <c r="M123" s="7">
        <v>8301.4</v>
      </c>
      <c r="N123" s="7">
        <v>120</v>
      </c>
      <c r="O123" s="7" t="s">
        <v>4321</v>
      </c>
      <c r="P123" s="7"/>
      <c r="Q123" s="115"/>
      <c r="R123" s="9">
        <v>482.68093650216917</v>
      </c>
      <c r="S123" s="115"/>
      <c r="T123" s="7" t="s">
        <v>34</v>
      </c>
      <c r="U123" s="7" t="s">
        <v>34</v>
      </c>
    </row>
    <row r="124" spans="1:21" ht="14.1" customHeight="1">
      <c r="A124" s="7">
        <v>121</v>
      </c>
      <c r="B124" s="14" t="s">
        <v>124</v>
      </c>
      <c r="C124" s="14" t="s">
        <v>393</v>
      </c>
      <c r="D124" s="7" t="s">
        <v>35</v>
      </c>
      <c r="E124" s="14" t="s">
        <v>4465</v>
      </c>
      <c r="F124" s="7" t="s">
        <v>26</v>
      </c>
      <c r="G124" s="8" t="s">
        <v>4489</v>
      </c>
      <c r="H124" s="7" t="s">
        <v>4332</v>
      </c>
      <c r="I124" s="8" t="s">
        <v>4467</v>
      </c>
      <c r="J124" s="7" t="s">
        <v>123</v>
      </c>
      <c r="K124" s="7" t="s">
        <v>1001</v>
      </c>
      <c r="L124" s="7" t="s">
        <v>387</v>
      </c>
      <c r="M124" s="7">
        <v>8301.4</v>
      </c>
      <c r="N124" s="7">
        <v>120</v>
      </c>
      <c r="O124" s="7" t="s">
        <v>4321</v>
      </c>
      <c r="P124" s="7"/>
      <c r="Q124" s="115"/>
      <c r="R124" s="9">
        <v>449.8352255317439</v>
      </c>
      <c r="S124" s="115"/>
      <c r="T124" s="7" t="s">
        <v>34</v>
      </c>
      <c r="U124" s="7" t="s">
        <v>34</v>
      </c>
    </row>
    <row r="125" spans="1:21" ht="14.1" customHeight="1">
      <c r="A125" s="7">
        <v>122</v>
      </c>
      <c r="B125" s="14" t="s">
        <v>124</v>
      </c>
      <c r="C125" s="14" t="s">
        <v>393</v>
      </c>
      <c r="D125" s="7" t="s">
        <v>35</v>
      </c>
      <c r="E125" s="14" t="s">
        <v>4465</v>
      </c>
      <c r="F125" s="7" t="s">
        <v>26</v>
      </c>
      <c r="G125" s="8" t="s">
        <v>4490</v>
      </c>
      <c r="H125" s="7" t="s">
        <v>4332</v>
      </c>
      <c r="I125" s="8" t="s">
        <v>4467</v>
      </c>
      <c r="J125" s="7" t="s">
        <v>123</v>
      </c>
      <c r="K125" s="7" t="s">
        <v>1001</v>
      </c>
      <c r="L125" s="7" t="s">
        <v>387</v>
      </c>
      <c r="M125" s="7">
        <v>8301.4</v>
      </c>
      <c r="N125" s="7">
        <v>120</v>
      </c>
      <c r="O125" s="7" t="s">
        <v>4321</v>
      </c>
      <c r="P125" s="7"/>
      <c r="Q125" s="115"/>
      <c r="R125" s="9">
        <v>443.0395611930353</v>
      </c>
      <c r="S125" s="115"/>
      <c r="T125" s="7" t="s">
        <v>34</v>
      </c>
      <c r="U125" s="7" t="s">
        <v>34</v>
      </c>
    </row>
    <row r="126" spans="1:21" ht="14.1" customHeight="1">
      <c r="A126" s="7">
        <v>123</v>
      </c>
      <c r="B126" s="14" t="s">
        <v>124</v>
      </c>
      <c r="C126" s="14" t="s">
        <v>393</v>
      </c>
      <c r="D126" s="7" t="s">
        <v>35</v>
      </c>
      <c r="E126" s="14" t="s">
        <v>4465</v>
      </c>
      <c r="F126" s="7" t="s">
        <v>26</v>
      </c>
      <c r="G126" s="8" t="s">
        <v>4491</v>
      </c>
      <c r="H126" s="7" t="s">
        <v>4332</v>
      </c>
      <c r="I126" s="8" t="s">
        <v>4467</v>
      </c>
      <c r="J126" s="7" t="s">
        <v>123</v>
      </c>
      <c r="K126" s="7" t="s">
        <v>1001</v>
      </c>
      <c r="L126" s="7" t="s">
        <v>387</v>
      </c>
      <c r="M126" s="7">
        <v>8301.4</v>
      </c>
      <c r="N126" s="7">
        <v>120</v>
      </c>
      <c r="O126" s="7" t="s">
        <v>4321</v>
      </c>
      <c r="P126" s="7"/>
      <c r="Q126" s="115"/>
      <c r="R126" s="9">
        <v>452.10044697798031</v>
      </c>
      <c r="S126" s="115"/>
      <c r="T126" s="7" t="s">
        <v>34</v>
      </c>
      <c r="U126" s="7" t="s">
        <v>34</v>
      </c>
    </row>
    <row r="127" spans="1:21" ht="14.1" customHeight="1">
      <c r="A127" s="7">
        <v>124</v>
      </c>
      <c r="B127" s="14" t="s">
        <v>124</v>
      </c>
      <c r="C127" s="14" t="s">
        <v>393</v>
      </c>
      <c r="D127" s="7" t="s">
        <v>35</v>
      </c>
      <c r="E127" s="14" t="s">
        <v>4465</v>
      </c>
      <c r="F127" s="7" t="s">
        <v>26</v>
      </c>
      <c r="G127" s="8" t="s">
        <v>4492</v>
      </c>
      <c r="H127" s="7" t="s">
        <v>121</v>
      </c>
      <c r="I127" s="8" t="s">
        <v>4467</v>
      </c>
      <c r="J127" s="7" t="s">
        <v>123</v>
      </c>
      <c r="K127" s="7" t="s">
        <v>31</v>
      </c>
      <c r="L127" s="7" t="s">
        <v>387</v>
      </c>
      <c r="M127" s="7">
        <v>8301.4</v>
      </c>
      <c r="N127" s="7">
        <v>120</v>
      </c>
      <c r="O127" s="7" t="s">
        <v>4321</v>
      </c>
      <c r="P127" s="7"/>
      <c r="Q127" s="115"/>
      <c r="R127" s="9">
        <v>526.28644934221666</v>
      </c>
      <c r="S127" s="115"/>
      <c r="T127" s="7" t="s">
        <v>34</v>
      </c>
      <c r="U127" s="7" t="s">
        <v>34</v>
      </c>
    </row>
    <row r="128" spans="1:21" ht="14.1" customHeight="1">
      <c r="A128" s="7">
        <v>125</v>
      </c>
      <c r="B128" s="14" t="s">
        <v>124</v>
      </c>
      <c r="C128" s="14" t="s">
        <v>393</v>
      </c>
      <c r="D128" s="7" t="s">
        <v>35</v>
      </c>
      <c r="E128" s="14" t="s">
        <v>4465</v>
      </c>
      <c r="F128" s="7" t="s">
        <v>26</v>
      </c>
      <c r="G128" s="8" t="s">
        <v>4493</v>
      </c>
      <c r="H128" s="7" t="s">
        <v>121</v>
      </c>
      <c r="I128" s="8" t="s">
        <v>4467</v>
      </c>
      <c r="J128" s="7" t="s">
        <v>123</v>
      </c>
      <c r="K128" s="7" t="s">
        <v>31</v>
      </c>
      <c r="L128" s="7" t="s">
        <v>387</v>
      </c>
      <c r="M128" s="7">
        <v>8301.4</v>
      </c>
      <c r="N128" s="7">
        <v>120</v>
      </c>
      <c r="O128" s="7" t="s">
        <v>4321</v>
      </c>
      <c r="P128" s="7"/>
      <c r="Q128" s="115"/>
      <c r="R128" s="9">
        <v>519.67955345736107</v>
      </c>
      <c r="S128" s="115"/>
      <c r="T128" s="7" t="s">
        <v>34</v>
      </c>
      <c r="U128" s="7" t="s">
        <v>34</v>
      </c>
    </row>
    <row r="129" spans="1:21" ht="14.1" customHeight="1">
      <c r="A129" s="7">
        <v>126</v>
      </c>
      <c r="B129" s="14" t="s">
        <v>124</v>
      </c>
      <c r="C129" s="14" t="s">
        <v>393</v>
      </c>
      <c r="D129" s="7" t="s">
        <v>35</v>
      </c>
      <c r="E129" s="14" t="s">
        <v>4465</v>
      </c>
      <c r="F129" s="7" t="s">
        <v>26</v>
      </c>
      <c r="G129" s="8" t="s">
        <v>4494</v>
      </c>
      <c r="H129" s="7" t="s">
        <v>121</v>
      </c>
      <c r="I129" s="8" t="s">
        <v>4467</v>
      </c>
      <c r="J129" s="7" t="s">
        <v>123</v>
      </c>
      <c r="K129" s="7" t="s">
        <v>31</v>
      </c>
      <c r="L129" s="7" t="s">
        <v>387</v>
      </c>
      <c r="M129" s="7">
        <v>8301.4</v>
      </c>
      <c r="N129" s="7">
        <v>120</v>
      </c>
      <c r="O129" s="7" t="s">
        <v>4321</v>
      </c>
      <c r="P129" s="7"/>
      <c r="Q129" s="115"/>
      <c r="R129" s="9">
        <v>529.68428151157104</v>
      </c>
      <c r="S129" s="115"/>
      <c r="T129" s="7" t="s">
        <v>34</v>
      </c>
      <c r="U129" s="7" t="s">
        <v>34</v>
      </c>
    </row>
    <row r="130" spans="1:21" ht="14.1" customHeight="1">
      <c r="A130" s="7">
        <v>127</v>
      </c>
      <c r="B130" s="14" t="s">
        <v>124</v>
      </c>
      <c r="C130" s="14" t="s">
        <v>393</v>
      </c>
      <c r="D130" s="7" t="s">
        <v>35</v>
      </c>
      <c r="E130" s="14" t="s">
        <v>4465</v>
      </c>
      <c r="F130" s="7" t="s">
        <v>26</v>
      </c>
      <c r="G130" s="8" t="s">
        <v>4495</v>
      </c>
      <c r="H130" s="7" t="s">
        <v>3780</v>
      </c>
      <c r="I130" s="8" t="s">
        <v>4467</v>
      </c>
      <c r="J130" s="7" t="s">
        <v>123</v>
      </c>
      <c r="K130" s="7" t="s">
        <v>26</v>
      </c>
      <c r="L130" s="7" t="s">
        <v>387</v>
      </c>
      <c r="M130" s="7">
        <v>8301.4</v>
      </c>
      <c r="N130" s="7">
        <v>120</v>
      </c>
      <c r="O130" s="7" t="s">
        <v>4321</v>
      </c>
      <c r="P130" s="7"/>
      <c r="Q130" s="115"/>
      <c r="R130" s="9">
        <v>484.94615794840558</v>
      </c>
      <c r="S130" s="115"/>
      <c r="T130" s="7" t="s">
        <v>34</v>
      </c>
      <c r="U130" s="7" t="s">
        <v>34</v>
      </c>
    </row>
    <row r="131" spans="1:21" ht="14.1" customHeight="1">
      <c r="A131" s="7">
        <v>128</v>
      </c>
      <c r="B131" s="14" t="s">
        <v>124</v>
      </c>
      <c r="C131" s="14" t="s">
        <v>393</v>
      </c>
      <c r="D131" s="7" t="s">
        <v>35</v>
      </c>
      <c r="E131" s="14" t="s">
        <v>4465</v>
      </c>
      <c r="F131" s="7" t="s">
        <v>26</v>
      </c>
      <c r="G131" s="8" t="s">
        <v>4496</v>
      </c>
      <c r="H131" s="7" t="s">
        <v>3780</v>
      </c>
      <c r="I131" s="8" t="s">
        <v>4467</v>
      </c>
      <c r="J131" s="7" t="s">
        <v>123</v>
      </c>
      <c r="K131" s="7" t="s">
        <v>26</v>
      </c>
      <c r="L131" s="7" t="s">
        <v>387</v>
      </c>
      <c r="M131" s="7">
        <v>8301.4</v>
      </c>
      <c r="N131" s="7">
        <v>120</v>
      </c>
      <c r="O131" s="7" t="s">
        <v>4321</v>
      </c>
      <c r="P131" s="7"/>
      <c r="Q131" s="115"/>
      <c r="R131" s="9">
        <v>487.21137939464171</v>
      </c>
      <c r="S131" s="115"/>
      <c r="T131" s="7" t="s">
        <v>34</v>
      </c>
      <c r="U131" s="7" t="s">
        <v>34</v>
      </c>
    </row>
    <row r="132" spans="1:21" ht="14.1" customHeight="1">
      <c r="A132" s="7">
        <v>129</v>
      </c>
      <c r="B132" s="14" t="s">
        <v>124</v>
      </c>
      <c r="C132" s="14" t="s">
        <v>393</v>
      </c>
      <c r="D132" s="7" t="s">
        <v>35</v>
      </c>
      <c r="E132" s="14" t="s">
        <v>4336</v>
      </c>
      <c r="F132" s="7" t="s">
        <v>26</v>
      </c>
      <c r="G132" s="8" t="s">
        <v>4497</v>
      </c>
      <c r="H132" s="7" t="s">
        <v>4332</v>
      </c>
      <c r="I132" s="8" t="s">
        <v>4338</v>
      </c>
      <c r="J132" s="7" t="s">
        <v>123</v>
      </c>
      <c r="K132" s="7" t="s">
        <v>1001</v>
      </c>
      <c r="L132" s="7" t="s">
        <v>387</v>
      </c>
      <c r="M132" s="7">
        <v>8301.4</v>
      </c>
      <c r="N132" s="7">
        <v>120</v>
      </c>
      <c r="O132" s="7" t="s">
        <v>4321</v>
      </c>
      <c r="P132" s="7"/>
      <c r="Q132" s="115"/>
      <c r="R132" s="9">
        <v>89.476247126330961</v>
      </c>
      <c r="S132" s="115"/>
      <c r="T132" s="7" t="s">
        <v>34</v>
      </c>
      <c r="U132" s="7" t="s">
        <v>34</v>
      </c>
    </row>
    <row r="133" spans="1:21" ht="14.1" customHeight="1">
      <c r="A133" s="7">
        <v>130</v>
      </c>
      <c r="B133" s="14" t="s">
        <v>124</v>
      </c>
      <c r="C133" s="14" t="s">
        <v>393</v>
      </c>
      <c r="D133" s="7" t="s">
        <v>35</v>
      </c>
      <c r="E133" s="14" t="s">
        <v>4336</v>
      </c>
      <c r="F133" s="7" t="s">
        <v>26</v>
      </c>
      <c r="G133" s="8" t="s">
        <v>4498</v>
      </c>
      <c r="H133" s="7" t="s">
        <v>1081</v>
      </c>
      <c r="I133" s="8" t="s">
        <v>4338</v>
      </c>
      <c r="J133" s="7" t="s">
        <v>123</v>
      </c>
      <c r="K133" s="7" t="s">
        <v>1083</v>
      </c>
      <c r="L133" s="7" t="s">
        <v>387</v>
      </c>
      <c r="M133" s="7">
        <v>8301.4</v>
      </c>
      <c r="N133" s="7">
        <v>120</v>
      </c>
      <c r="O133" s="7" t="s">
        <v>4321</v>
      </c>
      <c r="P133" s="7"/>
      <c r="Q133" s="115"/>
      <c r="R133" s="9">
        <v>85.51210959541757</v>
      </c>
      <c r="S133" s="115"/>
      <c r="T133" s="7" t="s">
        <v>34</v>
      </c>
      <c r="U133" s="7" t="s">
        <v>34</v>
      </c>
    </row>
    <row r="134" spans="1:21" ht="14.1" customHeight="1">
      <c r="A134" s="7">
        <v>131</v>
      </c>
      <c r="B134" s="14" t="s">
        <v>124</v>
      </c>
      <c r="C134" s="14" t="s">
        <v>393</v>
      </c>
      <c r="D134" s="7" t="s">
        <v>35</v>
      </c>
      <c r="E134" s="14" t="s">
        <v>4336</v>
      </c>
      <c r="F134" s="7" t="s">
        <v>26</v>
      </c>
      <c r="G134" s="8" t="s">
        <v>4499</v>
      </c>
      <c r="H134" s="7" t="s">
        <v>121</v>
      </c>
      <c r="I134" s="8" t="s">
        <v>4338</v>
      </c>
      <c r="J134" s="7" t="s">
        <v>123</v>
      </c>
      <c r="K134" s="7" t="s">
        <v>31</v>
      </c>
      <c r="L134" s="7" t="s">
        <v>387</v>
      </c>
      <c r="M134" s="7">
        <v>8301.4</v>
      </c>
      <c r="N134" s="7">
        <v>120</v>
      </c>
      <c r="O134" s="7" t="s">
        <v>4321</v>
      </c>
      <c r="P134" s="7"/>
      <c r="Q134" s="115"/>
      <c r="R134" s="9">
        <v>77.583834533590746</v>
      </c>
      <c r="S134" s="115"/>
      <c r="T134" s="7" t="s">
        <v>34</v>
      </c>
      <c r="U134" s="7" t="s">
        <v>34</v>
      </c>
    </row>
    <row r="135" spans="1:21" ht="14.1" customHeight="1">
      <c r="A135" s="7">
        <v>132</v>
      </c>
      <c r="B135" s="14" t="s">
        <v>124</v>
      </c>
      <c r="C135" s="14" t="s">
        <v>393</v>
      </c>
      <c r="D135" s="7" t="s">
        <v>35</v>
      </c>
      <c r="E135" s="14" t="s">
        <v>4336</v>
      </c>
      <c r="F135" s="7" t="s">
        <v>26</v>
      </c>
      <c r="G135" s="8" t="s">
        <v>4500</v>
      </c>
      <c r="H135" s="7" t="s">
        <v>3780</v>
      </c>
      <c r="I135" s="8" t="s">
        <v>4338</v>
      </c>
      <c r="J135" s="7" t="s">
        <v>123</v>
      </c>
      <c r="K135" s="7" t="s">
        <v>26</v>
      </c>
      <c r="L135" s="7" t="s">
        <v>387</v>
      </c>
      <c r="M135" s="7">
        <v>8301.4</v>
      </c>
      <c r="N135" s="7">
        <v>120</v>
      </c>
      <c r="O135" s="7" t="s">
        <v>4321</v>
      </c>
      <c r="P135" s="7"/>
      <c r="Q135" s="115"/>
      <c r="R135" s="9">
        <v>96.271911465039622</v>
      </c>
      <c r="S135" s="115"/>
      <c r="T135" s="7" t="s">
        <v>34</v>
      </c>
      <c r="U135" s="7" t="s">
        <v>34</v>
      </c>
    </row>
    <row r="136" spans="1:21" ht="14.1" customHeight="1">
      <c r="A136" s="7">
        <v>133</v>
      </c>
      <c r="B136" s="14" t="s">
        <v>4384</v>
      </c>
      <c r="C136" s="14" t="s">
        <v>393</v>
      </c>
      <c r="D136" s="7" t="s">
        <v>35</v>
      </c>
      <c r="E136" s="14" t="s">
        <v>4336</v>
      </c>
      <c r="F136" s="7" t="s">
        <v>457</v>
      </c>
      <c r="G136" s="8" t="s">
        <v>4501</v>
      </c>
      <c r="H136" s="7" t="s">
        <v>1424</v>
      </c>
      <c r="I136" s="8" t="s">
        <v>4502</v>
      </c>
      <c r="J136" s="7" t="s">
        <v>123</v>
      </c>
      <c r="K136" s="7" t="s">
        <v>1426</v>
      </c>
      <c r="L136" s="7" t="s">
        <v>387</v>
      </c>
      <c r="M136" s="7">
        <v>8301.4</v>
      </c>
      <c r="N136" s="7">
        <v>120</v>
      </c>
      <c r="O136" s="7" t="s">
        <v>4321</v>
      </c>
      <c r="P136" s="7"/>
      <c r="Q136" s="115"/>
      <c r="R136" s="9">
        <v>132.70422305867231</v>
      </c>
      <c r="S136" s="115"/>
      <c r="T136" s="7" t="s">
        <v>34</v>
      </c>
      <c r="U136" s="7"/>
    </row>
    <row r="137" spans="1:21" ht="14.1" customHeight="1">
      <c r="A137" s="7">
        <v>134</v>
      </c>
      <c r="B137" s="14" t="s">
        <v>4384</v>
      </c>
      <c r="C137" s="14" t="s">
        <v>393</v>
      </c>
      <c r="D137" s="7" t="s">
        <v>35</v>
      </c>
      <c r="E137" s="14" t="s">
        <v>4336</v>
      </c>
      <c r="F137" s="7" t="s">
        <v>457</v>
      </c>
      <c r="G137" s="8" t="s">
        <v>4503</v>
      </c>
      <c r="H137" s="7" t="s">
        <v>1424</v>
      </c>
      <c r="I137" s="8" t="s">
        <v>4504</v>
      </c>
      <c r="J137" s="7" t="s">
        <v>123</v>
      </c>
      <c r="K137" s="7" t="s">
        <v>1426</v>
      </c>
      <c r="L137" s="7" t="s">
        <v>387</v>
      </c>
      <c r="M137" s="7">
        <v>8301.4</v>
      </c>
      <c r="N137" s="7">
        <v>120</v>
      </c>
      <c r="O137" s="7" t="s">
        <v>4321</v>
      </c>
      <c r="P137" s="7"/>
      <c r="Q137" s="115"/>
      <c r="R137" s="9">
        <v>132.70422305867231</v>
      </c>
      <c r="S137" s="115"/>
      <c r="T137" s="7" t="s">
        <v>34</v>
      </c>
      <c r="U137" s="7"/>
    </row>
    <row r="138" spans="1:21" ht="14.1" customHeight="1">
      <c r="A138" s="7">
        <v>135</v>
      </c>
      <c r="B138" s="14" t="s">
        <v>4384</v>
      </c>
      <c r="C138" s="14" t="s">
        <v>393</v>
      </c>
      <c r="D138" s="7" t="s">
        <v>35</v>
      </c>
      <c r="E138" s="14" t="s">
        <v>4336</v>
      </c>
      <c r="F138" s="7" t="s">
        <v>457</v>
      </c>
      <c r="G138" s="8" t="s">
        <v>4505</v>
      </c>
      <c r="H138" s="7" t="s">
        <v>1424</v>
      </c>
      <c r="I138" s="8" t="s">
        <v>4506</v>
      </c>
      <c r="J138" s="7" t="s">
        <v>123</v>
      </c>
      <c r="K138" s="7" t="s">
        <v>1426</v>
      </c>
      <c r="L138" s="7" t="s">
        <v>387</v>
      </c>
      <c r="M138" s="7">
        <v>8301.4</v>
      </c>
      <c r="N138" s="7">
        <v>120</v>
      </c>
      <c r="O138" s="7" t="s">
        <v>4321</v>
      </c>
      <c r="P138" s="7"/>
      <c r="Q138" s="115"/>
      <c r="R138" s="9">
        <v>129.495159343171</v>
      </c>
      <c r="S138" s="115"/>
      <c r="T138" s="7" t="s">
        <v>34</v>
      </c>
      <c r="U138" s="7"/>
    </row>
    <row r="139" spans="1:21" ht="14.1" customHeight="1">
      <c r="A139" s="7">
        <v>136</v>
      </c>
      <c r="B139" s="14" t="s">
        <v>4384</v>
      </c>
      <c r="C139" s="14" t="s">
        <v>393</v>
      </c>
      <c r="D139" s="7" t="s">
        <v>35</v>
      </c>
      <c r="E139" s="14" t="s">
        <v>4336</v>
      </c>
      <c r="F139" s="7" t="s">
        <v>457</v>
      </c>
      <c r="G139" s="8" t="s">
        <v>4507</v>
      </c>
      <c r="H139" s="7" t="s">
        <v>4332</v>
      </c>
      <c r="I139" s="8" t="s">
        <v>4338</v>
      </c>
      <c r="J139" s="7" t="s">
        <v>123</v>
      </c>
      <c r="K139" s="7" t="s">
        <v>1001</v>
      </c>
      <c r="L139" s="7" t="s">
        <v>387</v>
      </c>
      <c r="M139" s="7">
        <v>8301.4</v>
      </c>
      <c r="N139" s="7">
        <v>120</v>
      </c>
      <c r="O139" s="7" t="s">
        <v>4321</v>
      </c>
      <c r="P139" s="7"/>
      <c r="Q139" s="115"/>
      <c r="R139" s="9">
        <v>85.889646503123586</v>
      </c>
      <c r="S139" s="115"/>
      <c r="T139" s="7" t="s">
        <v>34</v>
      </c>
      <c r="U139" s="7" t="s">
        <v>34</v>
      </c>
    </row>
    <row r="140" spans="1:21" ht="14.1" customHeight="1">
      <c r="A140" s="7">
        <v>137</v>
      </c>
      <c r="B140" s="14" t="s">
        <v>4384</v>
      </c>
      <c r="C140" s="14" t="s">
        <v>393</v>
      </c>
      <c r="D140" s="7" t="s">
        <v>35</v>
      </c>
      <c r="E140" s="14" t="s">
        <v>4336</v>
      </c>
      <c r="F140" s="7" t="s">
        <v>457</v>
      </c>
      <c r="G140" s="8" t="s">
        <v>4508</v>
      </c>
      <c r="H140" s="7" t="s">
        <v>3780</v>
      </c>
      <c r="I140" s="8" t="s">
        <v>4338</v>
      </c>
      <c r="J140" s="7" t="s">
        <v>123</v>
      </c>
      <c r="K140" s="7" t="s">
        <v>26</v>
      </c>
      <c r="L140" s="7" t="s">
        <v>387</v>
      </c>
      <c r="M140" s="7">
        <v>8301.4</v>
      </c>
      <c r="N140" s="7">
        <v>120</v>
      </c>
      <c r="O140" s="7" t="s">
        <v>4321</v>
      </c>
      <c r="P140" s="7"/>
      <c r="Q140" s="115"/>
      <c r="R140" s="9">
        <v>92.874079295685306</v>
      </c>
      <c r="S140" s="115"/>
      <c r="T140" s="7" t="s">
        <v>34</v>
      </c>
      <c r="U140" s="7" t="s">
        <v>34</v>
      </c>
    </row>
    <row r="141" spans="1:21" ht="14.1" customHeight="1">
      <c r="A141" s="7">
        <v>138</v>
      </c>
      <c r="B141" s="14" t="s">
        <v>4384</v>
      </c>
      <c r="C141" s="14" t="s">
        <v>393</v>
      </c>
      <c r="D141" s="7" t="s">
        <v>35</v>
      </c>
      <c r="E141" s="14" t="s">
        <v>4336</v>
      </c>
      <c r="F141" s="7" t="s">
        <v>457</v>
      </c>
      <c r="G141" s="8" t="s">
        <v>4509</v>
      </c>
      <c r="H141" s="7" t="s">
        <v>4328</v>
      </c>
      <c r="I141" s="8" t="s">
        <v>4510</v>
      </c>
      <c r="J141" s="7" t="s">
        <v>123</v>
      </c>
      <c r="K141" s="7" t="s">
        <v>4330</v>
      </c>
      <c r="L141" s="7" t="s">
        <v>387</v>
      </c>
      <c r="M141" s="7">
        <v>8301.4</v>
      </c>
      <c r="N141" s="7">
        <v>120</v>
      </c>
      <c r="O141" s="7" t="s">
        <v>4321</v>
      </c>
      <c r="P141" s="7"/>
      <c r="Q141" s="115"/>
      <c r="R141" s="9">
        <v>105.7103341576906</v>
      </c>
      <c r="S141" s="115"/>
      <c r="T141" s="7" t="s">
        <v>34</v>
      </c>
      <c r="U141" s="7" t="s">
        <v>34</v>
      </c>
    </row>
    <row r="142" spans="1:21" ht="14.1" customHeight="1">
      <c r="A142" s="7">
        <v>139</v>
      </c>
      <c r="B142" s="14" t="s">
        <v>3715</v>
      </c>
      <c r="C142" s="14" t="s">
        <v>393</v>
      </c>
      <c r="D142" s="7" t="s">
        <v>35</v>
      </c>
      <c r="E142" s="14" t="s">
        <v>4511</v>
      </c>
      <c r="F142" s="7" t="s">
        <v>3716</v>
      </c>
      <c r="G142" s="8" t="s">
        <v>4512</v>
      </c>
      <c r="H142" s="7" t="s">
        <v>4472</v>
      </c>
      <c r="I142" s="8" t="s">
        <v>4513</v>
      </c>
      <c r="J142" s="7" t="s">
        <v>123</v>
      </c>
      <c r="K142" s="7" t="s">
        <v>1322</v>
      </c>
      <c r="L142" s="7" t="s">
        <v>387</v>
      </c>
      <c r="M142" s="7">
        <v>8301.4</v>
      </c>
      <c r="N142" s="7">
        <v>120</v>
      </c>
      <c r="O142" s="7" t="s">
        <v>4321</v>
      </c>
      <c r="P142" s="7"/>
      <c r="Q142" s="115"/>
      <c r="R142" s="9">
        <v>205.56884624593761</v>
      </c>
      <c r="S142" s="115"/>
      <c r="T142" s="7" t="s">
        <v>34</v>
      </c>
      <c r="U142" s="7" t="s">
        <v>34</v>
      </c>
    </row>
    <row r="143" spans="1:21" ht="14.1" customHeight="1">
      <c r="A143" s="7">
        <v>140</v>
      </c>
      <c r="B143" s="14" t="s">
        <v>3715</v>
      </c>
      <c r="C143" s="14" t="s">
        <v>393</v>
      </c>
      <c r="D143" s="7" t="s">
        <v>35</v>
      </c>
      <c r="E143" s="14" t="s">
        <v>4511</v>
      </c>
      <c r="F143" s="7" t="s">
        <v>3716</v>
      </c>
      <c r="G143" s="8" t="s">
        <v>4514</v>
      </c>
      <c r="H143" s="7" t="s">
        <v>995</v>
      </c>
      <c r="I143" s="8" t="s">
        <v>4515</v>
      </c>
      <c r="J143" s="7" t="s">
        <v>123</v>
      </c>
      <c r="K143" s="7" t="s">
        <v>997</v>
      </c>
      <c r="L143" s="7" t="s">
        <v>387</v>
      </c>
      <c r="M143" s="7">
        <v>8301.4</v>
      </c>
      <c r="N143" s="7">
        <v>120</v>
      </c>
      <c r="O143" s="7" t="s">
        <v>4321</v>
      </c>
      <c r="P143" s="7"/>
      <c r="Q143" s="115"/>
      <c r="R143" s="9">
        <v>213.68588976161729</v>
      </c>
      <c r="S143" s="115"/>
      <c r="T143" s="7" t="s">
        <v>34</v>
      </c>
      <c r="U143" s="7" t="s">
        <v>34</v>
      </c>
    </row>
    <row r="144" spans="1:21" ht="14.1" customHeight="1">
      <c r="A144" s="7">
        <v>141</v>
      </c>
      <c r="B144" s="14" t="s">
        <v>3715</v>
      </c>
      <c r="C144" s="14" t="s">
        <v>393</v>
      </c>
      <c r="D144" s="7" t="s">
        <v>35</v>
      </c>
      <c r="E144" s="14" t="s">
        <v>4511</v>
      </c>
      <c r="F144" s="7" t="s">
        <v>3716</v>
      </c>
      <c r="G144" s="8" t="s">
        <v>4516</v>
      </c>
      <c r="H144" s="7" t="s">
        <v>4472</v>
      </c>
      <c r="I144" s="8" t="s">
        <v>4515</v>
      </c>
      <c r="J144" s="7" t="s">
        <v>123</v>
      </c>
      <c r="K144" s="7" t="s">
        <v>1322</v>
      </c>
      <c r="L144" s="7" t="s">
        <v>387</v>
      </c>
      <c r="M144" s="7">
        <v>8301.4</v>
      </c>
      <c r="N144" s="7">
        <v>120</v>
      </c>
      <c r="O144" s="7" t="s">
        <v>4321</v>
      </c>
      <c r="P144" s="7"/>
      <c r="Q144" s="115"/>
      <c r="R144" s="9">
        <v>201.22717180731809</v>
      </c>
      <c r="S144" s="115"/>
      <c r="T144" s="7" t="s">
        <v>34</v>
      </c>
      <c r="U144" s="7" t="s">
        <v>34</v>
      </c>
    </row>
    <row r="145" spans="1:21" ht="14.1" customHeight="1">
      <c r="A145" s="7">
        <v>142</v>
      </c>
      <c r="B145" s="14" t="s">
        <v>3715</v>
      </c>
      <c r="C145" s="14" t="s">
        <v>393</v>
      </c>
      <c r="D145" s="7" t="s">
        <v>35</v>
      </c>
      <c r="E145" s="14" t="s">
        <v>4511</v>
      </c>
      <c r="F145" s="7" t="s">
        <v>3716</v>
      </c>
      <c r="G145" s="8" t="s">
        <v>4517</v>
      </c>
      <c r="H145" s="7" t="s">
        <v>995</v>
      </c>
      <c r="I145" s="8" t="s">
        <v>4515</v>
      </c>
      <c r="J145" s="7" t="s">
        <v>123</v>
      </c>
      <c r="K145" s="7" t="s">
        <v>997</v>
      </c>
      <c r="L145" s="7" t="s">
        <v>387</v>
      </c>
      <c r="M145" s="7">
        <v>8301.4</v>
      </c>
      <c r="N145" s="7">
        <v>120</v>
      </c>
      <c r="O145" s="7" t="s">
        <v>4321</v>
      </c>
      <c r="P145" s="7"/>
      <c r="Q145" s="115"/>
      <c r="R145" s="9">
        <v>209.53298377685101</v>
      </c>
      <c r="S145" s="115"/>
      <c r="T145" s="7" t="s">
        <v>34</v>
      </c>
      <c r="U145" s="7" t="s">
        <v>34</v>
      </c>
    </row>
    <row r="146" spans="1:21" ht="14.1" customHeight="1">
      <c r="A146" s="7">
        <v>143</v>
      </c>
      <c r="B146" s="14" t="s">
        <v>4384</v>
      </c>
      <c r="C146" s="14" t="s">
        <v>393</v>
      </c>
      <c r="D146" s="7" t="s">
        <v>35</v>
      </c>
      <c r="E146" s="14" t="s">
        <v>4465</v>
      </c>
      <c r="F146" s="7" t="s">
        <v>457</v>
      </c>
      <c r="G146" s="8" t="s">
        <v>4518</v>
      </c>
      <c r="H146" s="7" t="s">
        <v>1871</v>
      </c>
      <c r="I146" s="8" t="s">
        <v>4467</v>
      </c>
      <c r="J146" s="7" t="s">
        <v>123</v>
      </c>
      <c r="K146" s="7" t="s">
        <v>1873</v>
      </c>
      <c r="L146" s="7" t="s">
        <v>387</v>
      </c>
      <c r="M146" s="7">
        <v>8301.4</v>
      </c>
      <c r="N146" s="7">
        <v>120</v>
      </c>
      <c r="O146" s="7" t="s">
        <v>4321</v>
      </c>
      <c r="P146" s="7"/>
      <c r="Q146" s="115"/>
      <c r="R146" s="9">
        <v>400.94419598381222</v>
      </c>
      <c r="S146" s="115"/>
      <c r="T146" s="7" t="s">
        <v>34</v>
      </c>
      <c r="U146" s="7" t="s">
        <v>34</v>
      </c>
    </row>
    <row r="147" spans="1:21" ht="14.1" customHeight="1">
      <c r="A147" s="7">
        <v>144</v>
      </c>
      <c r="B147" s="14" t="s">
        <v>4384</v>
      </c>
      <c r="C147" s="14" t="s">
        <v>393</v>
      </c>
      <c r="D147" s="7" t="s">
        <v>35</v>
      </c>
      <c r="E147" s="14" t="s">
        <v>4336</v>
      </c>
      <c r="F147" s="7" t="s">
        <v>457</v>
      </c>
      <c r="G147" s="8" t="s">
        <v>4519</v>
      </c>
      <c r="H147" s="7" t="s">
        <v>1424</v>
      </c>
      <c r="I147" s="8" t="s">
        <v>4520</v>
      </c>
      <c r="J147" s="7" t="s">
        <v>123</v>
      </c>
      <c r="K147" s="7" t="s">
        <v>1426</v>
      </c>
      <c r="L147" s="7" t="s">
        <v>387</v>
      </c>
      <c r="M147" s="7">
        <v>8301.4</v>
      </c>
      <c r="N147" s="7">
        <v>120</v>
      </c>
      <c r="O147" s="7" t="s">
        <v>4321</v>
      </c>
      <c r="P147" s="7"/>
      <c r="Q147" s="115"/>
      <c r="R147" s="9">
        <v>157.0553536057117</v>
      </c>
      <c r="S147" s="115"/>
      <c r="T147" s="7" t="s">
        <v>34</v>
      </c>
      <c r="U147" s="7"/>
    </row>
    <row r="148" spans="1:21" ht="14.1" customHeight="1">
      <c r="A148" s="7">
        <v>145</v>
      </c>
      <c r="B148" s="14" t="s">
        <v>4384</v>
      </c>
      <c r="C148" s="14" t="s">
        <v>393</v>
      </c>
      <c r="D148" s="7" t="s">
        <v>35</v>
      </c>
      <c r="E148" s="14" t="s">
        <v>4336</v>
      </c>
      <c r="F148" s="7" t="s">
        <v>457</v>
      </c>
      <c r="G148" s="8" t="s">
        <v>4521</v>
      </c>
      <c r="H148" s="7" t="s">
        <v>1424</v>
      </c>
      <c r="I148" s="8" t="s">
        <v>4522</v>
      </c>
      <c r="J148" s="7" t="s">
        <v>123</v>
      </c>
      <c r="K148" s="7" t="s">
        <v>1426</v>
      </c>
      <c r="L148" s="7" t="s">
        <v>387</v>
      </c>
      <c r="M148" s="7">
        <v>8301.4</v>
      </c>
      <c r="N148" s="7">
        <v>120</v>
      </c>
      <c r="O148" s="7" t="s">
        <v>4321</v>
      </c>
      <c r="P148" s="7"/>
      <c r="Q148" s="115"/>
      <c r="R148" s="9">
        <v>70.976938648735086</v>
      </c>
      <c r="S148" s="115"/>
      <c r="T148" s="7" t="s">
        <v>34</v>
      </c>
      <c r="U148" s="7"/>
    </row>
    <row r="149" spans="1:21" ht="14.1" customHeight="1">
      <c r="A149" s="7">
        <v>146</v>
      </c>
      <c r="B149" s="14" t="s">
        <v>4384</v>
      </c>
      <c r="C149" s="14" t="s">
        <v>393</v>
      </c>
      <c r="D149" s="7" t="s">
        <v>35</v>
      </c>
      <c r="E149" s="14" t="s">
        <v>4336</v>
      </c>
      <c r="F149" s="7" t="s">
        <v>457</v>
      </c>
      <c r="G149" s="8" t="s">
        <v>4523</v>
      </c>
      <c r="H149" s="7" t="s">
        <v>1424</v>
      </c>
      <c r="I149" s="8" t="s">
        <v>4524</v>
      </c>
      <c r="J149" s="7" t="s">
        <v>123</v>
      </c>
      <c r="K149" s="7" t="s">
        <v>1426</v>
      </c>
      <c r="L149" s="7" t="s">
        <v>387</v>
      </c>
      <c r="M149" s="7">
        <v>8301.4</v>
      </c>
      <c r="N149" s="7">
        <v>120</v>
      </c>
      <c r="O149" s="7" t="s">
        <v>4321</v>
      </c>
      <c r="P149" s="7"/>
      <c r="Q149" s="115"/>
      <c r="R149" s="9">
        <v>160.45318577506609</v>
      </c>
      <c r="S149" s="115"/>
      <c r="T149" s="7" t="s">
        <v>34</v>
      </c>
      <c r="U149" s="7"/>
    </row>
    <row r="150" spans="1:21" ht="14.1" customHeight="1">
      <c r="A150" s="7">
        <v>147</v>
      </c>
      <c r="B150" s="14" t="s">
        <v>3715</v>
      </c>
      <c r="C150" s="14" t="s">
        <v>393</v>
      </c>
      <c r="D150" s="7" t="s">
        <v>35</v>
      </c>
      <c r="E150" s="14" t="s">
        <v>4348</v>
      </c>
      <c r="F150" s="7" t="s">
        <v>3716</v>
      </c>
      <c r="G150" s="8" t="s">
        <v>4525</v>
      </c>
      <c r="H150" s="7" t="s">
        <v>1424</v>
      </c>
      <c r="I150" s="8" t="s">
        <v>4526</v>
      </c>
      <c r="J150" s="7" t="s">
        <v>123</v>
      </c>
      <c r="K150" s="7" t="s">
        <v>1426</v>
      </c>
      <c r="L150" s="7" t="s">
        <v>387</v>
      </c>
      <c r="M150" s="7">
        <v>8301.4</v>
      </c>
      <c r="N150" s="7">
        <v>120</v>
      </c>
      <c r="O150" s="7" t="s">
        <v>4321</v>
      </c>
      <c r="P150" s="7"/>
      <c r="Q150" s="115"/>
      <c r="R150" s="9">
        <v>235.9605673162736</v>
      </c>
      <c r="S150" s="115"/>
      <c r="T150" s="7" t="s">
        <v>34</v>
      </c>
      <c r="U150" s="7" t="s">
        <v>34</v>
      </c>
    </row>
    <row r="151" spans="1:21" ht="14.1" customHeight="1">
      <c r="A151" s="7">
        <v>148</v>
      </c>
      <c r="B151" s="14" t="s">
        <v>3715</v>
      </c>
      <c r="C151" s="14" t="s">
        <v>393</v>
      </c>
      <c r="D151" s="7" t="s">
        <v>35</v>
      </c>
      <c r="E151" s="14" t="s">
        <v>4348</v>
      </c>
      <c r="F151" s="7" t="s">
        <v>3716</v>
      </c>
      <c r="G151" s="8" t="s">
        <v>4527</v>
      </c>
      <c r="H151" s="7" t="s">
        <v>4332</v>
      </c>
      <c r="I151" s="8" t="s">
        <v>4350</v>
      </c>
      <c r="J151" s="7" t="s">
        <v>123</v>
      </c>
      <c r="K151" s="7" t="s">
        <v>1001</v>
      </c>
      <c r="L151" s="7" t="s">
        <v>387</v>
      </c>
      <c r="M151" s="7">
        <v>8301.4</v>
      </c>
      <c r="N151" s="7">
        <v>120</v>
      </c>
      <c r="O151" s="7" t="s">
        <v>4321</v>
      </c>
      <c r="P151" s="7"/>
      <c r="Q151" s="115"/>
      <c r="R151" s="9">
        <v>192.9213598377853</v>
      </c>
      <c r="S151" s="115"/>
      <c r="T151" s="7" t="s">
        <v>34</v>
      </c>
      <c r="U151" s="7" t="s">
        <v>34</v>
      </c>
    </row>
    <row r="152" spans="1:21" ht="14.1" customHeight="1">
      <c r="A152" s="7">
        <v>149</v>
      </c>
      <c r="B152" s="14" t="s">
        <v>3715</v>
      </c>
      <c r="C152" s="14" t="s">
        <v>393</v>
      </c>
      <c r="D152" s="7" t="s">
        <v>35</v>
      </c>
      <c r="E152" s="14" t="s">
        <v>4348</v>
      </c>
      <c r="F152" s="7" t="s">
        <v>3716</v>
      </c>
      <c r="G152" s="8" t="s">
        <v>4528</v>
      </c>
      <c r="H152" s="7" t="s">
        <v>4332</v>
      </c>
      <c r="I152" s="8" t="s">
        <v>4526</v>
      </c>
      <c r="J152" s="7" t="s">
        <v>123</v>
      </c>
      <c r="K152" s="7" t="s">
        <v>1001</v>
      </c>
      <c r="L152" s="7" t="s">
        <v>387</v>
      </c>
      <c r="M152" s="7">
        <v>8301.4</v>
      </c>
      <c r="N152" s="7">
        <v>120</v>
      </c>
      <c r="O152" s="7" t="s">
        <v>4321</v>
      </c>
      <c r="P152" s="7"/>
      <c r="Q152" s="115"/>
      <c r="R152" s="9">
        <v>242.00115783957031</v>
      </c>
      <c r="S152" s="115"/>
      <c r="T152" s="7" t="s">
        <v>34</v>
      </c>
      <c r="U152" s="7" t="s">
        <v>34</v>
      </c>
    </row>
    <row r="153" spans="1:21" ht="14.1" customHeight="1">
      <c r="A153" s="7">
        <v>150</v>
      </c>
      <c r="B153" s="14" t="s">
        <v>3715</v>
      </c>
      <c r="C153" s="14" t="s">
        <v>393</v>
      </c>
      <c r="D153" s="7" t="s">
        <v>35</v>
      </c>
      <c r="E153" s="14" t="s">
        <v>4348</v>
      </c>
      <c r="F153" s="7" t="s">
        <v>3716</v>
      </c>
      <c r="G153" s="8" t="s">
        <v>4529</v>
      </c>
      <c r="H153" s="7" t="s">
        <v>3780</v>
      </c>
      <c r="I153" s="8" t="s">
        <v>4526</v>
      </c>
      <c r="J153" s="7" t="s">
        <v>123</v>
      </c>
      <c r="K153" s="7" t="s">
        <v>26</v>
      </c>
      <c r="L153" s="7" t="s">
        <v>387</v>
      </c>
      <c r="M153" s="7">
        <v>8301.4</v>
      </c>
      <c r="N153" s="7">
        <v>120</v>
      </c>
      <c r="O153" s="7" t="s">
        <v>4321</v>
      </c>
      <c r="P153" s="7"/>
      <c r="Q153" s="115"/>
      <c r="R153" s="9">
        <v>230.8638190622421</v>
      </c>
      <c r="S153" s="115"/>
      <c r="T153" s="7" t="s">
        <v>34</v>
      </c>
      <c r="U153" s="7" t="s">
        <v>34</v>
      </c>
    </row>
    <row r="154" spans="1:21" ht="14.1" customHeight="1">
      <c r="A154" s="7">
        <v>151</v>
      </c>
      <c r="B154" s="14" t="s">
        <v>3715</v>
      </c>
      <c r="C154" s="14" t="s">
        <v>393</v>
      </c>
      <c r="D154" s="7" t="s">
        <v>35</v>
      </c>
      <c r="E154" s="14" t="s">
        <v>4348</v>
      </c>
      <c r="F154" s="7" t="s">
        <v>3716</v>
      </c>
      <c r="G154" s="8" t="s">
        <v>4530</v>
      </c>
      <c r="H154" s="7" t="s">
        <v>4328</v>
      </c>
      <c r="I154" s="8" t="s">
        <v>4526</v>
      </c>
      <c r="J154" s="7" t="s">
        <v>123</v>
      </c>
      <c r="K154" s="7" t="s">
        <v>4330</v>
      </c>
      <c r="L154" s="7" t="s">
        <v>387</v>
      </c>
      <c r="M154" s="7">
        <v>8301.4</v>
      </c>
      <c r="N154" s="7">
        <v>120</v>
      </c>
      <c r="O154" s="7" t="s">
        <v>4321</v>
      </c>
      <c r="P154" s="7"/>
      <c r="Q154" s="115"/>
      <c r="R154" s="9">
        <v>232.9402720546253</v>
      </c>
      <c r="S154" s="115"/>
      <c r="T154" s="7" t="s">
        <v>34</v>
      </c>
      <c r="U154" s="7" t="s">
        <v>34</v>
      </c>
    </row>
    <row r="155" spans="1:21" ht="14.1" customHeight="1">
      <c r="A155" s="7">
        <v>152</v>
      </c>
      <c r="B155" s="14" t="s">
        <v>3715</v>
      </c>
      <c r="C155" s="14" t="s">
        <v>393</v>
      </c>
      <c r="D155" s="7" t="s">
        <v>35</v>
      </c>
      <c r="E155" s="14" t="s">
        <v>4326</v>
      </c>
      <c r="F155" s="7" t="s">
        <v>3716</v>
      </c>
      <c r="G155" s="8" t="s">
        <v>4333</v>
      </c>
      <c r="H155" s="7" t="s">
        <v>1424</v>
      </c>
      <c r="I155" s="8" t="s">
        <v>4329</v>
      </c>
      <c r="J155" s="7" t="s">
        <v>123</v>
      </c>
      <c r="K155" s="7" t="s">
        <v>1426</v>
      </c>
      <c r="L155" s="7" t="s">
        <v>387</v>
      </c>
      <c r="M155" s="7">
        <v>8301.4</v>
      </c>
      <c r="N155" s="7">
        <v>120</v>
      </c>
      <c r="O155" s="7" t="s">
        <v>4321</v>
      </c>
      <c r="P155" s="7"/>
      <c r="Q155" s="115"/>
      <c r="R155" s="9">
        <v>131.00530697399509</v>
      </c>
      <c r="S155" s="115"/>
      <c r="T155" s="7" t="s">
        <v>34</v>
      </c>
      <c r="U155" s="7" t="s">
        <v>34</v>
      </c>
    </row>
    <row r="156" spans="1:21" ht="14.1" customHeight="1">
      <c r="A156" s="7">
        <v>153</v>
      </c>
      <c r="B156" s="14" t="s">
        <v>3715</v>
      </c>
      <c r="C156" s="14" t="s">
        <v>393</v>
      </c>
      <c r="D156" s="7" t="s">
        <v>35</v>
      </c>
      <c r="E156" s="14" t="s">
        <v>4326</v>
      </c>
      <c r="F156" s="7" t="s">
        <v>3716</v>
      </c>
      <c r="G156" s="8" t="s">
        <v>4327</v>
      </c>
      <c r="H156" s="7" t="s">
        <v>4328</v>
      </c>
      <c r="I156" s="8" t="s">
        <v>4329</v>
      </c>
      <c r="J156" s="7" t="s">
        <v>123</v>
      </c>
      <c r="K156" s="7" t="s">
        <v>4330</v>
      </c>
      <c r="L156" s="7" t="s">
        <v>387</v>
      </c>
      <c r="M156" s="7">
        <v>8301.4</v>
      </c>
      <c r="N156" s="7">
        <v>120</v>
      </c>
      <c r="O156" s="7" t="s">
        <v>4321</v>
      </c>
      <c r="P156" s="7"/>
      <c r="Q156" s="115"/>
      <c r="R156" s="9">
        <v>154.79013215947549</v>
      </c>
      <c r="S156" s="115"/>
      <c r="T156" s="7" t="s">
        <v>34</v>
      </c>
      <c r="U156" s="7" t="s">
        <v>34</v>
      </c>
    </row>
    <row r="157" spans="1:21" ht="14.1" customHeight="1">
      <c r="A157" s="7">
        <v>154</v>
      </c>
      <c r="B157" s="14" t="s">
        <v>3715</v>
      </c>
      <c r="C157" s="14" t="s">
        <v>393</v>
      </c>
      <c r="D157" s="7" t="s">
        <v>35</v>
      </c>
      <c r="E157" s="14" t="s">
        <v>4348</v>
      </c>
      <c r="F157" s="7" t="s">
        <v>3716</v>
      </c>
      <c r="G157" s="8" t="s">
        <v>4461</v>
      </c>
      <c r="H157" s="7" t="s">
        <v>1424</v>
      </c>
      <c r="I157" s="8" t="s">
        <v>4531</v>
      </c>
      <c r="J157" s="7" t="s">
        <v>123</v>
      </c>
      <c r="K157" s="7" t="s">
        <v>1426</v>
      </c>
      <c r="L157" s="7" t="s">
        <v>387</v>
      </c>
      <c r="M157" s="7">
        <v>8301.4</v>
      </c>
      <c r="N157" s="7">
        <v>120</v>
      </c>
      <c r="O157" s="7" t="s">
        <v>4321</v>
      </c>
      <c r="P157" s="7"/>
      <c r="Q157" s="115"/>
      <c r="R157" s="9">
        <v>117.7915152042838</v>
      </c>
      <c r="S157" s="115"/>
      <c r="T157" s="7" t="s">
        <v>34</v>
      </c>
      <c r="U157" s="7" t="s">
        <v>34</v>
      </c>
    </row>
    <row r="158" spans="1:21" ht="14.1" customHeight="1">
      <c r="A158" s="7">
        <v>155</v>
      </c>
      <c r="B158" s="14" t="s">
        <v>3715</v>
      </c>
      <c r="C158" s="14" t="s">
        <v>393</v>
      </c>
      <c r="D158" s="7" t="s">
        <v>35</v>
      </c>
      <c r="E158" s="14" t="s">
        <v>4326</v>
      </c>
      <c r="F158" s="7" t="s">
        <v>3716</v>
      </c>
      <c r="G158" s="8" t="s">
        <v>4334</v>
      </c>
      <c r="H158" s="7" t="s">
        <v>1424</v>
      </c>
      <c r="I158" s="8" t="s">
        <v>4335</v>
      </c>
      <c r="J158" s="7" t="s">
        <v>123</v>
      </c>
      <c r="K158" s="7" t="s">
        <v>1426</v>
      </c>
      <c r="L158" s="7" t="s">
        <v>387</v>
      </c>
      <c r="M158" s="7">
        <v>8301.4</v>
      </c>
      <c r="N158" s="7">
        <v>120</v>
      </c>
      <c r="O158" s="7" t="s">
        <v>4321</v>
      </c>
      <c r="P158" s="7"/>
      <c r="Q158" s="115"/>
      <c r="R158" s="9">
        <v>87.588562587800752</v>
      </c>
      <c r="S158" s="115"/>
      <c r="T158" s="7" t="s">
        <v>34</v>
      </c>
      <c r="U158" s="7" t="s">
        <v>34</v>
      </c>
    </row>
    <row r="159" spans="1:21" ht="14.1" customHeight="1">
      <c r="A159" s="7">
        <v>156</v>
      </c>
      <c r="B159" s="14" t="s">
        <v>3715</v>
      </c>
      <c r="C159" s="14" t="s">
        <v>393</v>
      </c>
      <c r="D159" s="7" t="s">
        <v>35</v>
      </c>
      <c r="E159" s="14" t="s">
        <v>4326</v>
      </c>
      <c r="F159" s="7" t="s">
        <v>3716</v>
      </c>
      <c r="G159" s="8" t="s">
        <v>4346</v>
      </c>
      <c r="H159" s="7" t="s">
        <v>1424</v>
      </c>
      <c r="I159" s="8" t="s">
        <v>4329</v>
      </c>
      <c r="J159" s="7" t="s">
        <v>123</v>
      </c>
      <c r="K159" s="7" t="s">
        <v>1426</v>
      </c>
      <c r="L159" s="7" t="s">
        <v>387</v>
      </c>
      <c r="M159" s="7">
        <v>8301.4</v>
      </c>
      <c r="N159" s="7">
        <v>120</v>
      </c>
      <c r="O159" s="7" t="s">
        <v>4321</v>
      </c>
      <c r="P159" s="7"/>
      <c r="Q159" s="115"/>
      <c r="R159" s="9">
        <v>99.480975180540923</v>
      </c>
      <c r="S159" s="115"/>
      <c r="T159" s="7" t="s">
        <v>34</v>
      </c>
      <c r="U159" s="7" t="s">
        <v>34</v>
      </c>
    </row>
    <row r="160" spans="1:21" ht="14.1" customHeight="1">
      <c r="A160" s="7">
        <v>157</v>
      </c>
      <c r="B160" s="14" t="s">
        <v>3715</v>
      </c>
      <c r="C160" s="14" t="s">
        <v>393</v>
      </c>
      <c r="D160" s="7" t="s">
        <v>35</v>
      </c>
      <c r="E160" s="14" t="s">
        <v>4326</v>
      </c>
      <c r="F160" s="7" t="s">
        <v>3716</v>
      </c>
      <c r="G160" s="8" t="s">
        <v>4347</v>
      </c>
      <c r="H160" s="7" t="s">
        <v>1424</v>
      </c>
      <c r="I160" s="8" t="s">
        <v>4335</v>
      </c>
      <c r="J160" s="7" t="s">
        <v>123</v>
      </c>
      <c r="K160" s="7" t="s">
        <v>1426</v>
      </c>
      <c r="L160" s="7" t="s">
        <v>387</v>
      </c>
      <c r="M160" s="7">
        <v>8301.4</v>
      </c>
      <c r="N160" s="7">
        <v>120</v>
      </c>
      <c r="O160" s="7" t="s">
        <v>4321</v>
      </c>
      <c r="P160" s="7"/>
      <c r="Q160" s="115"/>
      <c r="R160" s="9">
        <v>73.242160094971325</v>
      </c>
      <c r="S160" s="115"/>
      <c r="T160" s="7" t="s">
        <v>34</v>
      </c>
      <c r="U160" s="7" t="s">
        <v>34</v>
      </c>
    </row>
    <row r="161" spans="1:21" ht="14.1" customHeight="1">
      <c r="A161" s="7">
        <v>158</v>
      </c>
      <c r="B161" s="14" t="s">
        <v>3715</v>
      </c>
      <c r="C161" s="14" t="s">
        <v>393</v>
      </c>
      <c r="D161" s="7" t="s">
        <v>35</v>
      </c>
      <c r="E161" s="14" t="s">
        <v>4326</v>
      </c>
      <c r="F161" s="7" t="s">
        <v>3716</v>
      </c>
      <c r="G161" s="8" t="s">
        <v>4331</v>
      </c>
      <c r="H161" s="7" t="s">
        <v>4332</v>
      </c>
      <c r="I161" s="8" t="s">
        <v>4329</v>
      </c>
      <c r="J161" s="7" t="s">
        <v>123</v>
      </c>
      <c r="K161" s="7" t="s">
        <v>1001</v>
      </c>
      <c r="L161" s="7" t="s">
        <v>387</v>
      </c>
      <c r="M161" s="7">
        <v>8301.4</v>
      </c>
      <c r="N161" s="7">
        <v>120</v>
      </c>
      <c r="O161" s="7" t="s">
        <v>4321</v>
      </c>
      <c r="P161" s="7"/>
      <c r="Q161" s="115"/>
      <c r="R161" s="9">
        <v>146.67308864379569</v>
      </c>
      <c r="S161" s="115"/>
      <c r="T161" s="7" t="s">
        <v>34</v>
      </c>
      <c r="U161" s="7" t="s">
        <v>34</v>
      </c>
    </row>
    <row r="162" spans="1:21" ht="14.1" customHeight="1">
      <c r="A162" s="7">
        <v>159</v>
      </c>
      <c r="B162" s="14" t="s">
        <v>4384</v>
      </c>
      <c r="C162" s="14" t="s">
        <v>393</v>
      </c>
      <c r="D162" s="7" t="s">
        <v>35</v>
      </c>
      <c r="E162" s="14" t="s">
        <v>4336</v>
      </c>
      <c r="F162" s="7" t="s">
        <v>457</v>
      </c>
      <c r="G162" s="8" t="s">
        <v>4532</v>
      </c>
      <c r="H162" s="7" t="s">
        <v>1424</v>
      </c>
      <c r="I162" s="8" t="s">
        <v>4533</v>
      </c>
      <c r="J162" s="7" t="s">
        <v>123</v>
      </c>
      <c r="K162" s="7" t="s">
        <v>1426</v>
      </c>
      <c r="L162" s="7" t="s">
        <v>387</v>
      </c>
      <c r="M162" s="7">
        <v>8301.4</v>
      </c>
      <c r="N162" s="7">
        <v>120</v>
      </c>
      <c r="O162" s="7" t="s">
        <v>4321</v>
      </c>
      <c r="P162" s="7"/>
      <c r="Q162" s="115"/>
      <c r="R162" s="9">
        <v>167.06008165992171</v>
      </c>
      <c r="S162" s="115"/>
      <c r="T162" s="7" t="s">
        <v>34</v>
      </c>
      <c r="U162" s="7"/>
    </row>
    <row r="163" spans="1:21" ht="14.1" customHeight="1">
      <c r="A163" s="7">
        <v>160</v>
      </c>
      <c r="B163" s="14" t="s">
        <v>4384</v>
      </c>
      <c r="C163" s="14" t="s">
        <v>393</v>
      </c>
      <c r="D163" s="7" t="s">
        <v>35</v>
      </c>
      <c r="E163" s="14" t="s">
        <v>4336</v>
      </c>
      <c r="F163" s="7" t="s">
        <v>457</v>
      </c>
      <c r="G163" s="8" t="s">
        <v>4534</v>
      </c>
      <c r="H163" s="7" t="s">
        <v>1424</v>
      </c>
      <c r="I163" s="8" t="s">
        <v>4535</v>
      </c>
      <c r="J163" s="7" t="s">
        <v>123</v>
      </c>
      <c r="K163" s="7" t="s">
        <v>1426</v>
      </c>
      <c r="L163" s="7" t="s">
        <v>387</v>
      </c>
      <c r="M163" s="7">
        <v>8301.4</v>
      </c>
      <c r="N163" s="7">
        <v>120</v>
      </c>
      <c r="O163" s="7" t="s">
        <v>4321</v>
      </c>
      <c r="P163" s="7"/>
      <c r="Q163" s="115"/>
      <c r="R163" s="9">
        <v>167.06008165992171</v>
      </c>
      <c r="S163" s="115"/>
      <c r="T163" s="7" t="s">
        <v>34</v>
      </c>
      <c r="U163" s="7"/>
    </row>
    <row r="164" spans="1:21" ht="14.1" customHeight="1">
      <c r="A164" s="7">
        <v>161</v>
      </c>
      <c r="B164" s="14" t="s">
        <v>4384</v>
      </c>
      <c r="C164" s="14" t="s">
        <v>393</v>
      </c>
      <c r="D164" s="7" t="s">
        <v>35</v>
      </c>
      <c r="E164" s="14" t="s">
        <v>4336</v>
      </c>
      <c r="F164" s="7" t="s">
        <v>457</v>
      </c>
      <c r="G164" s="8" t="s">
        <v>4536</v>
      </c>
      <c r="H164" s="7" t="s">
        <v>1424</v>
      </c>
      <c r="I164" s="8" t="s">
        <v>4537</v>
      </c>
      <c r="J164" s="7" t="s">
        <v>123</v>
      </c>
      <c r="K164" s="7" t="s">
        <v>1426</v>
      </c>
      <c r="L164" s="7" t="s">
        <v>387</v>
      </c>
      <c r="M164" s="7">
        <v>8301.4</v>
      </c>
      <c r="N164" s="7">
        <v>120</v>
      </c>
      <c r="O164" s="7" t="s">
        <v>4321</v>
      </c>
      <c r="P164" s="7"/>
      <c r="Q164" s="115"/>
      <c r="R164" s="9">
        <v>134.21437068949641</v>
      </c>
      <c r="S164" s="115"/>
      <c r="T164" s="7" t="s">
        <v>34</v>
      </c>
      <c r="U164" s="7"/>
    </row>
    <row r="165" spans="1:21" ht="14.1" customHeight="1">
      <c r="A165" s="7">
        <v>162</v>
      </c>
      <c r="B165" s="14" t="s">
        <v>4384</v>
      </c>
      <c r="C165" s="14" t="s">
        <v>393</v>
      </c>
      <c r="D165" s="7" t="s">
        <v>35</v>
      </c>
      <c r="E165" s="14" t="s">
        <v>4336</v>
      </c>
      <c r="F165" s="7" t="s">
        <v>457</v>
      </c>
      <c r="G165" s="8" t="s">
        <v>4538</v>
      </c>
      <c r="H165" s="7" t="s">
        <v>1424</v>
      </c>
      <c r="I165" s="8" t="s">
        <v>4522</v>
      </c>
      <c r="J165" s="7" t="s">
        <v>123</v>
      </c>
      <c r="K165" s="7" t="s">
        <v>1426</v>
      </c>
      <c r="L165" s="7" t="s">
        <v>387</v>
      </c>
      <c r="M165" s="7">
        <v>8301.4</v>
      </c>
      <c r="N165" s="7">
        <v>120</v>
      </c>
      <c r="O165" s="7" t="s">
        <v>4321</v>
      </c>
      <c r="P165" s="7"/>
      <c r="Q165" s="115"/>
      <c r="R165" s="9">
        <v>71.920780918000204</v>
      </c>
      <c r="S165" s="115"/>
      <c r="T165" s="7" t="s">
        <v>34</v>
      </c>
      <c r="U165" s="7"/>
    </row>
    <row r="166" spans="1:21" ht="14.1" customHeight="1">
      <c r="A166" s="7">
        <v>163</v>
      </c>
      <c r="B166" s="14" t="s">
        <v>4384</v>
      </c>
      <c r="C166" s="14" t="s">
        <v>393</v>
      </c>
      <c r="D166" s="7" t="s">
        <v>35</v>
      </c>
      <c r="E166" s="14" t="s">
        <v>4336</v>
      </c>
      <c r="F166" s="7" t="s">
        <v>457</v>
      </c>
      <c r="G166" s="8" t="s">
        <v>4539</v>
      </c>
      <c r="H166" s="7" t="s">
        <v>1424</v>
      </c>
      <c r="I166" s="8" t="s">
        <v>4506</v>
      </c>
      <c r="J166" s="7" t="s">
        <v>123</v>
      </c>
      <c r="K166" s="7" t="s">
        <v>1426</v>
      </c>
      <c r="L166" s="7" t="s">
        <v>387</v>
      </c>
      <c r="M166" s="7">
        <v>8301.4</v>
      </c>
      <c r="N166" s="7">
        <v>120</v>
      </c>
      <c r="O166" s="7" t="s">
        <v>4321</v>
      </c>
      <c r="P166" s="7"/>
      <c r="Q166" s="115"/>
      <c r="R166" s="9">
        <v>130.4390016124361</v>
      </c>
      <c r="S166" s="115"/>
      <c r="T166" s="7" t="s">
        <v>34</v>
      </c>
      <c r="U166" s="7"/>
    </row>
    <row r="167" spans="1:21" ht="14.1" customHeight="1">
      <c r="A167" s="7">
        <v>164</v>
      </c>
      <c r="B167" s="14" t="s">
        <v>4384</v>
      </c>
      <c r="C167" s="14" t="s">
        <v>393</v>
      </c>
      <c r="D167" s="7" t="s">
        <v>35</v>
      </c>
      <c r="E167" s="14" t="s">
        <v>4336</v>
      </c>
      <c r="F167" s="7" t="s">
        <v>457</v>
      </c>
      <c r="G167" s="8" t="s">
        <v>4540</v>
      </c>
      <c r="H167" s="7" t="s">
        <v>1424</v>
      </c>
      <c r="I167" s="8" t="s">
        <v>4524</v>
      </c>
      <c r="J167" s="7" t="s">
        <v>123</v>
      </c>
      <c r="K167" s="7" t="s">
        <v>1426</v>
      </c>
      <c r="L167" s="7" t="s">
        <v>387</v>
      </c>
      <c r="M167" s="7">
        <v>8301.4</v>
      </c>
      <c r="N167" s="7">
        <v>120</v>
      </c>
      <c r="O167" s="7" t="s">
        <v>4321</v>
      </c>
      <c r="P167" s="7"/>
      <c r="Q167" s="115"/>
      <c r="R167" s="9">
        <v>170.8354507369821</v>
      </c>
      <c r="S167" s="115"/>
      <c r="T167" s="7" t="s">
        <v>34</v>
      </c>
      <c r="U167" s="7"/>
    </row>
    <row r="168" spans="1:21" ht="14.1" customHeight="1">
      <c r="A168" s="7">
        <v>165</v>
      </c>
      <c r="B168" s="14" t="s">
        <v>4384</v>
      </c>
      <c r="C168" s="14" t="s">
        <v>393</v>
      </c>
      <c r="D168" s="7" t="s">
        <v>35</v>
      </c>
      <c r="E168" s="14" t="s">
        <v>4336</v>
      </c>
      <c r="F168" s="7" t="s">
        <v>457</v>
      </c>
      <c r="G168" s="8" t="s">
        <v>4541</v>
      </c>
      <c r="H168" s="7" t="s">
        <v>1424</v>
      </c>
      <c r="I168" s="8" t="s">
        <v>4542</v>
      </c>
      <c r="J168" s="7" t="s">
        <v>123</v>
      </c>
      <c r="K168" s="7" t="s">
        <v>1426</v>
      </c>
      <c r="L168" s="7" t="s">
        <v>387</v>
      </c>
      <c r="M168" s="7">
        <v>8301.4</v>
      </c>
      <c r="N168" s="7">
        <v>120</v>
      </c>
      <c r="O168" s="7" t="s">
        <v>4321</v>
      </c>
      <c r="P168" s="7"/>
      <c r="Q168" s="115"/>
      <c r="R168" s="9">
        <v>199.15071881493489</v>
      </c>
      <c r="S168" s="115"/>
      <c r="T168" s="7" t="s">
        <v>34</v>
      </c>
      <c r="U168" s="7"/>
    </row>
    <row r="169" spans="1:21" ht="14.1" customHeight="1">
      <c r="A169" s="7">
        <v>166</v>
      </c>
      <c r="B169" s="14" t="s">
        <v>4384</v>
      </c>
      <c r="C169" s="14" t="s">
        <v>393</v>
      </c>
      <c r="D169" s="7" t="s">
        <v>35</v>
      </c>
      <c r="E169" s="14" t="s">
        <v>4336</v>
      </c>
      <c r="F169" s="7" t="s">
        <v>457</v>
      </c>
      <c r="G169" s="8" t="s">
        <v>4543</v>
      </c>
      <c r="H169" s="7" t="s">
        <v>1424</v>
      </c>
      <c r="I169" s="8" t="s">
        <v>4544</v>
      </c>
      <c r="J169" s="7" t="s">
        <v>123</v>
      </c>
      <c r="K169" s="7" t="s">
        <v>1426</v>
      </c>
      <c r="L169" s="7" t="s">
        <v>387</v>
      </c>
      <c r="M169" s="7">
        <v>8301.4</v>
      </c>
      <c r="N169" s="7">
        <v>120</v>
      </c>
      <c r="O169" s="7" t="s">
        <v>4321</v>
      </c>
      <c r="P169" s="7"/>
      <c r="Q169" s="115"/>
      <c r="R169" s="9">
        <v>250.11820135524999</v>
      </c>
      <c r="S169" s="115"/>
      <c r="T169" s="7" t="s">
        <v>34</v>
      </c>
      <c r="U169" s="7"/>
    </row>
    <row r="170" spans="1:21" ht="14.1" customHeight="1">
      <c r="A170" s="7">
        <v>167</v>
      </c>
      <c r="B170" s="14" t="s">
        <v>609</v>
      </c>
      <c r="C170" s="14" t="s">
        <v>393</v>
      </c>
      <c r="D170" s="7" t="s">
        <v>35</v>
      </c>
      <c r="E170" s="14" t="s">
        <v>295</v>
      </c>
      <c r="F170" s="7" t="s">
        <v>26</v>
      </c>
      <c r="G170" s="8" t="s">
        <v>4545</v>
      </c>
      <c r="H170" s="7" t="s">
        <v>995</v>
      </c>
      <c r="I170" s="8" t="s">
        <v>4401</v>
      </c>
      <c r="J170" s="7" t="s">
        <v>123</v>
      </c>
      <c r="K170" s="7" t="s">
        <v>997</v>
      </c>
      <c r="L170" s="7" t="s">
        <v>387</v>
      </c>
      <c r="M170" s="7">
        <v>8301.4</v>
      </c>
      <c r="N170" s="7">
        <v>120</v>
      </c>
      <c r="O170" s="7" t="s">
        <v>4321</v>
      </c>
      <c r="P170" s="7"/>
      <c r="Q170" s="115"/>
      <c r="R170" s="9">
        <v>321.85021381939708</v>
      </c>
      <c r="S170" s="115"/>
      <c r="T170" s="7" t="s">
        <v>34</v>
      </c>
      <c r="U170" s="7"/>
    </row>
    <row r="171" spans="1:21" ht="14.1" customHeight="1">
      <c r="A171" s="7">
        <v>168</v>
      </c>
      <c r="B171" s="14" t="s">
        <v>4384</v>
      </c>
      <c r="C171" s="14" t="s">
        <v>393</v>
      </c>
      <c r="D171" s="7" t="s">
        <v>35</v>
      </c>
      <c r="E171" s="14" t="s">
        <v>4336</v>
      </c>
      <c r="F171" s="7" t="s">
        <v>457</v>
      </c>
      <c r="G171" s="8" t="s">
        <v>4546</v>
      </c>
      <c r="H171" s="7" t="s">
        <v>1424</v>
      </c>
      <c r="I171" s="8" t="s">
        <v>4547</v>
      </c>
      <c r="J171" s="7" t="s">
        <v>123</v>
      </c>
      <c r="K171" s="7" t="s">
        <v>1426</v>
      </c>
      <c r="L171" s="7" t="s">
        <v>387</v>
      </c>
      <c r="M171" s="7">
        <v>8301.4</v>
      </c>
      <c r="N171" s="7">
        <v>120</v>
      </c>
      <c r="O171" s="7" t="s">
        <v>4321</v>
      </c>
      <c r="P171" s="7"/>
      <c r="Q171" s="115"/>
      <c r="R171" s="9">
        <v>109.2969347808979</v>
      </c>
      <c r="S171" s="115"/>
      <c r="T171" s="7" t="s">
        <v>34</v>
      </c>
      <c r="U171" s="7"/>
    </row>
    <row r="172" spans="1:21" ht="14.1" customHeight="1">
      <c r="A172" s="7">
        <v>169</v>
      </c>
      <c r="B172" s="14" t="s">
        <v>609</v>
      </c>
      <c r="C172" s="14" t="s">
        <v>393</v>
      </c>
      <c r="D172" s="7" t="s">
        <v>35</v>
      </c>
      <c r="E172" s="14" t="s">
        <v>4511</v>
      </c>
      <c r="F172" s="7" t="s">
        <v>26</v>
      </c>
      <c r="G172" s="8" t="s">
        <v>4548</v>
      </c>
      <c r="H172" s="7" t="s">
        <v>4549</v>
      </c>
      <c r="I172" s="8" t="s">
        <v>4515</v>
      </c>
      <c r="J172" s="7" t="s">
        <v>123</v>
      </c>
      <c r="K172" s="7" t="s">
        <v>1848</v>
      </c>
      <c r="L172" s="7" t="s">
        <v>387</v>
      </c>
      <c r="M172" s="7">
        <v>8301.4</v>
      </c>
      <c r="N172" s="7">
        <v>120</v>
      </c>
      <c r="O172" s="7" t="s">
        <v>4321</v>
      </c>
      <c r="P172" s="7"/>
      <c r="Q172" s="115"/>
      <c r="R172" s="9">
        <v>117.7915152042838</v>
      </c>
      <c r="S172" s="115"/>
      <c r="T172" s="7" t="s">
        <v>34</v>
      </c>
      <c r="U172" s="7" t="s">
        <v>34</v>
      </c>
    </row>
    <row r="173" spans="1:21" ht="14.1" customHeight="1">
      <c r="A173" s="7">
        <v>170</v>
      </c>
      <c r="B173" s="14" t="s">
        <v>609</v>
      </c>
      <c r="C173" s="14" t="s">
        <v>393</v>
      </c>
      <c r="D173" s="7" t="s">
        <v>35</v>
      </c>
      <c r="E173" s="14" t="s">
        <v>4511</v>
      </c>
      <c r="F173" s="7" t="s">
        <v>26</v>
      </c>
      <c r="G173" s="8" t="s">
        <v>4550</v>
      </c>
      <c r="H173" s="7" t="s">
        <v>4549</v>
      </c>
      <c r="I173" s="8" t="s">
        <v>4551</v>
      </c>
      <c r="J173" s="7" t="s">
        <v>123</v>
      </c>
      <c r="K173" s="7" t="s">
        <v>1848</v>
      </c>
      <c r="L173" s="7" t="s">
        <v>387</v>
      </c>
      <c r="M173" s="7">
        <v>8301.4</v>
      </c>
      <c r="N173" s="7">
        <v>120</v>
      </c>
      <c r="O173" s="7" t="s">
        <v>4321</v>
      </c>
      <c r="P173" s="7"/>
      <c r="Q173" s="115"/>
      <c r="R173" s="9">
        <v>99.103438272834936</v>
      </c>
      <c r="S173" s="115"/>
      <c r="T173" s="7" t="s">
        <v>34</v>
      </c>
      <c r="U173" s="7" t="s">
        <v>34</v>
      </c>
    </row>
    <row r="174" spans="1:21" ht="14.1" customHeight="1">
      <c r="A174" s="7">
        <v>171</v>
      </c>
      <c r="B174" s="14" t="s">
        <v>4384</v>
      </c>
      <c r="C174" s="14" t="s">
        <v>393</v>
      </c>
      <c r="D174" s="7" t="s">
        <v>35</v>
      </c>
      <c r="E174" s="14" t="s">
        <v>4511</v>
      </c>
      <c r="F174" s="7" t="s">
        <v>457</v>
      </c>
      <c r="G174" s="8" t="s">
        <v>4552</v>
      </c>
      <c r="H174" s="7" t="s">
        <v>4549</v>
      </c>
      <c r="I174" s="8" t="s">
        <v>4553</v>
      </c>
      <c r="J174" s="7" t="s">
        <v>123</v>
      </c>
      <c r="K174" s="7" t="s">
        <v>1848</v>
      </c>
      <c r="L174" s="7" t="s">
        <v>387</v>
      </c>
      <c r="M174" s="7">
        <v>8301.4</v>
      </c>
      <c r="N174" s="7">
        <v>120</v>
      </c>
      <c r="O174" s="7" t="s">
        <v>4321</v>
      </c>
      <c r="P174" s="7"/>
      <c r="Q174" s="115"/>
      <c r="R174" s="9">
        <v>111.9396931348402</v>
      </c>
      <c r="S174" s="115"/>
      <c r="T174" s="7" t="s">
        <v>34</v>
      </c>
      <c r="U174" s="7" t="s">
        <v>34</v>
      </c>
    </row>
    <row r="175" spans="1:21" ht="14.1" customHeight="1">
      <c r="A175" s="7">
        <v>172</v>
      </c>
      <c r="B175" s="14" t="s">
        <v>609</v>
      </c>
      <c r="C175" s="14" t="s">
        <v>393</v>
      </c>
      <c r="D175" s="7" t="s">
        <v>35</v>
      </c>
      <c r="E175" s="14" t="s">
        <v>4511</v>
      </c>
      <c r="F175" s="7" t="s">
        <v>26</v>
      </c>
      <c r="G175" s="8" t="s">
        <v>4554</v>
      </c>
      <c r="H175" s="7" t="s">
        <v>4549</v>
      </c>
      <c r="I175" s="8" t="s">
        <v>4555</v>
      </c>
      <c r="J175" s="7" t="s">
        <v>123</v>
      </c>
      <c r="K175" s="7" t="s">
        <v>1848</v>
      </c>
      <c r="L175" s="7" t="s">
        <v>387</v>
      </c>
      <c r="M175" s="7">
        <v>8301.4</v>
      </c>
      <c r="N175" s="7">
        <v>120</v>
      </c>
      <c r="O175" s="7" t="s">
        <v>4321</v>
      </c>
      <c r="P175" s="7"/>
      <c r="Q175" s="115"/>
      <c r="R175" s="9">
        <v>126.4748640815226</v>
      </c>
      <c r="S175" s="115"/>
      <c r="T175" s="7" t="s">
        <v>34</v>
      </c>
      <c r="U175" s="7" t="s">
        <v>34</v>
      </c>
    </row>
    <row r="176" spans="1:21" ht="14.1" customHeight="1">
      <c r="A176" s="7">
        <v>173</v>
      </c>
      <c r="B176" s="14" t="s">
        <v>609</v>
      </c>
      <c r="C176" s="14" t="s">
        <v>393</v>
      </c>
      <c r="D176" s="7" t="s">
        <v>35</v>
      </c>
      <c r="E176" s="14" t="s">
        <v>4511</v>
      </c>
      <c r="F176" s="7" t="s">
        <v>26</v>
      </c>
      <c r="G176" s="8" t="s">
        <v>4556</v>
      </c>
      <c r="H176" s="7" t="s">
        <v>4549</v>
      </c>
      <c r="I176" s="8" t="s">
        <v>4557</v>
      </c>
      <c r="J176" s="7" t="s">
        <v>123</v>
      </c>
      <c r="K176" s="7" t="s">
        <v>1848</v>
      </c>
      <c r="L176" s="7" t="s">
        <v>387</v>
      </c>
      <c r="M176" s="7">
        <v>8301.4</v>
      </c>
      <c r="N176" s="7">
        <v>120</v>
      </c>
      <c r="O176" s="7" t="s">
        <v>4321</v>
      </c>
      <c r="P176" s="7"/>
      <c r="Q176" s="115"/>
      <c r="R176" s="9">
        <v>107.4092502423678</v>
      </c>
      <c r="S176" s="115"/>
      <c r="T176" s="7" t="s">
        <v>34</v>
      </c>
      <c r="U176" s="7" t="s">
        <v>34</v>
      </c>
    </row>
    <row r="177" spans="1:21" ht="14.1" customHeight="1">
      <c r="A177" s="7">
        <v>174</v>
      </c>
      <c r="B177" s="14" t="s">
        <v>4384</v>
      </c>
      <c r="C177" s="14" t="s">
        <v>393</v>
      </c>
      <c r="D177" s="7" t="s">
        <v>35</v>
      </c>
      <c r="E177" s="14" t="s">
        <v>295</v>
      </c>
      <c r="F177" s="7" t="s">
        <v>457</v>
      </c>
      <c r="G177" s="8" t="s">
        <v>4558</v>
      </c>
      <c r="H177" s="7" t="s">
        <v>995</v>
      </c>
      <c r="I177" s="8" t="s">
        <v>4559</v>
      </c>
      <c r="J177" s="7" t="s">
        <v>123</v>
      </c>
      <c r="K177" s="7" t="s">
        <v>997</v>
      </c>
      <c r="L177" s="7" t="s">
        <v>387</v>
      </c>
      <c r="M177" s="7">
        <v>8301.4</v>
      </c>
      <c r="N177" s="7">
        <v>120</v>
      </c>
      <c r="O177" s="7" t="s">
        <v>4321</v>
      </c>
      <c r="P177" s="7"/>
      <c r="Q177" s="115"/>
      <c r="R177" s="9">
        <v>299.95307317244698</v>
      </c>
      <c r="S177" s="115"/>
      <c r="T177" s="7" t="s">
        <v>34</v>
      </c>
      <c r="U177" s="7"/>
    </row>
    <row r="178" spans="1:21" ht="14.1" customHeight="1">
      <c r="A178" s="7">
        <v>175</v>
      </c>
      <c r="B178" s="14" t="s">
        <v>4384</v>
      </c>
      <c r="C178" s="14" t="s">
        <v>393</v>
      </c>
      <c r="D178" s="7" t="s">
        <v>35</v>
      </c>
      <c r="E178" s="14" t="s">
        <v>295</v>
      </c>
      <c r="F178" s="7" t="s">
        <v>457</v>
      </c>
      <c r="G178" s="8" t="s">
        <v>4560</v>
      </c>
      <c r="H178" s="7" t="s">
        <v>995</v>
      </c>
      <c r="I178" s="8" t="s">
        <v>4561</v>
      </c>
      <c r="J178" s="7" t="s">
        <v>123</v>
      </c>
      <c r="K178" s="7" t="s">
        <v>997</v>
      </c>
      <c r="L178" s="7" t="s">
        <v>387</v>
      </c>
      <c r="M178" s="7">
        <v>8301.4</v>
      </c>
      <c r="N178" s="7">
        <v>120</v>
      </c>
      <c r="O178" s="7" t="s">
        <v>4321</v>
      </c>
      <c r="P178" s="7"/>
      <c r="Q178" s="115"/>
      <c r="R178" s="9">
        <v>399.81158526069402</v>
      </c>
      <c r="S178" s="115"/>
      <c r="T178" s="7" t="s">
        <v>34</v>
      </c>
      <c r="U178" s="7"/>
    </row>
    <row r="179" spans="1:21" ht="14.1" customHeight="1">
      <c r="A179" s="7">
        <v>176</v>
      </c>
      <c r="B179" s="14" t="s">
        <v>4384</v>
      </c>
      <c r="C179" s="14" t="s">
        <v>393</v>
      </c>
      <c r="D179" s="7" t="s">
        <v>35</v>
      </c>
      <c r="E179" s="14" t="s">
        <v>295</v>
      </c>
      <c r="F179" s="7" t="s">
        <v>457</v>
      </c>
      <c r="G179" s="8" t="s">
        <v>4562</v>
      </c>
      <c r="H179" s="7" t="s">
        <v>995</v>
      </c>
      <c r="I179" s="8" t="s">
        <v>4563</v>
      </c>
      <c r="J179" s="7" t="s">
        <v>123</v>
      </c>
      <c r="K179" s="7" t="s">
        <v>997</v>
      </c>
      <c r="L179" s="7" t="s">
        <v>387</v>
      </c>
      <c r="M179" s="7">
        <v>8301.4</v>
      </c>
      <c r="N179" s="7">
        <v>120</v>
      </c>
      <c r="O179" s="7" t="s">
        <v>4321</v>
      </c>
      <c r="P179" s="7"/>
      <c r="Q179" s="115"/>
      <c r="R179" s="9">
        <v>341.67090147396419</v>
      </c>
      <c r="S179" s="115"/>
      <c r="T179" s="7" t="s">
        <v>34</v>
      </c>
      <c r="U179" s="7"/>
    </row>
    <row r="180" spans="1:21" ht="14.1" customHeight="1">
      <c r="A180" s="7">
        <v>177</v>
      </c>
      <c r="B180" s="14" t="s">
        <v>4384</v>
      </c>
      <c r="C180" s="14" t="s">
        <v>393</v>
      </c>
      <c r="D180" s="7" t="s">
        <v>35</v>
      </c>
      <c r="E180" s="14" t="s">
        <v>295</v>
      </c>
      <c r="F180" s="7" t="s">
        <v>457</v>
      </c>
      <c r="G180" s="8" t="s">
        <v>4564</v>
      </c>
      <c r="H180" s="7" t="s">
        <v>995</v>
      </c>
      <c r="I180" s="8" t="s">
        <v>4403</v>
      </c>
      <c r="J180" s="7" t="s">
        <v>123</v>
      </c>
      <c r="K180" s="7" t="s">
        <v>997</v>
      </c>
      <c r="L180" s="7" t="s">
        <v>387</v>
      </c>
      <c r="M180" s="7">
        <v>8301.4</v>
      </c>
      <c r="N180" s="7">
        <v>120</v>
      </c>
      <c r="O180" s="7" t="s">
        <v>4321</v>
      </c>
      <c r="P180" s="7"/>
      <c r="Q180" s="115"/>
      <c r="R180" s="9">
        <v>273.14795272531831</v>
      </c>
      <c r="S180" s="115"/>
      <c r="T180" s="7" t="s">
        <v>34</v>
      </c>
      <c r="U180" s="7"/>
    </row>
    <row r="181" spans="1:21" ht="14.1" customHeight="1">
      <c r="A181" s="7">
        <v>178</v>
      </c>
      <c r="B181" s="14" t="s">
        <v>4384</v>
      </c>
      <c r="C181" s="14" t="s">
        <v>393</v>
      </c>
      <c r="D181" s="7" t="s">
        <v>35</v>
      </c>
      <c r="E181" s="14" t="s">
        <v>295</v>
      </c>
      <c r="F181" s="7" t="s">
        <v>457</v>
      </c>
      <c r="G181" s="8" t="s">
        <v>4565</v>
      </c>
      <c r="H181" s="7" t="s">
        <v>995</v>
      </c>
      <c r="I181" s="8" t="s">
        <v>4395</v>
      </c>
      <c r="J181" s="7" t="s">
        <v>123</v>
      </c>
      <c r="K181" s="7" t="s">
        <v>997</v>
      </c>
      <c r="L181" s="7" t="s">
        <v>387</v>
      </c>
      <c r="M181" s="7">
        <v>8301.4</v>
      </c>
      <c r="N181" s="7">
        <v>120</v>
      </c>
      <c r="O181" s="7" t="s">
        <v>4321</v>
      </c>
      <c r="P181" s="7"/>
      <c r="Q181" s="115"/>
      <c r="R181" s="9">
        <v>261.82184549413722</v>
      </c>
      <c r="S181" s="115"/>
      <c r="T181" s="7" t="s">
        <v>34</v>
      </c>
      <c r="U181" s="7"/>
    </row>
    <row r="182" spans="1:21" ht="14.1" customHeight="1">
      <c r="A182" s="7">
        <v>179</v>
      </c>
      <c r="B182" s="14" t="s">
        <v>4384</v>
      </c>
      <c r="C182" s="14" t="s">
        <v>393</v>
      </c>
      <c r="D182" s="7" t="s">
        <v>35</v>
      </c>
      <c r="E182" s="14" t="s">
        <v>295</v>
      </c>
      <c r="F182" s="7" t="s">
        <v>457</v>
      </c>
      <c r="G182" s="8" t="s">
        <v>4566</v>
      </c>
      <c r="H182" s="7" t="s">
        <v>995</v>
      </c>
      <c r="I182" s="8" t="s">
        <v>4406</v>
      </c>
      <c r="J182" s="7" t="s">
        <v>123</v>
      </c>
      <c r="K182" s="7" t="s">
        <v>997</v>
      </c>
      <c r="L182" s="7" t="s">
        <v>387</v>
      </c>
      <c r="M182" s="7">
        <v>8301.4</v>
      </c>
      <c r="N182" s="7">
        <v>120</v>
      </c>
      <c r="O182" s="7" t="s">
        <v>4321</v>
      </c>
      <c r="P182" s="7"/>
      <c r="Q182" s="115"/>
      <c r="R182" s="9">
        <v>144.0303302898534</v>
      </c>
      <c r="S182" s="115"/>
      <c r="T182" s="7" t="s">
        <v>34</v>
      </c>
      <c r="U182" s="7"/>
    </row>
    <row r="183" spans="1:21" ht="14.1" customHeight="1">
      <c r="A183" s="7">
        <v>180</v>
      </c>
      <c r="B183" s="14" t="s">
        <v>4384</v>
      </c>
      <c r="C183" s="14" t="s">
        <v>393</v>
      </c>
      <c r="D183" s="7" t="s">
        <v>35</v>
      </c>
      <c r="E183" s="14" t="s">
        <v>295</v>
      </c>
      <c r="F183" s="7" t="s">
        <v>457</v>
      </c>
      <c r="G183" s="8" t="s">
        <v>4567</v>
      </c>
      <c r="H183" s="7" t="s">
        <v>995</v>
      </c>
      <c r="I183" s="8" t="s">
        <v>4409</v>
      </c>
      <c r="J183" s="7" t="s">
        <v>123</v>
      </c>
      <c r="K183" s="7" t="s">
        <v>997</v>
      </c>
      <c r="L183" s="7" t="s">
        <v>387</v>
      </c>
      <c r="M183" s="7">
        <v>8301.4</v>
      </c>
      <c r="N183" s="7">
        <v>120</v>
      </c>
      <c r="O183" s="7" t="s">
        <v>4321</v>
      </c>
      <c r="P183" s="7"/>
      <c r="Q183" s="115"/>
      <c r="R183" s="9">
        <v>304.29474761106638</v>
      </c>
      <c r="S183" s="115"/>
      <c r="T183" s="7" t="s">
        <v>34</v>
      </c>
      <c r="U183" s="7"/>
    </row>
    <row r="184" spans="1:21" ht="14.1" customHeight="1">
      <c r="A184" s="7">
        <v>181</v>
      </c>
      <c r="B184" s="14" t="s">
        <v>609</v>
      </c>
      <c r="C184" s="14" t="s">
        <v>393</v>
      </c>
      <c r="D184" s="7" t="s">
        <v>35</v>
      </c>
      <c r="E184" s="14" t="s">
        <v>295</v>
      </c>
      <c r="F184" s="7" t="s">
        <v>26</v>
      </c>
      <c r="G184" s="8" t="s">
        <v>4568</v>
      </c>
      <c r="H184" s="7" t="s">
        <v>995</v>
      </c>
      <c r="I184" s="8" t="s">
        <v>4569</v>
      </c>
      <c r="J184" s="7" t="s">
        <v>123</v>
      </c>
      <c r="K184" s="7" t="s">
        <v>997</v>
      </c>
      <c r="L184" s="7" t="s">
        <v>387</v>
      </c>
      <c r="M184" s="7">
        <v>8301.4</v>
      </c>
      <c r="N184" s="7">
        <v>120</v>
      </c>
      <c r="O184" s="7" t="s">
        <v>4321</v>
      </c>
      <c r="P184" s="7"/>
      <c r="Q184" s="115"/>
      <c r="R184" s="9">
        <v>602.73767315268924</v>
      </c>
      <c r="S184" s="115"/>
      <c r="T184" s="7" t="s">
        <v>34</v>
      </c>
      <c r="U184" s="7"/>
    </row>
    <row r="185" spans="1:21" ht="14.1" customHeight="1">
      <c r="A185" s="7">
        <v>182</v>
      </c>
      <c r="B185" s="14" t="s">
        <v>609</v>
      </c>
      <c r="C185" s="14" t="s">
        <v>393</v>
      </c>
      <c r="D185" s="7" t="s">
        <v>35</v>
      </c>
      <c r="E185" s="14" t="s">
        <v>4511</v>
      </c>
      <c r="F185" s="7" t="s">
        <v>26</v>
      </c>
      <c r="G185" s="8" t="s">
        <v>4512</v>
      </c>
      <c r="H185" s="7" t="s">
        <v>4472</v>
      </c>
      <c r="I185" s="8" t="s">
        <v>4515</v>
      </c>
      <c r="J185" s="7" t="s">
        <v>123</v>
      </c>
      <c r="K185" s="7" t="s">
        <v>1322</v>
      </c>
      <c r="L185" s="7" t="s">
        <v>387</v>
      </c>
      <c r="M185" s="7">
        <v>8301.4</v>
      </c>
      <c r="N185" s="7">
        <v>120</v>
      </c>
      <c r="O185" s="7" t="s">
        <v>4321</v>
      </c>
      <c r="P185" s="7"/>
      <c r="Q185" s="115"/>
      <c r="R185" s="9">
        <v>205.56884624593761</v>
      </c>
      <c r="S185" s="115"/>
      <c r="T185" s="7" t="s">
        <v>34</v>
      </c>
      <c r="U185" s="7" t="s">
        <v>34</v>
      </c>
    </row>
    <row r="186" spans="1:21" ht="14.1" customHeight="1">
      <c r="A186" s="7">
        <v>183</v>
      </c>
      <c r="B186" s="14" t="s">
        <v>609</v>
      </c>
      <c r="C186" s="14" t="s">
        <v>393</v>
      </c>
      <c r="D186" s="7" t="s">
        <v>35</v>
      </c>
      <c r="E186" s="14" t="s">
        <v>4511</v>
      </c>
      <c r="F186" s="7" t="s">
        <v>26</v>
      </c>
      <c r="G186" s="8" t="s">
        <v>4514</v>
      </c>
      <c r="H186" s="7" t="s">
        <v>995</v>
      </c>
      <c r="I186" s="8" t="s">
        <v>4515</v>
      </c>
      <c r="J186" s="7" t="s">
        <v>123</v>
      </c>
      <c r="K186" s="7" t="s">
        <v>997</v>
      </c>
      <c r="L186" s="7" t="s">
        <v>387</v>
      </c>
      <c r="M186" s="7">
        <v>8301.4</v>
      </c>
      <c r="N186" s="7">
        <v>120</v>
      </c>
      <c r="O186" s="7" t="s">
        <v>4321</v>
      </c>
      <c r="P186" s="7"/>
      <c r="Q186" s="115"/>
      <c r="R186" s="9">
        <v>213.68588976161729</v>
      </c>
      <c r="S186" s="115"/>
      <c r="T186" s="7" t="s">
        <v>34</v>
      </c>
      <c r="U186" s="7" t="s">
        <v>34</v>
      </c>
    </row>
    <row r="187" spans="1:21" ht="14.1" customHeight="1">
      <c r="A187" s="7">
        <v>184</v>
      </c>
      <c r="B187" s="14" t="s">
        <v>609</v>
      </c>
      <c r="C187" s="14" t="s">
        <v>393</v>
      </c>
      <c r="D187" s="7" t="s">
        <v>35</v>
      </c>
      <c r="E187" s="14" t="s">
        <v>4511</v>
      </c>
      <c r="F187" s="7" t="s">
        <v>26</v>
      </c>
      <c r="G187" s="8" t="s">
        <v>4517</v>
      </c>
      <c r="H187" s="7" t="s">
        <v>995</v>
      </c>
      <c r="I187" s="8" t="s">
        <v>4570</v>
      </c>
      <c r="J187" s="7" t="s">
        <v>123</v>
      </c>
      <c r="K187" s="7" t="s">
        <v>997</v>
      </c>
      <c r="L187" s="7" t="s">
        <v>387</v>
      </c>
      <c r="M187" s="7">
        <v>8301.4</v>
      </c>
      <c r="N187" s="7">
        <v>120</v>
      </c>
      <c r="O187" s="7" t="s">
        <v>4321</v>
      </c>
      <c r="P187" s="7"/>
      <c r="Q187" s="115"/>
      <c r="R187" s="9">
        <v>209.53298377685101</v>
      </c>
      <c r="S187" s="115"/>
      <c r="T187" s="7" t="s">
        <v>34</v>
      </c>
      <c r="U187" s="7" t="s">
        <v>34</v>
      </c>
    </row>
    <row r="188" spans="1:21" ht="14.1" customHeight="1">
      <c r="A188" s="7">
        <v>185</v>
      </c>
      <c r="B188" s="14" t="s">
        <v>4384</v>
      </c>
      <c r="C188" s="14" t="s">
        <v>393</v>
      </c>
      <c r="D188" s="7" t="s">
        <v>35</v>
      </c>
      <c r="E188" s="14" t="s">
        <v>4326</v>
      </c>
      <c r="F188" s="7" t="s">
        <v>457</v>
      </c>
      <c r="G188" s="8" t="s">
        <v>4571</v>
      </c>
      <c r="H188" s="7" t="s">
        <v>1424</v>
      </c>
      <c r="I188" s="8" t="s">
        <v>4329</v>
      </c>
      <c r="J188" s="7" t="s">
        <v>123</v>
      </c>
      <c r="K188" s="7" t="s">
        <v>1426</v>
      </c>
      <c r="L188" s="7" t="s">
        <v>387</v>
      </c>
      <c r="M188" s="7">
        <v>8301.4</v>
      </c>
      <c r="N188" s="7">
        <v>120</v>
      </c>
      <c r="O188" s="7" t="s">
        <v>4321</v>
      </c>
      <c r="P188" s="7"/>
      <c r="Q188" s="115"/>
      <c r="R188" s="9">
        <v>109.863240142457</v>
      </c>
      <c r="S188" s="115"/>
      <c r="T188" s="7" t="s">
        <v>34</v>
      </c>
      <c r="U188" s="7" t="s">
        <v>34</v>
      </c>
    </row>
    <row r="189" spans="1:21" ht="14.1" customHeight="1">
      <c r="A189" s="7">
        <v>186</v>
      </c>
      <c r="B189" s="14" t="s">
        <v>4384</v>
      </c>
      <c r="C189" s="14" t="s">
        <v>393</v>
      </c>
      <c r="D189" s="7" t="s">
        <v>35</v>
      </c>
      <c r="E189" s="14" t="s">
        <v>4465</v>
      </c>
      <c r="F189" s="7" t="s">
        <v>457</v>
      </c>
      <c r="G189" s="8" t="s">
        <v>4572</v>
      </c>
      <c r="H189" s="7" t="s">
        <v>3780</v>
      </c>
      <c r="I189" s="8" t="s">
        <v>4467</v>
      </c>
      <c r="J189" s="7" t="s">
        <v>123</v>
      </c>
      <c r="K189" s="7" t="s">
        <v>26</v>
      </c>
      <c r="L189" s="7" t="s">
        <v>387</v>
      </c>
      <c r="M189" s="7">
        <v>8301.4</v>
      </c>
      <c r="N189" s="7">
        <v>120</v>
      </c>
      <c r="O189" s="7" t="s">
        <v>4321</v>
      </c>
      <c r="P189" s="7"/>
      <c r="Q189" s="115"/>
      <c r="R189" s="9">
        <v>478.15049360969681</v>
      </c>
      <c r="S189" s="115"/>
      <c r="T189" s="7" t="s">
        <v>34</v>
      </c>
      <c r="U189" s="7" t="s">
        <v>34</v>
      </c>
    </row>
    <row r="190" spans="1:21" ht="14.1" customHeight="1">
      <c r="A190" s="7">
        <v>187</v>
      </c>
      <c r="B190" s="14" t="s">
        <v>4384</v>
      </c>
      <c r="C190" s="14" t="s">
        <v>393</v>
      </c>
      <c r="D190" s="7" t="s">
        <v>35</v>
      </c>
      <c r="E190" s="14" t="s">
        <v>4511</v>
      </c>
      <c r="F190" s="7" t="s">
        <v>457</v>
      </c>
      <c r="G190" s="8" t="s">
        <v>4573</v>
      </c>
      <c r="H190" s="7" t="s">
        <v>4549</v>
      </c>
      <c r="I190" s="8" t="s">
        <v>4515</v>
      </c>
      <c r="J190" s="7" t="s">
        <v>123</v>
      </c>
      <c r="K190" s="7" t="s">
        <v>1848</v>
      </c>
      <c r="L190" s="7" t="s">
        <v>387</v>
      </c>
      <c r="M190" s="7">
        <v>8301.4</v>
      </c>
      <c r="N190" s="7">
        <v>120</v>
      </c>
      <c r="O190" s="7" t="s">
        <v>4321</v>
      </c>
      <c r="P190" s="7"/>
      <c r="Q190" s="115"/>
      <c r="R190" s="9">
        <v>133.08175996637831</v>
      </c>
      <c r="S190" s="115"/>
      <c r="T190" s="7" t="s">
        <v>34</v>
      </c>
      <c r="U190" s="7" t="s">
        <v>34</v>
      </c>
    </row>
    <row r="191" spans="1:21" ht="14.1" customHeight="1">
      <c r="A191" s="7">
        <v>188</v>
      </c>
      <c r="B191" s="14" t="s">
        <v>4384</v>
      </c>
      <c r="C191" s="14" t="s">
        <v>393</v>
      </c>
      <c r="D191" s="7" t="s">
        <v>35</v>
      </c>
      <c r="E191" s="14" t="s">
        <v>4511</v>
      </c>
      <c r="F191" s="7" t="s">
        <v>457</v>
      </c>
      <c r="G191" s="8" t="s">
        <v>4574</v>
      </c>
      <c r="H191" s="7" t="s">
        <v>4549</v>
      </c>
      <c r="I191" s="8" t="s">
        <v>4551</v>
      </c>
      <c r="J191" s="7" t="s">
        <v>123</v>
      </c>
      <c r="K191" s="7" t="s">
        <v>1848</v>
      </c>
      <c r="L191" s="7" t="s">
        <v>387</v>
      </c>
      <c r="M191" s="7">
        <v>8301.4</v>
      </c>
      <c r="N191" s="7">
        <v>120</v>
      </c>
      <c r="O191" s="7" t="s">
        <v>4321</v>
      </c>
      <c r="P191" s="7"/>
      <c r="Q191" s="115"/>
      <c r="R191" s="9">
        <v>111.9396931348402</v>
      </c>
      <c r="S191" s="115"/>
      <c r="T191" s="7" t="s">
        <v>34</v>
      </c>
      <c r="U191" s="7" t="s">
        <v>34</v>
      </c>
    </row>
    <row r="192" spans="1:21" ht="14.1" customHeight="1">
      <c r="A192" s="7">
        <v>189</v>
      </c>
      <c r="B192" s="14" t="s">
        <v>4384</v>
      </c>
      <c r="C192" s="14" t="s">
        <v>393</v>
      </c>
      <c r="D192" s="7" t="s">
        <v>35</v>
      </c>
      <c r="E192" s="14" t="s">
        <v>4511</v>
      </c>
      <c r="F192" s="7" t="s">
        <v>457</v>
      </c>
      <c r="G192" s="8" t="s">
        <v>4575</v>
      </c>
      <c r="H192" s="7" t="s">
        <v>3780</v>
      </c>
      <c r="I192" s="8" t="s">
        <v>4515</v>
      </c>
      <c r="J192" s="7" t="s">
        <v>123</v>
      </c>
      <c r="K192" s="7" t="s">
        <v>26</v>
      </c>
      <c r="L192" s="7" t="s">
        <v>387</v>
      </c>
      <c r="M192" s="7">
        <v>8301.4</v>
      </c>
      <c r="N192" s="7">
        <v>120</v>
      </c>
      <c r="O192" s="7" t="s">
        <v>4321</v>
      </c>
      <c r="P192" s="7"/>
      <c r="Q192" s="115"/>
      <c r="R192" s="9">
        <v>145.72924637453059</v>
      </c>
      <c r="S192" s="115"/>
      <c r="T192" s="7" t="s">
        <v>34</v>
      </c>
      <c r="U192" s="7" t="s">
        <v>34</v>
      </c>
    </row>
    <row r="193" spans="1:21" ht="14.1" customHeight="1">
      <c r="A193" s="7">
        <v>190</v>
      </c>
      <c r="B193" s="14" t="s">
        <v>4384</v>
      </c>
      <c r="C193" s="14" t="s">
        <v>393</v>
      </c>
      <c r="D193" s="7" t="s">
        <v>35</v>
      </c>
      <c r="E193" s="14" t="s">
        <v>4511</v>
      </c>
      <c r="F193" s="7" t="s">
        <v>457</v>
      </c>
      <c r="G193" s="8" t="s">
        <v>4576</v>
      </c>
      <c r="H193" s="7" t="s">
        <v>3780</v>
      </c>
      <c r="I193" s="8" t="s">
        <v>4551</v>
      </c>
      <c r="J193" s="7" t="s">
        <v>123</v>
      </c>
      <c r="K193" s="7" t="s">
        <v>26</v>
      </c>
      <c r="L193" s="7" t="s">
        <v>387</v>
      </c>
      <c r="M193" s="7">
        <v>8301.4</v>
      </c>
      <c r="N193" s="7">
        <v>120</v>
      </c>
      <c r="O193" s="7" t="s">
        <v>4321</v>
      </c>
      <c r="P193" s="7"/>
      <c r="Q193" s="115"/>
      <c r="R193" s="9">
        <v>124.3984110891395</v>
      </c>
      <c r="S193" s="115"/>
      <c r="T193" s="7" t="s">
        <v>34</v>
      </c>
      <c r="U193" s="7" t="s">
        <v>34</v>
      </c>
    </row>
    <row r="194" spans="1:21" ht="14.1" customHeight="1">
      <c r="A194" s="7">
        <v>191</v>
      </c>
      <c r="B194" s="14" t="s">
        <v>4384</v>
      </c>
      <c r="C194" s="14" t="s">
        <v>393</v>
      </c>
      <c r="D194" s="7" t="s">
        <v>35</v>
      </c>
      <c r="E194" s="14" t="s">
        <v>4511</v>
      </c>
      <c r="F194" s="7" t="s">
        <v>457</v>
      </c>
      <c r="G194" s="8" t="s">
        <v>4577</v>
      </c>
      <c r="H194" s="7" t="s">
        <v>4549</v>
      </c>
      <c r="I194" s="8" t="s">
        <v>4515</v>
      </c>
      <c r="J194" s="7" t="s">
        <v>123</v>
      </c>
      <c r="K194" s="7" t="s">
        <v>1848</v>
      </c>
      <c r="L194" s="7" t="s">
        <v>387</v>
      </c>
      <c r="M194" s="7">
        <v>8301.4</v>
      </c>
      <c r="N194" s="7">
        <v>120</v>
      </c>
      <c r="O194" s="7" t="s">
        <v>4321</v>
      </c>
      <c r="P194" s="7"/>
      <c r="Q194" s="115"/>
      <c r="R194" s="9">
        <v>107.4092502423678</v>
      </c>
      <c r="S194" s="115"/>
      <c r="T194" s="7" t="s">
        <v>34</v>
      </c>
      <c r="U194" s="7" t="s">
        <v>34</v>
      </c>
    </row>
    <row r="195" spans="1:21" ht="14.1" customHeight="1">
      <c r="A195" s="7">
        <v>192</v>
      </c>
      <c r="B195" s="14" t="s">
        <v>4384</v>
      </c>
      <c r="C195" s="14" t="s">
        <v>393</v>
      </c>
      <c r="D195" s="7" t="s">
        <v>35</v>
      </c>
      <c r="E195" s="14" t="s">
        <v>4511</v>
      </c>
      <c r="F195" s="7" t="s">
        <v>457</v>
      </c>
      <c r="G195" s="8" t="s">
        <v>4578</v>
      </c>
      <c r="H195" s="7" t="s">
        <v>4549</v>
      </c>
      <c r="I195" s="8" t="s">
        <v>4551</v>
      </c>
      <c r="J195" s="7" t="s">
        <v>123</v>
      </c>
      <c r="K195" s="7" t="s">
        <v>1848</v>
      </c>
      <c r="L195" s="7" t="s">
        <v>387</v>
      </c>
      <c r="M195" s="7">
        <v>8301.4</v>
      </c>
      <c r="N195" s="7">
        <v>120</v>
      </c>
      <c r="O195" s="7" t="s">
        <v>4321</v>
      </c>
      <c r="P195" s="7"/>
      <c r="Q195" s="115"/>
      <c r="R195" s="9">
        <v>88.909941764771887</v>
      </c>
      <c r="S195" s="115"/>
      <c r="T195" s="7" t="s">
        <v>34</v>
      </c>
      <c r="U195" s="7" t="s">
        <v>34</v>
      </c>
    </row>
    <row r="196" spans="1:21" ht="14.1" customHeight="1">
      <c r="A196" s="7">
        <v>193</v>
      </c>
      <c r="B196" s="14" t="s">
        <v>4384</v>
      </c>
      <c r="C196" s="14" t="s">
        <v>393</v>
      </c>
      <c r="D196" s="7" t="s">
        <v>35</v>
      </c>
      <c r="E196" s="14" t="s">
        <v>4511</v>
      </c>
      <c r="F196" s="7" t="s">
        <v>457</v>
      </c>
      <c r="G196" s="8" t="s">
        <v>4579</v>
      </c>
      <c r="H196" s="7" t="s">
        <v>3780</v>
      </c>
      <c r="I196" s="8" t="s">
        <v>4551</v>
      </c>
      <c r="J196" s="7" t="s">
        <v>123</v>
      </c>
      <c r="K196" s="7" t="s">
        <v>26</v>
      </c>
      <c r="L196" s="7" t="s">
        <v>387</v>
      </c>
      <c r="M196" s="7">
        <v>8301.4</v>
      </c>
      <c r="N196" s="7">
        <v>120</v>
      </c>
      <c r="O196" s="7" t="s">
        <v>4321</v>
      </c>
      <c r="P196" s="7"/>
      <c r="Q196" s="115"/>
      <c r="R196" s="9">
        <v>101.1798912652181</v>
      </c>
      <c r="S196" s="115"/>
      <c r="T196" s="7" t="s">
        <v>34</v>
      </c>
      <c r="U196" s="7" t="s">
        <v>34</v>
      </c>
    </row>
    <row r="197" spans="1:21" ht="14.1" customHeight="1">
      <c r="A197" s="7">
        <v>194</v>
      </c>
      <c r="B197" s="14" t="s">
        <v>4384</v>
      </c>
      <c r="C197" s="14" t="s">
        <v>393</v>
      </c>
      <c r="D197" s="7" t="s">
        <v>35</v>
      </c>
      <c r="E197" s="14" t="s">
        <v>4511</v>
      </c>
      <c r="F197" s="7" t="s">
        <v>457</v>
      </c>
      <c r="G197" s="8" t="s">
        <v>4580</v>
      </c>
      <c r="H197" s="7" t="s">
        <v>4332</v>
      </c>
      <c r="I197" s="8" t="s">
        <v>4515</v>
      </c>
      <c r="J197" s="7" t="s">
        <v>123</v>
      </c>
      <c r="K197" s="7" t="s">
        <v>1001</v>
      </c>
      <c r="L197" s="7" t="s">
        <v>387</v>
      </c>
      <c r="M197" s="7">
        <v>8301.4</v>
      </c>
      <c r="N197" s="7">
        <v>120</v>
      </c>
      <c r="O197" s="7" t="s">
        <v>4321</v>
      </c>
      <c r="P197" s="7"/>
      <c r="Q197" s="115"/>
      <c r="R197" s="9">
        <v>143.65279338214739</v>
      </c>
      <c r="S197" s="115"/>
      <c r="T197" s="7" t="s">
        <v>34</v>
      </c>
      <c r="U197" s="7" t="s">
        <v>34</v>
      </c>
    </row>
    <row r="198" spans="1:21" ht="14.1" customHeight="1">
      <c r="A198" s="7">
        <v>195</v>
      </c>
      <c r="B198" s="14" t="s">
        <v>4384</v>
      </c>
      <c r="C198" s="14" t="s">
        <v>393</v>
      </c>
      <c r="D198" s="7" t="s">
        <v>35</v>
      </c>
      <c r="E198" s="14" t="s">
        <v>4511</v>
      </c>
      <c r="F198" s="7" t="s">
        <v>457</v>
      </c>
      <c r="G198" s="8" t="s">
        <v>4581</v>
      </c>
      <c r="H198" s="7" t="s">
        <v>4332</v>
      </c>
      <c r="I198" s="8" t="s">
        <v>4551</v>
      </c>
      <c r="J198" s="7" t="s">
        <v>123</v>
      </c>
      <c r="K198" s="7" t="s">
        <v>1001</v>
      </c>
      <c r="L198" s="7" t="s">
        <v>387</v>
      </c>
      <c r="M198" s="7">
        <v>8301.4</v>
      </c>
      <c r="N198" s="7">
        <v>120</v>
      </c>
      <c r="O198" s="7" t="s">
        <v>4321</v>
      </c>
      <c r="P198" s="7"/>
      <c r="Q198" s="115"/>
      <c r="R198" s="9">
        <v>122.1331896429032</v>
      </c>
      <c r="S198" s="115"/>
      <c r="T198" s="7" t="s">
        <v>34</v>
      </c>
      <c r="U198" s="7" t="s">
        <v>34</v>
      </c>
    </row>
    <row r="199" spans="1:21" ht="14.1" customHeight="1">
      <c r="A199" s="7">
        <v>202</v>
      </c>
      <c r="B199" s="14" t="s">
        <v>4384</v>
      </c>
      <c r="C199" s="14" t="s">
        <v>393</v>
      </c>
      <c r="D199" s="7" t="s">
        <v>35</v>
      </c>
      <c r="E199" s="14" t="s">
        <v>4511</v>
      </c>
      <c r="F199" s="7" t="s">
        <v>457</v>
      </c>
      <c r="G199" s="8" t="s">
        <v>4582</v>
      </c>
      <c r="H199" s="7" t="s">
        <v>3780</v>
      </c>
      <c r="I199" s="8" t="s">
        <v>4515</v>
      </c>
      <c r="J199" s="7" t="s">
        <v>123</v>
      </c>
      <c r="K199" s="7" t="s">
        <v>26</v>
      </c>
      <c r="L199" s="7" t="s">
        <v>387</v>
      </c>
      <c r="M199" s="7">
        <v>8301.4</v>
      </c>
      <c r="N199" s="7">
        <v>120</v>
      </c>
      <c r="O199" s="7" t="s">
        <v>4321</v>
      </c>
      <c r="P199" s="7"/>
      <c r="Q199" s="115"/>
      <c r="R199" s="9">
        <v>120.05673665051999</v>
      </c>
      <c r="S199" s="115"/>
      <c r="T199" s="7" t="s">
        <v>34</v>
      </c>
      <c r="U199" s="7" t="s">
        <v>34</v>
      </c>
    </row>
    <row r="200" spans="1:21" ht="14.1" customHeight="1">
      <c r="A200" s="7">
        <v>209</v>
      </c>
      <c r="B200" s="14" t="s">
        <v>4384</v>
      </c>
      <c r="C200" s="14" t="s">
        <v>393</v>
      </c>
      <c r="D200" s="7" t="s">
        <v>35</v>
      </c>
      <c r="E200" s="14" t="s">
        <v>4336</v>
      </c>
      <c r="F200" s="7" t="s">
        <v>457</v>
      </c>
      <c r="G200" s="8" t="s">
        <v>4583</v>
      </c>
      <c r="H200" s="7" t="s">
        <v>1424</v>
      </c>
      <c r="I200" s="8" t="s">
        <v>4520</v>
      </c>
      <c r="J200" s="7" t="s">
        <v>123</v>
      </c>
      <c r="K200" s="7" t="s">
        <v>1426</v>
      </c>
      <c r="L200" s="7" t="s">
        <v>387</v>
      </c>
      <c r="M200" s="7">
        <v>8301.4</v>
      </c>
      <c r="N200" s="7">
        <v>120</v>
      </c>
      <c r="O200" s="7" t="s">
        <v>4321</v>
      </c>
      <c r="P200" s="7"/>
      <c r="Q200" s="115"/>
      <c r="R200" s="9">
        <v>157.0553536057117</v>
      </c>
      <c r="S200" s="115"/>
      <c r="T200" s="7" t="s">
        <v>34</v>
      </c>
      <c r="U200" s="7"/>
    </row>
    <row r="201" spans="1:21" ht="14.1" customHeight="1">
      <c r="A201" s="7">
        <v>210</v>
      </c>
      <c r="B201" s="14" t="s">
        <v>4384</v>
      </c>
      <c r="C201" s="14" t="s">
        <v>393</v>
      </c>
      <c r="D201" s="7" t="s">
        <v>35</v>
      </c>
      <c r="E201" s="14" t="s">
        <v>4348</v>
      </c>
      <c r="F201" s="7" t="s">
        <v>457</v>
      </c>
      <c r="G201" s="8" t="s">
        <v>4584</v>
      </c>
      <c r="H201" s="7" t="s">
        <v>1424</v>
      </c>
      <c r="I201" s="8" t="s">
        <v>4362</v>
      </c>
      <c r="J201" s="7" t="s">
        <v>123</v>
      </c>
      <c r="K201" s="7" t="s">
        <v>1426</v>
      </c>
      <c r="L201" s="7" t="s">
        <v>387</v>
      </c>
      <c r="M201" s="7">
        <v>8301.4</v>
      </c>
      <c r="N201" s="7">
        <v>120</v>
      </c>
      <c r="O201" s="7" t="s">
        <v>4321</v>
      </c>
      <c r="P201" s="7"/>
      <c r="Q201" s="115"/>
      <c r="R201" s="9">
        <v>218.2163326540898</v>
      </c>
      <c r="S201" s="115"/>
      <c r="T201" s="7" t="s">
        <v>34</v>
      </c>
      <c r="U201" s="7"/>
    </row>
    <row r="202" spans="1:21" ht="14.1" customHeight="1">
      <c r="A202" s="7">
        <v>211</v>
      </c>
      <c r="B202" s="14" t="s">
        <v>609</v>
      </c>
      <c r="C202" s="14" t="s">
        <v>393</v>
      </c>
      <c r="D202" s="7" t="s">
        <v>35</v>
      </c>
      <c r="E202" s="14" t="s">
        <v>4348</v>
      </c>
      <c r="F202" s="7" t="s">
        <v>26</v>
      </c>
      <c r="G202" s="8" t="s">
        <v>4585</v>
      </c>
      <c r="H202" s="7" t="s">
        <v>1424</v>
      </c>
      <c r="I202" s="8" t="s">
        <v>4586</v>
      </c>
      <c r="J202" s="7" t="s">
        <v>123</v>
      </c>
      <c r="K202" s="7" t="s">
        <v>1426</v>
      </c>
      <c r="L202" s="7" t="s">
        <v>387</v>
      </c>
      <c r="M202" s="7">
        <v>8301.4</v>
      </c>
      <c r="N202" s="7">
        <v>120</v>
      </c>
      <c r="O202" s="7" t="s">
        <v>4321</v>
      </c>
      <c r="P202" s="7"/>
      <c r="Q202" s="115"/>
      <c r="R202" s="9">
        <v>188.39091694531291</v>
      </c>
      <c r="S202" s="115"/>
      <c r="T202" s="7" t="s">
        <v>34</v>
      </c>
      <c r="U202" s="7"/>
    </row>
    <row r="203" spans="1:21" ht="14.1" customHeight="1">
      <c r="A203" s="7">
        <v>212</v>
      </c>
      <c r="B203" s="14" t="s">
        <v>609</v>
      </c>
      <c r="C203" s="14" t="s">
        <v>393</v>
      </c>
      <c r="D203" s="7" t="s">
        <v>35</v>
      </c>
      <c r="E203" s="14" t="s">
        <v>4348</v>
      </c>
      <c r="F203" s="7" t="s">
        <v>26</v>
      </c>
      <c r="G203" s="8" t="s">
        <v>4587</v>
      </c>
      <c r="H203" s="7" t="s">
        <v>1424</v>
      </c>
      <c r="I203" s="8" t="s">
        <v>4588</v>
      </c>
      <c r="J203" s="7" t="s">
        <v>123</v>
      </c>
      <c r="K203" s="7" t="s">
        <v>1426</v>
      </c>
      <c r="L203" s="7" t="s">
        <v>387</v>
      </c>
      <c r="M203" s="7">
        <v>8301.4</v>
      </c>
      <c r="N203" s="7">
        <v>120</v>
      </c>
      <c r="O203" s="7" t="s">
        <v>4321</v>
      </c>
      <c r="P203" s="7"/>
      <c r="Q203" s="115"/>
      <c r="R203" s="9">
        <v>212.93081594620531</v>
      </c>
      <c r="S203" s="115"/>
      <c r="T203" s="7" t="s">
        <v>34</v>
      </c>
      <c r="U203" s="7"/>
    </row>
    <row r="204" spans="1:21" ht="14.1" customHeight="1">
      <c r="A204" s="7">
        <v>214</v>
      </c>
      <c r="B204" s="14" t="s">
        <v>4384</v>
      </c>
      <c r="C204" s="14" t="s">
        <v>393</v>
      </c>
      <c r="D204" s="7" t="s">
        <v>35</v>
      </c>
      <c r="E204" s="14" t="s">
        <v>4348</v>
      </c>
      <c r="F204" s="7" t="s">
        <v>457</v>
      </c>
      <c r="G204" s="8" t="s">
        <v>4589</v>
      </c>
      <c r="H204" s="7" t="s">
        <v>1424</v>
      </c>
      <c r="I204" s="8" t="s">
        <v>4526</v>
      </c>
      <c r="J204" s="7" t="s">
        <v>123</v>
      </c>
      <c r="K204" s="7" t="s">
        <v>1426</v>
      </c>
      <c r="L204" s="7" t="s">
        <v>387</v>
      </c>
      <c r="M204" s="7">
        <v>8301.4</v>
      </c>
      <c r="N204" s="7">
        <v>120</v>
      </c>
      <c r="O204" s="7" t="s">
        <v>4321</v>
      </c>
      <c r="P204" s="7"/>
      <c r="Q204" s="115"/>
      <c r="R204" s="9">
        <v>120.6230420120791</v>
      </c>
      <c r="S204" s="115"/>
      <c r="T204" s="7" t="s">
        <v>34</v>
      </c>
      <c r="U204" s="7" t="s">
        <v>34</v>
      </c>
    </row>
    <row r="205" spans="1:21" ht="14.1" customHeight="1">
      <c r="A205" s="7">
        <v>215</v>
      </c>
      <c r="B205" s="14" t="s">
        <v>4384</v>
      </c>
      <c r="C205" s="14" t="s">
        <v>393</v>
      </c>
      <c r="D205" s="7" t="s">
        <v>35</v>
      </c>
      <c r="E205" s="14" t="s">
        <v>4511</v>
      </c>
      <c r="F205" s="7" t="s">
        <v>457</v>
      </c>
      <c r="G205" s="8" t="s">
        <v>4590</v>
      </c>
      <c r="H205" s="7" t="s">
        <v>995</v>
      </c>
      <c r="I205" s="8" t="s">
        <v>4551</v>
      </c>
      <c r="J205" s="7" t="s">
        <v>123</v>
      </c>
      <c r="K205" s="7" t="s">
        <v>997</v>
      </c>
      <c r="L205" s="7" t="s">
        <v>387</v>
      </c>
      <c r="M205" s="7">
        <v>8301.4</v>
      </c>
      <c r="N205" s="7">
        <v>120</v>
      </c>
      <c r="O205" s="7" t="s">
        <v>4321</v>
      </c>
      <c r="P205" s="7"/>
      <c r="Q205" s="115"/>
      <c r="R205" s="9">
        <v>113.44984076566431</v>
      </c>
      <c r="S205" s="115"/>
      <c r="T205" s="7" t="s">
        <v>34</v>
      </c>
      <c r="U205" s="7" t="s">
        <v>34</v>
      </c>
    </row>
    <row r="206" spans="1:21" ht="14.1" customHeight="1">
      <c r="A206" s="7">
        <v>216</v>
      </c>
      <c r="B206" s="14" t="s">
        <v>4384</v>
      </c>
      <c r="C206" s="14" t="s">
        <v>393</v>
      </c>
      <c r="D206" s="7" t="s">
        <v>35</v>
      </c>
      <c r="E206" s="14" t="s">
        <v>4348</v>
      </c>
      <c r="F206" s="7" t="s">
        <v>457</v>
      </c>
      <c r="G206" s="8" t="s">
        <v>4591</v>
      </c>
      <c r="H206" s="7" t="s">
        <v>1424</v>
      </c>
      <c r="I206" s="8" t="s">
        <v>4588</v>
      </c>
      <c r="J206" s="7" t="s">
        <v>123</v>
      </c>
      <c r="K206" s="7" t="s">
        <v>1426</v>
      </c>
      <c r="L206" s="7" t="s">
        <v>387</v>
      </c>
      <c r="M206" s="7">
        <v>8301.4</v>
      </c>
      <c r="N206" s="7">
        <v>120</v>
      </c>
      <c r="O206" s="7" t="s">
        <v>4321</v>
      </c>
      <c r="P206" s="7"/>
      <c r="Q206" s="115"/>
      <c r="R206" s="9">
        <v>212.93081594620531</v>
      </c>
      <c r="S206" s="115"/>
      <c r="T206" s="7" t="s">
        <v>34</v>
      </c>
      <c r="U206" s="7"/>
    </row>
    <row r="207" spans="1:21" ht="14.1" customHeight="1">
      <c r="A207" s="7">
        <v>217</v>
      </c>
      <c r="B207" s="14" t="s">
        <v>4384</v>
      </c>
      <c r="C207" s="14" t="s">
        <v>393</v>
      </c>
      <c r="D207" s="7" t="s">
        <v>35</v>
      </c>
      <c r="E207" s="14" t="s">
        <v>4348</v>
      </c>
      <c r="F207" s="7" t="s">
        <v>457</v>
      </c>
      <c r="G207" s="8" t="s">
        <v>4592</v>
      </c>
      <c r="H207" s="7" t="s">
        <v>1424</v>
      </c>
      <c r="I207" s="8" t="s">
        <v>4364</v>
      </c>
      <c r="J207" s="7" t="s">
        <v>123</v>
      </c>
      <c r="K207" s="7" t="s">
        <v>1426</v>
      </c>
      <c r="L207" s="7" t="s">
        <v>387</v>
      </c>
      <c r="M207" s="7">
        <v>8301.4</v>
      </c>
      <c r="N207" s="7">
        <v>120</v>
      </c>
      <c r="O207" s="7" t="s">
        <v>4321</v>
      </c>
      <c r="P207" s="7"/>
      <c r="Q207" s="115"/>
      <c r="R207" s="9">
        <v>286.9280498565887</v>
      </c>
      <c r="S207" s="115"/>
      <c r="T207" s="7" t="s">
        <v>34</v>
      </c>
      <c r="U207" s="7"/>
    </row>
    <row r="208" spans="1:21" ht="14.1" customHeight="1">
      <c r="A208" s="7">
        <v>218</v>
      </c>
      <c r="B208" s="14" t="s">
        <v>609</v>
      </c>
      <c r="C208" s="14" t="s">
        <v>393</v>
      </c>
      <c r="D208" s="7" t="s">
        <v>35</v>
      </c>
      <c r="E208" s="14" t="s">
        <v>4319</v>
      </c>
      <c r="F208" s="7" t="s">
        <v>26</v>
      </c>
      <c r="G208" s="8" t="s">
        <v>4593</v>
      </c>
      <c r="H208" s="7" t="s">
        <v>121</v>
      </c>
      <c r="I208" s="8" t="s">
        <v>4319</v>
      </c>
      <c r="J208" s="7" t="s">
        <v>123</v>
      </c>
      <c r="K208" s="7" t="s">
        <v>481</v>
      </c>
      <c r="L208" s="7" t="s">
        <v>387</v>
      </c>
      <c r="M208" s="7">
        <v>8301.6</v>
      </c>
      <c r="N208" s="7" t="s">
        <v>481</v>
      </c>
      <c r="O208" s="7" t="s">
        <v>4321</v>
      </c>
      <c r="P208" s="7"/>
      <c r="Q208" s="115"/>
      <c r="R208" s="9">
        <v>188.9572223068719</v>
      </c>
      <c r="S208" s="115"/>
      <c r="T208" s="7" t="s">
        <v>481</v>
      </c>
      <c r="U208" s="7" t="s">
        <v>481</v>
      </c>
    </row>
    <row r="209" spans="1:21" ht="14.1" customHeight="1">
      <c r="A209" s="7">
        <v>219</v>
      </c>
      <c r="B209" s="14" t="s">
        <v>4384</v>
      </c>
      <c r="C209" s="14" t="s">
        <v>393</v>
      </c>
      <c r="D209" s="7" t="s">
        <v>35</v>
      </c>
      <c r="E209" s="14" t="s">
        <v>295</v>
      </c>
      <c r="F209" s="7" t="s">
        <v>457</v>
      </c>
      <c r="G209" s="8" t="s">
        <v>4594</v>
      </c>
      <c r="H209" s="7" t="s">
        <v>995</v>
      </c>
      <c r="I209" s="8" t="s">
        <v>4398</v>
      </c>
      <c r="J209" s="7" t="s">
        <v>123</v>
      </c>
      <c r="K209" s="7" t="s">
        <v>997</v>
      </c>
      <c r="L209" s="7" t="s">
        <v>387</v>
      </c>
      <c r="M209" s="7">
        <v>8301.4</v>
      </c>
      <c r="N209" s="7">
        <v>120</v>
      </c>
      <c r="O209" s="7" t="s">
        <v>4321</v>
      </c>
      <c r="P209" s="7"/>
      <c r="Q209" s="115"/>
      <c r="R209" s="9">
        <v>442.09571892377028</v>
      </c>
      <c r="S209" s="115"/>
      <c r="T209" s="7" t="s">
        <v>34</v>
      </c>
      <c r="U209" s="7" t="s">
        <v>34</v>
      </c>
    </row>
    <row r="210" spans="1:21" ht="14.1" customHeight="1">
      <c r="A210" s="7">
        <v>220</v>
      </c>
      <c r="B210" s="14" t="s">
        <v>4384</v>
      </c>
      <c r="C210" s="14" t="s">
        <v>393</v>
      </c>
      <c r="D210" s="7" t="s">
        <v>35</v>
      </c>
      <c r="E210" s="14" t="s">
        <v>295</v>
      </c>
      <c r="F210" s="7" t="s">
        <v>457</v>
      </c>
      <c r="G210" s="8" t="s">
        <v>4595</v>
      </c>
      <c r="H210" s="7" t="s">
        <v>995</v>
      </c>
      <c r="I210" s="8" t="s">
        <v>4596</v>
      </c>
      <c r="J210" s="7" t="s">
        <v>123</v>
      </c>
      <c r="K210" s="7" t="s">
        <v>997</v>
      </c>
      <c r="L210" s="7" t="s">
        <v>387</v>
      </c>
      <c r="M210" s="7">
        <v>8301.4</v>
      </c>
      <c r="N210" s="7">
        <v>120</v>
      </c>
      <c r="O210" s="7" t="s">
        <v>4321</v>
      </c>
      <c r="P210" s="7"/>
      <c r="Q210" s="115"/>
      <c r="R210" s="9">
        <v>299.95307317244698</v>
      </c>
      <c r="S210" s="115"/>
      <c r="T210" s="7" t="s">
        <v>34</v>
      </c>
      <c r="U210" s="7" t="s">
        <v>34</v>
      </c>
    </row>
    <row r="211" spans="1:21" ht="14.1" customHeight="1">
      <c r="A211" s="7">
        <v>221</v>
      </c>
      <c r="B211" s="14" t="s">
        <v>4384</v>
      </c>
      <c r="C211" s="14" t="s">
        <v>393</v>
      </c>
      <c r="D211" s="7" t="s">
        <v>35</v>
      </c>
      <c r="E211" s="14" t="s">
        <v>295</v>
      </c>
      <c r="F211" s="7" t="s">
        <v>457</v>
      </c>
      <c r="G211" s="8" t="s">
        <v>4597</v>
      </c>
      <c r="H211" s="7" t="s">
        <v>995</v>
      </c>
      <c r="I211" s="8" t="s">
        <v>4403</v>
      </c>
      <c r="J211" s="7" t="s">
        <v>123</v>
      </c>
      <c r="K211" s="7" t="s">
        <v>997</v>
      </c>
      <c r="L211" s="7" t="s">
        <v>387</v>
      </c>
      <c r="M211" s="7">
        <v>8301.4</v>
      </c>
      <c r="N211" s="7">
        <v>120</v>
      </c>
      <c r="O211" s="7" t="s">
        <v>4321</v>
      </c>
      <c r="P211" s="7"/>
      <c r="Q211" s="115"/>
      <c r="R211" s="9">
        <v>273.14795272531831</v>
      </c>
      <c r="S211" s="115"/>
      <c r="T211" s="7" t="s">
        <v>34</v>
      </c>
      <c r="U211" s="7" t="s">
        <v>34</v>
      </c>
    </row>
    <row r="212" spans="1:21" ht="14.1" customHeight="1">
      <c r="A212" s="7">
        <v>222</v>
      </c>
      <c r="B212" s="14" t="s">
        <v>4384</v>
      </c>
      <c r="C212" s="14" t="s">
        <v>393</v>
      </c>
      <c r="D212" s="7" t="s">
        <v>35</v>
      </c>
      <c r="E212" s="14" t="s">
        <v>295</v>
      </c>
      <c r="F212" s="7" t="s">
        <v>457</v>
      </c>
      <c r="G212" s="8" t="s">
        <v>4598</v>
      </c>
      <c r="H212" s="7" t="s">
        <v>995</v>
      </c>
      <c r="I212" s="8" t="s">
        <v>4599</v>
      </c>
      <c r="J212" s="7" t="s">
        <v>123</v>
      </c>
      <c r="K212" s="7" t="s">
        <v>997</v>
      </c>
      <c r="L212" s="7" t="s">
        <v>387</v>
      </c>
      <c r="M212" s="7">
        <v>8301.4</v>
      </c>
      <c r="N212" s="7">
        <v>120</v>
      </c>
      <c r="O212" s="7" t="s">
        <v>4321</v>
      </c>
      <c r="P212" s="7"/>
      <c r="Q212" s="115"/>
      <c r="R212" s="9">
        <v>304.29474761106638</v>
      </c>
      <c r="S212" s="115"/>
      <c r="T212" s="7" t="s">
        <v>34</v>
      </c>
      <c r="U212" s="7" t="s">
        <v>34</v>
      </c>
    </row>
    <row r="213" spans="1:21" ht="14.1" customHeight="1">
      <c r="A213" s="7">
        <v>223</v>
      </c>
      <c r="B213" s="14" t="s">
        <v>4384</v>
      </c>
      <c r="C213" s="14" t="s">
        <v>393</v>
      </c>
      <c r="D213" s="7" t="s">
        <v>35</v>
      </c>
      <c r="E213" s="14" t="s">
        <v>295</v>
      </c>
      <c r="F213" s="7" t="s">
        <v>457</v>
      </c>
      <c r="G213" s="8" t="s">
        <v>4600</v>
      </c>
      <c r="H213" s="7" t="s">
        <v>995</v>
      </c>
      <c r="I213" s="8" t="s">
        <v>4409</v>
      </c>
      <c r="J213" s="7" t="s">
        <v>123</v>
      </c>
      <c r="K213" s="7" t="s">
        <v>997</v>
      </c>
      <c r="L213" s="7" t="s">
        <v>387</v>
      </c>
      <c r="M213" s="7">
        <v>8301.4</v>
      </c>
      <c r="N213" s="7">
        <v>120</v>
      </c>
      <c r="O213" s="7" t="s">
        <v>4321</v>
      </c>
      <c r="P213" s="7"/>
      <c r="Q213" s="115"/>
      <c r="R213" s="9">
        <v>468.71207091704588</v>
      </c>
      <c r="S213" s="115"/>
      <c r="T213" s="7" t="s">
        <v>34</v>
      </c>
      <c r="U213" s="7" t="s">
        <v>34</v>
      </c>
    </row>
    <row r="214" spans="1:21" ht="14.1" customHeight="1">
      <c r="H214" t="s">
        <v>42</v>
      </c>
    </row>
    <row r="215" spans="1:21" ht="14.1" customHeight="1">
      <c r="B215" s="22" t="s">
        <v>4601</v>
      </c>
      <c r="H215" t="s">
        <v>42</v>
      </c>
    </row>
    <row r="216" spans="1:21" ht="14.1" customHeight="1">
      <c r="B216" s="22" t="s">
        <v>4602</v>
      </c>
      <c r="H216" t="s">
        <v>42</v>
      </c>
    </row>
    <row r="217" spans="1:21" ht="14.1" customHeight="1"/>
    <row r="218" spans="1:21" ht="14.1" customHeight="1"/>
    <row r="219" spans="1:21" ht="14.1" customHeight="1"/>
    <row r="220" spans="1:21" ht="14.1" customHeight="1"/>
    <row r="221" spans="1:21" ht="14.1" customHeight="1"/>
    <row r="222" spans="1:21" ht="14.1" customHeight="1"/>
    <row r="223" spans="1:21" ht="14.1" customHeight="1"/>
    <row r="224" spans="1:21" ht="14.1" customHeight="1"/>
    <row r="225" ht="14.1" customHeight="1"/>
    <row r="226" ht="14.1" customHeight="1"/>
    <row r="227" ht="14.1" customHeight="1"/>
    <row r="228" ht="14.1" customHeight="1"/>
    <row r="229" ht="14.1" customHeight="1"/>
    <row r="230" ht="14.1" customHeight="1"/>
    <row r="231" ht="14.1" customHeight="1"/>
    <row r="232" ht="14.1" customHeight="1"/>
    <row r="233" ht="14.1" customHeight="1"/>
    <row r="234" ht="14.1" customHeight="1"/>
    <row r="235" ht="14.1" customHeight="1"/>
    <row r="236" ht="14.1" customHeight="1"/>
    <row r="237" ht="14.1" customHeight="1"/>
    <row r="238" ht="14.1" customHeight="1"/>
    <row r="239" ht="14.1" customHeight="1"/>
    <row r="240" ht="14.1" customHeight="1"/>
    <row r="241" ht="14.1" customHeight="1"/>
    <row r="242" ht="14.1" customHeight="1"/>
    <row r="243" ht="14.1" customHeight="1"/>
    <row r="244" ht="14.1" customHeight="1"/>
    <row r="245" ht="14.1" customHeight="1"/>
    <row r="246" ht="14.1" customHeight="1"/>
    <row r="247" ht="14.1" customHeight="1"/>
    <row r="248" ht="14.1" customHeight="1"/>
    <row r="249" ht="14.1" customHeight="1"/>
    <row r="250" ht="14.1" customHeight="1"/>
    <row r="251" ht="14.1" customHeight="1"/>
    <row r="252" ht="14.1" customHeight="1"/>
    <row r="253" ht="14.1" customHeight="1"/>
    <row r="254" ht="14.1" customHeight="1"/>
    <row r="255" ht="14.1" customHeight="1"/>
    <row r="256" ht="14.1" customHeight="1"/>
    <row r="257" ht="14.1" customHeight="1"/>
    <row r="258" ht="14.1" customHeight="1"/>
    <row r="259" ht="14.1" customHeight="1"/>
    <row r="260" ht="14.1" customHeight="1"/>
    <row r="261" ht="14.1" customHeight="1"/>
    <row r="262" ht="14.1" customHeight="1"/>
    <row r="263" ht="14.1" customHeight="1"/>
    <row r="264" ht="14.1" customHeight="1"/>
    <row r="265" ht="14.1" customHeight="1"/>
    <row r="266" ht="14.1" customHeight="1"/>
    <row r="267" ht="14.1" customHeight="1"/>
    <row r="268" ht="14.1" customHeight="1"/>
    <row r="269" ht="14.1" customHeight="1"/>
    <row r="270" ht="14.1" customHeight="1"/>
    <row r="271" ht="14.1" customHeight="1"/>
    <row r="272" ht="14.1" customHeight="1"/>
    <row r="273" ht="14.1" customHeight="1"/>
    <row r="274" ht="14.1" customHeight="1"/>
    <row r="275" ht="14.1" customHeight="1"/>
    <row r="276" ht="14.1" customHeight="1"/>
    <row r="277" ht="14.1" customHeight="1"/>
    <row r="278" ht="14.1" customHeight="1"/>
    <row r="279" ht="14.1" customHeight="1"/>
    <row r="280" ht="14.1" customHeight="1"/>
    <row r="281" ht="14.1" customHeight="1"/>
    <row r="282" ht="14.1" customHeight="1"/>
    <row r="283" ht="14.1" customHeight="1"/>
    <row r="284" ht="14.1" customHeight="1"/>
    <row r="285" ht="14.1" customHeight="1"/>
    <row r="286" ht="14.1" customHeight="1"/>
    <row r="287" ht="14.1" customHeight="1"/>
    <row r="288" ht="14.1" customHeight="1"/>
    <row r="289" ht="14.1" customHeight="1"/>
    <row r="290" ht="14.1" customHeight="1"/>
    <row r="291" ht="14.1" customHeight="1"/>
    <row r="292" ht="14.1" customHeight="1"/>
    <row r="293" ht="14.1" customHeight="1"/>
    <row r="294" ht="14.1" customHeight="1"/>
    <row r="295" ht="14.1" customHeight="1"/>
    <row r="296" ht="14.1" customHeight="1"/>
    <row r="297" ht="14.1" customHeight="1"/>
    <row r="298" ht="14.1" customHeight="1"/>
    <row r="299" ht="14.1" customHeight="1"/>
    <row r="300" ht="14.1" customHeight="1"/>
    <row r="301" ht="14.1" customHeight="1"/>
    <row r="302" ht="14.1" customHeight="1"/>
    <row r="303" ht="14.1" customHeight="1"/>
    <row r="304" ht="14.1" customHeight="1"/>
    <row r="305" ht="14.1" customHeight="1"/>
    <row r="306" ht="14.1" customHeight="1"/>
    <row r="307" ht="14.1" customHeight="1"/>
    <row r="308" ht="14.1" customHeight="1"/>
    <row r="309" ht="14.1" customHeight="1"/>
    <row r="310" ht="14.1" customHeight="1"/>
    <row r="311" ht="14.1" customHeight="1"/>
    <row r="312" ht="14.1" customHeight="1"/>
    <row r="313" ht="14.1" customHeight="1"/>
    <row r="314" ht="14.1" customHeight="1"/>
    <row r="315" ht="14.1" customHeight="1"/>
    <row r="316" ht="14.1" customHeight="1"/>
    <row r="317" ht="14.1" customHeight="1"/>
    <row r="318" ht="14.1" customHeight="1"/>
    <row r="319" ht="14.1" customHeight="1"/>
    <row r="320" ht="14.1" customHeight="1"/>
    <row r="321" ht="14.1" customHeight="1"/>
    <row r="322" ht="14.1" customHeight="1"/>
    <row r="323" ht="14.1" customHeight="1"/>
    <row r="324" ht="14.1" customHeight="1"/>
    <row r="325" ht="14.1" customHeight="1"/>
    <row r="326" ht="14.1" customHeight="1"/>
    <row r="327" ht="14.1" customHeight="1"/>
    <row r="328" ht="14.1" customHeight="1"/>
    <row r="329" ht="14.1" customHeight="1"/>
    <row r="330" ht="14.1" customHeight="1"/>
    <row r="331" ht="14.1" customHeight="1"/>
    <row r="332" ht="14.1" customHeight="1"/>
    <row r="333" ht="14.1" customHeight="1"/>
    <row r="334" ht="14.1" customHeight="1"/>
    <row r="335" ht="14.1" customHeight="1"/>
    <row r="336" ht="14.1" customHeight="1"/>
    <row r="337" ht="14.1" customHeight="1"/>
    <row r="338" ht="14.1" customHeight="1"/>
    <row r="339" ht="14.1" customHeight="1"/>
    <row r="340" ht="14.1" customHeight="1"/>
    <row r="341" ht="14.1" customHeight="1"/>
    <row r="342" ht="14.1" customHeight="1"/>
    <row r="343" ht="14.1" customHeight="1"/>
    <row r="344" ht="14.1" customHeight="1"/>
    <row r="345" ht="14.1" customHeight="1"/>
    <row r="346" ht="14.1" customHeight="1"/>
    <row r="347" ht="14.1" customHeight="1"/>
    <row r="348" ht="14.1" customHeight="1"/>
    <row r="349" ht="14.1" customHeight="1"/>
    <row r="350" ht="14.1" customHeight="1"/>
    <row r="351" ht="14.1" customHeight="1"/>
    <row r="352" ht="14.1" customHeight="1"/>
    <row r="353" ht="14.1" customHeight="1"/>
    <row r="354" ht="14.1" customHeight="1"/>
    <row r="355" ht="14.1" customHeight="1"/>
    <row r="356" ht="14.1" customHeight="1"/>
    <row r="357" ht="14.1" customHeight="1"/>
    <row r="358" ht="14.1" customHeight="1"/>
    <row r="359" ht="14.1" customHeight="1"/>
    <row r="360" ht="14.1" customHeight="1"/>
    <row r="361" ht="14.1" customHeight="1"/>
    <row r="362" ht="14.1" customHeight="1"/>
    <row r="363" ht="14.1" customHeight="1"/>
    <row r="364" ht="14.1" customHeight="1"/>
    <row r="365" ht="14.1" customHeight="1"/>
    <row r="366" ht="14.1" customHeight="1"/>
    <row r="367" ht="14.1" customHeight="1"/>
    <row r="368" ht="14.1" customHeight="1"/>
    <row r="369" ht="14.1" customHeight="1"/>
    <row r="370" ht="14.1" customHeight="1"/>
    <row r="371" ht="14.1" customHeight="1"/>
    <row r="372" ht="14.1" customHeight="1"/>
    <row r="373" ht="14.1" customHeight="1"/>
    <row r="374" ht="14.1" customHeight="1"/>
    <row r="375" ht="14.1" customHeight="1"/>
    <row r="376" ht="14.1" customHeight="1"/>
    <row r="377" ht="14.1" customHeight="1"/>
    <row r="378" ht="14.1" customHeight="1"/>
    <row r="379" ht="14.1" customHeight="1"/>
    <row r="380" ht="14.1" customHeight="1"/>
    <row r="381" ht="14.1" customHeight="1"/>
    <row r="382" ht="14.1" customHeight="1"/>
    <row r="383" ht="14.1" customHeight="1"/>
    <row r="384" ht="14.1" customHeight="1"/>
    <row r="385" ht="14.1" customHeight="1"/>
    <row r="386" ht="14.1" customHeight="1"/>
    <row r="387" ht="14.1" customHeight="1"/>
    <row r="388" ht="14.1" customHeight="1"/>
    <row r="389" ht="14.1" customHeight="1"/>
    <row r="390" ht="14.1" customHeight="1"/>
    <row r="391" ht="14.1" customHeight="1"/>
    <row r="392" ht="14.1" customHeight="1"/>
    <row r="393" ht="14.1" customHeight="1"/>
    <row r="394" ht="14.1" customHeight="1"/>
    <row r="395" ht="14.1" customHeight="1"/>
    <row r="396" ht="14.1" customHeight="1"/>
    <row r="397" ht="14.1" customHeight="1"/>
    <row r="398" ht="14.1" customHeight="1"/>
    <row r="399" ht="14.1" customHeight="1"/>
    <row r="400" ht="14.1" customHeight="1"/>
    <row r="401" ht="14.1" customHeight="1"/>
    <row r="402" ht="14.1" customHeight="1"/>
    <row r="403" ht="14.1" customHeight="1"/>
    <row r="404" ht="14.1" customHeight="1"/>
    <row r="405" ht="14.1" customHeight="1"/>
    <row r="406" ht="14.1" customHeight="1"/>
    <row r="407" ht="14.1" customHeight="1"/>
    <row r="408" ht="14.1" customHeight="1"/>
    <row r="409" ht="14.1" customHeight="1"/>
    <row r="410" ht="14.1" customHeight="1"/>
    <row r="411" ht="14.1" customHeight="1"/>
    <row r="412" ht="14.1" customHeight="1"/>
    <row r="413" ht="14.1" customHeight="1"/>
    <row r="414" ht="14.1" customHeight="1"/>
    <row r="415" ht="14.1" customHeight="1"/>
    <row r="416" ht="14.1" customHeight="1"/>
    <row r="417" ht="14.1" customHeight="1"/>
    <row r="418" ht="14.1" customHeight="1"/>
    <row r="419" ht="14.1" customHeight="1"/>
    <row r="420" ht="14.1" customHeight="1"/>
    <row r="421" ht="14.1" customHeight="1"/>
    <row r="422" ht="14.1" customHeight="1"/>
    <row r="423" ht="14.1" customHeight="1"/>
    <row r="424" ht="14.1" customHeight="1"/>
    <row r="425" ht="14.1" customHeight="1"/>
    <row r="426" ht="14.1" customHeight="1"/>
    <row r="427" ht="14.1" customHeight="1"/>
    <row r="428" ht="14.1" customHeight="1"/>
    <row r="429" ht="14.1" customHeight="1"/>
    <row r="430" ht="14.1" customHeight="1"/>
    <row r="431" ht="14.1" customHeight="1"/>
    <row r="432" ht="14.1" customHeight="1"/>
    <row r="433" ht="14.1" customHeight="1"/>
    <row r="434" ht="14.1" customHeight="1"/>
    <row r="435" ht="14.1" customHeight="1"/>
    <row r="436" ht="14.1" customHeight="1"/>
    <row r="437" ht="14.1" customHeight="1"/>
    <row r="438" ht="14.1" customHeight="1"/>
    <row r="439" ht="14.1" customHeight="1"/>
    <row r="440" ht="14.1" customHeight="1"/>
    <row r="441" ht="14.1" customHeight="1"/>
    <row r="442" ht="14.1" customHeight="1"/>
    <row r="443" ht="14.1" customHeight="1"/>
    <row r="444" ht="14.1" customHeight="1"/>
    <row r="445" ht="14.1" customHeight="1"/>
    <row r="446" ht="14.1" customHeight="1"/>
    <row r="447" ht="14.1" customHeight="1"/>
    <row r="448" ht="14.1" customHeight="1"/>
    <row r="449" ht="14.1" customHeight="1"/>
    <row r="450" ht="14.1" customHeight="1"/>
    <row r="451" ht="14.1" customHeight="1"/>
    <row r="452" ht="14.1" customHeight="1"/>
    <row r="453" ht="14.1" customHeight="1"/>
    <row r="454" ht="14.1" customHeight="1"/>
    <row r="455" ht="14.1" customHeight="1"/>
    <row r="456" ht="14.1" customHeight="1"/>
    <row r="457" ht="14.1" customHeight="1"/>
    <row r="458" ht="14.1" customHeight="1"/>
    <row r="459" ht="14.1" customHeight="1"/>
    <row r="460" ht="14.1" customHeight="1"/>
    <row r="461" ht="14.1" customHeight="1"/>
    <row r="462" ht="14.1" customHeight="1"/>
    <row r="463" ht="14.1" customHeight="1"/>
    <row r="464" ht="14.1" customHeight="1"/>
    <row r="465" ht="14.1" customHeight="1"/>
    <row r="466" ht="14.1" customHeight="1"/>
    <row r="467" ht="14.1" customHeight="1"/>
    <row r="468" ht="14.1" customHeight="1"/>
    <row r="469" ht="14.1" customHeight="1"/>
    <row r="470" ht="14.1" customHeight="1"/>
    <row r="471" ht="14.1" customHeight="1"/>
    <row r="472" ht="14.1" customHeight="1"/>
    <row r="473" ht="14.1" customHeight="1"/>
    <row r="474" ht="14.1" customHeight="1"/>
    <row r="475" ht="14.1" customHeight="1"/>
    <row r="476" ht="14.1" customHeight="1"/>
    <row r="477" ht="14.1" customHeight="1"/>
    <row r="478" ht="14.1" customHeight="1"/>
    <row r="479" ht="14.1" customHeight="1"/>
    <row r="480" ht="14.1" customHeight="1"/>
    <row r="481" ht="14.1" customHeight="1"/>
    <row r="482" ht="14.1" customHeight="1"/>
    <row r="483" ht="14.1" customHeight="1"/>
    <row r="484" ht="14.1" customHeight="1"/>
    <row r="485" ht="14.1" customHeight="1"/>
    <row r="486" ht="14.1" customHeight="1"/>
    <row r="487" ht="14.1" customHeight="1"/>
    <row r="488" ht="14.1" customHeight="1"/>
    <row r="489" ht="14.1" customHeight="1"/>
    <row r="490" ht="14.1" customHeight="1"/>
    <row r="491" ht="14.1" customHeight="1"/>
    <row r="492" ht="14.1" customHeight="1"/>
    <row r="493" ht="14.1" customHeight="1"/>
    <row r="494" ht="14.1" customHeight="1"/>
    <row r="495" ht="14.1" customHeight="1"/>
    <row r="496" ht="14.1" customHeight="1"/>
    <row r="497" ht="14.1" customHeight="1"/>
    <row r="498" ht="14.1" customHeight="1"/>
    <row r="499" ht="14.1" customHeight="1"/>
    <row r="500" ht="14.1" customHeight="1"/>
    <row r="501" ht="14.1" customHeight="1"/>
    <row r="502" ht="14.1" customHeight="1"/>
    <row r="503" ht="14.1" customHeight="1"/>
    <row r="504" ht="14.1" customHeight="1"/>
    <row r="505" ht="14.1" customHeight="1"/>
    <row r="506" ht="14.1" customHeight="1"/>
    <row r="507" ht="14.1" customHeight="1"/>
    <row r="508" ht="14.1" customHeight="1"/>
    <row r="509" ht="14.1" customHeight="1"/>
    <row r="510" ht="14.1" customHeight="1"/>
    <row r="511" ht="14.1" customHeight="1"/>
    <row r="512" ht="14.1" customHeight="1"/>
    <row r="513" ht="14.1" customHeight="1"/>
    <row r="514" ht="14.1" customHeight="1"/>
    <row r="515" ht="14.1" customHeight="1"/>
    <row r="516" ht="14.1" customHeight="1"/>
    <row r="517" ht="14.1" customHeight="1"/>
    <row r="518" ht="14.1" customHeight="1"/>
    <row r="519" ht="14.1" customHeight="1"/>
    <row r="520" ht="14.1" customHeight="1"/>
    <row r="521" ht="14.1" customHeight="1"/>
    <row r="522" ht="14.1" customHeight="1"/>
    <row r="523" ht="14.1" customHeight="1"/>
    <row r="524" ht="14.1" customHeight="1"/>
    <row r="525" ht="14.1" customHeight="1"/>
    <row r="526" ht="14.1" customHeight="1"/>
    <row r="527" ht="14.1" customHeight="1"/>
    <row r="528" ht="14.1" customHeight="1"/>
    <row r="529" ht="14.1" customHeight="1"/>
    <row r="530" ht="14.1" customHeight="1"/>
    <row r="531" ht="14.1" customHeight="1"/>
    <row r="532" ht="14.1" customHeight="1"/>
    <row r="533" ht="14.1" customHeight="1"/>
    <row r="534" ht="14.1" customHeight="1"/>
    <row r="535" ht="14.1" customHeight="1"/>
    <row r="536" ht="14.1" customHeight="1"/>
    <row r="537" ht="14.1" customHeight="1"/>
    <row r="538" ht="14.1" customHeight="1"/>
    <row r="539" ht="14.1" customHeight="1"/>
    <row r="540" ht="14.1" customHeight="1"/>
    <row r="541" ht="14.1" customHeight="1"/>
    <row r="542" ht="14.1" customHeight="1"/>
    <row r="543" ht="14.1" customHeight="1"/>
    <row r="544" ht="14.1" customHeight="1"/>
    <row r="545" ht="14.1" customHeight="1"/>
    <row r="546" ht="14.1" customHeight="1"/>
    <row r="547" ht="14.1" customHeight="1"/>
    <row r="548" ht="14.1" customHeight="1"/>
    <row r="549" ht="14.1" customHeight="1"/>
    <row r="550" ht="14.1" customHeight="1"/>
    <row r="551" ht="14.1" customHeight="1"/>
    <row r="552" ht="14.1" customHeight="1"/>
    <row r="553" ht="14.1" customHeight="1"/>
    <row r="554" ht="14.1" customHeight="1"/>
    <row r="555" ht="14.1" customHeight="1"/>
    <row r="556" ht="14.1" customHeight="1"/>
    <row r="557" ht="14.1" customHeight="1"/>
    <row r="558" ht="14.1" customHeight="1"/>
    <row r="559" ht="14.1" customHeight="1"/>
    <row r="560" ht="14.1" customHeight="1"/>
    <row r="561" ht="14.1" customHeight="1"/>
    <row r="562" ht="14.1" customHeight="1"/>
    <row r="563" ht="14.1" customHeight="1"/>
    <row r="564" ht="14.1" customHeight="1"/>
    <row r="565" ht="14.1" customHeight="1"/>
    <row r="566" ht="14.1" customHeight="1"/>
    <row r="567" ht="14.1" customHeight="1"/>
    <row r="568" ht="14.1" customHeight="1"/>
    <row r="569" ht="14.1" customHeight="1"/>
    <row r="570" ht="14.1" customHeight="1"/>
    <row r="571" ht="14.1" customHeight="1"/>
    <row r="572" ht="14.1" customHeight="1"/>
    <row r="573" ht="14.1" customHeight="1"/>
    <row r="574" ht="14.1" customHeight="1"/>
    <row r="575" ht="14.1" customHeight="1"/>
    <row r="576" ht="14.1" customHeight="1"/>
    <row r="577" ht="14.1" customHeight="1"/>
    <row r="578" ht="14.1" customHeight="1"/>
    <row r="579" ht="14.1" customHeight="1"/>
    <row r="580" ht="14.1" customHeight="1"/>
    <row r="581" ht="14.1" customHeight="1"/>
    <row r="582" ht="14.1" customHeight="1"/>
    <row r="583" ht="14.1" customHeight="1"/>
    <row r="584" ht="14.1" customHeight="1"/>
    <row r="585" ht="14.1" customHeight="1"/>
    <row r="586" ht="14.1" customHeight="1"/>
    <row r="587" ht="14.1" customHeight="1"/>
    <row r="588" ht="14.1" customHeight="1"/>
    <row r="589" ht="14.1" customHeight="1"/>
    <row r="590" ht="14.1" customHeight="1"/>
    <row r="591" ht="14.1" customHeight="1"/>
    <row r="592" ht="14.1" customHeight="1"/>
    <row r="593" ht="14.1" customHeight="1"/>
    <row r="594" ht="14.1" customHeight="1"/>
    <row r="595" ht="14.1" customHeight="1"/>
    <row r="596" ht="14.1" customHeight="1"/>
    <row r="597" ht="14.1" customHeight="1"/>
    <row r="598" ht="14.1" customHeight="1"/>
    <row r="599" ht="14.1" customHeight="1"/>
    <row r="600" ht="14.1" customHeight="1"/>
    <row r="601" ht="14.1" customHeight="1"/>
    <row r="602" ht="14.1" customHeight="1"/>
    <row r="603" ht="14.1" customHeight="1"/>
    <row r="604" ht="14.1" customHeight="1"/>
    <row r="605" ht="14.1" customHeight="1"/>
    <row r="606" ht="14.1" customHeight="1"/>
    <row r="607" ht="14.1" customHeight="1"/>
    <row r="608" ht="14.1" customHeight="1"/>
    <row r="609" ht="14.1" customHeight="1"/>
    <row r="610" ht="14.1" customHeight="1"/>
    <row r="611" ht="14.1" customHeight="1"/>
    <row r="612" ht="14.1" customHeight="1"/>
    <row r="613" ht="14.1" customHeight="1"/>
    <row r="614" ht="14.1" customHeight="1"/>
    <row r="615" ht="14.1" customHeight="1"/>
    <row r="616" ht="14.1" customHeight="1"/>
    <row r="617" ht="14.1" customHeight="1"/>
    <row r="618" ht="14.1" customHeight="1"/>
    <row r="619" ht="14.1" customHeight="1"/>
    <row r="620" ht="14.1" customHeight="1"/>
    <row r="621" ht="14.1" customHeight="1"/>
    <row r="622" ht="14.1" customHeight="1"/>
    <row r="623" ht="14.1" customHeight="1"/>
    <row r="624" ht="14.1" customHeight="1"/>
    <row r="625" ht="14.1" customHeight="1"/>
    <row r="626" ht="14.1" customHeight="1"/>
    <row r="627" ht="14.1" customHeight="1"/>
    <row r="628" ht="14.1" customHeight="1"/>
    <row r="629" ht="14.1" customHeight="1"/>
    <row r="630" ht="14.1" customHeight="1"/>
    <row r="631" ht="14.1" customHeight="1"/>
    <row r="632" ht="14.1" customHeight="1"/>
    <row r="633" ht="14.1" customHeight="1"/>
    <row r="634" ht="14.1" customHeight="1"/>
    <row r="635" ht="14.1" customHeight="1"/>
    <row r="636" ht="14.1" customHeight="1"/>
    <row r="637" ht="14.1" customHeight="1"/>
    <row r="638" ht="14.1" customHeight="1"/>
    <row r="639" ht="14.1" customHeight="1"/>
    <row r="640" ht="14.1" customHeight="1"/>
    <row r="641" ht="14.1" customHeight="1"/>
    <row r="642" ht="14.1" customHeight="1"/>
    <row r="643" ht="14.1" customHeight="1"/>
    <row r="644" ht="14.1" customHeight="1"/>
    <row r="645" ht="14.1" customHeight="1"/>
    <row r="646" ht="14.1" customHeight="1"/>
    <row r="647" ht="14.1" customHeight="1"/>
    <row r="648" ht="14.1" customHeight="1"/>
    <row r="649" ht="14.1" customHeight="1"/>
    <row r="650" ht="14.1" customHeight="1"/>
    <row r="651" ht="14.1" customHeight="1"/>
    <row r="652" ht="14.1" customHeight="1"/>
    <row r="653" ht="14.1" customHeight="1"/>
    <row r="654" ht="14.1" customHeight="1"/>
    <row r="655" ht="14.1" customHeight="1"/>
    <row r="656" ht="14.1" customHeight="1"/>
    <row r="657" ht="14.1" customHeight="1"/>
    <row r="658" ht="14.1" customHeight="1"/>
    <row r="659" ht="14.1" customHeight="1"/>
    <row r="660" ht="14.1" customHeight="1"/>
    <row r="661" ht="14.1" customHeight="1"/>
    <row r="662" ht="14.1" customHeight="1"/>
    <row r="663" ht="14.1" customHeight="1"/>
    <row r="664" ht="14.1" customHeight="1"/>
    <row r="665" ht="14.1" customHeight="1"/>
    <row r="666" ht="14.1" customHeight="1"/>
    <row r="667" ht="14.1" customHeight="1"/>
    <row r="668" ht="14.1" customHeight="1"/>
    <row r="669" ht="14.1" customHeight="1"/>
    <row r="670" ht="14.1" customHeight="1"/>
    <row r="671" ht="14.1" customHeight="1"/>
    <row r="672" ht="14.1" customHeight="1"/>
    <row r="673" ht="14.1" customHeight="1"/>
    <row r="674" ht="14.1" customHeight="1"/>
    <row r="675" ht="14.1" customHeight="1"/>
    <row r="676" ht="14.1" customHeight="1"/>
    <row r="677" ht="14.1" customHeight="1"/>
    <row r="678" ht="14.1" customHeight="1"/>
    <row r="679" ht="14.1" customHeight="1"/>
    <row r="680" ht="14.1" customHeight="1"/>
    <row r="681" ht="14.1" customHeight="1"/>
    <row r="682" ht="14.1" customHeight="1"/>
    <row r="683" ht="14.1" customHeight="1"/>
    <row r="684" ht="14.1" customHeight="1"/>
    <row r="685" ht="14.1" customHeight="1"/>
    <row r="686" ht="14.1" customHeight="1"/>
    <row r="687" ht="14.1" customHeight="1"/>
    <row r="688" ht="14.1" customHeight="1"/>
    <row r="689" ht="14.1" customHeight="1"/>
    <row r="690" ht="14.1" customHeight="1"/>
    <row r="691" ht="14.1" customHeight="1"/>
    <row r="692" ht="14.1" customHeight="1"/>
    <row r="693" ht="14.1" customHeight="1"/>
    <row r="694" ht="14.1" customHeight="1"/>
    <row r="695" ht="14.1" customHeight="1"/>
    <row r="696" ht="14.1" customHeight="1"/>
    <row r="697" ht="14.1" customHeight="1"/>
    <row r="698" ht="14.1" customHeight="1"/>
    <row r="699" ht="14.1" customHeight="1"/>
    <row r="700" ht="14.1" customHeight="1"/>
    <row r="701" ht="14.1" customHeight="1"/>
    <row r="702" ht="14.1" customHeight="1"/>
    <row r="703" ht="14.1" customHeight="1"/>
    <row r="704" ht="14.1" customHeight="1"/>
    <row r="705" ht="14.1" customHeight="1"/>
    <row r="706" ht="14.1" customHeight="1"/>
    <row r="707" ht="14.1" customHeight="1"/>
    <row r="708" ht="14.1" customHeight="1"/>
    <row r="709" ht="14.1" customHeight="1"/>
    <row r="710" ht="14.1" customHeight="1"/>
    <row r="711" ht="14.1" customHeight="1"/>
    <row r="712" ht="14.1" customHeight="1"/>
    <row r="713" ht="14.1" customHeight="1"/>
    <row r="714" ht="14.1" customHeight="1"/>
    <row r="715" ht="14.1" customHeight="1"/>
    <row r="716" ht="14.1" customHeight="1"/>
    <row r="717" ht="14.1" customHeight="1"/>
    <row r="718" ht="14.1" customHeight="1"/>
    <row r="719" ht="14.1" customHeight="1"/>
    <row r="720" ht="14.1" customHeight="1"/>
    <row r="721" ht="14.1" customHeight="1"/>
    <row r="722" ht="14.1" customHeight="1"/>
    <row r="723" ht="14.1" customHeight="1"/>
    <row r="724" ht="14.1" customHeight="1"/>
    <row r="725" ht="14.1" customHeight="1"/>
    <row r="726" ht="14.1" customHeight="1"/>
    <row r="727" ht="14.1" customHeight="1"/>
    <row r="728" ht="14.1" customHeight="1"/>
    <row r="729" ht="14.1" customHeight="1"/>
    <row r="730" ht="14.1" customHeight="1"/>
    <row r="731" ht="14.1" customHeight="1"/>
    <row r="732" ht="14.1" customHeight="1"/>
    <row r="733" ht="14.1" customHeight="1"/>
    <row r="734" ht="14.1" customHeight="1"/>
    <row r="735" ht="14.1" customHeight="1"/>
    <row r="736" ht="14.1" customHeight="1"/>
    <row r="737" ht="14.1" customHeight="1"/>
    <row r="738" ht="14.1" customHeight="1"/>
    <row r="739" ht="14.1" customHeight="1"/>
    <row r="740" ht="14.1" customHeight="1"/>
    <row r="741" ht="14.1" customHeight="1"/>
    <row r="742" ht="14.1" customHeight="1"/>
    <row r="743" ht="14.1" customHeight="1"/>
    <row r="744" ht="14.1" customHeight="1"/>
    <row r="745" ht="14.1" customHeight="1"/>
    <row r="746" ht="14.1" customHeight="1"/>
    <row r="747" ht="14.1" customHeight="1"/>
    <row r="748" ht="14.1" customHeight="1"/>
    <row r="749" ht="14.1" customHeight="1"/>
    <row r="750" ht="14.1" customHeight="1"/>
    <row r="751" ht="14.1" customHeight="1"/>
    <row r="752" ht="14.1" customHeight="1"/>
    <row r="753" ht="14.1" customHeight="1"/>
    <row r="754" ht="14.1" customHeight="1"/>
    <row r="755" ht="14.1" customHeight="1"/>
    <row r="756" ht="14.1" customHeight="1"/>
    <row r="757" ht="14.1" customHeight="1"/>
    <row r="758" ht="14.1" customHeight="1"/>
    <row r="759" ht="14.1" customHeight="1"/>
    <row r="760" ht="14.1" customHeight="1"/>
    <row r="761" ht="14.1" customHeight="1"/>
    <row r="762" ht="14.1" customHeight="1"/>
    <row r="763" ht="14.1" customHeight="1"/>
    <row r="764" ht="14.1" customHeight="1"/>
    <row r="765" ht="14.1" customHeight="1"/>
    <row r="766" ht="14.1" customHeight="1"/>
    <row r="767" ht="14.1" customHeight="1"/>
    <row r="768" ht="14.1" customHeight="1"/>
    <row r="769" ht="14.1" customHeight="1"/>
    <row r="770" ht="14.1" customHeight="1"/>
    <row r="771" ht="14.1" customHeight="1"/>
    <row r="772" ht="14.1" customHeight="1"/>
    <row r="773" ht="14.1" customHeight="1"/>
    <row r="774" ht="14.1" customHeight="1"/>
    <row r="775" ht="14.1" customHeight="1"/>
    <row r="776" ht="14.1" customHeight="1"/>
    <row r="777" ht="14.1" customHeight="1"/>
    <row r="778" ht="14.1" customHeight="1"/>
    <row r="779" ht="14.1" customHeight="1"/>
    <row r="780" ht="14.1" customHeight="1"/>
    <row r="781" ht="14.1" customHeight="1"/>
    <row r="782" ht="14.1" customHeight="1"/>
    <row r="783" ht="14.1" customHeight="1"/>
    <row r="784" ht="14.1" customHeight="1"/>
    <row r="785" ht="14.1" customHeight="1"/>
    <row r="786" ht="14.1" customHeight="1"/>
    <row r="787" ht="14.1" customHeight="1"/>
    <row r="788" ht="14.1" customHeight="1"/>
    <row r="789" ht="14.1" customHeight="1"/>
    <row r="790" ht="14.1" customHeight="1"/>
    <row r="791" ht="14.1" customHeight="1"/>
    <row r="792" ht="14.1" customHeight="1"/>
    <row r="793" ht="14.1" customHeight="1"/>
  </sheetData>
  <pageMargins left="0.7" right="0.7" top="0.75" bottom="0.75" header="0.3" footer="0.3"/>
  <pageSetup paperSize="9" orientation="portrait"/>
  <headerFooter>
    <oddFooter>&amp;L&amp;"Arial"&amp;7 &amp;KDAD4CE_x000D_# Public_x000D_&amp;1#&amp;"Arial"&amp;7&amp;KDAD4CE Public</oddFooter>
  </headerFooter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000-000000000000}">
  <sheetPr codeName="Sheet40">
    <tabColor rgb="FF0070C0"/>
  </sheetPr>
  <dimension ref="A1:U793"/>
  <sheetViews>
    <sheetView zoomScale="80" zoomScaleNormal="80" workbookViewId="0">
      <selection activeCell="A16" sqref="A16"/>
    </sheetView>
  </sheetViews>
  <sheetFormatPr defaultColWidth="8.85546875" defaultRowHeight="15"/>
  <cols>
    <col min="1" max="1" width="4.140625" style="43" customWidth="1"/>
    <col min="2" max="3" width="8.5703125" style="22" customWidth="1"/>
    <col min="4" max="4" width="14.5703125" style="43" customWidth="1"/>
    <col min="5" max="5" width="20.5703125" style="22" customWidth="1"/>
    <col min="6" max="6" width="8.5703125" style="43" customWidth="1"/>
    <col min="7" max="7" width="32.5703125" style="22" customWidth="1"/>
    <col min="8" max="8" width="18.5703125" style="43" customWidth="1"/>
    <col min="9" max="9" width="62.5703125" style="22" customWidth="1"/>
    <col min="10" max="12" width="9.5703125" style="43" customWidth="1"/>
    <col min="13" max="13" width="10.5703125" style="43" customWidth="1"/>
    <col min="14" max="14" width="8.5703125" style="43" customWidth="1"/>
    <col min="15" max="15" width="10.5703125" style="43" customWidth="1"/>
    <col min="16" max="16" width="5.5703125" style="43" customWidth="1"/>
    <col min="17" max="17" width="1.5703125" style="22" customWidth="1"/>
    <col min="18" max="18" width="10.5703125" style="68" customWidth="1"/>
    <col min="19" max="19" width="1.5703125" style="22" customWidth="1"/>
    <col min="20" max="21" width="10.5703125" style="22" customWidth="1"/>
    <col min="22" max="22" width="8.85546875" style="71" customWidth="1"/>
    <col min="23" max="16384" width="8.85546875" style="71"/>
  </cols>
  <sheetData>
    <row r="1" spans="1:21" s="2" customFormat="1" ht="14.1" customHeight="1">
      <c r="A1" s="1" t="s">
        <v>4603</v>
      </c>
      <c r="E1" s="20"/>
      <c r="R1" s="10"/>
    </row>
    <row r="2" spans="1:21" s="2" customFormat="1" ht="14.1" customHeight="1">
      <c r="A2" s="4" t="s">
        <v>4604</v>
      </c>
      <c r="E2" s="20"/>
      <c r="H2" s="4"/>
      <c r="K2" s="4"/>
      <c r="R2" s="336"/>
    </row>
    <row r="3" spans="1:21" s="6" customFormat="1" ht="14.1" customHeight="1">
      <c r="A3" s="3"/>
      <c r="B3" s="16"/>
      <c r="C3" s="16"/>
      <c r="D3" s="23"/>
      <c r="E3" s="16"/>
      <c r="F3" s="23"/>
      <c r="G3" s="15"/>
      <c r="H3" s="25"/>
      <c r="I3" s="15"/>
      <c r="J3" s="25"/>
      <c r="K3" s="25"/>
      <c r="L3" s="25"/>
      <c r="M3" s="25"/>
      <c r="N3" s="25"/>
      <c r="O3" s="25"/>
      <c r="P3" s="25"/>
      <c r="Q3" s="2"/>
      <c r="R3" s="355" t="s">
        <v>2</v>
      </c>
      <c r="S3" s="2"/>
      <c r="T3" s="42"/>
      <c r="U3" s="42"/>
    </row>
    <row r="4" spans="1:21" s="5" customFormat="1" ht="33" customHeight="1">
      <c r="A4" s="21" t="s">
        <v>3</v>
      </c>
      <c r="B4" s="52" t="s">
        <v>4</v>
      </c>
      <c r="C4" s="52" t="s">
        <v>5</v>
      </c>
      <c r="D4" s="21" t="s">
        <v>6</v>
      </c>
      <c r="E4" s="21" t="s">
        <v>7</v>
      </c>
      <c r="F4" s="21" t="s">
        <v>8</v>
      </c>
      <c r="G4" s="21" t="s">
        <v>9</v>
      </c>
      <c r="H4" s="21" t="s">
        <v>10</v>
      </c>
      <c r="I4" s="21" t="s">
        <v>11</v>
      </c>
      <c r="J4" s="21" t="s">
        <v>12</v>
      </c>
      <c r="K4" s="21" t="s">
        <v>13</v>
      </c>
      <c r="L4" s="21" t="s">
        <v>455</v>
      </c>
      <c r="M4" s="21" t="s">
        <v>15</v>
      </c>
      <c r="N4" s="21" t="s">
        <v>16</v>
      </c>
      <c r="O4" s="21" t="s">
        <v>17</v>
      </c>
      <c r="P4" s="21" t="s">
        <v>18</v>
      </c>
      <c r="Q4" s="3"/>
      <c r="R4" s="41" t="s">
        <v>19</v>
      </c>
      <c r="S4" s="3"/>
      <c r="T4" s="42" t="s">
        <v>20</v>
      </c>
      <c r="U4" s="42" t="s">
        <v>21</v>
      </c>
    </row>
    <row r="5" spans="1:21" ht="14.1" customHeight="1">
      <c r="A5" s="29">
        <v>1</v>
      </c>
      <c r="B5" s="19" t="s">
        <v>456</v>
      </c>
      <c r="C5" s="19" t="s">
        <v>396</v>
      </c>
      <c r="D5" s="29" t="s">
        <v>611</v>
      </c>
      <c r="E5" s="19" t="s">
        <v>3462</v>
      </c>
      <c r="F5" s="29" t="s">
        <v>457</v>
      </c>
      <c r="G5" s="19" t="s">
        <v>4605</v>
      </c>
      <c r="H5" s="29" t="s">
        <v>520</v>
      </c>
      <c r="I5" s="19" t="s">
        <v>4606</v>
      </c>
      <c r="J5" s="29" t="s">
        <v>123</v>
      </c>
      <c r="K5" s="29" t="s">
        <v>520</v>
      </c>
      <c r="L5" s="29" t="s">
        <v>322</v>
      </c>
      <c r="M5" s="29">
        <v>830260</v>
      </c>
      <c r="N5" s="29">
        <v>960</v>
      </c>
      <c r="O5" s="29">
        <v>40</v>
      </c>
      <c r="P5" s="29"/>
      <c r="R5" s="9">
        <v>121.0005789197851</v>
      </c>
      <c r="T5" s="19"/>
      <c r="U5" s="29" t="s">
        <v>4607</v>
      </c>
    </row>
    <row r="6" spans="1:21" ht="14.1" customHeight="1">
      <c r="A6" s="29">
        <v>2</v>
      </c>
      <c r="B6" s="19" t="s">
        <v>456</v>
      </c>
      <c r="C6" s="19" t="s">
        <v>396</v>
      </c>
      <c r="D6" s="29" t="s">
        <v>611</v>
      </c>
      <c r="E6" s="19" t="s">
        <v>3462</v>
      </c>
      <c r="F6" s="29" t="s">
        <v>457</v>
      </c>
      <c r="G6" s="19" t="s">
        <v>4608</v>
      </c>
      <c r="H6" s="29" t="s">
        <v>520</v>
      </c>
      <c r="I6" s="19" t="s">
        <v>4609</v>
      </c>
      <c r="J6" s="29" t="s">
        <v>123</v>
      </c>
      <c r="K6" s="29" t="s">
        <v>520</v>
      </c>
      <c r="L6" s="29" t="s">
        <v>322</v>
      </c>
      <c r="M6" s="29">
        <v>830260</v>
      </c>
      <c r="N6" s="29">
        <v>960</v>
      </c>
      <c r="O6" s="29">
        <v>40</v>
      </c>
      <c r="P6" s="29"/>
      <c r="R6" s="9">
        <v>202.17101407658319</v>
      </c>
      <c r="T6" s="19"/>
      <c r="U6" s="29" t="s">
        <v>4607</v>
      </c>
    </row>
    <row r="7" spans="1:21" ht="14.1" customHeight="1">
      <c r="A7" s="29">
        <v>3</v>
      </c>
      <c r="B7" s="19" t="s">
        <v>456</v>
      </c>
      <c r="C7" s="19" t="s">
        <v>396</v>
      </c>
      <c r="D7" s="29" t="s">
        <v>611</v>
      </c>
      <c r="E7" s="19" t="s">
        <v>3462</v>
      </c>
      <c r="F7" s="29" t="s">
        <v>457</v>
      </c>
      <c r="G7" s="19" t="s">
        <v>4610</v>
      </c>
      <c r="H7" s="29" t="s">
        <v>520</v>
      </c>
      <c r="I7" s="19" t="s">
        <v>4611</v>
      </c>
      <c r="J7" s="29" t="s">
        <v>30</v>
      </c>
      <c r="K7" s="29" t="s">
        <v>520</v>
      </c>
      <c r="L7" s="29" t="s">
        <v>322</v>
      </c>
      <c r="M7" s="29">
        <v>830249</v>
      </c>
      <c r="N7" s="29">
        <v>100</v>
      </c>
      <c r="O7" s="29">
        <v>40</v>
      </c>
      <c r="P7" s="29"/>
      <c r="R7" s="9">
        <v>16.9891608467717</v>
      </c>
      <c r="T7" s="19"/>
      <c r="U7" s="29" t="s">
        <v>4607</v>
      </c>
    </row>
    <row r="8" spans="1:21" ht="14.1" customHeight="1"/>
    <row r="9" spans="1:21" ht="14.1" customHeight="1"/>
    <row r="10" spans="1:21" ht="14.1" customHeight="1"/>
    <row r="11" spans="1:21" ht="14.1" customHeight="1"/>
    <row r="12" spans="1:21" ht="14.1" customHeight="1"/>
    <row r="13" spans="1:21" ht="14.1" customHeight="1"/>
    <row r="14" spans="1:21" ht="14.1" customHeight="1"/>
    <row r="15" spans="1:21" ht="14.1" customHeight="1"/>
    <row r="16" spans="1:21" ht="14.1" customHeight="1"/>
    <row r="17" ht="14.1" customHeight="1"/>
    <row r="18" ht="14.1" customHeight="1"/>
    <row r="19" ht="14.1" customHeight="1"/>
    <row r="20" ht="14.1" customHeight="1"/>
    <row r="21" ht="14.1" customHeight="1"/>
    <row r="22" ht="14.1" customHeight="1"/>
    <row r="23" ht="14.1" customHeight="1"/>
    <row r="24" ht="14.1" customHeight="1"/>
    <row r="25" ht="14.1" customHeight="1"/>
    <row r="26" ht="14.1" customHeight="1"/>
    <row r="27" ht="14.1" customHeight="1"/>
    <row r="28" ht="14.1" customHeight="1"/>
    <row r="29" ht="14.1" customHeight="1"/>
    <row r="30" ht="14.1" customHeight="1"/>
    <row r="31" ht="14.1" customHeight="1"/>
    <row r="32" ht="14.1" customHeight="1"/>
    <row r="33" ht="14.1" customHeight="1"/>
    <row r="34" ht="14.1" customHeight="1"/>
    <row r="35" ht="14.1" customHeight="1"/>
    <row r="36" ht="14.1" customHeight="1"/>
    <row r="37" ht="14.1" customHeight="1"/>
    <row r="38" ht="14.1" customHeight="1"/>
    <row r="39" ht="14.1" customHeight="1"/>
    <row r="40" ht="14.1" customHeight="1"/>
    <row r="41" ht="14.1" customHeight="1"/>
    <row r="42" ht="14.1" customHeight="1"/>
    <row r="43" ht="14.1" customHeight="1"/>
    <row r="44" ht="14.1" customHeight="1"/>
    <row r="45" ht="14.1" customHeight="1"/>
    <row r="46" ht="14.1" customHeight="1"/>
    <row r="47" ht="14.1" customHeight="1"/>
    <row r="48" ht="14.1" customHeight="1"/>
    <row r="49" ht="14.1" customHeight="1"/>
    <row r="50" ht="14.1" customHeight="1"/>
    <row r="51" ht="14.1" customHeight="1"/>
    <row r="52" ht="14.1" customHeight="1"/>
    <row r="53" ht="14.1" customHeight="1"/>
    <row r="54" ht="14.1" customHeight="1"/>
    <row r="55" ht="14.1" customHeight="1"/>
    <row r="56" ht="14.1" customHeight="1"/>
    <row r="57" ht="14.1" customHeight="1"/>
    <row r="58" ht="14.1" customHeight="1"/>
    <row r="59" ht="14.1" customHeight="1"/>
    <row r="60" ht="14.1" customHeight="1"/>
    <row r="61" ht="14.1" customHeight="1"/>
    <row r="62" ht="14.1" customHeight="1"/>
    <row r="63" ht="14.1" customHeight="1"/>
    <row r="64" ht="14.1" customHeight="1"/>
    <row r="65" ht="14.1" customHeight="1"/>
    <row r="66" ht="14.1" customHeight="1"/>
    <row r="67" ht="14.1" customHeight="1"/>
    <row r="68" ht="14.1" customHeight="1"/>
    <row r="69" ht="14.1" customHeight="1"/>
    <row r="70" ht="14.1" customHeight="1"/>
    <row r="71" ht="14.1" customHeight="1"/>
    <row r="72" ht="14.1" customHeight="1"/>
    <row r="73" ht="14.1" customHeight="1"/>
    <row r="74" ht="14.1" customHeight="1"/>
    <row r="75" ht="14.1" customHeight="1"/>
    <row r="76" ht="14.1" customHeight="1"/>
    <row r="77" ht="14.1" customHeight="1"/>
    <row r="78" ht="14.1" customHeight="1"/>
    <row r="79" ht="14.1" customHeight="1"/>
    <row r="80" ht="14.1" customHeight="1"/>
    <row r="81" ht="14.1" customHeight="1"/>
    <row r="82" ht="14.1" customHeight="1"/>
    <row r="83" ht="14.1" customHeight="1"/>
    <row r="84" ht="14.1" customHeight="1"/>
    <row r="85" ht="14.1" customHeight="1"/>
    <row r="86" ht="14.1" customHeight="1"/>
    <row r="87" ht="14.1" customHeight="1"/>
    <row r="88" ht="14.1" customHeight="1"/>
    <row r="89" ht="14.1" customHeight="1"/>
    <row r="90" ht="14.1" customHeight="1"/>
    <row r="91" ht="14.1" customHeight="1"/>
    <row r="92" ht="14.1" customHeight="1"/>
    <row r="93" ht="14.1" customHeight="1"/>
    <row r="94" ht="14.1" customHeight="1"/>
    <row r="95" ht="14.1" customHeight="1"/>
    <row r="96" ht="14.1" customHeight="1"/>
    <row r="97" ht="14.1" customHeight="1"/>
    <row r="98" ht="14.1" customHeight="1"/>
    <row r="99" ht="14.1" customHeight="1"/>
    <row r="100" ht="14.1" customHeight="1"/>
    <row r="101" ht="14.1" customHeight="1"/>
    <row r="102" ht="14.1" customHeight="1"/>
    <row r="103" ht="14.1" customHeight="1"/>
    <row r="104" ht="14.1" customHeight="1"/>
    <row r="105" ht="14.1" customHeight="1"/>
    <row r="106" ht="14.1" customHeight="1"/>
    <row r="107" ht="14.1" customHeight="1"/>
    <row r="108" ht="14.1" customHeight="1"/>
    <row r="109" ht="14.1" customHeight="1"/>
    <row r="110" ht="14.1" customHeight="1"/>
    <row r="111" ht="14.1" customHeight="1"/>
    <row r="112" ht="14.1" customHeight="1"/>
    <row r="113" ht="14.1" customHeight="1"/>
    <row r="114" ht="14.1" customHeight="1"/>
    <row r="115" ht="14.1" customHeight="1"/>
    <row r="116" ht="14.1" customHeight="1"/>
    <row r="117" ht="14.1" customHeight="1"/>
    <row r="118" ht="14.1" customHeight="1"/>
    <row r="119" ht="14.1" customHeight="1"/>
    <row r="120" ht="14.1" customHeight="1"/>
    <row r="121" ht="14.1" customHeight="1"/>
    <row r="122" ht="14.1" customHeight="1"/>
    <row r="123" ht="14.1" customHeight="1"/>
    <row r="124" ht="14.1" customHeight="1"/>
    <row r="125" ht="14.1" customHeight="1"/>
    <row r="126" ht="14.1" customHeight="1"/>
    <row r="127" ht="14.1" customHeight="1"/>
    <row r="128" ht="14.1" customHeight="1"/>
    <row r="129" ht="14.1" customHeight="1"/>
    <row r="130" ht="14.1" customHeight="1"/>
    <row r="131" ht="14.1" customHeight="1"/>
    <row r="132" ht="14.1" customHeight="1"/>
    <row r="133" ht="14.1" customHeight="1"/>
    <row r="134" ht="14.1" customHeight="1"/>
    <row r="135" ht="14.1" customHeight="1"/>
    <row r="136" ht="14.1" customHeight="1"/>
    <row r="137" ht="14.1" customHeight="1"/>
    <row r="138" ht="14.1" customHeight="1"/>
    <row r="139" ht="14.1" customHeight="1"/>
    <row r="140" ht="14.1" customHeight="1"/>
    <row r="141" ht="14.1" customHeight="1"/>
    <row r="142" ht="14.1" customHeight="1"/>
    <row r="143" ht="14.1" customHeight="1"/>
    <row r="144" ht="14.1" customHeight="1"/>
    <row r="145" ht="14.1" customHeight="1"/>
    <row r="146" ht="14.1" customHeight="1"/>
    <row r="147" ht="14.1" customHeight="1"/>
    <row r="148" ht="14.1" customHeight="1"/>
    <row r="149" ht="14.1" customHeight="1"/>
    <row r="150" ht="14.1" customHeight="1"/>
    <row r="151" ht="14.1" customHeight="1"/>
    <row r="152" ht="14.1" customHeight="1"/>
    <row r="153" ht="14.1" customHeight="1"/>
    <row r="154" ht="14.1" customHeight="1"/>
    <row r="155" ht="14.1" customHeight="1"/>
    <row r="156" ht="14.1" customHeight="1"/>
    <row r="157" ht="14.1" customHeight="1"/>
    <row r="158" ht="14.1" customHeight="1"/>
    <row r="159" ht="14.1" customHeight="1"/>
    <row r="160" ht="14.1" customHeight="1"/>
    <row r="161" ht="14.1" customHeight="1"/>
    <row r="162" ht="14.1" customHeight="1"/>
    <row r="163" ht="14.1" customHeight="1"/>
    <row r="164" ht="14.1" customHeight="1"/>
    <row r="165" ht="14.1" customHeight="1"/>
    <row r="166" ht="14.1" customHeight="1"/>
    <row r="167" ht="14.1" customHeight="1"/>
    <row r="168" ht="14.1" customHeight="1"/>
    <row r="169" ht="14.1" customHeight="1"/>
    <row r="170" ht="14.1" customHeight="1"/>
    <row r="171" ht="14.1" customHeight="1"/>
    <row r="172" ht="14.1" customHeight="1"/>
    <row r="173" ht="14.1" customHeight="1"/>
    <row r="174" ht="14.1" customHeight="1"/>
    <row r="175" ht="14.1" customHeight="1"/>
    <row r="176" ht="14.1" customHeight="1"/>
    <row r="177" ht="14.1" customHeight="1"/>
    <row r="178" ht="14.1" customHeight="1"/>
    <row r="179" ht="14.1" customHeight="1"/>
    <row r="180" ht="14.1" customHeight="1"/>
    <row r="181" ht="14.1" customHeight="1"/>
    <row r="182" ht="14.1" customHeight="1"/>
    <row r="183" ht="14.1" customHeight="1"/>
    <row r="184" ht="14.1" customHeight="1"/>
    <row r="185" ht="14.1" customHeight="1"/>
    <row r="186" ht="14.1" customHeight="1"/>
    <row r="187" ht="14.1" customHeight="1"/>
    <row r="188" ht="14.1" customHeight="1"/>
    <row r="189" ht="14.1" customHeight="1"/>
    <row r="190" ht="14.1" customHeight="1"/>
    <row r="191" ht="14.1" customHeight="1"/>
    <row r="192" ht="14.1" customHeight="1"/>
    <row r="193" ht="14.1" customHeight="1"/>
    <row r="194" ht="14.1" customHeight="1"/>
    <row r="195" ht="14.1" customHeight="1"/>
    <row r="196" ht="14.1" customHeight="1"/>
    <row r="197" ht="14.1" customHeight="1"/>
    <row r="198" ht="14.1" customHeight="1"/>
    <row r="199" ht="14.1" customHeight="1"/>
    <row r="200" ht="14.1" customHeight="1"/>
    <row r="201" ht="14.1" customHeight="1"/>
    <row r="202" ht="14.1" customHeight="1"/>
    <row r="203" ht="14.1" customHeight="1"/>
    <row r="204" ht="14.1" customHeight="1"/>
    <row r="205" ht="14.1" customHeight="1"/>
    <row r="206" ht="14.1" customHeight="1"/>
    <row r="207" ht="14.1" customHeight="1"/>
    <row r="208" ht="14.1" customHeight="1"/>
    <row r="209" ht="14.1" customHeight="1"/>
    <row r="210" ht="14.1" customHeight="1"/>
    <row r="211" ht="14.1" customHeight="1"/>
    <row r="212" ht="14.1" customHeight="1"/>
    <row r="213" ht="14.1" customHeight="1"/>
    <row r="214" ht="14.1" customHeight="1"/>
    <row r="215" ht="14.1" customHeight="1"/>
    <row r="216" ht="14.1" customHeight="1"/>
    <row r="217" ht="14.1" customHeight="1"/>
    <row r="218" ht="14.1" customHeight="1"/>
    <row r="219" ht="14.1" customHeight="1"/>
    <row r="220" ht="14.1" customHeight="1"/>
    <row r="221" ht="14.1" customHeight="1"/>
    <row r="222" ht="14.1" customHeight="1"/>
    <row r="223" ht="14.1" customHeight="1"/>
    <row r="224" ht="14.1" customHeight="1"/>
    <row r="225" ht="14.1" customHeight="1"/>
    <row r="226" ht="14.1" customHeight="1"/>
    <row r="227" ht="14.1" customHeight="1"/>
    <row r="228" ht="14.1" customHeight="1"/>
    <row r="229" ht="14.1" customHeight="1"/>
    <row r="230" ht="14.1" customHeight="1"/>
    <row r="231" ht="14.1" customHeight="1"/>
    <row r="232" ht="14.1" customHeight="1"/>
    <row r="233" ht="14.1" customHeight="1"/>
    <row r="234" ht="14.1" customHeight="1"/>
    <row r="235" ht="14.1" customHeight="1"/>
    <row r="236" ht="14.1" customHeight="1"/>
    <row r="237" ht="14.1" customHeight="1"/>
    <row r="238" ht="14.1" customHeight="1"/>
    <row r="239" ht="14.1" customHeight="1"/>
    <row r="240" ht="14.1" customHeight="1"/>
    <row r="241" ht="14.1" customHeight="1"/>
    <row r="242" ht="14.1" customHeight="1"/>
    <row r="243" ht="14.1" customHeight="1"/>
    <row r="244" ht="14.1" customHeight="1"/>
    <row r="245" ht="14.1" customHeight="1"/>
    <row r="246" ht="14.1" customHeight="1"/>
    <row r="247" ht="14.1" customHeight="1"/>
    <row r="248" ht="14.1" customHeight="1"/>
    <row r="249" ht="14.1" customHeight="1"/>
    <row r="250" ht="14.1" customHeight="1"/>
    <row r="251" ht="14.1" customHeight="1"/>
    <row r="252" ht="14.1" customHeight="1"/>
    <row r="253" ht="14.1" customHeight="1"/>
    <row r="254" ht="14.1" customHeight="1"/>
    <row r="255" ht="14.1" customHeight="1"/>
    <row r="256" ht="14.1" customHeight="1"/>
    <row r="257" ht="14.1" customHeight="1"/>
    <row r="258" ht="14.1" customHeight="1"/>
    <row r="259" ht="14.1" customHeight="1"/>
    <row r="260" ht="14.1" customHeight="1"/>
    <row r="261" ht="14.1" customHeight="1"/>
    <row r="262" ht="14.1" customHeight="1"/>
    <row r="263" ht="14.1" customHeight="1"/>
    <row r="264" ht="14.1" customHeight="1"/>
    <row r="265" ht="14.1" customHeight="1"/>
    <row r="266" ht="14.1" customHeight="1"/>
    <row r="267" ht="14.1" customHeight="1"/>
    <row r="268" ht="14.1" customHeight="1"/>
    <row r="269" ht="14.1" customHeight="1"/>
    <row r="270" ht="14.1" customHeight="1"/>
    <row r="271" ht="14.1" customHeight="1"/>
    <row r="272" ht="14.1" customHeight="1"/>
    <row r="273" ht="14.1" customHeight="1"/>
    <row r="274" ht="14.1" customHeight="1"/>
    <row r="275" ht="14.1" customHeight="1"/>
    <row r="276" ht="14.1" customHeight="1"/>
    <row r="277" ht="14.1" customHeight="1"/>
    <row r="278" ht="14.1" customHeight="1"/>
    <row r="279" ht="14.1" customHeight="1"/>
    <row r="280" ht="14.1" customHeight="1"/>
    <row r="281" ht="14.1" customHeight="1"/>
    <row r="282" ht="14.1" customHeight="1"/>
    <row r="283" ht="14.1" customHeight="1"/>
    <row r="284" ht="14.1" customHeight="1"/>
    <row r="285" ht="14.1" customHeight="1"/>
    <row r="286" ht="14.1" customHeight="1"/>
    <row r="287" ht="14.1" customHeight="1"/>
    <row r="288" ht="14.1" customHeight="1"/>
    <row r="289" ht="14.1" customHeight="1"/>
    <row r="290" ht="14.1" customHeight="1"/>
    <row r="291" ht="14.1" customHeight="1"/>
    <row r="292" ht="14.1" customHeight="1"/>
    <row r="293" ht="14.1" customHeight="1"/>
    <row r="294" ht="14.1" customHeight="1"/>
    <row r="295" ht="14.1" customHeight="1"/>
    <row r="296" ht="14.1" customHeight="1"/>
    <row r="297" ht="14.1" customHeight="1"/>
    <row r="298" ht="14.1" customHeight="1"/>
    <row r="299" ht="14.1" customHeight="1"/>
    <row r="300" ht="14.1" customHeight="1"/>
    <row r="301" ht="14.1" customHeight="1"/>
    <row r="302" ht="14.1" customHeight="1"/>
    <row r="303" ht="14.1" customHeight="1"/>
    <row r="304" ht="14.1" customHeight="1"/>
    <row r="305" ht="14.1" customHeight="1"/>
    <row r="306" ht="14.1" customHeight="1"/>
    <row r="307" ht="14.1" customHeight="1"/>
    <row r="308" ht="14.1" customHeight="1"/>
    <row r="309" ht="14.1" customHeight="1"/>
    <row r="310" ht="14.1" customHeight="1"/>
    <row r="311" ht="14.1" customHeight="1"/>
    <row r="312" ht="14.1" customHeight="1"/>
    <row r="313" ht="14.1" customHeight="1"/>
    <row r="314" ht="14.1" customHeight="1"/>
    <row r="315" ht="14.1" customHeight="1"/>
    <row r="316" ht="14.1" customHeight="1"/>
    <row r="317" ht="14.1" customHeight="1"/>
    <row r="318" ht="14.1" customHeight="1"/>
    <row r="319" ht="14.1" customHeight="1"/>
    <row r="320" ht="14.1" customHeight="1"/>
    <row r="321" ht="14.1" customHeight="1"/>
    <row r="322" ht="14.1" customHeight="1"/>
    <row r="323" ht="14.1" customHeight="1"/>
    <row r="324" ht="14.1" customHeight="1"/>
    <row r="325" ht="14.1" customHeight="1"/>
    <row r="326" ht="14.1" customHeight="1"/>
    <row r="327" ht="14.1" customHeight="1"/>
    <row r="328" ht="14.1" customHeight="1"/>
    <row r="329" ht="14.1" customHeight="1"/>
    <row r="330" ht="14.1" customHeight="1"/>
    <row r="331" ht="14.1" customHeight="1"/>
    <row r="332" ht="14.1" customHeight="1"/>
    <row r="333" ht="14.1" customHeight="1"/>
    <row r="334" ht="14.1" customHeight="1"/>
    <row r="335" ht="14.1" customHeight="1"/>
    <row r="336" ht="14.1" customHeight="1"/>
    <row r="337" ht="14.1" customHeight="1"/>
    <row r="338" ht="14.1" customHeight="1"/>
    <row r="339" ht="14.1" customHeight="1"/>
    <row r="340" ht="14.1" customHeight="1"/>
    <row r="341" ht="14.1" customHeight="1"/>
    <row r="342" ht="14.1" customHeight="1"/>
    <row r="343" ht="14.1" customHeight="1"/>
    <row r="344" ht="14.1" customHeight="1"/>
    <row r="345" ht="14.1" customHeight="1"/>
    <row r="346" ht="14.1" customHeight="1"/>
    <row r="347" ht="14.1" customHeight="1"/>
    <row r="348" ht="14.1" customHeight="1"/>
    <row r="349" ht="14.1" customHeight="1"/>
    <row r="350" ht="14.1" customHeight="1"/>
    <row r="351" ht="14.1" customHeight="1"/>
    <row r="352" ht="14.1" customHeight="1"/>
    <row r="353" ht="14.1" customHeight="1"/>
    <row r="354" ht="14.1" customHeight="1"/>
    <row r="355" ht="14.1" customHeight="1"/>
    <row r="356" ht="14.1" customHeight="1"/>
    <row r="357" ht="14.1" customHeight="1"/>
    <row r="358" ht="14.1" customHeight="1"/>
    <row r="359" ht="14.1" customHeight="1"/>
    <row r="360" ht="14.1" customHeight="1"/>
    <row r="361" ht="14.1" customHeight="1"/>
    <row r="362" ht="14.1" customHeight="1"/>
    <row r="363" ht="14.1" customHeight="1"/>
    <row r="364" ht="14.1" customHeight="1"/>
    <row r="365" ht="14.1" customHeight="1"/>
    <row r="366" ht="14.1" customHeight="1"/>
    <row r="367" ht="14.1" customHeight="1"/>
    <row r="368" ht="14.1" customHeight="1"/>
    <row r="369" ht="14.1" customHeight="1"/>
    <row r="370" ht="14.1" customHeight="1"/>
    <row r="371" ht="14.1" customHeight="1"/>
    <row r="372" ht="14.1" customHeight="1"/>
    <row r="373" ht="14.1" customHeight="1"/>
    <row r="374" ht="14.1" customHeight="1"/>
    <row r="375" ht="14.1" customHeight="1"/>
    <row r="376" ht="14.1" customHeight="1"/>
    <row r="377" ht="14.1" customHeight="1"/>
    <row r="378" ht="14.1" customHeight="1"/>
    <row r="379" ht="14.1" customHeight="1"/>
    <row r="380" ht="14.1" customHeight="1"/>
    <row r="381" ht="14.1" customHeight="1"/>
    <row r="382" ht="14.1" customHeight="1"/>
    <row r="383" ht="14.1" customHeight="1"/>
    <row r="384" ht="14.1" customHeight="1"/>
    <row r="385" ht="14.1" customHeight="1"/>
    <row r="386" ht="14.1" customHeight="1"/>
    <row r="387" ht="14.1" customHeight="1"/>
    <row r="388" ht="14.1" customHeight="1"/>
    <row r="389" ht="14.1" customHeight="1"/>
    <row r="390" ht="14.1" customHeight="1"/>
    <row r="391" ht="14.1" customHeight="1"/>
    <row r="392" ht="14.1" customHeight="1"/>
    <row r="393" ht="14.1" customHeight="1"/>
    <row r="394" ht="14.1" customHeight="1"/>
    <row r="395" ht="14.1" customHeight="1"/>
    <row r="396" ht="14.1" customHeight="1"/>
    <row r="397" ht="14.1" customHeight="1"/>
    <row r="398" ht="14.1" customHeight="1"/>
    <row r="399" ht="14.1" customHeight="1"/>
    <row r="400" ht="14.1" customHeight="1"/>
    <row r="401" ht="14.1" customHeight="1"/>
    <row r="402" ht="14.1" customHeight="1"/>
    <row r="403" ht="14.1" customHeight="1"/>
    <row r="404" ht="14.1" customHeight="1"/>
    <row r="405" ht="14.1" customHeight="1"/>
    <row r="406" ht="14.1" customHeight="1"/>
    <row r="407" ht="14.1" customHeight="1"/>
    <row r="408" ht="14.1" customHeight="1"/>
    <row r="409" ht="14.1" customHeight="1"/>
    <row r="410" ht="14.1" customHeight="1"/>
    <row r="411" ht="14.1" customHeight="1"/>
    <row r="412" ht="14.1" customHeight="1"/>
    <row r="413" ht="14.1" customHeight="1"/>
    <row r="414" ht="14.1" customHeight="1"/>
    <row r="415" ht="14.1" customHeight="1"/>
    <row r="416" ht="14.1" customHeight="1"/>
    <row r="417" ht="14.1" customHeight="1"/>
    <row r="418" ht="14.1" customHeight="1"/>
    <row r="419" ht="14.1" customHeight="1"/>
    <row r="420" ht="14.1" customHeight="1"/>
    <row r="421" ht="14.1" customHeight="1"/>
    <row r="422" ht="14.1" customHeight="1"/>
    <row r="423" ht="14.1" customHeight="1"/>
    <row r="424" ht="14.1" customHeight="1"/>
    <row r="425" ht="14.1" customHeight="1"/>
    <row r="426" ht="14.1" customHeight="1"/>
    <row r="427" ht="14.1" customHeight="1"/>
    <row r="428" ht="14.1" customHeight="1"/>
    <row r="429" ht="14.1" customHeight="1"/>
    <row r="430" ht="14.1" customHeight="1"/>
    <row r="431" ht="14.1" customHeight="1"/>
    <row r="432" ht="14.1" customHeight="1"/>
    <row r="433" ht="14.1" customHeight="1"/>
    <row r="434" ht="14.1" customHeight="1"/>
    <row r="435" ht="14.1" customHeight="1"/>
    <row r="436" ht="14.1" customHeight="1"/>
    <row r="437" ht="14.1" customHeight="1"/>
    <row r="438" ht="14.1" customHeight="1"/>
    <row r="439" ht="14.1" customHeight="1"/>
    <row r="440" ht="14.1" customHeight="1"/>
    <row r="441" ht="14.1" customHeight="1"/>
    <row r="442" ht="14.1" customHeight="1"/>
    <row r="443" ht="14.1" customHeight="1"/>
    <row r="444" ht="14.1" customHeight="1"/>
    <row r="445" ht="14.1" customHeight="1"/>
    <row r="446" ht="14.1" customHeight="1"/>
    <row r="447" ht="14.1" customHeight="1"/>
    <row r="448" ht="14.1" customHeight="1"/>
    <row r="449" ht="14.1" customHeight="1"/>
    <row r="450" ht="14.1" customHeight="1"/>
    <row r="451" ht="14.1" customHeight="1"/>
    <row r="452" ht="14.1" customHeight="1"/>
    <row r="453" ht="14.1" customHeight="1"/>
    <row r="454" ht="14.1" customHeight="1"/>
    <row r="455" ht="14.1" customHeight="1"/>
    <row r="456" ht="14.1" customHeight="1"/>
    <row r="457" ht="14.1" customHeight="1"/>
    <row r="458" ht="14.1" customHeight="1"/>
    <row r="459" ht="14.1" customHeight="1"/>
    <row r="460" ht="14.1" customHeight="1"/>
    <row r="461" ht="14.1" customHeight="1"/>
    <row r="462" ht="14.1" customHeight="1"/>
    <row r="463" ht="14.1" customHeight="1"/>
    <row r="464" ht="14.1" customHeight="1"/>
    <row r="465" ht="14.1" customHeight="1"/>
    <row r="466" ht="14.1" customHeight="1"/>
    <row r="467" ht="14.1" customHeight="1"/>
    <row r="468" ht="14.1" customHeight="1"/>
    <row r="469" ht="14.1" customHeight="1"/>
    <row r="470" ht="14.1" customHeight="1"/>
    <row r="471" ht="14.1" customHeight="1"/>
    <row r="472" ht="14.1" customHeight="1"/>
    <row r="473" ht="14.1" customHeight="1"/>
    <row r="474" ht="14.1" customHeight="1"/>
    <row r="475" ht="14.1" customHeight="1"/>
    <row r="476" ht="14.1" customHeight="1"/>
    <row r="477" ht="14.1" customHeight="1"/>
    <row r="478" ht="14.1" customHeight="1"/>
    <row r="479" ht="14.1" customHeight="1"/>
    <row r="480" ht="14.1" customHeight="1"/>
    <row r="481" ht="14.1" customHeight="1"/>
    <row r="482" ht="14.1" customHeight="1"/>
    <row r="483" ht="14.1" customHeight="1"/>
    <row r="484" ht="14.1" customHeight="1"/>
    <row r="485" ht="14.1" customHeight="1"/>
    <row r="486" ht="14.1" customHeight="1"/>
    <row r="487" ht="14.1" customHeight="1"/>
    <row r="488" ht="14.1" customHeight="1"/>
    <row r="489" ht="14.1" customHeight="1"/>
    <row r="490" ht="14.1" customHeight="1"/>
    <row r="491" ht="14.1" customHeight="1"/>
    <row r="492" ht="14.1" customHeight="1"/>
    <row r="493" ht="14.1" customHeight="1"/>
    <row r="494" ht="14.1" customHeight="1"/>
    <row r="495" ht="14.1" customHeight="1"/>
    <row r="496" ht="14.1" customHeight="1"/>
    <row r="497" ht="14.1" customHeight="1"/>
    <row r="498" ht="14.1" customHeight="1"/>
    <row r="499" ht="14.1" customHeight="1"/>
    <row r="500" ht="14.1" customHeight="1"/>
    <row r="501" ht="14.1" customHeight="1"/>
    <row r="502" ht="14.1" customHeight="1"/>
    <row r="503" ht="14.1" customHeight="1"/>
    <row r="504" ht="14.1" customHeight="1"/>
    <row r="505" ht="14.1" customHeight="1"/>
    <row r="506" ht="14.1" customHeight="1"/>
    <row r="507" ht="14.1" customHeight="1"/>
    <row r="508" ht="14.1" customHeight="1"/>
    <row r="509" ht="14.1" customHeight="1"/>
    <row r="510" ht="14.1" customHeight="1"/>
    <row r="511" ht="14.1" customHeight="1"/>
    <row r="512" ht="14.1" customHeight="1"/>
    <row r="513" ht="14.1" customHeight="1"/>
    <row r="514" ht="14.1" customHeight="1"/>
    <row r="515" ht="14.1" customHeight="1"/>
    <row r="516" ht="14.1" customHeight="1"/>
    <row r="517" ht="14.1" customHeight="1"/>
    <row r="518" ht="14.1" customHeight="1"/>
    <row r="519" ht="14.1" customHeight="1"/>
    <row r="520" ht="14.1" customHeight="1"/>
    <row r="521" ht="14.1" customHeight="1"/>
    <row r="522" ht="14.1" customHeight="1"/>
    <row r="523" ht="14.1" customHeight="1"/>
    <row r="524" ht="14.1" customHeight="1"/>
    <row r="525" ht="14.1" customHeight="1"/>
    <row r="526" ht="14.1" customHeight="1"/>
    <row r="527" ht="14.1" customHeight="1"/>
    <row r="528" ht="14.1" customHeight="1"/>
    <row r="529" ht="14.1" customHeight="1"/>
    <row r="530" ht="14.1" customHeight="1"/>
    <row r="531" ht="14.1" customHeight="1"/>
    <row r="532" ht="14.1" customHeight="1"/>
    <row r="533" ht="14.1" customHeight="1"/>
    <row r="534" ht="14.1" customHeight="1"/>
    <row r="535" ht="14.1" customHeight="1"/>
    <row r="536" ht="14.1" customHeight="1"/>
    <row r="537" ht="14.1" customHeight="1"/>
    <row r="538" ht="14.1" customHeight="1"/>
    <row r="539" ht="14.1" customHeight="1"/>
    <row r="540" ht="14.1" customHeight="1"/>
    <row r="541" ht="14.1" customHeight="1"/>
    <row r="542" ht="14.1" customHeight="1"/>
    <row r="543" ht="14.1" customHeight="1"/>
    <row r="544" ht="14.1" customHeight="1"/>
    <row r="545" ht="14.1" customHeight="1"/>
    <row r="546" ht="14.1" customHeight="1"/>
    <row r="547" ht="14.1" customHeight="1"/>
    <row r="548" ht="14.1" customHeight="1"/>
    <row r="549" ht="14.1" customHeight="1"/>
    <row r="550" ht="14.1" customHeight="1"/>
    <row r="551" ht="14.1" customHeight="1"/>
    <row r="552" ht="14.1" customHeight="1"/>
    <row r="553" ht="14.1" customHeight="1"/>
    <row r="554" ht="14.1" customHeight="1"/>
    <row r="555" ht="14.1" customHeight="1"/>
    <row r="556" ht="14.1" customHeight="1"/>
    <row r="557" ht="14.1" customHeight="1"/>
    <row r="558" ht="14.1" customHeight="1"/>
    <row r="559" ht="14.1" customHeight="1"/>
    <row r="560" ht="14.1" customHeight="1"/>
    <row r="561" ht="14.1" customHeight="1"/>
    <row r="562" ht="14.1" customHeight="1"/>
    <row r="563" ht="14.1" customHeight="1"/>
    <row r="564" ht="14.1" customHeight="1"/>
    <row r="565" ht="14.1" customHeight="1"/>
    <row r="566" ht="14.1" customHeight="1"/>
    <row r="567" ht="14.1" customHeight="1"/>
    <row r="568" ht="14.1" customHeight="1"/>
    <row r="569" ht="14.1" customHeight="1"/>
    <row r="570" ht="14.1" customHeight="1"/>
    <row r="571" ht="14.1" customHeight="1"/>
    <row r="572" ht="14.1" customHeight="1"/>
    <row r="573" ht="14.1" customHeight="1"/>
    <row r="574" ht="14.1" customHeight="1"/>
    <row r="575" ht="14.1" customHeight="1"/>
    <row r="576" ht="14.1" customHeight="1"/>
    <row r="577" ht="14.1" customHeight="1"/>
    <row r="578" ht="14.1" customHeight="1"/>
    <row r="579" ht="14.1" customHeight="1"/>
    <row r="580" ht="14.1" customHeight="1"/>
    <row r="581" ht="14.1" customHeight="1"/>
    <row r="582" ht="14.1" customHeight="1"/>
    <row r="583" ht="14.1" customHeight="1"/>
    <row r="584" ht="14.1" customHeight="1"/>
    <row r="585" ht="14.1" customHeight="1"/>
    <row r="586" ht="14.1" customHeight="1"/>
    <row r="587" ht="14.1" customHeight="1"/>
    <row r="588" ht="14.1" customHeight="1"/>
    <row r="589" ht="14.1" customHeight="1"/>
    <row r="590" ht="14.1" customHeight="1"/>
    <row r="591" ht="14.1" customHeight="1"/>
    <row r="592" ht="14.1" customHeight="1"/>
    <row r="593" ht="14.1" customHeight="1"/>
    <row r="594" ht="14.1" customHeight="1"/>
    <row r="595" ht="14.1" customHeight="1"/>
    <row r="596" ht="14.1" customHeight="1"/>
    <row r="597" ht="14.1" customHeight="1"/>
    <row r="598" ht="14.1" customHeight="1"/>
    <row r="599" ht="14.1" customHeight="1"/>
    <row r="600" ht="14.1" customHeight="1"/>
    <row r="601" ht="14.1" customHeight="1"/>
    <row r="602" ht="14.1" customHeight="1"/>
    <row r="603" ht="14.1" customHeight="1"/>
    <row r="604" ht="14.1" customHeight="1"/>
    <row r="605" ht="14.1" customHeight="1"/>
    <row r="606" ht="14.1" customHeight="1"/>
    <row r="607" ht="14.1" customHeight="1"/>
    <row r="608" ht="14.1" customHeight="1"/>
    <row r="609" ht="14.1" customHeight="1"/>
    <row r="610" ht="14.1" customHeight="1"/>
    <row r="611" ht="14.1" customHeight="1"/>
    <row r="612" ht="14.1" customHeight="1"/>
    <row r="613" ht="14.1" customHeight="1"/>
    <row r="614" ht="14.1" customHeight="1"/>
    <row r="615" ht="14.1" customHeight="1"/>
    <row r="616" ht="14.1" customHeight="1"/>
    <row r="617" ht="14.1" customHeight="1"/>
    <row r="618" ht="14.1" customHeight="1"/>
    <row r="619" ht="14.1" customHeight="1"/>
    <row r="620" ht="14.1" customHeight="1"/>
    <row r="621" ht="14.1" customHeight="1"/>
    <row r="622" ht="14.1" customHeight="1"/>
    <row r="623" ht="14.1" customHeight="1"/>
    <row r="624" ht="14.1" customHeight="1"/>
    <row r="625" ht="14.1" customHeight="1"/>
    <row r="626" ht="14.1" customHeight="1"/>
    <row r="627" ht="14.1" customHeight="1"/>
    <row r="628" ht="14.1" customHeight="1"/>
    <row r="629" ht="14.1" customHeight="1"/>
    <row r="630" ht="14.1" customHeight="1"/>
    <row r="631" ht="14.1" customHeight="1"/>
    <row r="632" ht="14.1" customHeight="1"/>
    <row r="633" ht="14.1" customHeight="1"/>
    <row r="634" ht="14.1" customHeight="1"/>
    <row r="635" ht="14.1" customHeight="1"/>
    <row r="636" ht="14.1" customHeight="1"/>
    <row r="637" ht="14.1" customHeight="1"/>
    <row r="638" ht="14.1" customHeight="1"/>
    <row r="639" ht="14.1" customHeight="1"/>
    <row r="640" ht="14.1" customHeight="1"/>
    <row r="641" ht="14.1" customHeight="1"/>
    <row r="642" ht="14.1" customHeight="1"/>
    <row r="643" ht="14.1" customHeight="1"/>
    <row r="644" ht="14.1" customHeight="1"/>
    <row r="645" ht="14.1" customHeight="1"/>
    <row r="646" ht="14.1" customHeight="1"/>
    <row r="647" ht="14.1" customHeight="1"/>
    <row r="648" ht="14.1" customHeight="1"/>
    <row r="649" ht="14.1" customHeight="1"/>
    <row r="650" ht="14.1" customHeight="1"/>
    <row r="651" ht="14.1" customHeight="1"/>
    <row r="652" ht="14.1" customHeight="1"/>
    <row r="653" ht="14.1" customHeight="1"/>
    <row r="654" ht="14.1" customHeight="1"/>
    <row r="655" ht="14.1" customHeight="1"/>
    <row r="656" ht="14.1" customHeight="1"/>
    <row r="657" ht="14.1" customHeight="1"/>
    <row r="658" ht="14.1" customHeight="1"/>
    <row r="659" ht="14.1" customHeight="1"/>
    <row r="660" ht="14.1" customHeight="1"/>
    <row r="661" ht="14.1" customHeight="1"/>
    <row r="662" ht="14.1" customHeight="1"/>
    <row r="663" ht="14.1" customHeight="1"/>
    <row r="664" ht="14.1" customHeight="1"/>
    <row r="665" ht="14.1" customHeight="1"/>
    <row r="666" ht="14.1" customHeight="1"/>
    <row r="667" ht="14.1" customHeight="1"/>
    <row r="668" ht="14.1" customHeight="1"/>
    <row r="669" ht="14.1" customHeight="1"/>
    <row r="670" ht="14.1" customHeight="1"/>
    <row r="671" ht="14.1" customHeight="1"/>
    <row r="672" ht="14.1" customHeight="1"/>
    <row r="673" ht="14.1" customHeight="1"/>
    <row r="674" ht="14.1" customHeight="1"/>
    <row r="675" ht="14.1" customHeight="1"/>
    <row r="676" ht="14.1" customHeight="1"/>
    <row r="677" ht="14.1" customHeight="1"/>
    <row r="678" ht="14.1" customHeight="1"/>
    <row r="679" ht="14.1" customHeight="1"/>
    <row r="680" ht="14.1" customHeight="1"/>
    <row r="681" ht="14.1" customHeight="1"/>
    <row r="682" ht="14.1" customHeight="1"/>
    <row r="683" ht="14.1" customHeight="1"/>
    <row r="684" ht="14.1" customHeight="1"/>
    <row r="685" ht="14.1" customHeight="1"/>
    <row r="686" ht="14.1" customHeight="1"/>
    <row r="687" ht="14.1" customHeight="1"/>
    <row r="688" ht="14.1" customHeight="1"/>
    <row r="689" ht="14.1" customHeight="1"/>
    <row r="690" ht="14.1" customHeight="1"/>
    <row r="691" ht="14.1" customHeight="1"/>
    <row r="692" ht="14.1" customHeight="1"/>
    <row r="693" ht="14.1" customHeight="1"/>
    <row r="694" ht="14.1" customHeight="1"/>
    <row r="695" ht="14.1" customHeight="1"/>
    <row r="696" ht="14.1" customHeight="1"/>
    <row r="697" ht="14.1" customHeight="1"/>
    <row r="698" ht="14.1" customHeight="1"/>
    <row r="699" ht="14.1" customHeight="1"/>
    <row r="700" ht="14.1" customHeight="1"/>
    <row r="701" ht="14.1" customHeight="1"/>
    <row r="702" ht="14.1" customHeight="1"/>
    <row r="703" ht="14.1" customHeight="1"/>
    <row r="704" ht="14.1" customHeight="1"/>
    <row r="705" ht="14.1" customHeight="1"/>
    <row r="706" ht="14.1" customHeight="1"/>
    <row r="707" ht="14.1" customHeight="1"/>
    <row r="708" ht="14.1" customHeight="1"/>
    <row r="709" ht="14.1" customHeight="1"/>
    <row r="710" ht="14.1" customHeight="1"/>
    <row r="711" ht="14.1" customHeight="1"/>
    <row r="712" ht="14.1" customHeight="1"/>
    <row r="713" ht="14.1" customHeight="1"/>
    <row r="714" ht="14.1" customHeight="1"/>
    <row r="715" ht="14.1" customHeight="1"/>
    <row r="716" ht="14.1" customHeight="1"/>
    <row r="717" ht="14.1" customHeight="1"/>
    <row r="718" ht="14.1" customHeight="1"/>
    <row r="719" ht="14.1" customHeight="1"/>
    <row r="720" ht="14.1" customHeight="1"/>
    <row r="721" ht="14.1" customHeight="1"/>
    <row r="722" ht="14.1" customHeight="1"/>
    <row r="723" ht="14.1" customHeight="1"/>
    <row r="724" ht="14.1" customHeight="1"/>
    <row r="725" ht="14.1" customHeight="1"/>
    <row r="726" ht="14.1" customHeight="1"/>
    <row r="727" ht="14.1" customHeight="1"/>
    <row r="728" ht="14.1" customHeight="1"/>
    <row r="729" ht="14.1" customHeight="1"/>
    <row r="730" ht="14.1" customHeight="1"/>
    <row r="731" ht="14.1" customHeight="1"/>
    <row r="732" ht="14.1" customHeight="1"/>
    <row r="733" ht="14.1" customHeight="1"/>
    <row r="734" ht="14.1" customHeight="1"/>
    <row r="735" ht="14.1" customHeight="1"/>
    <row r="736" ht="14.1" customHeight="1"/>
    <row r="737" ht="14.1" customHeight="1"/>
    <row r="738" ht="14.1" customHeight="1"/>
    <row r="739" ht="14.1" customHeight="1"/>
    <row r="740" ht="14.1" customHeight="1"/>
    <row r="741" ht="14.1" customHeight="1"/>
    <row r="742" ht="14.1" customHeight="1"/>
    <row r="743" ht="14.1" customHeight="1"/>
    <row r="744" ht="14.1" customHeight="1"/>
    <row r="745" ht="14.1" customHeight="1"/>
    <row r="746" ht="14.1" customHeight="1"/>
    <row r="747" ht="14.1" customHeight="1"/>
    <row r="748" ht="14.1" customHeight="1"/>
    <row r="749" ht="14.1" customHeight="1"/>
    <row r="750" ht="14.1" customHeight="1"/>
    <row r="751" ht="14.1" customHeight="1"/>
    <row r="752" ht="14.1" customHeight="1"/>
    <row r="753" ht="14.1" customHeight="1"/>
    <row r="754" ht="14.1" customHeight="1"/>
    <row r="755" ht="14.1" customHeight="1"/>
    <row r="756" ht="14.1" customHeight="1"/>
    <row r="757" ht="14.1" customHeight="1"/>
    <row r="758" ht="14.1" customHeight="1"/>
    <row r="759" ht="14.1" customHeight="1"/>
    <row r="760" ht="14.1" customHeight="1"/>
    <row r="761" ht="14.1" customHeight="1"/>
    <row r="762" ht="14.1" customHeight="1"/>
    <row r="763" ht="14.1" customHeight="1"/>
    <row r="764" ht="14.1" customHeight="1"/>
    <row r="765" ht="14.1" customHeight="1"/>
    <row r="766" ht="14.1" customHeight="1"/>
    <row r="767" ht="14.1" customHeight="1"/>
    <row r="768" ht="14.1" customHeight="1"/>
    <row r="769" ht="14.1" customHeight="1"/>
    <row r="770" ht="14.1" customHeight="1"/>
    <row r="771" ht="14.1" customHeight="1"/>
    <row r="772" ht="14.1" customHeight="1"/>
    <row r="773" ht="14.1" customHeight="1"/>
    <row r="774" ht="14.1" customHeight="1"/>
    <row r="775" ht="14.1" customHeight="1"/>
    <row r="776" ht="14.1" customHeight="1"/>
    <row r="777" ht="14.1" customHeight="1"/>
    <row r="778" ht="14.1" customHeight="1"/>
    <row r="779" ht="14.1" customHeight="1"/>
    <row r="780" ht="14.1" customHeight="1"/>
    <row r="781" ht="14.1" customHeight="1"/>
    <row r="782" ht="14.1" customHeight="1"/>
    <row r="783" ht="14.1" customHeight="1"/>
    <row r="784" ht="14.1" customHeight="1"/>
    <row r="785" ht="14.1" customHeight="1"/>
    <row r="786" ht="14.1" customHeight="1"/>
    <row r="787" ht="14.1" customHeight="1"/>
    <row r="788" ht="14.1" customHeight="1"/>
    <row r="789" ht="14.1" customHeight="1"/>
    <row r="790" ht="14.1" customHeight="1"/>
    <row r="791" ht="14.1" customHeight="1"/>
    <row r="792" ht="14.1" customHeight="1"/>
    <row r="793" ht="14.1" customHeight="1"/>
  </sheetData>
  <pageMargins left="0.7" right="0.7" top="0.75" bottom="0.75" header="0.3" footer="0.3"/>
  <headerFooter>
    <oddFooter>&amp;L_x000D_&amp;1#&amp;"Arial"&amp;7&amp;KDAD4CE Public&amp;C&amp;"Verdana"&amp;10 &amp;KC1C1C1_x000D_# Restricted</oddFooter>
  </headerFooter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100-000000000000}">
  <sheetPr>
    <tabColor rgb="FF0070C0"/>
  </sheetPr>
  <dimension ref="A1:U793"/>
  <sheetViews>
    <sheetView zoomScale="80" zoomScaleNormal="80" workbookViewId="0">
      <selection activeCell="A16" sqref="A16"/>
    </sheetView>
  </sheetViews>
  <sheetFormatPr defaultColWidth="8.85546875" defaultRowHeight="15"/>
  <cols>
    <col min="1" max="1" width="4.140625" style="289" customWidth="1"/>
    <col min="2" max="3" width="8.5703125" style="287" customWidth="1"/>
    <col min="4" max="4" width="14.5703125" style="289" customWidth="1"/>
    <col min="5" max="5" width="20.5703125" style="287" customWidth="1"/>
    <col min="6" max="6" width="8.5703125" style="289" customWidth="1"/>
    <col min="7" max="7" width="32.5703125" style="287" customWidth="1"/>
    <col min="8" max="8" width="18.5703125" style="289" customWidth="1"/>
    <col min="9" max="9" width="62.5703125" style="287" customWidth="1"/>
    <col min="10" max="12" width="9.5703125" style="289" customWidth="1"/>
    <col min="13" max="13" width="14.42578125" style="289" bestFit="1" customWidth="1"/>
    <col min="14" max="14" width="8.5703125" style="289" customWidth="1"/>
    <col min="15" max="15" width="10.5703125" style="289" customWidth="1"/>
    <col min="16" max="16" width="5.5703125" style="289" customWidth="1"/>
    <col min="17" max="17" width="1.5703125" style="287" customWidth="1"/>
    <col min="18" max="18" width="10.5703125" style="290" customWidth="1"/>
    <col min="19" max="19" width="1.5703125" style="287" customWidth="1"/>
    <col min="20" max="21" width="10.5703125" style="287" customWidth="1"/>
    <col min="22" max="22" width="8.85546875" style="288" customWidth="1"/>
    <col min="23" max="16384" width="8.85546875" style="288"/>
  </cols>
  <sheetData>
    <row r="1" spans="1:21" s="272" customFormat="1" ht="14.1" customHeight="1">
      <c r="A1" s="271" t="s">
        <v>4612</v>
      </c>
      <c r="E1" s="273"/>
      <c r="R1" s="274"/>
    </row>
    <row r="2" spans="1:21" s="272" customFormat="1" ht="14.1" customHeight="1">
      <c r="A2" s="275" t="s">
        <v>4613</v>
      </c>
      <c r="E2" s="273"/>
      <c r="H2" s="275"/>
      <c r="K2" s="275"/>
      <c r="R2" s="336"/>
    </row>
    <row r="3" spans="1:21" s="281" customFormat="1" ht="14.1" customHeight="1">
      <c r="A3" s="276"/>
      <c r="B3" s="277"/>
      <c r="C3" s="277"/>
      <c r="D3" s="278"/>
      <c r="E3" s="277"/>
      <c r="F3" s="278"/>
      <c r="G3" s="279"/>
      <c r="H3" s="280"/>
      <c r="I3" s="279"/>
      <c r="J3" s="280"/>
      <c r="K3" s="280"/>
      <c r="L3" s="280"/>
      <c r="M3" s="280"/>
      <c r="N3" s="280"/>
      <c r="O3" s="280"/>
      <c r="P3" s="280"/>
      <c r="Q3" s="272"/>
      <c r="R3" s="356" t="s">
        <v>2</v>
      </c>
      <c r="S3" s="272"/>
      <c r="T3" s="280"/>
      <c r="U3" s="280"/>
    </row>
    <row r="4" spans="1:21" s="286" customFormat="1" ht="33" customHeight="1">
      <c r="A4" s="282" t="s">
        <v>3</v>
      </c>
      <c r="B4" s="283" t="s">
        <v>4</v>
      </c>
      <c r="C4" s="283" t="s">
        <v>5</v>
      </c>
      <c r="D4" s="282" t="s">
        <v>6</v>
      </c>
      <c r="E4" s="282" t="s">
        <v>7</v>
      </c>
      <c r="F4" s="282" t="s">
        <v>8</v>
      </c>
      <c r="G4" s="282" t="s">
        <v>9</v>
      </c>
      <c r="H4" s="282" t="s">
        <v>10</v>
      </c>
      <c r="I4" s="282" t="s">
        <v>11</v>
      </c>
      <c r="J4" s="282" t="s">
        <v>12</v>
      </c>
      <c r="K4" s="282" t="s">
        <v>13</v>
      </c>
      <c r="L4" s="282" t="s">
        <v>455</v>
      </c>
      <c r="M4" s="282" t="s">
        <v>15</v>
      </c>
      <c r="N4" s="282" t="s">
        <v>16</v>
      </c>
      <c r="O4" s="282" t="s">
        <v>17</v>
      </c>
      <c r="P4" s="282" t="s">
        <v>18</v>
      </c>
      <c r="Q4" s="276"/>
      <c r="R4" s="284" t="s">
        <v>19</v>
      </c>
      <c r="S4" s="276"/>
      <c r="T4" s="285" t="s">
        <v>20</v>
      </c>
      <c r="U4" s="285" t="s">
        <v>21</v>
      </c>
    </row>
    <row r="5" spans="1:21" s="296" customFormat="1" ht="14.1" customHeight="1">
      <c r="A5" s="291">
        <v>1</v>
      </c>
      <c r="B5" s="292" t="s">
        <v>609</v>
      </c>
      <c r="C5" s="292" t="s">
        <v>4614</v>
      </c>
      <c r="D5" s="291" t="s">
        <v>773</v>
      </c>
      <c r="E5" s="292" t="s">
        <v>399</v>
      </c>
      <c r="F5" s="291" t="s">
        <v>26</v>
      </c>
      <c r="G5" s="292" t="s">
        <v>4615</v>
      </c>
      <c r="H5" s="291" t="s">
        <v>121</v>
      </c>
      <c r="I5" s="293" t="s">
        <v>4616</v>
      </c>
      <c r="J5" s="291" t="s">
        <v>30</v>
      </c>
      <c r="K5" s="291" t="s">
        <v>31</v>
      </c>
      <c r="L5" s="291" t="s">
        <v>322</v>
      </c>
      <c r="M5" s="291">
        <v>8302100000</v>
      </c>
      <c r="N5" s="291">
        <v>500</v>
      </c>
      <c r="O5" s="291">
        <v>30</v>
      </c>
      <c r="P5" s="291"/>
      <c r="Q5" s="294"/>
      <c r="R5" s="319">
        <v>19.390818365696472</v>
      </c>
      <c r="S5" s="294"/>
      <c r="T5" s="295"/>
      <c r="U5" s="295"/>
    </row>
    <row r="6" spans="1:21" s="296" customFormat="1" ht="14.1" customHeight="1">
      <c r="A6" s="291">
        <v>2</v>
      </c>
      <c r="B6" s="292" t="s">
        <v>609</v>
      </c>
      <c r="C6" s="292" t="s">
        <v>4614</v>
      </c>
      <c r="D6" s="291" t="s">
        <v>773</v>
      </c>
      <c r="E6" s="292" t="s">
        <v>399</v>
      </c>
      <c r="F6" s="291" t="s">
        <v>26</v>
      </c>
      <c r="G6" s="292" t="s">
        <v>4617</v>
      </c>
      <c r="H6" s="291" t="s">
        <v>121</v>
      </c>
      <c r="I6" s="293" t="s">
        <v>4618</v>
      </c>
      <c r="J6" s="291" t="s">
        <v>30</v>
      </c>
      <c r="K6" s="291" t="s">
        <v>31</v>
      </c>
      <c r="L6" s="291" t="s">
        <v>322</v>
      </c>
      <c r="M6" s="291">
        <v>8302100000</v>
      </c>
      <c r="N6" s="291">
        <v>500</v>
      </c>
      <c r="O6" s="291">
        <v>30</v>
      </c>
      <c r="P6" s="291"/>
      <c r="Q6" s="294"/>
      <c r="R6" s="319">
        <v>24.033690368750559</v>
      </c>
      <c r="S6" s="294"/>
      <c r="T6" s="292"/>
      <c r="U6" s="295"/>
    </row>
    <row r="7" spans="1:21" s="296" customFormat="1" ht="14.1" customHeight="1">
      <c r="A7" s="291">
        <v>3</v>
      </c>
      <c r="B7" s="292" t="s">
        <v>609</v>
      </c>
      <c r="C7" s="292" t="s">
        <v>4614</v>
      </c>
      <c r="D7" s="291" t="s">
        <v>773</v>
      </c>
      <c r="E7" s="292" t="s">
        <v>399</v>
      </c>
      <c r="F7" s="291" t="s">
        <v>26</v>
      </c>
      <c r="G7" s="292" t="s">
        <v>4619</v>
      </c>
      <c r="H7" s="291" t="s">
        <v>121</v>
      </c>
      <c r="I7" s="293" t="s">
        <v>4620</v>
      </c>
      <c r="J7" s="291" t="s">
        <v>30</v>
      </c>
      <c r="K7" s="291" t="s">
        <v>31</v>
      </c>
      <c r="L7" s="291" t="s">
        <v>322</v>
      </c>
      <c r="M7" s="291">
        <v>8302100000</v>
      </c>
      <c r="N7" s="291">
        <v>500</v>
      </c>
      <c r="O7" s="291">
        <v>30</v>
      </c>
      <c r="P7" s="291"/>
      <c r="Q7" s="294"/>
      <c r="R7" s="319">
        <v>25.12613084005741</v>
      </c>
      <c r="S7" s="294"/>
      <c r="T7" s="292"/>
      <c r="U7" s="295"/>
    </row>
    <row r="8" spans="1:21" s="296" customFormat="1" ht="14.1" customHeight="1">
      <c r="A8" s="291">
        <v>4</v>
      </c>
      <c r="B8" s="292" t="s">
        <v>4384</v>
      </c>
      <c r="C8" s="292" t="s">
        <v>4614</v>
      </c>
      <c r="D8" s="291" t="s">
        <v>773</v>
      </c>
      <c r="E8" s="292" t="s">
        <v>399</v>
      </c>
      <c r="F8" s="291" t="s">
        <v>457</v>
      </c>
      <c r="G8" s="292" t="s">
        <v>4621</v>
      </c>
      <c r="H8" s="291" t="s">
        <v>121</v>
      </c>
      <c r="I8" s="293" t="s">
        <v>4622</v>
      </c>
      <c r="J8" s="291" t="s">
        <v>30</v>
      </c>
      <c r="K8" s="291" t="s">
        <v>31</v>
      </c>
      <c r="L8" s="291" t="s">
        <v>322</v>
      </c>
      <c r="M8" s="291">
        <v>8302100000</v>
      </c>
      <c r="N8" s="291">
        <v>500</v>
      </c>
      <c r="O8" s="291">
        <v>30</v>
      </c>
      <c r="P8" s="291"/>
      <c r="Q8" s="294"/>
      <c r="R8" s="319">
        <v>19.390818365696472</v>
      </c>
      <c r="S8" s="294"/>
      <c r="T8" s="292"/>
      <c r="U8" s="295"/>
    </row>
    <row r="9" spans="1:21" s="296" customFormat="1" ht="14.1" customHeight="1">
      <c r="A9" s="291">
        <v>5</v>
      </c>
      <c r="B9" s="292" t="s">
        <v>4384</v>
      </c>
      <c r="C9" s="292" t="s">
        <v>4614</v>
      </c>
      <c r="D9" s="291" t="s">
        <v>773</v>
      </c>
      <c r="E9" s="292" t="s">
        <v>399</v>
      </c>
      <c r="F9" s="291" t="s">
        <v>457</v>
      </c>
      <c r="G9" s="292" t="s">
        <v>4623</v>
      </c>
      <c r="H9" s="291" t="s">
        <v>121</v>
      </c>
      <c r="I9" s="293" t="s">
        <v>4624</v>
      </c>
      <c r="J9" s="291" t="s">
        <v>30</v>
      </c>
      <c r="K9" s="291" t="s">
        <v>31</v>
      </c>
      <c r="L9" s="291" t="s">
        <v>322</v>
      </c>
      <c r="M9" s="291">
        <v>8302100000</v>
      </c>
      <c r="N9" s="291">
        <v>500</v>
      </c>
      <c r="O9" s="291">
        <v>30</v>
      </c>
      <c r="P9" s="291"/>
      <c r="Q9" s="294"/>
      <c r="R9" s="319">
        <v>24.033690368750559</v>
      </c>
      <c r="S9" s="294"/>
      <c r="T9" s="292"/>
      <c r="U9" s="295"/>
    </row>
    <row r="10" spans="1:21" s="296" customFormat="1" ht="14.1" customHeight="1">
      <c r="A10" s="291">
        <v>6</v>
      </c>
      <c r="B10" s="292" t="s">
        <v>4384</v>
      </c>
      <c r="C10" s="292" t="s">
        <v>4614</v>
      </c>
      <c r="D10" s="291" t="s">
        <v>773</v>
      </c>
      <c r="E10" s="292" t="s">
        <v>399</v>
      </c>
      <c r="F10" s="291" t="s">
        <v>457</v>
      </c>
      <c r="G10" s="292" t="s">
        <v>4625</v>
      </c>
      <c r="H10" s="291" t="s">
        <v>121</v>
      </c>
      <c r="I10" s="293" t="s">
        <v>4626</v>
      </c>
      <c r="J10" s="291" t="s">
        <v>30</v>
      </c>
      <c r="K10" s="291" t="s">
        <v>31</v>
      </c>
      <c r="L10" s="291" t="s">
        <v>322</v>
      </c>
      <c r="M10" s="291">
        <v>8302100000</v>
      </c>
      <c r="N10" s="291">
        <v>500</v>
      </c>
      <c r="O10" s="291">
        <v>30</v>
      </c>
      <c r="P10" s="291"/>
      <c r="Q10" s="294"/>
      <c r="R10" s="319">
        <v>25.12613084005741</v>
      </c>
      <c r="S10" s="294"/>
      <c r="T10" s="292"/>
      <c r="U10" s="295"/>
    </row>
    <row r="11" spans="1:21" ht="14.1" customHeight="1"/>
    <row r="12" spans="1:21" ht="14.1" customHeight="1"/>
    <row r="13" spans="1:21" ht="14.1" customHeight="1"/>
    <row r="14" spans="1:21" ht="14.1" customHeight="1"/>
    <row r="15" spans="1:21" ht="14.1" customHeight="1"/>
    <row r="16" spans="1:21" ht="14.1" customHeight="1"/>
    <row r="17" ht="14.1" customHeight="1"/>
    <row r="18" ht="14.1" customHeight="1"/>
    <row r="19" ht="14.1" customHeight="1"/>
    <row r="20" ht="14.1" customHeight="1"/>
    <row r="21" ht="14.1" customHeight="1"/>
    <row r="22" ht="14.1" customHeight="1"/>
    <row r="23" ht="14.1" customHeight="1"/>
    <row r="24" ht="14.1" customHeight="1"/>
    <row r="25" ht="14.1" customHeight="1"/>
    <row r="26" ht="14.1" customHeight="1"/>
    <row r="27" ht="14.1" customHeight="1"/>
    <row r="28" ht="14.1" customHeight="1"/>
    <row r="29" ht="14.1" customHeight="1"/>
    <row r="30" ht="14.1" customHeight="1"/>
    <row r="31" ht="14.1" customHeight="1"/>
    <row r="32" ht="14.1" customHeight="1"/>
    <row r="33" ht="14.1" customHeight="1"/>
    <row r="34" ht="14.1" customHeight="1"/>
    <row r="35" ht="14.1" customHeight="1"/>
    <row r="36" ht="14.1" customHeight="1"/>
    <row r="37" ht="14.1" customHeight="1"/>
    <row r="38" ht="14.1" customHeight="1"/>
    <row r="39" ht="14.1" customHeight="1"/>
    <row r="40" ht="14.1" customHeight="1"/>
    <row r="41" ht="14.1" customHeight="1"/>
    <row r="42" ht="14.1" customHeight="1"/>
    <row r="43" ht="14.1" customHeight="1"/>
    <row r="44" ht="14.1" customHeight="1"/>
    <row r="45" ht="14.1" customHeight="1"/>
    <row r="46" ht="14.1" customHeight="1"/>
    <row r="47" ht="14.1" customHeight="1"/>
    <row r="48" ht="14.1" customHeight="1"/>
    <row r="49" ht="14.1" customHeight="1"/>
    <row r="50" ht="14.1" customHeight="1"/>
    <row r="51" ht="14.1" customHeight="1"/>
    <row r="52" ht="14.1" customHeight="1"/>
    <row r="53" ht="14.1" customHeight="1"/>
    <row r="54" ht="14.1" customHeight="1"/>
    <row r="55" ht="14.1" customHeight="1"/>
    <row r="56" ht="14.1" customHeight="1"/>
    <row r="57" ht="14.1" customHeight="1"/>
    <row r="58" ht="14.1" customHeight="1"/>
    <row r="59" ht="14.1" customHeight="1"/>
    <row r="60" ht="14.1" customHeight="1"/>
    <row r="61" ht="14.1" customHeight="1"/>
    <row r="62" ht="14.1" customHeight="1"/>
    <row r="63" ht="14.1" customHeight="1"/>
    <row r="64" ht="14.1" customHeight="1"/>
    <row r="65" ht="14.1" customHeight="1"/>
    <row r="66" ht="14.1" customHeight="1"/>
    <row r="67" ht="14.1" customHeight="1"/>
    <row r="68" ht="14.1" customHeight="1"/>
    <row r="69" ht="14.1" customHeight="1"/>
    <row r="70" ht="14.1" customHeight="1"/>
    <row r="71" ht="14.1" customHeight="1"/>
    <row r="72" ht="14.1" customHeight="1"/>
    <row r="73" ht="14.1" customHeight="1"/>
    <row r="74" ht="14.1" customHeight="1"/>
    <row r="75" ht="14.1" customHeight="1"/>
    <row r="76" ht="14.1" customHeight="1"/>
    <row r="77" ht="14.1" customHeight="1"/>
    <row r="78" ht="14.1" customHeight="1"/>
    <row r="79" ht="14.1" customHeight="1"/>
    <row r="80" ht="14.1" customHeight="1"/>
    <row r="81" ht="14.1" customHeight="1"/>
    <row r="82" ht="14.1" customHeight="1"/>
    <row r="83" ht="14.1" customHeight="1"/>
    <row r="84" ht="14.1" customHeight="1"/>
    <row r="85" ht="14.1" customHeight="1"/>
    <row r="86" ht="14.1" customHeight="1"/>
    <row r="87" ht="14.1" customHeight="1"/>
    <row r="88" ht="14.1" customHeight="1"/>
    <row r="89" ht="14.1" customHeight="1"/>
    <row r="90" ht="14.1" customHeight="1"/>
    <row r="91" ht="14.1" customHeight="1"/>
    <row r="92" ht="14.1" customHeight="1"/>
    <row r="93" ht="14.1" customHeight="1"/>
    <row r="94" ht="14.1" customHeight="1"/>
    <row r="95" ht="14.1" customHeight="1"/>
    <row r="96" ht="14.1" customHeight="1"/>
    <row r="97" ht="14.1" customHeight="1"/>
    <row r="98" ht="14.1" customHeight="1"/>
    <row r="99" ht="14.1" customHeight="1"/>
    <row r="100" ht="14.1" customHeight="1"/>
    <row r="101" ht="14.1" customHeight="1"/>
    <row r="102" ht="14.1" customHeight="1"/>
    <row r="103" ht="14.1" customHeight="1"/>
    <row r="104" ht="14.1" customHeight="1"/>
    <row r="105" ht="14.1" customHeight="1"/>
    <row r="106" ht="14.1" customHeight="1"/>
    <row r="107" ht="14.1" customHeight="1"/>
    <row r="108" ht="14.1" customHeight="1"/>
    <row r="109" ht="14.1" customHeight="1"/>
    <row r="110" ht="14.1" customHeight="1"/>
    <row r="111" ht="14.1" customHeight="1"/>
    <row r="112" ht="14.1" customHeight="1"/>
    <row r="113" ht="14.1" customHeight="1"/>
    <row r="114" ht="14.1" customHeight="1"/>
    <row r="115" ht="14.1" customHeight="1"/>
    <row r="116" ht="14.1" customHeight="1"/>
    <row r="117" ht="14.1" customHeight="1"/>
    <row r="118" ht="14.1" customHeight="1"/>
    <row r="119" ht="14.1" customHeight="1"/>
    <row r="120" ht="14.1" customHeight="1"/>
    <row r="121" ht="14.1" customHeight="1"/>
    <row r="122" ht="14.1" customHeight="1"/>
    <row r="123" ht="14.1" customHeight="1"/>
    <row r="124" ht="14.1" customHeight="1"/>
    <row r="125" ht="14.1" customHeight="1"/>
    <row r="126" ht="14.1" customHeight="1"/>
    <row r="127" ht="14.1" customHeight="1"/>
    <row r="128" ht="14.1" customHeight="1"/>
    <row r="129" ht="14.1" customHeight="1"/>
    <row r="130" ht="14.1" customHeight="1"/>
    <row r="131" ht="14.1" customHeight="1"/>
    <row r="132" ht="14.1" customHeight="1"/>
    <row r="133" ht="14.1" customHeight="1"/>
    <row r="134" ht="14.1" customHeight="1"/>
    <row r="135" ht="14.1" customHeight="1"/>
    <row r="136" ht="14.1" customHeight="1"/>
    <row r="137" ht="14.1" customHeight="1"/>
    <row r="138" ht="14.1" customHeight="1"/>
    <row r="139" ht="14.1" customHeight="1"/>
    <row r="140" ht="14.1" customHeight="1"/>
    <row r="141" ht="14.1" customHeight="1"/>
    <row r="142" ht="14.1" customHeight="1"/>
    <row r="143" ht="14.1" customHeight="1"/>
    <row r="144" ht="14.1" customHeight="1"/>
    <row r="145" ht="14.1" customHeight="1"/>
    <row r="146" ht="14.1" customHeight="1"/>
    <row r="147" ht="14.1" customHeight="1"/>
    <row r="148" ht="14.1" customHeight="1"/>
    <row r="149" ht="14.1" customHeight="1"/>
    <row r="150" ht="14.1" customHeight="1"/>
    <row r="151" ht="14.1" customHeight="1"/>
    <row r="152" ht="14.1" customHeight="1"/>
    <row r="153" ht="14.1" customHeight="1"/>
    <row r="154" ht="14.1" customHeight="1"/>
    <row r="155" ht="14.1" customHeight="1"/>
    <row r="156" ht="14.1" customHeight="1"/>
    <row r="157" ht="14.1" customHeight="1"/>
    <row r="158" ht="14.1" customHeight="1"/>
    <row r="159" ht="14.1" customHeight="1"/>
    <row r="160" ht="14.1" customHeight="1"/>
    <row r="161" ht="14.1" customHeight="1"/>
    <row r="162" ht="14.1" customHeight="1"/>
    <row r="163" ht="14.1" customHeight="1"/>
    <row r="164" ht="14.1" customHeight="1"/>
    <row r="165" ht="14.1" customHeight="1"/>
    <row r="166" ht="14.1" customHeight="1"/>
    <row r="167" ht="14.1" customHeight="1"/>
    <row r="168" ht="14.1" customHeight="1"/>
    <row r="169" ht="14.1" customHeight="1"/>
    <row r="170" ht="14.1" customHeight="1"/>
    <row r="171" ht="14.1" customHeight="1"/>
    <row r="172" ht="14.1" customHeight="1"/>
    <row r="173" ht="14.1" customHeight="1"/>
    <row r="174" ht="14.1" customHeight="1"/>
    <row r="175" ht="14.1" customHeight="1"/>
    <row r="176" ht="14.1" customHeight="1"/>
    <row r="177" ht="14.1" customHeight="1"/>
    <row r="178" ht="14.1" customHeight="1"/>
    <row r="179" ht="14.1" customHeight="1"/>
    <row r="180" ht="14.1" customHeight="1"/>
    <row r="181" ht="14.1" customHeight="1"/>
    <row r="182" ht="14.1" customHeight="1"/>
    <row r="183" ht="14.1" customHeight="1"/>
    <row r="184" ht="14.1" customHeight="1"/>
    <row r="185" ht="14.1" customHeight="1"/>
    <row r="186" ht="14.1" customHeight="1"/>
    <row r="187" ht="14.1" customHeight="1"/>
    <row r="188" ht="14.1" customHeight="1"/>
    <row r="189" ht="14.1" customHeight="1"/>
    <row r="190" ht="14.1" customHeight="1"/>
    <row r="191" ht="14.1" customHeight="1"/>
    <row r="192" ht="14.1" customHeight="1"/>
    <row r="193" ht="14.1" customHeight="1"/>
    <row r="194" ht="14.1" customHeight="1"/>
    <row r="195" ht="14.1" customHeight="1"/>
    <row r="196" ht="14.1" customHeight="1"/>
    <row r="197" ht="14.1" customHeight="1"/>
    <row r="198" ht="14.1" customHeight="1"/>
    <row r="199" ht="14.1" customHeight="1"/>
    <row r="200" ht="14.1" customHeight="1"/>
    <row r="201" ht="14.1" customHeight="1"/>
    <row r="202" ht="14.1" customHeight="1"/>
    <row r="203" ht="14.1" customHeight="1"/>
    <row r="204" ht="14.1" customHeight="1"/>
    <row r="205" ht="14.1" customHeight="1"/>
    <row r="206" ht="14.1" customHeight="1"/>
    <row r="207" ht="14.1" customHeight="1"/>
    <row r="208" ht="14.1" customHeight="1"/>
    <row r="209" ht="14.1" customHeight="1"/>
    <row r="210" ht="14.1" customHeight="1"/>
    <row r="211" ht="14.1" customHeight="1"/>
    <row r="212" ht="14.1" customHeight="1"/>
    <row r="213" ht="14.1" customHeight="1"/>
    <row r="214" ht="14.1" customHeight="1"/>
    <row r="215" ht="14.1" customHeight="1"/>
    <row r="216" ht="14.1" customHeight="1"/>
    <row r="217" ht="14.1" customHeight="1"/>
    <row r="218" ht="14.1" customHeight="1"/>
    <row r="219" ht="14.1" customHeight="1"/>
    <row r="220" ht="14.1" customHeight="1"/>
    <row r="221" ht="14.1" customHeight="1"/>
    <row r="222" ht="14.1" customHeight="1"/>
    <row r="223" ht="14.1" customHeight="1"/>
    <row r="224" ht="14.1" customHeight="1"/>
    <row r="225" ht="14.1" customHeight="1"/>
    <row r="226" ht="14.1" customHeight="1"/>
    <row r="227" ht="14.1" customHeight="1"/>
    <row r="228" ht="14.1" customHeight="1"/>
    <row r="229" ht="14.1" customHeight="1"/>
    <row r="230" ht="14.1" customHeight="1"/>
    <row r="231" ht="14.1" customHeight="1"/>
    <row r="232" ht="14.1" customHeight="1"/>
    <row r="233" ht="14.1" customHeight="1"/>
    <row r="234" ht="14.1" customHeight="1"/>
    <row r="235" ht="14.1" customHeight="1"/>
    <row r="236" ht="14.1" customHeight="1"/>
    <row r="237" ht="14.1" customHeight="1"/>
    <row r="238" ht="14.1" customHeight="1"/>
    <row r="239" ht="14.1" customHeight="1"/>
    <row r="240" ht="14.1" customHeight="1"/>
    <row r="241" ht="14.1" customHeight="1"/>
    <row r="242" ht="14.1" customHeight="1"/>
    <row r="243" ht="14.1" customHeight="1"/>
    <row r="244" ht="14.1" customHeight="1"/>
    <row r="245" ht="14.1" customHeight="1"/>
    <row r="246" ht="14.1" customHeight="1"/>
    <row r="247" ht="14.1" customHeight="1"/>
    <row r="248" ht="14.1" customHeight="1"/>
    <row r="249" ht="14.1" customHeight="1"/>
    <row r="250" ht="14.1" customHeight="1"/>
    <row r="251" ht="14.1" customHeight="1"/>
    <row r="252" ht="14.1" customHeight="1"/>
    <row r="253" ht="14.1" customHeight="1"/>
    <row r="254" ht="14.1" customHeight="1"/>
    <row r="255" ht="14.1" customHeight="1"/>
    <row r="256" ht="14.1" customHeight="1"/>
    <row r="257" ht="14.1" customHeight="1"/>
    <row r="258" ht="14.1" customHeight="1"/>
    <row r="259" ht="14.1" customHeight="1"/>
    <row r="260" ht="14.1" customHeight="1"/>
    <row r="261" ht="14.1" customHeight="1"/>
    <row r="262" ht="14.1" customHeight="1"/>
    <row r="263" ht="14.1" customHeight="1"/>
    <row r="264" ht="14.1" customHeight="1"/>
    <row r="265" ht="14.1" customHeight="1"/>
    <row r="266" ht="14.1" customHeight="1"/>
    <row r="267" ht="14.1" customHeight="1"/>
    <row r="268" ht="14.1" customHeight="1"/>
    <row r="269" ht="14.1" customHeight="1"/>
    <row r="270" ht="14.1" customHeight="1"/>
    <row r="271" ht="14.1" customHeight="1"/>
    <row r="272" ht="14.1" customHeight="1"/>
    <row r="273" ht="14.1" customHeight="1"/>
    <row r="274" ht="14.1" customHeight="1"/>
    <row r="275" ht="14.1" customHeight="1"/>
    <row r="276" ht="14.1" customHeight="1"/>
    <row r="277" ht="14.1" customHeight="1"/>
    <row r="278" ht="14.1" customHeight="1"/>
    <row r="279" ht="14.1" customHeight="1"/>
    <row r="280" ht="14.1" customHeight="1"/>
    <row r="281" ht="14.1" customHeight="1"/>
    <row r="282" ht="14.1" customHeight="1"/>
    <row r="283" ht="14.1" customHeight="1"/>
    <row r="284" ht="14.1" customHeight="1"/>
    <row r="285" ht="14.1" customHeight="1"/>
    <row r="286" ht="14.1" customHeight="1"/>
    <row r="287" ht="14.1" customHeight="1"/>
    <row r="288" ht="14.1" customHeight="1"/>
    <row r="289" ht="14.1" customHeight="1"/>
    <row r="290" ht="14.1" customHeight="1"/>
    <row r="291" ht="14.1" customHeight="1"/>
    <row r="292" ht="14.1" customHeight="1"/>
    <row r="293" ht="14.1" customHeight="1"/>
    <row r="294" ht="14.1" customHeight="1"/>
    <row r="295" ht="14.1" customHeight="1"/>
    <row r="296" ht="14.1" customHeight="1"/>
    <row r="297" ht="14.1" customHeight="1"/>
    <row r="298" ht="14.1" customHeight="1"/>
    <row r="299" ht="14.1" customHeight="1"/>
    <row r="300" ht="14.1" customHeight="1"/>
    <row r="301" ht="14.1" customHeight="1"/>
    <row r="302" ht="14.1" customHeight="1"/>
    <row r="303" ht="14.1" customHeight="1"/>
    <row r="304" ht="14.1" customHeight="1"/>
    <row r="305" ht="14.1" customHeight="1"/>
    <row r="306" ht="14.1" customHeight="1"/>
    <row r="307" ht="14.1" customHeight="1"/>
    <row r="308" ht="14.1" customHeight="1"/>
    <row r="309" ht="14.1" customHeight="1"/>
    <row r="310" ht="14.1" customHeight="1"/>
    <row r="311" ht="14.1" customHeight="1"/>
    <row r="312" ht="14.1" customHeight="1"/>
    <row r="313" ht="14.1" customHeight="1"/>
    <row r="314" ht="14.1" customHeight="1"/>
    <row r="315" ht="14.1" customHeight="1"/>
    <row r="316" ht="14.1" customHeight="1"/>
    <row r="317" ht="14.1" customHeight="1"/>
    <row r="318" ht="14.1" customHeight="1"/>
    <row r="319" ht="14.1" customHeight="1"/>
    <row r="320" ht="14.1" customHeight="1"/>
    <row r="321" ht="14.1" customHeight="1"/>
    <row r="322" ht="14.1" customHeight="1"/>
    <row r="323" ht="14.1" customHeight="1"/>
    <row r="324" ht="14.1" customHeight="1"/>
    <row r="325" ht="14.1" customHeight="1"/>
    <row r="326" ht="14.1" customHeight="1"/>
    <row r="327" ht="14.1" customHeight="1"/>
    <row r="328" ht="14.1" customHeight="1"/>
    <row r="329" ht="14.1" customHeight="1"/>
    <row r="330" ht="14.1" customHeight="1"/>
    <row r="331" ht="14.1" customHeight="1"/>
    <row r="332" ht="14.1" customHeight="1"/>
    <row r="333" ht="14.1" customHeight="1"/>
    <row r="334" ht="14.1" customHeight="1"/>
    <row r="335" ht="14.1" customHeight="1"/>
    <row r="336" ht="14.1" customHeight="1"/>
    <row r="337" ht="14.1" customHeight="1"/>
    <row r="338" ht="14.1" customHeight="1"/>
    <row r="339" ht="14.1" customHeight="1"/>
    <row r="340" ht="14.1" customHeight="1"/>
    <row r="341" ht="14.1" customHeight="1"/>
    <row r="342" ht="14.1" customHeight="1"/>
    <row r="343" ht="14.1" customHeight="1"/>
    <row r="344" ht="14.1" customHeight="1"/>
    <row r="345" ht="14.1" customHeight="1"/>
    <row r="346" ht="14.1" customHeight="1"/>
    <row r="347" ht="14.1" customHeight="1"/>
    <row r="348" ht="14.1" customHeight="1"/>
    <row r="349" ht="14.1" customHeight="1"/>
    <row r="350" ht="14.1" customHeight="1"/>
    <row r="351" ht="14.1" customHeight="1"/>
    <row r="352" ht="14.1" customHeight="1"/>
    <row r="353" ht="14.1" customHeight="1"/>
    <row r="354" ht="14.1" customHeight="1"/>
    <row r="355" ht="14.1" customHeight="1"/>
    <row r="356" ht="14.1" customHeight="1"/>
    <row r="357" ht="14.1" customHeight="1"/>
    <row r="358" ht="14.1" customHeight="1"/>
    <row r="359" ht="14.1" customHeight="1"/>
    <row r="360" ht="14.1" customHeight="1"/>
    <row r="361" ht="14.1" customHeight="1"/>
    <row r="362" ht="14.1" customHeight="1"/>
    <row r="363" ht="14.1" customHeight="1"/>
    <row r="364" ht="14.1" customHeight="1"/>
    <row r="365" ht="14.1" customHeight="1"/>
    <row r="366" ht="14.1" customHeight="1"/>
    <row r="367" ht="14.1" customHeight="1"/>
    <row r="368" ht="14.1" customHeight="1"/>
    <row r="369" ht="14.1" customHeight="1"/>
    <row r="370" ht="14.1" customHeight="1"/>
    <row r="371" ht="14.1" customHeight="1"/>
    <row r="372" ht="14.1" customHeight="1"/>
    <row r="373" ht="14.1" customHeight="1"/>
    <row r="374" ht="14.1" customHeight="1"/>
    <row r="375" ht="14.1" customHeight="1"/>
    <row r="376" ht="14.1" customHeight="1"/>
    <row r="377" ht="14.1" customHeight="1"/>
    <row r="378" ht="14.1" customHeight="1"/>
    <row r="379" ht="14.1" customHeight="1"/>
    <row r="380" ht="14.1" customHeight="1"/>
    <row r="381" ht="14.1" customHeight="1"/>
    <row r="382" ht="14.1" customHeight="1"/>
    <row r="383" ht="14.1" customHeight="1"/>
    <row r="384" ht="14.1" customHeight="1"/>
    <row r="385" ht="14.1" customHeight="1"/>
    <row r="386" ht="14.1" customHeight="1"/>
    <row r="387" ht="14.1" customHeight="1"/>
    <row r="388" ht="14.1" customHeight="1"/>
    <row r="389" ht="14.1" customHeight="1"/>
    <row r="390" ht="14.1" customHeight="1"/>
    <row r="391" ht="14.1" customHeight="1"/>
    <row r="392" ht="14.1" customHeight="1"/>
    <row r="393" ht="14.1" customHeight="1"/>
    <row r="394" ht="14.1" customHeight="1"/>
    <row r="395" ht="14.1" customHeight="1"/>
    <row r="396" ht="14.1" customHeight="1"/>
    <row r="397" ht="14.1" customHeight="1"/>
    <row r="398" ht="14.1" customHeight="1"/>
    <row r="399" ht="14.1" customHeight="1"/>
    <row r="400" ht="14.1" customHeight="1"/>
    <row r="401" ht="14.1" customHeight="1"/>
    <row r="402" ht="14.1" customHeight="1"/>
    <row r="403" ht="14.1" customHeight="1"/>
    <row r="404" ht="14.1" customHeight="1"/>
    <row r="405" ht="14.1" customHeight="1"/>
    <row r="406" ht="14.1" customHeight="1"/>
    <row r="407" ht="14.1" customHeight="1"/>
    <row r="408" ht="14.1" customHeight="1"/>
    <row r="409" ht="14.1" customHeight="1"/>
    <row r="410" ht="14.1" customHeight="1"/>
    <row r="411" ht="14.1" customHeight="1"/>
    <row r="412" ht="14.1" customHeight="1"/>
    <row r="413" ht="14.1" customHeight="1"/>
    <row r="414" ht="14.1" customHeight="1"/>
    <row r="415" ht="14.1" customHeight="1"/>
    <row r="416" ht="14.1" customHeight="1"/>
    <row r="417" ht="14.1" customHeight="1"/>
    <row r="418" ht="14.1" customHeight="1"/>
    <row r="419" ht="14.1" customHeight="1"/>
    <row r="420" ht="14.1" customHeight="1"/>
    <row r="421" ht="14.1" customHeight="1"/>
    <row r="422" ht="14.1" customHeight="1"/>
    <row r="423" ht="14.1" customHeight="1"/>
    <row r="424" ht="14.1" customHeight="1"/>
    <row r="425" ht="14.1" customHeight="1"/>
    <row r="426" ht="14.1" customHeight="1"/>
    <row r="427" ht="14.1" customHeight="1"/>
    <row r="428" ht="14.1" customHeight="1"/>
    <row r="429" ht="14.1" customHeight="1"/>
    <row r="430" ht="14.1" customHeight="1"/>
    <row r="431" ht="14.1" customHeight="1"/>
    <row r="432" ht="14.1" customHeight="1"/>
    <row r="433" ht="14.1" customHeight="1"/>
    <row r="434" ht="14.1" customHeight="1"/>
    <row r="435" ht="14.1" customHeight="1"/>
    <row r="436" ht="14.1" customHeight="1"/>
    <row r="437" ht="14.1" customHeight="1"/>
    <row r="438" ht="14.1" customHeight="1"/>
    <row r="439" ht="14.1" customHeight="1"/>
    <row r="440" ht="14.1" customHeight="1"/>
    <row r="441" ht="14.1" customHeight="1"/>
    <row r="442" ht="14.1" customHeight="1"/>
    <row r="443" ht="14.1" customHeight="1"/>
    <row r="444" ht="14.1" customHeight="1"/>
    <row r="445" ht="14.1" customHeight="1"/>
    <row r="446" ht="14.1" customHeight="1"/>
    <row r="447" ht="14.1" customHeight="1"/>
    <row r="448" ht="14.1" customHeight="1"/>
    <row r="449" ht="14.1" customHeight="1"/>
    <row r="450" ht="14.1" customHeight="1"/>
    <row r="451" ht="14.1" customHeight="1"/>
    <row r="452" ht="14.1" customHeight="1"/>
    <row r="453" ht="14.1" customHeight="1"/>
    <row r="454" ht="14.1" customHeight="1"/>
    <row r="455" ht="14.1" customHeight="1"/>
    <row r="456" ht="14.1" customHeight="1"/>
    <row r="457" ht="14.1" customHeight="1"/>
    <row r="458" ht="14.1" customHeight="1"/>
    <row r="459" ht="14.1" customHeight="1"/>
    <row r="460" ht="14.1" customHeight="1"/>
    <row r="461" ht="14.1" customHeight="1"/>
    <row r="462" ht="14.1" customHeight="1"/>
    <row r="463" ht="14.1" customHeight="1"/>
    <row r="464" ht="14.1" customHeight="1"/>
    <row r="465" ht="14.1" customHeight="1"/>
    <row r="466" ht="14.1" customHeight="1"/>
    <row r="467" ht="14.1" customHeight="1"/>
    <row r="468" ht="14.1" customHeight="1"/>
    <row r="469" ht="14.1" customHeight="1"/>
    <row r="470" ht="14.1" customHeight="1"/>
    <row r="471" ht="14.1" customHeight="1"/>
    <row r="472" ht="14.1" customHeight="1"/>
    <row r="473" ht="14.1" customHeight="1"/>
    <row r="474" ht="14.1" customHeight="1"/>
    <row r="475" ht="14.1" customHeight="1"/>
    <row r="476" ht="14.1" customHeight="1"/>
    <row r="477" ht="14.1" customHeight="1"/>
    <row r="478" ht="14.1" customHeight="1"/>
    <row r="479" ht="14.1" customHeight="1"/>
    <row r="480" ht="14.1" customHeight="1"/>
    <row r="481" ht="14.1" customHeight="1"/>
    <row r="482" ht="14.1" customHeight="1"/>
    <row r="483" ht="14.1" customHeight="1"/>
    <row r="484" ht="14.1" customHeight="1"/>
    <row r="485" ht="14.1" customHeight="1"/>
    <row r="486" ht="14.1" customHeight="1"/>
    <row r="487" ht="14.1" customHeight="1"/>
    <row r="488" ht="14.1" customHeight="1"/>
    <row r="489" ht="14.1" customHeight="1"/>
    <row r="490" ht="14.1" customHeight="1"/>
    <row r="491" ht="14.1" customHeight="1"/>
    <row r="492" ht="14.1" customHeight="1"/>
    <row r="493" ht="14.1" customHeight="1"/>
    <row r="494" ht="14.1" customHeight="1"/>
    <row r="495" ht="14.1" customHeight="1"/>
    <row r="496" ht="14.1" customHeight="1"/>
    <row r="497" ht="14.1" customHeight="1"/>
    <row r="498" ht="14.1" customHeight="1"/>
    <row r="499" ht="14.1" customHeight="1"/>
    <row r="500" ht="14.1" customHeight="1"/>
    <row r="501" ht="14.1" customHeight="1"/>
    <row r="502" ht="14.1" customHeight="1"/>
    <row r="503" ht="14.1" customHeight="1"/>
    <row r="504" ht="14.1" customHeight="1"/>
    <row r="505" ht="14.1" customHeight="1"/>
    <row r="506" ht="14.1" customHeight="1"/>
    <row r="507" ht="14.1" customHeight="1"/>
    <row r="508" ht="14.1" customHeight="1"/>
    <row r="509" ht="14.1" customHeight="1"/>
    <row r="510" ht="14.1" customHeight="1"/>
    <row r="511" ht="14.1" customHeight="1"/>
    <row r="512" ht="14.1" customHeight="1"/>
    <row r="513" ht="14.1" customHeight="1"/>
    <row r="514" ht="14.1" customHeight="1"/>
    <row r="515" ht="14.1" customHeight="1"/>
    <row r="516" ht="14.1" customHeight="1"/>
    <row r="517" ht="14.1" customHeight="1"/>
    <row r="518" ht="14.1" customHeight="1"/>
    <row r="519" ht="14.1" customHeight="1"/>
    <row r="520" ht="14.1" customHeight="1"/>
    <row r="521" ht="14.1" customHeight="1"/>
    <row r="522" ht="14.1" customHeight="1"/>
    <row r="523" ht="14.1" customHeight="1"/>
    <row r="524" ht="14.1" customHeight="1"/>
    <row r="525" ht="14.1" customHeight="1"/>
    <row r="526" ht="14.1" customHeight="1"/>
    <row r="527" ht="14.1" customHeight="1"/>
    <row r="528" ht="14.1" customHeight="1"/>
    <row r="529" ht="14.1" customHeight="1"/>
    <row r="530" ht="14.1" customHeight="1"/>
    <row r="531" ht="14.1" customHeight="1"/>
    <row r="532" ht="14.1" customHeight="1"/>
    <row r="533" ht="14.1" customHeight="1"/>
    <row r="534" ht="14.1" customHeight="1"/>
    <row r="535" ht="14.1" customHeight="1"/>
    <row r="536" ht="14.1" customHeight="1"/>
    <row r="537" ht="14.1" customHeight="1"/>
    <row r="538" ht="14.1" customHeight="1"/>
    <row r="539" ht="14.1" customHeight="1"/>
    <row r="540" ht="14.1" customHeight="1"/>
    <row r="541" ht="14.1" customHeight="1"/>
    <row r="542" ht="14.1" customHeight="1"/>
    <row r="543" ht="14.1" customHeight="1"/>
    <row r="544" ht="14.1" customHeight="1"/>
    <row r="545" ht="14.1" customHeight="1"/>
    <row r="546" ht="14.1" customHeight="1"/>
    <row r="547" ht="14.1" customHeight="1"/>
    <row r="548" ht="14.1" customHeight="1"/>
    <row r="549" ht="14.1" customHeight="1"/>
    <row r="550" ht="14.1" customHeight="1"/>
    <row r="551" ht="14.1" customHeight="1"/>
    <row r="552" ht="14.1" customHeight="1"/>
    <row r="553" ht="14.1" customHeight="1"/>
    <row r="554" ht="14.1" customHeight="1"/>
    <row r="555" ht="14.1" customHeight="1"/>
    <row r="556" ht="14.1" customHeight="1"/>
    <row r="557" ht="14.1" customHeight="1"/>
    <row r="558" ht="14.1" customHeight="1"/>
    <row r="559" ht="14.1" customHeight="1"/>
    <row r="560" ht="14.1" customHeight="1"/>
    <row r="561" ht="14.1" customHeight="1"/>
    <row r="562" ht="14.1" customHeight="1"/>
    <row r="563" ht="14.1" customHeight="1"/>
    <row r="564" ht="14.1" customHeight="1"/>
    <row r="565" ht="14.1" customHeight="1"/>
    <row r="566" ht="14.1" customHeight="1"/>
    <row r="567" ht="14.1" customHeight="1"/>
    <row r="568" ht="14.1" customHeight="1"/>
    <row r="569" ht="14.1" customHeight="1"/>
    <row r="570" ht="14.1" customHeight="1"/>
    <row r="571" ht="14.1" customHeight="1"/>
    <row r="572" ht="14.1" customHeight="1"/>
    <row r="573" ht="14.1" customHeight="1"/>
    <row r="574" ht="14.1" customHeight="1"/>
    <row r="575" ht="14.1" customHeight="1"/>
    <row r="576" ht="14.1" customHeight="1"/>
    <row r="577" ht="14.1" customHeight="1"/>
    <row r="578" ht="14.1" customHeight="1"/>
    <row r="579" ht="14.1" customHeight="1"/>
    <row r="580" ht="14.1" customHeight="1"/>
    <row r="581" ht="14.1" customHeight="1"/>
    <row r="582" ht="14.1" customHeight="1"/>
    <row r="583" ht="14.1" customHeight="1"/>
    <row r="584" ht="14.1" customHeight="1"/>
    <row r="585" ht="14.1" customHeight="1"/>
    <row r="586" ht="14.1" customHeight="1"/>
    <row r="587" ht="14.1" customHeight="1"/>
    <row r="588" ht="14.1" customHeight="1"/>
    <row r="589" ht="14.1" customHeight="1"/>
    <row r="590" ht="14.1" customHeight="1"/>
    <row r="591" ht="14.1" customHeight="1"/>
    <row r="592" ht="14.1" customHeight="1"/>
    <row r="593" ht="14.1" customHeight="1"/>
    <row r="594" ht="14.1" customHeight="1"/>
    <row r="595" ht="14.1" customHeight="1"/>
    <row r="596" ht="14.1" customHeight="1"/>
    <row r="597" ht="14.1" customHeight="1"/>
    <row r="598" ht="14.1" customHeight="1"/>
    <row r="599" ht="14.1" customHeight="1"/>
    <row r="600" ht="14.1" customHeight="1"/>
    <row r="601" ht="14.1" customHeight="1"/>
    <row r="602" ht="14.1" customHeight="1"/>
    <row r="603" ht="14.1" customHeight="1"/>
    <row r="604" ht="14.1" customHeight="1"/>
    <row r="605" ht="14.1" customHeight="1"/>
    <row r="606" ht="14.1" customHeight="1"/>
    <row r="607" ht="14.1" customHeight="1"/>
    <row r="608" ht="14.1" customHeight="1"/>
    <row r="609" ht="14.1" customHeight="1"/>
    <row r="610" ht="14.1" customHeight="1"/>
    <row r="611" ht="14.1" customHeight="1"/>
    <row r="612" ht="14.1" customHeight="1"/>
    <row r="613" ht="14.1" customHeight="1"/>
    <row r="614" ht="14.1" customHeight="1"/>
    <row r="615" ht="14.1" customHeight="1"/>
    <row r="616" ht="14.1" customHeight="1"/>
    <row r="617" ht="14.1" customHeight="1"/>
    <row r="618" ht="14.1" customHeight="1"/>
    <row r="619" ht="14.1" customHeight="1"/>
    <row r="620" ht="14.1" customHeight="1"/>
    <row r="621" ht="14.1" customHeight="1"/>
    <row r="622" ht="14.1" customHeight="1"/>
    <row r="623" ht="14.1" customHeight="1"/>
    <row r="624" ht="14.1" customHeight="1"/>
    <row r="625" ht="14.1" customHeight="1"/>
    <row r="626" ht="14.1" customHeight="1"/>
    <row r="627" ht="14.1" customHeight="1"/>
    <row r="628" ht="14.1" customHeight="1"/>
    <row r="629" ht="14.1" customHeight="1"/>
    <row r="630" ht="14.1" customHeight="1"/>
    <row r="631" ht="14.1" customHeight="1"/>
    <row r="632" ht="14.1" customHeight="1"/>
    <row r="633" ht="14.1" customHeight="1"/>
    <row r="634" ht="14.1" customHeight="1"/>
    <row r="635" ht="14.1" customHeight="1"/>
    <row r="636" ht="14.1" customHeight="1"/>
    <row r="637" ht="14.1" customHeight="1"/>
    <row r="638" ht="14.1" customHeight="1"/>
    <row r="639" ht="14.1" customHeight="1"/>
    <row r="640" ht="14.1" customHeight="1"/>
    <row r="641" ht="14.1" customHeight="1"/>
    <row r="642" ht="14.1" customHeight="1"/>
    <row r="643" ht="14.1" customHeight="1"/>
    <row r="644" ht="14.1" customHeight="1"/>
    <row r="645" ht="14.1" customHeight="1"/>
    <row r="646" ht="14.1" customHeight="1"/>
    <row r="647" ht="14.1" customHeight="1"/>
    <row r="648" ht="14.1" customHeight="1"/>
    <row r="649" ht="14.1" customHeight="1"/>
    <row r="650" ht="14.1" customHeight="1"/>
    <row r="651" ht="14.1" customHeight="1"/>
    <row r="652" ht="14.1" customHeight="1"/>
    <row r="653" ht="14.1" customHeight="1"/>
    <row r="654" ht="14.1" customHeight="1"/>
    <row r="655" ht="14.1" customHeight="1"/>
    <row r="656" ht="14.1" customHeight="1"/>
    <row r="657" ht="14.1" customHeight="1"/>
    <row r="658" ht="14.1" customHeight="1"/>
    <row r="659" ht="14.1" customHeight="1"/>
    <row r="660" ht="14.1" customHeight="1"/>
    <row r="661" ht="14.1" customHeight="1"/>
    <row r="662" ht="14.1" customHeight="1"/>
    <row r="663" ht="14.1" customHeight="1"/>
    <row r="664" ht="14.1" customHeight="1"/>
    <row r="665" ht="14.1" customHeight="1"/>
    <row r="666" ht="14.1" customHeight="1"/>
    <row r="667" ht="14.1" customHeight="1"/>
    <row r="668" ht="14.1" customHeight="1"/>
    <row r="669" ht="14.1" customHeight="1"/>
    <row r="670" ht="14.1" customHeight="1"/>
    <row r="671" ht="14.1" customHeight="1"/>
    <row r="672" ht="14.1" customHeight="1"/>
    <row r="673" ht="14.1" customHeight="1"/>
    <row r="674" ht="14.1" customHeight="1"/>
    <row r="675" ht="14.1" customHeight="1"/>
    <row r="676" ht="14.1" customHeight="1"/>
    <row r="677" ht="14.1" customHeight="1"/>
    <row r="678" ht="14.1" customHeight="1"/>
    <row r="679" ht="14.1" customHeight="1"/>
    <row r="680" ht="14.1" customHeight="1"/>
    <row r="681" ht="14.1" customHeight="1"/>
    <row r="682" ht="14.1" customHeight="1"/>
    <row r="683" ht="14.1" customHeight="1"/>
    <row r="684" ht="14.1" customHeight="1"/>
    <row r="685" ht="14.1" customHeight="1"/>
    <row r="686" ht="14.1" customHeight="1"/>
    <row r="687" ht="14.1" customHeight="1"/>
    <row r="688" ht="14.1" customHeight="1"/>
    <row r="689" ht="14.1" customHeight="1"/>
    <row r="690" ht="14.1" customHeight="1"/>
    <row r="691" ht="14.1" customHeight="1"/>
    <row r="692" ht="14.1" customHeight="1"/>
    <row r="693" ht="14.1" customHeight="1"/>
    <row r="694" ht="14.1" customHeight="1"/>
    <row r="695" ht="14.1" customHeight="1"/>
    <row r="696" ht="14.1" customHeight="1"/>
    <row r="697" ht="14.1" customHeight="1"/>
    <row r="698" ht="14.1" customHeight="1"/>
    <row r="699" ht="14.1" customHeight="1"/>
    <row r="700" ht="14.1" customHeight="1"/>
    <row r="701" ht="14.1" customHeight="1"/>
    <row r="702" ht="14.1" customHeight="1"/>
    <row r="703" ht="14.1" customHeight="1"/>
    <row r="704" ht="14.1" customHeight="1"/>
    <row r="705" ht="14.1" customHeight="1"/>
    <row r="706" ht="14.1" customHeight="1"/>
    <row r="707" ht="14.1" customHeight="1"/>
    <row r="708" ht="14.1" customHeight="1"/>
    <row r="709" ht="14.1" customHeight="1"/>
    <row r="710" ht="14.1" customHeight="1"/>
    <row r="711" ht="14.1" customHeight="1"/>
    <row r="712" ht="14.1" customHeight="1"/>
    <row r="713" ht="14.1" customHeight="1"/>
    <row r="714" ht="14.1" customHeight="1"/>
    <row r="715" ht="14.1" customHeight="1"/>
    <row r="716" ht="14.1" customHeight="1"/>
    <row r="717" ht="14.1" customHeight="1"/>
    <row r="718" ht="14.1" customHeight="1"/>
    <row r="719" ht="14.1" customHeight="1"/>
    <row r="720" ht="14.1" customHeight="1"/>
    <row r="721" ht="14.1" customHeight="1"/>
    <row r="722" ht="14.1" customHeight="1"/>
    <row r="723" ht="14.1" customHeight="1"/>
    <row r="724" ht="14.1" customHeight="1"/>
    <row r="725" ht="14.1" customHeight="1"/>
    <row r="726" ht="14.1" customHeight="1"/>
    <row r="727" ht="14.1" customHeight="1"/>
    <row r="728" ht="14.1" customHeight="1"/>
    <row r="729" ht="14.1" customHeight="1"/>
    <row r="730" ht="14.1" customHeight="1"/>
    <row r="731" ht="14.1" customHeight="1"/>
    <row r="732" ht="14.1" customHeight="1"/>
    <row r="733" ht="14.1" customHeight="1"/>
    <row r="734" ht="14.1" customHeight="1"/>
    <row r="735" ht="14.1" customHeight="1"/>
    <row r="736" ht="14.1" customHeight="1"/>
    <row r="737" ht="14.1" customHeight="1"/>
    <row r="738" ht="14.1" customHeight="1"/>
    <row r="739" ht="14.1" customHeight="1"/>
    <row r="740" ht="14.1" customHeight="1"/>
    <row r="741" ht="14.1" customHeight="1"/>
    <row r="742" ht="14.1" customHeight="1"/>
    <row r="743" ht="14.1" customHeight="1"/>
    <row r="744" ht="14.1" customHeight="1"/>
    <row r="745" ht="14.1" customHeight="1"/>
    <row r="746" ht="14.1" customHeight="1"/>
    <row r="747" ht="14.1" customHeight="1"/>
    <row r="748" ht="14.1" customHeight="1"/>
    <row r="749" ht="14.1" customHeight="1"/>
    <row r="750" ht="14.1" customHeight="1"/>
    <row r="751" ht="14.1" customHeight="1"/>
    <row r="752" ht="14.1" customHeight="1"/>
    <row r="753" ht="14.1" customHeight="1"/>
    <row r="754" ht="14.1" customHeight="1"/>
    <row r="755" ht="14.1" customHeight="1"/>
    <row r="756" ht="14.1" customHeight="1"/>
    <row r="757" ht="14.1" customHeight="1"/>
    <row r="758" ht="14.1" customHeight="1"/>
    <row r="759" ht="14.1" customHeight="1"/>
    <row r="760" ht="14.1" customHeight="1"/>
    <row r="761" ht="14.1" customHeight="1"/>
    <row r="762" ht="14.1" customHeight="1"/>
    <row r="763" ht="14.1" customHeight="1"/>
    <row r="764" ht="14.1" customHeight="1"/>
    <row r="765" ht="14.1" customHeight="1"/>
    <row r="766" ht="14.1" customHeight="1"/>
    <row r="767" ht="14.1" customHeight="1"/>
    <row r="768" ht="14.1" customHeight="1"/>
    <row r="769" ht="14.1" customHeight="1"/>
    <row r="770" ht="14.1" customHeight="1"/>
    <row r="771" ht="14.1" customHeight="1"/>
    <row r="772" ht="14.1" customHeight="1"/>
    <row r="773" ht="14.1" customHeight="1"/>
    <row r="774" ht="14.1" customHeight="1"/>
    <row r="775" ht="14.1" customHeight="1"/>
    <row r="776" ht="14.1" customHeight="1"/>
    <row r="777" ht="14.1" customHeight="1"/>
    <row r="778" ht="14.1" customHeight="1"/>
    <row r="779" ht="14.1" customHeight="1"/>
    <row r="780" ht="14.1" customHeight="1"/>
    <row r="781" ht="14.1" customHeight="1"/>
    <row r="782" ht="14.1" customHeight="1"/>
    <row r="783" ht="14.1" customHeight="1"/>
    <row r="784" ht="14.1" customHeight="1"/>
    <row r="785" ht="14.1" customHeight="1"/>
    <row r="786" ht="14.1" customHeight="1"/>
    <row r="787" ht="14.1" customHeight="1"/>
    <row r="788" ht="14.1" customHeight="1"/>
    <row r="789" ht="14.1" customHeight="1"/>
    <row r="790" ht="14.1" customHeight="1"/>
    <row r="791" ht="14.1" customHeight="1"/>
    <row r="792" ht="14.1" customHeight="1"/>
    <row r="793" ht="14.1" customHeight="1"/>
  </sheetData>
  <pageMargins left="0.7" right="0.7" top="0.75" bottom="0.75" header="0.3" footer="0.3"/>
  <pageSetup paperSize="9" orientation="portrait"/>
  <headerFooter>
    <oddFooter>&amp;L&amp;"Arial"&amp;7 &amp;KDAD4CE_x000D_# Public_x000D_&amp;1#&amp;"Arial"&amp;7&amp;KDAD4CE Public</oddFooter>
  </headerFooter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200-000000000000}">
  <sheetPr codeName="Sheet41">
    <tabColor rgb="FF0070C0"/>
  </sheetPr>
  <dimension ref="A1:U793"/>
  <sheetViews>
    <sheetView zoomScale="80" zoomScaleNormal="80" workbookViewId="0">
      <selection activeCell="A16" sqref="A16"/>
    </sheetView>
  </sheetViews>
  <sheetFormatPr defaultColWidth="8.85546875" defaultRowHeight="14.25"/>
  <cols>
    <col min="1" max="1" width="4.140625" style="254" customWidth="1"/>
    <col min="2" max="3" width="8.5703125" style="120" customWidth="1"/>
    <col min="4" max="4" width="14.5703125" style="254" customWidth="1"/>
    <col min="5" max="5" width="20.5703125" style="254" customWidth="1"/>
    <col min="6" max="6" width="8.5703125" style="254" customWidth="1"/>
    <col min="7" max="7" width="32.5703125" style="120" customWidth="1"/>
    <col min="8" max="8" width="18.5703125" style="254" customWidth="1"/>
    <col min="9" max="9" width="62.5703125" style="120" customWidth="1"/>
    <col min="10" max="12" width="9.5703125" style="254" customWidth="1"/>
    <col min="13" max="13" width="10.5703125" style="254" customWidth="1"/>
    <col min="14" max="14" width="8.5703125" style="254" customWidth="1"/>
    <col min="15" max="15" width="10.5703125" style="254" customWidth="1"/>
    <col min="16" max="16" width="5.5703125" style="254" customWidth="1"/>
    <col min="17" max="17" width="1.5703125" style="120" customWidth="1"/>
    <col min="18" max="18" width="10.5703125" style="255" customWidth="1"/>
    <col min="19" max="19" width="1.5703125" style="120" customWidth="1"/>
    <col min="20" max="21" width="10.5703125" style="120" customWidth="1"/>
    <col min="22" max="22" width="8.85546875" style="314" customWidth="1"/>
    <col min="23" max="16384" width="8.85546875" style="314"/>
  </cols>
  <sheetData>
    <row r="1" spans="1:21" s="39" customFormat="1" ht="14.1" customHeight="1">
      <c r="A1" s="63" t="s">
        <v>4627</v>
      </c>
      <c r="E1" s="40"/>
      <c r="R1" s="126"/>
    </row>
    <row r="2" spans="1:21" s="39" customFormat="1" ht="14.1" customHeight="1">
      <c r="A2" s="77" t="s">
        <v>4628</v>
      </c>
      <c r="E2" s="40"/>
      <c r="H2" s="77"/>
      <c r="K2" s="77"/>
      <c r="R2" s="336"/>
    </row>
    <row r="3" spans="1:21" s="250" customFormat="1" ht="14.1" customHeight="1">
      <c r="A3" s="40"/>
      <c r="B3" s="127"/>
      <c r="C3" s="127"/>
      <c r="D3" s="128"/>
      <c r="E3" s="128"/>
      <c r="F3" s="128"/>
      <c r="G3" s="130"/>
      <c r="H3" s="129"/>
      <c r="I3" s="130"/>
      <c r="J3" s="129"/>
      <c r="K3" s="129"/>
      <c r="L3" s="129"/>
      <c r="M3" s="129"/>
      <c r="N3" s="129"/>
      <c r="O3" s="129"/>
      <c r="P3" s="129"/>
      <c r="Q3" s="39"/>
      <c r="R3" s="357" t="s">
        <v>2</v>
      </c>
      <c r="S3" s="39"/>
      <c r="T3" s="64"/>
      <c r="U3" s="64"/>
    </row>
    <row r="4" spans="1:21" s="251" customFormat="1" ht="33" customHeight="1">
      <c r="A4" s="76" t="s">
        <v>3</v>
      </c>
      <c r="B4" s="131" t="s">
        <v>4</v>
      </c>
      <c r="C4" s="131" t="s">
        <v>5</v>
      </c>
      <c r="D4" s="76" t="s">
        <v>6</v>
      </c>
      <c r="E4" s="76" t="s">
        <v>7</v>
      </c>
      <c r="F4" s="76" t="s">
        <v>8</v>
      </c>
      <c r="G4" s="76" t="s">
        <v>9</v>
      </c>
      <c r="H4" s="76" t="s">
        <v>10</v>
      </c>
      <c r="I4" s="76" t="s">
        <v>11</v>
      </c>
      <c r="J4" s="76" t="s">
        <v>12</v>
      </c>
      <c r="K4" s="76" t="s">
        <v>13</v>
      </c>
      <c r="L4" s="76" t="s">
        <v>455</v>
      </c>
      <c r="M4" s="76" t="s">
        <v>15</v>
      </c>
      <c r="N4" s="76" t="s">
        <v>16</v>
      </c>
      <c r="O4" s="76" t="s">
        <v>17</v>
      </c>
      <c r="P4" s="76" t="s">
        <v>18</v>
      </c>
      <c r="Q4" s="40"/>
      <c r="R4" s="132" t="s">
        <v>19</v>
      </c>
      <c r="S4" s="40"/>
      <c r="T4" s="64" t="s">
        <v>20</v>
      </c>
      <c r="U4" s="64" t="s">
        <v>21</v>
      </c>
    </row>
    <row r="5" spans="1:21" ht="14.1" customHeight="1">
      <c r="A5" s="134">
        <v>1</v>
      </c>
      <c r="B5" s="134" t="s">
        <v>456</v>
      </c>
      <c r="C5" s="134" t="s">
        <v>401</v>
      </c>
      <c r="D5" s="134" t="s">
        <v>773</v>
      </c>
      <c r="E5" s="134" t="s">
        <v>399</v>
      </c>
      <c r="F5" s="134" t="s">
        <v>457</v>
      </c>
      <c r="G5" s="119" t="s">
        <v>4629</v>
      </c>
      <c r="H5" s="134" t="s">
        <v>1426</v>
      </c>
      <c r="I5" s="119" t="s">
        <v>4630</v>
      </c>
      <c r="J5" s="134" t="s">
        <v>30</v>
      </c>
      <c r="K5" s="134" t="s">
        <v>4019</v>
      </c>
      <c r="L5" s="134" t="s">
        <v>322</v>
      </c>
      <c r="M5" s="134">
        <v>8302100000</v>
      </c>
      <c r="N5" s="134">
        <v>5000</v>
      </c>
      <c r="O5" s="134">
        <v>30</v>
      </c>
      <c r="P5" s="134"/>
      <c r="R5" s="9">
        <v>20.953298377685091</v>
      </c>
      <c r="T5" s="119"/>
      <c r="U5" s="119" t="s">
        <v>4607</v>
      </c>
    </row>
    <row r="6" spans="1:21" ht="14.1" customHeight="1">
      <c r="A6" s="134">
        <v>2</v>
      </c>
      <c r="B6" s="134" t="s">
        <v>456</v>
      </c>
      <c r="C6" s="134" t="s">
        <v>401</v>
      </c>
      <c r="D6" s="134" t="s">
        <v>773</v>
      </c>
      <c r="E6" s="134" t="s">
        <v>399</v>
      </c>
      <c r="F6" s="134" t="s">
        <v>457</v>
      </c>
      <c r="G6" s="119" t="s">
        <v>4631</v>
      </c>
      <c r="H6" s="134" t="s">
        <v>4019</v>
      </c>
      <c r="I6" s="119" t="s">
        <v>4632</v>
      </c>
      <c r="J6" s="134" t="s">
        <v>30</v>
      </c>
      <c r="K6" s="134" t="s">
        <v>4019</v>
      </c>
      <c r="L6" s="134" t="s">
        <v>322</v>
      </c>
      <c r="M6" s="134">
        <v>8302100000</v>
      </c>
      <c r="N6" s="134">
        <v>5000</v>
      </c>
      <c r="O6" s="134">
        <v>30</v>
      </c>
      <c r="P6" s="134"/>
      <c r="R6" s="9">
        <v>25.106204362451521</v>
      </c>
      <c r="T6" s="119"/>
      <c r="U6" s="119" t="s">
        <v>4607</v>
      </c>
    </row>
    <row r="7" spans="1:21" ht="14.1" customHeight="1">
      <c r="A7" s="134">
        <v>3</v>
      </c>
      <c r="B7" s="134" t="s">
        <v>456</v>
      </c>
      <c r="C7" s="134" t="s">
        <v>401</v>
      </c>
      <c r="D7" s="134" t="s">
        <v>773</v>
      </c>
      <c r="E7" s="134" t="s">
        <v>399</v>
      </c>
      <c r="F7" s="134" t="s">
        <v>457</v>
      </c>
      <c r="G7" s="119" t="s">
        <v>4633</v>
      </c>
      <c r="H7" s="134" t="s">
        <v>4019</v>
      </c>
      <c r="I7" s="119" t="s">
        <v>4634</v>
      </c>
      <c r="J7" s="134" t="s">
        <v>30</v>
      </c>
      <c r="K7" s="134" t="s">
        <v>4019</v>
      </c>
      <c r="L7" s="134" t="s">
        <v>322</v>
      </c>
      <c r="M7" s="134">
        <v>8302100000</v>
      </c>
      <c r="N7" s="134">
        <v>5000</v>
      </c>
      <c r="O7" s="134">
        <v>30</v>
      </c>
      <c r="P7" s="134"/>
      <c r="R7" s="9">
        <v>25.106204362451521</v>
      </c>
      <c r="T7" s="119"/>
      <c r="U7" s="119" t="s">
        <v>4607</v>
      </c>
    </row>
    <row r="8" spans="1:21" ht="14.1" customHeight="1">
      <c r="A8" s="134">
        <v>4</v>
      </c>
      <c r="B8" s="134" t="s">
        <v>456</v>
      </c>
      <c r="C8" s="134" t="s">
        <v>401</v>
      </c>
      <c r="D8" s="134" t="s">
        <v>260</v>
      </c>
      <c r="E8" s="134" t="s">
        <v>827</v>
      </c>
      <c r="F8" s="134" t="s">
        <v>457</v>
      </c>
      <c r="G8" s="119" t="s">
        <v>4635</v>
      </c>
      <c r="H8" s="134" t="s">
        <v>4022</v>
      </c>
      <c r="I8" s="119" t="s">
        <v>4636</v>
      </c>
      <c r="J8" s="134" t="s">
        <v>30</v>
      </c>
      <c r="K8" s="134" t="s">
        <v>4022</v>
      </c>
      <c r="L8" s="134" t="s">
        <v>322</v>
      </c>
      <c r="M8" s="134">
        <v>8302410000</v>
      </c>
      <c r="N8" s="134">
        <v>5000</v>
      </c>
      <c r="O8" s="134">
        <v>30</v>
      </c>
      <c r="P8" s="134"/>
      <c r="R8" s="9">
        <v>24.917435908598488</v>
      </c>
      <c r="T8" s="119"/>
      <c r="U8" s="119" t="s">
        <v>4607</v>
      </c>
    </row>
    <row r="9" spans="1:21" ht="14.1" customHeight="1">
      <c r="A9" s="134">
        <v>5</v>
      </c>
      <c r="B9" s="134" t="s">
        <v>456</v>
      </c>
      <c r="C9" s="134" t="s">
        <v>401</v>
      </c>
      <c r="D9" s="134" t="s">
        <v>260</v>
      </c>
      <c r="E9" s="134" t="s">
        <v>827</v>
      </c>
      <c r="F9" s="134" t="s">
        <v>457</v>
      </c>
      <c r="G9" s="119" t="s">
        <v>4637</v>
      </c>
      <c r="H9" s="134" t="s">
        <v>4638</v>
      </c>
      <c r="I9" s="119" t="s">
        <v>4639</v>
      </c>
      <c r="J9" s="134" t="s">
        <v>30</v>
      </c>
      <c r="K9" s="134" t="s">
        <v>4638</v>
      </c>
      <c r="L9" s="134" t="s">
        <v>322</v>
      </c>
      <c r="M9" s="134">
        <v>8302410000</v>
      </c>
      <c r="N9" s="134">
        <v>5000</v>
      </c>
      <c r="O9" s="134">
        <v>30</v>
      </c>
      <c r="P9" s="134"/>
      <c r="R9" s="9">
        <v>25.106204362451521</v>
      </c>
      <c r="T9" s="119"/>
      <c r="U9" s="119" t="s">
        <v>4607</v>
      </c>
    </row>
    <row r="10" spans="1:21" ht="14.1" customHeight="1">
      <c r="A10" s="134">
        <v>6</v>
      </c>
      <c r="B10" s="134" t="s">
        <v>456</v>
      </c>
      <c r="C10" s="134" t="s">
        <v>401</v>
      </c>
      <c r="D10" s="134" t="s">
        <v>260</v>
      </c>
      <c r="E10" s="134" t="s">
        <v>827</v>
      </c>
      <c r="F10" s="134" t="s">
        <v>457</v>
      </c>
      <c r="G10" s="119" t="s">
        <v>4640</v>
      </c>
      <c r="H10" s="134" t="s">
        <v>4019</v>
      </c>
      <c r="I10" s="119" t="s">
        <v>4641</v>
      </c>
      <c r="J10" s="134" t="s">
        <v>30</v>
      </c>
      <c r="K10" s="134" t="s">
        <v>4019</v>
      </c>
      <c r="L10" s="134" t="s">
        <v>322</v>
      </c>
      <c r="M10" s="134">
        <v>8302410000</v>
      </c>
      <c r="N10" s="134">
        <v>5000</v>
      </c>
      <c r="O10" s="134">
        <v>30</v>
      </c>
      <c r="P10" s="134"/>
      <c r="R10" s="9">
        <v>17.55546620833076</v>
      </c>
      <c r="T10" s="119"/>
      <c r="U10" s="119" t="s">
        <v>4607</v>
      </c>
    </row>
    <row r="11" spans="1:21" ht="14.1" customHeight="1">
      <c r="A11" s="134">
        <v>7</v>
      </c>
      <c r="B11" s="134" t="s">
        <v>456</v>
      </c>
      <c r="C11" s="134" t="s">
        <v>401</v>
      </c>
      <c r="D11" s="134" t="s">
        <v>260</v>
      </c>
      <c r="E11" s="134" t="s">
        <v>827</v>
      </c>
      <c r="F11" s="134" t="s">
        <v>457</v>
      </c>
      <c r="G11" s="119" t="s">
        <v>4642</v>
      </c>
      <c r="H11" s="134" t="s">
        <v>4019</v>
      </c>
      <c r="I11" s="119" t="s">
        <v>4275</v>
      </c>
      <c r="J11" s="134" t="s">
        <v>30</v>
      </c>
      <c r="K11" s="134" t="s">
        <v>4019</v>
      </c>
      <c r="L11" s="134" t="s">
        <v>322</v>
      </c>
      <c r="M11" s="134">
        <v>8302410000</v>
      </c>
      <c r="N11" s="134">
        <v>5000</v>
      </c>
      <c r="O11" s="134">
        <v>30</v>
      </c>
      <c r="P11" s="134"/>
      <c r="R11" s="9">
        <v>19.820687654566989</v>
      </c>
      <c r="T11" s="119"/>
      <c r="U11" s="119" t="s">
        <v>4607</v>
      </c>
    </row>
    <row r="12" spans="1:21" ht="14.1" customHeight="1">
      <c r="A12" s="134">
        <v>8</v>
      </c>
      <c r="B12" s="134" t="s">
        <v>456</v>
      </c>
      <c r="C12" s="134" t="s">
        <v>401</v>
      </c>
      <c r="D12" s="134" t="s">
        <v>260</v>
      </c>
      <c r="E12" s="134" t="s">
        <v>827</v>
      </c>
      <c r="F12" s="134" t="s">
        <v>457</v>
      </c>
      <c r="G12" s="119" t="s">
        <v>4643</v>
      </c>
      <c r="H12" s="134" t="s">
        <v>4019</v>
      </c>
      <c r="I12" s="119" t="s">
        <v>4644</v>
      </c>
      <c r="J12" s="134" t="s">
        <v>30</v>
      </c>
      <c r="K12" s="134" t="s">
        <v>4019</v>
      </c>
      <c r="L12" s="134" t="s">
        <v>322</v>
      </c>
      <c r="M12" s="134">
        <v>8302410000</v>
      </c>
      <c r="N12" s="134">
        <v>5000</v>
      </c>
      <c r="O12" s="134">
        <v>30</v>
      </c>
      <c r="P12" s="134"/>
      <c r="R12" s="9">
        <v>19.820687654566989</v>
      </c>
      <c r="T12" s="119"/>
      <c r="U12" s="119" t="s">
        <v>4607</v>
      </c>
    </row>
    <row r="13" spans="1:21" ht="14.1" customHeight="1">
      <c r="A13" s="134">
        <v>9</v>
      </c>
      <c r="B13" s="134" t="s">
        <v>456</v>
      </c>
      <c r="C13" s="134" t="s">
        <v>401</v>
      </c>
      <c r="D13" s="134" t="s">
        <v>773</v>
      </c>
      <c r="E13" s="134" t="s">
        <v>399</v>
      </c>
      <c r="F13" s="134" t="s">
        <v>457</v>
      </c>
      <c r="G13" s="119" t="s">
        <v>4645</v>
      </c>
      <c r="H13" s="134" t="s">
        <v>4019</v>
      </c>
      <c r="I13" s="119" t="s">
        <v>4646</v>
      </c>
      <c r="J13" s="134" t="s">
        <v>30</v>
      </c>
      <c r="K13" s="134" t="s">
        <v>4019</v>
      </c>
      <c r="L13" s="134" t="s">
        <v>322</v>
      </c>
      <c r="M13" s="134">
        <v>8302100000</v>
      </c>
      <c r="N13" s="134">
        <v>5000</v>
      </c>
      <c r="O13" s="134">
        <v>30</v>
      </c>
      <c r="P13" s="134"/>
      <c r="R13" s="9">
        <v>16.42285548521264</v>
      </c>
      <c r="T13" s="119"/>
      <c r="U13" s="119" t="s">
        <v>4607</v>
      </c>
    </row>
    <row r="14" spans="1:21" ht="14.1" customHeight="1">
      <c r="A14" s="134">
        <v>10</v>
      </c>
      <c r="B14" s="134" t="s">
        <v>456</v>
      </c>
      <c r="C14" s="134" t="s">
        <v>401</v>
      </c>
      <c r="D14" s="134" t="s">
        <v>773</v>
      </c>
      <c r="E14" s="134" t="s">
        <v>399</v>
      </c>
      <c r="F14" s="134" t="s">
        <v>457</v>
      </c>
      <c r="G14" s="119" t="s">
        <v>4647</v>
      </c>
      <c r="H14" s="134" t="s">
        <v>4062</v>
      </c>
      <c r="I14" s="119" t="s">
        <v>4648</v>
      </c>
      <c r="J14" s="134" t="s">
        <v>30</v>
      </c>
      <c r="K14" s="134" t="s">
        <v>4062</v>
      </c>
      <c r="L14" s="134" t="s">
        <v>322</v>
      </c>
      <c r="M14" s="134">
        <v>8302100000</v>
      </c>
      <c r="N14" s="134">
        <v>5000</v>
      </c>
      <c r="O14" s="134">
        <v>30</v>
      </c>
      <c r="P14" s="134"/>
      <c r="R14" s="9">
        <v>19.44315074686094</v>
      </c>
      <c r="T14" s="119"/>
      <c r="U14" s="119" t="s">
        <v>4607</v>
      </c>
    </row>
    <row r="15" spans="1:21" ht="14.1" customHeight="1">
      <c r="A15" s="134">
        <v>11</v>
      </c>
      <c r="B15" s="134" t="s">
        <v>456</v>
      </c>
      <c r="C15" s="134" t="s">
        <v>401</v>
      </c>
      <c r="D15" s="134" t="s">
        <v>773</v>
      </c>
      <c r="E15" s="134" t="s">
        <v>399</v>
      </c>
      <c r="F15" s="134" t="s">
        <v>457</v>
      </c>
      <c r="G15" s="119" t="s">
        <v>4649</v>
      </c>
      <c r="H15" s="134" t="s">
        <v>4062</v>
      </c>
      <c r="I15" s="119" t="s">
        <v>4650</v>
      </c>
      <c r="J15" s="134" t="s">
        <v>30</v>
      </c>
      <c r="K15" s="134" t="s">
        <v>4062</v>
      </c>
      <c r="L15" s="134" t="s">
        <v>322</v>
      </c>
      <c r="M15" s="134">
        <v>8302100000</v>
      </c>
      <c r="N15" s="134">
        <v>5000</v>
      </c>
      <c r="O15" s="134">
        <v>30</v>
      </c>
      <c r="P15" s="134"/>
      <c r="R15" s="9">
        <v>30.580489524189069</v>
      </c>
      <c r="T15" s="119"/>
      <c r="U15" s="119" t="s">
        <v>4607</v>
      </c>
    </row>
    <row r="16" spans="1:21" ht="14.1" customHeight="1">
      <c r="A16" s="134">
        <v>12</v>
      </c>
      <c r="B16" s="134" t="s">
        <v>456</v>
      </c>
      <c r="C16" s="134" t="s">
        <v>401</v>
      </c>
      <c r="D16" s="134" t="s">
        <v>773</v>
      </c>
      <c r="E16" s="134" t="s">
        <v>399</v>
      </c>
      <c r="F16" s="134" t="s">
        <v>457</v>
      </c>
      <c r="G16" s="119" t="s">
        <v>4651</v>
      </c>
      <c r="H16" s="134" t="s">
        <v>4062</v>
      </c>
      <c r="I16" s="119" t="s">
        <v>4652</v>
      </c>
      <c r="J16" s="134" t="s">
        <v>30</v>
      </c>
      <c r="K16" s="134" t="s">
        <v>4062</v>
      </c>
      <c r="L16" s="134" t="s">
        <v>322</v>
      </c>
      <c r="M16" s="134">
        <v>8302100000</v>
      </c>
      <c r="N16" s="134">
        <v>5000</v>
      </c>
      <c r="O16" s="134">
        <v>30</v>
      </c>
      <c r="P16" s="134"/>
      <c r="R16" s="9">
        <v>25.483741270157552</v>
      </c>
      <c r="T16" s="119"/>
      <c r="U16" s="119" t="s">
        <v>4607</v>
      </c>
    </row>
    <row r="17" spans="1:21" ht="14.1" customHeight="1">
      <c r="A17" s="134">
        <v>13</v>
      </c>
      <c r="B17" s="134" t="s">
        <v>456</v>
      </c>
      <c r="C17" s="134" t="s">
        <v>401</v>
      </c>
      <c r="D17" s="134" t="s">
        <v>260</v>
      </c>
      <c r="E17" s="134" t="s">
        <v>827</v>
      </c>
      <c r="F17" s="134" t="s">
        <v>457</v>
      </c>
      <c r="G17" s="119" t="s">
        <v>4653</v>
      </c>
      <c r="H17" s="134" t="s">
        <v>4062</v>
      </c>
      <c r="I17" s="119" t="s">
        <v>4654</v>
      </c>
      <c r="J17" s="134" t="s">
        <v>30</v>
      </c>
      <c r="K17" s="134" t="s">
        <v>4062</v>
      </c>
      <c r="L17" s="134" t="s">
        <v>322</v>
      </c>
      <c r="M17" s="134">
        <v>8302410000</v>
      </c>
      <c r="N17" s="134">
        <v>5000</v>
      </c>
      <c r="O17" s="134">
        <v>30</v>
      </c>
      <c r="P17" s="134"/>
      <c r="R17" s="9">
        <v>24.72866745474548</v>
      </c>
      <c r="T17" s="119"/>
      <c r="U17" s="119" t="s">
        <v>4607</v>
      </c>
    </row>
    <row r="18" spans="1:21" s="352" customFormat="1" ht="14.1" customHeight="1">
      <c r="A18" s="346">
        <v>14</v>
      </c>
      <c r="B18" s="346" t="s">
        <v>456</v>
      </c>
      <c r="C18" s="346" t="s">
        <v>401</v>
      </c>
      <c r="D18" s="346" t="s">
        <v>773</v>
      </c>
      <c r="E18" s="346" t="s">
        <v>399</v>
      </c>
      <c r="F18" s="346" t="s">
        <v>457</v>
      </c>
      <c r="G18" s="347" t="s">
        <v>4655</v>
      </c>
      <c r="H18" s="346" t="s">
        <v>4019</v>
      </c>
      <c r="I18" s="347" t="s">
        <v>4656</v>
      </c>
      <c r="J18" s="348" t="s">
        <v>3611</v>
      </c>
      <c r="K18" s="346" t="s">
        <v>4019</v>
      </c>
      <c r="L18" s="348" t="s">
        <v>322</v>
      </c>
      <c r="M18" s="348">
        <v>8302100000</v>
      </c>
      <c r="N18" s="348">
        <v>5000</v>
      </c>
      <c r="O18" s="348">
        <v>30</v>
      </c>
      <c r="P18" s="347"/>
      <c r="Q18" s="349"/>
      <c r="R18" s="319">
        <v>19.390818365696472</v>
      </c>
      <c r="S18" s="347"/>
      <c r="T18" s="350"/>
      <c r="U18" s="347" t="s">
        <v>4607</v>
      </c>
    </row>
    <row r="19" spans="1:21" s="352" customFormat="1" ht="14.1" customHeight="1">
      <c r="A19" s="346">
        <v>15</v>
      </c>
      <c r="B19" s="346" t="s">
        <v>456</v>
      </c>
      <c r="C19" s="346" t="s">
        <v>401</v>
      </c>
      <c r="D19" s="346" t="s">
        <v>773</v>
      </c>
      <c r="E19" s="346" t="s">
        <v>399</v>
      </c>
      <c r="F19" s="346" t="s">
        <v>457</v>
      </c>
      <c r="G19" s="347" t="s">
        <v>4657</v>
      </c>
      <c r="H19" s="346" t="s">
        <v>4019</v>
      </c>
      <c r="I19" s="347" t="s">
        <v>4658</v>
      </c>
      <c r="J19" s="348" t="s">
        <v>3611</v>
      </c>
      <c r="K19" s="346" t="s">
        <v>4019</v>
      </c>
      <c r="L19" s="348" t="s">
        <v>322</v>
      </c>
      <c r="M19" s="348">
        <v>8302100000</v>
      </c>
      <c r="N19" s="348">
        <v>5000</v>
      </c>
      <c r="O19" s="348">
        <v>30</v>
      </c>
      <c r="P19" s="347"/>
      <c r="Q19" s="349"/>
      <c r="R19" s="319">
        <v>22.121919543963578</v>
      </c>
      <c r="S19" s="347"/>
      <c r="T19" s="350"/>
      <c r="U19" s="347" t="s">
        <v>4607</v>
      </c>
    </row>
    <row r="20" spans="1:21" s="352" customFormat="1" ht="14.1" customHeight="1">
      <c r="A20" s="346">
        <v>16</v>
      </c>
      <c r="B20" s="346" t="s">
        <v>456</v>
      </c>
      <c r="C20" s="346" t="s">
        <v>401</v>
      </c>
      <c r="D20" s="346" t="s">
        <v>773</v>
      </c>
      <c r="E20" s="346" t="s">
        <v>399</v>
      </c>
      <c r="F20" s="346" t="s">
        <v>457</v>
      </c>
      <c r="G20" s="347" t="s">
        <v>4659</v>
      </c>
      <c r="H20" s="346" t="s">
        <v>4019</v>
      </c>
      <c r="I20" s="347" t="s">
        <v>4660</v>
      </c>
      <c r="J20" s="348" t="s">
        <v>3611</v>
      </c>
      <c r="K20" s="346" t="s">
        <v>4019</v>
      </c>
      <c r="L20" s="348" t="s">
        <v>322</v>
      </c>
      <c r="M20" s="348">
        <v>8302100000</v>
      </c>
      <c r="N20" s="348">
        <v>5000</v>
      </c>
      <c r="O20" s="348">
        <v>30</v>
      </c>
      <c r="P20" s="347"/>
      <c r="Q20" s="349"/>
      <c r="R20" s="319">
        <v>28.94967248963135</v>
      </c>
      <c r="S20" s="347"/>
      <c r="T20" s="346"/>
      <c r="U20" s="347" t="s">
        <v>4607</v>
      </c>
    </row>
    <row r="21" spans="1:21" s="352" customFormat="1" ht="14.1" customHeight="1">
      <c r="A21" s="346">
        <v>17</v>
      </c>
      <c r="B21" s="346" t="s">
        <v>456</v>
      </c>
      <c r="C21" s="348" t="s">
        <v>401</v>
      </c>
      <c r="D21" s="348" t="s">
        <v>773</v>
      </c>
      <c r="E21" s="348" t="s">
        <v>399</v>
      </c>
      <c r="F21" s="348" t="s">
        <v>457</v>
      </c>
      <c r="G21" s="353" t="s">
        <v>4661</v>
      </c>
      <c r="H21" s="347" t="s">
        <v>4019</v>
      </c>
      <c r="I21" s="347" t="s">
        <v>4662</v>
      </c>
      <c r="J21" s="346" t="s">
        <v>123</v>
      </c>
      <c r="K21" s="346" t="s">
        <v>4019</v>
      </c>
      <c r="L21" s="348" t="s">
        <v>322</v>
      </c>
      <c r="M21" s="348">
        <v>8302100000</v>
      </c>
      <c r="N21" s="348">
        <v>5000</v>
      </c>
      <c r="O21" s="348">
        <v>30</v>
      </c>
      <c r="P21" s="347"/>
      <c r="Q21" s="351"/>
      <c r="R21" s="319">
        <v>25.12613084005741</v>
      </c>
      <c r="S21" s="347"/>
      <c r="T21" s="346"/>
      <c r="U21" s="347" t="s">
        <v>4607</v>
      </c>
    </row>
    <row r="22" spans="1:21" s="352" customFormat="1" ht="14.1" customHeight="1">
      <c r="A22" s="346">
        <v>18</v>
      </c>
      <c r="B22" s="346" t="s">
        <v>456</v>
      </c>
      <c r="C22" s="346" t="s">
        <v>401</v>
      </c>
      <c r="D22" s="346" t="s">
        <v>260</v>
      </c>
      <c r="E22" s="346" t="s">
        <v>399</v>
      </c>
      <c r="F22" s="346" t="s">
        <v>457</v>
      </c>
      <c r="G22" s="249" t="s">
        <v>4663</v>
      </c>
      <c r="H22" s="346" t="s">
        <v>4019</v>
      </c>
      <c r="I22" s="347" t="s">
        <v>4664</v>
      </c>
      <c r="J22" s="346" t="s">
        <v>30</v>
      </c>
      <c r="K22" s="346" t="s">
        <v>4019</v>
      </c>
      <c r="L22" s="346" t="s">
        <v>322</v>
      </c>
      <c r="M22" s="346">
        <v>8302410000</v>
      </c>
      <c r="N22" s="346">
        <v>5000</v>
      </c>
      <c r="O22" s="346">
        <v>30</v>
      </c>
      <c r="P22" s="346"/>
      <c r="Q22" s="354"/>
      <c r="R22" s="319">
        <v>24.033690368750559</v>
      </c>
      <c r="S22" s="347"/>
      <c r="T22" s="346"/>
      <c r="U22" s="347" t="s">
        <v>4607</v>
      </c>
    </row>
    <row r="23" spans="1:21" s="352" customFormat="1" ht="14.1" customHeight="1">
      <c r="A23" s="346">
        <v>19</v>
      </c>
      <c r="B23" s="346" t="s">
        <v>456</v>
      </c>
      <c r="C23" s="346" t="s">
        <v>401</v>
      </c>
      <c r="D23" s="346" t="s">
        <v>260</v>
      </c>
      <c r="E23" s="346" t="s">
        <v>827</v>
      </c>
      <c r="F23" s="346" t="s">
        <v>457</v>
      </c>
      <c r="G23" s="249" t="s">
        <v>4665</v>
      </c>
      <c r="H23" s="346" t="s">
        <v>4666</v>
      </c>
      <c r="I23" s="347" t="s">
        <v>4667</v>
      </c>
      <c r="J23" s="346" t="s">
        <v>30</v>
      </c>
      <c r="K23" s="346" t="s">
        <v>4019</v>
      </c>
      <c r="L23" s="346" t="s">
        <v>322</v>
      </c>
      <c r="M23" s="346">
        <v>8302410000</v>
      </c>
      <c r="N23" s="346">
        <v>5000</v>
      </c>
      <c r="O23" s="346">
        <v>30</v>
      </c>
      <c r="P23" s="346"/>
      <c r="Q23" s="354"/>
      <c r="R23" s="319">
        <v>27.584121900497799</v>
      </c>
      <c r="S23" s="347"/>
      <c r="T23" s="346"/>
      <c r="U23" s="347" t="s">
        <v>4607</v>
      </c>
    </row>
    <row r="24" spans="1:21" ht="14.1" customHeight="1"/>
    <row r="25" spans="1:21" ht="14.1" customHeight="1"/>
    <row r="26" spans="1:21" ht="14.1" customHeight="1"/>
    <row r="27" spans="1:21" ht="14.1" customHeight="1"/>
    <row r="28" spans="1:21" ht="14.1" customHeight="1"/>
    <row r="29" spans="1:21" ht="14.1" customHeight="1"/>
    <row r="30" spans="1:21" ht="14.1" customHeight="1"/>
    <row r="31" spans="1:21" ht="14.1" customHeight="1"/>
    <row r="32" spans="1:21" ht="14.1" customHeight="1"/>
    <row r="33" ht="14.1" customHeight="1"/>
    <row r="34" ht="14.1" customHeight="1"/>
    <row r="35" ht="14.1" customHeight="1"/>
    <row r="36" ht="14.1" customHeight="1"/>
    <row r="37" ht="14.1" customHeight="1"/>
    <row r="38" ht="14.1" customHeight="1"/>
    <row r="39" ht="14.1" customHeight="1"/>
    <row r="40" ht="14.1" customHeight="1"/>
    <row r="41" ht="14.1" customHeight="1"/>
    <row r="42" ht="14.1" customHeight="1"/>
    <row r="43" ht="14.1" customHeight="1"/>
    <row r="44" ht="14.1" customHeight="1"/>
    <row r="45" ht="14.1" customHeight="1"/>
    <row r="46" ht="14.1" customHeight="1"/>
    <row r="47" ht="14.1" customHeight="1"/>
    <row r="48" ht="14.1" customHeight="1"/>
    <row r="49" ht="14.1" customHeight="1"/>
    <row r="50" ht="14.1" customHeight="1"/>
    <row r="51" ht="14.1" customHeight="1"/>
    <row r="52" ht="14.1" customHeight="1"/>
    <row r="53" ht="14.1" customHeight="1"/>
    <row r="54" ht="14.1" customHeight="1"/>
    <row r="55" ht="14.1" customHeight="1"/>
    <row r="56" ht="14.1" customHeight="1"/>
    <row r="57" ht="14.1" customHeight="1"/>
    <row r="58" ht="14.1" customHeight="1"/>
    <row r="59" ht="14.1" customHeight="1"/>
    <row r="60" ht="14.1" customHeight="1"/>
    <row r="61" ht="14.1" customHeight="1"/>
    <row r="62" ht="14.1" customHeight="1"/>
    <row r="63" ht="14.1" customHeight="1"/>
    <row r="64" ht="14.1" customHeight="1"/>
    <row r="65" ht="14.1" customHeight="1"/>
    <row r="66" ht="14.1" customHeight="1"/>
    <row r="67" ht="14.1" customHeight="1"/>
    <row r="68" ht="14.1" customHeight="1"/>
    <row r="69" ht="14.1" customHeight="1"/>
    <row r="70" ht="14.1" customHeight="1"/>
    <row r="71" ht="14.1" customHeight="1"/>
    <row r="72" ht="14.1" customHeight="1"/>
    <row r="73" ht="14.1" customHeight="1"/>
    <row r="74" ht="14.1" customHeight="1"/>
    <row r="75" ht="14.1" customHeight="1"/>
    <row r="76" ht="14.1" customHeight="1"/>
    <row r="77" ht="14.1" customHeight="1"/>
    <row r="78" ht="14.1" customHeight="1"/>
    <row r="79" ht="14.1" customHeight="1"/>
    <row r="80" ht="14.1" customHeight="1"/>
    <row r="81" ht="14.1" customHeight="1"/>
    <row r="82" ht="14.1" customHeight="1"/>
    <row r="83" ht="14.1" customHeight="1"/>
    <row r="84" ht="14.1" customHeight="1"/>
    <row r="85" ht="14.1" customHeight="1"/>
    <row r="86" ht="14.1" customHeight="1"/>
    <row r="87" ht="14.1" customHeight="1"/>
    <row r="88" ht="14.1" customHeight="1"/>
    <row r="89" ht="14.1" customHeight="1"/>
    <row r="90" ht="14.1" customHeight="1"/>
    <row r="91" ht="14.1" customHeight="1"/>
    <row r="92" ht="14.1" customHeight="1"/>
    <row r="93" ht="14.1" customHeight="1"/>
    <row r="94" ht="14.1" customHeight="1"/>
    <row r="95" ht="14.1" customHeight="1"/>
    <row r="96" ht="14.1" customHeight="1"/>
    <row r="97" ht="14.1" customHeight="1"/>
    <row r="98" ht="14.1" customHeight="1"/>
    <row r="99" ht="14.1" customHeight="1"/>
    <row r="100" ht="14.1" customHeight="1"/>
    <row r="101" ht="14.1" customHeight="1"/>
    <row r="102" ht="14.1" customHeight="1"/>
    <row r="103" ht="14.1" customHeight="1"/>
    <row r="104" ht="14.1" customHeight="1"/>
    <row r="105" ht="14.1" customHeight="1"/>
    <row r="106" ht="14.1" customHeight="1"/>
    <row r="107" ht="14.1" customHeight="1"/>
    <row r="108" ht="14.1" customHeight="1"/>
    <row r="109" ht="14.1" customHeight="1"/>
    <row r="110" ht="14.1" customHeight="1"/>
    <row r="111" ht="14.1" customHeight="1"/>
    <row r="112" ht="14.1" customHeight="1"/>
    <row r="113" ht="14.1" customHeight="1"/>
    <row r="114" ht="14.1" customHeight="1"/>
    <row r="115" ht="14.1" customHeight="1"/>
    <row r="116" ht="14.1" customHeight="1"/>
    <row r="117" ht="14.1" customHeight="1"/>
    <row r="118" ht="14.1" customHeight="1"/>
    <row r="119" ht="14.1" customHeight="1"/>
    <row r="120" ht="14.1" customHeight="1"/>
    <row r="121" ht="14.1" customHeight="1"/>
    <row r="122" ht="14.1" customHeight="1"/>
    <row r="123" ht="14.1" customHeight="1"/>
    <row r="124" ht="14.1" customHeight="1"/>
    <row r="125" ht="14.1" customHeight="1"/>
    <row r="126" ht="14.1" customHeight="1"/>
    <row r="127" ht="14.1" customHeight="1"/>
    <row r="128" ht="14.1" customHeight="1"/>
    <row r="129" ht="14.1" customHeight="1"/>
    <row r="130" ht="14.1" customHeight="1"/>
    <row r="131" ht="14.1" customHeight="1"/>
    <row r="132" ht="14.1" customHeight="1"/>
    <row r="133" ht="14.1" customHeight="1"/>
    <row r="134" ht="14.1" customHeight="1"/>
    <row r="135" ht="14.1" customHeight="1"/>
    <row r="136" ht="14.1" customHeight="1"/>
    <row r="137" ht="14.1" customHeight="1"/>
    <row r="138" ht="14.1" customHeight="1"/>
    <row r="139" ht="14.1" customHeight="1"/>
    <row r="140" ht="14.1" customHeight="1"/>
    <row r="141" ht="14.1" customHeight="1"/>
    <row r="142" ht="14.1" customHeight="1"/>
    <row r="143" ht="14.1" customHeight="1"/>
    <row r="144" ht="14.1" customHeight="1"/>
    <row r="145" ht="14.1" customHeight="1"/>
    <row r="146" ht="14.1" customHeight="1"/>
    <row r="147" ht="14.1" customHeight="1"/>
    <row r="148" ht="14.1" customHeight="1"/>
    <row r="149" ht="14.1" customHeight="1"/>
    <row r="150" ht="14.1" customHeight="1"/>
    <row r="151" ht="14.1" customHeight="1"/>
    <row r="152" ht="14.1" customHeight="1"/>
    <row r="153" ht="14.1" customHeight="1"/>
    <row r="154" ht="14.1" customHeight="1"/>
    <row r="155" ht="14.1" customHeight="1"/>
    <row r="156" ht="14.1" customHeight="1"/>
    <row r="157" ht="14.1" customHeight="1"/>
    <row r="158" ht="14.1" customHeight="1"/>
    <row r="159" ht="14.1" customHeight="1"/>
    <row r="160" ht="14.1" customHeight="1"/>
    <row r="161" ht="14.1" customHeight="1"/>
    <row r="162" ht="14.1" customHeight="1"/>
    <row r="163" ht="14.1" customHeight="1"/>
    <row r="164" ht="14.1" customHeight="1"/>
    <row r="165" ht="14.1" customHeight="1"/>
    <row r="166" ht="14.1" customHeight="1"/>
    <row r="167" ht="14.1" customHeight="1"/>
    <row r="168" ht="14.1" customHeight="1"/>
    <row r="169" ht="14.1" customHeight="1"/>
    <row r="170" ht="14.1" customHeight="1"/>
    <row r="171" ht="14.1" customHeight="1"/>
    <row r="172" ht="14.1" customHeight="1"/>
    <row r="173" ht="14.1" customHeight="1"/>
    <row r="174" ht="14.1" customHeight="1"/>
    <row r="175" ht="14.1" customHeight="1"/>
    <row r="176" ht="14.1" customHeight="1"/>
    <row r="177" ht="14.1" customHeight="1"/>
    <row r="178" ht="14.1" customHeight="1"/>
    <row r="179" ht="14.1" customHeight="1"/>
    <row r="180" ht="14.1" customHeight="1"/>
    <row r="181" ht="14.1" customHeight="1"/>
    <row r="182" ht="14.1" customHeight="1"/>
    <row r="183" ht="14.1" customHeight="1"/>
    <row r="184" ht="14.1" customHeight="1"/>
    <row r="185" ht="14.1" customHeight="1"/>
    <row r="186" ht="14.1" customHeight="1"/>
    <row r="187" ht="14.1" customHeight="1"/>
    <row r="188" ht="14.1" customHeight="1"/>
    <row r="189" ht="14.1" customHeight="1"/>
    <row r="190" ht="14.1" customHeight="1"/>
    <row r="191" ht="14.1" customHeight="1"/>
    <row r="192" ht="14.1" customHeight="1"/>
    <row r="193" ht="14.1" customHeight="1"/>
    <row r="194" ht="14.1" customHeight="1"/>
    <row r="195" ht="14.1" customHeight="1"/>
    <row r="196" ht="14.1" customHeight="1"/>
    <row r="197" ht="14.1" customHeight="1"/>
    <row r="198" ht="14.1" customHeight="1"/>
    <row r="199" ht="14.1" customHeight="1"/>
    <row r="200" ht="14.1" customHeight="1"/>
    <row r="201" ht="14.1" customHeight="1"/>
    <row r="202" ht="14.1" customHeight="1"/>
    <row r="203" ht="14.1" customHeight="1"/>
    <row r="204" ht="14.1" customHeight="1"/>
    <row r="205" ht="14.1" customHeight="1"/>
    <row r="206" ht="14.1" customHeight="1"/>
    <row r="207" ht="14.1" customHeight="1"/>
    <row r="208" ht="14.1" customHeight="1"/>
    <row r="209" ht="14.1" customHeight="1"/>
    <row r="210" ht="14.1" customHeight="1"/>
    <row r="211" ht="14.1" customHeight="1"/>
    <row r="212" ht="14.1" customHeight="1"/>
    <row r="213" ht="14.1" customHeight="1"/>
    <row r="214" ht="14.1" customHeight="1"/>
    <row r="215" ht="14.1" customHeight="1"/>
    <row r="216" ht="14.1" customHeight="1"/>
    <row r="217" ht="14.1" customHeight="1"/>
    <row r="218" ht="14.1" customHeight="1"/>
    <row r="219" ht="14.1" customHeight="1"/>
    <row r="220" ht="14.1" customHeight="1"/>
    <row r="221" ht="14.1" customHeight="1"/>
    <row r="222" ht="14.1" customHeight="1"/>
    <row r="223" ht="14.1" customHeight="1"/>
    <row r="224" ht="14.1" customHeight="1"/>
    <row r="225" ht="14.1" customHeight="1"/>
    <row r="226" ht="14.1" customHeight="1"/>
    <row r="227" ht="14.1" customHeight="1"/>
    <row r="228" ht="14.1" customHeight="1"/>
    <row r="229" ht="14.1" customHeight="1"/>
    <row r="230" ht="14.1" customHeight="1"/>
    <row r="231" ht="14.1" customHeight="1"/>
    <row r="232" ht="14.1" customHeight="1"/>
    <row r="233" ht="14.1" customHeight="1"/>
    <row r="234" ht="14.1" customHeight="1"/>
    <row r="235" ht="14.1" customHeight="1"/>
    <row r="236" ht="14.1" customHeight="1"/>
    <row r="237" ht="14.1" customHeight="1"/>
    <row r="238" ht="14.1" customHeight="1"/>
    <row r="239" ht="14.1" customHeight="1"/>
    <row r="240" ht="14.1" customHeight="1"/>
    <row r="241" ht="14.1" customHeight="1"/>
    <row r="242" ht="14.1" customHeight="1"/>
    <row r="243" ht="14.1" customHeight="1"/>
    <row r="244" ht="14.1" customHeight="1"/>
    <row r="245" ht="14.1" customHeight="1"/>
    <row r="246" ht="14.1" customHeight="1"/>
    <row r="247" ht="14.1" customHeight="1"/>
    <row r="248" ht="14.1" customHeight="1"/>
    <row r="249" ht="14.1" customHeight="1"/>
    <row r="250" ht="14.1" customHeight="1"/>
    <row r="251" ht="14.1" customHeight="1"/>
    <row r="252" ht="14.1" customHeight="1"/>
    <row r="253" ht="14.1" customHeight="1"/>
    <row r="254" ht="14.1" customHeight="1"/>
    <row r="255" ht="14.1" customHeight="1"/>
    <row r="256" ht="14.1" customHeight="1"/>
    <row r="257" ht="14.1" customHeight="1"/>
    <row r="258" ht="14.1" customHeight="1"/>
    <row r="259" ht="14.1" customHeight="1"/>
    <row r="260" ht="14.1" customHeight="1"/>
    <row r="261" ht="14.1" customHeight="1"/>
    <row r="262" ht="14.1" customHeight="1"/>
    <row r="263" ht="14.1" customHeight="1"/>
    <row r="264" ht="14.1" customHeight="1"/>
    <row r="265" ht="14.1" customHeight="1"/>
    <row r="266" ht="14.1" customHeight="1"/>
    <row r="267" ht="14.1" customHeight="1"/>
    <row r="268" ht="14.1" customHeight="1"/>
    <row r="269" ht="14.1" customHeight="1"/>
    <row r="270" ht="14.1" customHeight="1"/>
    <row r="271" ht="14.1" customHeight="1"/>
    <row r="272" ht="14.1" customHeight="1"/>
    <row r="273" ht="14.1" customHeight="1"/>
    <row r="274" ht="14.1" customHeight="1"/>
    <row r="275" ht="14.1" customHeight="1"/>
    <row r="276" ht="14.1" customHeight="1"/>
    <row r="277" ht="14.1" customHeight="1"/>
    <row r="278" ht="14.1" customHeight="1"/>
    <row r="279" ht="14.1" customHeight="1"/>
    <row r="280" ht="14.1" customHeight="1"/>
    <row r="281" ht="14.1" customHeight="1"/>
    <row r="282" ht="14.1" customHeight="1"/>
    <row r="283" ht="14.1" customHeight="1"/>
    <row r="284" ht="14.1" customHeight="1"/>
    <row r="285" ht="14.1" customHeight="1"/>
    <row r="286" ht="14.1" customHeight="1"/>
    <row r="287" ht="14.1" customHeight="1"/>
    <row r="288" ht="14.1" customHeight="1"/>
    <row r="289" ht="14.1" customHeight="1"/>
    <row r="290" ht="14.1" customHeight="1"/>
    <row r="291" ht="14.1" customHeight="1"/>
    <row r="292" ht="14.1" customHeight="1"/>
    <row r="293" ht="14.1" customHeight="1"/>
    <row r="294" ht="14.1" customHeight="1"/>
    <row r="295" ht="14.1" customHeight="1"/>
    <row r="296" ht="14.1" customHeight="1"/>
    <row r="297" ht="14.1" customHeight="1"/>
    <row r="298" ht="14.1" customHeight="1"/>
    <row r="299" ht="14.1" customHeight="1"/>
    <row r="300" ht="14.1" customHeight="1"/>
    <row r="301" ht="14.1" customHeight="1"/>
    <row r="302" ht="14.1" customHeight="1"/>
    <row r="303" ht="14.1" customHeight="1"/>
    <row r="304" ht="14.1" customHeight="1"/>
    <row r="305" ht="14.1" customHeight="1"/>
    <row r="306" ht="14.1" customHeight="1"/>
    <row r="307" ht="14.1" customHeight="1"/>
    <row r="308" ht="14.1" customHeight="1"/>
    <row r="309" ht="14.1" customHeight="1"/>
    <row r="310" ht="14.1" customHeight="1"/>
    <row r="311" ht="14.1" customHeight="1"/>
    <row r="312" ht="14.1" customHeight="1"/>
    <row r="313" ht="14.1" customHeight="1"/>
    <row r="314" ht="14.1" customHeight="1"/>
    <row r="315" ht="14.1" customHeight="1"/>
    <row r="316" ht="14.1" customHeight="1"/>
    <row r="317" ht="14.1" customHeight="1"/>
    <row r="318" ht="14.1" customHeight="1"/>
    <row r="319" ht="14.1" customHeight="1"/>
    <row r="320" ht="14.1" customHeight="1"/>
    <row r="321" ht="14.1" customHeight="1"/>
    <row r="322" ht="14.1" customHeight="1"/>
    <row r="323" ht="14.1" customHeight="1"/>
    <row r="324" ht="14.1" customHeight="1"/>
    <row r="325" ht="14.1" customHeight="1"/>
    <row r="326" ht="14.1" customHeight="1"/>
    <row r="327" ht="14.1" customHeight="1"/>
    <row r="328" ht="14.1" customHeight="1"/>
    <row r="329" ht="14.1" customHeight="1"/>
    <row r="330" ht="14.1" customHeight="1"/>
    <row r="331" ht="14.1" customHeight="1"/>
    <row r="332" ht="14.1" customHeight="1"/>
    <row r="333" ht="14.1" customHeight="1"/>
    <row r="334" ht="14.1" customHeight="1"/>
    <row r="335" ht="14.1" customHeight="1"/>
    <row r="336" ht="14.1" customHeight="1"/>
    <row r="337" ht="14.1" customHeight="1"/>
    <row r="338" ht="14.1" customHeight="1"/>
    <row r="339" ht="14.1" customHeight="1"/>
    <row r="340" ht="14.1" customHeight="1"/>
    <row r="341" ht="14.1" customHeight="1"/>
    <row r="342" ht="14.1" customHeight="1"/>
    <row r="343" ht="14.1" customHeight="1"/>
    <row r="344" ht="14.1" customHeight="1"/>
    <row r="345" ht="14.1" customHeight="1"/>
    <row r="346" ht="14.1" customHeight="1"/>
    <row r="347" ht="14.1" customHeight="1"/>
    <row r="348" ht="14.1" customHeight="1"/>
    <row r="349" ht="14.1" customHeight="1"/>
    <row r="350" ht="14.1" customHeight="1"/>
    <row r="351" ht="14.1" customHeight="1"/>
    <row r="352" ht="14.1" customHeight="1"/>
    <row r="353" ht="14.1" customHeight="1"/>
    <row r="354" ht="14.1" customHeight="1"/>
    <row r="355" ht="14.1" customHeight="1"/>
    <row r="356" ht="14.1" customHeight="1"/>
    <row r="357" ht="14.1" customHeight="1"/>
    <row r="358" ht="14.1" customHeight="1"/>
    <row r="359" ht="14.1" customHeight="1"/>
    <row r="360" ht="14.1" customHeight="1"/>
    <row r="361" ht="14.1" customHeight="1"/>
    <row r="362" ht="14.1" customHeight="1"/>
    <row r="363" ht="14.1" customHeight="1"/>
    <row r="364" ht="14.1" customHeight="1"/>
    <row r="365" ht="14.1" customHeight="1"/>
    <row r="366" ht="14.1" customHeight="1"/>
    <row r="367" ht="14.1" customHeight="1"/>
    <row r="368" ht="14.1" customHeight="1"/>
    <row r="369" ht="14.1" customHeight="1"/>
    <row r="370" ht="14.1" customHeight="1"/>
    <row r="371" ht="14.1" customHeight="1"/>
    <row r="372" ht="14.1" customHeight="1"/>
    <row r="373" ht="14.1" customHeight="1"/>
    <row r="374" ht="14.1" customHeight="1"/>
    <row r="375" ht="14.1" customHeight="1"/>
    <row r="376" ht="14.1" customHeight="1"/>
    <row r="377" ht="14.1" customHeight="1"/>
    <row r="378" ht="14.1" customHeight="1"/>
    <row r="379" ht="14.1" customHeight="1"/>
    <row r="380" ht="14.1" customHeight="1"/>
    <row r="381" ht="14.1" customHeight="1"/>
    <row r="382" ht="14.1" customHeight="1"/>
    <row r="383" ht="14.1" customHeight="1"/>
    <row r="384" ht="14.1" customHeight="1"/>
    <row r="385" ht="14.1" customHeight="1"/>
    <row r="386" ht="14.1" customHeight="1"/>
    <row r="387" ht="14.1" customHeight="1"/>
    <row r="388" ht="14.1" customHeight="1"/>
    <row r="389" ht="14.1" customHeight="1"/>
    <row r="390" ht="14.1" customHeight="1"/>
    <row r="391" ht="14.1" customHeight="1"/>
    <row r="392" ht="14.1" customHeight="1"/>
    <row r="393" ht="14.1" customHeight="1"/>
    <row r="394" ht="14.1" customHeight="1"/>
    <row r="395" ht="14.1" customHeight="1"/>
    <row r="396" ht="14.1" customHeight="1"/>
    <row r="397" ht="14.1" customHeight="1"/>
    <row r="398" ht="14.1" customHeight="1"/>
    <row r="399" ht="14.1" customHeight="1"/>
    <row r="400" ht="14.1" customHeight="1"/>
    <row r="401" ht="14.1" customHeight="1"/>
    <row r="402" ht="14.1" customHeight="1"/>
    <row r="403" ht="14.1" customHeight="1"/>
    <row r="404" ht="14.1" customHeight="1"/>
    <row r="405" ht="14.1" customHeight="1"/>
    <row r="406" ht="14.1" customHeight="1"/>
    <row r="407" ht="14.1" customHeight="1"/>
    <row r="408" ht="14.1" customHeight="1"/>
    <row r="409" ht="14.1" customHeight="1"/>
    <row r="410" ht="14.1" customHeight="1"/>
    <row r="411" ht="14.1" customHeight="1"/>
    <row r="412" ht="14.1" customHeight="1"/>
    <row r="413" ht="14.1" customHeight="1"/>
    <row r="414" ht="14.1" customHeight="1"/>
    <row r="415" ht="14.1" customHeight="1"/>
    <row r="416" ht="14.1" customHeight="1"/>
    <row r="417" ht="14.1" customHeight="1"/>
    <row r="418" ht="14.1" customHeight="1"/>
    <row r="419" ht="14.1" customHeight="1"/>
    <row r="420" ht="14.1" customHeight="1"/>
    <row r="421" ht="14.1" customHeight="1"/>
    <row r="422" ht="14.1" customHeight="1"/>
    <row r="423" ht="14.1" customHeight="1"/>
    <row r="424" ht="14.1" customHeight="1"/>
    <row r="425" ht="14.1" customHeight="1"/>
    <row r="426" ht="14.1" customHeight="1"/>
    <row r="427" ht="14.1" customHeight="1"/>
    <row r="428" ht="14.1" customHeight="1"/>
    <row r="429" ht="14.1" customHeight="1"/>
    <row r="430" ht="14.1" customHeight="1"/>
    <row r="431" ht="14.1" customHeight="1"/>
    <row r="432" ht="14.1" customHeight="1"/>
    <row r="433" ht="14.1" customHeight="1"/>
    <row r="434" ht="14.1" customHeight="1"/>
    <row r="435" ht="14.1" customHeight="1"/>
    <row r="436" ht="14.1" customHeight="1"/>
    <row r="437" ht="14.1" customHeight="1"/>
    <row r="438" ht="14.1" customHeight="1"/>
    <row r="439" ht="14.1" customHeight="1"/>
    <row r="440" ht="14.1" customHeight="1"/>
    <row r="441" ht="14.1" customHeight="1"/>
    <row r="442" ht="14.1" customHeight="1"/>
    <row r="443" ht="14.1" customHeight="1"/>
    <row r="444" ht="14.1" customHeight="1"/>
    <row r="445" ht="14.1" customHeight="1"/>
    <row r="446" ht="14.1" customHeight="1"/>
    <row r="447" ht="14.1" customHeight="1"/>
    <row r="448" ht="14.1" customHeight="1"/>
    <row r="449" ht="14.1" customHeight="1"/>
    <row r="450" ht="14.1" customHeight="1"/>
    <row r="451" ht="14.1" customHeight="1"/>
    <row r="452" ht="14.1" customHeight="1"/>
    <row r="453" ht="14.1" customHeight="1"/>
    <row r="454" ht="14.1" customHeight="1"/>
    <row r="455" ht="14.1" customHeight="1"/>
    <row r="456" ht="14.1" customHeight="1"/>
    <row r="457" ht="14.1" customHeight="1"/>
    <row r="458" ht="14.1" customHeight="1"/>
    <row r="459" ht="14.1" customHeight="1"/>
    <row r="460" ht="14.1" customHeight="1"/>
    <row r="461" ht="14.1" customHeight="1"/>
    <row r="462" ht="14.1" customHeight="1"/>
    <row r="463" ht="14.1" customHeight="1"/>
    <row r="464" ht="14.1" customHeight="1"/>
    <row r="465" ht="14.1" customHeight="1"/>
    <row r="466" ht="14.1" customHeight="1"/>
    <row r="467" ht="14.1" customHeight="1"/>
    <row r="468" ht="14.1" customHeight="1"/>
    <row r="469" ht="14.1" customHeight="1"/>
    <row r="470" ht="14.1" customHeight="1"/>
    <row r="471" ht="14.1" customHeight="1"/>
    <row r="472" ht="14.1" customHeight="1"/>
    <row r="473" ht="14.1" customHeight="1"/>
    <row r="474" ht="14.1" customHeight="1"/>
    <row r="475" ht="14.1" customHeight="1"/>
    <row r="476" ht="14.1" customHeight="1"/>
    <row r="477" ht="14.1" customHeight="1"/>
    <row r="478" ht="14.1" customHeight="1"/>
    <row r="479" ht="14.1" customHeight="1"/>
    <row r="480" ht="14.1" customHeight="1"/>
    <row r="481" ht="14.1" customHeight="1"/>
    <row r="482" ht="14.1" customHeight="1"/>
    <row r="483" ht="14.1" customHeight="1"/>
    <row r="484" ht="14.1" customHeight="1"/>
    <row r="485" ht="14.1" customHeight="1"/>
    <row r="486" ht="14.1" customHeight="1"/>
    <row r="487" ht="14.1" customHeight="1"/>
    <row r="488" ht="14.1" customHeight="1"/>
    <row r="489" ht="14.1" customHeight="1"/>
    <row r="490" ht="14.1" customHeight="1"/>
    <row r="491" ht="14.1" customHeight="1"/>
    <row r="492" ht="14.1" customHeight="1"/>
    <row r="493" ht="14.1" customHeight="1"/>
    <row r="494" ht="14.1" customHeight="1"/>
    <row r="495" ht="14.1" customHeight="1"/>
    <row r="496" ht="14.1" customHeight="1"/>
    <row r="497" ht="14.1" customHeight="1"/>
    <row r="498" ht="14.1" customHeight="1"/>
    <row r="499" ht="14.1" customHeight="1"/>
    <row r="500" ht="14.1" customHeight="1"/>
    <row r="501" ht="14.1" customHeight="1"/>
    <row r="502" ht="14.1" customHeight="1"/>
    <row r="503" ht="14.1" customHeight="1"/>
    <row r="504" ht="14.1" customHeight="1"/>
    <row r="505" ht="14.1" customHeight="1"/>
    <row r="506" ht="14.1" customHeight="1"/>
    <row r="507" ht="14.1" customHeight="1"/>
    <row r="508" ht="14.1" customHeight="1"/>
    <row r="509" ht="14.1" customHeight="1"/>
    <row r="510" ht="14.1" customHeight="1"/>
    <row r="511" ht="14.1" customHeight="1"/>
    <row r="512" ht="14.1" customHeight="1"/>
    <row r="513" ht="14.1" customHeight="1"/>
    <row r="514" ht="14.1" customHeight="1"/>
    <row r="515" ht="14.1" customHeight="1"/>
    <row r="516" ht="14.1" customHeight="1"/>
    <row r="517" ht="14.1" customHeight="1"/>
    <row r="518" ht="14.1" customHeight="1"/>
    <row r="519" ht="14.1" customHeight="1"/>
    <row r="520" ht="14.1" customHeight="1"/>
    <row r="521" ht="14.1" customHeight="1"/>
    <row r="522" ht="14.1" customHeight="1"/>
    <row r="523" ht="14.1" customHeight="1"/>
    <row r="524" ht="14.1" customHeight="1"/>
    <row r="525" ht="14.1" customHeight="1"/>
    <row r="526" ht="14.1" customHeight="1"/>
    <row r="527" ht="14.1" customHeight="1"/>
    <row r="528" ht="14.1" customHeight="1"/>
    <row r="529" ht="14.1" customHeight="1"/>
    <row r="530" ht="14.1" customHeight="1"/>
    <row r="531" ht="14.1" customHeight="1"/>
    <row r="532" ht="14.1" customHeight="1"/>
    <row r="533" ht="14.1" customHeight="1"/>
    <row r="534" ht="14.1" customHeight="1"/>
    <row r="535" ht="14.1" customHeight="1"/>
    <row r="536" ht="14.1" customHeight="1"/>
    <row r="537" ht="14.1" customHeight="1"/>
    <row r="538" ht="14.1" customHeight="1"/>
    <row r="539" ht="14.1" customHeight="1"/>
    <row r="540" ht="14.1" customHeight="1"/>
    <row r="541" ht="14.1" customHeight="1"/>
    <row r="542" ht="14.1" customHeight="1"/>
    <row r="543" ht="14.1" customHeight="1"/>
    <row r="544" ht="14.1" customHeight="1"/>
    <row r="545" ht="14.1" customHeight="1"/>
    <row r="546" ht="14.1" customHeight="1"/>
    <row r="547" ht="14.1" customHeight="1"/>
    <row r="548" ht="14.1" customHeight="1"/>
    <row r="549" ht="14.1" customHeight="1"/>
    <row r="550" ht="14.1" customHeight="1"/>
    <row r="551" ht="14.1" customHeight="1"/>
    <row r="552" ht="14.1" customHeight="1"/>
    <row r="553" ht="14.1" customHeight="1"/>
    <row r="554" ht="14.1" customHeight="1"/>
    <row r="555" ht="14.1" customHeight="1"/>
    <row r="556" ht="14.1" customHeight="1"/>
    <row r="557" ht="14.1" customHeight="1"/>
    <row r="558" ht="14.1" customHeight="1"/>
    <row r="559" ht="14.1" customHeight="1"/>
    <row r="560" ht="14.1" customHeight="1"/>
    <row r="561" ht="14.1" customHeight="1"/>
    <row r="562" ht="14.1" customHeight="1"/>
    <row r="563" ht="14.1" customHeight="1"/>
    <row r="564" ht="14.1" customHeight="1"/>
    <row r="565" ht="14.1" customHeight="1"/>
    <row r="566" ht="14.1" customHeight="1"/>
    <row r="567" ht="14.1" customHeight="1"/>
    <row r="568" ht="14.1" customHeight="1"/>
    <row r="569" ht="14.1" customHeight="1"/>
    <row r="570" ht="14.1" customHeight="1"/>
    <row r="571" ht="14.1" customHeight="1"/>
    <row r="572" ht="14.1" customHeight="1"/>
    <row r="573" ht="14.1" customHeight="1"/>
    <row r="574" ht="14.1" customHeight="1"/>
    <row r="575" ht="14.1" customHeight="1"/>
    <row r="576" ht="14.1" customHeight="1"/>
    <row r="577" ht="14.1" customHeight="1"/>
    <row r="578" ht="14.1" customHeight="1"/>
    <row r="579" ht="14.1" customHeight="1"/>
    <row r="580" ht="14.1" customHeight="1"/>
    <row r="581" ht="14.1" customHeight="1"/>
    <row r="582" ht="14.1" customHeight="1"/>
    <row r="583" ht="14.1" customHeight="1"/>
    <row r="584" ht="14.1" customHeight="1"/>
    <row r="585" ht="14.1" customHeight="1"/>
    <row r="586" ht="14.1" customHeight="1"/>
    <row r="587" ht="14.1" customHeight="1"/>
    <row r="588" ht="14.1" customHeight="1"/>
    <row r="589" ht="14.1" customHeight="1"/>
    <row r="590" ht="14.1" customHeight="1"/>
    <row r="591" ht="14.1" customHeight="1"/>
    <row r="592" ht="14.1" customHeight="1"/>
    <row r="593" ht="14.1" customHeight="1"/>
    <row r="594" ht="14.1" customHeight="1"/>
    <row r="595" ht="14.1" customHeight="1"/>
    <row r="596" ht="14.1" customHeight="1"/>
    <row r="597" ht="14.1" customHeight="1"/>
    <row r="598" ht="14.1" customHeight="1"/>
    <row r="599" ht="14.1" customHeight="1"/>
    <row r="600" ht="14.1" customHeight="1"/>
    <row r="601" ht="14.1" customHeight="1"/>
    <row r="602" ht="14.1" customHeight="1"/>
    <row r="603" ht="14.1" customHeight="1"/>
    <row r="604" ht="14.1" customHeight="1"/>
    <row r="605" ht="14.1" customHeight="1"/>
    <row r="606" ht="14.1" customHeight="1"/>
    <row r="607" ht="14.1" customHeight="1"/>
    <row r="608" ht="14.1" customHeight="1"/>
    <row r="609" ht="14.1" customHeight="1"/>
    <row r="610" ht="14.1" customHeight="1"/>
    <row r="611" ht="14.1" customHeight="1"/>
    <row r="612" ht="14.1" customHeight="1"/>
    <row r="613" ht="14.1" customHeight="1"/>
    <row r="614" ht="14.1" customHeight="1"/>
    <row r="615" ht="14.1" customHeight="1"/>
    <row r="616" ht="14.1" customHeight="1"/>
    <row r="617" ht="14.1" customHeight="1"/>
    <row r="618" ht="14.1" customHeight="1"/>
    <row r="619" ht="14.1" customHeight="1"/>
    <row r="620" ht="14.1" customHeight="1"/>
    <row r="621" ht="14.1" customHeight="1"/>
    <row r="622" ht="14.1" customHeight="1"/>
    <row r="623" ht="14.1" customHeight="1"/>
    <row r="624" ht="14.1" customHeight="1"/>
    <row r="625" ht="14.1" customHeight="1"/>
    <row r="626" ht="14.1" customHeight="1"/>
    <row r="627" ht="14.1" customHeight="1"/>
    <row r="628" ht="14.1" customHeight="1"/>
    <row r="629" ht="14.1" customHeight="1"/>
    <row r="630" ht="14.1" customHeight="1"/>
    <row r="631" ht="14.1" customHeight="1"/>
    <row r="632" ht="14.1" customHeight="1"/>
    <row r="633" ht="14.1" customHeight="1"/>
    <row r="634" ht="14.1" customHeight="1"/>
    <row r="635" ht="14.1" customHeight="1"/>
    <row r="636" ht="14.1" customHeight="1"/>
    <row r="637" ht="14.1" customHeight="1"/>
    <row r="638" ht="14.1" customHeight="1"/>
    <row r="639" ht="14.1" customHeight="1"/>
    <row r="640" ht="14.1" customHeight="1"/>
    <row r="641" ht="14.1" customHeight="1"/>
    <row r="642" ht="14.1" customHeight="1"/>
    <row r="643" ht="14.1" customHeight="1"/>
    <row r="644" ht="14.1" customHeight="1"/>
    <row r="645" ht="14.1" customHeight="1"/>
    <row r="646" ht="14.1" customHeight="1"/>
    <row r="647" ht="14.1" customHeight="1"/>
    <row r="648" ht="14.1" customHeight="1"/>
    <row r="649" ht="14.1" customHeight="1"/>
    <row r="650" ht="14.1" customHeight="1"/>
    <row r="651" ht="14.1" customHeight="1"/>
    <row r="652" ht="14.1" customHeight="1"/>
    <row r="653" ht="14.1" customHeight="1"/>
    <row r="654" ht="14.1" customHeight="1"/>
    <row r="655" ht="14.1" customHeight="1"/>
    <row r="656" ht="14.1" customHeight="1"/>
    <row r="657" ht="14.1" customHeight="1"/>
    <row r="658" ht="14.1" customHeight="1"/>
    <row r="659" ht="14.1" customHeight="1"/>
    <row r="660" ht="14.1" customHeight="1"/>
    <row r="661" ht="14.1" customHeight="1"/>
    <row r="662" ht="14.1" customHeight="1"/>
    <row r="663" ht="14.1" customHeight="1"/>
    <row r="664" ht="14.1" customHeight="1"/>
    <row r="665" ht="14.1" customHeight="1"/>
    <row r="666" ht="14.1" customHeight="1"/>
    <row r="667" ht="14.1" customHeight="1"/>
    <row r="668" ht="14.1" customHeight="1"/>
    <row r="669" ht="14.1" customHeight="1"/>
    <row r="670" ht="14.1" customHeight="1"/>
    <row r="671" ht="14.1" customHeight="1"/>
    <row r="672" ht="14.1" customHeight="1"/>
    <row r="673" ht="14.1" customHeight="1"/>
    <row r="674" ht="14.1" customHeight="1"/>
    <row r="675" ht="14.1" customHeight="1"/>
    <row r="676" ht="14.1" customHeight="1"/>
    <row r="677" ht="14.1" customHeight="1"/>
    <row r="678" ht="14.1" customHeight="1"/>
    <row r="679" ht="14.1" customHeight="1"/>
    <row r="680" ht="14.1" customHeight="1"/>
    <row r="681" ht="14.1" customHeight="1"/>
    <row r="682" ht="14.1" customHeight="1"/>
    <row r="683" ht="14.1" customHeight="1"/>
    <row r="684" ht="14.1" customHeight="1"/>
    <row r="685" ht="14.1" customHeight="1"/>
    <row r="686" ht="14.1" customHeight="1"/>
    <row r="687" ht="14.1" customHeight="1"/>
    <row r="688" ht="14.1" customHeight="1"/>
    <row r="689" ht="14.1" customHeight="1"/>
    <row r="690" ht="14.1" customHeight="1"/>
    <row r="691" ht="14.1" customHeight="1"/>
    <row r="692" ht="14.1" customHeight="1"/>
    <row r="693" ht="14.1" customHeight="1"/>
    <row r="694" ht="14.1" customHeight="1"/>
    <row r="695" ht="14.1" customHeight="1"/>
    <row r="696" ht="14.1" customHeight="1"/>
    <row r="697" ht="14.1" customHeight="1"/>
    <row r="698" ht="14.1" customHeight="1"/>
    <row r="699" ht="14.1" customHeight="1"/>
    <row r="700" ht="14.1" customHeight="1"/>
    <row r="701" ht="14.1" customHeight="1"/>
    <row r="702" ht="14.1" customHeight="1"/>
    <row r="703" ht="14.1" customHeight="1"/>
    <row r="704" ht="14.1" customHeight="1"/>
    <row r="705" ht="14.1" customHeight="1"/>
    <row r="706" ht="14.1" customHeight="1"/>
    <row r="707" ht="14.1" customHeight="1"/>
    <row r="708" ht="14.1" customHeight="1"/>
    <row r="709" ht="14.1" customHeight="1"/>
    <row r="710" ht="14.1" customHeight="1"/>
    <row r="711" ht="14.1" customHeight="1"/>
    <row r="712" ht="14.1" customHeight="1"/>
    <row r="713" ht="14.1" customHeight="1"/>
    <row r="714" ht="14.1" customHeight="1"/>
    <row r="715" ht="14.1" customHeight="1"/>
    <row r="716" ht="14.1" customHeight="1"/>
    <row r="717" ht="14.1" customHeight="1"/>
    <row r="718" ht="14.1" customHeight="1"/>
    <row r="719" ht="14.1" customHeight="1"/>
    <row r="720" ht="14.1" customHeight="1"/>
    <row r="721" ht="14.1" customHeight="1"/>
    <row r="722" ht="14.1" customHeight="1"/>
    <row r="723" ht="14.1" customHeight="1"/>
    <row r="724" ht="14.1" customHeight="1"/>
    <row r="725" ht="14.1" customHeight="1"/>
    <row r="726" ht="14.1" customHeight="1"/>
    <row r="727" ht="14.1" customHeight="1"/>
    <row r="728" ht="14.1" customHeight="1"/>
    <row r="729" ht="14.1" customHeight="1"/>
    <row r="730" ht="14.1" customHeight="1"/>
    <row r="731" ht="14.1" customHeight="1"/>
    <row r="732" ht="14.1" customHeight="1"/>
    <row r="733" ht="14.1" customHeight="1"/>
    <row r="734" ht="14.1" customHeight="1"/>
    <row r="735" ht="14.1" customHeight="1"/>
    <row r="736" ht="14.1" customHeight="1"/>
    <row r="737" ht="14.1" customHeight="1"/>
    <row r="738" ht="14.1" customHeight="1"/>
    <row r="739" ht="14.1" customHeight="1"/>
    <row r="740" ht="14.1" customHeight="1"/>
    <row r="741" ht="14.1" customHeight="1"/>
    <row r="742" ht="14.1" customHeight="1"/>
    <row r="743" ht="14.1" customHeight="1"/>
    <row r="744" ht="14.1" customHeight="1"/>
    <row r="745" ht="14.1" customHeight="1"/>
    <row r="746" ht="14.1" customHeight="1"/>
    <row r="747" ht="14.1" customHeight="1"/>
    <row r="748" ht="14.1" customHeight="1"/>
    <row r="749" ht="14.1" customHeight="1"/>
    <row r="750" ht="14.1" customHeight="1"/>
    <row r="751" ht="14.1" customHeight="1"/>
    <row r="752" ht="14.1" customHeight="1"/>
    <row r="753" ht="14.1" customHeight="1"/>
    <row r="754" ht="14.1" customHeight="1"/>
    <row r="755" ht="14.1" customHeight="1"/>
    <row r="756" ht="14.1" customHeight="1"/>
    <row r="757" ht="14.1" customHeight="1"/>
    <row r="758" ht="14.1" customHeight="1"/>
    <row r="759" ht="14.1" customHeight="1"/>
    <row r="760" ht="14.1" customHeight="1"/>
    <row r="761" ht="14.1" customHeight="1"/>
    <row r="762" ht="14.1" customHeight="1"/>
    <row r="763" ht="14.1" customHeight="1"/>
    <row r="764" ht="14.1" customHeight="1"/>
    <row r="765" ht="14.1" customHeight="1"/>
    <row r="766" ht="14.1" customHeight="1"/>
    <row r="767" ht="14.1" customHeight="1"/>
    <row r="768" ht="14.1" customHeight="1"/>
    <row r="769" ht="14.1" customHeight="1"/>
    <row r="770" ht="14.1" customHeight="1"/>
    <row r="771" ht="14.1" customHeight="1"/>
    <row r="772" ht="14.1" customHeight="1"/>
    <row r="773" ht="14.1" customHeight="1"/>
    <row r="774" ht="14.1" customHeight="1"/>
    <row r="775" ht="14.1" customHeight="1"/>
    <row r="776" ht="14.1" customHeight="1"/>
    <row r="777" ht="14.1" customHeight="1"/>
    <row r="778" ht="14.1" customHeight="1"/>
    <row r="779" ht="14.1" customHeight="1"/>
    <row r="780" ht="14.1" customHeight="1"/>
    <row r="781" ht="14.1" customHeight="1"/>
    <row r="782" ht="14.1" customHeight="1"/>
    <row r="783" ht="14.1" customHeight="1"/>
    <row r="784" ht="14.1" customHeight="1"/>
    <row r="785" ht="14.1" customHeight="1"/>
    <row r="786" ht="14.1" customHeight="1"/>
    <row r="787" ht="14.1" customHeight="1"/>
    <row r="788" ht="14.1" customHeight="1"/>
    <row r="789" ht="14.1" customHeight="1"/>
    <row r="790" ht="14.1" customHeight="1"/>
    <row r="791" ht="14.1" customHeight="1"/>
    <row r="792" ht="14.1" customHeight="1"/>
    <row r="793" ht="14.1" customHeight="1"/>
  </sheetData>
  <pageMargins left="0.7" right="0.7" top="0.75" bottom="0.75" header="0.3" footer="0.3"/>
  <headerFooter>
    <oddFooter>&amp;L_x000D_&amp;1#&amp;"Arial"&amp;7&amp;KDAD4CE Public&amp;C&amp;"Verdana"&amp;10 &amp;KC1C1C1_x000D_# Restricted</oddFooter>
  </headerFooter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300-000000000000}">
  <sheetPr codeName="Sheet42">
    <tabColor rgb="FF0070C0"/>
  </sheetPr>
  <dimension ref="A1:U793"/>
  <sheetViews>
    <sheetView zoomScale="80" zoomScaleNormal="80" workbookViewId="0">
      <selection activeCell="A16" sqref="A16"/>
    </sheetView>
  </sheetViews>
  <sheetFormatPr defaultColWidth="8.85546875" defaultRowHeight="15"/>
  <cols>
    <col min="1" max="1" width="4.140625" style="254" customWidth="1"/>
    <col min="2" max="3" width="8.5703125" style="120" customWidth="1"/>
    <col min="4" max="4" width="14.5703125" style="254" customWidth="1"/>
    <col min="5" max="5" width="20.5703125" style="120" customWidth="1"/>
    <col min="6" max="6" width="8.5703125" style="254" customWidth="1"/>
    <col min="7" max="7" width="32.5703125" style="120" customWidth="1"/>
    <col min="8" max="8" width="18.5703125" style="254" customWidth="1"/>
    <col min="9" max="9" width="62.5703125" style="120" customWidth="1"/>
    <col min="10" max="12" width="9.5703125" style="254" customWidth="1"/>
    <col min="13" max="13" width="10.5703125" style="254" customWidth="1"/>
    <col min="14" max="14" width="8.5703125" style="254" customWidth="1"/>
    <col min="15" max="15" width="10.5703125" style="254" customWidth="1"/>
    <col min="16" max="16" width="5.5703125" style="254" customWidth="1"/>
    <col min="17" max="17" width="1.5703125" style="120" customWidth="1"/>
    <col min="18" max="18" width="10.5703125" style="255" customWidth="1"/>
    <col min="19" max="19" width="1.5703125" style="120" customWidth="1"/>
    <col min="20" max="20" width="10.5703125" style="120" customWidth="1"/>
    <col min="21" max="21" width="10.5703125" style="254" customWidth="1"/>
    <col min="22" max="22" width="8.85546875" style="252" customWidth="1"/>
    <col min="23" max="16384" width="8.85546875" style="252"/>
  </cols>
  <sheetData>
    <row r="1" spans="1:21" s="39" customFormat="1" ht="14.1" customHeight="1">
      <c r="A1" s="63" t="s">
        <v>4668</v>
      </c>
      <c r="E1" s="125"/>
      <c r="R1" s="126"/>
    </row>
    <row r="2" spans="1:21" s="39" customFormat="1" ht="14.1" customHeight="1">
      <c r="A2" s="77" t="s">
        <v>4669</v>
      </c>
      <c r="E2" s="125"/>
      <c r="H2" s="77"/>
      <c r="K2" s="77"/>
      <c r="R2" s="336"/>
    </row>
    <row r="3" spans="1:21" s="250" customFormat="1" ht="14.1" customHeight="1">
      <c r="A3" s="40"/>
      <c r="B3" s="264"/>
      <c r="C3" s="264"/>
      <c r="D3" s="265"/>
      <c r="E3" s="264"/>
      <c r="F3" s="265"/>
      <c r="G3" s="125"/>
      <c r="H3" s="40"/>
      <c r="I3" s="125"/>
      <c r="J3" s="40"/>
      <c r="K3" s="40"/>
      <c r="L3" s="40"/>
      <c r="M3" s="40"/>
      <c r="N3" s="40"/>
      <c r="O3" s="40"/>
      <c r="P3" s="40"/>
      <c r="Q3" s="39"/>
      <c r="R3" s="358" t="s">
        <v>2</v>
      </c>
      <c r="S3" s="39"/>
      <c r="T3" s="38"/>
      <c r="U3" s="38"/>
    </row>
    <row r="4" spans="1:21" s="251" customFormat="1" ht="33" customHeight="1">
      <c r="A4" s="266" t="s">
        <v>3</v>
      </c>
      <c r="B4" s="267" t="s">
        <v>4</v>
      </c>
      <c r="C4" s="267" t="s">
        <v>5</v>
      </c>
      <c r="D4" s="266" t="s">
        <v>6</v>
      </c>
      <c r="E4" s="266" t="s">
        <v>7</v>
      </c>
      <c r="F4" s="266" t="s">
        <v>8</v>
      </c>
      <c r="G4" s="266" t="s">
        <v>9</v>
      </c>
      <c r="H4" s="266" t="s">
        <v>10</v>
      </c>
      <c r="I4" s="266" t="s">
        <v>11</v>
      </c>
      <c r="J4" s="266" t="s">
        <v>12</v>
      </c>
      <c r="K4" s="266" t="s">
        <v>13</v>
      </c>
      <c r="L4" s="266" t="s">
        <v>455</v>
      </c>
      <c r="M4" s="266" t="s">
        <v>15</v>
      </c>
      <c r="N4" s="266" t="s">
        <v>16</v>
      </c>
      <c r="O4" s="266" t="s">
        <v>17</v>
      </c>
      <c r="P4" s="266" t="s">
        <v>18</v>
      </c>
      <c r="Q4" s="40"/>
      <c r="R4" s="268" t="s">
        <v>19</v>
      </c>
      <c r="S4" s="40"/>
      <c r="T4" s="38" t="s">
        <v>20</v>
      </c>
      <c r="U4" s="38" t="s">
        <v>21</v>
      </c>
    </row>
    <row r="5" spans="1:21" ht="14.1" customHeight="1">
      <c r="A5" s="134">
        <v>1</v>
      </c>
      <c r="B5" s="119" t="s">
        <v>456</v>
      </c>
      <c r="C5" s="119" t="s">
        <v>404</v>
      </c>
      <c r="D5" s="134" t="s">
        <v>260</v>
      </c>
      <c r="E5" s="119" t="s">
        <v>827</v>
      </c>
      <c r="F5" s="134" t="s">
        <v>457</v>
      </c>
      <c r="G5" s="119" t="s">
        <v>4670</v>
      </c>
      <c r="H5" s="134" t="s">
        <v>4022</v>
      </c>
      <c r="I5" s="119" t="s">
        <v>4671</v>
      </c>
      <c r="J5" s="134" t="s">
        <v>30</v>
      </c>
      <c r="K5" s="259" t="s">
        <v>4022</v>
      </c>
      <c r="L5" s="259" t="s">
        <v>322</v>
      </c>
      <c r="M5" s="260" t="s">
        <v>4672</v>
      </c>
      <c r="N5" s="259">
        <v>400</v>
      </c>
      <c r="O5" s="259">
        <v>60</v>
      </c>
      <c r="P5" s="259"/>
      <c r="R5" s="9">
        <v>27.174456723757739</v>
      </c>
      <c r="T5" s="119"/>
      <c r="U5" s="134" t="s">
        <v>4607</v>
      </c>
    </row>
    <row r="6" spans="1:21" ht="14.1" customHeight="1">
      <c r="A6" s="134">
        <v>2</v>
      </c>
      <c r="B6" s="119" t="s">
        <v>456</v>
      </c>
      <c r="C6" s="119" t="s">
        <v>404</v>
      </c>
      <c r="D6" s="134" t="s">
        <v>260</v>
      </c>
      <c r="E6" s="119" t="s">
        <v>827</v>
      </c>
      <c r="F6" s="134" t="s">
        <v>457</v>
      </c>
      <c r="G6" s="119" t="s">
        <v>4673</v>
      </c>
      <c r="H6" s="134" t="s">
        <v>4270</v>
      </c>
      <c r="I6" s="119" t="s">
        <v>4674</v>
      </c>
      <c r="J6" s="134" t="s">
        <v>30</v>
      </c>
      <c r="K6" s="259" t="s">
        <v>4270</v>
      </c>
      <c r="L6" s="259" t="s">
        <v>322</v>
      </c>
      <c r="M6" s="259">
        <v>83024900</v>
      </c>
      <c r="N6" s="259">
        <v>400</v>
      </c>
      <c r="O6" s="259">
        <v>60</v>
      </c>
      <c r="P6" s="259"/>
      <c r="R6" s="9">
        <v>32.773214139205308</v>
      </c>
      <c r="T6" s="119"/>
      <c r="U6" s="134" t="s">
        <v>4607</v>
      </c>
    </row>
    <row r="7" spans="1:21" ht="14.1" customHeight="1">
      <c r="A7" s="134">
        <v>4</v>
      </c>
      <c r="B7" s="119" t="s">
        <v>456</v>
      </c>
      <c r="C7" s="119" t="s">
        <v>404</v>
      </c>
      <c r="D7" s="134" t="s">
        <v>35</v>
      </c>
      <c r="E7" s="119" t="s">
        <v>4263</v>
      </c>
      <c r="F7" s="134" t="s">
        <v>457</v>
      </c>
      <c r="G7" s="119" t="s">
        <v>4675</v>
      </c>
      <c r="H7" s="134" t="s">
        <v>4019</v>
      </c>
      <c r="I7" s="119" t="s">
        <v>4676</v>
      </c>
      <c r="J7" s="134" t="s">
        <v>30</v>
      </c>
      <c r="K7" s="259" t="s">
        <v>4019</v>
      </c>
      <c r="L7" s="259" t="s">
        <v>322</v>
      </c>
      <c r="M7" s="259">
        <v>83014000</v>
      </c>
      <c r="N7" s="259">
        <v>300</v>
      </c>
      <c r="O7" s="259">
        <v>60</v>
      </c>
      <c r="P7" s="259"/>
      <c r="R7" s="9">
        <v>62.351039899838113</v>
      </c>
      <c r="T7" s="119"/>
      <c r="U7" s="134" t="s">
        <v>4607</v>
      </c>
    </row>
    <row r="8" spans="1:21" ht="14.1" customHeight="1">
      <c r="A8" s="134">
        <v>5</v>
      </c>
      <c r="B8" s="119" t="s">
        <v>456</v>
      </c>
      <c r="C8" s="119" t="s">
        <v>404</v>
      </c>
      <c r="D8" s="134" t="s">
        <v>2194</v>
      </c>
      <c r="E8" s="119" t="s">
        <v>2195</v>
      </c>
      <c r="F8" s="134" t="s">
        <v>457</v>
      </c>
      <c r="G8" s="119" t="s">
        <v>4677</v>
      </c>
      <c r="H8" s="134" t="s">
        <v>4019</v>
      </c>
      <c r="I8" s="119" t="s">
        <v>4678</v>
      </c>
      <c r="J8" s="134" t="s">
        <v>30</v>
      </c>
      <c r="K8" s="259" t="s">
        <v>4019</v>
      </c>
      <c r="L8" s="259" t="s">
        <v>322</v>
      </c>
      <c r="M8" s="259">
        <v>83024900</v>
      </c>
      <c r="N8" s="259">
        <v>400</v>
      </c>
      <c r="O8" s="259">
        <v>60</v>
      </c>
      <c r="P8" s="259"/>
      <c r="R8" s="9">
        <v>52.682941728772533</v>
      </c>
      <c r="T8" s="119"/>
      <c r="U8" s="134" t="s">
        <v>4607</v>
      </c>
    </row>
    <row r="9" spans="1:21" ht="14.1" customHeight="1">
      <c r="A9" s="134">
        <v>6</v>
      </c>
      <c r="B9" s="119" t="s">
        <v>456</v>
      </c>
      <c r="C9" s="119" t="s">
        <v>404</v>
      </c>
      <c r="D9" s="134" t="s">
        <v>810</v>
      </c>
      <c r="E9" s="119" t="s">
        <v>811</v>
      </c>
      <c r="F9" s="134" t="s">
        <v>457</v>
      </c>
      <c r="G9" s="119" t="s">
        <v>4679</v>
      </c>
      <c r="H9" s="134" t="s">
        <v>4022</v>
      </c>
      <c r="I9" s="119" t="s">
        <v>4680</v>
      </c>
      <c r="J9" s="134" t="s">
        <v>30</v>
      </c>
      <c r="K9" s="259" t="s">
        <v>4022</v>
      </c>
      <c r="L9" s="259" t="s">
        <v>322</v>
      </c>
      <c r="M9" s="259">
        <v>83024100</v>
      </c>
      <c r="N9" s="259">
        <v>400</v>
      </c>
      <c r="O9" s="259">
        <v>60</v>
      </c>
      <c r="P9" s="259"/>
      <c r="R9" s="9">
        <v>40.47491946191856</v>
      </c>
      <c r="T9" s="119"/>
      <c r="U9" s="134" t="s">
        <v>4607</v>
      </c>
    </row>
    <row r="10" spans="1:21" ht="14.1" customHeight="1">
      <c r="A10" s="134">
        <v>7</v>
      </c>
      <c r="B10" s="119" t="s">
        <v>456</v>
      </c>
      <c r="C10" s="119" t="s">
        <v>404</v>
      </c>
      <c r="D10" s="134" t="s">
        <v>35</v>
      </c>
      <c r="E10" s="119" t="s">
        <v>4263</v>
      </c>
      <c r="F10" s="134" t="s">
        <v>457</v>
      </c>
      <c r="G10" s="119" t="s">
        <v>4681</v>
      </c>
      <c r="H10" s="259" t="s">
        <v>4062</v>
      </c>
      <c r="I10" s="119" t="s">
        <v>4682</v>
      </c>
      <c r="J10" s="134" t="s">
        <v>30</v>
      </c>
      <c r="K10" s="259" t="s">
        <v>4062</v>
      </c>
      <c r="L10" s="259" t="s">
        <v>322</v>
      </c>
      <c r="M10" s="259">
        <v>83014000</v>
      </c>
      <c r="N10" s="259">
        <v>300</v>
      </c>
      <c r="O10" s="259">
        <v>60</v>
      </c>
      <c r="P10" s="259"/>
      <c r="R10" s="9">
        <v>90.89104721272939</v>
      </c>
      <c r="T10" s="119"/>
      <c r="U10" s="134" t="s">
        <v>4607</v>
      </c>
    </row>
    <row r="11" spans="1:21" ht="14.1" customHeight="1">
      <c r="A11" s="134">
        <v>8</v>
      </c>
      <c r="B11" s="119" t="s">
        <v>456</v>
      </c>
      <c r="C11" s="119" t="s">
        <v>404</v>
      </c>
      <c r="D11" s="134" t="s">
        <v>260</v>
      </c>
      <c r="E11" s="119" t="s">
        <v>827</v>
      </c>
      <c r="F11" s="134" t="s">
        <v>457</v>
      </c>
      <c r="G11" s="119" t="s">
        <v>4683</v>
      </c>
      <c r="H11" s="134" t="s">
        <v>4022</v>
      </c>
      <c r="I11" s="119" t="s">
        <v>4684</v>
      </c>
      <c r="J11" s="134" t="s">
        <v>123</v>
      </c>
      <c r="K11" s="259" t="s">
        <v>4022</v>
      </c>
      <c r="L11" s="259" t="s">
        <v>322</v>
      </c>
      <c r="M11" s="260" t="s">
        <v>4672</v>
      </c>
      <c r="N11" s="259">
        <v>400</v>
      </c>
      <c r="O11" s="259">
        <v>60</v>
      </c>
      <c r="P11" s="259"/>
      <c r="R11" s="9">
        <v>29.550514748850119</v>
      </c>
      <c r="T11" s="119"/>
      <c r="U11" s="134" t="s">
        <v>4607</v>
      </c>
    </row>
    <row r="12" spans="1:21" ht="14.1" customHeight="1">
      <c r="A12" s="134">
        <v>9</v>
      </c>
      <c r="B12" s="119" t="s">
        <v>456</v>
      </c>
      <c r="C12" s="119" t="s">
        <v>404</v>
      </c>
      <c r="D12" s="134" t="s">
        <v>260</v>
      </c>
      <c r="E12" s="119" t="s">
        <v>827</v>
      </c>
      <c r="F12" s="134" t="s">
        <v>457</v>
      </c>
      <c r="G12" s="119" t="s">
        <v>4685</v>
      </c>
      <c r="H12" s="134" t="s">
        <v>4022</v>
      </c>
      <c r="I12" s="119" t="s">
        <v>4686</v>
      </c>
      <c r="J12" s="134" t="s">
        <v>30</v>
      </c>
      <c r="K12" s="259" t="s">
        <v>4022</v>
      </c>
      <c r="L12" s="259" t="s">
        <v>322</v>
      </c>
      <c r="M12" s="260" t="s">
        <v>4672</v>
      </c>
      <c r="N12" s="259">
        <v>400</v>
      </c>
      <c r="O12" s="259">
        <v>60</v>
      </c>
      <c r="P12" s="259"/>
      <c r="R12" s="9">
        <v>40.47491946191856</v>
      </c>
      <c r="T12" s="119"/>
      <c r="U12" s="134" t="s">
        <v>4607</v>
      </c>
    </row>
    <row r="13" spans="1:21" ht="14.1" customHeight="1">
      <c r="A13" s="134">
        <v>10</v>
      </c>
      <c r="B13" s="119" t="s">
        <v>456</v>
      </c>
      <c r="C13" s="119" t="s">
        <v>404</v>
      </c>
      <c r="D13" s="134" t="s">
        <v>260</v>
      </c>
      <c r="E13" s="119" t="s">
        <v>827</v>
      </c>
      <c r="F13" s="134" t="s">
        <v>457</v>
      </c>
      <c r="G13" s="119" t="s">
        <v>4687</v>
      </c>
      <c r="H13" s="259" t="s">
        <v>4270</v>
      </c>
      <c r="I13" s="119" t="s">
        <v>4688</v>
      </c>
      <c r="J13" s="134" t="s">
        <v>30</v>
      </c>
      <c r="K13" s="259" t="s">
        <v>4270</v>
      </c>
      <c r="L13" s="259" t="s">
        <v>322</v>
      </c>
      <c r="M13" s="259">
        <v>83024900</v>
      </c>
      <c r="N13" s="259">
        <v>400</v>
      </c>
      <c r="O13" s="259">
        <v>60</v>
      </c>
      <c r="P13" s="259"/>
      <c r="R13" s="9">
        <v>12.5630654200287</v>
      </c>
      <c r="T13" s="119"/>
      <c r="U13" s="134" t="s">
        <v>4607</v>
      </c>
    </row>
    <row r="14" spans="1:21" ht="14.1" customHeight="1">
      <c r="A14" s="134">
        <v>11</v>
      </c>
      <c r="B14" s="119" t="s">
        <v>456</v>
      </c>
      <c r="C14" s="119" t="s">
        <v>404</v>
      </c>
      <c r="D14" s="134" t="s">
        <v>260</v>
      </c>
      <c r="E14" s="119" t="s">
        <v>827</v>
      </c>
      <c r="F14" s="134" t="s">
        <v>457</v>
      </c>
      <c r="G14" s="119" t="s">
        <v>4689</v>
      </c>
      <c r="H14" s="134" t="s">
        <v>4062</v>
      </c>
      <c r="I14" s="119" t="s">
        <v>4690</v>
      </c>
      <c r="J14" s="134" t="s">
        <v>30</v>
      </c>
      <c r="K14" s="259" t="s">
        <v>4062</v>
      </c>
      <c r="L14" s="259" t="s">
        <v>322</v>
      </c>
      <c r="M14" s="259">
        <v>83024900</v>
      </c>
      <c r="N14" s="259">
        <v>400</v>
      </c>
      <c r="O14" s="259">
        <v>60</v>
      </c>
      <c r="P14" s="259"/>
      <c r="R14" s="9">
        <v>12.5630654200287</v>
      </c>
      <c r="T14" s="119"/>
      <c r="U14" s="134" t="s">
        <v>4607</v>
      </c>
    </row>
    <row r="15" spans="1:21" ht="14.1" customHeight="1">
      <c r="A15" s="134">
        <v>13</v>
      </c>
      <c r="B15" s="119" t="s">
        <v>456</v>
      </c>
      <c r="C15" s="119" t="s">
        <v>404</v>
      </c>
      <c r="D15" s="134" t="s">
        <v>260</v>
      </c>
      <c r="E15" s="119" t="s">
        <v>827</v>
      </c>
      <c r="F15" s="134" t="s">
        <v>457</v>
      </c>
      <c r="G15" s="119" t="s">
        <v>4691</v>
      </c>
      <c r="H15" s="134" t="s">
        <v>4692</v>
      </c>
      <c r="I15" s="119" t="s">
        <v>4693</v>
      </c>
      <c r="J15" s="134" t="s">
        <v>30</v>
      </c>
      <c r="K15" s="259" t="s">
        <v>4692</v>
      </c>
      <c r="L15" s="259" t="s">
        <v>322</v>
      </c>
      <c r="M15" s="259">
        <v>83024900</v>
      </c>
      <c r="N15" s="259">
        <v>400</v>
      </c>
      <c r="O15" s="259">
        <v>60</v>
      </c>
      <c r="P15" s="259"/>
      <c r="R15" s="9">
        <v>34.302630799034887</v>
      </c>
      <c r="T15" s="119"/>
      <c r="U15" s="134" t="s">
        <v>4607</v>
      </c>
    </row>
    <row r="16" spans="1:21" ht="14.1" customHeight="1">
      <c r="A16" s="134">
        <v>14</v>
      </c>
      <c r="B16" s="119" t="s">
        <v>456</v>
      </c>
      <c r="C16" s="119" t="s">
        <v>404</v>
      </c>
      <c r="D16" s="134" t="s">
        <v>260</v>
      </c>
      <c r="E16" s="119" t="s">
        <v>827</v>
      </c>
      <c r="F16" s="134" t="s">
        <v>457</v>
      </c>
      <c r="G16" s="119" t="s">
        <v>4694</v>
      </c>
      <c r="H16" s="134" t="s">
        <v>4270</v>
      </c>
      <c r="I16" s="119" t="s">
        <v>4695</v>
      </c>
      <c r="J16" s="134" t="s">
        <v>30</v>
      </c>
      <c r="K16" s="259" t="s">
        <v>4270</v>
      </c>
      <c r="L16" s="259" t="s">
        <v>322</v>
      </c>
      <c r="M16" s="259">
        <v>83024900</v>
      </c>
      <c r="N16" s="259">
        <v>400</v>
      </c>
      <c r="O16" s="259">
        <v>60</v>
      </c>
      <c r="P16" s="259"/>
      <c r="R16" s="9">
        <v>33.756410563381472</v>
      </c>
      <c r="T16" s="119"/>
      <c r="U16" s="134" t="s">
        <v>4607</v>
      </c>
    </row>
    <row r="17" spans="1:21" ht="14.1" customHeight="1">
      <c r="A17" s="134">
        <v>15</v>
      </c>
      <c r="B17" s="119" t="s">
        <v>456</v>
      </c>
      <c r="C17" s="119" t="s">
        <v>404</v>
      </c>
      <c r="D17" s="134" t="s">
        <v>260</v>
      </c>
      <c r="E17" s="119" t="s">
        <v>827</v>
      </c>
      <c r="F17" s="134" t="s">
        <v>457</v>
      </c>
      <c r="G17" s="119" t="s">
        <v>4696</v>
      </c>
      <c r="H17" s="134" t="s">
        <v>4062</v>
      </c>
      <c r="I17" s="119" t="s">
        <v>4697</v>
      </c>
      <c r="J17" s="134" t="s">
        <v>30</v>
      </c>
      <c r="K17" s="259" t="s">
        <v>4062</v>
      </c>
      <c r="L17" s="259" t="s">
        <v>322</v>
      </c>
      <c r="M17" s="259">
        <v>83024900</v>
      </c>
      <c r="N17" s="259">
        <v>400</v>
      </c>
      <c r="O17" s="259">
        <v>60</v>
      </c>
      <c r="P17" s="259"/>
      <c r="R17" s="9">
        <v>33.756410563381472</v>
      </c>
      <c r="T17" s="119"/>
      <c r="U17" s="134" t="s">
        <v>4607</v>
      </c>
    </row>
    <row r="18" spans="1:21" ht="14.1" customHeight="1">
      <c r="A18" s="134">
        <v>16</v>
      </c>
      <c r="B18" s="119" t="s">
        <v>456</v>
      </c>
      <c r="C18" s="119" t="s">
        <v>404</v>
      </c>
      <c r="D18" s="134" t="s">
        <v>35</v>
      </c>
      <c r="E18" s="119" t="s">
        <v>4263</v>
      </c>
      <c r="F18" s="134" t="s">
        <v>457</v>
      </c>
      <c r="G18" s="119" t="s">
        <v>4698</v>
      </c>
      <c r="H18" s="134" t="s">
        <v>4019</v>
      </c>
      <c r="I18" s="119" t="s">
        <v>4699</v>
      </c>
      <c r="J18" s="134" t="s">
        <v>30</v>
      </c>
      <c r="K18" s="259" t="s">
        <v>4019</v>
      </c>
      <c r="L18" s="259" t="s">
        <v>322</v>
      </c>
      <c r="M18" s="259">
        <v>83014000</v>
      </c>
      <c r="N18" s="259">
        <v>312</v>
      </c>
      <c r="O18" s="259">
        <v>60</v>
      </c>
      <c r="P18" s="259"/>
      <c r="R18" s="9">
        <v>55.632531001301018</v>
      </c>
      <c r="T18" s="119"/>
      <c r="U18" s="134" t="s">
        <v>4607</v>
      </c>
    </row>
    <row r="19" spans="1:21" ht="14.1" customHeight="1">
      <c r="A19" s="134">
        <v>17</v>
      </c>
      <c r="B19" s="119" t="s">
        <v>456</v>
      </c>
      <c r="C19" s="119" t="s">
        <v>404</v>
      </c>
      <c r="D19" s="134" t="s">
        <v>35</v>
      </c>
      <c r="E19" s="119" t="s">
        <v>4263</v>
      </c>
      <c r="F19" s="134" t="s">
        <v>457</v>
      </c>
      <c r="G19" s="119" t="s">
        <v>4700</v>
      </c>
      <c r="H19" s="259" t="s">
        <v>4019</v>
      </c>
      <c r="I19" s="119" t="s">
        <v>4701</v>
      </c>
      <c r="J19" s="134" t="s">
        <v>30</v>
      </c>
      <c r="K19" s="259" t="s">
        <v>4019</v>
      </c>
      <c r="L19" s="259" t="s">
        <v>322</v>
      </c>
      <c r="M19" s="259">
        <v>83014000</v>
      </c>
      <c r="N19" s="259">
        <v>312</v>
      </c>
      <c r="O19" s="259">
        <v>60</v>
      </c>
      <c r="P19" s="259"/>
      <c r="R19" s="9">
        <v>63.197681265100897</v>
      </c>
      <c r="T19" s="119"/>
      <c r="U19" s="134" t="s">
        <v>4607</v>
      </c>
    </row>
    <row r="20" spans="1:21" ht="14.1" customHeight="1">
      <c r="A20" s="134">
        <v>18</v>
      </c>
      <c r="B20" s="119" t="s">
        <v>456</v>
      </c>
      <c r="C20" s="119" t="s">
        <v>404</v>
      </c>
      <c r="D20" s="134" t="s">
        <v>35</v>
      </c>
      <c r="E20" s="119" t="s">
        <v>4263</v>
      </c>
      <c r="F20" s="134" t="s">
        <v>457</v>
      </c>
      <c r="G20" s="119" t="s">
        <v>4702</v>
      </c>
      <c r="H20" s="259" t="s">
        <v>4019</v>
      </c>
      <c r="I20" s="119" t="s">
        <v>4703</v>
      </c>
      <c r="J20" s="134" t="s">
        <v>30</v>
      </c>
      <c r="K20" s="259" t="s">
        <v>4019</v>
      </c>
      <c r="L20" s="259" t="s">
        <v>322</v>
      </c>
      <c r="M20" s="259">
        <v>83014000</v>
      </c>
      <c r="N20" s="259">
        <v>312</v>
      </c>
      <c r="O20" s="259">
        <v>60</v>
      </c>
      <c r="P20" s="259"/>
      <c r="R20" s="9">
        <v>61.285910440313927</v>
      </c>
      <c r="T20" s="119"/>
      <c r="U20" s="134" t="s">
        <v>4607</v>
      </c>
    </row>
    <row r="21" spans="1:21" ht="14.1" customHeight="1">
      <c r="A21" s="134">
        <v>19</v>
      </c>
      <c r="B21" s="119" t="s">
        <v>456</v>
      </c>
      <c r="C21" s="119" t="s">
        <v>404</v>
      </c>
      <c r="D21" s="134" t="s">
        <v>35</v>
      </c>
      <c r="E21" s="119" t="s">
        <v>4263</v>
      </c>
      <c r="F21" s="134" t="s">
        <v>457</v>
      </c>
      <c r="G21" s="119" t="s">
        <v>4704</v>
      </c>
      <c r="H21" s="259" t="s">
        <v>4019</v>
      </c>
      <c r="I21" s="119" t="s">
        <v>4705</v>
      </c>
      <c r="J21" s="134" t="s">
        <v>30</v>
      </c>
      <c r="K21" s="259" t="s">
        <v>4019</v>
      </c>
      <c r="L21" s="259" t="s">
        <v>322</v>
      </c>
      <c r="M21" s="259">
        <v>83014000</v>
      </c>
      <c r="N21" s="259">
        <v>312</v>
      </c>
      <c r="O21" s="259">
        <v>60</v>
      </c>
      <c r="P21" s="259"/>
      <c r="R21" s="9">
        <v>70.435099387508743</v>
      </c>
      <c r="T21" s="119"/>
      <c r="U21" s="134" t="s">
        <v>4607</v>
      </c>
    </row>
    <row r="22" spans="1:21" ht="14.1" customHeight="1">
      <c r="A22" s="134">
        <v>20</v>
      </c>
      <c r="B22" s="119" t="s">
        <v>456</v>
      </c>
      <c r="C22" s="119" t="s">
        <v>404</v>
      </c>
      <c r="D22" s="134" t="s">
        <v>35</v>
      </c>
      <c r="E22" s="119" t="s">
        <v>4263</v>
      </c>
      <c r="F22" s="134" t="s">
        <v>457</v>
      </c>
      <c r="G22" s="119" t="s">
        <v>4706</v>
      </c>
      <c r="H22" s="134" t="s">
        <v>4022</v>
      </c>
      <c r="I22" s="119" t="s">
        <v>4707</v>
      </c>
      <c r="J22" s="134" t="s">
        <v>30</v>
      </c>
      <c r="K22" s="259" t="s">
        <v>4022</v>
      </c>
      <c r="L22" s="259" t="s">
        <v>322</v>
      </c>
      <c r="M22" s="259">
        <v>83014000</v>
      </c>
      <c r="N22" s="259">
        <v>312</v>
      </c>
      <c r="O22" s="259">
        <v>60</v>
      </c>
      <c r="P22" s="259"/>
      <c r="R22" s="9">
        <v>81.141016006315823</v>
      </c>
      <c r="T22" s="119"/>
      <c r="U22" s="134" t="s">
        <v>4607</v>
      </c>
    </row>
    <row r="23" spans="1:21" ht="14.1" customHeight="1">
      <c r="A23" s="134">
        <v>21</v>
      </c>
      <c r="B23" s="119" t="s">
        <v>456</v>
      </c>
      <c r="C23" s="119" t="s">
        <v>404</v>
      </c>
      <c r="D23" s="134" t="s">
        <v>35</v>
      </c>
      <c r="E23" s="119" t="s">
        <v>4263</v>
      </c>
      <c r="F23" s="134" t="s">
        <v>457</v>
      </c>
      <c r="G23" s="119" t="s">
        <v>4708</v>
      </c>
      <c r="H23" s="134" t="s">
        <v>4022</v>
      </c>
      <c r="I23" s="119" t="s">
        <v>4709</v>
      </c>
      <c r="J23" s="134" t="s">
        <v>30</v>
      </c>
      <c r="K23" s="259" t="s">
        <v>4022</v>
      </c>
      <c r="L23" s="259" t="s">
        <v>322</v>
      </c>
      <c r="M23" s="259">
        <v>83014000</v>
      </c>
      <c r="N23" s="259">
        <v>312</v>
      </c>
      <c r="O23" s="259">
        <v>60</v>
      </c>
      <c r="P23" s="259"/>
      <c r="R23" s="9">
        <v>91.874243636905547</v>
      </c>
      <c r="T23" s="119"/>
      <c r="U23" s="134" t="s">
        <v>4607</v>
      </c>
    </row>
    <row r="24" spans="1:21" ht="14.1" customHeight="1">
      <c r="A24" s="134">
        <v>22</v>
      </c>
      <c r="B24" s="119" t="s">
        <v>456</v>
      </c>
      <c r="C24" s="119" t="s">
        <v>404</v>
      </c>
      <c r="D24" s="134" t="s">
        <v>35</v>
      </c>
      <c r="E24" s="119" t="s">
        <v>4263</v>
      </c>
      <c r="F24" s="134" t="s">
        <v>457</v>
      </c>
      <c r="G24" s="119" t="s">
        <v>4710</v>
      </c>
      <c r="H24" s="259" t="s">
        <v>4022</v>
      </c>
      <c r="I24" s="119" t="s">
        <v>4711</v>
      </c>
      <c r="J24" s="134" t="s">
        <v>30</v>
      </c>
      <c r="K24" s="259" t="s">
        <v>4022</v>
      </c>
      <c r="L24" s="259" t="s">
        <v>322</v>
      </c>
      <c r="M24" s="259">
        <v>83014000</v>
      </c>
      <c r="N24" s="259">
        <v>312</v>
      </c>
      <c r="O24" s="259">
        <v>60</v>
      </c>
      <c r="P24" s="259"/>
      <c r="R24" s="9">
        <v>91.874243636905547</v>
      </c>
      <c r="T24" s="119"/>
      <c r="U24" s="134" t="s">
        <v>4607</v>
      </c>
    </row>
    <row r="25" spans="1:21" ht="14.1" customHeight="1">
      <c r="A25" s="134">
        <v>23</v>
      </c>
      <c r="B25" s="119" t="s">
        <v>456</v>
      </c>
      <c r="C25" s="119" t="s">
        <v>404</v>
      </c>
      <c r="D25" s="134" t="s">
        <v>35</v>
      </c>
      <c r="E25" s="119" t="s">
        <v>4263</v>
      </c>
      <c r="F25" s="134" t="s">
        <v>457</v>
      </c>
      <c r="G25" s="119" t="s">
        <v>4712</v>
      </c>
      <c r="H25" s="259" t="s">
        <v>4022</v>
      </c>
      <c r="I25" s="119" t="s">
        <v>4713</v>
      </c>
      <c r="J25" s="134" t="s">
        <v>30</v>
      </c>
      <c r="K25" s="259" t="s">
        <v>4022</v>
      </c>
      <c r="L25" s="259" t="s">
        <v>322</v>
      </c>
      <c r="M25" s="259">
        <v>83014000</v>
      </c>
      <c r="N25" s="259">
        <v>312</v>
      </c>
      <c r="O25" s="259">
        <v>60</v>
      </c>
      <c r="P25" s="259"/>
      <c r="R25" s="9">
        <v>81.141016006315823</v>
      </c>
      <c r="T25" s="119"/>
      <c r="U25" s="134" t="s">
        <v>4607</v>
      </c>
    </row>
    <row r="26" spans="1:21" ht="14.1" customHeight="1">
      <c r="A26" s="134">
        <v>24</v>
      </c>
      <c r="B26" s="119" t="s">
        <v>456</v>
      </c>
      <c r="C26" s="119" t="s">
        <v>404</v>
      </c>
      <c r="D26" s="134" t="s">
        <v>35</v>
      </c>
      <c r="E26" s="119" t="s">
        <v>4263</v>
      </c>
      <c r="F26" s="134" t="s">
        <v>457</v>
      </c>
      <c r="G26" s="119" t="s">
        <v>4714</v>
      </c>
      <c r="H26" s="134" t="s">
        <v>4062</v>
      </c>
      <c r="I26" s="119" t="s">
        <v>4715</v>
      </c>
      <c r="J26" s="134" t="s">
        <v>30</v>
      </c>
      <c r="K26" s="259" t="s">
        <v>4062</v>
      </c>
      <c r="L26" s="259" t="s">
        <v>322</v>
      </c>
      <c r="M26" s="259">
        <v>83014000</v>
      </c>
      <c r="N26" s="259">
        <v>312</v>
      </c>
      <c r="O26" s="259">
        <v>60</v>
      </c>
      <c r="P26" s="259"/>
      <c r="R26" s="9">
        <v>81.141016006315823</v>
      </c>
      <c r="T26" s="119"/>
      <c r="U26" s="134" t="s">
        <v>4607</v>
      </c>
    </row>
    <row r="27" spans="1:21" ht="14.1" customHeight="1">
      <c r="A27" s="134">
        <v>25</v>
      </c>
      <c r="B27" s="119" t="s">
        <v>456</v>
      </c>
      <c r="C27" s="119" t="s">
        <v>404</v>
      </c>
      <c r="D27" s="134" t="s">
        <v>35</v>
      </c>
      <c r="E27" s="119" t="s">
        <v>4263</v>
      </c>
      <c r="F27" s="134" t="s">
        <v>457</v>
      </c>
      <c r="G27" s="119" t="s">
        <v>4716</v>
      </c>
      <c r="H27" s="134" t="s">
        <v>4022</v>
      </c>
      <c r="I27" s="119" t="s">
        <v>4717</v>
      </c>
      <c r="J27" s="134" t="s">
        <v>123</v>
      </c>
      <c r="K27" s="259" t="s">
        <v>4022</v>
      </c>
      <c r="L27" s="259" t="s">
        <v>322</v>
      </c>
      <c r="M27" s="259">
        <v>83014000</v>
      </c>
      <c r="N27" s="259">
        <v>312</v>
      </c>
      <c r="O27" s="259">
        <v>60</v>
      </c>
      <c r="P27" s="259"/>
      <c r="R27" s="9">
        <v>91.874243636905547</v>
      </c>
      <c r="T27" s="119"/>
      <c r="U27" s="134" t="s">
        <v>4607</v>
      </c>
    </row>
    <row r="28" spans="1:21" ht="14.1" customHeight="1">
      <c r="A28" s="134">
        <v>26</v>
      </c>
      <c r="B28" s="119" t="s">
        <v>456</v>
      </c>
      <c r="C28" s="119" t="s">
        <v>404</v>
      </c>
      <c r="D28" s="134" t="s">
        <v>35</v>
      </c>
      <c r="E28" s="119" t="s">
        <v>4263</v>
      </c>
      <c r="F28" s="134" t="s">
        <v>457</v>
      </c>
      <c r="G28" s="119" t="s">
        <v>4718</v>
      </c>
      <c r="H28" s="134" t="s">
        <v>4062</v>
      </c>
      <c r="I28" s="119" t="s">
        <v>4719</v>
      </c>
      <c r="J28" s="134" t="s">
        <v>30</v>
      </c>
      <c r="K28" s="259" t="s">
        <v>4062</v>
      </c>
      <c r="L28" s="259" t="s">
        <v>322</v>
      </c>
      <c r="M28" s="259">
        <v>83014000</v>
      </c>
      <c r="N28" s="259">
        <v>312</v>
      </c>
      <c r="O28" s="259">
        <v>60</v>
      </c>
      <c r="P28" s="259"/>
      <c r="R28" s="9">
        <v>91.874243636905547</v>
      </c>
      <c r="T28" s="119"/>
      <c r="U28" s="134" t="s">
        <v>4607</v>
      </c>
    </row>
    <row r="29" spans="1:21" s="253" customFormat="1" ht="14.1" customHeight="1">
      <c r="A29" s="263">
        <v>27</v>
      </c>
      <c r="B29" s="248" t="s">
        <v>456</v>
      </c>
      <c r="C29" s="248" t="s">
        <v>404</v>
      </c>
      <c r="D29" s="263" t="s">
        <v>35</v>
      </c>
      <c r="E29" s="248" t="s">
        <v>4263</v>
      </c>
      <c r="F29" s="263" t="s">
        <v>457</v>
      </c>
      <c r="G29" s="248" t="s">
        <v>4720</v>
      </c>
      <c r="H29" s="261" t="s">
        <v>4019</v>
      </c>
      <c r="I29" s="248" t="s">
        <v>4721</v>
      </c>
      <c r="J29" s="263" t="s">
        <v>30</v>
      </c>
      <c r="K29" s="261" t="s">
        <v>4019</v>
      </c>
      <c r="L29" s="261" t="s">
        <v>322</v>
      </c>
      <c r="M29" s="261">
        <v>83014000</v>
      </c>
      <c r="N29" s="261">
        <v>312</v>
      </c>
      <c r="O29" s="261">
        <v>60</v>
      </c>
      <c r="P29" s="261"/>
      <c r="Q29" s="262"/>
      <c r="R29" s="319">
        <v>32.882458186335988</v>
      </c>
      <c r="S29" s="262"/>
      <c r="T29" s="248"/>
      <c r="U29" s="263" t="s">
        <v>4607</v>
      </c>
    </row>
    <row r="30" spans="1:21" s="253" customFormat="1" ht="14.1" customHeight="1">
      <c r="A30" s="263">
        <v>28</v>
      </c>
      <c r="B30" s="248" t="s">
        <v>456</v>
      </c>
      <c r="C30" s="248" t="s">
        <v>404</v>
      </c>
      <c r="D30" s="263" t="s">
        <v>260</v>
      </c>
      <c r="E30" s="248" t="s">
        <v>827</v>
      </c>
      <c r="F30" s="263" t="s">
        <v>457</v>
      </c>
      <c r="G30" s="248" t="s">
        <v>4722</v>
      </c>
      <c r="H30" s="263" t="s">
        <v>4723</v>
      </c>
      <c r="I30" s="248" t="s">
        <v>4724</v>
      </c>
      <c r="J30" s="263" t="s">
        <v>30</v>
      </c>
      <c r="K30" s="263" t="s">
        <v>4723</v>
      </c>
      <c r="L30" s="261" t="s">
        <v>322</v>
      </c>
      <c r="M30" s="261">
        <v>83024900</v>
      </c>
      <c r="N30" s="261">
        <v>400</v>
      </c>
      <c r="O30" s="261">
        <v>60</v>
      </c>
      <c r="P30" s="261"/>
      <c r="Q30" s="262"/>
      <c r="R30" s="319">
        <v>33.756410563381472</v>
      </c>
      <c r="S30" s="262"/>
      <c r="T30" s="248"/>
      <c r="U30" s="263" t="s">
        <v>4607</v>
      </c>
    </row>
    <row r="31" spans="1:21" s="253" customFormat="1" ht="14.1" customHeight="1">
      <c r="A31" s="263">
        <v>29</v>
      </c>
      <c r="B31" s="248" t="s">
        <v>456</v>
      </c>
      <c r="C31" s="248" t="s">
        <v>404</v>
      </c>
      <c r="D31" s="263" t="s">
        <v>260</v>
      </c>
      <c r="E31" s="248" t="s">
        <v>827</v>
      </c>
      <c r="F31" s="263" t="s">
        <v>457</v>
      </c>
      <c r="G31" s="248" t="s">
        <v>4725</v>
      </c>
      <c r="H31" s="263" t="s">
        <v>4666</v>
      </c>
      <c r="I31" s="248" t="s">
        <v>4726</v>
      </c>
      <c r="J31" s="263" t="s">
        <v>30</v>
      </c>
      <c r="K31" s="263" t="s">
        <v>4666</v>
      </c>
      <c r="L31" s="261" t="s">
        <v>322</v>
      </c>
      <c r="M31" s="261">
        <v>83024900</v>
      </c>
      <c r="N31" s="261">
        <v>400</v>
      </c>
      <c r="O31" s="261">
        <v>60</v>
      </c>
      <c r="P31" s="261"/>
      <c r="Q31" s="262"/>
      <c r="R31" s="319">
        <v>34.302630799034887</v>
      </c>
      <c r="S31" s="262"/>
      <c r="T31" s="248"/>
      <c r="U31" s="263" t="s">
        <v>4607</v>
      </c>
    </row>
    <row r="32" spans="1:21" s="253" customFormat="1" ht="14.1" customHeight="1">
      <c r="A32" s="263">
        <v>30</v>
      </c>
      <c r="B32" s="248" t="s">
        <v>456</v>
      </c>
      <c r="C32" s="248" t="s">
        <v>404</v>
      </c>
      <c r="D32" s="263" t="s">
        <v>260</v>
      </c>
      <c r="E32" s="248" t="s">
        <v>827</v>
      </c>
      <c r="F32" s="263" t="s">
        <v>457</v>
      </c>
      <c r="G32" s="248" t="s">
        <v>4727</v>
      </c>
      <c r="H32" s="263" t="s">
        <v>4692</v>
      </c>
      <c r="I32" s="248" t="s">
        <v>4728</v>
      </c>
      <c r="J32" s="263" t="s">
        <v>30</v>
      </c>
      <c r="K32" s="263" t="s">
        <v>4692</v>
      </c>
      <c r="L32" s="261" t="s">
        <v>322</v>
      </c>
      <c r="M32" s="261">
        <v>83024900</v>
      </c>
      <c r="N32" s="261">
        <v>400</v>
      </c>
      <c r="O32" s="261">
        <v>60</v>
      </c>
      <c r="P32" s="261"/>
      <c r="Q32" s="262"/>
      <c r="R32" s="319">
        <v>13.08197464389945</v>
      </c>
      <c r="S32" s="262"/>
      <c r="T32" s="248"/>
      <c r="U32" s="263" t="s">
        <v>4607</v>
      </c>
    </row>
    <row r="33" spans="1:21" s="253" customFormat="1" ht="14.1" customHeight="1">
      <c r="A33" s="263">
        <v>32</v>
      </c>
      <c r="B33" s="248" t="s">
        <v>456</v>
      </c>
      <c r="C33" s="248" t="s">
        <v>404</v>
      </c>
      <c r="D33" s="263" t="s">
        <v>35</v>
      </c>
      <c r="E33" s="248" t="s">
        <v>4263</v>
      </c>
      <c r="F33" s="263" t="s">
        <v>457</v>
      </c>
      <c r="G33" s="248" t="s">
        <v>4729</v>
      </c>
      <c r="H33" s="263" t="s">
        <v>4692</v>
      </c>
      <c r="I33" s="248" t="s">
        <v>4730</v>
      </c>
      <c r="J33" s="263" t="s">
        <v>30</v>
      </c>
      <c r="K33" s="263" t="s">
        <v>4692</v>
      </c>
      <c r="L33" s="261" t="s">
        <v>322</v>
      </c>
      <c r="M33" s="261">
        <v>83014000</v>
      </c>
      <c r="N33" s="261">
        <v>312</v>
      </c>
      <c r="O33" s="261">
        <v>60</v>
      </c>
      <c r="P33" s="261"/>
      <c r="Q33" s="262"/>
      <c r="R33" s="319">
        <v>62.269106864490098</v>
      </c>
      <c r="S33" s="262"/>
      <c r="T33" s="248"/>
      <c r="U33" s="263" t="s">
        <v>4607</v>
      </c>
    </row>
    <row r="34" spans="1:21" s="253" customFormat="1" ht="14.1" customHeight="1">
      <c r="A34" s="263">
        <v>33</v>
      </c>
      <c r="B34" s="248" t="s">
        <v>456</v>
      </c>
      <c r="C34" s="248" t="s">
        <v>404</v>
      </c>
      <c r="D34" s="263" t="s">
        <v>35</v>
      </c>
      <c r="E34" s="248" t="s">
        <v>4263</v>
      </c>
      <c r="F34" s="263" t="s">
        <v>457</v>
      </c>
      <c r="G34" s="248" t="s">
        <v>4731</v>
      </c>
      <c r="H34" s="261" t="s">
        <v>4019</v>
      </c>
      <c r="I34" s="248" t="s">
        <v>4732</v>
      </c>
      <c r="J34" s="263" t="s">
        <v>30</v>
      </c>
      <c r="K34" s="261" t="s">
        <v>4019</v>
      </c>
      <c r="L34" s="261" t="s">
        <v>322</v>
      </c>
      <c r="M34" s="261">
        <v>83014000</v>
      </c>
      <c r="N34" s="261">
        <v>300</v>
      </c>
      <c r="O34" s="261">
        <v>60</v>
      </c>
      <c r="P34" s="261"/>
      <c r="Q34" s="262"/>
      <c r="R34" s="319">
        <v>46.346786995192844</v>
      </c>
      <c r="S34" s="262"/>
      <c r="T34" s="248"/>
      <c r="U34" s="263" t="s">
        <v>4607</v>
      </c>
    </row>
    <row r="35" spans="1:21" s="253" customFormat="1" ht="14.1" customHeight="1">
      <c r="A35" s="263">
        <v>34</v>
      </c>
      <c r="B35" s="248" t="s">
        <v>456</v>
      </c>
      <c r="C35" s="248" t="s">
        <v>404</v>
      </c>
      <c r="D35" s="263" t="s">
        <v>35</v>
      </c>
      <c r="E35" s="248" t="s">
        <v>4263</v>
      </c>
      <c r="F35" s="263" t="s">
        <v>457</v>
      </c>
      <c r="G35" s="248" t="s">
        <v>4733</v>
      </c>
      <c r="H35" s="261" t="s">
        <v>4019</v>
      </c>
      <c r="I35" s="248" t="s">
        <v>4734</v>
      </c>
      <c r="J35" s="263" t="s">
        <v>30</v>
      </c>
      <c r="K35" s="261" t="s">
        <v>4019</v>
      </c>
      <c r="L35" s="261" t="s">
        <v>322</v>
      </c>
      <c r="M35" s="261">
        <v>83014000</v>
      </c>
      <c r="N35" s="261">
        <v>300</v>
      </c>
      <c r="O35" s="261">
        <v>60</v>
      </c>
      <c r="P35" s="261"/>
      <c r="Q35" s="262"/>
      <c r="R35" s="319">
        <v>46.346786995192844</v>
      </c>
      <c r="S35" s="262"/>
      <c r="T35" s="248"/>
      <c r="U35" s="263" t="s">
        <v>4607</v>
      </c>
    </row>
    <row r="36" spans="1:21" s="253" customFormat="1" ht="14.1" customHeight="1">
      <c r="A36" s="263">
        <v>35</v>
      </c>
      <c r="B36" s="248" t="s">
        <v>456</v>
      </c>
      <c r="C36" s="248" t="s">
        <v>404</v>
      </c>
      <c r="D36" s="263" t="s">
        <v>35</v>
      </c>
      <c r="E36" s="248" t="s">
        <v>4263</v>
      </c>
      <c r="F36" s="263" t="s">
        <v>457</v>
      </c>
      <c r="G36" s="248" t="s">
        <v>4735</v>
      </c>
      <c r="H36" s="261" t="s">
        <v>4019</v>
      </c>
      <c r="I36" s="248" t="s">
        <v>4736</v>
      </c>
      <c r="J36" s="263" t="s">
        <v>30</v>
      </c>
      <c r="K36" s="261" t="s">
        <v>4019</v>
      </c>
      <c r="L36" s="261" t="s">
        <v>322</v>
      </c>
      <c r="M36" s="261">
        <v>83014000</v>
      </c>
      <c r="N36" s="261">
        <v>312</v>
      </c>
      <c r="O36" s="261">
        <v>60</v>
      </c>
      <c r="P36" s="261"/>
      <c r="Q36" s="262"/>
      <c r="R36" s="319">
        <v>52.601008693424532</v>
      </c>
      <c r="S36" s="262"/>
      <c r="T36" s="248"/>
      <c r="U36" s="263" t="s">
        <v>4607</v>
      </c>
    </row>
    <row r="37" spans="1:21" s="253" customFormat="1" ht="14.1" customHeight="1">
      <c r="A37" s="263">
        <v>36</v>
      </c>
      <c r="B37" s="248" t="s">
        <v>456</v>
      </c>
      <c r="C37" s="248" t="s">
        <v>404</v>
      </c>
      <c r="D37" s="263" t="s">
        <v>35</v>
      </c>
      <c r="E37" s="248" t="s">
        <v>4263</v>
      </c>
      <c r="F37" s="263" t="s">
        <v>457</v>
      </c>
      <c r="G37" s="248" t="s">
        <v>4737</v>
      </c>
      <c r="H37" s="261" t="s">
        <v>4019</v>
      </c>
      <c r="I37" s="248" t="s">
        <v>4738</v>
      </c>
      <c r="J37" s="263" t="s">
        <v>30</v>
      </c>
      <c r="K37" s="261" t="s">
        <v>4019</v>
      </c>
      <c r="L37" s="261" t="s">
        <v>322</v>
      </c>
      <c r="M37" s="261">
        <v>83014000</v>
      </c>
      <c r="N37" s="261">
        <v>300</v>
      </c>
      <c r="O37" s="261">
        <v>60</v>
      </c>
      <c r="P37" s="261"/>
      <c r="Q37" s="262"/>
      <c r="R37" s="319">
        <v>54.949755706734237</v>
      </c>
      <c r="S37" s="262"/>
      <c r="T37" s="248"/>
      <c r="U37" s="263" t="s">
        <v>4607</v>
      </c>
    </row>
    <row r="38" spans="1:21" s="253" customFormat="1" ht="14.1" customHeight="1">
      <c r="A38" s="263">
        <v>37</v>
      </c>
      <c r="B38" s="248" t="s">
        <v>456</v>
      </c>
      <c r="C38" s="248" t="s">
        <v>404</v>
      </c>
      <c r="D38" s="263" t="s">
        <v>35</v>
      </c>
      <c r="E38" s="248" t="s">
        <v>4263</v>
      </c>
      <c r="F38" s="263" t="s">
        <v>457</v>
      </c>
      <c r="G38" s="248" t="s">
        <v>4739</v>
      </c>
      <c r="H38" s="261" t="s">
        <v>4019</v>
      </c>
      <c r="I38" s="248" t="s">
        <v>4740</v>
      </c>
      <c r="J38" s="263" t="s">
        <v>30</v>
      </c>
      <c r="K38" s="261" t="s">
        <v>4019</v>
      </c>
      <c r="L38" s="261" t="s">
        <v>322</v>
      </c>
      <c r="M38" s="261">
        <v>83014000</v>
      </c>
      <c r="N38" s="261">
        <v>300</v>
      </c>
      <c r="O38" s="261">
        <v>60</v>
      </c>
      <c r="P38" s="261"/>
      <c r="Q38" s="262"/>
      <c r="R38" s="319">
        <v>51.918233398857737</v>
      </c>
      <c r="S38" s="262"/>
      <c r="T38" s="248"/>
      <c r="U38" s="263" t="s">
        <v>4607</v>
      </c>
    </row>
    <row r="39" spans="1:21" s="253" customFormat="1" ht="14.1" customHeight="1">
      <c r="A39" s="263">
        <v>38</v>
      </c>
      <c r="B39" s="248" t="s">
        <v>456</v>
      </c>
      <c r="C39" s="248" t="s">
        <v>404</v>
      </c>
      <c r="D39" s="263" t="s">
        <v>35</v>
      </c>
      <c r="E39" s="248" t="s">
        <v>4263</v>
      </c>
      <c r="F39" s="263" t="s">
        <v>457</v>
      </c>
      <c r="G39" s="248" t="s">
        <v>4741</v>
      </c>
      <c r="H39" s="261" t="s">
        <v>4019</v>
      </c>
      <c r="I39" s="248" t="s">
        <v>4742</v>
      </c>
      <c r="J39" s="263" t="s">
        <v>30</v>
      </c>
      <c r="K39" s="261" t="s">
        <v>4019</v>
      </c>
      <c r="L39" s="261" t="s">
        <v>322</v>
      </c>
      <c r="M39" s="261">
        <v>83014000</v>
      </c>
      <c r="N39" s="261">
        <v>300</v>
      </c>
      <c r="O39" s="261">
        <v>60</v>
      </c>
      <c r="P39" s="261"/>
      <c r="Q39" s="262"/>
      <c r="R39" s="319">
        <v>51.918233398857737</v>
      </c>
      <c r="S39" s="262"/>
      <c r="T39" s="248"/>
      <c r="U39" s="263" t="s">
        <v>4607</v>
      </c>
    </row>
    <row r="40" spans="1:21" s="253" customFormat="1" ht="14.1" customHeight="1">
      <c r="A40" s="263">
        <v>39</v>
      </c>
      <c r="B40" s="248" t="s">
        <v>456</v>
      </c>
      <c r="C40" s="248" t="s">
        <v>404</v>
      </c>
      <c r="D40" s="263" t="s">
        <v>35</v>
      </c>
      <c r="E40" s="248" t="s">
        <v>4263</v>
      </c>
      <c r="F40" s="263" t="s">
        <v>457</v>
      </c>
      <c r="G40" s="248" t="s">
        <v>4743</v>
      </c>
      <c r="H40" s="263" t="s">
        <v>4692</v>
      </c>
      <c r="I40" s="248" t="s">
        <v>4744</v>
      </c>
      <c r="J40" s="263" t="s">
        <v>30</v>
      </c>
      <c r="K40" s="263" t="s">
        <v>4692</v>
      </c>
      <c r="L40" s="261" t="s">
        <v>322</v>
      </c>
      <c r="M40" s="261">
        <v>83014000</v>
      </c>
      <c r="N40" s="261">
        <v>312</v>
      </c>
      <c r="O40" s="261">
        <v>60</v>
      </c>
      <c r="P40" s="261"/>
      <c r="Q40" s="262"/>
      <c r="R40" s="319">
        <v>60.630446157529818</v>
      </c>
      <c r="S40" s="262"/>
      <c r="T40" s="248"/>
      <c r="U40" s="263" t="s">
        <v>4607</v>
      </c>
    </row>
    <row r="41" spans="1:21" s="253" customFormat="1" ht="14.1" customHeight="1">
      <c r="A41" s="263">
        <v>40</v>
      </c>
      <c r="B41" s="248" t="s">
        <v>456</v>
      </c>
      <c r="C41" s="248" t="s">
        <v>404</v>
      </c>
      <c r="D41" s="263" t="s">
        <v>35</v>
      </c>
      <c r="E41" s="248" t="s">
        <v>4263</v>
      </c>
      <c r="F41" s="263" t="s">
        <v>457</v>
      </c>
      <c r="G41" s="248" t="s">
        <v>4745</v>
      </c>
      <c r="H41" s="261" t="s">
        <v>4019</v>
      </c>
      <c r="I41" s="248" t="s">
        <v>4746</v>
      </c>
      <c r="J41" s="263" t="s">
        <v>30</v>
      </c>
      <c r="K41" s="261" t="s">
        <v>4019</v>
      </c>
      <c r="L41" s="261" t="s">
        <v>322</v>
      </c>
      <c r="M41" s="261">
        <v>83014000</v>
      </c>
      <c r="N41" s="261">
        <v>312</v>
      </c>
      <c r="O41" s="261">
        <v>60</v>
      </c>
      <c r="P41" s="261"/>
      <c r="Q41" s="262"/>
      <c r="R41" s="319">
        <v>45.090480453189983</v>
      </c>
      <c r="S41" s="262"/>
      <c r="T41" s="248"/>
      <c r="U41" s="263" t="s">
        <v>4607</v>
      </c>
    </row>
    <row r="42" spans="1:21" s="253" customFormat="1" ht="14.1" customHeight="1">
      <c r="A42" s="263">
        <v>41</v>
      </c>
      <c r="B42" s="248" t="s">
        <v>456</v>
      </c>
      <c r="C42" s="248" t="s">
        <v>404</v>
      </c>
      <c r="D42" s="263" t="s">
        <v>35</v>
      </c>
      <c r="E42" s="248" t="s">
        <v>4263</v>
      </c>
      <c r="F42" s="263" t="s">
        <v>457</v>
      </c>
      <c r="G42" s="248" t="s">
        <v>4747</v>
      </c>
      <c r="H42" s="261" t="s">
        <v>4019</v>
      </c>
      <c r="I42" s="248" t="s">
        <v>4748</v>
      </c>
      <c r="J42" s="263" t="s">
        <v>30</v>
      </c>
      <c r="K42" s="261" t="s">
        <v>4019</v>
      </c>
      <c r="L42" s="261" t="s">
        <v>322</v>
      </c>
      <c r="M42" s="261">
        <v>83014000</v>
      </c>
      <c r="N42" s="261">
        <v>300</v>
      </c>
      <c r="O42" s="261">
        <v>60</v>
      </c>
      <c r="P42" s="261"/>
      <c r="Q42" s="262"/>
      <c r="R42" s="319">
        <v>51.918233398857737</v>
      </c>
      <c r="S42" s="262"/>
      <c r="T42" s="248"/>
      <c r="U42" s="263" t="s">
        <v>4607</v>
      </c>
    </row>
    <row r="43" spans="1:21" s="253" customFormat="1" ht="14.1" customHeight="1">
      <c r="A43" s="263">
        <v>42</v>
      </c>
      <c r="B43" s="248" t="s">
        <v>456</v>
      </c>
      <c r="C43" s="248" t="s">
        <v>404</v>
      </c>
      <c r="D43" s="263" t="s">
        <v>35</v>
      </c>
      <c r="E43" s="248" t="s">
        <v>4263</v>
      </c>
      <c r="F43" s="263" t="s">
        <v>457</v>
      </c>
      <c r="G43" s="248" t="s">
        <v>4749</v>
      </c>
      <c r="H43" s="261" t="s">
        <v>4019</v>
      </c>
      <c r="I43" s="248" t="s">
        <v>4750</v>
      </c>
      <c r="J43" s="263" t="s">
        <v>30</v>
      </c>
      <c r="K43" s="261" t="s">
        <v>4019</v>
      </c>
      <c r="L43" s="261" t="s">
        <v>322</v>
      </c>
      <c r="M43" s="261">
        <v>83014000</v>
      </c>
      <c r="N43" s="261">
        <v>300</v>
      </c>
      <c r="O43" s="261">
        <v>60</v>
      </c>
      <c r="P43" s="261"/>
      <c r="Q43" s="262"/>
      <c r="R43" s="319">
        <v>51.918233398857737</v>
      </c>
      <c r="S43" s="262"/>
      <c r="T43" s="248"/>
      <c r="U43" s="263" t="s">
        <v>4607</v>
      </c>
    </row>
    <row r="44" spans="1:21" s="253" customFormat="1" ht="14.1" customHeight="1"/>
    <row r="45" spans="1:21" s="253" customFormat="1" ht="14.1" customHeight="1"/>
    <row r="46" spans="1:21" ht="14.1" customHeight="1"/>
    <row r="47" spans="1:21" ht="14.1" customHeight="1"/>
    <row r="48" spans="1:21" ht="14.1" customHeight="1"/>
    <row r="49" ht="14.1" customHeight="1"/>
    <row r="50" ht="14.1" customHeight="1"/>
    <row r="51" ht="14.1" customHeight="1"/>
    <row r="52" ht="14.1" customHeight="1"/>
    <row r="53" ht="14.1" customHeight="1"/>
    <row r="54" ht="14.1" customHeight="1"/>
    <row r="55" ht="14.1" customHeight="1"/>
    <row r="56" ht="14.1" customHeight="1"/>
    <row r="57" ht="14.1" customHeight="1"/>
    <row r="58" ht="14.1" customHeight="1"/>
    <row r="59" ht="14.1" customHeight="1"/>
    <row r="60" ht="14.1" customHeight="1"/>
    <row r="61" ht="14.1" customHeight="1"/>
    <row r="62" ht="14.1" customHeight="1"/>
    <row r="63" ht="14.1" customHeight="1"/>
    <row r="64" ht="14.1" customHeight="1"/>
    <row r="65" ht="14.1" customHeight="1"/>
    <row r="66" ht="14.1" customHeight="1"/>
    <row r="67" ht="14.1" customHeight="1"/>
    <row r="68" ht="14.1" customHeight="1"/>
    <row r="69" ht="14.1" customHeight="1"/>
    <row r="70" ht="14.1" customHeight="1"/>
    <row r="71" ht="14.1" customHeight="1"/>
    <row r="72" ht="14.1" customHeight="1"/>
    <row r="73" ht="14.1" customHeight="1"/>
    <row r="74" ht="14.1" customHeight="1"/>
    <row r="75" ht="14.1" customHeight="1"/>
    <row r="76" ht="14.1" customHeight="1"/>
    <row r="77" ht="14.1" customHeight="1"/>
    <row r="78" ht="14.1" customHeight="1"/>
    <row r="79" ht="14.1" customHeight="1"/>
    <row r="80" ht="14.1" customHeight="1"/>
    <row r="81" ht="14.1" customHeight="1"/>
    <row r="82" ht="14.1" customHeight="1"/>
    <row r="83" ht="14.1" customHeight="1"/>
    <row r="84" ht="14.1" customHeight="1"/>
    <row r="85" ht="14.1" customHeight="1"/>
    <row r="86" ht="14.1" customHeight="1"/>
    <row r="87" ht="14.1" customHeight="1"/>
    <row r="88" ht="14.1" customHeight="1"/>
    <row r="89" ht="14.1" customHeight="1"/>
    <row r="90" ht="14.1" customHeight="1"/>
    <row r="91" ht="14.1" customHeight="1"/>
    <row r="92" ht="14.1" customHeight="1"/>
    <row r="93" ht="14.1" customHeight="1"/>
    <row r="94" ht="14.1" customHeight="1"/>
    <row r="95" ht="14.1" customHeight="1"/>
    <row r="96" ht="14.1" customHeight="1"/>
    <row r="97" ht="14.1" customHeight="1"/>
    <row r="98" ht="14.1" customHeight="1"/>
    <row r="99" ht="14.1" customHeight="1"/>
    <row r="100" ht="14.1" customHeight="1"/>
    <row r="101" ht="14.1" customHeight="1"/>
    <row r="102" ht="14.1" customHeight="1"/>
    <row r="103" ht="14.1" customHeight="1"/>
    <row r="104" ht="14.1" customHeight="1"/>
    <row r="105" ht="14.1" customHeight="1"/>
    <row r="106" ht="14.1" customHeight="1"/>
    <row r="107" ht="14.1" customHeight="1"/>
    <row r="108" ht="14.1" customHeight="1"/>
    <row r="109" ht="14.1" customHeight="1"/>
    <row r="110" ht="14.1" customHeight="1"/>
    <row r="111" ht="14.1" customHeight="1"/>
    <row r="112" ht="14.1" customHeight="1"/>
    <row r="113" ht="14.1" customHeight="1"/>
    <row r="114" ht="14.1" customHeight="1"/>
    <row r="115" ht="14.1" customHeight="1"/>
    <row r="116" ht="14.1" customHeight="1"/>
    <row r="117" ht="14.1" customHeight="1"/>
    <row r="118" ht="14.1" customHeight="1"/>
    <row r="119" ht="14.1" customHeight="1"/>
    <row r="120" ht="14.1" customHeight="1"/>
    <row r="121" ht="14.1" customHeight="1"/>
    <row r="122" ht="14.1" customHeight="1"/>
    <row r="123" ht="14.1" customHeight="1"/>
    <row r="124" ht="14.1" customHeight="1"/>
    <row r="125" ht="14.1" customHeight="1"/>
    <row r="126" ht="14.1" customHeight="1"/>
    <row r="127" ht="14.1" customHeight="1"/>
    <row r="128" ht="14.1" customHeight="1"/>
    <row r="129" ht="14.1" customHeight="1"/>
    <row r="130" ht="14.1" customHeight="1"/>
    <row r="131" ht="14.1" customHeight="1"/>
    <row r="132" ht="14.1" customHeight="1"/>
    <row r="133" ht="14.1" customHeight="1"/>
    <row r="134" ht="14.1" customHeight="1"/>
    <row r="135" ht="14.1" customHeight="1"/>
    <row r="136" ht="14.1" customHeight="1"/>
    <row r="137" ht="14.1" customHeight="1"/>
    <row r="138" ht="14.1" customHeight="1"/>
    <row r="139" ht="14.1" customHeight="1"/>
    <row r="140" ht="14.1" customHeight="1"/>
    <row r="141" ht="14.1" customHeight="1"/>
    <row r="142" ht="14.1" customHeight="1"/>
    <row r="143" ht="14.1" customHeight="1"/>
    <row r="144" ht="14.1" customHeight="1"/>
    <row r="145" ht="14.1" customHeight="1"/>
    <row r="146" ht="14.1" customHeight="1"/>
    <row r="147" ht="14.1" customHeight="1"/>
    <row r="148" ht="14.1" customHeight="1"/>
    <row r="149" ht="14.1" customHeight="1"/>
    <row r="150" ht="14.1" customHeight="1"/>
    <row r="151" ht="14.1" customHeight="1"/>
    <row r="152" ht="14.1" customHeight="1"/>
    <row r="153" ht="14.1" customHeight="1"/>
    <row r="154" ht="14.1" customHeight="1"/>
    <row r="155" ht="14.1" customHeight="1"/>
    <row r="156" ht="14.1" customHeight="1"/>
    <row r="157" ht="14.1" customHeight="1"/>
    <row r="158" ht="14.1" customHeight="1"/>
    <row r="159" ht="14.1" customHeight="1"/>
    <row r="160" ht="14.1" customHeight="1"/>
    <row r="161" ht="14.1" customHeight="1"/>
    <row r="162" ht="14.1" customHeight="1"/>
    <row r="163" ht="14.1" customHeight="1"/>
    <row r="164" ht="14.1" customHeight="1"/>
    <row r="165" ht="14.1" customHeight="1"/>
    <row r="166" ht="14.1" customHeight="1"/>
    <row r="167" ht="14.1" customHeight="1"/>
    <row r="168" ht="14.1" customHeight="1"/>
    <row r="169" ht="14.1" customHeight="1"/>
    <row r="170" ht="14.1" customHeight="1"/>
    <row r="171" ht="14.1" customHeight="1"/>
    <row r="172" ht="14.1" customHeight="1"/>
    <row r="173" ht="14.1" customHeight="1"/>
    <row r="174" ht="14.1" customHeight="1"/>
    <row r="175" ht="14.1" customHeight="1"/>
    <row r="176" ht="14.1" customHeight="1"/>
    <row r="177" ht="14.1" customHeight="1"/>
    <row r="178" ht="14.1" customHeight="1"/>
    <row r="179" ht="14.1" customHeight="1"/>
    <row r="180" ht="14.1" customHeight="1"/>
    <row r="181" ht="14.1" customHeight="1"/>
    <row r="182" ht="14.1" customHeight="1"/>
    <row r="183" ht="14.1" customHeight="1"/>
    <row r="184" ht="14.1" customHeight="1"/>
    <row r="185" ht="14.1" customHeight="1"/>
    <row r="186" ht="14.1" customHeight="1"/>
    <row r="187" ht="14.1" customHeight="1"/>
    <row r="188" ht="14.1" customHeight="1"/>
    <row r="189" ht="14.1" customHeight="1"/>
    <row r="190" ht="14.1" customHeight="1"/>
    <row r="191" ht="14.1" customHeight="1"/>
    <row r="192" ht="14.1" customHeight="1"/>
    <row r="193" ht="14.1" customHeight="1"/>
    <row r="194" ht="14.1" customHeight="1"/>
    <row r="195" ht="14.1" customHeight="1"/>
    <row r="196" ht="14.1" customHeight="1"/>
    <row r="197" ht="14.1" customHeight="1"/>
    <row r="198" ht="14.1" customHeight="1"/>
    <row r="199" ht="14.1" customHeight="1"/>
    <row r="200" ht="14.1" customHeight="1"/>
    <row r="201" ht="14.1" customHeight="1"/>
    <row r="202" ht="14.1" customHeight="1"/>
    <row r="203" ht="14.1" customHeight="1"/>
    <row r="204" ht="14.1" customHeight="1"/>
    <row r="205" ht="14.1" customHeight="1"/>
    <row r="206" ht="14.1" customHeight="1"/>
    <row r="207" ht="14.1" customHeight="1"/>
    <row r="208" ht="14.1" customHeight="1"/>
    <row r="209" ht="14.1" customHeight="1"/>
    <row r="210" ht="14.1" customHeight="1"/>
    <row r="211" ht="14.1" customHeight="1"/>
    <row r="212" ht="14.1" customHeight="1"/>
    <row r="213" ht="14.1" customHeight="1"/>
    <row r="214" ht="14.1" customHeight="1"/>
    <row r="215" ht="14.1" customHeight="1"/>
    <row r="216" ht="14.1" customHeight="1"/>
    <row r="217" ht="14.1" customHeight="1"/>
    <row r="218" ht="14.1" customHeight="1"/>
    <row r="219" ht="14.1" customHeight="1"/>
    <row r="220" ht="14.1" customHeight="1"/>
    <row r="221" ht="14.1" customHeight="1"/>
    <row r="222" ht="14.1" customHeight="1"/>
    <row r="223" ht="14.1" customHeight="1"/>
    <row r="224" ht="14.1" customHeight="1"/>
    <row r="225" ht="14.1" customHeight="1"/>
    <row r="226" ht="14.1" customHeight="1"/>
    <row r="227" ht="14.1" customHeight="1"/>
    <row r="228" ht="14.1" customHeight="1"/>
    <row r="229" ht="14.1" customHeight="1"/>
    <row r="230" ht="14.1" customHeight="1"/>
    <row r="231" ht="14.1" customHeight="1"/>
    <row r="232" ht="14.1" customHeight="1"/>
    <row r="233" ht="14.1" customHeight="1"/>
    <row r="234" ht="14.1" customHeight="1"/>
    <row r="235" ht="14.1" customHeight="1"/>
    <row r="236" ht="14.1" customHeight="1"/>
    <row r="237" ht="14.1" customHeight="1"/>
    <row r="238" ht="14.1" customHeight="1"/>
    <row r="239" ht="14.1" customHeight="1"/>
    <row r="240" ht="14.1" customHeight="1"/>
    <row r="241" ht="14.1" customHeight="1"/>
    <row r="242" ht="14.1" customHeight="1"/>
    <row r="243" ht="14.1" customHeight="1"/>
    <row r="244" ht="14.1" customHeight="1"/>
    <row r="245" ht="14.1" customHeight="1"/>
    <row r="246" ht="14.1" customHeight="1"/>
    <row r="247" ht="14.1" customHeight="1"/>
    <row r="248" ht="14.1" customHeight="1"/>
    <row r="249" ht="14.1" customHeight="1"/>
    <row r="250" ht="14.1" customHeight="1"/>
    <row r="251" ht="14.1" customHeight="1"/>
    <row r="252" ht="14.1" customHeight="1"/>
    <row r="253" ht="14.1" customHeight="1"/>
    <row r="254" ht="14.1" customHeight="1"/>
    <row r="255" ht="14.1" customHeight="1"/>
    <row r="256" ht="14.1" customHeight="1"/>
    <row r="257" ht="14.1" customHeight="1"/>
    <row r="258" ht="14.1" customHeight="1"/>
    <row r="259" ht="14.1" customHeight="1"/>
    <row r="260" ht="14.1" customHeight="1"/>
    <row r="261" ht="14.1" customHeight="1"/>
    <row r="262" ht="14.1" customHeight="1"/>
    <row r="263" ht="14.1" customHeight="1"/>
    <row r="264" ht="14.1" customHeight="1"/>
    <row r="265" ht="14.1" customHeight="1"/>
    <row r="266" ht="14.1" customHeight="1"/>
    <row r="267" ht="14.1" customHeight="1"/>
    <row r="268" ht="14.1" customHeight="1"/>
    <row r="269" ht="14.1" customHeight="1"/>
    <row r="270" ht="14.1" customHeight="1"/>
    <row r="271" ht="14.1" customHeight="1"/>
    <row r="272" ht="14.1" customHeight="1"/>
    <row r="273" ht="14.1" customHeight="1"/>
    <row r="274" ht="14.1" customHeight="1"/>
    <row r="275" ht="14.1" customHeight="1"/>
    <row r="276" ht="14.1" customHeight="1"/>
    <row r="277" ht="14.1" customHeight="1"/>
    <row r="278" ht="14.1" customHeight="1"/>
    <row r="279" ht="14.1" customHeight="1"/>
    <row r="280" ht="14.1" customHeight="1"/>
    <row r="281" ht="14.1" customHeight="1"/>
    <row r="282" ht="14.1" customHeight="1"/>
    <row r="283" ht="14.1" customHeight="1"/>
    <row r="284" ht="14.1" customHeight="1"/>
    <row r="285" ht="14.1" customHeight="1"/>
    <row r="286" ht="14.1" customHeight="1"/>
    <row r="287" ht="14.1" customHeight="1"/>
    <row r="288" ht="14.1" customHeight="1"/>
    <row r="289" ht="14.1" customHeight="1"/>
    <row r="290" ht="14.1" customHeight="1"/>
    <row r="291" ht="14.1" customHeight="1"/>
    <row r="292" ht="14.1" customHeight="1"/>
    <row r="293" ht="14.1" customHeight="1"/>
    <row r="294" ht="14.1" customHeight="1"/>
    <row r="295" ht="14.1" customHeight="1"/>
    <row r="296" ht="14.1" customHeight="1"/>
    <row r="297" ht="14.1" customHeight="1"/>
    <row r="298" ht="14.1" customHeight="1"/>
    <row r="299" ht="14.1" customHeight="1"/>
    <row r="300" ht="14.1" customHeight="1"/>
    <row r="301" ht="14.1" customHeight="1"/>
    <row r="302" ht="14.1" customHeight="1"/>
    <row r="303" ht="14.1" customHeight="1"/>
    <row r="304" ht="14.1" customHeight="1"/>
    <row r="305" ht="14.1" customHeight="1"/>
    <row r="306" ht="14.1" customHeight="1"/>
    <row r="307" ht="14.1" customHeight="1"/>
    <row r="308" ht="14.1" customHeight="1"/>
    <row r="309" ht="14.1" customHeight="1"/>
    <row r="310" ht="14.1" customHeight="1"/>
    <row r="311" ht="14.1" customHeight="1"/>
    <row r="312" ht="14.1" customHeight="1"/>
    <row r="313" ht="14.1" customHeight="1"/>
    <row r="314" ht="14.1" customHeight="1"/>
    <row r="315" ht="14.1" customHeight="1"/>
    <row r="316" ht="14.1" customHeight="1"/>
    <row r="317" ht="14.1" customHeight="1"/>
    <row r="318" ht="14.1" customHeight="1"/>
    <row r="319" ht="14.1" customHeight="1"/>
    <row r="320" ht="14.1" customHeight="1"/>
    <row r="321" ht="14.1" customHeight="1"/>
    <row r="322" ht="14.1" customHeight="1"/>
    <row r="323" ht="14.1" customHeight="1"/>
    <row r="324" ht="14.1" customHeight="1"/>
    <row r="325" ht="14.1" customHeight="1"/>
    <row r="326" ht="14.1" customHeight="1"/>
    <row r="327" ht="14.1" customHeight="1"/>
    <row r="328" ht="14.1" customHeight="1"/>
    <row r="329" ht="14.1" customHeight="1"/>
    <row r="330" ht="14.1" customHeight="1"/>
    <row r="331" ht="14.1" customHeight="1"/>
    <row r="332" ht="14.1" customHeight="1"/>
    <row r="333" ht="14.1" customHeight="1"/>
    <row r="334" ht="14.1" customHeight="1"/>
    <row r="335" ht="14.1" customHeight="1"/>
    <row r="336" ht="14.1" customHeight="1"/>
    <row r="337" ht="14.1" customHeight="1"/>
    <row r="338" ht="14.1" customHeight="1"/>
    <row r="339" ht="14.1" customHeight="1"/>
    <row r="340" ht="14.1" customHeight="1"/>
    <row r="341" ht="14.1" customHeight="1"/>
    <row r="342" ht="14.1" customHeight="1"/>
    <row r="343" ht="14.1" customHeight="1"/>
    <row r="344" ht="14.1" customHeight="1"/>
    <row r="345" ht="14.1" customHeight="1"/>
    <row r="346" ht="14.1" customHeight="1"/>
    <row r="347" ht="14.1" customHeight="1"/>
    <row r="348" ht="14.1" customHeight="1"/>
    <row r="349" ht="14.1" customHeight="1"/>
    <row r="350" ht="14.1" customHeight="1"/>
    <row r="351" ht="14.1" customHeight="1"/>
    <row r="352" ht="14.1" customHeight="1"/>
    <row r="353" ht="14.1" customHeight="1"/>
    <row r="354" ht="14.1" customHeight="1"/>
    <row r="355" ht="14.1" customHeight="1"/>
    <row r="356" ht="14.1" customHeight="1"/>
    <row r="357" ht="14.1" customHeight="1"/>
    <row r="358" ht="14.1" customHeight="1"/>
    <row r="359" ht="14.1" customHeight="1"/>
    <row r="360" ht="14.1" customHeight="1"/>
    <row r="361" ht="14.1" customHeight="1"/>
    <row r="362" ht="14.1" customHeight="1"/>
    <row r="363" ht="14.1" customHeight="1"/>
    <row r="364" ht="14.1" customHeight="1"/>
    <row r="365" ht="14.1" customHeight="1"/>
    <row r="366" ht="14.1" customHeight="1"/>
    <row r="367" ht="14.1" customHeight="1"/>
    <row r="368" ht="14.1" customHeight="1"/>
    <row r="369" ht="14.1" customHeight="1"/>
    <row r="370" ht="14.1" customHeight="1"/>
    <row r="371" ht="14.1" customHeight="1"/>
    <row r="372" ht="14.1" customHeight="1"/>
    <row r="373" ht="14.1" customHeight="1"/>
    <row r="374" ht="14.1" customHeight="1"/>
    <row r="375" ht="14.1" customHeight="1"/>
    <row r="376" ht="14.1" customHeight="1"/>
    <row r="377" ht="14.1" customHeight="1"/>
    <row r="378" ht="14.1" customHeight="1"/>
    <row r="379" ht="14.1" customHeight="1"/>
    <row r="380" ht="14.1" customHeight="1"/>
    <row r="381" ht="14.1" customHeight="1"/>
    <row r="382" ht="14.1" customHeight="1"/>
    <row r="383" ht="14.1" customHeight="1"/>
    <row r="384" ht="14.1" customHeight="1"/>
    <row r="385" ht="14.1" customHeight="1"/>
    <row r="386" ht="14.1" customHeight="1"/>
    <row r="387" ht="14.1" customHeight="1"/>
    <row r="388" ht="14.1" customHeight="1"/>
    <row r="389" ht="14.1" customHeight="1"/>
    <row r="390" ht="14.1" customHeight="1"/>
    <row r="391" ht="14.1" customHeight="1"/>
    <row r="392" ht="14.1" customHeight="1"/>
    <row r="393" ht="14.1" customHeight="1"/>
    <row r="394" ht="14.1" customHeight="1"/>
    <row r="395" ht="14.1" customHeight="1"/>
    <row r="396" ht="14.1" customHeight="1"/>
    <row r="397" ht="14.1" customHeight="1"/>
    <row r="398" ht="14.1" customHeight="1"/>
    <row r="399" ht="14.1" customHeight="1"/>
    <row r="400" ht="14.1" customHeight="1"/>
    <row r="401" ht="14.1" customHeight="1"/>
    <row r="402" ht="14.1" customHeight="1"/>
    <row r="403" ht="14.1" customHeight="1"/>
    <row r="404" ht="14.1" customHeight="1"/>
    <row r="405" ht="14.1" customHeight="1"/>
    <row r="406" ht="14.1" customHeight="1"/>
    <row r="407" ht="14.1" customHeight="1"/>
    <row r="408" ht="14.1" customHeight="1"/>
    <row r="409" ht="14.1" customHeight="1"/>
    <row r="410" ht="14.1" customHeight="1"/>
    <row r="411" ht="14.1" customHeight="1"/>
    <row r="412" ht="14.1" customHeight="1"/>
    <row r="413" ht="14.1" customHeight="1"/>
    <row r="414" ht="14.1" customHeight="1"/>
    <row r="415" ht="14.1" customHeight="1"/>
    <row r="416" ht="14.1" customHeight="1"/>
    <row r="417" ht="14.1" customHeight="1"/>
    <row r="418" ht="14.1" customHeight="1"/>
    <row r="419" ht="14.1" customHeight="1"/>
    <row r="420" ht="14.1" customHeight="1"/>
    <row r="421" ht="14.1" customHeight="1"/>
    <row r="422" ht="14.1" customHeight="1"/>
    <row r="423" ht="14.1" customHeight="1"/>
    <row r="424" ht="14.1" customHeight="1"/>
    <row r="425" ht="14.1" customHeight="1"/>
    <row r="426" ht="14.1" customHeight="1"/>
    <row r="427" ht="14.1" customHeight="1"/>
    <row r="428" ht="14.1" customHeight="1"/>
    <row r="429" ht="14.1" customHeight="1"/>
    <row r="430" ht="14.1" customHeight="1"/>
    <row r="431" ht="14.1" customHeight="1"/>
    <row r="432" ht="14.1" customHeight="1"/>
    <row r="433" ht="14.1" customHeight="1"/>
    <row r="434" ht="14.1" customHeight="1"/>
    <row r="435" ht="14.1" customHeight="1"/>
    <row r="436" ht="14.1" customHeight="1"/>
    <row r="437" ht="14.1" customHeight="1"/>
    <row r="438" ht="14.1" customHeight="1"/>
    <row r="439" ht="14.1" customHeight="1"/>
    <row r="440" ht="14.1" customHeight="1"/>
    <row r="441" ht="14.1" customHeight="1"/>
    <row r="442" ht="14.1" customHeight="1"/>
    <row r="443" ht="14.1" customHeight="1"/>
    <row r="444" ht="14.1" customHeight="1"/>
    <row r="445" ht="14.1" customHeight="1"/>
    <row r="446" ht="14.1" customHeight="1"/>
    <row r="447" ht="14.1" customHeight="1"/>
    <row r="448" ht="14.1" customHeight="1"/>
    <row r="449" ht="14.1" customHeight="1"/>
    <row r="450" ht="14.1" customHeight="1"/>
    <row r="451" ht="14.1" customHeight="1"/>
    <row r="452" ht="14.1" customHeight="1"/>
    <row r="453" ht="14.1" customHeight="1"/>
    <row r="454" ht="14.1" customHeight="1"/>
    <row r="455" ht="14.1" customHeight="1"/>
    <row r="456" ht="14.1" customHeight="1"/>
    <row r="457" ht="14.1" customHeight="1"/>
    <row r="458" ht="14.1" customHeight="1"/>
    <row r="459" ht="14.1" customHeight="1"/>
    <row r="460" ht="14.1" customHeight="1"/>
    <row r="461" ht="14.1" customHeight="1"/>
    <row r="462" ht="14.1" customHeight="1"/>
    <row r="463" ht="14.1" customHeight="1"/>
    <row r="464" ht="14.1" customHeight="1"/>
    <row r="465" ht="14.1" customHeight="1"/>
    <row r="466" ht="14.1" customHeight="1"/>
    <row r="467" ht="14.1" customHeight="1"/>
    <row r="468" ht="14.1" customHeight="1"/>
    <row r="469" ht="14.1" customHeight="1"/>
    <row r="470" ht="14.1" customHeight="1"/>
    <row r="471" ht="14.1" customHeight="1"/>
    <row r="472" ht="14.1" customHeight="1"/>
    <row r="473" ht="14.1" customHeight="1"/>
    <row r="474" ht="14.1" customHeight="1"/>
    <row r="475" ht="14.1" customHeight="1"/>
    <row r="476" ht="14.1" customHeight="1"/>
    <row r="477" ht="14.1" customHeight="1"/>
    <row r="478" ht="14.1" customHeight="1"/>
    <row r="479" ht="14.1" customHeight="1"/>
    <row r="480" ht="14.1" customHeight="1"/>
    <row r="481" ht="14.1" customHeight="1"/>
    <row r="482" ht="14.1" customHeight="1"/>
    <row r="483" ht="14.1" customHeight="1"/>
    <row r="484" ht="14.1" customHeight="1"/>
    <row r="485" ht="14.1" customHeight="1"/>
    <row r="486" ht="14.1" customHeight="1"/>
    <row r="487" ht="14.1" customHeight="1"/>
    <row r="488" ht="14.1" customHeight="1"/>
    <row r="489" ht="14.1" customHeight="1"/>
    <row r="490" ht="14.1" customHeight="1"/>
    <row r="491" ht="14.1" customHeight="1"/>
    <row r="492" ht="14.1" customHeight="1"/>
    <row r="493" ht="14.1" customHeight="1"/>
    <row r="494" ht="14.1" customHeight="1"/>
    <row r="495" ht="14.1" customHeight="1"/>
    <row r="496" ht="14.1" customHeight="1"/>
    <row r="497" ht="14.1" customHeight="1"/>
    <row r="498" ht="14.1" customHeight="1"/>
    <row r="499" ht="14.1" customHeight="1"/>
    <row r="500" ht="14.1" customHeight="1"/>
    <row r="501" ht="14.1" customHeight="1"/>
    <row r="502" ht="14.1" customHeight="1"/>
    <row r="503" ht="14.1" customHeight="1"/>
    <row r="504" ht="14.1" customHeight="1"/>
    <row r="505" ht="14.1" customHeight="1"/>
    <row r="506" ht="14.1" customHeight="1"/>
    <row r="507" ht="14.1" customHeight="1"/>
    <row r="508" ht="14.1" customHeight="1"/>
    <row r="509" ht="14.1" customHeight="1"/>
    <row r="510" ht="14.1" customHeight="1"/>
    <row r="511" ht="14.1" customHeight="1"/>
    <row r="512" ht="14.1" customHeight="1"/>
    <row r="513" ht="14.1" customHeight="1"/>
    <row r="514" ht="14.1" customHeight="1"/>
    <row r="515" ht="14.1" customHeight="1"/>
    <row r="516" ht="14.1" customHeight="1"/>
    <row r="517" ht="14.1" customHeight="1"/>
    <row r="518" ht="14.1" customHeight="1"/>
    <row r="519" ht="14.1" customHeight="1"/>
    <row r="520" ht="14.1" customHeight="1"/>
    <row r="521" ht="14.1" customHeight="1"/>
    <row r="522" ht="14.1" customHeight="1"/>
    <row r="523" ht="14.1" customHeight="1"/>
    <row r="524" ht="14.1" customHeight="1"/>
    <row r="525" ht="14.1" customHeight="1"/>
    <row r="526" ht="14.1" customHeight="1"/>
    <row r="527" ht="14.1" customHeight="1"/>
    <row r="528" ht="14.1" customHeight="1"/>
    <row r="529" ht="14.1" customHeight="1"/>
    <row r="530" ht="14.1" customHeight="1"/>
    <row r="531" ht="14.1" customHeight="1"/>
    <row r="532" ht="14.1" customHeight="1"/>
    <row r="533" ht="14.1" customHeight="1"/>
    <row r="534" ht="14.1" customHeight="1"/>
    <row r="535" ht="14.1" customHeight="1"/>
    <row r="536" ht="14.1" customHeight="1"/>
    <row r="537" ht="14.1" customHeight="1"/>
    <row r="538" ht="14.1" customHeight="1"/>
    <row r="539" ht="14.1" customHeight="1"/>
    <row r="540" ht="14.1" customHeight="1"/>
    <row r="541" ht="14.1" customHeight="1"/>
    <row r="542" ht="14.1" customHeight="1"/>
    <row r="543" ht="14.1" customHeight="1"/>
    <row r="544" ht="14.1" customHeight="1"/>
    <row r="545" ht="14.1" customHeight="1"/>
    <row r="546" ht="14.1" customHeight="1"/>
    <row r="547" ht="14.1" customHeight="1"/>
    <row r="548" ht="14.1" customHeight="1"/>
    <row r="549" ht="14.1" customHeight="1"/>
    <row r="550" ht="14.1" customHeight="1"/>
    <row r="551" ht="14.1" customHeight="1"/>
    <row r="552" ht="14.1" customHeight="1"/>
    <row r="553" ht="14.1" customHeight="1"/>
    <row r="554" ht="14.1" customHeight="1"/>
    <row r="555" ht="14.1" customHeight="1"/>
    <row r="556" ht="14.1" customHeight="1"/>
    <row r="557" ht="14.1" customHeight="1"/>
    <row r="558" ht="14.1" customHeight="1"/>
    <row r="559" ht="14.1" customHeight="1"/>
    <row r="560" ht="14.1" customHeight="1"/>
    <row r="561" ht="14.1" customHeight="1"/>
    <row r="562" ht="14.1" customHeight="1"/>
    <row r="563" ht="14.1" customHeight="1"/>
    <row r="564" ht="14.1" customHeight="1"/>
    <row r="565" ht="14.1" customHeight="1"/>
    <row r="566" ht="14.1" customHeight="1"/>
    <row r="567" ht="14.1" customHeight="1"/>
    <row r="568" ht="14.1" customHeight="1"/>
    <row r="569" ht="14.1" customHeight="1"/>
    <row r="570" ht="14.1" customHeight="1"/>
    <row r="571" ht="14.1" customHeight="1"/>
    <row r="572" ht="14.1" customHeight="1"/>
    <row r="573" ht="14.1" customHeight="1"/>
    <row r="574" ht="14.1" customHeight="1"/>
    <row r="575" ht="14.1" customHeight="1"/>
    <row r="576" ht="14.1" customHeight="1"/>
    <row r="577" ht="14.1" customHeight="1"/>
    <row r="578" ht="14.1" customHeight="1"/>
    <row r="579" ht="14.1" customHeight="1"/>
    <row r="580" ht="14.1" customHeight="1"/>
    <row r="581" ht="14.1" customHeight="1"/>
    <row r="582" ht="14.1" customHeight="1"/>
    <row r="583" ht="14.1" customHeight="1"/>
    <row r="584" ht="14.1" customHeight="1"/>
    <row r="585" ht="14.1" customHeight="1"/>
    <row r="586" ht="14.1" customHeight="1"/>
    <row r="587" ht="14.1" customHeight="1"/>
    <row r="588" ht="14.1" customHeight="1"/>
    <row r="589" ht="14.1" customHeight="1"/>
    <row r="590" ht="14.1" customHeight="1"/>
    <row r="591" ht="14.1" customHeight="1"/>
    <row r="592" ht="14.1" customHeight="1"/>
    <row r="593" ht="14.1" customHeight="1"/>
    <row r="594" ht="14.1" customHeight="1"/>
    <row r="595" ht="14.1" customHeight="1"/>
    <row r="596" ht="14.1" customHeight="1"/>
    <row r="597" ht="14.1" customHeight="1"/>
    <row r="598" ht="14.1" customHeight="1"/>
    <row r="599" ht="14.1" customHeight="1"/>
    <row r="600" ht="14.1" customHeight="1"/>
    <row r="601" ht="14.1" customHeight="1"/>
    <row r="602" ht="14.1" customHeight="1"/>
    <row r="603" ht="14.1" customHeight="1"/>
    <row r="604" ht="14.1" customHeight="1"/>
    <row r="605" ht="14.1" customHeight="1"/>
    <row r="606" ht="14.1" customHeight="1"/>
    <row r="607" ht="14.1" customHeight="1"/>
    <row r="608" ht="14.1" customHeight="1"/>
    <row r="609" ht="14.1" customHeight="1"/>
    <row r="610" ht="14.1" customHeight="1"/>
    <row r="611" ht="14.1" customHeight="1"/>
    <row r="612" ht="14.1" customHeight="1"/>
    <row r="613" ht="14.1" customHeight="1"/>
    <row r="614" ht="14.1" customHeight="1"/>
    <row r="615" ht="14.1" customHeight="1"/>
    <row r="616" ht="14.1" customHeight="1"/>
    <row r="617" ht="14.1" customHeight="1"/>
    <row r="618" ht="14.1" customHeight="1"/>
    <row r="619" ht="14.1" customHeight="1"/>
    <row r="620" ht="14.1" customHeight="1"/>
    <row r="621" ht="14.1" customHeight="1"/>
    <row r="622" ht="14.1" customHeight="1"/>
    <row r="623" ht="14.1" customHeight="1"/>
    <row r="624" ht="14.1" customHeight="1"/>
    <row r="625" ht="14.1" customHeight="1"/>
    <row r="626" ht="14.1" customHeight="1"/>
    <row r="627" ht="14.1" customHeight="1"/>
    <row r="628" ht="14.1" customHeight="1"/>
    <row r="629" ht="14.1" customHeight="1"/>
    <row r="630" ht="14.1" customHeight="1"/>
    <row r="631" ht="14.1" customHeight="1"/>
    <row r="632" ht="14.1" customHeight="1"/>
    <row r="633" ht="14.1" customHeight="1"/>
    <row r="634" ht="14.1" customHeight="1"/>
    <row r="635" ht="14.1" customHeight="1"/>
    <row r="636" ht="14.1" customHeight="1"/>
    <row r="637" ht="14.1" customHeight="1"/>
    <row r="638" ht="14.1" customHeight="1"/>
    <row r="639" ht="14.1" customHeight="1"/>
    <row r="640" ht="14.1" customHeight="1"/>
    <row r="641" ht="14.1" customHeight="1"/>
    <row r="642" ht="14.1" customHeight="1"/>
    <row r="643" ht="14.1" customHeight="1"/>
    <row r="644" ht="14.1" customHeight="1"/>
    <row r="645" ht="14.1" customHeight="1"/>
    <row r="646" ht="14.1" customHeight="1"/>
    <row r="647" ht="14.1" customHeight="1"/>
    <row r="648" ht="14.1" customHeight="1"/>
    <row r="649" ht="14.1" customHeight="1"/>
    <row r="650" ht="14.1" customHeight="1"/>
    <row r="651" ht="14.1" customHeight="1"/>
    <row r="652" ht="14.1" customHeight="1"/>
    <row r="653" ht="14.1" customHeight="1"/>
    <row r="654" ht="14.1" customHeight="1"/>
    <row r="655" ht="14.1" customHeight="1"/>
    <row r="656" ht="14.1" customHeight="1"/>
    <row r="657" ht="14.1" customHeight="1"/>
    <row r="658" ht="14.1" customHeight="1"/>
    <row r="659" ht="14.1" customHeight="1"/>
    <row r="660" ht="14.1" customHeight="1"/>
    <row r="661" ht="14.1" customHeight="1"/>
    <row r="662" ht="14.1" customHeight="1"/>
    <row r="663" ht="14.1" customHeight="1"/>
    <row r="664" ht="14.1" customHeight="1"/>
    <row r="665" ht="14.1" customHeight="1"/>
    <row r="666" ht="14.1" customHeight="1"/>
    <row r="667" ht="14.1" customHeight="1"/>
    <row r="668" ht="14.1" customHeight="1"/>
    <row r="669" ht="14.1" customHeight="1"/>
    <row r="670" ht="14.1" customHeight="1"/>
    <row r="671" ht="14.1" customHeight="1"/>
    <row r="672" ht="14.1" customHeight="1"/>
    <row r="673" ht="14.1" customHeight="1"/>
    <row r="674" ht="14.1" customHeight="1"/>
    <row r="675" ht="14.1" customHeight="1"/>
    <row r="676" ht="14.1" customHeight="1"/>
    <row r="677" ht="14.1" customHeight="1"/>
    <row r="678" ht="14.1" customHeight="1"/>
    <row r="679" ht="14.1" customHeight="1"/>
    <row r="680" ht="14.1" customHeight="1"/>
    <row r="681" ht="14.1" customHeight="1"/>
    <row r="682" ht="14.1" customHeight="1"/>
    <row r="683" ht="14.1" customHeight="1"/>
    <row r="684" ht="14.1" customHeight="1"/>
    <row r="685" ht="14.1" customHeight="1"/>
    <row r="686" ht="14.1" customHeight="1"/>
    <row r="687" ht="14.1" customHeight="1"/>
    <row r="688" ht="14.1" customHeight="1"/>
    <row r="689" ht="14.1" customHeight="1"/>
    <row r="690" ht="14.1" customHeight="1"/>
    <row r="691" ht="14.1" customHeight="1"/>
    <row r="692" ht="14.1" customHeight="1"/>
    <row r="693" ht="14.1" customHeight="1"/>
    <row r="694" ht="14.1" customHeight="1"/>
    <row r="695" ht="14.1" customHeight="1"/>
    <row r="696" ht="14.1" customHeight="1"/>
    <row r="697" ht="14.1" customHeight="1"/>
    <row r="698" ht="14.1" customHeight="1"/>
    <row r="699" ht="14.1" customHeight="1"/>
    <row r="700" ht="14.1" customHeight="1"/>
    <row r="701" ht="14.1" customHeight="1"/>
    <row r="702" ht="14.1" customHeight="1"/>
    <row r="703" ht="14.1" customHeight="1"/>
    <row r="704" ht="14.1" customHeight="1"/>
    <row r="705" ht="14.1" customHeight="1"/>
    <row r="706" ht="14.1" customHeight="1"/>
    <row r="707" ht="14.1" customHeight="1"/>
    <row r="708" ht="14.1" customHeight="1"/>
    <row r="709" ht="14.1" customHeight="1"/>
    <row r="710" ht="14.1" customHeight="1"/>
    <row r="711" ht="14.1" customHeight="1"/>
    <row r="712" ht="14.1" customHeight="1"/>
    <row r="713" ht="14.1" customHeight="1"/>
    <row r="714" ht="14.1" customHeight="1"/>
    <row r="715" ht="14.1" customHeight="1"/>
    <row r="716" ht="14.1" customHeight="1"/>
    <row r="717" ht="14.1" customHeight="1"/>
    <row r="718" ht="14.1" customHeight="1"/>
    <row r="719" ht="14.1" customHeight="1"/>
    <row r="720" ht="14.1" customHeight="1"/>
    <row r="721" ht="14.1" customHeight="1"/>
    <row r="722" ht="14.1" customHeight="1"/>
    <row r="723" ht="14.1" customHeight="1"/>
    <row r="724" ht="14.1" customHeight="1"/>
    <row r="725" ht="14.1" customHeight="1"/>
    <row r="726" ht="14.1" customHeight="1"/>
    <row r="727" ht="14.1" customHeight="1"/>
    <row r="728" ht="14.1" customHeight="1"/>
    <row r="729" ht="14.1" customHeight="1"/>
    <row r="730" ht="14.1" customHeight="1"/>
    <row r="731" ht="14.1" customHeight="1"/>
    <row r="732" ht="14.1" customHeight="1"/>
    <row r="733" ht="14.1" customHeight="1"/>
    <row r="734" ht="14.1" customHeight="1"/>
    <row r="735" ht="14.1" customHeight="1"/>
    <row r="736" ht="14.1" customHeight="1"/>
    <row r="737" ht="14.1" customHeight="1"/>
    <row r="738" ht="14.1" customHeight="1"/>
    <row r="739" ht="14.1" customHeight="1"/>
    <row r="740" ht="14.1" customHeight="1"/>
    <row r="741" ht="14.1" customHeight="1"/>
    <row r="742" ht="14.1" customHeight="1"/>
    <row r="743" ht="14.1" customHeight="1"/>
    <row r="744" ht="14.1" customHeight="1"/>
    <row r="745" ht="14.1" customHeight="1"/>
    <row r="746" ht="14.1" customHeight="1"/>
    <row r="747" ht="14.1" customHeight="1"/>
    <row r="748" ht="14.1" customHeight="1"/>
    <row r="749" ht="14.1" customHeight="1"/>
    <row r="750" ht="14.1" customHeight="1"/>
    <row r="751" ht="14.1" customHeight="1"/>
    <row r="752" ht="14.1" customHeight="1"/>
    <row r="753" ht="14.1" customHeight="1"/>
    <row r="754" ht="14.1" customHeight="1"/>
    <row r="755" ht="14.1" customHeight="1"/>
    <row r="756" ht="14.1" customHeight="1"/>
    <row r="757" ht="14.1" customHeight="1"/>
    <row r="758" ht="14.1" customHeight="1"/>
    <row r="759" ht="14.1" customHeight="1"/>
    <row r="760" ht="14.1" customHeight="1"/>
    <row r="761" ht="14.1" customHeight="1"/>
    <row r="762" ht="14.1" customHeight="1"/>
    <row r="763" ht="14.1" customHeight="1"/>
    <row r="764" ht="14.1" customHeight="1"/>
    <row r="765" ht="14.1" customHeight="1"/>
    <row r="766" ht="14.1" customHeight="1"/>
    <row r="767" ht="14.1" customHeight="1"/>
    <row r="768" ht="14.1" customHeight="1"/>
    <row r="769" ht="14.1" customHeight="1"/>
    <row r="770" ht="14.1" customHeight="1"/>
    <row r="771" ht="14.1" customHeight="1"/>
    <row r="772" ht="14.1" customHeight="1"/>
    <row r="773" ht="14.1" customHeight="1"/>
    <row r="774" ht="14.1" customHeight="1"/>
    <row r="775" ht="14.1" customHeight="1"/>
    <row r="776" ht="14.1" customHeight="1"/>
    <row r="777" ht="14.1" customHeight="1"/>
    <row r="778" ht="14.1" customHeight="1"/>
    <row r="779" ht="14.1" customHeight="1"/>
    <row r="780" ht="14.1" customHeight="1"/>
    <row r="781" ht="14.1" customHeight="1"/>
    <row r="782" ht="14.1" customHeight="1"/>
    <row r="783" ht="14.1" customHeight="1"/>
    <row r="784" ht="14.1" customHeight="1"/>
    <row r="785" ht="14.1" customHeight="1"/>
    <row r="786" ht="14.1" customHeight="1"/>
    <row r="787" ht="14.1" customHeight="1"/>
    <row r="788" ht="14.1" customHeight="1"/>
    <row r="789" ht="14.1" customHeight="1"/>
    <row r="790" ht="14.1" customHeight="1"/>
    <row r="791" ht="14.1" customHeight="1"/>
    <row r="792" ht="14.1" customHeight="1"/>
    <row r="793" ht="14.1" customHeight="1"/>
  </sheetData>
  <pageMargins left="0.7" right="0.7" top="0.75" bottom="0.75" header="0.3" footer="0.3"/>
  <headerFooter>
    <oddFooter>&amp;L_x000D_&amp;1#&amp;"Arial"&amp;7&amp;KDAD4CE Public&amp;C&amp;"Verdana"&amp;10 &amp;KC1C1C1_x000D_# Restricted</oddFooter>
  </headerFooter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400-000000000000}">
  <sheetPr codeName="Sheet25">
    <tabColor rgb="FF0070C0"/>
    <pageSetUpPr fitToPage="1"/>
  </sheetPr>
  <dimension ref="A1:U793"/>
  <sheetViews>
    <sheetView zoomScale="80" zoomScaleNormal="80" workbookViewId="0">
      <pane ySplit="4" topLeftCell="A5" activePane="bottomLeft" state="frozen"/>
      <selection activeCell="A16" sqref="A16"/>
      <selection pane="bottomLeft" activeCell="A16" sqref="A16"/>
    </sheetView>
  </sheetViews>
  <sheetFormatPr defaultColWidth="8.85546875" defaultRowHeight="15" customHeight="1"/>
  <cols>
    <col min="1" max="1" width="4.140625" style="177" customWidth="1"/>
    <col min="2" max="3" width="8.5703125" style="170" customWidth="1"/>
    <col min="4" max="4" width="14.5703125" style="177" customWidth="1"/>
    <col min="5" max="5" width="20.5703125" style="170" customWidth="1"/>
    <col min="6" max="6" width="8.5703125" style="177" customWidth="1"/>
    <col min="7" max="7" width="32.5703125" style="169" customWidth="1"/>
    <col min="8" max="8" width="18.5703125" style="177" customWidth="1"/>
    <col min="9" max="9" width="62.5703125" style="169" customWidth="1"/>
    <col min="10" max="12" width="9.5703125" style="177" customWidth="1"/>
    <col min="13" max="13" width="10.5703125" style="177" customWidth="1"/>
    <col min="14" max="14" width="8.5703125" style="177" customWidth="1"/>
    <col min="15" max="15" width="10.5703125" style="177" customWidth="1"/>
    <col min="16" max="16" width="5.5703125" style="177" customWidth="1"/>
    <col min="17" max="17" width="1.5703125" style="169" customWidth="1"/>
    <col min="18" max="18" width="10.5703125" style="195" customWidth="1"/>
    <col min="19" max="19" width="1.5703125" style="169" customWidth="1"/>
    <col min="20" max="20" width="10.5703125" style="169" customWidth="1"/>
    <col min="21" max="21" width="10.5703125" style="177" customWidth="1"/>
    <col min="22" max="220" width="8.85546875" style="173" customWidth="1"/>
    <col min="221" max="221" width="8.140625" style="173" customWidth="1"/>
    <col min="222" max="222" width="14.42578125" style="173" customWidth="1"/>
    <col min="223" max="223" width="37.42578125" style="173" customWidth="1"/>
    <col min="224" max="224" width="63.140625" style="173" customWidth="1"/>
    <col min="225" max="225" width="20" style="173" customWidth="1"/>
    <col min="226" max="226" width="11.140625" style="173" customWidth="1"/>
    <col min="227" max="227" width="10.85546875" style="173" customWidth="1"/>
    <col min="228" max="228" width="21" style="173" customWidth="1"/>
    <col min="229" max="229" width="10.85546875" style="173" customWidth="1"/>
    <col min="230" max="230" width="17.42578125" style="173" customWidth="1"/>
    <col min="231" max="231" width="14.85546875" style="173" customWidth="1"/>
    <col min="232" max="232" width="15" style="173" customWidth="1"/>
    <col min="233" max="233" width="14.85546875" style="173" customWidth="1"/>
    <col min="234" max="234" width="7.140625" style="173" customWidth="1"/>
    <col min="235" max="236" width="20.140625" style="173" customWidth="1"/>
    <col min="237" max="237" width="18.42578125" style="173" customWidth="1"/>
    <col min="238" max="238" width="9.140625" style="173" customWidth="1"/>
    <col min="239" max="239" width="12" style="173" customWidth="1"/>
    <col min="240" max="240" width="14.85546875" style="173" customWidth="1"/>
    <col min="241" max="241" width="22.42578125" style="173" customWidth="1"/>
    <col min="242" max="242" width="14.85546875" style="173" customWidth="1"/>
    <col min="243" max="243" width="7.140625" style="173" customWidth="1"/>
    <col min="244" max="244" width="20.140625" style="173" customWidth="1"/>
    <col min="245" max="476" width="8.85546875" style="173" customWidth="1"/>
    <col min="477" max="477" width="8.140625" style="173" customWidth="1"/>
    <col min="478" max="478" width="14.42578125" style="173" customWidth="1"/>
    <col min="479" max="479" width="37.42578125" style="173" customWidth="1"/>
    <col min="480" max="480" width="63.140625" style="173" customWidth="1"/>
    <col min="481" max="481" width="20" style="173" customWidth="1"/>
    <col min="482" max="482" width="11.140625" style="173" customWidth="1"/>
    <col min="483" max="483" width="10.85546875" style="173" customWidth="1"/>
    <col min="484" max="484" width="21" style="173" customWidth="1"/>
    <col min="485" max="485" width="10.85546875" style="173" customWidth="1"/>
    <col min="486" max="486" width="17.42578125" style="173" customWidth="1"/>
    <col min="487" max="487" width="14.85546875" style="173" customWidth="1"/>
    <col min="488" max="488" width="15" style="173" customWidth="1"/>
    <col min="489" max="489" width="14.85546875" style="173" customWidth="1"/>
    <col min="490" max="490" width="7.140625" style="173" customWidth="1"/>
    <col min="491" max="492" width="20.140625" style="173" customWidth="1"/>
    <col min="493" max="493" width="18.42578125" style="173" customWidth="1"/>
    <col min="494" max="494" width="9.140625" style="173" customWidth="1"/>
    <col min="495" max="495" width="12" style="173" customWidth="1"/>
    <col min="496" max="496" width="14.85546875" style="173" customWidth="1"/>
    <col min="497" max="497" width="22.42578125" style="173" customWidth="1"/>
    <col min="498" max="498" width="14.85546875" style="173" customWidth="1"/>
    <col min="499" max="499" width="7.140625" style="173" customWidth="1"/>
    <col min="500" max="500" width="20.140625" style="173" customWidth="1"/>
    <col min="501" max="732" width="8.85546875" style="173" customWidth="1"/>
    <col min="733" max="733" width="8.140625" style="173" customWidth="1"/>
    <col min="734" max="734" width="14.42578125" style="173" customWidth="1"/>
    <col min="735" max="735" width="37.42578125" style="173" customWidth="1"/>
    <col min="736" max="736" width="63.140625" style="173" customWidth="1"/>
    <col min="737" max="737" width="20" style="173" customWidth="1"/>
    <col min="738" max="738" width="11.140625" style="173" customWidth="1"/>
    <col min="739" max="739" width="10.85546875" style="173" customWidth="1"/>
    <col min="740" max="740" width="21" style="173" customWidth="1"/>
    <col min="741" max="741" width="10.85546875" style="173" customWidth="1"/>
    <col min="742" max="742" width="17.42578125" style="173" customWidth="1"/>
    <col min="743" max="743" width="14.85546875" style="173" customWidth="1"/>
    <col min="744" max="744" width="15" style="173" customWidth="1"/>
    <col min="745" max="745" width="14.85546875" style="173" customWidth="1"/>
    <col min="746" max="746" width="7.140625" style="173" customWidth="1"/>
    <col min="747" max="748" width="20.140625" style="173" customWidth="1"/>
    <col min="749" max="749" width="18.42578125" style="173" customWidth="1"/>
    <col min="750" max="750" width="9.140625" style="173" customWidth="1"/>
    <col min="751" max="751" width="12" style="173" customWidth="1"/>
    <col min="752" max="752" width="14.85546875" style="173" customWidth="1"/>
    <col min="753" max="753" width="22.42578125" style="173" customWidth="1"/>
    <col min="754" max="754" width="14.85546875" style="173" customWidth="1"/>
    <col min="755" max="755" width="7.140625" style="173" customWidth="1"/>
    <col min="756" max="756" width="20.140625" style="173" customWidth="1"/>
    <col min="757" max="988" width="8.85546875" style="173" customWidth="1"/>
    <col min="989" max="989" width="8.140625" style="173" customWidth="1"/>
    <col min="990" max="990" width="14.42578125" style="173" customWidth="1"/>
    <col min="991" max="991" width="37.42578125" style="173" customWidth="1"/>
    <col min="992" max="992" width="63.140625" style="173" customWidth="1"/>
    <col min="993" max="993" width="20" style="173" customWidth="1"/>
    <col min="994" max="994" width="11.140625" style="173" customWidth="1"/>
    <col min="995" max="995" width="10.85546875" style="173" customWidth="1"/>
    <col min="996" max="996" width="21" style="173" customWidth="1"/>
    <col min="997" max="997" width="10.85546875" style="173" customWidth="1"/>
    <col min="998" max="998" width="17.42578125" style="173" customWidth="1"/>
    <col min="999" max="999" width="14.85546875" style="173" customWidth="1"/>
    <col min="1000" max="1000" width="15" style="173" customWidth="1"/>
    <col min="1001" max="1001" width="14.85546875" style="173" customWidth="1"/>
    <col min="1002" max="1002" width="7.140625" style="173" customWidth="1"/>
    <col min="1003" max="1004" width="20.140625" style="173" customWidth="1"/>
    <col min="1005" max="1005" width="18.42578125" style="173" customWidth="1"/>
    <col min="1006" max="1006" width="9.140625" style="173" customWidth="1"/>
    <col min="1007" max="1007" width="12" style="173" customWidth="1"/>
    <col min="1008" max="1008" width="14.85546875" style="173" customWidth="1"/>
    <col min="1009" max="1009" width="22.42578125" style="173" customWidth="1"/>
    <col min="1010" max="1010" width="14.85546875" style="173" customWidth="1"/>
    <col min="1011" max="1011" width="7.140625" style="173" customWidth="1"/>
    <col min="1012" max="1012" width="20.140625" style="173" customWidth="1"/>
    <col min="1013" max="1244" width="8.85546875" style="173" customWidth="1"/>
    <col min="1245" max="1245" width="8.140625" style="173" customWidth="1"/>
    <col min="1246" max="1246" width="14.42578125" style="173" customWidth="1"/>
    <col min="1247" max="1247" width="37.42578125" style="173" customWidth="1"/>
    <col min="1248" max="1248" width="63.140625" style="173" customWidth="1"/>
    <col min="1249" max="1249" width="20" style="173" customWidth="1"/>
    <col min="1250" max="1250" width="11.140625" style="173" customWidth="1"/>
    <col min="1251" max="1251" width="10.85546875" style="173" customWidth="1"/>
    <col min="1252" max="1252" width="21" style="173" customWidth="1"/>
    <col min="1253" max="1253" width="10.85546875" style="173" customWidth="1"/>
    <col min="1254" max="1254" width="17.42578125" style="173" customWidth="1"/>
    <col min="1255" max="1255" width="14.85546875" style="173" customWidth="1"/>
    <col min="1256" max="1256" width="15" style="173" customWidth="1"/>
    <col min="1257" max="1257" width="14.85546875" style="173" customWidth="1"/>
    <col min="1258" max="1258" width="7.140625" style="173" customWidth="1"/>
    <col min="1259" max="1260" width="20.140625" style="173" customWidth="1"/>
    <col min="1261" max="1261" width="18.42578125" style="173" customWidth="1"/>
    <col min="1262" max="1262" width="9.140625" style="173" customWidth="1"/>
    <col min="1263" max="1263" width="12" style="173" customWidth="1"/>
    <col min="1264" max="1264" width="14.85546875" style="173" customWidth="1"/>
    <col min="1265" max="1265" width="22.42578125" style="173" customWidth="1"/>
    <col min="1266" max="1266" width="14.85546875" style="173" customWidth="1"/>
    <col min="1267" max="1267" width="7.140625" style="173" customWidth="1"/>
    <col min="1268" max="1268" width="20.140625" style="173" customWidth="1"/>
    <col min="1269" max="1500" width="8.85546875" style="173" customWidth="1"/>
    <col min="1501" max="1501" width="8.140625" style="173" customWidth="1"/>
    <col min="1502" max="1502" width="14.42578125" style="173" customWidth="1"/>
    <col min="1503" max="1503" width="37.42578125" style="173" customWidth="1"/>
    <col min="1504" max="1504" width="63.140625" style="173" customWidth="1"/>
    <col min="1505" max="1505" width="20" style="173" customWidth="1"/>
    <col min="1506" max="1506" width="11.140625" style="173" customWidth="1"/>
    <col min="1507" max="1507" width="10.85546875" style="173" customWidth="1"/>
    <col min="1508" max="1508" width="21" style="173" customWidth="1"/>
    <col min="1509" max="1509" width="10.85546875" style="173" customWidth="1"/>
    <col min="1510" max="1510" width="17.42578125" style="173" customWidth="1"/>
    <col min="1511" max="1511" width="14.85546875" style="173" customWidth="1"/>
    <col min="1512" max="1512" width="15" style="173" customWidth="1"/>
    <col min="1513" max="1513" width="14.85546875" style="173" customWidth="1"/>
    <col min="1514" max="1514" width="7.140625" style="173" customWidth="1"/>
    <col min="1515" max="1516" width="20.140625" style="173" customWidth="1"/>
    <col min="1517" max="1517" width="18.42578125" style="173" customWidth="1"/>
    <col min="1518" max="1518" width="9.140625" style="173" customWidth="1"/>
    <col min="1519" max="1519" width="12" style="173" customWidth="1"/>
    <col min="1520" max="1520" width="14.85546875" style="173" customWidth="1"/>
    <col min="1521" max="1521" width="22.42578125" style="173" customWidth="1"/>
    <col min="1522" max="1522" width="14.85546875" style="173" customWidth="1"/>
    <col min="1523" max="1523" width="7.140625" style="173" customWidth="1"/>
    <col min="1524" max="1524" width="20.140625" style="173" customWidth="1"/>
    <col min="1525" max="1756" width="8.85546875" style="173" customWidth="1"/>
    <col min="1757" max="1757" width="8.140625" style="173" customWidth="1"/>
    <col min="1758" max="1758" width="14.42578125" style="173" customWidth="1"/>
    <col min="1759" max="1759" width="37.42578125" style="173" customWidth="1"/>
    <col min="1760" max="1760" width="63.140625" style="173" customWidth="1"/>
    <col min="1761" max="1761" width="20" style="173" customWidth="1"/>
    <col min="1762" max="1762" width="11.140625" style="173" customWidth="1"/>
    <col min="1763" max="1763" width="10.85546875" style="173" customWidth="1"/>
    <col min="1764" max="1764" width="21" style="173" customWidth="1"/>
    <col min="1765" max="1765" width="10.85546875" style="173" customWidth="1"/>
    <col min="1766" max="1766" width="17.42578125" style="173" customWidth="1"/>
    <col min="1767" max="1767" width="14.85546875" style="173" customWidth="1"/>
    <col min="1768" max="1768" width="15" style="173" customWidth="1"/>
    <col min="1769" max="1769" width="14.85546875" style="173" customWidth="1"/>
    <col min="1770" max="1770" width="7.140625" style="173" customWidth="1"/>
    <col min="1771" max="1772" width="20.140625" style="173" customWidth="1"/>
    <col min="1773" max="1773" width="18.42578125" style="173" customWidth="1"/>
    <col min="1774" max="1774" width="9.140625" style="173" customWidth="1"/>
    <col min="1775" max="1775" width="12" style="173" customWidth="1"/>
    <col min="1776" max="1776" width="14.85546875" style="173" customWidth="1"/>
    <col min="1777" max="1777" width="22.42578125" style="173" customWidth="1"/>
    <col min="1778" max="1778" width="14.85546875" style="173" customWidth="1"/>
    <col min="1779" max="1779" width="7.140625" style="173" customWidth="1"/>
    <col min="1780" max="1780" width="20.140625" style="173" customWidth="1"/>
    <col min="1781" max="2012" width="8.85546875" style="173" customWidth="1"/>
    <col min="2013" max="2013" width="8.140625" style="173" customWidth="1"/>
    <col min="2014" max="2014" width="14.42578125" style="173" customWidth="1"/>
    <col min="2015" max="2015" width="37.42578125" style="173" customWidth="1"/>
    <col min="2016" max="2016" width="63.140625" style="173" customWidth="1"/>
    <col min="2017" max="2017" width="20" style="173" customWidth="1"/>
    <col min="2018" max="2018" width="11.140625" style="173" customWidth="1"/>
    <col min="2019" max="2019" width="10.85546875" style="173" customWidth="1"/>
    <col min="2020" max="2020" width="21" style="173" customWidth="1"/>
    <col min="2021" max="2021" width="10.85546875" style="173" customWidth="1"/>
    <col min="2022" max="2022" width="17.42578125" style="173" customWidth="1"/>
    <col min="2023" max="2023" width="14.85546875" style="173" customWidth="1"/>
    <col min="2024" max="2024" width="15" style="173" customWidth="1"/>
    <col min="2025" max="2025" width="14.85546875" style="173" customWidth="1"/>
    <col min="2026" max="2026" width="7.140625" style="173" customWidth="1"/>
    <col min="2027" max="2028" width="20.140625" style="173" customWidth="1"/>
    <col min="2029" max="2029" width="18.42578125" style="173" customWidth="1"/>
    <col min="2030" max="2030" width="9.140625" style="173" customWidth="1"/>
    <col min="2031" max="2031" width="12" style="173" customWidth="1"/>
    <col min="2032" max="2032" width="14.85546875" style="173" customWidth="1"/>
    <col min="2033" max="2033" width="22.42578125" style="173" customWidth="1"/>
    <col min="2034" max="2034" width="14.85546875" style="173" customWidth="1"/>
    <col min="2035" max="2035" width="7.140625" style="173" customWidth="1"/>
    <col min="2036" max="2036" width="20.140625" style="173" customWidth="1"/>
    <col min="2037" max="2268" width="8.85546875" style="173" customWidth="1"/>
    <col min="2269" max="2269" width="8.140625" style="173" customWidth="1"/>
    <col min="2270" max="2270" width="14.42578125" style="173" customWidth="1"/>
    <col min="2271" max="2271" width="37.42578125" style="173" customWidth="1"/>
    <col min="2272" max="2272" width="63.140625" style="173" customWidth="1"/>
    <col min="2273" max="2273" width="20" style="173" customWidth="1"/>
    <col min="2274" max="2274" width="11.140625" style="173" customWidth="1"/>
    <col min="2275" max="2275" width="10.85546875" style="173" customWidth="1"/>
    <col min="2276" max="2276" width="21" style="173" customWidth="1"/>
    <col min="2277" max="2277" width="10.85546875" style="173" customWidth="1"/>
    <col min="2278" max="2278" width="17.42578125" style="173" customWidth="1"/>
    <col min="2279" max="2279" width="14.85546875" style="173" customWidth="1"/>
    <col min="2280" max="2280" width="15" style="173" customWidth="1"/>
    <col min="2281" max="2281" width="14.85546875" style="173" customWidth="1"/>
    <col min="2282" max="2282" width="7.140625" style="173" customWidth="1"/>
    <col min="2283" max="2284" width="20.140625" style="173" customWidth="1"/>
    <col min="2285" max="2285" width="18.42578125" style="173" customWidth="1"/>
    <col min="2286" max="2286" width="9.140625" style="173" customWidth="1"/>
    <col min="2287" max="2287" width="12" style="173" customWidth="1"/>
    <col min="2288" max="2288" width="14.85546875" style="173" customWidth="1"/>
    <col min="2289" max="2289" width="22.42578125" style="173" customWidth="1"/>
    <col min="2290" max="2290" width="14.85546875" style="173" customWidth="1"/>
    <col min="2291" max="2291" width="7.140625" style="173" customWidth="1"/>
    <col min="2292" max="2292" width="20.140625" style="173" customWidth="1"/>
    <col min="2293" max="2524" width="8.85546875" style="173" customWidth="1"/>
    <col min="2525" max="2525" width="8.140625" style="173" customWidth="1"/>
    <col min="2526" max="2526" width="14.42578125" style="173" customWidth="1"/>
    <col min="2527" max="2527" width="37.42578125" style="173" customWidth="1"/>
    <col min="2528" max="2528" width="63.140625" style="173" customWidth="1"/>
    <col min="2529" max="2529" width="20" style="173" customWidth="1"/>
    <col min="2530" max="2530" width="11.140625" style="173" customWidth="1"/>
    <col min="2531" max="2531" width="10.85546875" style="173" customWidth="1"/>
    <col min="2532" max="2532" width="21" style="173" customWidth="1"/>
    <col min="2533" max="2533" width="10.85546875" style="173" customWidth="1"/>
    <col min="2534" max="2534" width="17.42578125" style="173" customWidth="1"/>
    <col min="2535" max="2535" width="14.85546875" style="173" customWidth="1"/>
    <col min="2536" max="2536" width="15" style="173" customWidth="1"/>
    <col min="2537" max="2537" width="14.85546875" style="173" customWidth="1"/>
    <col min="2538" max="2538" width="7.140625" style="173" customWidth="1"/>
    <col min="2539" max="2540" width="20.140625" style="173" customWidth="1"/>
    <col min="2541" max="2541" width="18.42578125" style="173" customWidth="1"/>
    <col min="2542" max="2542" width="9.140625" style="173" customWidth="1"/>
    <col min="2543" max="2543" width="12" style="173" customWidth="1"/>
    <col min="2544" max="2544" width="14.85546875" style="173" customWidth="1"/>
    <col min="2545" max="2545" width="22.42578125" style="173" customWidth="1"/>
    <col min="2546" max="2546" width="14.85546875" style="173" customWidth="1"/>
    <col min="2547" max="2547" width="7.140625" style="173" customWidth="1"/>
    <col min="2548" max="2548" width="20.140625" style="173" customWidth="1"/>
    <col min="2549" max="2780" width="8.85546875" style="173" customWidth="1"/>
    <col min="2781" max="2781" width="8.140625" style="173" customWidth="1"/>
    <col min="2782" max="2782" width="14.42578125" style="173" customWidth="1"/>
    <col min="2783" max="2783" width="37.42578125" style="173" customWidth="1"/>
    <col min="2784" max="2784" width="63.140625" style="173" customWidth="1"/>
    <col min="2785" max="2785" width="20" style="173" customWidth="1"/>
    <col min="2786" max="2786" width="11.140625" style="173" customWidth="1"/>
    <col min="2787" max="2787" width="10.85546875" style="173" customWidth="1"/>
    <col min="2788" max="2788" width="21" style="173" customWidth="1"/>
    <col min="2789" max="2789" width="10.85546875" style="173" customWidth="1"/>
    <col min="2790" max="2790" width="17.42578125" style="173" customWidth="1"/>
    <col min="2791" max="2791" width="14.85546875" style="173" customWidth="1"/>
    <col min="2792" max="2792" width="15" style="173" customWidth="1"/>
    <col min="2793" max="2793" width="14.85546875" style="173" customWidth="1"/>
    <col min="2794" max="2794" width="7.140625" style="173" customWidth="1"/>
    <col min="2795" max="2796" width="20.140625" style="173" customWidth="1"/>
    <col min="2797" max="2797" width="18.42578125" style="173" customWidth="1"/>
    <col min="2798" max="2798" width="9.140625" style="173" customWidth="1"/>
    <col min="2799" max="2799" width="12" style="173" customWidth="1"/>
    <col min="2800" max="2800" width="14.85546875" style="173" customWidth="1"/>
    <col min="2801" max="2801" width="22.42578125" style="173" customWidth="1"/>
    <col min="2802" max="2802" width="14.85546875" style="173" customWidth="1"/>
    <col min="2803" max="2803" width="7.140625" style="173" customWidth="1"/>
    <col min="2804" max="2804" width="20.140625" style="173" customWidth="1"/>
    <col min="2805" max="3036" width="8.85546875" style="173" customWidth="1"/>
    <col min="3037" max="3037" width="8.140625" style="173" customWidth="1"/>
    <col min="3038" max="3038" width="14.42578125" style="173" customWidth="1"/>
    <col min="3039" max="3039" width="37.42578125" style="173" customWidth="1"/>
    <col min="3040" max="3040" width="63.140625" style="173" customWidth="1"/>
    <col min="3041" max="3041" width="20" style="173" customWidth="1"/>
    <col min="3042" max="3042" width="11.140625" style="173" customWidth="1"/>
    <col min="3043" max="3043" width="10.85546875" style="173" customWidth="1"/>
    <col min="3044" max="3044" width="21" style="173" customWidth="1"/>
    <col min="3045" max="3045" width="10.85546875" style="173" customWidth="1"/>
    <col min="3046" max="3046" width="17.42578125" style="173" customWidth="1"/>
    <col min="3047" max="3047" width="14.85546875" style="173" customWidth="1"/>
    <col min="3048" max="3048" width="15" style="173" customWidth="1"/>
    <col min="3049" max="3049" width="14.85546875" style="173" customWidth="1"/>
    <col min="3050" max="3050" width="7.140625" style="173" customWidth="1"/>
    <col min="3051" max="3052" width="20.140625" style="173" customWidth="1"/>
    <col min="3053" max="3053" width="18.42578125" style="173" customWidth="1"/>
    <col min="3054" max="3054" width="9.140625" style="173" customWidth="1"/>
    <col min="3055" max="3055" width="12" style="173" customWidth="1"/>
    <col min="3056" max="3056" width="14.85546875" style="173" customWidth="1"/>
    <col min="3057" max="3057" width="22.42578125" style="173" customWidth="1"/>
    <col min="3058" max="3058" width="14.85546875" style="173" customWidth="1"/>
    <col min="3059" max="3059" width="7.140625" style="173" customWidth="1"/>
    <col min="3060" max="3060" width="20.140625" style="173" customWidth="1"/>
    <col min="3061" max="3292" width="8.85546875" style="173" customWidth="1"/>
    <col min="3293" max="3293" width="8.140625" style="173" customWidth="1"/>
    <col min="3294" max="3294" width="14.42578125" style="173" customWidth="1"/>
    <col min="3295" max="3295" width="37.42578125" style="173" customWidth="1"/>
    <col min="3296" max="3296" width="63.140625" style="173" customWidth="1"/>
    <col min="3297" max="3297" width="20" style="173" customWidth="1"/>
    <col min="3298" max="3298" width="11.140625" style="173" customWidth="1"/>
    <col min="3299" max="3299" width="10.85546875" style="173" customWidth="1"/>
    <col min="3300" max="3300" width="21" style="173" customWidth="1"/>
    <col min="3301" max="3301" width="10.85546875" style="173" customWidth="1"/>
    <col min="3302" max="3302" width="17.42578125" style="173" customWidth="1"/>
    <col min="3303" max="3303" width="14.85546875" style="173" customWidth="1"/>
    <col min="3304" max="3304" width="15" style="173" customWidth="1"/>
    <col min="3305" max="3305" width="14.85546875" style="173" customWidth="1"/>
    <col min="3306" max="3306" width="7.140625" style="173" customWidth="1"/>
    <col min="3307" max="3308" width="20.140625" style="173" customWidth="1"/>
    <col min="3309" max="3309" width="18.42578125" style="173" customWidth="1"/>
    <col min="3310" max="3310" width="9.140625" style="173" customWidth="1"/>
    <col min="3311" max="3311" width="12" style="173" customWidth="1"/>
    <col min="3312" max="3312" width="14.85546875" style="173" customWidth="1"/>
    <col min="3313" max="3313" width="22.42578125" style="173" customWidth="1"/>
    <col min="3314" max="3314" width="14.85546875" style="173" customWidth="1"/>
    <col min="3315" max="3315" width="7.140625" style="173" customWidth="1"/>
    <col min="3316" max="3316" width="20.140625" style="173" customWidth="1"/>
    <col min="3317" max="3548" width="8.85546875" style="173" customWidth="1"/>
    <col min="3549" max="3549" width="8.140625" style="173" customWidth="1"/>
    <col min="3550" max="3550" width="14.42578125" style="173" customWidth="1"/>
    <col min="3551" max="3551" width="37.42578125" style="173" customWidth="1"/>
    <col min="3552" max="3552" width="63.140625" style="173" customWidth="1"/>
    <col min="3553" max="3553" width="20" style="173" customWidth="1"/>
    <col min="3554" max="3554" width="11.140625" style="173" customWidth="1"/>
    <col min="3555" max="3555" width="10.85546875" style="173" customWidth="1"/>
    <col min="3556" max="3556" width="21" style="173" customWidth="1"/>
    <col min="3557" max="3557" width="10.85546875" style="173" customWidth="1"/>
    <col min="3558" max="3558" width="17.42578125" style="173" customWidth="1"/>
    <col min="3559" max="3559" width="14.85546875" style="173" customWidth="1"/>
    <col min="3560" max="3560" width="15" style="173" customWidth="1"/>
    <col min="3561" max="3561" width="14.85546875" style="173" customWidth="1"/>
    <col min="3562" max="3562" width="7.140625" style="173" customWidth="1"/>
    <col min="3563" max="3564" width="20.140625" style="173" customWidth="1"/>
    <col min="3565" max="3565" width="18.42578125" style="173" customWidth="1"/>
    <col min="3566" max="3566" width="9.140625" style="173" customWidth="1"/>
    <col min="3567" max="3567" width="12" style="173" customWidth="1"/>
    <col min="3568" max="3568" width="14.85546875" style="173" customWidth="1"/>
    <col min="3569" max="3569" width="22.42578125" style="173" customWidth="1"/>
    <col min="3570" max="3570" width="14.85546875" style="173" customWidth="1"/>
    <col min="3571" max="3571" width="7.140625" style="173" customWidth="1"/>
    <col min="3572" max="3572" width="20.140625" style="173" customWidth="1"/>
    <col min="3573" max="3804" width="8.85546875" style="173" customWidth="1"/>
    <col min="3805" max="3805" width="8.140625" style="173" customWidth="1"/>
    <col min="3806" max="3806" width="14.42578125" style="173" customWidth="1"/>
    <col min="3807" max="3807" width="37.42578125" style="173" customWidth="1"/>
    <col min="3808" max="3808" width="63.140625" style="173" customWidth="1"/>
    <col min="3809" max="3809" width="20" style="173" customWidth="1"/>
    <col min="3810" max="3810" width="11.140625" style="173" customWidth="1"/>
    <col min="3811" max="3811" width="10.85546875" style="173" customWidth="1"/>
    <col min="3812" max="3812" width="21" style="173" customWidth="1"/>
    <col min="3813" max="3813" width="10.85546875" style="173" customWidth="1"/>
    <col min="3814" max="3814" width="17.42578125" style="173" customWidth="1"/>
    <col min="3815" max="3815" width="14.85546875" style="173" customWidth="1"/>
    <col min="3816" max="3816" width="15" style="173" customWidth="1"/>
    <col min="3817" max="3817" width="14.85546875" style="173" customWidth="1"/>
    <col min="3818" max="3818" width="7.140625" style="173" customWidth="1"/>
    <col min="3819" max="3820" width="20.140625" style="173" customWidth="1"/>
    <col min="3821" max="3821" width="18.42578125" style="173" customWidth="1"/>
    <col min="3822" max="3822" width="9.140625" style="173" customWidth="1"/>
    <col min="3823" max="3823" width="12" style="173" customWidth="1"/>
    <col min="3824" max="3824" width="14.85546875" style="173" customWidth="1"/>
    <col min="3825" max="3825" width="22.42578125" style="173" customWidth="1"/>
    <col min="3826" max="3826" width="14.85546875" style="173" customWidth="1"/>
    <col min="3827" max="3827" width="7.140625" style="173" customWidth="1"/>
    <col min="3828" max="3828" width="20.140625" style="173" customWidth="1"/>
    <col min="3829" max="4060" width="8.85546875" style="173" customWidth="1"/>
    <col min="4061" max="4061" width="8.140625" style="173" customWidth="1"/>
    <col min="4062" max="4062" width="14.42578125" style="173" customWidth="1"/>
    <col min="4063" max="4063" width="37.42578125" style="173" customWidth="1"/>
    <col min="4064" max="4064" width="63.140625" style="173" customWidth="1"/>
    <col min="4065" max="4065" width="20" style="173" customWidth="1"/>
    <col min="4066" max="4066" width="11.140625" style="173" customWidth="1"/>
    <col min="4067" max="4067" width="10.85546875" style="173" customWidth="1"/>
    <col min="4068" max="4068" width="21" style="173" customWidth="1"/>
    <col min="4069" max="4069" width="10.85546875" style="173" customWidth="1"/>
    <col min="4070" max="4070" width="17.42578125" style="173" customWidth="1"/>
    <col min="4071" max="4071" width="14.85546875" style="173" customWidth="1"/>
    <col min="4072" max="4072" width="15" style="173" customWidth="1"/>
    <col min="4073" max="4073" width="14.85546875" style="173" customWidth="1"/>
    <col min="4074" max="4074" width="7.140625" style="173" customWidth="1"/>
    <col min="4075" max="4076" width="20.140625" style="173" customWidth="1"/>
    <col min="4077" max="4077" width="18.42578125" style="173" customWidth="1"/>
    <col min="4078" max="4078" width="9.140625" style="173" customWidth="1"/>
    <col min="4079" max="4079" width="12" style="173" customWidth="1"/>
    <col min="4080" max="4080" width="14.85546875" style="173" customWidth="1"/>
    <col min="4081" max="4081" width="22.42578125" style="173" customWidth="1"/>
    <col min="4082" max="4082" width="14.85546875" style="173" customWidth="1"/>
    <col min="4083" max="4083" width="7.140625" style="173" customWidth="1"/>
    <col min="4084" max="4084" width="20.140625" style="173" customWidth="1"/>
    <col min="4085" max="4316" width="8.85546875" style="173" customWidth="1"/>
    <col min="4317" max="4317" width="8.140625" style="173" customWidth="1"/>
    <col min="4318" max="4318" width="14.42578125" style="173" customWidth="1"/>
    <col min="4319" max="4319" width="37.42578125" style="173" customWidth="1"/>
    <col min="4320" max="4320" width="63.140625" style="173" customWidth="1"/>
    <col min="4321" max="4321" width="20" style="173" customWidth="1"/>
    <col min="4322" max="4322" width="11.140625" style="173" customWidth="1"/>
    <col min="4323" max="4323" width="10.85546875" style="173" customWidth="1"/>
    <col min="4324" max="4324" width="21" style="173" customWidth="1"/>
    <col min="4325" max="4325" width="10.85546875" style="173" customWidth="1"/>
    <col min="4326" max="4326" width="17.42578125" style="173" customWidth="1"/>
    <col min="4327" max="4327" width="14.85546875" style="173" customWidth="1"/>
    <col min="4328" max="4328" width="15" style="173" customWidth="1"/>
    <col min="4329" max="4329" width="14.85546875" style="173" customWidth="1"/>
    <col min="4330" max="4330" width="7.140625" style="173" customWidth="1"/>
    <col min="4331" max="4332" width="20.140625" style="173" customWidth="1"/>
    <col min="4333" max="4333" width="18.42578125" style="173" customWidth="1"/>
    <col min="4334" max="4334" width="9.140625" style="173" customWidth="1"/>
    <col min="4335" max="4335" width="12" style="173" customWidth="1"/>
    <col min="4336" max="4336" width="14.85546875" style="173" customWidth="1"/>
    <col min="4337" max="4337" width="22.42578125" style="173" customWidth="1"/>
    <col min="4338" max="4338" width="14.85546875" style="173" customWidth="1"/>
    <col min="4339" max="4339" width="7.140625" style="173" customWidth="1"/>
    <col min="4340" max="4340" width="20.140625" style="173" customWidth="1"/>
    <col min="4341" max="4572" width="8.85546875" style="173" customWidth="1"/>
    <col min="4573" max="4573" width="8.140625" style="173" customWidth="1"/>
    <col min="4574" max="4574" width="14.42578125" style="173" customWidth="1"/>
    <col min="4575" max="4575" width="37.42578125" style="173" customWidth="1"/>
    <col min="4576" max="4576" width="63.140625" style="173" customWidth="1"/>
    <col min="4577" max="4577" width="20" style="173" customWidth="1"/>
    <col min="4578" max="4578" width="11.140625" style="173" customWidth="1"/>
    <col min="4579" max="4579" width="10.85546875" style="173" customWidth="1"/>
    <col min="4580" max="4580" width="21" style="173" customWidth="1"/>
    <col min="4581" max="4581" width="10.85546875" style="173" customWidth="1"/>
    <col min="4582" max="4582" width="17.42578125" style="173" customWidth="1"/>
    <col min="4583" max="4583" width="14.85546875" style="173" customWidth="1"/>
    <col min="4584" max="4584" width="15" style="173" customWidth="1"/>
    <col min="4585" max="4585" width="14.85546875" style="173" customWidth="1"/>
    <col min="4586" max="4586" width="7.140625" style="173" customWidth="1"/>
    <col min="4587" max="4588" width="20.140625" style="173" customWidth="1"/>
    <col min="4589" max="4589" width="18.42578125" style="173" customWidth="1"/>
    <col min="4590" max="4590" width="9.140625" style="173" customWidth="1"/>
    <col min="4591" max="4591" width="12" style="173" customWidth="1"/>
    <col min="4592" max="4592" width="14.85546875" style="173" customWidth="1"/>
    <col min="4593" max="4593" width="22.42578125" style="173" customWidth="1"/>
    <col min="4594" max="4594" width="14.85546875" style="173" customWidth="1"/>
    <col min="4595" max="4595" width="7.140625" style="173" customWidth="1"/>
    <col min="4596" max="4596" width="20.140625" style="173" customWidth="1"/>
    <col min="4597" max="4828" width="8.85546875" style="173" customWidth="1"/>
    <col min="4829" max="4829" width="8.140625" style="173" customWidth="1"/>
    <col min="4830" max="4830" width="14.42578125" style="173" customWidth="1"/>
    <col min="4831" max="4831" width="37.42578125" style="173" customWidth="1"/>
    <col min="4832" max="4832" width="63.140625" style="173" customWidth="1"/>
    <col min="4833" max="4833" width="20" style="173" customWidth="1"/>
    <col min="4834" max="4834" width="11.140625" style="173" customWidth="1"/>
    <col min="4835" max="4835" width="10.85546875" style="173" customWidth="1"/>
    <col min="4836" max="4836" width="21" style="173" customWidth="1"/>
    <col min="4837" max="4837" width="10.85546875" style="173" customWidth="1"/>
    <col min="4838" max="4838" width="17.42578125" style="173" customWidth="1"/>
    <col min="4839" max="4839" width="14.85546875" style="173" customWidth="1"/>
    <col min="4840" max="4840" width="15" style="173" customWidth="1"/>
    <col min="4841" max="4841" width="14.85546875" style="173" customWidth="1"/>
    <col min="4842" max="4842" width="7.140625" style="173" customWidth="1"/>
    <col min="4843" max="4844" width="20.140625" style="173" customWidth="1"/>
    <col min="4845" max="4845" width="18.42578125" style="173" customWidth="1"/>
    <col min="4846" max="4846" width="9.140625" style="173" customWidth="1"/>
    <col min="4847" max="4847" width="12" style="173" customWidth="1"/>
    <col min="4848" max="4848" width="14.85546875" style="173" customWidth="1"/>
    <col min="4849" max="4849" width="22.42578125" style="173" customWidth="1"/>
    <col min="4850" max="4850" width="14.85546875" style="173" customWidth="1"/>
    <col min="4851" max="4851" width="7.140625" style="173" customWidth="1"/>
    <col min="4852" max="4852" width="20.140625" style="173" customWidth="1"/>
    <col min="4853" max="5084" width="8.85546875" style="173" customWidth="1"/>
    <col min="5085" max="5085" width="8.140625" style="173" customWidth="1"/>
    <col min="5086" max="5086" width="14.42578125" style="173" customWidth="1"/>
    <col min="5087" max="5087" width="37.42578125" style="173" customWidth="1"/>
    <col min="5088" max="5088" width="63.140625" style="173" customWidth="1"/>
    <col min="5089" max="5089" width="20" style="173" customWidth="1"/>
    <col min="5090" max="5090" width="11.140625" style="173" customWidth="1"/>
    <col min="5091" max="5091" width="10.85546875" style="173" customWidth="1"/>
    <col min="5092" max="5092" width="21" style="173" customWidth="1"/>
    <col min="5093" max="5093" width="10.85546875" style="173" customWidth="1"/>
    <col min="5094" max="5094" width="17.42578125" style="173" customWidth="1"/>
    <col min="5095" max="5095" width="14.85546875" style="173" customWidth="1"/>
    <col min="5096" max="5096" width="15" style="173" customWidth="1"/>
    <col min="5097" max="5097" width="14.85546875" style="173" customWidth="1"/>
    <col min="5098" max="5098" width="7.140625" style="173" customWidth="1"/>
    <col min="5099" max="5100" width="20.140625" style="173" customWidth="1"/>
    <col min="5101" max="5101" width="18.42578125" style="173" customWidth="1"/>
    <col min="5102" max="5102" width="9.140625" style="173" customWidth="1"/>
    <col min="5103" max="5103" width="12" style="173" customWidth="1"/>
    <col min="5104" max="5104" width="14.85546875" style="173" customWidth="1"/>
    <col min="5105" max="5105" width="22.42578125" style="173" customWidth="1"/>
    <col min="5106" max="5106" width="14.85546875" style="173" customWidth="1"/>
    <col min="5107" max="5107" width="7.140625" style="173" customWidth="1"/>
    <col min="5108" max="5108" width="20.140625" style="173" customWidth="1"/>
    <col min="5109" max="5340" width="8.85546875" style="173" customWidth="1"/>
    <col min="5341" max="5341" width="8.140625" style="173" customWidth="1"/>
    <col min="5342" max="5342" width="14.42578125" style="173" customWidth="1"/>
    <col min="5343" max="5343" width="37.42578125" style="173" customWidth="1"/>
    <col min="5344" max="5344" width="63.140625" style="173" customWidth="1"/>
    <col min="5345" max="5345" width="20" style="173" customWidth="1"/>
    <col min="5346" max="5346" width="11.140625" style="173" customWidth="1"/>
    <col min="5347" max="5347" width="10.85546875" style="173" customWidth="1"/>
    <col min="5348" max="5348" width="21" style="173" customWidth="1"/>
    <col min="5349" max="5349" width="10.85546875" style="173" customWidth="1"/>
    <col min="5350" max="5350" width="17.42578125" style="173" customWidth="1"/>
    <col min="5351" max="5351" width="14.85546875" style="173" customWidth="1"/>
    <col min="5352" max="5352" width="15" style="173" customWidth="1"/>
    <col min="5353" max="5353" width="14.85546875" style="173" customWidth="1"/>
    <col min="5354" max="5354" width="7.140625" style="173" customWidth="1"/>
    <col min="5355" max="5356" width="20.140625" style="173" customWidth="1"/>
    <col min="5357" max="5357" width="18.42578125" style="173" customWidth="1"/>
    <col min="5358" max="5358" width="9.140625" style="173" customWidth="1"/>
    <col min="5359" max="5359" width="12" style="173" customWidth="1"/>
    <col min="5360" max="5360" width="14.85546875" style="173" customWidth="1"/>
    <col min="5361" max="5361" width="22.42578125" style="173" customWidth="1"/>
    <col min="5362" max="5362" width="14.85546875" style="173" customWidth="1"/>
    <col min="5363" max="5363" width="7.140625" style="173" customWidth="1"/>
    <col min="5364" max="5364" width="20.140625" style="173" customWidth="1"/>
    <col min="5365" max="5596" width="8.85546875" style="173" customWidth="1"/>
    <col min="5597" max="5597" width="8.140625" style="173" customWidth="1"/>
    <col min="5598" max="5598" width="14.42578125" style="173" customWidth="1"/>
    <col min="5599" max="5599" width="37.42578125" style="173" customWidth="1"/>
    <col min="5600" max="5600" width="63.140625" style="173" customWidth="1"/>
    <col min="5601" max="5601" width="20" style="173" customWidth="1"/>
    <col min="5602" max="5602" width="11.140625" style="173" customWidth="1"/>
    <col min="5603" max="5603" width="10.85546875" style="173" customWidth="1"/>
    <col min="5604" max="5604" width="21" style="173" customWidth="1"/>
    <col min="5605" max="5605" width="10.85546875" style="173" customWidth="1"/>
    <col min="5606" max="5606" width="17.42578125" style="173" customWidth="1"/>
    <col min="5607" max="5607" width="14.85546875" style="173" customWidth="1"/>
    <col min="5608" max="5608" width="15" style="173" customWidth="1"/>
    <col min="5609" max="5609" width="14.85546875" style="173" customWidth="1"/>
    <col min="5610" max="5610" width="7.140625" style="173" customWidth="1"/>
    <col min="5611" max="5612" width="20.140625" style="173" customWidth="1"/>
    <col min="5613" max="5613" width="18.42578125" style="173" customWidth="1"/>
    <col min="5614" max="5614" width="9.140625" style="173" customWidth="1"/>
    <col min="5615" max="5615" width="12" style="173" customWidth="1"/>
    <col min="5616" max="5616" width="14.85546875" style="173" customWidth="1"/>
    <col min="5617" max="5617" width="22.42578125" style="173" customWidth="1"/>
    <col min="5618" max="5618" width="14.85546875" style="173" customWidth="1"/>
    <col min="5619" max="5619" width="7.140625" style="173" customWidth="1"/>
    <col min="5620" max="5620" width="20.140625" style="173" customWidth="1"/>
    <col min="5621" max="5852" width="8.85546875" style="173" customWidth="1"/>
    <col min="5853" max="5853" width="8.140625" style="173" customWidth="1"/>
    <col min="5854" max="5854" width="14.42578125" style="173" customWidth="1"/>
    <col min="5855" max="5855" width="37.42578125" style="173" customWidth="1"/>
    <col min="5856" max="5856" width="63.140625" style="173" customWidth="1"/>
    <col min="5857" max="5857" width="20" style="173" customWidth="1"/>
    <col min="5858" max="5858" width="11.140625" style="173" customWidth="1"/>
    <col min="5859" max="5859" width="10.85546875" style="173" customWidth="1"/>
    <col min="5860" max="5860" width="21" style="173" customWidth="1"/>
    <col min="5861" max="5861" width="10.85546875" style="173" customWidth="1"/>
    <col min="5862" max="5862" width="17.42578125" style="173" customWidth="1"/>
    <col min="5863" max="5863" width="14.85546875" style="173" customWidth="1"/>
    <col min="5864" max="5864" width="15" style="173" customWidth="1"/>
    <col min="5865" max="5865" width="14.85546875" style="173" customWidth="1"/>
    <col min="5866" max="5866" width="7.140625" style="173" customWidth="1"/>
    <col min="5867" max="5868" width="20.140625" style="173" customWidth="1"/>
    <col min="5869" max="5869" width="18.42578125" style="173" customWidth="1"/>
    <col min="5870" max="5870" width="9.140625" style="173" customWidth="1"/>
    <col min="5871" max="5871" width="12" style="173" customWidth="1"/>
    <col min="5872" max="5872" width="14.85546875" style="173" customWidth="1"/>
    <col min="5873" max="5873" width="22.42578125" style="173" customWidth="1"/>
    <col min="5874" max="5874" width="14.85546875" style="173" customWidth="1"/>
    <col min="5875" max="5875" width="7.140625" style="173" customWidth="1"/>
    <col min="5876" max="5876" width="20.140625" style="173" customWidth="1"/>
    <col min="5877" max="6108" width="8.85546875" style="173" customWidth="1"/>
    <col min="6109" max="6109" width="8.140625" style="173" customWidth="1"/>
    <col min="6110" max="6110" width="14.42578125" style="173" customWidth="1"/>
    <col min="6111" max="6111" width="37.42578125" style="173" customWidth="1"/>
    <col min="6112" max="6112" width="63.140625" style="173" customWidth="1"/>
    <col min="6113" max="6113" width="20" style="173" customWidth="1"/>
    <col min="6114" max="6114" width="11.140625" style="173" customWidth="1"/>
    <col min="6115" max="6115" width="10.85546875" style="173" customWidth="1"/>
    <col min="6116" max="6116" width="21" style="173" customWidth="1"/>
    <col min="6117" max="6117" width="10.85546875" style="173" customWidth="1"/>
    <col min="6118" max="6118" width="17.42578125" style="173" customWidth="1"/>
    <col min="6119" max="6119" width="14.85546875" style="173" customWidth="1"/>
    <col min="6120" max="6120" width="15" style="173" customWidth="1"/>
    <col min="6121" max="6121" width="14.85546875" style="173" customWidth="1"/>
    <col min="6122" max="6122" width="7.140625" style="173" customWidth="1"/>
    <col min="6123" max="6124" width="20.140625" style="173" customWidth="1"/>
    <col min="6125" max="6125" width="18.42578125" style="173" customWidth="1"/>
    <col min="6126" max="6126" width="9.140625" style="173" customWidth="1"/>
    <col min="6127" max="6127" width="12" style="173" customWidth="1"/>
    <col min="6128" max="6128" width="14.85546875" style="173" customWidth="1"/>
    <col min="6129" max="6129" width="22.42578125" style="173" customWidth="1"/>
    <col min="6130" max="6130" width="14.85546875" style="173" customWidth="1"/>
    <col min="6131" max="6131" width="7.140625" style="173" customWidth="1"/>
    <col min="6132" max="6132" width="20.140625" style="173" customWidth="1"/>
    <col min="6133" max="6364" width="8.85546875" style="173" customWidth="1"/>
    <col min="6365" max="6365" width="8.140625" style="173" customWidth="1"/>
    <col min="6366" max="6366" width="14.42578125" style="173" customWidth="1"/>
    <col min="6367" max="6367" width="37.42578125" style="173" customWidth="1"/>
    <col min="6368" max="6368" width="63.140625" style="173" customWidth="1"/>
    <col min="6369" max="6369" width="20" style="173" customWidth="1"/>
    <col min="6370" max="6370" width="11.140625" style="173" customWidth="1"/>
    <col min="6371" max="6371" width="10.85546875" style="173" customWidth="1"/>
    <col min="6372" max="6372" width="21" style="173" customWidth="1"/>
    <col min="6373" max="6373" width="10.85546875" style="173" customWidth="1"/>
    <col min="6374" max="6374" width="17.42578125" style="173" customWidth="1"/>
    <col min="6375" max="6375" width="14.85546875" style="173" customWidth="1"/>
    <col min="6376" max="6376" width="15" style="173" customWidth="1"/>
    <col min="6377" max="6377" width="14.85546875" style="173" customWidth="1"/>
    <col min="6378" max="6378" width="7.140625" style="173" customWidth="1"/>
    <col min="6379" max="6380" width="20.140625" style="173" customWidth="1"/>
    <col min="6381" max="6381" width="18.42578125" style="173" customWidth="1"/>
    <col min="6382" max="6382" width="9.140625" style="173" customWidth="1"/>
    <col min="6383" max="6383" width="12" style="173" customWidth="1"/>
    <col min="6384" max="6384" width="14.85546875" style="173" customWidth="1"/>
    <col min="6385" max="6385" width="22.42578125" style="173" customWidth="1"/>
    <col min="6386" max="6386" width="14.85546875" style="173" customWidth="1"/>
    <col min="6387" max="6387" width="7.140625" style="173" customWidth="1"/>
    <col min="6388" max="6388" width="20.140625" style="173" customWidth="1"/>
    <col min="6389" max="6620" width="8.85546875" style="173" customWidth="1"/>
    <col min="6621" max="6621" width="8.140625" style="173" customWidth="1"/>
    <col min="6622" max="6622" width="14.42578125" style="173" customWidth="1"/>
    <col min="6623" max="6623" width="37.42578125" style="173" customWidth="1"/>
    <col min="6624" max="6624" width="63.140625" style="173" customWidth="1"/>
    <col min="6625" max="6625" width="20" style="173" customWidth="1"/>
    <col min="6626" max="6626" width="11.140625" style="173" customWidth="1"/>
    <col min="6627" max="6627" width="10.85546875" style="173" customWidth="1"/>
    <col min="6628" max="6628" width="21" style="173" customWidth="1"/>
    <col min="6629" max="6629" width="10.85546875" style="173" customWidth="1"/>
    <col min="6630" max="6630" width="17.42578125" style="173" customWidth="1"/>
    <col min="6631" max="6631" width="14.85546875" style="173" customWidth="1"/>
    <col min="6632" max="6632" width="15" style="173" customWidth="1"/>
    <col min="6633" max="6633" width="14.85546875" style="173" customWidth="1"/>
    <col min="6634" max="6634" width="7.140625" style="173" customWidth="1"/>
    <col min="6635" max="6636" width="20.140625" style="173" customWidth="1"/>
    <col min="6637" max="6637" width="18.42578125" style="173" customWidth="1"/>
    <col min="6638" max="6638" width="9.140625" style="173" customWidth="1"/>
    <col min="6639" max="6639" width="12" style="173" customWidth="1"/>
    <col min="6640" max="6640" width="14.85546875" style="173" customWidth="1"/>
    <col min="6641" max="6641" width="22.42578125" style="173" customWidth="1"/>
    <col min="6642" max="6642" width="14.85546875" style="173" customWidth="1"/>
    <col min="6643" max="6643" width="7.140625" style="173" customWidth="1"/>
    <col min="6644" max="6644" width="20.140625" style="173" customWidth="1"/>
    <col min="6645" max="6876" width="8.85546875" style="173" customWidth="1"/>
    <col min="6877" max="6877" width="8.140625" style="173" customWidth="1"/>
    <col min="6878" max="6878" width="14.42578125" style="173" customWidth="1"/>
    <col min="6879" max="6879" width="37.42578125" style="173" customWidth="1"/>
    <col min="6880" max="6880" width="63.140625" style="173" customWidth="1"/>
    <col min="6881" max="6881" width="20" style="173" customWidth="1"/>
    <col min="6882" max="6882" width="11.140625" style="173" customWidth="1"/>
    <col min="6883" max="6883" width="10.85546875" style="173" customWidth="1"/>
    <col min="6884" max="6884" width="21" style="173" customWidth="1"/>
    <col min="6885" max="6885" width="10.85546875" style="173" customWidth="1"/>
    <col min="6886" max="6886" width="17.42578125" style="173" customWidth="1"/>
    <col min="6887" max="6887" width="14.85546875" style="173" customWidth="1"/>
    <col min="6888" max="6888" width="15" style="173" customWidth="1"/>
    <col min="6889" max="6889" width="14.85546875" style="173" customWidth="1"/>
    <col min="6890" max="6890" width="7.140625" style="173" customWidth="1"/>
    <col min="6891" max="6892" width="20.140625" style="173" customWidth="1"/>
    <col min="6893" max="6893" width="18.42578125" style="173" customWidth="1"/>
    <col min="6894" max="6894" width="9.140625" style="173" customWidth="1"/>
    <col min="6895" max="6895" width="12" style="173" customWidth="1"/>
    <col min="6896" max="6896" width="14.85546875" style="173" customWidth="1"/>
    <col min="6897" max="6897" width="22.42578125" style="173" customWidth="1"/>
    <col min="6898" max="6898" width="14.85546875" style="173" customWidth="1"/>
    <col min="6899" max="6899" width="7.140625" style="173" customWidth="1"/>
    <col min="6900" max="6900" width="20.140625" style="173" customWidth="1"/>
    <col min="6901" max="7132" width="8.85546875" style="173" customWidth="1"/>
    <col min="7133" max="7133" width="8.140625" style="173" customWidth="1"/>
    <col min="7134" max="7134" width="14.42578125" style="173" customWidth="1"/>
    <col min="7135" max="7135" width="37.42578125" style="173" customWidth="1"/>
    <col min="7136" max="7136" width="63.140625" style="173" customWidth="1"/>
    <col min="7137" max="7137" width="20" style="173" customWidth="1"/>
    <col min="7138" max="7138" width="11.140625" style="173" customWidth="1"/>
    <col min="7139" max="7139" width="10.85546875" style="173" customWidth="1"/>
    <col min="7140" max="7140" width="21" style="173" customWidth="1"/>
    <col min="7141" max="7141" width="10.85546875" style="173" customWidth="1"/>
    <col min="7142" max="7142" width="17.42578125" style="173" customWidth="1"/>
    <col min="7143" max="7143" width="14.85546875" style="173" customWidth="1"/>
    <col min="7144" max="7144" width="15" style="173" customWidth="1"/>
    <col min="7145" max="7145" width="14.85546875" style="173" customWidth="1"/>
    <col min="7146" max="7146" width="7.140625" style="173" customWidth="1"/>
    <col min="7147" max="7148" width="20.140625" style="173" customWidth="1"/>
    <col min="7149" max="7149" width="18.42578125" style="173" customWidth="1"/>
    <col min="7150" max="7150" width="9.140625" style="173" customWidth="1"/>
    <col min="7151" max="7151" width="12" style="173" customWidth="1"/>
    <col min="7152" max="7152" width="14.85546875" style="173" customWidth="1"/>
    <col min="7153" max="7153" width="22.42578125" style="173" customWidth="1"/>
    <col min="7154" max="7154" width="14.85546875" style="173" customWidth="1"/>
    <col min="7155" max="7155" width="7.140625" style="173" customWidth="1"/>
    <col min="7156" max="7156" width="20.140625" style="173" customWidth="1"/>
    <col min="7157" max="7388" width="8.85546875" style="173" customWidth="1"/>
    <col min="7389" max="7389" width="8.140625" style="173" customWidth="1"/>
    <col min="7390" max="7390" width="14.42578125" style="173" customWidth="1"/>
    <col min="7391" max="7391" width="37.42578125" style="173" customWidth="1"/>
    <col min="7392" max="7392" width="63.140625" style="173" customWidth="1"/>
    <col min="7393" max="7393" width="20" style="173" customWidth="1"/>
    <col min="7394" max="7394" width="11.140625" style="173" customWidth="1"/>
    <col min="7395" max="7395" width="10.85546875" style="173" customWidth="1"/>
    <col min="7396" max="7396" width="21" style="173" customWidth="1"/>
    <col min="7397" max="7397" width="10.85546875" style="173" customWidth="1"/>
    <col min="7398" max="7398" width="17.42578125" style="173" customWidth="1"/>
    <col min="7399" max="7399" width="14.85546875" style="173" customWidth="1"/>
    <col min="7400" max="7400" width="15" style="173" customWidth="1"/>
    <col min="7401" max="7401" width="14.85546875" style="173" customWidth="1"/>
    <col min="7402" max="7402" width="7.140625" style="173" customWidth="1"/>
    <col min="7403" max="7404" width="20.140625" style="173" customWidth="1"/>
    <col min="7405" max="7405" width="18.42578125" style="173" customWidth="1"/>
    <col min="7406" max="7406" width="9.140625" style="173" customWidth="1"/>
    <col min="7407" max="7407" width="12" style="173" customWidth="1"/>
    <col min="7408" max="7408" width="14.85546875" style="173" customWidth="1"/>
    <col min="7409" max="7409" width="22.42578125" style="173" customWidth="1"/>
    <col min="7410" max="7410" width="14.85546875" style="173" customWidth="1"/>
    <col min="7411" max="7411" width="7.140625" style="173" customWidth="1"/>
    <col min="7412" max="7412" width="20.140625" style="173" customWidth="1"/>
    <col min="7413" max="7644" width="8.85546875" style="173" customWidth="1"/>
    <col min="7645" max="7645" width="8.140625" style="173" customWidth="1"/>
    <col min="7646" max="7646" width="14.42578125" style="173" customWidth="1"/>
    <col min="7647" max="7647" width="37.42578125" style="173" customWidth="1"/>
    <col min="7648" max="7648" width="63.140625" style="173" customWidth="1"/>
    <col min="7649" max="7649" width="20" style="173" customWidth="1"/>
    <col min="7650" max="7650" width="11.140625" style="173" customWidth="1"/>
    <col min="7651" max="7651" width="10.85546875" style="173" customWidth="1"/>
    <col min="7652" max="7652" width="21" style="173" customWidth="1"/>
    <col min="7653" max="7653" width="10.85546875" style="173" customWidth="1"/>
    <col min="7654" max="7654" width="17.42578125" style="173" customWidth="1"/>
    <col min="7655" max="7655" width="14.85546875" style="173" customWidth="1"/>
    <col min="7656" max="7656" width="15" style="173" customWidth="1"/>
    <col min="7657" max="7657" width="14.85546875" style="173" customWidth="1"/>
    <col min="7658" max="7658" width="7.140625" style="173" customWidth="1"/>
    <col min="7659" max="7660" width="20.140625" style="173" customWidth="1"/>
    <col min="7661" max="7661" width="18.42578125" style="173" customWidth="1"/>
    <col min="7662" max="7662" width="9.140625" style="173" customWidth="1"/>
    <col min="7663" max="7663" width="12" style="173" customWidth="1"/>
    <col min="7664" max="7664" width="14.85546875" style="173" customWidth="1"/>
    <col min="7665" max="7665" width="22.42578125" style="173" customWidth="1"/>
    <col min="7666" max="7666" width="14.85546875" style="173" customWidth="1"/>
    <col min="7667" max="7667" width="7.140625" style="173" customWidth="1"/>
    <col min="7668" max="7668" width="20.140625" style="173" customWidth="1"/>
    <col min="7669" max="7900" width="8.85546875" style="173" customWidth="1"/>
    <col min="7901" max="7901" width="8.140625" style="173" customWidth="1"/>
    <col min="7902" max="7902" width="14.42578125" style="173" customWidth="1"/>
    <col min="7903" max="7903" width="37.42578125" style="173" customWidth="1"/>
    <col min="7904" max="7904" width="63.140625" style="173" customWidth="1"/>
    <col min="7905" max="7905" width="20" style="173" customWidth="1"/>
    <col min="7906" max="7906" width="11.140625" style="173" customWidth="1"/>
    <col min="7907" max="7907" width="10.85546875" style="173" customWidth="1"/>
    <col min="7908" max="7908" width="21" style="173" customWidth="1"/>
    <col min="7909" max="7909" width="10.85546875" style="173" customWidth="1"/>
    <col min="7910" max="7910" width="17.42578125" style="173" customWidth="1"/>
    <col min="7911" max="7911" width="14.85546875" style="173" customWidth="1"/>
    <col min="7912" max="7912" width="15" style="173" customWidth="1"/>
    <col min="7913" max="7913" width="14.85546875" style="173" customWidth="1"/>
    <col min="7914" max="7914" width="7.140625" style="173" customWidth="1"/>
    <col min="7915" max="7916" width="20.140625" style="173" customWidth="1"/>
    <col min="7917" max="7917" width="18.42578125" style="173" customWidth="1"/>
    <col min="7918" max="7918" width="9.140625" style="173" customWidth="1"/>
    <col min="7919" max="7919" width="12" style="173" customWidth="1"/>
    <col min="7920" max="7920" width="14.85546875" style="173" customWidth="1"/>
    <col min="7921" max="7921" width="22.42578125" style="173" customWidth="1"/>
    <col min="7922" max="7922" width="14.85546875" style="173" customWidth="1"/>
    <col min="7923" max="7923" width="7.140625" style="173" customWidth="1"/>
    <col min="7924" max="7924" width="20.140625" style="173" customWidth="1"/>
    <col min="7925" max="8156" width="8.85546875" style="173" customWidth="1"/>
    <col min="8157" max="8157" width="8.140625" style="173" customWidth="1"/>
    <col min="8158" max="8158" width="14.42578125" style="173" customWidth="1"/>
    <col min="8159" max="8159" width="37.42578125" style="173" customWidth="1"/>
    <col min="8160" max="8160" width="63.140625" style="173" customWidth="1"/>
    <col min="8161" max="8161" width="20" style="173" customWidth="1"/>
    <col min="8162" max="8162" width="11.140625" style="173" customWidth="1"/>
    <col min="8163" max="8163" width="10.85546875" style="173" customWidth="1"/>
    <col min="8164" max="8164" width="21" style="173" customWidth="1"/>
    <col min="8165" max="8165" width="10.85546875" style="173" customWidth="1"/>
    <col min="8166" max="8166" width="17.42578125" style="173" customWidth="1"/>
    <col min="8167" max="8167" width="14.85546875" style="173" customWidth="1"/>
    <col min="8168" max="8168" width="15" style="173" customWidth="1"/>
    <col min="8169" max="8169" width="14.85546875" style="173" customWidth="1"/>
    <col min="8170" max="8170" width="7.140625" style="173" customWidth="1"/>
    <col min="8171" max="8172" width="20.140625" style="173" customWidth="1"/>
    <col min="8173" max="8173" width="18.42578125" style="173" customWidth="1"/>
    <col min="8174" max="8174" width="9.140625" style="173" customWidth="1"/>
    <col min="8175" max="8175" width="12" style="173" customWidth="1"/>
    <col min="8176" max="8176" width="14.85546875" style="173" customWidth="1"/>
    <col min="8177" max="8177" width="22.42578125" style="173" customWidth="1"/>
    <col min="8178" max="8178" width="14.85546875" style="173" customWidth="1"/>
    <col min="8179" max="8179" width="7.140625" style="173" customWidth="1"/>
    <col min="8180" max="8180" width="20.140625" style="173" customWidth="1"/>
    <col min="8181" max="8412" width="8.85546875" style="173" customWidth="1"/>
    <col min="8413" max="8413" width="8.140625" style="173" customWidth="1"/>
    <col min="8414" max="8414" width="14.42578125" style="173" customWidth="1"/>
    <col min="8415" max="8415" width="37.42578125" style="173" customWidth="1"/>
    <col min="8416" max="8416" width="63.140625" style="173" customWidth="1"/>
    <col min="8417" max="8417" width="20" style="173" customWidth="1"/>
    <col min="8418" max="8418" width="11.140625" style="173" customWidth="1"/>
    <col min="8419" max="8419" width="10.85546875" style="173" customWidth="1"/>
    <col min="8420" max="8420" width="21" style="173" customWidth="1"/>
    <col min="8421" max="8421" width="10.85546875" style="173" customWidth="1"/>
    <col min="8422" max="8422" width="17.42578125" style="173" customWidth="1"/>
    <col min="8423" max="8423" width="14.85546875" style="173" customWidth="1"/>
    <col min="8424" max="8424" width="15" style="173" customWidth="1"/>
    <col min="8425" max="8425" width="14.85546875" style="173" customWidth="1"/>
    <col min="8426" max="8426" width="7.140625" style="173" customWidth="1"/>
    <col min="8427" max="8428" width="20.140625" style="173" customWidth="1"/>
    <col min="8429" max="8429" width="18.42578125" style="173" customWidth="1"/>
    <col min="8430" max="8430" width="9.140625" style="173" customWidth="1"/>
    <col min="8431" max="8431" width="12" style="173" customWidth="1"/>
    <col min="8432" max="8432" width="14.85546875" style="173" customWidth="1"/>
    <col min="8433" max="8433" width="22.42578125" style="173" customWidth="1"/>
    <col min="8434" max="8434" width="14.85546875" style="173" customWidth="1"/>
    <col min="8435" max="8435" width="7.140625" style="173" customWidth="1"/>
    <col min="8436" max="8436" width="20.140625" style="173" customWidth="1"/>
    <col min="8437" max="8668" width="8.85546875" style="173" customWidth="1"/>
    <col min="8669" max="8669" width="8.140625" style="173" customWidth="1"/>
    <col min="8670" max="8670" width="14.42578125" style="173" customWidth="1"/>
    <col min="8671" max="8671" width="37.42578125" style="173" customWidth="1"/>
    <col min="8672" max="8672" width="63.140625" style="173" customWidth="1"/>
    <col min="8673" max="8673" width="20" style="173" customWidth="1"/>
    <col min="8674" max="8674" width="11.140625" style="173" customWidth="1"/>
    <col min="8675" max="8675" width="10.85546875" style="173" customWidth="1"/>
    <col min="8676" max="8676" width="21" style="173" customWidth="1"/>
    <col min="8677" max="8677" width="10.85546875" style="173" customWidth="1"/>
    <col min="8678" max="8678" width="17.42578125" style="173" customWidth="1"/>
    <col min="8679" max="8679" width="14.85546875" style="173" customWidth="1"/>
    <col min="8680" max="8680" width="15" style="173" customWidth="1"/>
    <col min="8681" max="8681" width="14.85546875" style="173" customWidth="1"/>
    <col min="8682" max="8682" width="7.140625" style="173" customWidth="1"/>
    <col min="8683" max="8684" width="20.140625" style="173" customWidth="1"/>
    <col min="8685" max="8685" width="18.42578125" style="173" customWidth="1"/>
    <col min="8686" max="8686" width="9.140625" style="173" customWidth="1"/>
    <col min="8687" max="8687" width="12" style="173" customWidth="1"/>
    <col min="8688" max="8688" width="14.85546875" style="173" customWidth="1"/>
    <col min="8689" max="8689" width="22.42578125" style="173" customWidth="1"/>
    <col min="8690" max="8690" width="14.85546875" style="173" customWidth="1"/>
    <col min="8691" max="8691" width="7.140625" style="173" customWidth="1"/>
    <col min="8692" max="8692" width="20.140625" style="173" customWidth="1"/>
    <col min="8693" max="8924" width="8.85546875" style="173" customWidth="1"/>
    <col min="8925" max="8925" width="8.140625" style="173" customWidth="1"/>
    <col min="8926" max="8926" width="14.42578125" style="173" customWidth="1"/>
    <col min="8927" max="8927" width="37.42578125" style="173" customWidth="1"/>
    <col min="8928" max="8928" width="63.140625" style="173" customWidth="1"/>
    <col min="8929" max="8929" width="20" style="173" customWidth="1"/>
    <col min="8930" max="8930" width="11.140625" style="173" customWidth="1"/>
    <col min="8931" max="8931" width="10.85546875" style="173" customWidth="1"/>
    <col min="8932" max="8932" width="21" style="173" customWidth="1"/>
    <col min="8933" max="8933" width="10.85546875" style="173" customWidth="1"/>
    <col min="8934" max="8934" width="17.42578125" style="173" customWidth="1"/>
    <col min="8935" max="8935" width="14.85546875" style="173" customWidth="1"/>
    <col min="8936" max="8936" width="15" style="173" customWidth="1"/>
    <col min="8937" max="8937" width="14.85546875" style="173" customWidth="1"/>
    <col min="8938" max="8938" width="7.140625" style="173" customWidth="1"/>
    <col min="8939" max="8940" width="20.140625" style="173" customWidth="1"/>
    <col min="8941" max="8941" width="18.42578125" style="173" customWidth="1"/>
    <col min="8942" max="8942" width="9.140625" style="173" customWidth="1"/>
    <col min="8943" max="8943" width="12" style="173" customWidth="1"/>
    <col min="8944" max="8944" width="14.85546875" style="173" customWidth="1"/>
    <col min="8945" max="8945" width="22.42578125" style="173" customWidth="1"/>
    <col min="8946" max="8946" width="14.85546875" style="173" customWidth="1"/>
    <col min="8947" max="8947" width="7.140625" style="173" customWidth="1"/>
    <col min="8948" max="8948" width="20.140625" style="173" customWidth="1"/>
    <col min="8949" max="9180" width="8.85546875" style="173" customWidth="1"/>
    <col min="9181" max="9181" width="8.140625" style="173" customWidth="1"/>
    <col min="9182" max="9182" width="14.42578125" style="173" customWidth="1"/>
    <col min="9183" max="9183" width="37.42578125" style="173" customWidth="1"/>
    <col min="9184" max="9184" width="63.140625" style="173" customWidth="1"/>
    <col min="9185" max="9185" width="20" style="173" customWidth="1"/>
    <col min="9186" max="9186" width="11.140625" style="173" customWidth="1"/>
    <col min="9187" max="9187" width="10.85546875" style="173" customWidth="1"/>
    <col min="9188" max="9188" width="21" style="173" customWidth="1"/>
    <col min="9189" max="9189" width="10.85546875" style="173" customWidth="1"/>
    <col min="9190" max="9190" width="17.42578125" style="173" customWidth="1"/>
    <col min="9191" max="9191" width="14.85546875" style="173" customWidth="1"/>
    <col min="9192" max="9192" width="15" style="173" customWidth="1"/>
    <col min="9193" max="9193" width="14.85546875" style="173" customWidth="1"/>
    <col min="9194" max="9194" width="7.140625" style="173" customWidth="1"/>
    <col min="9195" max="9196" width="20.140625" style="173" customWidth="1"/>
    <col min="9197" max="9197" width="18.42578125" style="173" customWidth="1"/>
    <col min="9198" max="9198" width="9.140625" style="173" customWidth="1"/>
    <col min="9199" max="9199" width="12" style="173" customWidth="1"/>
    <col min="9200" max="9200" width="14.85546875" style="173" customWidth="1"/>
    <col min="9201" max="9201" width="22.42578125" style="173" customWidth="1"/>
    <col min="9202" max="9202" width="14.85546875" style="173" customWidth="1"/>
    <col min="9203" max="9203" width="7.140625" style="173" customWidth="1"/>
    <col min="9204" max="9204" width="20.140625" style="173" customWidth="1"/>
    <col min="9205" max="9436" width="8.85546875" style="173" customWidth="1"/>
    <col min="9437" max="9437" width="8.140625" style="173" customWidth="1"/>
    <col min="9438" max="9438" width="14.42578125" style="173" customWidth="1"/>
    <col min="9439" max="9439" width="37.42578125" style="173" customWidth="1"/>
    <col min="9440" max="9440" width="63.140625" style="173" customWidth="1"/>
    <col min="9441" max="9441" width="20" style="173" customWidth="1"/>
    <col min="9442" max="9442" width="11.140625" style="173" customWidth="1"/>
    <col min="9443" max="9443" width="10.85546875" style="173" customWidth="1"/>
    <col min="9444" max="9444" width="21" style="173" customWidth="1"/>
    <col min="9445" max="9445" width="10.85546875" style="173" customWidth="1"/>
    <col min="9446" max="9446" width="17.42578125" style="173" customWidth="1"/>
    <col min="9447" max="9447" width="14.85546875" style="173" customWidth="1"/>
    <col min="9448" max="9448" width="15" style="173" customWidth="1"/>
    <col min="9449" max="9449" width="14.85546875" style="173" customWidth="1"/>
    <col min="9450" max="9450" width="7.140625" style="173" customWidth="1"/>
    <col min="9451" max="9452" width="20.140625" style="173" customWidth="1"/>
    <col min="9453" max="9453" width="18.42578125" style="173" customWidth="1"/>
    <col min="9454" max="9454" width="9.140625" style="173" customWidth="1"/>
    <col min="9455" max="9455" width="12" style="173" customWidth="1"/>
    <col min="9456" max="9456" width="14.85546875" style="173" customWidth="1"/>
    <col min="9457" max="9457" width="22.42578125" style="173" customWidth="1"/>
    <col min="9458" max="9458" width="14.85546875" style="173" customWidth="1"/>
    <col min="9459" max="9459" width="7.140625" style="173" customWidth="1"/>
    <col min="9460" max="9460" width="20.140625" style="173" customWidth="1"/>
    <col min="9461" max="9692" width="8.85546875" style="173" customWidth="1"/>
    <col min="9693" max="9693" width="8.140625" style="173" customWidth="1"/>
    <col min="9694" max="9694" width="14.42578125" style="173" customWidth="1"/>
    <col min="9695" max="9695" width="37.42578125" style="173" customWidth="1"/>
    <col min="9696" max="9696" width="63.140625" style="173" customWidth="1"/>
    <col min="9697" max="9697" width="20" style="173" customWidth="1"/>
    <col min="9698" max="9698" width="11.140625" style="173" customWidth="1"/>
    <col min="9699" max="9699" width="10.85546875" style="173" customWidth="1"/>
    <col min="9700" max="9700" width="21" style="173" customWidth="1"/>
    <col min="9701" max="9701" width="10.85546875" style="173" customWidth="1"/>
    <col min="9702" max="9702" width="17.42578125" style="173" customWidth="1"/>
    <col min="9703" max="9703" width="14.85546875" style="173" customWidth="1"/>
    <col min="9704" max="9704" width="15" style="173" customWidth="1"/>
    <col min="9705" max="9705" width="14.85546875" style="173" customWidth="1"/>
    <col min="9706" max="9706" width="7.140625" style="173" customWidth="1"/>
    <col min="9707" max="9708" width="20.140625" style="173" customWidth="1"/>
    <col min="9709" max="9709" width="18.42578125" style="173" customWidth="1"/>
    <col min="9710" max="9710" width="9.140625" style="173" customWidth="1"/>
    <col min="9711" max="9711" width="12" style="173" customWidth="1"/>
    <col min="9712" max="9712" width="14.85546875" style="173" customWidth="1"/>
    <col min="9713" max="9713" width="22.42578125" style="173" customWidth="1"/>
    <col min="9714" max="9714" width="14.85546875" style="173" customWidth="1"/>
    <col min="9715" max="9715" width="7.140625" style="173" customWidth="1"/>
    <col min="9716" max="9716" width="20.140625" style="173" customWidth="1"/>
    <col min="9717" max="9948" width="8.85546875" style="173" customWidth="1"/>
    <col min="9949" max="9949" width="8.140625" style="173" customWidth="1"/>
    <col min="9950" max="9950" width="14.42578125" style="173" customWidth="1"/>
    <col min="9951" max="9951" width="37.42578125" style="173" customWidth="1"/>
    <col min="9952" max="9952" width="63.140625" style="173" customWidth="1"/>
    <col min="9953" max="9953" width="20" style="173" customWidth="1"/>
    <col min="9954" max="9954" width="11.140625" style="173" customWidth="1"/>
    <col min="9955" max="9955" width="10.85546875" style="173" customWidth="1"/>
    <col min="9956" max="9956" width="21" style="173" customWidth="1"/>
    <col min="9957" max="9957" width="10.85546875" style="173" customWidth="1"/>
    <col min="9958" max="9958" width="17.42578125" style="173" customWidth="1"/>
    <col min="9959" max="9959" width="14.85546875" style="173" customWidth="1"/>
    <col min="9960" max="9960" width="15" style="173" customWidth="1"/>
    <col min="9961" max="9961" width="14.85546875" style="173" customWidth="1"/>
    <col min="9962" max="9962" width="7.140625" style="173" customWidth="1"/>
    <col min="9963" max="9964" width="20.140625" style="173" customWidth="1"/>
    <col min="9965" max="9965" width="18.42578125" style="173" customWidth="1"/>
    <col min="9966" max="9966" width="9.140625" style="173" customWidth="1"/>
    <col min="9967" max="9967" width="12" style="173" customWidth="1"/>
    <col min="9968" max="9968" width="14.85546875" style="173" customWidth="1"/>
    <col min="9969" max="9969" width="22.42578125" style="173" customWidth="1"/>
    <col min="9970" max="9970" width="14.85546875" style="173" customWidth="1"/>
    <col min="9971" max="9971" width="7.140625" style="173" customWidth="1"/>
    <col min="9972" max="9972" width="20.140625" style="173" customWidth="1"/>
    <col min="9973" max="10204" width="8.85546875" style="173" customWidth="1"/>
    <col min="10205" max="10205" width="8.140625" style="173" customWidth="1"/>
    <col min="10206" max="10206" width="14.42578125" style="173" customWidth="1"/>
    <col min="10207" max="10207" width="37.42578125" style="173" customWidth="1"/>
    <col min="10208" max="10208" width="63.140625" style="173" customWidth="1"/>
    <col min="10209" max="10209" width="20" style="173" customWidth="1"/>
    <col min="10210" max="10210" width="11.140625" style="173" customWidth="1"/>
    <col min="10211" max="10211" width="10.85546875" style="173" customWidth="1"/>
    <col min="10212" max="10212" width="21" style="173" customWidth="1"/>
    <col min="10213" max="10213" width="10.85546875" style="173" customWidth="1"/>
    <col min="10214" max="10214" width="17.42578125" style="173" customWidth="1"/>
    <col min="10215" max="10215" width="14.85546875" style="173" customWidth="1"/>
    <col min="10216" max="10216" width="15" style="173" customWidth="1"/>
    <col min="10217" max="10217" width="14.85546875" style="173" customWidth="1"/>
    <col min="10218" max="10218" width="7.140625" style="173" customWidth="1"/>
    <col min="10219" max="10220" width="20.140625" style="173" customWidth="1"/>
    <col min="10221" max="10221" width="18.42578125" style="173" customWidth="1"/>
    <col min="10222" max="10222" width="9.140625" style="173" customWidth="1"/>
    <col min="10223" max="10223" width="12" style="173" customWidth="1"/>
    <col min="10224" max="10224" width="14.85546875" style="173" customWidth="1"/>
    <col min="10225" max="10225" width="22.42578125" style="173" customWidth="1"/>
    <col min="10226" max="10226" width="14.85546875" style="173" customWidth="1"/>
    <col min="10227" max="10227" width="7.140625" style="173" customWidth="1"/>
    <col min="10228" max="10228" width="20.140625" style="173" customWidth="1"/>
    <col min="10229" max="10460" width="8.85546875" style="173" customWidth="1"/>
    <col min="10461" max="10461" width="8.140625" style="173" customWidth="1"/>
    <col min="10462" max="10462" width="14.42578125" style="173" customWidth="1"/>
    <col min="10463" max="10463" width="37.42578125" style="173" customWidth="1"/>
    <col min="10464" max="10464" width="63.140625" style="173" customWidth="1"/>
    <col min="10465" max="10465" width="20" style="173" customWidth="1"/>
    <col min="10466" max="10466" width="11.140625" style="173" customWidth="1"/>
    <col min="10467" max="10467" width="10.85546875" style="173" customWidth="1"/>
    <col min="10468" max="10468" width="21" style="173" customWidth="1"/>
    <col min="10469" max="10469" width="10.85546875" style="173" customWidth="1"/>
    <col min="10470" max="10470" width="17.42578125" style="173" customWidth="1"/>
    <col min="10471" max="10471" width="14.85546875" style="173" customWidth="1"/>
    <col min="10472" max="10472" width="15" style="173" customWidth="1"/>
    <col min="10473" max="10473" width="14.85546875" style="173" customWidth="1"/>
    <col min="10474" max="10474" width="7.140625" style="173" customWidth="1"/>
    <col min="10475" max="10476" width="20.140625" style="173" customWidth="1"/>
    <col min="10477" max="10477" width="18.42578125" style="173" customWidth="1"/>
    <col min="10478" max="10478" width="9.140625" style="173" customWidth="1"/>
    <col min="10479" max="10479" width="12" style="173" customWidth="1"/>
    <col min="10480" max="10480" width="14.85546875" style="173" customWidth="1"/>
    <col min="10481" max="10481" width="22.42578125" style="173" customWidth="1"/>
    <col min="10482" max="10482" width="14.85546875" style="173" customWidth="1"/>
    <col min="10483" max="10483" width="7.140625" style="173" customWidth="1"/>
    <col min="10484" max="10484" width="20.140625" style="173" customWidth="1"/>
    <col min="10485" max="10716" width="8.85546875" style="173" customWidth="1"/>
    <col min="10717" max="10717" width="8.140625" style="173" customWidth="1"/>
    <col min="10718" max="10718" width="14.42578125" style="173" customWidth="1"/>
    <col min="10719" max="10719" width="37.42578125" style="173" customWidth="1"/>
    <col min="10720" max="10720" width="63.140625" style="173" customWidth="1"/>
    <col min="10721" max="10721" width="20" style="173" customWidth="1"/>
    <col min="10722" max="10722" width="11.140625" style="173" customWidth="1"/>
    <col min="10723" max="10723" width="10.85546875" style="173" customWidth="1"/>
    <col min="10724" max="10724" width="21" style="173" customWidth="1"/>
    <col min="10725" max="10725" width="10.85546875" style="173" customWidth="1"/>
    <col min="10726" max="10726" width="17.42578125" style="173" customWidth="1"/>
    <col min="10727" max="10727" width="14.85546875" style="173" customWidth="1"/>
    <col min="10728" max="10728" width="15" style="173" customWidth="1"/>
    <col min="10729" max="10729" width="14.85546875" style="173" customWidth="1"/>
    <col min="10730" max="10730" width="7.140625" style="173" customWidth="1"/>
    <col min="10731" max="10732" width="20.140625" style="173" customWidth="1"/>
    <col min="10733" max="10733" width="18.42578125" style="173" customWidth="1"/>
    <col min="10734" max="10734" width="9.140625" style="173" customWidth="1"/>
    <col min="10735" max="10735" width="12" style="173" customWidth="1"/>
    <col min="10736" max="10736" width="14.85546875" style="173" customWidth="1"/>
    <col min="10737" max="10737" width="22.42578125" style="173" customWidth="1"/>
    <col min="10738" max="10738" width="14.85546875" style="173" customWidth="1"/>
    <col min="10739" max="10739" width="7.140625" style="173" customWidth="1"/>
    <col min="10740" max="10740" width="20.140625" style="173" customWidth="1"/>
    <col min="10741" max="10972" width="8.85546875" style="173" customWidth="1"/>
    <col min="10973" max="10973" width="8.140625" style="173" customWidth="1"/>
    <col min="10974" max="10974" width="14.42578125" style="173" customWidth="1"/>
    <col min="10975" max="10975" width="37.42578125" style="173" customWidth="1"/>
    <col min="10976" max="10976" width="63.140625" style="173" customWidth="1"/>
    <col min="10977" max="10977" width="20" style="173" customWidth="1"/>
    <col min="10978" max="10978" width="11.140625" style="173" customWidth="1"/>
    <col min="10979" max="10979" width="10.85546875" style="173" customWidth="1"/>
    <col min="10980" max="10980" width="21" style="173" customWidth="1"/>
    <col min="10981" max="10981" width="10.85546875" style="173" customWidth="1"/>
    <col min="10982" max="10982" width="17.42578125" style="173" customWidth="1"/>
    <col min="10983" max="10983" width="14.85546875" style="173" customWidth="1"/>
    <col min="10984" max="10984" width="15" style="173" customWidth="1"/>
    <col min="10985" max="10985" width="14.85546875" style="173" customWidth="1"/>
    <col min="10986" max="10986" width="7.140625" style="173" customWidth="1"/>
    <col min="10987" max="10988" width="20.140625" style="173" customWidth="1"/>
    <col min="10989" max="10989" width="18.42578125" style="173" customWidth="1"/>
    <col min="10990" max="10990" width="9.140625" style="173" customWidth="1"/>
    <col min="10991" max="10991" width="12" style="173" customWidth="1"/>
    <col min="10992" max="10992" width="14.85546875" style="173" customWidth="1"/>
    <col min="10993" max="10993" width="22.42578125" style="173" customWidth="1"/>
    <col min="10994" max="10994" width="14.85546875" style="173" customWidth="1"/>
    <col min="10995" max="10995" width="7.140625" style="173" customWidth="1"/>
    <col min="10996" max="10996" width="20.140625" style="173" customWidth="1"/>
    <col min="10997" max="11228" width="8.85546875" style="173" customWidth="1"/>
    <col min="11229" max="11229" width="8.140625" style="173" customWidth="1"/>
    <col min="11230" max="11230" width="14.42578125" style="173" customWidth="1"/>
    <col min="11231" max="11231" width="37.42578125" style="173" customWidth="1"/>
    <col min="11232" max="11232" width="63.140625" style="173" customWidth="1"/>
    <col min="11233" max="11233" width="20" style="173" customWidth="1"/>
    <col min="11234" max="11234" width="11.140625" style="173" customWidth="1"/>
    <col min="11235" max="11235" width="10.85546875" style="173" customWidth="1"/>
    <col min="11236" max="11236" width="21" style="173" customWidth="1"/>
    <col min="11237" max="11237" width="10.85546875" style="173" customWidth="1"/>
    <col min="11238" max="11238" width="17.42578125" style="173" customWidth="1"/>
    <col min="11239" max="11239" width="14.85546875" style="173" customWidth="1"/>
    <col min="11240" max="11240" width="15" style="173" customWidth="1"/>
    <col min="11241" max="11241" width="14.85546875" style="173" customWidth="1"/>
    <col min="11242" max="11242" width="7.140625" style="173" customWidth="1"/>
    <col min="11243" max="11244" width="20.140625" style="173" customWidth="1"/>
    <col min="11245" max="11245" width="18.42578125" style="173" customWidth="1"/>
    <col min="11246" max="11246" width="9.140625" style="173" customWidth="1"/>
    <col min="11247" max="11247" width="12" style="173" customWidth="1"/>
    <col min="11248" max="11248" width="14.85546875" style="173" customWidth="1"/>
    <col min="11249" max="11249" width="22.42578125" style="173" customWidth="1"/>
    <col min="11250" max="11250" width="14.85546875" style="173" customWidth="1"/>
    <col min="11251" max="11251" width="7.140625" style="173" customWidth="1"/>
    <col min="11252" max="11252" width="20.140625" style="173" customWidth="1"/>
    <col min="11253" max="11484" width="8.85546875" style="173" customWidth="1"/>
    <col min="11485" max="11485" width="8.140625" style="173" customWidth="1"/>
    <col min="11486" max="11486" width="14.42578125" style="173" customWidth="1"/>
    <col min="11487" max="11487" width="37.42578125" style="173" customWidth="1"/>
    <col min="11488" max="11488" width="63.140625" style="173" customWidth="1"/>
    <col min="11489" max="11489" width="20" style="173" customWidth="1"/>
    <col min="11490" max="11490" width="11.140625" style="173" customWidth="1"/>
    <col min="11491" max="11491" width="10.85546875" style="173" customWidth="1"/>
    <col min="11492" max="11492" width="21" style="173" customWidth="1"/>
    <col min="11493" max="11493" width="10.85546875" style="173" customWidth="1"/>
    <col min="11494" max="11494" width="17.42578125" style="173" customWidth="1"/>
    <col min="11495" max="11495" width="14.85546875" style="173" customWidth="1"/>
    <col min="11496" max="11496" width="15" style="173" customWidth="1"/>
    <col min="11497" max="11497" width="14.85546875" style="173" customWidth="1"/>
    <col min="11498" max="11498" width="7.140625" style="173" customWidth="1"/>
    <col min="11499" max="11500" width="20.140625" style="173" customWidth="1"/>
    <col min="11501" max="11501" width="18.42578125" style="173" customWidth="1"/>
    <col min="11502" max="11502" width="9.140625" style="173" customWidth="1"/>
    <col min="11503" max="11503" width="12" style="173" customWidth="1"/>
    <col min="11504" max="11504" width="14.85546875" style="173" customWidth="1"/>
    <col min="11505" max="11505" width="22.42578125" style="173" customWidth="1"/>
    <col min="11506" max="11506" width="14.85546875" style="173" customWidth="1"/>
    <col min="11507" max="11507" width="7.140625" style="173" customWidth="1"/>
    <col min="11508" max="11508" width="20.140625" style="173" customWidth="1"/>
    <col min="11509" max="11740" width="8.85546875" style="173" customWidth="1"/>
    <col min="11741" max="11741" width="8.140625" style="173" customWidth="1"/>
    <col min="11742" max="11742" width="14.42578125" style="173" customWidth="1"/>
    <col min="11743" max="11743" width="37.42578125" style="173" customWidth="1"/>
    <col min="11744" max="11744" width="63.140625" style="173" customWidth="1"/>
    <col min="11745" max="11745" width="20" style="173" customWidth="1"/>
    <col min="11746" max="11746" width="11.140625" style="173" customWidth="1"/>
    <col min="11747" max="11747" width="10.85546875" style="173" customWidth="1"/>
    <col min="11748" max="11748" width="21" style="173" customWidth="1"/>
    <col min="11749" max="11749" width="10.85546875" style="173" customWidth="1"/>
    <col min="11750" max="11750" width="17.42578125" style="173" customWidth="1"/>
    <col min="11751" max="11751" width="14.85546875" style="173" customWidth="1"/>
    <col min="11752" max="11752" width="15" style="173" customWidth="1"/>
    <col min="11753" max="11753" width="14.85546875" style="173" customWidth="1"/>
    <col min="11754" max="11754" width="7.140625" style="173" customWidth="1"/>
    <col min="11755" max="11756" width="20.140625" style="173" customWidth="1"/>
    <col min="11757" max="11757" width="18.42578125" style="173" customWidth="1"/>
    <col min="11758" max="11758" width="9.140625" style="173" customWidth="1"/>
    <col min="11759" max="11759" width="12" style="173" customWidth="1"/>
    <col min="11760" max="11760" width="14.85546875" style="173" customWidth="1"/>
    <col min="11761" max="11761" width="22.42578125" style="173" customWidth="1"/>
    <col min="11762" max="11762" width="14.85546875" style="173" customWidth="1"/>
    <col min="11763" max="11763" width="7.140625" style="173" customWidth="1"/>
    <col min="11764" max="11764" width="20.140625" style="173" customWidth="1"/>
    <col min="11765" max="11996" width="8.85546875" style="173" customWidth="1"/>
    <col min="11997" max="11997" width="8.140625" style="173" customWidth="1"/>
    <col min="11998" max="11998" width="14.42578125" style="173" customWidth="1"/>
    <col min="11999" max="11999" width="37.42578125" style="173" customWidth="1"/>
    <col min="12000" max="12000" width="63.140625" style="173" customWidth="1"/>
    <col min="12001" max="12001" width="20" style="173" customWidth="1"/>
    <col min="12002" max="12002" width="11.140625" style="173" customWidth="1"/>
    <col min="12003" max="12003" width="10.85546875" style="173" customWidth="1"/>
    <col min="12004" max="12004" width="21" style="173" customWidth="1"/>
    <col min="12005" max="12005" width="10.85546875" style="173" customWidth="1"/>
    <col min="12006" max="12006" width="17.42578125" style="173" customWidth="1"/>
    <col min="12007" max="12007" width="14.85546875" style="173" customWidth="1"/>
    <col min="12008" max="12008" width="15" style="173" customWidth="1"/>
    <col min="12009" max="12009" width="14.85546875" style="173" customWidth="1"/>
    <col min="12010" max="12010" width="7.140625" style="173" customWidth="1"/>
    <col min="12011" max="12012" width="20.140625" style="173" customWidth="1"/>
    <col min="12013" max="12013" width="18.42578125" style="173" customWidth="1"/>
    <col min="12014" max="12014" width="9.140625" style="173" customWidth="1"/>
    <col min="12015" max="12015" width="12" style="173" customWidth="1"/>
    <col min="12016" max="12016" width="14.85546875" style="173" customWidth="1"/>
    <col min="12017" max="12017" width="22.42578125" style="173" customWidth="1"/>
    <col min="12018" max="12018" width="14.85546875" style="173" customWidth="1"/>
    <col min="12019" max="12019" width="7.140625" style="173" customWidth="1"/>
    <col min="12020" max="12020" width="20.140625" style="173" customWidth="1"/>
    <col min="12021" max="12252" width="8.85546875" style="173" customWidth="1"/>
    <col min="12253" max="12253" width="8.140625" style="173" customWidth="1"/>
    <col min="12254" max="12254" width="14.42578125" style="173" customWidth="1"/>
    <col min="12255" max="12255" width="37.42578125" style="173" customWidth="1"/>
    <col min="12256" max="12256" width="63.140625" style="173" customWidth="1"/>
    <col min="12257" max="12257" width="20" style="173" customWidth="1"/>
    <col min="12258" max="12258" width="11.140625" style="173" customWidth="1"/>
    <col min="12259" max="12259" width="10.85546875" style="173" customWidth="1"/>
    <col min="12260" max="12260" width="21" style="173" customWidth="1"/>
    <col min="12261" max="12261" width="10.85546875" style="173" customWidth="1"/>
    <col min="12262" max="12262" width="17.42578125" style="173" customWidth="1"/>
    <col min="12263" max="12263" width="14.85546875" style="173" customWidth="1"/>
    <col min="12264" max="12264" width="15" style="173" customWidth="1"/>
    <col min="12265" max="12265" width="14.85546875" style="173" customWidth="1"/>
    <col min="12266" max="12266" width="7.140625" style="173" customWidth="1"/>
    <col min="12267" max="12268" width="20.140625" style="173" customWidth="1"/>
    <col min="12269" max="12269" width="18.42578125" style="173" customWidth="1"/>
    <col min="12270" max="12270" width="9.140625" style="173" customWidth="1"/>
    <col min="12271" max="12271" width="12" style="173" customWidth="1"/>
    <col min="12272" max="12272" width="14.85546875" style="173" customWidth="1"/>
    <col min="12273" max="12273" width="22.42578125" style="173" customWidth="1"/>
    <col min="12274" max="12274" width="14.85546875" style="173" customWidth="1"/>
    <col min="12275" max="12275" width="7.140625" style="173" customWidth="1"/>
    <col min="12276" max="12276" width="20.140625" style="173" customWidth="1"/>
    <col min="12277" max="12508" width="8.85546875" style="173" customWidth="1"/>
    <col min="12509" max="12509" width="8.140625" style="173" customWidth="1"/>
    <col min="12510" max="12510" width="14.42578125" style="173" customWidth="1"/>
    <col min="12511" max="12511" width="37.42578125" style="173" customWidth="1"/>
    <col min="12512" max="12512" width="63.140625" style="173" customWidth="1"/>
    <col min="12513" max="12513" width="20" style="173" customWidth="1"/>
    <col min="12514" max="12514" width="11.140625" style="173" customWidth="1"/>
    <col min="12515" max="12515" width="10.85546875" style="173" customWidth="1"/>
    <col min="12516" max="12516" width="21" style="173" customWidth="1"/>
    <col min="12517" max="12517" width="10.85546875" style="173" customWidth="1"/>
    <col min="12518" max="12518" width="17.42578125" style="173" customWidth="1"/>
    <col min="12519" max="12519" width="14.85546875" style="173" customWidth="1"/>
    <col min="12520" max="12520" width="15" style="173" customWidth="1"/>
    <col min="12521" max="12521" width="14.85546875" style="173" customWidth="1"/>
    <col min="12522" max="12522" width="7.140625" style="173" customWidth="1"/>
    <col min="12523" max="12524" width="20.140625" style="173" customWidth="1"/>
    <col min="12525" max="12525" width="18.42578125" style="173" customWidth="1"/>
    <col min="12526" max="12526" width="9.140625" style="173" customWidth="1"/>
    <col min="12527" max="12527" width="12" style="173" customWidth="1"/>
    <col min="12528" max="12528" width="14.85546875" style="173" customWidth="1"/>
    <col min="12529" max="12529" width="22.42578125" style="173" customWidth="1"/>
    <col min="12530" max="12530" width="14.85546875" style="173" customWidth="1"/>
    <col min="12531" max="12531" width="7.140625" style="173" customWidth="1"/>
    <col min="12532" max="12532" width="20.140625" style="173" customWidth="1"/>
    <col min="12533" max="12764" width="8.85546875" style="173" customWidth="1"/>
    <col min="12765" max="12765" width="8.140625" style="173" customWidth="1"/>
    <col min="12766" max="12766" width="14.42578125" style="173" customWidth="1"/>
    <col min="12767" max="12767" width="37.42578125" style="173" customWidth="1"/>
    <col min="12768" max="12768" width="63.140625" style="173" customWidth="1"/>
    <col min="12769" max="12769" width="20" style="173" customWidth="1"/>
    <col min="12770" max="12770" width="11.140625" style="173" customWidth="1"/>
    <col min="12771" max="12771" width="10.85546875" style="173" customWidth="1"/>
    <col min="12772" max="12772" width="21" style="173" customWidth="1"/>
    <col min="12773" max="12773" width="10.85546875" style="173" customWidth="1"/>
    <col min="12774" max="12774" width="17.42578125" style="173" customWidth="1"/>
    <col min="12775" max="12775" width="14.85546875" style="173" customWidth="1"/>
    <col min="12776" max="12776" width="15" style="173" customWidth="1"/>
    <col min="12777" max="12777" width="14.85546875" style="173" customWidth="1"/>
    <col min="12778" max="12778" width="7.140625" style="173" customWidth="1"/>
    <col min="12779" max="12780" width="20.140625" style="173" customWidth="1"/>
    <col min="12781" max="12781" width="18.42578125" style="173" customWidth="1"/>
    <col min="12782" max="12782" width="9.140625" style="173" customWidth="1"/>
    <col min="12783" max="12783" width="12" style="173" customWidth="1"/>
    <col min="12784" max="12784" width="14.85546875" style="173" customWidth="1"/>
    <col min="12785" max="12785" width="22.42578125" style="173" customWidth="1"/>
    <col min="12786" max="12786" width="14.85546875" style="173" customWidth="1"/>
    <col min="12787" max="12787" width="7.140625" style="173" customWidth="1"/>
    <col min="12788" max="12788" width="20.140625" style="173" customWidth="1"/>
    <col min="12789" max="13020" width="8.85546875" style="173" customWidth="1"/>
    <col min="13021" max="13021" width="8.140625" style="173" customWidth="1"/>
    <col min="13022" max="13022" width="14.42578125" style="173" customWidth="1"/>
    <col min="13023" max="13023" width="37.42578125" style="173" customWidth="1"/>
    <col min="13024" max="13024" width="63.140625" style="173" customWidth="1"/>
    <col min="13025" max="13025" width="20" style="173" customWidth="1"/>
    <col min="13026" max="13026" width="11.140625" style="173" customWidth="1"/>
    <col min="13027" max="13027" width="10.85546875" style="173" customWidth="1"/>
    <col min="13028" max="13028" width="21" style="173" customWidth="1"/>
    <col min="13029" max="13029" width="10.85546875" style="173" customWidth="1"/>
    <col min="13030" max="13030" width="17.42578125" style="173" customWidth="1"/>
    <col min="13031" max="13031" width="14.85546875" style="173" customWidth="1"/>
    <col min="13032" max="13032" width="15" style="173" customWidth="1"/>
    <col min="13033" max="13033" width="14.85546875" style="173" customWidth="1"/>
    <col min="13034" max="13034" width="7.140625" style="173" customWidth="1"/>
    <col min="13035" max="13036" width="20.140625" style="173" customWidth="1"/>
    <col min="13037" max="13037" width="18.42578125" style="173" customWidth="1"/>
    <col min="13038" max="13038" width="9.140625" style="173" customWidth="1"/>
    <col min="13039" max="13039" width="12" style="173" customWidth="1"/>
    <col min="13040" max="13040" width="14.85546875" style="173" customWidth="1"/>
    <col min="13041" max="13041" width="22.42578125" style="173" customWidth="1"/>
    <col min="13042" max="13042" width="14.85546875" style="173" customWidth="1"/>
    <col min="13043" max="13043" width="7.140625" style="173" customWidth="1"/>
    <col min="13044" max="13044" width="20.140625" style="173" customWidth="1"/>
    <col min="13045" max="13276" width="8.85546875" style="173" customWidth="1"/>
    <col min="13277" max="13277" width="8.140625" style="173" customWidth="1"/>
    <col min="13278" max="13278" width="14.42578125" style="173" customWidth="1"/>
    <col min="13279" max="13279" width="37.42578125" style="173" customWidth="1"/>
    <col min="13280" max="13280" width="63.140625" style="173" customWidth="1"/>
    <col min="13281" max="13281" width="20" style="173" customWidth="1"/>
    <col min="13282" max="13282" width="11.140625" style="173" customWidth="1"/>
    <col min="13283" max="13283" width="10.85546875" style="173" customWidth="1"/>
    <col min="13284" max="13284" width="21" style="173" customWidth="1"/>
    <col min="13285" max="13285" width="10.85546875" style="173" customWidth="1"/>
    <col min="13286" max="13286" width="17.42578125" style="173" customWidth="1"/>
    <col min="13287" max="13287" width="14.85546875" style="173" customWidth="1"/>
    <col min="13288" max="13288" width="15" style="173" customWidth="1"/>
    <col min="13289" max="13289" width="14.85546875" style="173" customWidth="1"/>
    <col min="13290" max="13290" width="7.140625" style="173" customWidth="1"/>
    <col min="13291" max="13292" width="20.140625" style="173" customWidth="1"/>
    <col min="13293" max="13293" width="18.42578125" style="173" customWidth="1"/>
    <col min="13294" max="13294" width="9.140625" style="173" customWidth="1"/>
    <col min="13295" max="13295" width="12" style="173" customWidth="1"/>
    <col min="13296" max="13296" width="14.85546875" style="173" customWidth="1"/>
    <col min="13297" max="13297" width="22.42578125" style="173" customWidth="1"/>
    <col min="13298" max="13298" width="14.85546875" style="173" customWidth="1"/>
    <col min="13299" max="13299" width="7.140625" style="173" customWidth="1"/>
    <col min="13300" max="13300" width="20.140625" style="173" customWidth="1"/>
    <col min="13301" max="13532" width="8.85546875" style="173" customWidth="1"/>
    <col min="13533" max="13533" width="8.140625" style="173" customWidth="1"/>
    <col min="13534" max="13534" width="14.42578125" style="173" customWidth="1"/>
    <col min="13535" max="13535" width="37.42578125" style="173" customWidth="1"/>
    <col min="13536" max="13536" width="63.140625" style="173" customWidth="1"/>
    <col min="13537" max="13537" width="20" style="173" customWidth="1"/>
    <col min="13538" max="13538" width="11.140625" style="173" customWidth="1"/>
    <col min="13539" max="13539" width="10.85546875" style="173" customWidth="1"/>
    <col min="13540" max="13540" width="21" style="173" customWidth="1"/>
    <col min="13541" max="13541" width="10.85546875" style="173" customWidth="1"/>
    <col min="13542" max="13542" width="17.42578125" style="173" customWidth="1"/>
    <col min="13543" max="13543" width="14.85546875" style="173" customWidth="1"/>
    <col min="13544" max="13544" width="15" style="173" customWidth="1"/>
    <col min="13545" max="13545" width="14.85546875" style="173" customWidth="1"/>
    <col min="13546" max="13546" width="7.140625" style="173" customWidth="1"/>
    <col min="13547" max="13548" width="20.140625" style="173" customWidth="1"/>
    <col min="13549" max="13549" width="18.42578125" style="173" customWidth="1"/>
    <col min="13550" max="13550" width="9.140625" style="173" customWidth="1"/>
    <col min="13551" max="13551" width="12" style="173" customWidth="1"/>
    <col min="13552" max="13552" width="14.85546875" style="173" customWidth="1"/>
    <col min="13553" max="13553" width="22.42578125" style="173" customWidth="1"/>
    <col min="13554" max="13554" width="14.85546875" style="173" customWidth="1"/>
    <col min="13555" max="13555" width="7.140625" style="173" customWidth="1"/>
    <col min="13556" max="13556" width="20.140625" style="173" customWidth="1"/>
    <col min="13557" max="13788" width="8.85546875" style="173" customWidth="1"/>
    <col min="13789" max="13789" width="8.140625" style="173" customWidth="1"/>
    <col min="13790" max="13790" width="14.42578125" style="173" customWidth="1"/>
    <col min="13791" max="13791" width="37.42578125" style="173" customWidth="1"/>
    <col min="13792" max="13792" width="63.140625" style="173" customWidth="1"/>
    <col min="13793" max="13793" width="20" style="173" customWidth="1"/>
    <col min="13794" max="13794" width="11.140625" style="173" customWidth="1"/>
    <col min="13795" max="13795" width="10.85546875" style="173" customWidth="1"/>
    <col min="13796" max="13796" width="21" style="173" customWidth="1"/>
    <col min="13797" max="13797" width="10.85546875" style="173" customWidth="1"/>
    <col min="13798" max="13798" width="17.42578125" style="173" customWidth="1"/>
    <col min="13799" max="13799" width="14.85546875" style="173" customWidth="1"/>
    <col min="13800" max="13800" width="15" style="173" customWidth="1"/>
    <col min="13801" max="13801" width="14.85546875" style="173" customWidth="1"/>
    <col min="13802" max="13802" width="7.140625" style="173" customWidth="1"/>
    <col min="13803" max="13804" width="20.140625" style="173" customWidth="1"/>
    <col min="13805" max="13805" width="18.42578125" style="173" customWidth="1"/>
    <col min="13806" max="13806" width="9.140625" style="173" customWidth="1"/>
    <col min="13807" max="13807" width="12" style="173" customWidth="1"/>
    <col min="13808" max="13808" width="14.85546875" style="173" customWidth="1"/>
    <col min="13809" max="13809" width="22.42578125" style="173" customWidth="1"/>
    <col min="13810" max="13810" width="14.85546875" style="173" customWidth="1"/>
    <col min="13811" max="13811" width="7.140625" style="173" customWidth="1"/>
    <col min="13812" max="13812" width="20.140625" style="173" customWidth="1"/>
    <col min="13813" max="14044" width="8.85546875" style="173" customWidth="1"/>
    <col min="14045" max="14045" width="8.140625" style="173" customWidth="1"/>
    <col min="14046" max="14046" width="14.42578125" style="173" customWidth="1"/>
    <col min="14047" max="14047" width="37.42578125" style="173" customWidth="1"/>
    <col min="14048" max="14048" width="63.140625" style="173" customWidth="1"/>
    <col min="14049" max="14049" width="20" style="173" customWidth="1"/>
    <col min="14050" max="14050" width="11.140625" style="173" customWidth="1"/>
    <col min="14051" max="14051" width="10.85546875" style="173" customWidth="1"/>
    <col min="14052" max="14052" width="21" style="173" customWidth="1"/>
    <col min="14053" max="14053" width="10.85546875" style="173" customWidth="1"/>
    <col min="14054" max="14054" width="17.42578125" style="173" customWidth="1"/>
    <col min="14055" max="14055" width="14.85546875" style="173" customWidth="1"/>
    <col min="14056" max="14056" width="15" style="173" customWidth="1"/>
    <col min="14057" max="14057" width="14.85546875" style="173" customWidth="1"/>
    <col min="14058" max="14058" width="7.140625" style="173" customWidth="1"/>
    <col min="14059" max="14060" width="20.140625" style="173" customWidth="1"/>
    <col min="14061" max="14061" width="18.42578125" style="173" customWidth="1"/>
    <col min="14062" max="14062" width="9.140625" style="173" customWidth="1"/>
    <col min="14063" max="14063" width="12" style="173" customWidth="1"/>
    <col min="14064" max="14064" width="14.85546875" style="173" customWidth="1"/>
    <col min="14065" max="14065" width="22.42578125" style="173" customWidth="1"/>
    <col min="14066" max="14066" width="14.85546875" style="173" customWidth="1"/>
    <col min="14067" max="14067" width="7.140625" style="173" customWidth="1"/>
    <col min="14068" max="14068" width="20.140625" style="173" customWidth="1"/>
    <col min="14069" max="14300" width="8.85546875" style="173" customWidth="1"/>
    <col min="14301" max="14301" width="8.140625" style="173" customWidth="1"/>
    <col min="14302" max="14302" width="14.42578125" style="173" customWidth="1"/>
    <col min="14303" max="14303" width="37.42578125" style="173" customWidth="1"/>
    <col min="14304" max="14304" width="63.140625" style="173" customWidth="1"/>
    <col min="14305" max="14305" width="20" style="173" customWidth="1"/>
    <col min="14306" max="14306" width="11.140625" style="173" customWidth="1"/>
    <col min="14307" max="14307" width="10.85546875" style="173" customWidth="1"/>
    <col min="14308" max="14308" width="21" style="173" customWidth="1"/>
    <col min="14309" max="14309" width="10.85546875" style="173" customWidth="1"/>
    <col min="14310" max="14310" width="17.42578125" style="173" customWidth="1"/>
    <col min="14311" max="14311" width="14.85546875" style="173" customWidth="1"/>
    <col min="14312" max="14312" width="15" style="173" customWidth="1"/>
    <col min="14313" max="14313" width="14.85546875" style="173" customWidth="1"/>
    <col min="14314" max="14314" width="7.140625" style="173" customWidth="1"/>
    <col min="14315" max="14316" width="20.140625" style="173" customWidth="1"/>
    <col min="14317" max="14317" width="18.42578125" style="173" customWidth="1"/>
    <col min="14318" max="14318" width="9.140625" style="173" customWidth="1"/>
    <col min="14319" max="14319" width="12" style="173" customWidth="1"/>
    <col min="14320" max="14320" width="14.85546875" style="173" customWidth="1"/>
    <col min="14321" max="14321" width="22.42578125" style="173" customWidth="1"/>
    <col min="14322" max="14322" width="14.85546875" style="173" customWidth="1"/>
    <col min="14323" max="14323" width="7.140625" style="173" customWidth="1"/>
    <col min="14324" max="14324" width="20.140625" style="173" customWidth="1"/>
    <col min="14325" max="14556" width="8.85546875" style="173" customWidth="1"/>
    <col min="14557" max="14557" width="8.140625" style="173" customWidth="1"/>
    <col min="14558" max="14558" width="14.42578125" style="173" customWidth="1"/>
    <col min="14559" max="14559" width="37.42578125" style="173" customWidth="1"/>
    <col min="14560" max="14560" width="63.140625" style="173" customWidth="1"/>
    <col min="14561" max="14561" width="20" style="173" customWidth="1"/>
    <col min="14562" max="14562" width="11.140625" style="173" customWidth="1"/>
    <col min="14563" max="14563" width="10.85546875" style="173" customWidth="1"/>
    <col min="14564" max="14564" width="21" style="173" customWidth="1"/>
    <col min="14565" max="14565" width="10.85546875" style="173" customWidth="1"/>
    <col min="14566" max="14566" width="17.42578125" style="173" customWidth="1"/>
    <col min="14567" max="14567" width="14.85546875" style="173" customWidth="1"/>
    <col min="14568" max="14568" width="15" style="173" customWidth="1"/>
    <col min="14569" max="14569" width="14.85546875" style="173" customWidth="1"/>
    <col min="14570" max="14570" width="7.140625" style="173" customWidth="1"/>
    <col min="14571" max="14572" width="20.140625" style="173" customWidth="1"/>
    <col min="14573" max="14573" width="18.42578125" style="173" customWidth="1"/>
    <col min="14574" max="14574" width="9.140625" style="173" customWidth="1"/>
    <col min="14575" max="14575" width="12" style="173" customWidth="1"/>
    <col min="14576" max="14576" width="14.85546875" style="173" customWidth="1"/>
    <col min="14577" max="14577" width="22.42578125" style="173" customWidth="1"/>
    <col min="14578" max="14578" width="14.85546875" style="173" customWidth="1"/>
    <col min="14579" max="14579" width="7.140625" style="173" customWidth="1"/>
    <col min="14580" max="14580" width="20.140625" style="173" customWidth="1"/>
    <col min="14581" max="14812" width="8.85546875" style="173" customWidth="1"/>
    <col min="14813" max="14813" width="8.140625" style="173" customWidth="1"/>
    <col min="14814" max="14814" width="14.42578125" style="173" customWidth="1"/>
    <col min="14815" max="14815" width="37.42578125" style="173" customWidth="1"/>
    <col min="14816" max="14816" width="63.140625" style="173" customWidth="1"/>
    <col min="14817" max="14817" width="20" style="173" customWidth="1"/>
    <col min="14818" max="14818" width="11.140625" style="173" customWidth="1"/>
    <col min="14819" max="14819" width="10.85546875" style="173" customWidth="1"/>
    <col min="14820" max="14820" width="21" style="173" customWidth="1"/>
    <col min="14821" max="14821" width="10.85546875" style="173" customWidth="1"/>
    <col min="14822" max="14822" width="17.42578125" style="173" customWidth="1"/>
    <col min="14823" max="14823" width="14.85546875" style="173" customWidth="1"/>
    <col min="14824" max="14824" width="15" style="173" customWidth="1"/>
    <col min="14825" max="14825" width="14.85546875" style="173" customWidth="1"/>
    <col min="14826" max="14826" width="7.140625" style="173" customWidth="1"/>
    <col min="14827" max="14828" width="20.140625" style="173" customWidth="1"/>
    <col min="14829" max="14829" width="18.42578125" style="173" customWidth="1"/>
    <col min="14830" max="14830" width="9.140625" style="173" customWidth="1"/>
    <col min="14831" max="14831" width="12" style="173" customWidth="1"/>
    <col min="14832" max="14832" width="14.85546875" style="173" customWidth="1"/>
    <col min="14833" max="14833" width="22.42578125" style="173" customWidth="1"/>
    <col min="14834" max="14834" width="14.85546875" style="173" customWidth="1"/>
    <col min="14835" max="14835" width="7.140625" style="173" customWidth="1"/>
    <col min="14836" max="14836" width="20.140625" style="173" customWidth="1"/>
    <col min="14837" max="15068" width="8.85546875" style="173" customWidth="1"/>
    <col min="15069" max="15069" width="8.140625" style="173" customWidth="1"/>
    <col min="15070" max="15070" width="14.42578125" style="173" customWidth="1"/>
    <col min="15071" max="15071" width="37.42578125" style="173" customWidth="1"/>
    <col min="15072" max="15072" width="63.140625" style="173" customWidth="1"/>
    <col min="15073" max="15073" width="20" style="173" customWidth="1"/>
    <col min="15074" max="15074" width="11.140625" style="173" customWidth="1"/>
    <col min="15075" max="15075" width="10.85546875" style="173" customWidth="1"/>
    <col min="15076" max="15076" width="21" style="173" customWidth="1"/>
    <col min="15077" max="15077" width="10.85546875" style="173" customWidth="1"/>
    <col min="15078" max="15078" width="17.42578125" style="173" customWidth="1"/>
    <col min="15079" max="15079" width="14.85546875" style="173" customWidth="1"/>
    <col min="15080" max="15080" width="15" style="173" customWidth="1"/>
    <col min="15081" max="15081" width="14.85546875" style="173" customWidth="1"/>
    <col min="15082" max="15082" width="7.140625" style="173" customWidth="1"/>
    <col min="15083" max="15084" width="20.140625" style="173" customWidth="1"/>
    <col min="15085" max="15085" width="18.42578125" style="173" customWidth="1"/>
    <col min="15086" max="15086" width="9.140625" style="173" customWidth="1"/>
    <col min="15087" max="15087" width="12" style="173" customWidth="1"/>
    <col min="15088" max="15088" width="14.85546875" style="173" customWidth="1"/>
    <col min="15089" max="15089" width="22.42578125" style="173" customWidth="1"/>
    <col min="15090" max="15090" width="14.85546875" style="173" customWidth="1"/>
    <col min="15091" max="15091" width="7.140625" style="173" customWidth="1"/>
    <col min="15092" max="15092" width="20.140625" style="173" customWidth="1"/>
    <col min="15093" max="15324" width="8.85546875" style="173" customWidth="1"/>
    <col min="15325" max="15325" width="8.140625" style="173" customWidth="1"/>
    <col min="15326" max="15326" width="14.42578125" style="173" customWidth="1"/>
    <col min="15327" max="15327" width="37.42578125" style="173" customWidth="1"/>
    <col min="15328" max="15328" width="63.140625" style="173" customWidth="1"/>
    <col min="15329" max="15329" width="20" style="173" customWidth="1"/>
    <col min="15330" max="15330" width="11.140625" style="173" customWidth="1"/>
    <col min="15331" max="15331" width="10.85546875" style="173" customWidth="1"/>
    <col min="15332" max="15332" width="21" style="173" customWidth="1"/>
    <col min="15333" max="15333" width="10.85546875" style="173" customWidth="1"/>
    <col min="15334" max="15334" width="17.42578125" style="173" customWidth="1"/>
    <col min="15335" max="15335" width="14.85546875" style="173" customWidth="1"/>
    <col min="15336" max="15336" width="15" style="173" customWidth="1"/>
    <col min="15337" max="15337" width="14.85546875" style="173" customWidth="1"/>
    <col min="15338" max="15338" width="7.140625" style="173" customWidth="1"/>
    <col min="15339" max="15340" width="20.140625" style="173" customWidth="1"/>
    <col min="15341" max="15341" width="18.42578125" style="173" customWidth="1"/>
    <col min="15342" max="15342" width="9.140625" style="173" customWidth="1"/>
    <col min="15343" max="15343" width="12" style="173" customWidth="1"/>
    <col min="15344" max="15344" width="14.85546875" style="173" customWidth="1"/>
    <col min="15345" max="15345" width="22.42578125" style="173" customWidth="1"/>
    <col min="15346" max="15346" width="14.85546875" style="173" customWidth="1"/>
    <col min="15347" max="15347" width="7.140625" style="173" customWidth="1"/>
    <col min="15348" max="15348" width="20.140625" style="173" customWidth="1"/>
    <col min="15349" max="15580" width="8.85546875" style="173" customWidth="1"/>
    <col min="15581" max="15581" width="8.140625" style="173" customWidth="1"/>
    <col min="15582" max="15582" width="14.42578125" style="173" customWidth="1"/>
    <col min="15583" max="15583" width="37.42578125" style="173" customWidth="1"/>
    <col min="15584" max="15584" width="63.140625" style="173" customWidth="1"/>
    <col min="15585" max="15585" width="20" style="173" customWidth="1"/>
    <col min="15586" max="15586" width="11.140625" style="173" customWidth="1"/>
    <col min="15587" max="15587" width="10.85546875" style="173" customWidth="1"/>
    <col min="15588" max="15588" width="21" style="173" customWidth="1"/>
    <col min="15589" max="15589" width="10.85546875" style="173" customWidth="1"/>
    <col min="15590" max="15590" width="17.42578125" style="173" customWidth="1"/>
    <col min="15591" max="15591" width="14.85546875" style="173" customWidth="1"/>
    <col min="15592" max="15592" width="15" style="173" customWidth="1"/>
    <col min="15593" max="15593" width="14.85546875" style="173" customWidth="1"/>
    <col min="15594" max="15594" width="7.140625" style="173" customWidth="1"/>
    <col min="15595" max="15596" width="20.140625" style="173" customWidth="1"/>
    <col min="15597" max="15597" width="18.42578125" style="173" customWidth="1"/>
    <col min="15598" max="15598" width="9.140625" style="173" customWidth="1"/>
    <col min="15599" max="15599" width="12" style="173" customWidth="1"/>
    <col min="15600" max="15600" width="14.85546875" style="173" customWidth="1"/>
    <col min="15601" max="15601" width="22.42578125" style="173" customWidth="1"/>
    <col min="15602" max="15602" width="14.85546875" style="173" customWidth="1"/>
    <col min="15603" max="15603" width="7.140625" style="173" customWidth="1"/>
    <col min="15604" max="15604" width="20.140625" style="173" customWidth="1"/>
    <col min="15605" max="15836" width="8.85546875" style="173" customWidth="1"/>
    <col min="15837" max="15837" width="8.140625" style="173" customWidth="1"/>
    <col min="15838" max="15838" width="14.42578125" style="173" customWidth="1"/>
    <col min="15839" max="15839" width="37.42578125" style="173" customWidth="1"/>
    <col min="15840" max="15840" width="63.140625" style="173" customWidth="1"/>
    <col min="15841" max="15841" width="20" style="173" customWidth="1"/>
    <col min="15842" max="15842" width="11.140625" style="173" customWidth="1"/>
    <col min="15843" max="15843" width="10.85546875" style="173" customWidth="1"/>
    <col min="15844" max="15844" width="21" style="173" customWidth="1"/>
    <col min="15845" max="15845" width="10.85546875" style="173" customWidth="1"/>
    <col min="15846" max="15846" width="17.42578125" style="173" customWidth="1"/>
    <col min="15847" max="15847" width="14.85546875" style="173" customWidth="1"/>
    <col min="15848" max="15848" width="15" style="173" customWidth="1"/>
    <col min="15849" max="15849" width="14.85546875" style="173" customWidth="1"/>
    <col min="15850" max="15850" width="7.140625" style="173" customWidth="1"/>
    <col min="15851" max="15852" width="20.140625" style="173" customWidth="1"/>
    <col min="15853" max="15853" width="18.42578125" style="173" customWidth="1"/>
    <col min="15854" max="15854" width="9.140625" style="173" customWidth="1"/>
    <col min="15855" max="15855" width="12" style="173" customWidth="1"/>
    <col min="15856" max="15856" width="14.85546875" style="173" customWidth="1"/>
    <col min="15857" max="15857" width="22.42578125" style="173" customWidth="1"/>
    <col min="15858" max="15858" width="14.85546875" style="173" customWidth="1"/>
    <col min="15859" max="15859" width="7.140625" style="173" customWidth="1"/>
    <col min="15860" max="15860" width="20.140625" style="173" customWidth="1"/>
    <col min="15861" max="16092" width="8.85546875" style="173" customWidth="1"/>
    <col min="16093" max="16093" width="8.140625" style="173" customWidth="1"/>
    <col min="16094" max="16094" width="14.42578125" style="173" customWidth="1"/>
    <col min="16095" max="16095" width="37.42578125" style="173" customWidth="1"/>
    <col min="16096" max="16096" width="63.140625" style="173" customWidth="1"/>
    <col min="16097" max="16097" width="20" style="173" customWidth="1"/>
    <col min="16098" max="16098" width="11.140625" style="173" customWidth="1"/>
    <col min="16099" max="16099" width="10.85546875" style="173" customWidth="1"/>
    <col min="16100" max="16100" width="21" style="173" customWidth="1"/>
    <col min="16101" max="16101" width="10.85546875" style="173" customWidth="1"/>
    <col min="16102" max="16102" width="17.42578125" style="173" customWidth="1"/>
    <col min="16103" max="16103" width="14.85546875" style="173" customWidth="1"/>
    <col min="16104" max="16104" width="15" style="173" customWidth="1"/>
    <col min="16105" max="16105" width="14.85546875" style="173" customWidth="1"/>
    <col min="16106" max="16106" width="7.140625" style="173" customWidth="1"/>
    <col min="16107" max="16108" width="20.140625" style="173" customWidth="1"/>
    <col min="16109" max="16109" width="18.42578125" style="173" customWidth="1"/>
    <col min="16110" max="16110" width="9.140625" style="173" customWidth="1"/>
    <col min="16111" max="16111" width="12" style="173" customWidth="1"/>
    <col min="16112" max="16112" width="14.85546875" style="173" customWidth="1"/>
    <col min="16113" max="16113" width="22.42578125" style="173" customWidth="1"/>
    <col min="16114" max="16114" width="14.85546875" style="173" customWidth="1"/>
    <col min="16115" max="16115" width="7.140625" style="173" customWidth="1"/>
    <col min="16116" max="16116" width="20.140625" style="173" customWidth="1"/>
    <col min="16117" max="16384" width="8.85546875" style="173" customWidth="1"/>
  </cols>
  <sheetData>
    <row r="1" spans="1:21" ht="14.1" customHeight="1">
      <c r="A1" s="168" t="s">
        <v>4751</v>
      </c>
      <c r="B1" s="169"/>
      <c r="C1" s="169"/>
      <c r="D1" s="169"/>
      <c r="F1" s="169"/>
      <c r="H1" s="169"/>
      <c r="J1" s="169"/>
      <c r="K1" s="169"/>
      <c r="L1" s="169"/>
      <c r="M1" s="169"/>
      <c r="N1" s="169"/>
      <c r="O1" s="169"/>
      <c r="P1" s="169"/>
      <c r="R1" s="172"/>
      <c r="U1" s="169"/>
    </row>
    <row r="2" spans="1:21" s="176" customFormat="1" ht="14.1" customHeight="1">
      <c r="A2" s="174" t="s">
        <v>4752</v>
      </c>
      <c r="B2" s="174"/>
      <c r="C2" s="174"/>
      <c r="D2" s="174"/>
      <c r="E2" s="175"/>
      <c r="F2" s="174"/>
      <c r="G2" s="174"/>
      <c r="H2" s="174"/>
      <c r="I2" s="174"/>
      <c r="J2" s="174"/>
      <c r="K2" s="174"/>
      <c r="L2" s="174"/>
      <c r="M2" s="174"/>
      <c r="N2" s="174"/>
      <c r="O2" s="174"/>
      <c r="P2" s="174"/>
      <c r="Q2" s="174"/>
      <c r="R2" s="336"/>
      <c r="S2" s="174"/>
      <c r="T2" s="174"/>
      <c r="U2" s="174"/>
    </row>
    <row r="3" spans="1:21" s="182" customFormat="1" ht="14.1" customHeight="1">
      <c r="A3" s="177"/>
      <c r="B3" s="178"/>
      <c r="C3" s="178"/>
      <c r="D3" s="179"/>
      <c r="E3" s="178"/>
      <c r="F3" s="179"/>
      <c r="G3" s="180"/>
      <c r="H3" s="181"/>
      <c r="I3" s="180"/>
      <c r="J3" s="181"/>
      <c r="K3" s="181"/>
      <c r="L3" s="181"/>
      <c r="M3" s="181"/>
      <c r="N3" s="181"/>
      <c r="O3" s="181"/>
      <c r="P3" s="181"/>
      <c r="Q3" s="169"/>
      <c r="R3" s="359" t="s">
        <v>2</v>
      </c>
      <c r="S3" s="169"/>
      <c r="T3" s="169"/>
      <c r="U3" s="177"/>
    </row>
    <row r="4" spans="1:21" s="186" customFormat="1" ht="33" customHeight="1">
      <c r="A4" s="183" t="s">
        <v>3</v>
      </c>
      <c r="B4" s="184" t="s">
        <v>4</v>
      </c>
      <c r="C4" s="184" t="s">
        <v>5</v>
      </c>
      <c r="D4" s="183" t="s">
        <v>6</v>
      </c>
      <c r="E4" s="183" t="s">
        <v>7</v>
      </c>
      <c r="F4" s="183" t="s">
        <v>8</v>
      </c>
      <c r="G4" s="183" t="s">
        <v>9</v>
      </c>
      <c r="H4" s="183" t="s">
        <v>10</v>
      </c>
      <c r="I4" s="183" t="s">
        <v>11</v>
      </c>
      <c r="J4" s="183" t="s">
        <v>12</v>
      </c>
      <c r="K4" s="183" t="s">
        <v>13</v>
      </c>
      <c r="L4" s="183" t="s">
        <v>14</v>
      </c>
      <c r="M4" s="183" t="s">
        <v>15</v>
      </c>
      <c r="N4" s="183" t="s">
        <v>4753</v>
      </c>
      <c r="O4" s="183" t="s">
        <v>17</v>
      </c>
      <c r="P4" s="183" t="s">
        <v>18</v>
      </c>
      <c r="Q4" s="177"/>
      <c r="R4" s="185" t="s">
        <v>19</v>
      </c>
      <c r="S4" s="170"/>
      <c r="T4" s="42" t="s">
        <v>20</v>
      </c>
      <c r="U4" s="42" t="s">
        <v>21</v>
      </c>
    </row>
    <row r="5" spans="1:21" ht="14.1" customHeight="1">
      <c r="A5" s="187">
        <v>1</v>
      </c>
      <c r="B5" s="188" t="s">
        <v>124</v>
      </c>
      <c r="C5" s="188" t="s">
        <v>4754</v>
      </c>
      <c r="D5" s="187" t="s">
        <v>252</v>
      </c>
      <c r="E5" s="188" t="s">
        <v>409</v>
      </c>
      <c r="F5" s="187" t="s">
        <v>26</v>
      </c>
      <c r="G5" s="189" t="s">
        <v>4755</v>
      </c>
      <c r="H5" s="187" t="s">
        <v>518</v>
      </c>
      <c r="I5" s="190" t="s">
        <v>4756</v>
      </c>
      <c r="J5" s="187" t="s">
        <v>30</v>
      </c>
      <c r="K5" s="187" t="s">
        <v>520</v>
      </c>
      <c r="L5" s="187" t="s">
        <v>322</v>
      </c>
      <c r="M5" s="187">
        <v>830140000</v>
      </c>
      <c r="N5" s="29">
        <v>200</v>
      </c>
      <c r="O5" s="187">
        <v>30</v>
      </c>
      <c r="P5" s="187"/>
      <c r="R5" s="9">
        <v>452.10044697798031</v>
      </c>
      <c r="S5" s="191"/>
      <c r="T5" s="7" t="s">
        <v>34</v>
      </c>
      <c r="U5" s="187" t="s">
        <v>34</v>
      </c>
    </row>
    <row r="6" spans="1:21" ht="14.1" customHeight="1">
      <c r="A6" s="187">
        <v>2</v>
      </c>
      <c r="B6" s="188" t="s">
        <v>124</v>
      </c>
      <c r="C6" s="188" t="s">
        <v>4754</v>
      </c>
      <c r="D6" s="187" t="s">
        <v>252</v>
      </c>
      <c r="E6" s="188" t="s">
        <v>409</v>
      </c>
      <c r="F6" s="187" t="s">
        <v>26</v>
      </c>
      <c r="G6" s="189" t="s">
        <v>4757</v>
      </c>
      <c r="H6" s="187" t="s">
        <v>1424</v>
      </c>
      <c r="I6" s="190" t="s">
        <v>4758</v>
      </c>
      <c r="J6" s="187" t="s">
        <v>30</v>
      </c>
      <c r="K6" s="187" t="s">
        <v>1426</v>
      </c>
      <c r="L6" s="187" t="s">
        <v>322</v>
      </c>
      <c r="M6" s="187">
        <v>830140000</v>
      </c>
      <c r="N6" s="29">
        <v>200</v>
      </c>
      <c r="O6" s="187">
        <v>30</v>
      </c>
      <c r="P6" s="187"/>
      <c r="R6" s="9">
        <v>769.79775481261106</v>
      </c>
      <c r="T6" s="7" t="s">
        <v>34</v>
      </c>
      <c r="U6" s="187" t="s">
        <v>34</v>
      </c>
    </row>
    <row r="7" spans="1:21" ht="14.1" customHeight="1">
      <c r="A7" s="187">
        <v>3</v>
      </c>
      <c r="B7" s="188" t="s">
        <v>124</v>
      </c>
      <c r="C7" s="188" t="s">
        <v>4754</v>
      </c>
      <c r="D7" s="187" t="s">
        <v>252</v>
      </c>
      <c r="E7" s="188" t="s">
        <v>409</v>
      </c>
      <c r="F7" s="187" t="s">
        <v>26</v>
      </c>
      <c r="G7" s="189" t="s">
        <v>4759</v>
      </c>
      <c r="H7" s="187" t="s">
        <v>518</v>
      </c>
      <c r="I7" s="190" t="s">
        <v>4760</v>
      </c>
      <c r="J7" s="187" t="s">
        <v>30</v>
      </c>
      <c r="K7" s="187" t="s">
        <v>520</v>
      </c>
      <c r="L7" s="187" t="s">
        <v>322</v>
      </c>
      <c r="M7" s="187">
        <v>830140000</v>
      </c>
      <c r="N7" s="29">
        <v>200</v>
      </c>
      <c r="O7" s="187">
        <v>30</v>
      </c>
      <c r="P7" s="187"/>
      <c r="R7" s="9">
        <v>722.03933598779736</v>
      </c>
      <c r="T7" s="7" t="s">
        <v>34</v>
      </c>
      <c r="U7" s="187" t="s">
        <v>34</v>
      </c>
    </row>
    <row r="8" spans="1:21" ht="14.1" customHeight="1">
      <c r="A8" s="187">
        <v>4</v>
      </c>
      <c r="B8" s="188" t="s">
        <v>124</v>
      </c>
      <c r="C8" s="188" t="s">
        <v>4754</v>
      </c>
      <c r="D8" s="187" t="s">
        <v>252</v>
      </c>
      <c r="E8" s="188" t="s">
        <v>409</v>
      </c>
      <c r="F8" s="187" t="s">
        <v>26</v>
      </c>
      <c r="G8" s="189" t="s">
        <v>4761</v>
      </c>
      <c r="H8" s="187" t="s">
        <v>1424</v>
      </c>
      <c r="I8" s="190" t="s">
        <v>4762</v>
      </c>
      <c r="J8" s="187" t="s">
        <v>30</v>
      </c>
      <c r="K8" s="187" t="s">
        <v>1426</v>
      </c>
      <c r="L8" s="187" t="s">
        <v>322</v>
      </c>
      <c r="M8" s="187">
        <v>830140000</v>
      </c>
      <c r="N8" s="29">
        <v>200</v>
      </c>
      <c r="O8" s="187">
        <v>30</v>
      </c>
      <c r="P8" s="187"/>
      <c r="R8" s="9">
        <v>1147.3346625186491</v>
      </c>
      <c r="T8" s="7" t="s">
        <v>34</v>
      </c>
      <c r="U8" s="187" t="s">
        <v>34</v>
      </c>
    </row>
    <row r="9" spans="1:21" ht="14.1" customHeight="1">
      <c r="A9" s="187">
        <v>5</v>
      </c>
      <c r="B9" s="188" t="s">
        <v>124</v>
      </c>
      <c r="C9" s="188" t="s">
        <v>4754</v>
      </c>
      <c r="D9" s="187" t="s">
        <v>252</v>
      </c>
      <c r="E9" s="188" t="s">
        <v>409</v>
      </c>
      <c r="F9" s="187" t="s">
        <v>26</v>
      </c>
      <c r="G9" s="189" t="s">
        <v>4763</v>
      </c>
      <c r="H9" s="187" t="s">
        <v>995</v>
      </c>
      <c r="I9" s="190" t="s">
        <v>4764</v>
      </c>
      <c r="J9" s="187" t="s">
        <v>123</v>
      </c>
      <c r="K9" s="187" t="s">
        <v>997</v>
      </c>
      <c r="L9" s="187" t="s">
        <v>322</v>
      </c>
      <c r="M9" s="187">
        <v>830140000</v>
      </c>
      <c r="N9" s="29">
        <v>200</v>
      </c>
      <c r="O9" s="187">
        <v>30</v>
      </c>
      <c r="P9" s="187"/>
      <c r="R9" s="9">
        <v>277.11209025623168</v>
      </c>
      <c r="T9" s="7" t="s">
        <v>34</v>
      </c>
      <c r="U9" s="187" t="s">
        <v>34</v>
      </c>
    </row>
    <row r="10" spans="1:21" ht="14.1" customHeight="1">
      <c r="A10" s="187">
        <v>6</v>
      </c>
      <c r="B10" s="192" t="s">
        <v>124</v>
      </c>
      <c r="C10" s="192" t="s">
        <v>4754</v>
      </c>
      <c r="D10" s="193" t="s">
        <v>252</v>
      </c>
      <c r="E10" s="192" t="s">
        <v>409</v>
      </c>
      <c r="F10" s="193" t="s">
        <v>26</v>
      </c>
      <c r="G10" s="190" t="s">
        <v>4765</v>
      </c>
      <c r="H10" s="193" t="s">
        <v>995</v>
      </c>
      <c r="I10" s="190" t="s">
        <v>4766</v>
      </c>
      <c r="J10" s="193" t="s">
        <v>123</v>
      </c>
      <c r="K10" s="193" t="s">
        <v>997</v>
      </c>
      <c r="L10" s="193" t="s">
        <v>322</v>
      </c>
      <c r="M10" s="193">
        <v>830140000</v>
      </c>
      <c r="N10" s="29">
        <v>200</v>
      </c>
      <c r="O10" s="193">
        <v>30</v>
      </c>
      <c r="P10" s="193"/>
      <c r="R10" s="9">
        <v>255.59248651698749</v>
      </c>
      <c r="T10" s="7" t="s">
        <v>34</v>
      </c>
      <c r="U10" s="187" t="s">
        <v>34</v>
      </c>
    </row>
    <row r="11" spans="1:21" ht="14.1" customHeight="1">
      <c r="A11" s="187">
        <v>7</v>
      </c>
      <c r="B11" s="192" t="s">
        <v>124</v>
      </c>
      <c r="C11" s="192" t="s">
        <v>4754</v>
      </c>
      <c r="D11" s="193" t="s">
        <v>252</v>
      </c>
      <c r="E11" s="192" t="s">
        <v>409</v>
      </c>
      <c r="F11" s="193" t="s">
        <v>26</v>
      </c>
      <c r="G11" s="190" t="s">
        <v>4767</v>
      </c>
      <c r="H11" s="193" t="s">
        <v>121</v>
      </c>
      <c r="I11" s="190" t="s">
        <v>4768</v>
      </c>
      <c r="J11" s="193" t="s">
        <v>123</v>
      </c>
      <c r="K11" s="193" t="s">
        <v>1426</v>
      </c>
      <c r="L11" s="193" t="s">
        <v>322</v>
      </c>
      <c r="M11" s="193">
        <v>830140000</v>
      </c>
      <c r="N11" s="29">
        <v>200</v>
      </c>
      <c r="O11" s="193">
        <v>30</v>
      </c>
      <c r="P11" s="193"/>
      <c r="R11" s="9">
        <v>456.44212141659972</v>
      </c>
      <c r="T11" s="7" t="s">
        <v>34</v>
      </c>
      <c r="U11" s="187" t="s">
        <v>34</v>
      </c>
    </row>
    <row r="12" spans="1:21" ht="14.1" customHeight="1">
      <c r="A12" s="187">
        <v>8</v>
      </c>
      <c r="B12" s="19" t="s">
        <v>609</v>
      </c>
      <c r="C12" s="19" t="s">
        <v>4754</v>
      </c>
      <c r="D12" s="29" t="s">
        <v>252</v>
      </c>
      <c r="E12" s="19" t="s">
        <v>4769</v>
      </c>
      <c r="F12" s="29" t="s">
        <v>26</v>
      </c>
      <c r="G12" s="19" t="s">
        <v>4770</v>
      </c>
      <c r="H12" s="29" t="s">
        <v>4019</v>
      </c>
      <c r="I12" s="19" t="s">
        <v>4771</v>
      </c>
      <c r="J12" s="29" t="s">
        <v>30</v>
      </c>
      <c r="K12" s="29" t="s">
        <v>4019</v>
      </c>
      <c r="L12" s="29" t="s">
        <v>322</v>
      </c>
      <c r="M12" s="29">
        <v>830140000</v>
      </c>
      <c r="N12" s="29">
        <v>200</v>
      </c>
      <c r="O12" s="29">
        <v>30</v>
      </c>
      <c r="P12" s="29"/>
      <c r="R12" s="9">
        <v>722.03933598779736</v>
      </c>
      <c r="T12" s="7" t="s">
        <v>34</v>
      </c>
      <c r="U12" s="187" t="s">
        <v>34</v>
      </c>
    </row>
    <row r="13" spans="1:21" ht="14.1" customHeight="1">
      <c r="A13" s="187">
        <v>9</v>
      </c>
      <c r="B13" s="19" t="s">
        <v>609</v>
      </c>
      <c r="C13" s="19" t="s">
        <v>4754</v>
      </c>
      <c r="D13" s="29" t="s">
        <v>252</v>
      </c>
      <c r="E13" s="19" t="s">
        <v>409</v>
      </c>
      <c r="F13" s="29" t="s">
        <v>26</v>
      </c>
      <c r="G13" s="19" t="s">
        <v>4772</v>
      </c>
      <c r="H13" s="29" t="s">
        <v>4773</v>
      </c>
      <c r="I13" s="19" t="s">
        <v>4774</v>
      </c>
      <c r="J13" s="29" t="s">
        <v>123</v>
      </c>
      <c r="K13" s="194" t="s">
        <v>1426</v>
      </c>
      <c r="L13" s="29" t="s">
        <v>322</v>
      </c>
      <c r="M13" s="29">
        <v>830140000</v>
      </c>
      <c r="N13" s="29">
        <v>200</v>
      </c>
      <c r="O13" s="29">
        <v>30</v>
      </c>
      <c r="P13" s="29"/>
      <c r="R13" s="9">
        <v>1147.3346625186491</v>
      </c>
      <c r="T13" s="7" t="s">
        <v>34</v>
      </c>
      <c r="U13" s="187" t="s">
        <v>34</v>
      </c>
    </row>
    <row r="14" spans="1:21" ht="14.1" customHeight="1">
      <c r="A14" s="187">
        <v>10</v>
      </c>
      <c r="B14" s="19" t="s">
        <v>609</v>
      </c>
      <c r="C14" s="19" t="s">
        <v>4754</v>
      </c>
      <c r="D14" s="29" t="s">
        <v>252</v>
      </c>
      <c r="E14" s="19" t="s">
        <v>409</v>
      </c>
      <c r="F14" s="29" t="s">
        <v>26</v>
      </c>
      <c r="G14" s="19" t="s">
        <v>4775</v>
      </c>
      <c r="H14" s="29" t="s">
        <v>4773</v>
      </c>
      <c r="I14" s="19" t="s">
        <v>4776</v>
      </c>
      <c r="J14" s="29" t="s">
        <v>123</v>
      </c>
      <c r="K14" s="194" t="s">
        <v>1426</v>
      </c>
      <c r="L14" s="29" t="s">
        <v>322</v>
      </c>
      <c r="M14" s="29">
        <v>830140000</v>
      </c>
      <c r="N14" s="29">
        <v>200</v>
      </c>
      <c r="O14" s="29">
        <v>30</v>
      </c>
      <c r="P14" s="29"/>
      <c r="R14" s="9">
        <v>1200.5673665052</v>
      </c>
      <c r="T14" s="7" t="s">
        <v>34</v>
      </c>
      <c r="U14" s="187" t="s">
        <v>34</v>
      </c>
    </row>
    <row r="15" spans="1:21" ht="14.1" customHeight="1">
      <c r="A15" s="187">
        <v>12</v>
      </c>
      <c r="B15" s="19" t="s">
        <v>609</v>
      </c>
      <c r="C15" s="19" t="s">
        <v>4754</v>
      </c>
      <c r="D15" s="29" t="s">
        <v>252</v>
      </c>
      <c r="E15" s="19" t="s">
        <v>4777</v>
      </c>
      <c r="F15" s="29" t="s">
        <v>26</v>
      </c>
      <c r="G15" s="19" t="s">
        <v>4778</v>
      </c>
      <c r="H15" s="29" t="s">
        <v>4773</v>
      </c>
      <c r="I15" s="19" t="s">
        <v>4779</v>
      </c>
      <c r="J15" s="29" t="s">
        <v>123</v>
      </c>
      <c r="K15" s="194" t="s">
        <v>1426</v>
      </c>
      <c r="L15" s="29" t="s">
        <v>322</v>
      </c>
      <c r="M15" s="29">
        <v>830140000</v>
      </c>
      <c r="N15" s="29">
        <v>200</v>
      </c>
      <c r="O15" s="29">
        <v>30</v>
      </c>
      <c r="P15" s="29"/>
      <c r="R15" s="9">
        <v>477.96172515584391</v>
      </c>
      <c r="T15" s="7" t="s">
        <v>34</v>
      </c>
      <c r="U15" s="187" t="s">
        <v>34</v>
      </c>
    </row>
    <row r="16" spans="1:21" ht="14.1" customHeight="1">
      <c r="A16" s="187">
        <v>13</v>
      </c>
      <c r="B16" s="19" t="s">
        <v>609</v>
      </c>
      <c r="C16" s="19" t="s">
        <v>4754</v>
      </c>
      <c r="D16" s="29" t="s">
        <v>252</v>
      </c>
      <c r="E16" s="19" t="s">
        <v>4777</v>
      </c>
      <c r="F16" s="29" t="s">
        <v>26</v>
      </c>
      <c r="G16" s="19" t="s">
        <v>4780</v>
      </c>
      <c r="H16" s="29" t="s">
        <v>4773</v>
      </c>
      <c r="I16" s="66" t="s">
        <v>4781</v>
      </c>
      <c r="J16" s="29" t="s">
        <v>123</v>
      </c>
      <c r="K16" s="194" t="s">
        <v>1426</v>
      </c>
      <c r="L16" s="29" t="s">
        <v>322</v>
      </c>
      <c r="M16" s="29">
        <v>830140000</v>
      </c>
      <c r="N16" s="29">
        <v>200</v>
      </c>
      <c r="O16" s="29">
        <v>30</v>
      </c>
      <c r="P16" s="29"/>
      <c r="R16" s="9">
        <v>419.82104136911391</v>
      </c>
      <c r="T16" s="7" t="s">
        <v>34</v>
      </c>
      <c r="U16" s="187" t="s">
        <v>34</v>
      </c>
    </row>
    <row r="17" spans="1:21" ht="25.5" customHeight="1">
      <c r="A17" s="187">
        <v>14</v>
      </c>
      <c r="B17" s="19" t="s">
        <v>609</v>
      </c>
      <c r="C17" s="19" t="s">
        <v>4754</v>
      </c>
      <c r="D17" s="29" t="s">
        <v>252</v>
      </c>
      <c r="E17" s="19" t="s">
        <v>4782</v>
      </c>
      <c r="F17" s="29" t="s">
        <v>26</v>
      </c>
      <c r="G17" s="19" t="s">
        <v>4783</v>
      </c>
      <c r="H17" s="29" t="s">
        <v>4773</v>
      </c>
      <c r="I17" s="66" t="s">
        <v>4784</v>
      </c>
      <c r="J17" s="29" t="s">
        <v>123</v>
      </c>
      <c r="K17" s="194" t="s">
        <v>1426</v>
      </c>
      <c r="L17" s="29" t="s">
        <v>322</v>
      </c>
      <c r="M17" s="29">
        <v>830160000</v>
      </c>
      <c r="N17" s="29">
        <v>200</v>
      </c>
      <c r="O17" s="29">
        <v>30</v>
      </c>
      <c r="P17" s="29"/>
      <c r="R17" s="9">
        <v>54.365314709669427</v>
      </c>
      <c r="T17" s="7" t="s">
        <v>34</v>
      </c>
      <c r="U17" s="187" t="s">
        <v>34</v>
      </c>
    </row>
    <row r="18" spans="1:21" ht="25.5" customHeight="1">
      <c r="A18" s="187">
        <v>15</v>
      </c>
      <c r="B18" s="19" t="s">
        <v>456</v>
      </c>
      <c r="C18" s="19" t="s">
        <v>4754</v>
      </c>
      <c r="D18" s="29" t="s">
        <v>4785</v>
      </c>
      <c r="E18" s="19" t="s">
        <v>4777</v>
      </c>
      <c r="F18" s="29" t="s">
        <v>457</v>
      </c>
      <c r="G18" s="19" t="s">
        <v>4786</v>
      </c>
      <c r="H18" s="29" t="s">
        <v>4787</v>
      </c>
      <c r="I18" s="66" t="s">
        <v>4788</v>
      </c>
      <c r="J18" s="29" t="s">
        <v>30</v>
      </c>
      <c r="K18" s="194" t="s">
        <v>4270</v>
      </c>
      <c r="L18" s="29" t="s">
        <v>322</v>
      </c>
      <c r="M18" s="29">
        <v>830140000</v>
      </c>
      <c r="N18" s="29">
        <v>200</v>
      </c>
      <c r="O18" s="29">
        <v>30</v>
      </c>
      <c r="P18" s="29"/>
      <c r="R18" s="9">
        <v>277.11209025623168</v>
      </c>
      <c r="T18" s="7" t="s">
        <v>34</v>
      </c>
      <c r="U18" s="187" t="s">
        <v>34</v>
      </c>
    </row>
    <row r="19" spans="1:21" ht="25.5" customHeight="1">
      <c r="A19" s="187">
        <v>16</v>
      </c>
      <c r="B19" s="19" t="s">
        <v>456</v>
      </c>
      <c r="C19" s="19" t="s">
        <v>4754</v>
      </c>
      <c r="D19" s="29" t="s">
        <v>252</v>
      </c>
      <c r="E19" s="19" t="s">
        <v>409</v>
      </c>
      <c r="F19" s="29" t="s">
        <v>457</v>
      </c>
      <c r="G19" s="19" t="s">
        <v>4789</v>
      </c>
      <c r="H19" s="29" t="s">
        <v>4773</v>
      </c>
      <c r="I19" s="66" t="s">
        <v>4790</v>
      </c>
      <c r="J19" s="29" t="s">
        <v>30</v>
      </c>
      <c r="K19" s="194" t="s">
        <v>4019</v>
      </c>
      <c r="L19" s="29" t="s">
        <v>322</v>
      </c>
      <c r="M19" s="29">
        <v>830140000</v>
      </c>
      <c r="N19" s="29">
        <v>200</v>
      </c>
      <c r="O19" s="29">
        <v>30</v>
      </c>
      <c r="P19" s="29"/>
      <c r="R19" s="9">
        <v>769.04268099719889</v>
      </c>
      <c r="T19" s="7" t="s">
        <v>34</v>
      </c>
      <c r="U19" s="187" t="s">
        <v>34</v>
      </c>
    </row>
    <row r="20" spans="1:21" ht="25.5" customHeight="1">
      <c r="A20" s="187">
        <v>17</v>
      </c>
      <c r="B20" s="19" t="s">
        <v>456</v>
      </c>
      <c r="C20" s="19" t="s">
        <v>4754</v>
      </c>
      <c r="D20" s="29" t="s">
        <v>252</v>
      </c>
      <c r="E20" s="19" t="s">
        <v>409</v>
      </c>
      <c r="F20" s="29" t="s">
        <v>457</v>
      </c>
      <c r="G20" s="19" t="s">
        <v>4791</v>
      </c>
      <c r="H20" s="29" t="s">
        <v>4773</v>
      </c>
      <c r="I20" s="66" t="s">
        <v>4792</v>
      </c>
      <c r="J20" s="29" t="s">
        <v>30</v>
      </c>
      <c r="K20" s="194" t="s">
        <v>4019</v>
      </c>
      <c r="L20" s="29" t="s">
        <v>322</v>
      </c>
      <c r="M20" s="29">
        <v>830140000</v>
      </c>
      <c r="N20" s="29">
        <v>200</v>
      </c>
      <c r="O20" s="29">
        <v>30</v>
      </c>
      <c r="P20" s="29"/>
      <c r="R20" s="9">
        <v>1143.748061895441</v>
      </c>
      <c r="T20" s="7" t="s">
        <v>34</v>
      </c>
      <c r="U20" s="187" t="s">
        <v>34</v>
      </c>
    </row>
    <row r="21" spans="1:21" ht="25.5" customHeight="1">
      <c r="A21" s="187">
        <v>18</v>
      </c>
      <c r="B21" s="19" t="s">
        <v>456</v>
      </c>
      <c r="C21" s="19" t="s">
        <v>4754</v>
      </c>
      <c r="D21" s="29" t="s">
        <v>252</v>
      </c>
      <c r="E21" s="19" t="s">
        <v>4782</v>
      </c>
      <c r="F21" s="29" t="s">
        <v>457</v>
      </c>
      <c r="G21" s="19" t="s">
        <v>4793</v>
      </c>
      <c r="H21" s="29" t="s">
        <v>4773</v>
      </c>
      <c r="I21" s="66" t="s">
        <v>4794</v>
      </c>
      <c r="J21" s="29" t="s">
        <v>30</v>
      </c>
      <c r="K21" s="194" t="s">
        <v>4773</v>
      </c>
      <c r="L21" s="29" t="s">
        <v>322</v>
      </c>
      <c r="M21" s="29">
        <v>830140000</v>
      </c>
      <c r="N21" s="29">
        <v>200</v>
      </c>
      <c r="O21" s="29">
        <v>30</v>
      </c>
      <c r="P21" s="29"/>
      <c r="R21" s="9">
        <v>54.365314709669427</v>
      </c>
      <c r="T21" s="7" t="s">
        <v>34</v>
      </c>
      <c r="U21" s="187" t="s">
        <v>34</v>
      </c>
    </row>
    <row r="22" spans="1:21" ht="14.1" customHeight="1">
      <c r="A22" s="187">
        <v>19</v>
      </c>
      <c r="B22" s="19" t="s">
        <v>456</v>
      </c>
      <c r="C22" s="19" t="s">
        <v>4754</v>
      </c>
      <c r="D22" s="29" t="s">
        <v>252</v>
      </c>
      <c r="E22" s="19" t="s">
        <v>4782</v>
      </c>
      <c r="F22" s="29" t="s">
        <v>457</v>
      </c>
      <c r="G22" s="19" t="s">
        <v>4795</v>
      </c>
      <c r="H22" s="29" t="s">
        <v>1426</v>
      </c>
      <c r="I22" s="66" t="s">
        <v>4796</v>
      </c>
      <c r="J22" s="29" t="s">
        <v>30</v>
      </c>
      <c r="K22" s="194" t="s">
        <v>1426</v>
      </c>
      <c r="L22" s="29" t="s">
        <v>322</v>
      </c>
      <c r="M22" s="29">
        <v>830140000</v>
      </c>
      <c r="N22" s="29">
        <v>200</v>
      </c>
      <c r="O22" s="29">
        <v>30</v>
      </c>
      <c r="P22" s="29"/>
      <c r="R22" s="9">
        <v>58.895757602141877</v>
      </c>
      <c r="T22" s="7" t="s">
        <v>34</v>
      </c>
      <c r="U22" s="187" t="s">
        <v>34</v>
      </c>
    </row>
    <row r="23" spans="1:21" ht="14.1" customHeight="1">
      <c r="A23" s="187">
        <v>20</v>
      </c>
      <c r="B23" s="19" t="s">
        <v>456</v>
      </c>
      <c r="C23" s="19" t="s">
        <v>4754</v>
      </c>
      <c r="D23" s="29" t="s">
        <v>252</v>
      </c>
      <c r="E23" s="19" t="s">
        <v>409</v>
      </c>
      <c r="F23" s="29" t="s">
        <v>457</v>
      </c>
      <c r="G23" s="19" t="s">
        <v>4797</v>
      </c>
      <c r="H23" s="29" t="s">
        <v>4798</v>
      </c>
      <c r="I23" s="66" t="s">
        <v>4799</v>
      </c>
      <c r="J23" s="29" t="s">
        <v>30</v>
      </c>
      <c r="K23" s="194" t="s">
        <v>4798</v>
      </c>
      <c r="L23" s="29" t="s">
        <v>322</v>
      </c>
      <c r="M23" s="29">
        <v>830140000</v>
      </c>
      <c r="N23" s="29">
        <v>200</v>
      </c>
      <c r="O23" s="29">
        <v>30</v>
      </c>
      <c r="P23" s="29"/>
      <c r="R23" s="9">
        <v>515.14911056488859</v>
      </c>
      <c r="T23" s="7" t="s">
        <v>34</v>
      </c>
      <c r="U23" s="187" t="s">
        <v>34</v>
      </c>
    </row>
    <row r="24" spans="1:21" ht="14.1" customHeight="1">
      <c r="A24" s="187">
        <v>21</v>
      </c>
      <c r="B24" s="19" t="s">
        <v>456</v>
      </c>
      <c r="C24" s="19" t="s">
        <v>4754</v>
      </c>
      <c r="D24" s="29" t="s">
        <v>252</v>
      </c>
      <c r="E24" s="19" t="s">
        <v>409</v>
      </c>
      <c r="F24" s="29" t="s">
        <v>457</v>
      </c>
      <c r="G24" s="19" t="s">
        <v>4800</v>
      </c>
      <c r="H24" s="29" t="s">
        <v>4798</v>
      </c>
      <c r="I24" s="66" t="s">
        <v>4801</v>
      </c>
      <c r="J24" s="29" t="s">
        <v>30</v>
      </c>
      <c r="K24" s="194" t="s">
        <v>4798</v>
      </c>
      <c r="L24" s="29" t="s">
        <v>322</v>
      </c>
      <c r="M24" s="29">
        <v>830140000</v>
      </c>
      <c r="N24" s="29">
        <v>200</v>
      </c>
      <c r="O24" s="29">
        <v>30</v>
      </c>
      <c r="P24" s="29"/>
      <c r="R24" s="9">
        <v>889.28818610157191</v>
      </c>
      <c r="T24" s="7" t="s">
        <v>34</v>
      </c>
      <c r="U24" s="187" t="s">
        <v>34</v>
      </c>
    </row>
    <row r="25" spans="1:21" ht="25.5" customHeight="1">
      <c r="A25" s="187">
        <v>22</v>
      </c>
      <c r="B25" s="19" t="s">
        <v>456</v>
      </c>
      <c r="C25" s="19" t="s">
        <v>4754</v>
      </c>
      <c r="D25" s="29" t="s">
        <v>252</v>
      </c>
      <c r="E25" s="19" t="s">
        <v>4777</v>
      </c>
      <c r="F25" s="29" t="s">
        <v>457</v>
      </c>
      <c r="G25" s="19" t="s">
        <v>4802</v>
      </c>
      <c r="H25" s="29" t="s">
        <v>4787</v>
      </c>
      <c r="I25" s="66" t="s">
        <v>4803</v>
      </c>
      <c r="J25" s="29" t="s">
        <v>30</v>
      </c>
      <c r="K25" s="194" t="s">
        <v>4270</v>
      </c>
      <c r="L25" s="29" t="s">
        <v>322</v>
      </c>
      <c r="M25" s="29">
        <v>830140000</v>
      </c>
      <c r="N25" s="29">
        <v>200</v>
      </c>
      <c r="O25" s="29">
        <v>30</v>
      </c>
      <c r="P25" s="29"/>
      <c r="R25" s="9">
        <v>230.10874524683001</v>
      </c>
      <c r="T25" s="7" t="s">
        <v>34</v>
      </c>
      <c r="U25" s="187" t="s">
        <v>34</v>
      </c>
    </row>
    <row r="26" spans="1:21" ht="25.5" customHeight="1">
      <c r="A26" s="187">
        <v>23</v>
      </c>
      <c r="B26" s="19" t="s">
        <v>456</v>
      </c>
      <c r="C26" s="19" t="s">
        <v>4754</v>
      </c>
      <c r="D26" s="29" t="s">
        <v>252</v>
      </c>
      <c r="E26" s="19" t="s">
        <v>4769</v>
      </c>
      <c r="F26" s="29" t="s">
        <v>457</v>
      </c>
      <c r="G26" s="19" t="s">
        <v>4804</v>
      </c>
      <c r="H26" s="29" t="s">
        <v>1426</v>
      </c>
      <c r="I26" s="66" t="s">
        <v>4805</v>
      </c>
      <c r="J26" s="29" t="s">
        <v>30</v>
      </c>
      <c r="K26" s="29" t="s">
        <v>1426</v>
      </c>
      <c r="L26" s="29" t="s">
        <v>322</v>
      </c>
      <c r="M26" s="29">
        <v>830140000</v>
      </c>
      <c r="N26" s="29">
        <v>200</v>
      </c>
      <c r="O26" s="29">
        <v>30</v>
      </c>
      <c r="P26" s="29"/>
      <c r="R26" s="9">
        <v>539.31147265807499</v>
      </c>
      <c r="T26" s="7" t="s">
        <v>34</v>
      </c>
      <c r="U26" s="187" t="s">
        <v>34</v>
      </c>
    </row>
    <row r="27" spans="1:21" ht="38.25" customHeight="1">
      <c r="A27" s="187">
        <v>24</v>
      </c>
      <c r="B27" s="19" t="s">
        <v>456</v>
      </c>
      <c r="C27" s="19" t="s">
        <v>4754</v>
      </c>
      <c r="D27" s="29" t="s">
        <v>252</v>
      </c>
      <c r="E27" s="19" t="s">
        <v>4769</v>
      </c>
      <c r="F27" s="29" t="s">
        <v>457</v>
      </c>
      <c r="G27" s="19" t="s">
        <v>4806</v>
      </c>
      <c r="H27" s="29" t="s">
        <v>1426</v>
      </c>
      <c r="I27" s="66" t="s">
        <v>4807</v>
      </c>
      <c r="J27" s="29" t="s">
        <v>30</v>
      </c>
      <c r="K27" s="29" t="s">
        <v>1426</v>
      </c>
      <c r="L27" s="29" t="s">
        <v>322</v>
      </c>
      <c r="M27" s="29">
        <v>830140000</v>
      </c>
      <c r="N27" s="29">
        <v>200</v>
      </c>
      <c r="O27" s="29">
        <v>30</v>
      </c>
      <c r="P27" s="29"/>
      <c r="R27" s="9">
        <v>806.41883486009658</v>
      </c>
      <c r="T27" s="7" t="s">
        <v>34</v>
      </c>
      <c r="U27" s="187" t="s">
        <v>34</v>
      </c>
    </row>
    <row r="28" spans="1:21" ht="51" customHeight="1">
      <c r="A28" s="187">
        <v>25</v>
      </c>
      <c r="B28" s="19" t="s">
        <v>456</v>
      </c>
      <c r="C28" s="19" t="s">
        <v>4754</v>
      </c>
      <c r="D28" s="29" t="s">
        <v>252</v>
      </c>
      <c r="E28" s="19" t="s">
        <v>4777</v>
      </c>
      <c r="F28" s="29" t="s">
        <v>457</v>
      </c>
      <c r="G28" s="19" t="s">
        <v>4808</v>
      </c>
      <c r="H28" s="29" t="s">
        <v>4787</v>
      </c>
      <c r="I28" s="66" t="s">
        <v>4809</v>
      </c>
      <c r="J28" s="29" t="s">
        <v>30</v>
      </c>
      <c r="K28" s="194" t="s">
        <v>4787</v>
      </c>
      <c r="L28" s="29" t="s">
        <v>322</v>
      </c>
      <c r="M28" s="29">
        <v>830140000</v>
      </c>
      <c r="N28" s="29">
        <v>200</v>
      </c>
      <c r="O28" s="29">
        <v>30</v>
      </c>
      <c r="P28" s="29"/>
      <c r="R28" s="9">
        <v>191.22244375310819</v>
      </c>
      <c r="T28" s="7" t="s">
        <v>34</v>
      </c>
      <c r="U28" s="187" t="s">
        <v>34</v>
      </c>
    </row>
    <row r="29" spans="1:21" ht="14.1" customHeight="1">
      <c r="A29" s="187">
        <v>26</v>
      </c>
      <c r="B29" s="19" t="s">
        <v>456</v>
      </c>
      <c r="C29" s="19" t="s">
        <v>4754</v>
      </c>
      <c r="D29" s="29" t="s">
        <v>252</v>
      </c>
      <c r="E29" s="19" t="s">
        <v>409</v>
      </c>
      <c r="F29" s="29" t="s">
        <v>457</v>
      </c>
      <c r="G29" s="19" t="s">
        <v>4810</v>
      </c>
      <c r="H29" s="29" t="s">
        <v>4773</v>
      </c>
      <c r="I29" s="66" t="s">
        <v>4811</v>
      </c>
      <c r="J29" s="29" t="s">
        <v>30</v>
      </c>
      <c r="K29" s="194" t="s">
        <v>1426</v>
      </c>
      <c r="L29" s="29" t="s">
        <v>322</v>
      </c>
      <c r="M29" s="29">
        <v>830140000</v>
      </c>
      <c r="N29" s="29">
        <v>200</v>
      </c>
      <c r="O29" s="29">
        <v>30</v>
      </c>
      <c r="P29" s="29"/>
      <c r="R29" s="9">
        <v>578.57531105950272</v>
      </c>
      <c r="T29" s="7" t="s">
        <v>34</v>
      </c>
      <c r="U29" s="187" t="s">
        <v>34</v>
      </c>
    </row>
    <row r="30" spans="1:21" ht="14.1" customHeight="1">
      <c r="H30" t="s">
        <v>42</v>
      </c>
    </row>
    <row r="31" spans="1:21" ht="14.1" customHeight="1">
      <c r="A31" s="169" t="s">
        <v>271</v>
      </c>
      <c r="B31" s="169"/>
      <c r="C31" s="169"/>
      <c r="D31" s="169"/>
      <c r="F31" s="169"/>
      <c r="H31" s="169" t="s">
        <v>42</v>
      </c>
      <c r="J31" s="169"/>
      <c r="K31" s="169"/>
      <c r="L31" s="169"/>
      <c r="M31" s="169"/>
      <c r="N31" s="169"/>
      <c r="O31" s="169"/>
      <c r="P31" s="169"/>
      <c r="R31" s="172"/>
      <c r="U31" s="169"/>
    </row>
    <row r="32" spans="1:21" ht="14.1" customHeight="1">
      <c r="A32" s="169" t="s">
        <v>4812</v>
      </c>
      <c r="B32" s="169"/>
      <c r="C32" s="169"/>
      <c r="D32" s="169"/>
      <c r="F32" s="169"/>
      <c r="H32" s="169" t="s">
        <v>42</v>
      </c>
      <c r="I32" s="171"/>
      <c r="J32" s="169"/>
      <c r="K32" s="169"/>
      <c r="L32" s="169"/>
      <c r="M32" s="169"/>
      <c r="N32" s="169"/>
      <c r="O32" s="169"/>
      <c r="P32" s="169"/>
      <c r="R32" s="172"/>
      <c r="U32" s="169"/>
    </row>
    <row r="33" ht="14.1" customHeight="1"/>
    <row r="34" ht="14.1" customHeight="1"/>
    <row r="35" ht="14.1" customHeight="1"/>
    <row r="36" ht="14.1" customHeight="1"/>
    <row r="37" ht="14.1" customHeight="1"/>
    <row r="38" ht="14.1" customHeight="1"/>
    <row r="39" ht="14.1" customHeight="1"/>
    <row r="40" ht="14.1" customHeight="1"/>
    <row r="41" ht="14.1" customHeight="1"/>
    <row r="42" ht="14.1" customHeight="1"/>
    <row r="43" ht="14.1" customHeight="1"/>
    <row r="44" ht="14.1" customHeight="1"/>
    <row r="45" ht="14.1" customHeight="1"/>
    <row r="46" ht="14.1" customHeight="1"/>
    <row r="47" ht="14.1" customHeight="1"/>
    <row r="48" ht="14.1" customHeight="1"/>
    <row r="49" ht="14.1" customHeight="1"/>
    <row r="50" ht="14.1" customHeight="1"/>
    <row r="51" ht="14.1" customHeight="1"/>
    <row r="52" ht="14.1" customHeight="1"/>
    <row r="53" ht="14.1" customHeight="1"/>
    <row r="54" ht="14.1" customHeight="1"/>
    <row r="55" ht="14.1" customHeight="1"/>
    <row r="56" ht="14.1" customHeight="1"/>
    <row r="57" ht="14.1" customHeight="1"/>
    <row r="58" ht="14.1" customHeight="1"/>
    <row r="59" ht="14.1" customHeight="1"/>
    <row r="60" ht="14.1" customHeight="1"/>
    <row r="61" ht="14.1" customHeight="1"/>
    <row r="62" ht="14.1" customHeight="1"/>
    <row r="63" ht="14.1" customHeight="1"/>
    <row r="64" ht="14.1" customHeight="1"/>
    <row r="65" ht="14.1" customHeight="1"/>
    <row r="66" ht="14.1" customHeight="1"/>
    <row r="67" ht="14.1" customHeight="1"/>
    <row r="68" ht="14.1" customHeight="1"/>
    <row r="69" ht="14.1" customHeight="1"/>
    <row r="70" ht="14.1" customHeight="1"/>
    <row r="71" ht="14.1" customHeight="1"/>
    <row r="72" ht="14.1" customHeight="1"/>
    <row r="73" ht="14.1" customHeight="1"/>
    <row r="74" ht="14.1" customHeight="1"/>
    <row r="75" ht="14.1" customHeight="1"/>
    <row r="76" ht="14.1" customHeight="1"/>
    <row r="77" ht="14.1" customHeight="1"/>
    <row r="78" ht="14.1" customHeight="1"/>
    <row r="79" ht="14.1" customHeight="1"/>
    <row r="80" ht="14.1" customHeight="1"/>
    <row r="81" ht="14.1" customHeight="1"/>
    <row r="82" ht="14.1" customHeight="1"/>
    <row r="83" ht="14.1" customHeight="1"/>
    <row r="84" ht="14.1" customHeight="1"/>
    <row r="85" ht="14.1" customHeight="1"/>
    <row r="86" ht="14.1" customHeight="1"/>
    <row r="87" ht="14.1" customHeight="1"/>
    <row r="88" ht="14.1" customHeight="1"/>
    <row r="89" ht="14.1" customHeight="1"/>
    <row r="90" ht="14.1" customHeight="1"/>
    <row r="91" ht="14.1" customHeight="1"/>
    <row r="92" ht="14.1" customHeight="1"/>
    <row r="93" ht="14.1" customHeight="1"/>
    <row r="94" ht="14.1" customHeight="1"/>
    <row r="95" ht="14.1" customHeight="1"/>
    <row r="96" ht="14.1" customHeight="1"/>
    <row r="97" ht="14.1" customHeight="1"/>
    <row r="98" ht="14.1" customHeight="1"/>
    <row r="99" ht="14.1" customHeight="1"/>
    <row r="100" ht="14.1" customHeight="1"/>
    <row r="101" ht="14.1" customHeight="1"/>
    <row r="102" ht="14.1" customHeight="1"/>
    <row r="103" ht="14.1" customHeight="1"/>
    <row r="104" ht="14.1" customHeight="1"/>
    <row r="105" ht="14.1" customHeight="1"/>
    <row r="106" ht="14.1" customHeight="1"/>
    <row r="107" ht="14.1" customHeight="1"/>
    <row r="108" ht="14.1" customHeight="1"/>
    <row r="109" ht="14.1" customHeight="1"/>
    <row r="110" ht="14.1" customHeight="1"/>
    <row r="111" ht="14.1" customHeight="1"/>
    <row r="112" ht="14.1" customHeight="1"/>
    <row r="113" ht="14.1" customHeight="1"/>
    <row r="114" ht="14.1" customHeight="1"/>
    <row r="115" ht="14.1" customHeight="1"/>
    <row r="116" ht="14.1" customHeight="1"/>
    <row r="117" ht="14.1" customHeight="1"/>
    <row r="118" ht="14.1" customHeight="1"/>
    <row r="119" ht="14.1" customHeight="1"/>
    <row r="120" ht="14.1" customHeight="1"/>
    <row r="121" ht="14.1" customHeight="1"/>
    <row r="122" ht="14.1" customHeight="1"/>
    <row r="123" ht="14.1" customHeight="1"/>
    <row r="124" ht="14.1" customHeight="1"/>
    <row r="125" ht="14.1" customHeight="1"/>
    <row r="126" ht="14.1" customHeight="1"/>
    <row r="127" ht="14.1" customHeight="1"/>
    <row r="128" ht="14.1" customHeight="1"/>
    <row r="129" ht="14.1" customHeight="1"/>
    <row r="130" ht="14.1" customHeight="1"/>
    <row r="131" ht="14.1" customHeight="1"/>
    <row r="132" ht="14.1" customHeight="1"/>
    <row r="133" ht="14.1" customHeight="1"/>
    <row r="134" ht="14.1" customHeight="1"/>
    <row r="135" ht="14.1" customHeight="1"/>
    <row r="136" ht="14.1" customHeight="1"/>
    <row r="137" ht="14.1" customHeight="1"/>
    <row r="138" ht="14.1" customHeight="1"/>
    <row r="139" ht="14.1" customHeight="1"/>
    <row r="140" ht="14.1" customHeight="1"/>
    <row r="141" ht="14.1" customHeight="1"/>
    <row r="142" ht="14.1" customHeight="1"/>
    <row r="143" ht="14.1" customHeight="1"/>
    <row r="144" ht="14.1" customHeight="1"/>
    <row r="145" ht="14.1" customHeight="1"/>
    <row r="146" ht="14.1" customHeight="1"/>
    <row r="147" ht="14.1" customHeight="1"/>
    <row r="148" ht="14.1" customHeight="1"/>
    <row r="149" ht="14.1" customHeight="1"/>
    <row r="150" ht="14.1" customHeight="1"/>
    <row r="151" ht="14.1" customHeight="1"/>
    <row r="152" ht="14.1" customHeight="1"/>
    <row r="153" ht="14.1" customHeight="1"/>
    <row r="154" ht="14.1" customHeight="1"/>
    <row r="155" ht="14.1" customHeight="1"/>
    <row r="156" ht="14.1" customHeight="1"/>
    <row r="157" ht="14.1" customHeight="1"/>
    <row r="158" ht="14.1" customHeight="1"/>
    <row r="159" ht="14.1" customHeight="1"/>
    <row r="160" ht="14.1" customHeight="1"/>
    <row r="161" ht="14.1" customHeight="1"/>
    <row r="162" ht="14.1" customHeight="1"/>
    <row r="163" ht="14.1" customHeight="1"/>
    <row r="164" ht="14.1" customHeight="1"/>
    <row r="165" ht="14.1" customHeight="1"/>
    <row r="166" ht="14.1" customHeight="1"/>
    <row r="167" ht="14.1" customHeight="1"/>
    <row r="168" ht="14.1" customHeight="1"/>
    <row r="169" ht="14.1" customHeight="1"/>
    <row r="170" ht="14.1" customHeight="1"/>
    <row r="171" ht="14.1" customHeight="1"/>
    <row r="172" ht="14.1" customHeight="1"/>
    <row r="173" ht="14.1" customHeight="1"/>
    <row r="174" ht="14.1" customHeight="1"/>
    <row r="175" ht="14.1" customHeight="1"/>
    <row r="176" ht="14.1" customHeight="1"/>
    <row r="177" ht="14.1" customHeight="1"/>
    <row r="178" ht="14.1" customHeight="1"/>
    <row r="179" ht="14.1" customHeight="1"/>
    <row r="180" ht="14.1" customHeight="1"/>
    <row r="181" ht="14.1" customHeight="1"/>
    <row r="182" ht="14.1" customHeight="1"/>
    <row r="183" ht="14.1" customHeight="1"/>
    <row r="184" ht="14.1" customHeight="1"/>
    <row r="185" ht="14.1" customHeight="1"/>
    <row r="186" ht="14.1" customHeight="1"/>
    <row r="187" ht="14.1" customHeight="1"/>
    <row r="188" ht="14.1" customHeight="1"/>
    <row r="189" ht="14.1" customHeight="1"/>
    <row r="190" ht="14.1" customHeight="1"/>
    <row r="191" ht="14.1" customHeight="1"/>
    <row r="192" ht="14.1" customHeight="1"/>
    <row r="193" ht="14.1" customHeight="1"/>
    <row r="194" ht="14.1" customHeight="1"/>
    <row r="195" ht="14.1" customHeight="1"/>
    <row r="196" ht="14.1" customHeight="1"/>
    <row r="197" ht="14.1" customHeight="1"/>
    <row r="198" ht="14.1" customHeight="1"/>
    <row r="199" ht="14.1" customHeight="1"/>
    <row r="200" ht="14.1" customHeight="1"/>
    <row r="201" ht="14.1" customHeight="1"/>
    <row r="202" ht="14.1" customHeight="1"/>
    <row r="203" ht="14.1" customHeight="1"/>
    <row r="204" ht="14.1" customHeight="1"/>
    <row r="205" ht="14.1" customHeight="1"/>
    <row r="206" ht="14.1" customHeight="1"/>
    <row r="207" ht="14.1" customHeight="1"/>
    <row r="208" ht="14.1" customHeight="1"/>
    <row r="209" ht="14.1" customHeight="1"/>
    <row r="210" ht="14.1" customHeight="1"/>
    <row r="211" ht="14.1" customHeight="1"/>
    <row r="212" ht="14.1" customHeight="1"/>
    <row r="213" ht="14.1" customHeight="1"/>
    <row r="214" ht="14.1" customHeight="1"/>
    <row r="215" ht="14.1" customHeight="1"/>
    <row r="216" ht="14.1" customHeight="1"/>
    <row r="217" ht="14.1" customHeight="1"/>
    <row r="218" ht="14.1" customHeight="1"/>
    <row r="219" ht="14.1" customHeight="1"/>
    <row r="220" ht="14.1" customHeight="1"/>
    <row r="221" ht="14.1" customHeight="1"/>
    <row r="222" ht="14.1" customHeight="1"/>
    <row r="223" ht="14.1" customHeight="1"/>
    <row r="224" ht="14.1" customHeight="1"/>
    <row r="225" ht="14.1" customHeight="1"/>
    <row r="226" ht="14.1" customHeight="1"/>
    <row r="227" ht="14.1" customHeight="1"/>
    <row r="228" ht="14.1" customHeight="1"/>
    <row r="229" ht="14.1" customHeight="1"/>
    <row r="230" ht="14.1" customHeight="1"/>
    <row r="231" ht="14.1" customHeight="1"/>
    <row r="232" ht="14.1" customHeight="1"/>
    <row r="233" ht="14.1" customHeight="1"/>
    <row r="234" ht="14.1" customHeight="1"/>
    <row r="235" ht="14.1" customHeight="1"/>
    <row r="236" ht="14.1" customHeight="1"/>
    <row r="237" ht="14.1" customHeight="1"/>
    <row r="238" ht="14.1" customHeight="1"/>
    <row r="239" ht="14.1" customHeight="1"/>
    <row r="240" ht="14.1" customHeight="1"/>
    <row r="241" ht="14.1" customHeight="1"/>
    <row r="242" ht="14.1" customHeight="1"/>
    <row r="243" ht="14.1" customHeight="1"/>
    <row r="244" ht="14.1" customHeight="1"/>
    <row r="245" ht="14.1" customHeight="1"/>
    <row r="246" ht="14.1" customHeight="1"/>
    <row r="247" ht="14.1" customHeight="1"/>
    <row r="248" ht="14.1" customHeight="1"/>
    <row r="249" ht="14.1" customHeight="1"/>
    <row r="250" ht="14.1" customHeight="1"/>
    <row r="251" ht="14.1" customHeight="1"/>
    <row r="252" ht="14.1" customHeight="1"/>
    <row r="253" ht="14.1" customHeight="1"/>
    <row r="254" ht="14.1" customHeight="1"/>
    <row r="255" ht="14.1" customHeight="1"/>
    <row r="256" ht="14.1" customHeight="1"/>
    <row r="257" ht="14.1" customHeight="1"/>
    <row r="258" ht="14.1" customHeight="1"/>
    <row r="259" ht="14.1" customHeight="1"/>
    <row r="260" ht="14.1" customHeight="1"/>
    <row r="261" ht="14.1" customHeight="1"/>
    <row r="262" ht="14.1" customHeight="1"/>
    <row r="263" ht="14.1" customHeight="1"/>
    <row r="264" ht="14.1" customHeight="1"/>
    <row r="265" ht="14.1" customHeight="1"/>
    <row r="266" ht="14.1" customHeight="1"/>
    <row r="267" ht="14.1" customHeight="1"/>
    <row r="268" ht="14.1" customHeight="1"/>
    <row r="269" ht="14.1" customHeight="1"/>
    <row r="270" ht="14.1" customHeight="1"/>
    <row r="271" ht="14.1" customHeight="1"/>
    <row r="272" ht="14.1" customHeight="1"/>
    <row r="273" ht="14.1" customHeight="1"/>
    <row r="274" ht="14.1" customHeight="1"/>
    <row r="275" ht="14.1" customHeight="1"/>
    <row r="276" ht="14.1" customHeight="1"/>
    <row r="277" ht="14.1" customHeight="1"/>
    <row r="278" ht="14.1" customHeight="1"/>
    <row r="279" ht="14.1" customHeight="1"/>
    <row r="280" ht="14.1" customHeight="1"/>
    <row r="281" ht="14.1" customHeight="1"/>
    <row r="282" ht="14.1" customHeight="1"/>
    <row r="283" ht="14.1" customHeight="1"/>
    <row r="284" ht="14.1" customHeight="1"/>
    <row r="285" ht="14.1" customHeight="1"/>
    <row r="286" ht="14.1" customHeight="1"/>
    <row r="287" ht="14.1" customHeight="1"/>
    <row r="288" ht="14.1" customHeight="1"/>
    <row r="289" ht="14.1" customHeight="1"/>
    <row r="290" ht="14.1" customHeight="1"/>
    <row r="291" ht="14.1" customHeight="1"/>
    <row r="292" ht="14.1" customHeight="1"/>
    <row r="293" ht="14.1" customHeight="1"/>
    <row r="294" ht="14.1" customHeight="1"/>
    <row r="295" ht="14.1" customHeight="1"/>
    <row r="296" ht="14.1" customHeight="1"/>
    <row r="297" ht="14.1" customHeight="1"/>
    <row r="298" ht="14.1" customHeight="1"/>
    <row r="299" ht="14.1" customHeight="1"/>
    <row r="300" ht="14.1" customHeight="1"/>
    <row r="301" ht="14.1" customHeight="1"/>
    <row r="302" ht="14.1" customHeight="1"/>
    <row r="303" ht="14.1" customHeight="1"/>
    <row r="304" ht="14.1" customHeight="1"/>
    <row r="305" ht="14.1" customHeight="1"/>
    <row r="306" ht="14.1" customHeight="1"/>
    <row r="307" ht="14.1" customHeight="1"/>
    <row r="308" ht="14.1" customHeight="1"/>
    <row r="309" ht="14.1" customHeight="1"/>
    <row r="310" ht="14.1" customHeight="1"/>
    <row r="311" ht="14.1" customHeight="1"/>
    <row r="312" ht="14.1" customHeight="1"/>
    <row r="313" ht="14.1" customHeight="1"/>
    <row r="314" ht="14.1" customHeight="1"/>
    <row r="315" ht="14.1" customHeight="1"/>
    <row r="316" ht="14.1" customHeight="1"/>
    <row r="317" ht="14.1" customHeight="1"/>
    <row r="318" ht="14.1" customHeight="1"/>
    <row r="319" ht="14.1" customHeight="1"/>
    <row r="320" ht="14.1" customHeight="1"/>
    <row r="321" ht="14.1" customHeight="1"/>
    <row r="322" ht="14.1" customHeight="1"/>
    <row r="323" ht="14.1" customHeight="1"/>
    <row r="324" ht="14.1" customHeight="1"/>
    <row r="325" ht="14.1" customHeight="1"/>
    <row r="326" ht="14.1" customHeight="1"/>
    <row r="327" ht="14.1" customHeight="1"/>
    <row r="328" ht="14.1" customHeight="1"/>
    <row r="329" ht="14.1" customHeight="1"/>
    <row r="330" ht="14.1" customHeight="1"/>
    <row r="331" ht="14.1" customHeight="1"/>
    <row r="332" ht="14.1" customHeight="1"/>
    <row r="333" ht="14.1" customHeight="1"/>
    <row r="334" ht="14.1" customHeight="1"/>
    <row r="335" ht="14.1" customHeight="1"/>
    <row r="336" ht="14.1" customHeight="1"/>
    <row r="337" ht="14.1" customHeight="1"/>
    <row r="338" ht="14.1" customHeight="1"/>
    <row r="339" ht="14.1" customHeight="1"/>
    <row r="340" ht="14.1" customHeight="1"/>
    <row r="341" ht="14.1" customHeight="1"/>
    <row r="342" ht="14.1" customHeight="1"/>
    <row r="343" ht="14.1" customHeight="1"/>
    <row r="344" ht="14.1" customHeight="1"/>
    <row r="345" ht="14.1" customHeight="1"/>
    <row r="346" ht="14.1" customHeight="1"/>
    <row r="347" ht="14.1" customHeight="1"/>
    <row r="348" ht="14.1" customHeight="1"/>
    <row r="349" ht="14.1" customHeight="1"/>
    <row r="350" ht="14.1" customHeight="1"/>
    <row r="351" ht="14.1" customHeight="1"/>
    <row r="352" ht="14.1" customHeight="1"/>
    <row r="353" ht="14.1" customHeight="1"/>
    <row r="354" ht="14.1" customHeight="1"/>
    <row r="355" ht="14.1" customHeight="1"/>
    <row r="356" ht="14.1" customHeight="1"/>
    <row r="357" ht="14.1" customHeight="1"/>
    <row r="358" ht="14.1" customHeight="1"/>
    <row r="359" ht="14.1" customHeight="1"/>
    <row r="360" ht="14.1" customHeight="1"/>
    <row r="361" ht="14.1" customHeight="1"/>
    <row r="362" ht="14.1" customHeight="1"/>
    <row r="363" ht="14.1" customHeight="1"/>
    <row r="364" ht="14.1" customHeight="1"/>
    <row r="365" ht="14.1" customHeight="1"/>
    <row r="366" ht="14.1" customHeight="1"/>
    <row r="367" ht="14.1" customHeight="1"/>
    <row r="368" ht="14.1" customHeight="1"/>
    <row r="369" ht="14.1" customHeight="1"/>
    <row r="370" ht="14.1" customHeight="1"/>
    <row r="371" ht="14.1" customHeight="1"/>
    <row r="372" ht="14.1" customHeight="1"/>
    <row r="373" ht="14.1" customHeight="1"/>
    <row r="374" ht="14.1" customHeight="1"/>
    <row r="375" ht="14.1" customHeight="1"/>
    <row r="376" ht="14.1" customHeight="1"/>
    <row r="377" ht="14.1" customHeight="1"/>
    <row r="378" ht="14.1" customHeight="1"/>
    <row r="379" ht="14.1" customHeight="1"/>
    <row r="380" ht="14.1" customHeight="1"/>
    <row r="381" ht="14.1" customHeight="1"/>
    <row r="382" ht="14.1" customHeight="1"/>
    <row r="383" ht="14.1" customHeight="1"/>
    <row r="384" ht="14.1" customHeight="1"/>
    <row r="385" ht="14.1" customHeight="1"/>
    <row r="386" ht="14.1" customHeight="1"/>
    <row r="387" ht="14.1" customHeight="1"/>
    <row r="388" ht="14.1" customHeight="1"/>
    <row r="389" ht="14.1" customHeight="1"/>
    <row r="390" ht="14.1" customHeight="1"/>
    <row r="391" ht="14.1" customHeight="1"/>
    <row r="392" ht="14.1" customHeight="1"/>
    <row r="393" ht="14.1" customHeight="1"/>
    <row r="394" ht="14.1" customHeight="1"/>
    <row r="395" ht="14.1" customHeight="1"/>
    <row r="396" ht="14.1" customHeight="1"/>
    <row r="397" ht="14.1" customHeight="1"/>
    <row r="398" ht="14.1" customHeight="1"/>
    <row r="399" ht="14.1" customHeight="1"/>
    <row r="400" ht="14.1" customHeight="1"/>
    <row r="401" ht="14.1" customHeight="1"/>
    <row r="402" ht="14.1" customHeight="1"/>
    <row r="403" ht="14.1" customHeight="1"/>
    <row r="404" ht="14.1" customHeight="1"/>
    <row r="405" ht="14.1" customHeight="1"/>
    <row r="406" ht="14.1" customHeight="1"/>
    <row r="407" ht="14.1" customHeight="1"/>
    <row r="408" ht="14.1" customHeight="1"/>
    <row r="409" ht="14.1" customHeight="1"/>
    <row r="410" ht="14.1" customHeight="1"/>
    <row r="411" ht="14.1" customHeight="1"/>
    <row r="412" ht="14.1" customHeight="1"/>
    <row r="413" ht="14.1" customHeight="1"/>
    <row r="414" ht="14.1" customHeight="1"/>
    <row r="415" ht="14.1" customHeight="1"/>
    <row r="416" ht="14.1" customHeight="1"/>
    <row r="417" ht="14.1" customHeight="1"/>
    <row r="418" ht="14.1" customHeight="1"/>
    <row r="419" ht="14.1" customHeight="1"/>
    <row r="420" ht="14.1" customHeight="1"/>
    <row r="421" ht="14.1" customHeight="1"/>
    <row r="422" ht="14.1" customHeight="1"/>
    <row r="423" ht="14.1" customHeight="1"/>
    <row r="424" ht="14.1" customHeight="1"/>
    <row r="425" ht="14.1" customHeight="1"/>
    <row r="426" ht="14.1" customHeight="1"/>
    <row r="427" ht="14.1" customHeight="1"/>
    <row r="428" ht="14.1" customHeight="1"/>
    <row r="429" ht="14.1" customHeight="1"/>
    <row r="430" ht="14.1" customHeight="1"/>
    <row r="431" ht="14.1" customHeight="1"/>
    <row r="432" ht="14.1" customHeight="1"/>
    <row r="433" ht="14.1" customHeight="1"/>
    <row r="434" ht="14.1" customHeight="1"/>
    <row r="435" ht="14.1" customHeight="1"/>
    <row r="436" ht="14.1" customHeight="1"/>
    <row r="437" ht="14.1" customHeight="1"/>
    <row r="438" ht="14.1" customHeight="1"/>
    <row r="439" ht="14.1" customHeight="1"/>
    <row r="440" ht="14.1" customHeight="1"/>
    <row r="441" ht="14.1" customHeight="1"/>
    <row r="442" ht="14.1" customHeight="1"/>
    <row r="443" ht="14.1" customHeight="1"/>
    <row r="444" ht="14.1" customHeight="1"/>
    <row r="445" ht="14.1" customHeight="1"/>
    <row r="446" ht="14.1" customHeight="1"/>
    <row r="447" ht="14.1" customHeight="1"/>
    <row r="448" ht="14.1" customHeight="1"/>
    <row r="449" ht="14.1" customHeight="1"/>
    <row r="450" ht="14.1" customHeight="1"/>
    <row r="451" ht="14.1" customHeight="1"/>
    <row r="452" ht="14.1" customHeight="1"/>
    <row r="453" ht="14.1" customHeight="1"/>
    <row r="454" ht="14.1" customHeight="1"/>
    <row r="455" ht="14.1" customHeight="1"/>
    <row r="456" ht="14.1" customHeight="1"/>
    <row r="457" ht="14.1" customHeight="1"/>
    <row r="458" ht="14.1" customHeight="1"/>
    <row r="459" ht="14.1" customHeight="1"/>
    <row r="460" ht="14.1" customHeight="1"/>
    <row r="461" ht="14.1" customHeight="1"/>
    <row r="462" ht="14.1" customHeight="1"/>
    <row r="463" ht="14.1" customHeight="1"/>
    <row r="464" ht="14.1" customHeight="1"/>
    <row r="465" ht="14.1" customHeight="1"/>
    <row r="466" ht="14.1" customHeight="1"/>
    <row r="467" ht="14.1" customHeight="1"/>
    <row r="468" ht="14.1" customHeight="1"/>
    <row r="469" ht="14.1" customHeight="1"/>
    <row r="470" ht="14.1" customHeight="1"/>
    <row r="471" ht="14.1" customHeight="1"/>
    <row r="472" ht="14.1" customHeight="1"/>
    <row r="473" ht="14.1" customHeight="1"/>
    <row r="474" ht="14.1" customHeight="1"/>
    <row r="475" ht="14.1" customHeight="1"/>
    <row r="476" ht="14.1" customHeight="1"/>
    <row r="477" ht="14.1" customHeight="1"/>
    <row r="478" ht="14.1" customHeight="1"/>
    <row r="479" ht="14.1" customHeight="1"/>
    <row r="480" ht="14.1" customHeight="1"/>
    <row r="481" ht="14.1" customHeight="1"/>
    <row r="482" ht="14.1" customHeight="1"/>
    <row r="483" ht="14.1" customHeight="1"/>
    <row r="484" ht="14.1" customHeight="1"/>
    <row r="485" ht="14.1" customHeight="1"/>
    <row r="486" ht="14.1" customHeight="1"/>
    <row r="487" ht="14.1" customHeight="1"/>
    <row r="488" ht="14.1" customHeight="1"/>
    <row r="489" ht="14.1" customHeight="1"/>
    <row r="490" ht="14.1" customHeight="1"/>
    <row r="491" ht="14.1" customHeight="1"/>
    <row r="492" ht="14.1" customHeight="1"/>
    <row r="493" ht="14.1" customHeight="1"/>
    <row r="494" ht="14.1" customHeight="1"/>
    <row r="495" ht="14.1" customHeight="1"/>
    <row r="496" ht="14.1" customHeight="1"/>
    <row r="497" ht="14.1" customHeight="1"/>
    <row r="498" ht="14.1" customHeight="1"/>
    <row r="499" ht="14.1" customHeight="1"/>
    <row r="500" ht="14.1" customHeight="1"/>
    <row r="501" ht="14.1" customHeight="1"/>
    <row r="502" ht="14.1" customHeight="1"/>
    <row r="503" ht="14.1" customHeight="1"/>
    <row r="504" ht="14.1" customHeight="1"/>
    <row r="505" ht="14.1" customHeight="1"/>
    <row r="506" ht="14.1" customHeight="1"/>
    <row r="507" ht="14.1" customHeight="1"/>
    <row r="508" ht="14.1" customHeight="1"/>
    <row r="509" ht="14.1" customHeight="1"/>
    <row r="510" ht="14.1" customHeight="1"/>
    <row r="511" ht="14.1" customHeight="1"/>
    <row r="512" ht="14.1" customHeight="1"/>
    <row r="513" ht="14.1" customHeight="1"/>
    <row r="514" ht="14.1" customHeight="1"/>
    <row r="515" ht="14.1" customHeight="1"/>
    <row r="516" ht="14.1" customHeight="1"/>
    <row r="517" ht="14.1" customHeight="1"/>
    <row r="518" ht="14.1" customHeight="1"/>
    <row r="519" ht="14.1" customHeight="1"/>
    <row r="520" ht="14.1" customHeight="1"/>
    <row r="521" ht="14.1" customHeight="1"/>
    <row r="522" ht="14.1" customHeight="1"/>
    <row r="523" ht="14.1" customHeight="1"/>
    <row r="524" ht="14.1" customHeight="1"/>
    <row r="525" ht="14.1" customHeight="1"/>
    <row r="526" ht="14.1" customHeight="1"/>
    <row r="527" ht="14.1" customHeight="1"/>
    <row r="528" ht="14.1" customHeight="1"/>
    <row r="529" ht="14.1" customHeight="1"/>
    <row r="530" ht="14.1" customHeight="1"/>
    <row r="531" ht="14.1" customHeight="1"/>
    <row r="532" ht="14.1" customHeight="1"/>
    <row r="533" ht="14.1" customHeight="1"/>
    <row r="534" ht="14.1" customHeight="1"/>
    <row r="535" ht="14.1" customHeight="1"/>
    <row r="536" ht="14.1" customHeight="1"/>
    <row r="537" ht="14.1" customHeight="1"/>
    <row r="538" ht="14.1" customHeight="1"/>
    <row r="539" ht="14.1" customHeight="1"/>
    <row r="540" ht="14.1" customHeight="1"/>
    <row r="541" ht="14.1" customHeight="1"/>
    <row r="542" ht="14.1" customHeight="1"/>
    <row r="543" ht="14.1" customHeight="1"/>
    <row r="544" ht="14.1" customHeight="1"/>
    <row r="545" ht="14.1" customHeight="1"/>
    <row r="546" ht="14.1" customHeight="1"/>
    <row r="547" ht="14.1" customHeight="1"/>
    <row r="548" ht="14.1" customHeight="1"/>
    <row r="549" ht="14.1" customHeight="1"/>
    <row r="550" ht="14.1" customHeight="1"/>
    <row r="551" ht="14.1" customHeight="1"/>
    <row r="552" ht="14.1" customHeight="1"/>
    <row r="553" ht="14.1" customHeight="1"/>
    <row r="554" ht="14.1" customHeight="1"/>
    <row r="555" ht="14.1" customHeight="1"/>
    <row r="556" ht="14.1" customHeight="1"/>
    <row r="557" ht="14.1" customHeight="1"/>
    <row r="558" ht="14.1" customHeight="1"/>
    <row r="559" ht="14.1" customHeight="1"/>
    <row r="560" ht="14.1" customHeight="1"/>
    <row r="561" ht="14.1" customHeight="1"/>
    <row r="562" ht="14.1" customHeight="1"/>
    <row r="563" ht="14.1" customHeight="1"/>
    <row r="564" ht="14.1" customHeight="1"/>
    <row r="565" ht="14.1" customHeight="1"/>
    <row r="566" ht="14.1" customHeight="1"/>
    <row r="567" ht="14.1" customHeight="1"/>
    <row r="568" ht="14.1" customHeight="1"/>
    <row r="569" ht="14.1" customHeight="1"/>
    <row r="570" ht="14.1" customHeight="1"/>
    <row r="571" ht="14.1" customHeight="1"/>
    <row r="572" ht="14.1" customHeight="1"/>
    <row r="573" ht="14.1" customHeight="1"/>
    <row r="574" ht="14.1" customHeight="1"/>
    <row r="575" ht="14.1" customHeight="1"/>
    <row r="576" ht="14.1" customHeight="1"/>
    <row r="577" ht="14.1" customHeight="1"/>
    <row r="578" ht="14.1" customHeight="1"/>
    <row r="579" ht="14.1" customHeight="1"/>
    <row r="580" ht="14.1" customHeight="1"/>
    <row r="581" ht="14.1" customHeight="1"/>
    <row r="582" ht="14.1" customHeight="1"/>
    <row r="583" ht="14.1" customHeight="1"/>
    <row r="584" ht="14.1" customHeight="1"/>
    <row r="585" ht="14.1" customHeight="1"/>
    <row r="586" ht="14.1" customHeight="1"/>
    <row r="587" ht="14.1" customHeight="1"/>
    <row r="588" ht="14.1" customHeight="1"/>
    <row r="589" ht="14.1" customHeight="1"/>
    <row r="590" ht="14.1" customHeight="1"/>
    <row r="591" ht="14.1" customHeight="1"/>
    <row r="592" ht="14.1" customHeight="1"/>
    <row r="593" ht="14.1" customHeight="1"/>
    <row r="594" ht="14.1" customHeight="1"/>
    <row r="595" ht="14.1" customHeight="1"/>
    <row r="596" ht="14.1" customHeight="1"/>
    <row r="597" ht="14.1" customHeight="1"/>
    <row r="598" ht="14.1" customHeight="1"/>
    <row r="599" ht="14.1" customHeight="1"/>
    <row r="600" ht="14.1" customHeight="1"/>
    <row r="601" ht="14.1" customHeight="1"/>
    <row r="602" ht="14.1" customHeight="1"/>
    <row r="603" ht="14.1" customHeight="1"/>
    <row r="604" ht="14.1" customHeight="1"/>
    <row r="605" ht="14.1" customHeight="1"/>
    <row r="606" ht="14.1" customHeight="1"/>
    <row r="607" ht="14.1" customHeight="1"/>
    <row r="608" ht="14.1" customHeight="1"/>
    <row r="609" ht="14.1" customHeight="1"/>
    <row r="610" ht="14.1" customHeight="1"/>
    <row r="611" ht="14.1" customHeight="1"/>
    <row r="612" ht="14.1" customHeight="1"/>
    <row r="613" ht="14.1" customHeight="1"/>
    <row r="614" ht="14.1" customHeight="1"/>
    <row r="615" ht="14.1" customHeight="1"/>
    <row r="616" ht="14.1" customHeight="1"/>
    <row r="617" ht="14.1" customHeight="1"/>
    <row r="618" ht="14.1" customHeight="1"/>
    <row r="619" ht="14.1" customHeight="1"/>
    <row r="620" ht="14.1" customHeight="1"/>
    <row r="621" ht="14.1" customHeight="1"/>
    <row r="622" ht="14.1" customHeight="1"/>
    <row r="623" ht="14.1" customHeight="1"/>
    <row r="624" ht="14.1" customHeight="1"/>
    <row r="625" ht="14.1" customHeight="1"/>
    <row r="626" ht="14.1" customHeight="1"/>
    <row r="627" ht="14.1" customHeight="1"/>
    <row r="628" ht="14.1" customHeight="1"/>
    <row r="629" ht="14.1" customHeight="1"/>
    <row r="630" ht="14.1" customHeight="1"/>
    <row r="631" ht="14.1" customHeight="1"/>
    <row r="632" ht="14.1" customHeight="1"/>
    <row r="633" ht="14.1" customHeight="1"/>
    <row r="634" ht="14.1" customHeight="1"/>
    <row r="635" ht="14.1" customHeight="1"/>
    <row r="636" ht="14.1" customHeight="1"/>
    <row r="637" ht="14.1" customHeight="1"/>
    <row r="638" ht="14.1" customHeight="1"/>
    <row r="639" ht="14.1" customHeight="1"/>
    <row r="640" ht="14.1" customHeight="1"/>
    <row r="641" ht="14.1" customHeight="1"/>
    <row r="642" ht="14.1" customHeight="1"/>
    <row r="643" ht="14.1" customHeight="1"/>
    <row r="644" ht="14.1" customHeight="1"/>
    <row r="645" ht="14.1" customHeight="1"/>
    <row r="646" ht="14.1" customHeight="1"/>
    <row r="647" ht="14.1" customHeight="1"/>
    <row r="648" ht="14.1" customHeight="1"/>
    <row r="649" ht="14.1" customHeight="1"/>
    <row r="650" ht="14.1" customHeight="1"/>
    <row r="651" ht="14.1" customHeight="1"/>
    <row r="652" ht="14.1" customHeight="1"/>
    <row r="653" ht="14.1" customHeight="1"/>
    <row r="654" ht="14.1" customHeight="1"/>
    <row r="655" ht="14.1" customHeight="1"/>
    <row r="656" ht="14.1" customHeight="1"/>
    <row r="657" ht="14.1" customHeight="1"/>
    <row r="658" ht="14.1" customHeight="1"/>
    <row r="659" ht="14.1" customHeight="1"/>
    <row r="660" ht="14.1" customHeight="1"/>
    <row r="661" ht="14.1" customHeight="1"/>
    <row r="662" ht="14.1" customHeight="1"/>
    <row r="663" ht="14.1" customHeight="1"/>
    <row r="664" ht="14.1" customHeight="1"/>
    <row r="665" ht="14.1" customHeight="1"/>
    <row r="666" ht="14.1" customHeight="1"/>
    <row r="667" ht="14.1" customHeight="1"/>
    <row r="668" ht="14.1" customHeight="1"/>
    <row r="669" ht="14.1" customHeight="1"/>
    <row r="670" ht="14.1" customHeight="1"/>
    <row r="671" ht="14.1" customHeight="1"/>
    <row r="672" ht="14.1" customHeight="1"/>
    <row r="673" ht="14.1" customHeight="1"/>
    <row r="674" ht="14.1" customHeight="1"/>
    <row r="675" ht="14.1" customHeight="1"/>
    <row r="676" ht="14.1" customHeight="1"/>
    <row r="677" ht="14.1" customHeight="1"/>
    <row r="678" ht="14.1" customHeight="1"/>
    <row r="679" ht="14.1" customHeight="1"/>
    <row r="680" ht="14.1" customHeight="1"/>
    <row r="681" ht="14.1" customHeight="1"/>
    <row r="682" ht="14.1" customHeight="1"/>
    <row r="683" ht="14.1" customHeight="1"/>
    <row r="684" ht="14.1" customHeight="1"/>
    <row r="685" ht="14.1" customHeight="1"/>
    <row r="686" ht="14.1" customHeight="1"/>
    <row r="687" ht="14.1" customHeight="1"/>
    <row r="688" ht="14.1" customHeight="1"/>
    <row r="689" ht="14.1" customHeight="1"/>
    <row r="690" ht="14.1" customHeight="1"/>
    <row r="691" ht="14.1" customHeight="1"/>
    <row r="692" ht="14.1" customHeight="1"/>
    <row r="693" ht="14.1" customHeight="1"/>
    <row r="694" ht="14.1" customHeight="1"/>
    <row r="695" ht="14.1" customHeight="1"/>
    <row r="696" ht="14.1" customHeight="1"/>
    <row r="697" ht="14.1" customHeight="1"/>
    <row r="698" ht="14.1" customHeight="1"/>
    <row r="699" ht="14.1" customHeight="1"/>
    <row r="700" ht="14.1" customHeight="1"/>
    <row r="701" ht="14.1" customHeight="1"/>
    <row r="702" ht="14.1" customHeight="1"/>
    <row r="703" ht="14.1" customHeight="1"/>
    <row r="704" ht="14.1" customHeight="1"/>
    <row r="705" ht="14.1" customHeight="1"/>
    <row r="706" ht="14.1" customHeight="1"/>
    <row r="707" ht="14.1" customHeight="1"/>
    <row r="708" ht="14.1" customHeight="1"/>
    <row r="709" ht="14.1" customHeight="1"/>
    <row r="710" ht="14.1" customHeight="1"/>
    <row r="711" ht="14.1" customHeight="1"/>
    <row r="712" ht="14.1" customHeight="1"/>
    <row r="713" ht="14.1" customHeight="1"/>
    <row r="714" ht="14.1" customHeight="1"/>
    <row r="715" ht="14.1" customHeight="1"/>
    <row r="716" ht="14.1" customHeight="1"/>
    <row r="717" ht="14.1" customHeight="1"/>
    <row r="718" ht="14.1" customHeight="1"/>
    <row r="719" ht="14.1" customHeight="1"/>
    <row r="720" ht="14.1" customHeight="1"/>
    <row r="721" ht="14.1" customHeight="1"/>
    <row r="722" ht="14.1" customHeight="1"/>
    <row r="723" ht="14.1" customHeight="1"/>
    <row r="724" ht="14.1" customHeight="1"/>
    <row r="725" ht="14.1" customHeight="1"/>
    <row r="726" ht="14.1" customHeight="1"/>
    <row r="727" ht="14.1" customHeight="1"/>
    <row r="728" ht="14.1" customHeight="1"/>
    <row r="729" ht="14.1" customHeight="1"/>
    <row r="730" ht="14.1" customHeight="1"/>
    <row r="731" ht="14.1" customHeight="1"/>
    <row r="732" ht="14.1" customHeight="1"/>
    <row r="733" ht="14.1" customHeight="1"/>
    <row r="734" ht="14.1" customHeight="1"/>
    <row r="735" ht="14.1" customHeight="1"/>
    <row r="736" ht="14.1" customHeight="1"/>
    <row r="737" ht="14.1" customHeight="1"/>
    <row r="738" ht="14.1" customHeight="1"/>
    <row r="739" ht="14.1" customHeight="1"/>
    <row r="740" ht="14.1" customHeight="1"/>
    <row r="741" ht="14.1" customHeight="1"/>
    <row r="742" ht="14.1" customHeight="1"/>
    <row r="743" ht="14.1" customHeight="1"/>
    <row r="744" ht="14.1" customHeight="1"/>
    <row r="745" ht="14.1" customHeight="1"/>
    <row r="746" ht="14.1" customHeight="1"/>
    <row r="747" ht="14.1" customHeight="1"/>
    <row r="748" ht="14.1" customHeight="1"/>
    <row r="749" ht="14.1" customHeight="1"/>
    <row r="750" ht="14.1" customHeight="1"/>
    <row r="751" ht="14.1" customHeight="1"/>
    <row r="752" ht="14.1" customHeight="1"/>
    <row r="753" ht="14.1" customHeight="1"/>
    <row r="754" ht="14.1" customHeight="1"/>
    <row r="755" ht="14.1" customHeight="1"/>
    <row r="756" ht="14.1" customHeight="1"/>
    <row r="757" ht="14.1" customHeight="1"/>
    <row r="758" ht="14.1" customHeight="1"/>
    <row r="759" ht="14.1" customHeight="1"/>
    <row r="760" ht="14.1" customHeight="1"/>
    <row r="761" ht="14.1" customHeight="1"/>
    <row r="762" ht="14.1" customHeight="1"/>
    <row r="763" ht="14.1" customHeight="1"/>
    <row r="764" ht="14.1" customHeight="1"/>
    <row r="765" ht="14.1" customHeight="1"/>
    <row r="766" ht="14.1" customHeight="1"/>
    <row r="767" ht="14.1" customHeight="1"/>
    <row r="768" ht="14.1" customHeight="1"/>
    <row r="769" ht="14.1" customHeight="1"/>
    <row r="770" ht="14.1" customHeight="1"/>
    <row r="771" ht="14.1" customHeight="1"/>
    <row r="772" ht="14.1" customHeight="1"/>
    <row r="773" ht="14.1" customHeight="1"/>
    <row r="774" ht="14.1" customHeight="1"/>
    <row r="775" ht="14.1" customHeight="1"/>
    <row r="776" ht="14.1" customHeight="1"/>
    <row r="777" ht="14.1" customHeight="1"/>
    <row r="778" ht="14.1" customHeight="1"/>
    <row r="779" ht="14.1" customHeight="1"/>
    <row r="780" ht="14.1" customHeight="1"/>
    <row r="781" ht="14.1" customHeight="1"/>
    <row r="782" ht="14.1" customHeight="1"/>
    <row r="783" ht="14.1" customHeight="1"/>
    <row r="784" ht="14.1" customHeight="1"/>
    <row r="785" ht="14.1" customHeight="1"/>
    <row r="786" ht="14.1" customHeight="1"/>
    <row r="787" ht="14.1" customHeight="1"/>
    <row r="788" ht="14.1" customHeight="1"/>
    <row r="789" ht="14.1" customHeight="1"/>
    <row r="790" ht="14.1" customHeight="1"/>
    <row r="791" ht="14.1" customHeight="1"/>
    <row r="792" ht="14.1" customHeight="1"/>
    <row r="793" ht="14.1" customHeight="1"/>
  </sheetData>
  <pageMargins left="0.61" right="0.16" top="0.87" bottom="0.21" header="0.16" footer="0.16"/>
  <pageSetup paperSize="8" scale="49" orientation="portrait"/>
  <headerFooter alignWithMargins="0">
    <oddFooter>&amp;L_x000D_&amp;1#&amp;"Arial"&amp;7&amp;KDAD4CE Public&amp;C&amp;"Verdana"&amp;10 &amp;KC1C1C1_x000D_# Restricted</oddFooter>
  </headerFooter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500-000000000000}">
  <sheetPr codeName="Sheet43">
    <tabColor rgb="FF0070C0"/>
  </sheetPr>
  <dimension ref="A1:U793"/>
  <sheetViews>
    <sheetView zoomScale="80" zoomScaleNormal="80" workbookViewId="0">
      <selection activeCell="A16" sqref="A16"/>
    </sheetView>
  </sheetViews>
  <sheetFormatPr defaultColWidth="8.85546875" defaultRowHeight="15"/>
  <cols>
    <col min="1" max="1" width="4.140625" style="43" customWidth="1"/>
    <col min="2" max="3" width="8.5703125" style="22" customWidth="1"/>
    <col min="4" max="4" width="14.5703125" style="43" customWidth="1"/>
    <col min="5" max="5" width="20.5703125" style="22" customWidth="1"/>
    <col min="6" max="6" width="8.5703125" style="43" customWidth="1"/>
    <col min="7" max="7" width="32.5703125" style="22" customWidth="1"/>
    <col min="8" max="8" width="18.5703125" style="43" customWidth="1"/>
    <col min="9" max="9" width="62.5703125" style="22" customWidth="1"/>
    <col min="10" max="12" width="9.5703125" style="43" customWidth="1"/>
    <col min="13" max="13" width="10.5703125" style="43" customWidth="1"/>
    <col min="14" max="14" width="8.5703125" style="43" customWidth="1"/>
    <col min="15" max="15" width="10.5703125" style="43" customWidth="1"/>
    <col min="16" max="16" width="5.5703125" style="43" customWidth="1"/>
    <col min="17" max="17" width="1.5703125" style="22" customWidth="1"/>
    <col min="18" max="18" width="10.5703125" style="68" customWidth="1"/>
    <col min="19" max="19" width="1.5703125" style="22" customWidth="1"/>
    <col min="20" max="20" width="10.5703125" style="22" customWidth="1"/>
    <col min="21" max="21" width="10.5703125" style="43" customWidth="1"/>
    <col min="22" max="22" width="8.85546875" style="71" customWidth="1"/>
    <col min="23" max="16384" width="8.85546875" style="71"/>
  </cols>
  <sheetData>
    <row r="1" spans="1:21" s="2" customFormat="1" ht="14.1" customHeight="1">
      <c r="A1" s="1" t="s">
        <v>4813</v>
      </c>
      <c r="E1" s="20"/>
      <c r="R1" s="10"/>
    </row>
    <row r="2" spans="1:21" s="2" customFormat="1" ht="14.1" customHeight="1">
      <c r="A2" s="4" t="s">
        <v>4814</v>
      </c>
      <c r="E2" s="20"/>
      <c r="H2" s="4"/>
      <c r="K2" s="4"/>
      <c r="R2" s="336"/>
    </row>
    <row r="3" spans="1:21" s="6" customFormat="1" ht="14.1" customHeight="1">
      <c r="A3" s="3"/>
      <c r="B3" s="16"/>
      <c r="C3" s="16"/>
      <c r="D3" s="23"/>
      <c r="E3" s="16"/>
      <c r="F3" s="23"/>
      <c r="G3" s="15"/>
      <c r="H3" s="25"/>
      <c r="I3" s="15"/>
      <c r="J3" s="25"/>
      <c r="K3" s="25"/>
      <c r="L3" s="25"/>
      <c r="M3" s="25"/>
      <c r="N3" s="25"/>
      <c r="O3" s="25"/>
      <c r="P3" s="25"/>
      <c r="Q3" s="2"/>
      <c r="R3" s="355" t="s">
        <v>2</v>
      </c>
      <c r="S3" s="2"/>
      <c r="T3" s="42"/>
      <c r="U3" s="42"/>
    </row>
    <row r="4" spans="1:21" s="5" customFormat="1" ht="33" customHeight="1">
      <c r="A4" s="21" t="s">
        <v>3</v>
      </c>
      <c r="B4" s="52" t="s">
        <v>4</v>
      </c>
      <c r="C4" s="52" t="s">
        <v>5</v>
      </c>
      <c r="D4" s="21" t="s">
        <v>6</v>
      </c>
      <c r="E4" s="21" t="s">
        <v>7</v>
      </c>
      <c r="F4" s="21" t="s">
        <v>8</v>
      </c>
      <c r="G4" s="21" t="s">
        <v>9</v>
      </c>
      <c r="H4" s="21" t="s">
        <v>10</v>
      </c>
      <c r="I4" s="21" t="s">
        <v>11</v>
      </c>
      <c r="J4" s="21" t="s">
        <v>12</v>
      </c>
      <c r="K4" s="21" t="s">
        <v>13</v>
      </c>
      <c r="L4" s="21" t="s">
        <v>455</v>
      </c>
      <c r="M4" s="21" t="s">
        <v>15</v>
      </c>
      <c r="N4" s="21" t="s">
        <v>16</v>
      </c>
      <c r="O4" s="21" t="s">
        <v>17</v>
      </c>
      <c r="P4" s="21" t="s">
        <v>18</v>
      </c>
      <c r="Q4" s="3"/>
      <c r="R4" s="41" t="s">
        <v>19</v>
      </c>
      <c r="S4" s="3"/>
      <c r="T4" s="42" t="s">
        <v>20</v>
      </c>
      <c r="U4" s="42" t="s">
        <v>21</v>
      </c>
    </row>
    <row r="5" spans="1:21" ht="14.1" customHeight="1">
      <c r="A5" s="29">
        <v>1</v>
      </c>
      <c r="B5" s="19" t="s">
        <v>456</v>
      </c>
      <c r="C5" s="19" t="s">
        <v>412</v>
      </c>
      <c r="D5" s="29" t="s">
        <v>684</v>
      </c>
      <c r="E5" s="19" t="s">
        <v>413</v>
      </c>
      <c r="F5" s="29" t="s">
        <v>457</v>
      </c>
      <c r="G5" s="19" t="s">
        <v>4815</v>
      </c>
      <c r="H5" s="29" t="s">
        <v>4022</v>
      </c>
      <c r="I5" s="19" t="s">
        <v>4816</v>
      </c>
      <c r="J5" s="29" t="s">
        <v>30</v>
      </c>
      <c r="K5" s="29" t="s">
        <v>4022</v>
      </c>
      <c r="L5" s="29" t="s">
        <v>322</v>
      </c>
      <c r="M5" s="29">
        <v>8301600000</v>
      </c>
      <c r="N5" s="29">
        <v>300</v>
      </c>
      <c r="O5" s="29" t="s">
        <v>4817</v>
      </c>
      <c r="P5" s="29"/>
      <c r="R5" s="9">
        <v>48.941333114546588</v>
      </c>
      <c r="T5" s="19"/>
      <c r="U5" s="29" t="s">
        <v>4607</v>
      </c>
    </row>
    <row r="6" spans="1:21" ht="14.1" customHeight="1">
      <c r="A6" s="29">
        <v>2</v>
      </c>
      <c r="B6" s="19" t="s">
        <v>456</v>
      </c>
      <c r="C6" s="19" t="s">
        <v>412</v>
      </c>
      <c r="D6" s="29" t="s">
        <v>684</v>
      </c>
      <c r="E6" s="19" t="s">
        <v>413</v>
      </c>
      <c r="F6" s="29" t="s">
        <v>457</v>
      </c>
      <c r="G6" s="19" t="s">
        <v>4818</v>
      </c>
      <c r="H6" s="29" t="s">
        <v>4022</v>
      </c>
      <c r="I6" s="19" t="s">
        <v>4819</v>
      </c>
      <c r="J6" s="29" t="s">
        <v>30</v>
      </c>
      <c r="K6" s="29" t="s">
        <v>4022</v>
      </c>
      <c r="L6" s="29" t="s">
        <v>322</v>
      </c>
      <c r="M6" s="29">
        <v>8301600000</v>
      </c>
      <c r="N6" s="29">
        <v>300</v>
      </c>
      <c r="O6" s="29" t="s">
        <v>4817</v>
      </c>
      <c r="P6" s="29"/>
      <c r="R6" s="9">
        <v>57.844722955697357</v>
      </c>
      <c r="T6" s="19"/>
      <c r="U6" s="29" t="s">
        <v>4607</v>
      </c>
    </row>
    <row r="7" spans="1:21" ht="14.1" customHeight="1">
      <c r="A7" s="29">
        <v>3</v>
      </c>
      <c r="B7" s="19" t="s">
        <v>456</v>
      </c>
      <c r="C7" s="19" t="s">
        <v>412</v>
      </c>
      <c r="D7" s="29" t="s">
        <v>684</v>
      </c>
      <c r="E7" s="19" t="s">
        <v>413</v>
      </c>
      <c r="F7" s="29" t="s">
        <v>457</v>
      </c>
      <c r="G7" s="19" t="s">
        <v>4820</v>
      </c>
      <c r="H7" s="29" t="s">
        <v>4022</v>
      </c>
      <c r="I7" s="19" t="s">
        <v>4821</v>
      </c>
      <c r="J7" s="29" t="s">
        <v>30</v>
      </c>
      <c r="K7" s="29" t="s">
        <v>4022</v>
      </c>
      <c r="L7" s="29" t="s">
        <v>322</v>
      </c>
      <c r="M7" s="29">
        <v>8301600000</v>
      </c>
      <c r="N7" s="29">
        <v>300</v>
      </c>
      <c r="O7" s="29" t="s">
        <v>4817</v>
      </c>
      <c r="P7" s="29"/>
      <c r="R7" s="9">
        <v>60.275403004355091</v>
      </c>
      <c r="T7" s="19"/>
      <c r="U7" s="29" t="s">
        <v>4607</v>
      </c>
    </row>
    <row r="8" spans="1:21" ht="14.1" customHeight="1">
      <c r="A8" s="29">
        <v>4</v>
      </c>
      <c r="B8" s="19" t="s">
        <v>456</v>
      </c>
      <c r="C8" s="19" t="s">
        <v>412</v>
      </c>
      <c r="D8" s="29" t="s">
        <v>684</v>
      </c>
      <c r="E8" s="19" t="s">
        <v>413</v>
      </c>
      <c r="F8" s="29" t="s">
        <v>457</v>
      </c>
      <c r="G8" s="19" t="s">
        <v>4822</v>
      </c>
      <c r="H8" s="29" t="s">
        <v>4022</v>
      </c>
      <c r="I8" s="19" t="s">
        <v>4823</v>
      </c>
      <c r="J8" s="29" t="s">
        <v>30</v>
      </c>
      <c r="K8" s="29" t="s">
        <v>4022</v>
      </c>
      <c r="L8" s="29" t="s">
        <v>322</v>
      </c>
      <c r="M8" s="29">
        <v>8301600000</v>
      </c>
      <c r="N8" s="29">
        <v>300</v>
      </c>
      <c r="O8" s="29" t="s">
        <v>4817</v>
      </c>
      <c r="P8" s="29"/>
      <c r="R8" s="9">
        <v>64.317432748190427</v>
      </c>
      <c r="T8" s="19"/>
      <c r="U8" s="29" t="s">
        <v>4607</v>
      </c>
    </row>
    <row r="9" spans="1:21" ht="14.1" customHeight="1">
      <c r="A9" s="29">
        <v>5</v>
      </c>
      <c r="B9" s="19" t="s">
        <v>456</v>
      </c>
      <c r="C9" s="19" t="s">
        <v>412</v>
      </c>
      <c r="D9" s="29" t="s">
        <v>684</v>
      </c>
      <c r="E9" s="19" t="s">
        <v>413</v>
      </c>
      <c r="F9" s="29" t="s">
        <v>457</v>
      </c>
      <c r="G9" s="19" t="s">
        <v>4824</v>
      </c>
      <c r="H9" s="29" t="s">
        <v>1846</v>
      </c>
      <c r="I9" s="19" t="s">
        <v>4825</v>
      </c>
      <c r="J9" s="29" t="s">
        <v>123</v>
      </c>
      <c r="K9" s="29" t="s">
        <v>1848</v>
      </c>
      <c r="L9" s="29" t="s">
        <v>322</v>
      </c>
      <c r="M9" s="29">
        <v>8301600000</v>
      </c>
      <c r="N9" s="29">
        <v>300</v>
      </c>
      <c r="O9" s="29" t="s">
        <v>4817</v>
      </c>
      <c r="P9" s="29"/>
      <c r="R9" s="9">
        <v>68.714505645200475</v>
      </c>
      <c r="T9" s="19"/>
      <c r="U9" s="29" t="s">
        <v>4607</v>
      </c>
    </row>
    <row r="10" spans="1:21" ht="14.1" customHeight="1">
      <c r="A10" s="29">
        <v>6</v>
      </c>
      <c r="B10" s="19" t="s">
        <v>456</v>
      </c>
      <c r="C10" s="19" t="s">
        <v>412</v>
      </c>
      <c r="D10" s="29" t="s">
        <v>684</v>
      </c>
      <c r="E10" s="19" t="s">
        <v>413</v>
      </c>
      <c r="F10" s="29" t="s">
        <v>457</v>
      </c>
      <c r="G10" s="19" t="s">
        <v>4826</v>
      </c>
      <c r="H10" s="29" t="s">
        <v>4022</v>
      </c>
      <c r="I10" s="19" t="s">
        <v>4827</v>
      </c>
      <c r="J10" s="29" t="s">
        <v>30</v>
      </c>
      <c r="K10" s="29" t="s">
        <v>4022</v>
      </c>
      <c r="L10" s="29" t="s">
        <v>322</v>
      </c>
      <c r="M10" s="29">
        <v>8301600000</v>
      </c>
      <c r="N10" s="29">
        <v>300</v>
      </c>
      <c r="O10" s="29" t="s">
        <v>4817</v>
      </c>
      <c r="P10" s="29"/>
      <c r="R10" s="9">
        <v>69.970812187203336</v>
      </c>
      <c r="T10" s="19"/>
      <c r="U10" s="29" t="s">
        <v>4607</v>
      </c>
    </row>
    <row r="11" spans="1:21" ht="14.1" customHeight="1">
      <c r="A11" s="29">
        <v>7</v>
      </c>
      <c r="B11" s="19" t="s">
        <v>456</v>
      </c>
      <c r="C11" s="19" t="s">
        <v>412</v>
      </c>
      <c r="D11" s="29" t="s">
        <v>684</v>
      </c>
      <c r="E11" s="19" t="s">
        <v>413</v>
      </c>
      <c r="F11" s="29" t="s">
        <v>457</v>
      </c>
      <c r="G11" s="19" t="s">
        <v>4828</v>
      </c>
      <c r="H11" s="29" t="s">
        <v>4022</v>
      </c>
      <c r="I11" s="19" t="s">
        <v>4829</v>
      </c>
      <c r="J11" s="29" t="s">
        <v>30</v>
      </c>
      <c r="K11" s="29" t="s">
        <v>4022</v>
      </c>
      <c r="L11" s="29" t="s">
        <v>322</v>
      </c>
      <c r="M11" s="29">
        <v>8301600000</v>
      </c>
      <c r="N11" s="29">
        <v>300</v>
      </c>
      <c r="O11" s="29" t="s">
        <v>4817</v>
      </c>
      <c r="P11" s="29"/>
      <c r="R11" s="9">
        <v>71.964516047338321</v>
      </c>
      <c r="T11" s="19"/>
      <c r="U11" s="29" t="s">
        <v>4607</v>
      </c>
    </row>
    <row r="12" spans="1:21" ht="14.1" customHeight="1">
      <c r="A12" s="29">
        <v>8</v>
      </c>
      <c r="B12" s="19" t="s">
        <v>456</v>
      </c>
      <c r="C12" s="19" t="s">
        <v>412</v>
      </c>
      <c r="D12" s="29" t="s">
        <v>684</v>
      </c>
      <c r="E12" s="19" t="s">
        <v>413</v>
      </c>
      <c r="F12" s="29" t="s">
        <v>457</v>
      </c>
      <c r="G12" s="19" t="s">
        <v>4830</v>
      </c>
      <c r="H12" s="29" t="s">
        <v>4062</v>
      </c>
      <c r="I12" s="19" t="s">
        <v>4831</v>
      </c>
      <c r="J12" s="29" t="s">
        <v>30</v>
      </c>
      <c r="K12" s="29" t="s">
        <v>4062</v>
      </c>
      <c r="L12" s="29" t="s">
        <v>322</v>
      </c>
      <c r="M12" s="29">
        <v>8301600000</v>
      </c>
      <c r="N12" s="29">
        <v>300</v>
      </c>
      <c r="O12" s="29" t="s">
        <v>4817</v>
      </c>
      <c r="P12" s="29"/>
      <c r="R12" s="9">
        <v>72.210315153382368</v>
      </c>
      <c r="T12" s="19"/>
      <c r="U12" s="29" t="s">
        <v>4607</v>
      </c>
    </row>
    <row r="13" spans="1:21" ht="14.1" customHeight="1">
      <c r="A13" s="29">
        <v>9</v>
      </c>
      <c r="B13" s="19" t="s">
        <v>456</v>
      </c>
      <c r="C13" s="19" t="s">
        <v>412</v>
      </c>
      <c r="D13" s="29" t="s">
        <v>684</v>
      </c>
      <c r="E13" s="19" t="s">
        <v>413</v>
      </c>
      <c r="F13" s="29" t="s">
        <v>457</v>
      </c>
      <c r="G13" s="19" t="s">
        <v>4832</v>
      </c>
      <c r="H13" s="29" t="s">
        <v>4022</v>
      </c>
      <c r="I13" s="19" t="s">
        <v>4833</v>
      </c>
      <c r="J13" s="29" t="s">
        <v>30</v>
      </c>
      <c r="K13" s="29" t="s">
        <v>4022</v>
      </c>
      <c r="L13" s="29" t="s">
        <v>322</v>
      </c>
      <c r="M13" s="29">
        <v>8301600000</v>
      </c>
      <c r="N13" s="29">
        <v>300</v>
      </c>
      <c r="O13" s="29" t="s">
        <v>4817</v>
      </c>
      <c r="P13" s="29"/>
      <c r="R13" s="9">
        <v>74.395196095996056</v>
      </c>
      <c r="T13" s="19"/>
      <c r="U13" s="29" t="s">
        <v>4607</v>
      </c>
    </row>
    <row r="14" spans="1:21" ht="14.1" customHeight="1">
      <c r="A14" s="29">
        <v>10</v>
      </c>
      <c r="B14" s="19" t="s">
        <v>456</v>
      </c>
      <c r="C14" s="19" t="s">
        <v>412</v>
      </c>
      <c r="D14" s="29" t="s">
        <v>684</v>
      </c>
      <c r="E14" s="19" t="s">
        <v>4263</v>
      </c>
      <c r="F14" s="29" t="s">
        <v>457</v>
      </c>
      <c r="G14" s="19" t="s">
        <v>4834</v>
      </c>
      <c r="H14" s="29" t="s">
        <v>42</v>
      </c>
      <c r="I14" s="19" t="s">
        <v>4835</v>
      </c>
      <c r="J14" s="29" t="s">
        <v>30</v>
      </c>
      <c r="K14" s="29"/>
      <c r="L14" s="29" t="s">
        <v>322</v>
      </c>
      <c r="M14" s="29">
        <v>8301600000</v>
      </c>
      <c r="N14" s="29">
        <v>300</v>
      </c>
      <c r="O14" s="29" t="s">
        <v>4817</v>
      </c>
      <c r="P14" s="29"/>
      <c r="R14" s="9">
        <v>90.863736200946718</v>
      </c>
      <c r="T14" s="19"/>
      <c r="U14" s="29" t="s">
        <v>4607</v>
      </c>
    </row>
    <row r="15" spans="1:21" ht="14.1" customHeight="1">
      <c r="A15" s="29">
        <v>11</v>
      </c>
      <c r="B15" s="19" t="s">
        <v>456</v>
      </c>
      <c r="C15" s="19" t="s">
        <v>412</v>
      </c>
      <c r="D15" s="29" t="s">
        <v>684</v>
      </c>
      <c r="E15" s="19" t="s">
        <v>413</v>
      </c>
      <c r="F15" s="29" t="s">
        <v>457</v>
      </c>
      <c r="G15" s="19" t="s">
        <v>4836</v>
      </c>
      <c r="H15" s="29" t="s">
        <v>4062</v>
      </c>
      <c r="I15" s="19" t="s">
        <v>4837</v>
      </c>
      <c r="J15" s="29" t="s">
        <v>30</v>
      </c>
      <c r="K15" s="29" t="s">
        <v>4062</v>
      </c>
      <c r="L15" s="29" t="s">
        <v>322</v>
      </c>
      <c r="M15" s="29">
        <v>8301600000</v>
      </c>
      <c r="N15" s="29">
        <v>300</v>
      </c>
      <c r="O15" s="29" t="s">
        <v>4817</v>
      </c>
      <c r="P15" s="29"/>
      <c r="R15" s="9">
        <v>61.53170954635798</v>
      </c>
      <c r="T15" s="19"/>
      <c r="U15" s="29" t="s">
        <v>4607</v>
      </c>
    </row>
    <row r="16" spans="1:21" ht="14.1" customHeight="1">
      <c r="A16" s="29">
        <v>12</v>
      </c>
      <c r="B16" s="19" t="s">
        <v>456</v>
      </c>
      <c r="C16" s="19" t="s">
        <v>412</v>
      </c>
      <c r="D16" s="29" t="s">
        <v>684</v>
      </c>
      <c r="E16" s="19" t="s">
        <v>413</v>
      </c>
      <c r="F16" s="29" t="s">
        <v>457</v>
      </c>
      <c r="G16" s="19" t="s">
        <v>4838</v>
      </c>
      <c r="H16" s="29" t="s">
        <v>4022</v>
      </c>
      <c r="I16" s="19" t="s">
        <v>4839</v>
      </c>
      <c r="J16" s="29" t="s">
        <v>30</v>
      </c>
      <c r="K16" s="29" t="s">
        <v>4022</v>
      </c>
      <c r="L16" s="29" t="s">
        <v>322</v>
      </c>
      <c r="M16" s="29">
        <v>8301600000</v>
      </c>
      <c r="N16" s="29">
        <v>300</v>
      </c>
      <c r="O16" s="29" t="s">
        <v>4817</v>
      </c>
      <c r="P16" s="29"/>
      <c r="R16" s="9">
        <v>62.542216982316788</v>
      </c>
      <c r="T16" s="19"/>
      <c r="U16" s="29" t="s">
        <v>4607</v>
      </c>
    </row>
    <row r="17" spans="1:21" ht="14.1" customHeight="1">
      <c r="A17" s="29">
        <v>13</v>
      </c>
      <c r="B17" s="19" t="s">
        <v>456</v>
      </c>
      <c r="C17" s="19" t="s">
        <v>412</v>
      </c>
      <c r="D17" s="29" t="s">
        <v>684</v>
      </c>
      <c r="E17" s="19" t="s">
        <v>413</v>
      </c>
      <c r="F17" s="29" t="s">
        <v>457</v>
      </c>
      <c r="G17" s="19" t="s">
        <v>4840</v>
      </c>
      <c r="H17" s="29" t="s">
        <v>4022</v>
      </c>
      <c r="I17" s="19" t="s">
        <v>4841</v>
      </c>
      <c r="J17" s="29" t="s">
        <v>30</v>
      </c>
      <c r="K17" s="29" t="s">
        <v>4022</v>
      </c>
      <c r="L17" s="29" t="s">
        <v>322</v>
      </c>
      <c r="M17" s="29">
        <v>8301600000</v>
      </c>
      <c r="N17" s="29">
        <v>300</v>
      </c>
      <c r="O17" s="29" t="s">
        <v>4817</v>
      </c>
      <c r="P17" s="29"/>
      <c r="R17" s="9">
        <v>53.638827141166018</v>
      </c>
      <c r="T17" s="19"/>
      <c r="U17" s="29" t="s">
        <v>4607</v>
      </c>
    </row>
    <row r="18" spans="1:21" ht="14.1" customHeight="1">
      <c r="A18" s="29">
        <v>14</v>
      </c>
      <c r="B18" s="154" t="s">
        <v>456</v>
      </c>
      <c r="C18" s="154" t="s">
        <v>412</v>
      </c>
      <c r="D18" s="155" t="s">
        <v>684</v>
      </c>
      <c r="E18" s="154" t="s">
        <v>413</v>
      </c>
      <c r="F18" s="155" t="s">
        <v>457</v>
      </c>
      <c r="G18" s="154" t="s">
        <v>4842</v>
      </c>
      <c r="H18" s="155" t="s">
        <v>4022</v>
      </c>
      <c r="I18" s="19" t="s">
        <v>4843</v>
      </c>
      <c r="J18" s="29" t="s">
        <v>30</v>
      </c>
      <c r="K18" s="29" t="s">
        <v>4022</v>
      </c>
      <c r="L18" s="29" t="s">
        <v>322</v>
      </c>
      <c r="M18" s="29">
        <v>8301600000</v>
      </c>
      <c r="N18" s="196">
        <v>300</v>
      </c>
      <c r="O18" s="29" t="s">
        <v>4817</v>
      </c>
      <c r="P18" s="29"/>
      <c r="R18" s="9">
        <v>64.945586019191865</v>
      </c>
      <c r="T18" s="19"/>
      <c r="U18" s="29" t="s">
        <v>4607</v>
      </c>
    </row>
    <row r="19" spans="1:21" ht="14.1" customHeight="1">
      <c r="A19" s="29">
        <v>15</v>
      </c>
      <c r="B19" s="19" t="s">
        <v>456</v>
      </c>
      <c r="C19" s="19" t="s">
        <v>412</v>
      </c>
      <c r="D19" s="29" t="s">
        <v>684</v>
      </c>
      <c r="E19" s="19" t="s">
        <v>413</v>
      </c>
      <c r="F19" s="29" t="s">
        <v>457</v>
      </c>
      <c r="G19" s="19" t="s">
        <v>4844</v>
      </c>
      <c r="H19" s="29" t="s">
        <v>4022</v>
      </c>
      <c r="I19" s="19" t="s">
        <v>4845</v>
      </c>
      <c r="J19" s="29" t="s">
        <v>30</v>
      </c>
      <c r="K19" s="29" t="s">
        <v>4022</v>
      </c>
      <c r="L19" s="29" t="s">
        <v>322</v>
      </c>
      <c r="M19" s="29">
        <v>8301600000</v>
      </c>
      <c r="N19" s="196">
        <v>300</v>
      </c>
      <c r="O19" s="29" t="s">
        <v>4817</v>
      </c>
      <c r="P19" s="29"/>
      <c r="R19" s="9">
        <v>84.145227302409637</v>
      </c>
      <c r="T19" s="19"/>
      <c r="U19" s="29" t="s">
        <v>4607</v>
      </c>
    </row>
    <row r="20" spans="1:21" ht="14.1" customHeight="1">
      <c r="A20" s="29">
        <v>16</v>
      </c>
      <c r="B20" s="19" t="s">
        <v>456</v>
      </c>
      <c r="C20" s="19" t="s">
        <v>412</v>
      </c>
      <c r="D20" s="29" t="s">
        <v>684</v>
      </c>
      <c r="E20" s="19" t="s">
        <v>413</v>
      </c>
      <c r="F20" s="29" t="s">
        <v>457</v>
      </c>
      <c r="G20" s="19" t="s">
        <v>4846</v>
      </c>
      <c r="H20" s="29" t="s">
        <v>4022</v>
      </c>
      <c r="I20" s="19" t="s">
        <v>4847</v>
      </c>
      <c r="J20" s="29" t="s">
        <v>30</v>
      </c>
      <c r="K20" s="29" t="s">
        <v>4022</v>
      </c>
      <c r="L20" s="29" t="s">
        <v>322</v>
      </c>
      <c r="M20" s="29">
        <v>8301600000</v>
      </c>
      <c r="N20" s="196">
        <v>300</v>
      </c>
      <c r="O20" s="29" t="s">
        <v>4817</v>
      </c>
      <c r="P20" s="29"/>
      <c r="R20" s="9">
        <v>95.533919215783456</v>
      </c>
      <c r="T20" s="19"/>
      <c r="U20" s="29" t="s">
        <v>4607</v>
      </c>
    </row>
    <row r="21" spans="1:21" ht="14.1" customHeight="1">
      <c r="A21" s="29">
        <v>17</v>
      </c>
      <c r="B21" s="19" t="s">
        <v>609</v>
      </c>
      <c r="C21" s="19" t="s">
        <v>412</v>
      </c>
      <c r="D21" s="29" t="s">
        <v>684</v>
      </c>
      <c r="E21" s="19" t="s">
        <v>413</v>
      </c>
      <c r="F21" s="29" t="s">
        <v>26</v>
      </c>
      <c r="G21" s="19" t="s">
        <v>4848</v>
      </c>
      <c r="H21" s="29" t="s">
        <v>4022</v>
      </c>
      <c r="I21" s="19" t="s">
        <v>4849</v>
      </c>
      <c r="J21" s="29" t="s">
        <v>30</v>
      </c>
      <c r="K21" s="29" t="s">
        <v>4022</v>
      </c>
      <c r="L21" s="29" t="s">
        <v>322</v>
      </c>
      <c r="M21" s="29">
        <v>8301600000</v>
      </c>
      <c r="N21" s="196">
        <v>300</v>
      </c>
      <c r="O21" s="29" t="s">
        <v>4817</v>
      </c>
      <c r="P21" s="29"/>
      <c r="R21" s="9">
        <v>78.683024945875403</v>
      </c>
      <c r="T21" s="19"/>
      <c r="U21" s="29" t="s">
        <v>4607</v>
      </c>
    </row>
    <row r="22" spans="1:21" ht="14.1" customHeight="1">
      <c r="A22" s="29">
        <v>18</v>
      </c>
      <c r="B22" s="19" t="s">
        <v>609</v>
      </c>
      <c r="C22" s="19" t="s">
        <v>412</v>
      </c>
      <c r="D22" s="29" t="s">
        <v>684</v>
      </c>
      <c r="E22" s="19" t="s">
        <v>413</v>
      </c>
      <c r="F22" s="29" t="s">
        <v>26</v>
      </c>
      <c r="G22" s="19" t="s">
        <v>4850</v>
      </c>
      <c r="H22" s="29" t="s">
        <v>4022</v>
      </c>
      <c r="I22" s="19" t="s">
        <v>4851</v>
      </c>
      <c r="J22" s="29" t="s">
        <v>30</v>
      </c>
      <c r="K22" s="29" t="s">
        <v>4022</v>
      </c>
      <c r="L22" s="29" t="s">
        <v>322</v>
      </c>
      <c r="M22" s="29">
        <v>8301600000</v>
      </c>
      <c r="N22" s="29">
        <v>300</v>
      </c>
      <c r="O22" s="29" t="s">
        <v>4817</v>
      </c>
      <c r="P22" s="29"/>
      <c r="R22" s="9">
        <v>81.250260053446482</v>
      </c>
      <c r="T22" s="19"/>
      <c r="U22" s="29" t="s">
        <v>4607</v>
      </c>
    </row>
    <row r="23" spans="1:21" ht="14.1" customHeight="1">
      <c r="A23" s="29">
        <v>19</v>
      </c>
      <c r="B23" s="19" t="s">
        <v>609</v>
      </c>
      <c r="C23" s="19" t="s">
        <v>412</v>
      </c>
      <c r="D23" s="29" t="s">
        <v>684</v>
      </c>
      <c r="E23" s="19" t="s">
        <v>413</v>
      </c>
      <c r="F23" s="29" t="s">
        <v>26</v>
      </c>
      <c r="G23" s="19" t="s">
        <v>4852</v>
      </c>
      <c r="H23" s="29" t="s">
        <v>4022</v>
      </c>
      <c r="I23" s="19" t="s">
        <v>4853</v>
      </c>
      <c r="J23" s="29" t="s">
        <v>30</v>
      </c>
      <c r="K23" s="29" t="s">
        <v>4022</v>
      </c>
      <c r="L23" s="29" t="s">
        <v>322</v>
      </c>
      <c r="M23" s="29">
        <v>8301600000</v>
      </c>
      <c r="N23" s="29">
        <v>300</v>
      </c>
      <c r="O23" s="29" t="s">
        <v>4817</v>
      </c>
      <c r="P23" s="29"/>
      <c r="R23" s="9">
        <v>84.391026408453669</v>
      </c>
      <c r="T23" s="19"/>
      <c r="U23" s="29" t="s">
        <v>4607</v>
      </c>
    </row>
    <row r="24" spans="1:21" ht="14.1" customHeight="1">
      <c r="A24" s="29">
        <v>20</v>
      </c>
      <c r="B24" s="19" t="s">
        <v>609</v>
      </c>
      <c r="C24" s="19" t="s">
        <v>412</v>
      </c>
      <c r="D24" s="29" t="s">
        <v>684</v>
      </c>
      <c r="E24" s="19" t="s">
        <v>413</v>
      </c>
      <c r="F24" s="29" t="s">
        <v>26</v>
      </c>
      <c r="G24" s="19" t="s">
        <v>4854</v>
      </c>
      <c r="H24" s="29" t="s">
        <v>4022</v>
      </c>
      <c r="I24" s="19" t="s">
        <v>4855</v>
      </c>
      <c r="J24" s="29" t="s">
        <v>30</v>
      </c>
      <c r="K24" s="29" t="s">
        <v>4022</v>
      </c>
      <c r="L24" s="29" t="s">
        <v>322</v>
      </c>
      <c r="M24" s="29">
        <v>8301600000</v>
      </c>
      <c r="N24" s="29">
        <v>300</v>
      </c>
      <c r="O24" s="29" t="s">
        <v>4817</v>
      </c>
      <c r="P24" s="29"/>
      <c r="R24" s="9">
        <v>69.67039105759396</v>
      </c>
      <c r="T24" s="19"/>
      <c r="U24" s="29" t="s">
        <v>4607</v>
      </c>
    </row>
    <row r="25" spans="1:21" ht="14.1" customHeight="1">
      <c r="A25" s="29">
        <v>21</v>
      </c>
      <c r="B25" s="19" t="s">
        <v>609</v>
      </c>
      <c r="C25" s="19" t="s">
        <v>412</v>
      </c>
      <c r="D25" s="29" t="s">
        <v>684</v>
      </c>
      <c r="E25" s="19" t="s">
        <v>413</v>
      </c>
      <c r="F25" s="29" t="s">
        <v>26</v>
      </c>
      <c r="G25" s="19" t="s">
        <v>4856</v>
      </c>
      <c r="H25" s="29" t="s">
        <v>4022</v>
      </c>
      <c r="I25" s="19" t="s">
        <v>4857</v>
      </c>
      <c r="J25" s="29" t="s">
        <v>30</v>
      </c>
      <c r="K25" s="29" t="s">
        <v>4022</v>
      </c>
      <c r="L25" s="29" t="s">
        <v>322</v>
      </c>
      <c r="M25" s="29">
        <v>8301600000</v>
      </c>
      <c r="N25" s="29">
        <v>300</v>
      </c>
      <c r="O25" s="29" t="s">
        <v>4817</v>
      </c>
      <c r="P25" s="29"/>
      <c r="R25" s="9">
        <v>81.250260053446482</v>
      </c>
      <c r="T25" s="19"/>
      <c r="U25" s="29" t="s">
        <v>4607</v>
      </c>
    </row>
    <row r="26" spans="1:21" ht="14.1" customHeight="1">
      <c r="A26" s="29">
        <v>22</v>
      </c>
      <c r="B26" s="19" t="s">
        <v>609</v>
      </c>
      <c r="C26" s="19" t="s">
        <v>412</v>
      </c>
      <c r="D26" s="29" t="s">
        <v>684</v>
      </c>
      <c r="E26" s="19" t="s">
        <v>413</v>
      </c>
      <c r="F26" s="29" t="s">
        <v>26</v>
      </c>
      <c r="G26" s="19" t="s">
        <v>4858</v>
      </c>
      <c r="H26" s="29" t="s">
        <v>1001</v>
      </c>
      <c r="I26" s="19" t="s">
        <v>4859</v>
      </c>
      <c r="J26" s="29" t="s">
        <v>30</v>
      </c>
      <c r="K26" s="29" t="s">
        <v>1001</v>
      </c>
      <c r="L26" s="29" t="s">
        <v>322</v>
      </c>
      <c r="M26" s="29">
        <v>8301600000</v>
      </c>
      <c r="N26" s="29">
        <v>300</v>
      </c>
      <c r="O26" s="29" t="s">
        <v>4817</v>
      </c>
      <c r="P26" s="29"/>
      <c r="R26" s="9">
        <v>101.5969638315365</v>
      </c>
      <c r="T26" s="19"/>
      <c r="U26" s="29" t="s">
        <v>4607</v>
      </c>
    </row>
    <row r="27" spans="1:21" ht="14.1" customHeight="1">
      <c r="A27" s="29">
        <v>23</v>
      </c>
      <c r="B27" s="19" t="s">
        <v>609</v>
      </c>
      <c r="C27" s="19" t="s">
        <v>412</v>
      </c>
      <c r="D27" s="29" t="s">
        <v>684</v>
      </c>
      <c r="E27" s="19" t="s">
        <v>413</v>
      </c>
      <c r="F27" s="29" t="s">
        <v>26</v>
      </c>
      <c r="G27" s="19" t="s">
        <v>4860</v>
      </c>
      <c r="H27" s="29" t="s">
        <v>4022</v>
      </c>
      <c r="I27" s="19" t="s">
        <v>4861</v>
      </c>
      <c r="J27" s="29" t="s">
        <v>30</v>
      </c>
      <c r="K27" s="29" t="s">
        <v>4022</v>
      </c>
      <c r="L27" s="29" t="s">
        <v>322</v>
      </c>
      <c r="M27" s="29">
        <v>8301600000</v>
      </c>
      <c r="N27" s="29">
        <v>300</v>
      </c>
      <c r="O27" s="29" t="s">
        <v>4817</v>
      </c>
      <c r="P27" s="29"/>
      <c r="R27" s="9">
        <v>101.5969638315365</v>
      </c>
      <c r="T27" s="19"/>
      <c r="U27" s="29" t="s">
        <v>4607</v>
      </c>
    </row>
    <row r="28" spans="1:21" ht="14.1" customHeight="1">
      <c r="A28" s="29">
        <v>24</v>
      </c>
      <c r="B28" s="19" t="s">
        <v>609</v>
      </c>
      <c r="C28" s="19" t="s">
        <v>412</v>
      </c>
      <c r="D28" s="29" t="s">
        <v>684</v>
      </c>
      <c r="E28" s="19" t="s">
        <v>413</v>
      </c>
      <c r="F28" s="29" t="s">
        <v>26</v>
      </c>
      <c r="G28" s="19" t="s">
        <v>4862</v>
      </c>
      <c r="H28" s="29" t="s">
        <v>4022</v>
      </c>
      <c r="I28" s="19" t="s">
        <v>4863</v>
      </c>
      <c r="J28" s="29" t="s">
        <v>30</v>
      </c>
      <c r="K28" s="29" t="s">
        <v>4022</v>
      </c>
      <c r="L28" s="29" t="s">
        <v>322</v>
      </c>
      <c r="M28" s="29">
        <v>8301600000</v>
      </c>
      <c r="N28" s="29">
        <v>300</v>
      </c>
      <c r="O28" s="29" t="s">
        <v>4817</v>
      </c>
      <c r="P28" s="29"/>
      <c r="R28" s="9">
        <v>106.8406780938093</v>
      </c>
      <c r="T28" s="19"/>
      <c r="U28" s="29" t="s">
        <v>4607</v>
      </c>
    </row>
    <row r="29" spans="1:21" ht="14.1" customHeight="1">
      <c r="A29" s="29">
        <v>25</v>
      </c>
      <c r="B29" s="19" t="s">
        <v>609</v>
      </c>
      <c r="C29" s="19" t="s">
        <v>412</v>
      </c>
      <c r="D29" s="29" t="s">
        <v>684</v>
      </c>
      <c r="E29" s="19" t="s">
        <v>413</v>
      </c>
      <c r="F29" s="29" t="s">
        <v>26</v>
      </c>
      <c r="G29" s="19" t="s">
        <v>4864</v>
      </c>
      <c r="H29" s="29" t="s">
        <v>4022</v>
      </c>
      <c r="I29" s="19" t="s">
        <v>4865</v>
      </c>
      <c r="J29" s="29" t="s">
        <v>30</v>
      </c>
      <c r="K29" s="29" t="s">
        <v>4022</v>
      </c>
      <c r="L29" s="29" t="s">
        <v>322</v>
      </c>
      <c r="M29" s="29">
        <v>8301600000</v>
      </c>
      <c r="N29" s="29">
        <v>300</v>
      </c>
      <c r="O29" s="29" t="s">
        <v>4817</v>
      </c>
      <c r="P29" s="29"/>
      <c r="R29" s="9">
        <v>77.508651439220571</v>
      </c>
      <c r="T29" s="19"/>
      <c r="U29" s="29" t="s">
        <v>4607</v>
      </c>
    </row>
    <row r="30" spans="1:21" ht="14.1" customHeight="1">
      <c r="A30" s="29">
        <v>26</v>
      </c>
      <c r="B30" s="19" t="s">
        <v>609</v>
      </c>
      <c r="C30" s="19" t="s">
        <v>412</v>
      </c>
      <c r="D30" s="29" t="s">
        <v>684</v>
      </c>
      <c r="E30" s="19" t="s">
        <v>413</v>
      </c>
      <c r="F30" s="29" t="s">
        <v>26</v>
      </c>
      <c r="G30" s="19" t="s">
        <v>4866</v>
      </c>
      <c r="H30" s="29" t="s">
        <v>1001</v>
      </c>
      <c r="I30" s="19" t="s">
        <v>4867</v>
      </c>
      <c r="J30" s="29" t="s">
        <v>30</v>
      </c>
      <c r="K30" s="29" t="s">
        <v>1001</v>
      </c>
      <c r="L30" s="29" t="s">
        <v>322</v>
      </c>
      <c r="M30" s="29">
        <v>8301600000</v>
      </c>
      <c r="N30" s="29">
        <v>300</v>
      </c>
      <c r="O30" s="29" t="s">
        <v>4817</v>
      </c>
      <c r="P30" s="29"/>
      <c r="R30" s="9">
        <v>83.243963913581482</v>
      </c>
      <c r="T30" s="19"/>
      <c r="U30" s="29" t="s">
        <v>4607</v>
      </c>
    </row>
    <row r="31" spans="1:21" ht="14.1" customHeight="1">
      <c r="A31" s="29">
        <v>27</v>
      </c>
      <c r="B31" s="19" t="s">
        <v>609</v>
      </c>
      <c r="C31" s="19" t="s">
        <v>412</v>
      </c>
      <c r="D31" s="29" t="s">
        <v>684</v>
      </c>
      <c r="E31" s="19" t="s">
        <v>413</v>
      </c>
      <c r="F31" s="29" t="s">
        <v>26</v>
      </c>
      <c r="G31" s="19" t="s">
        <v>4868</v>
      </c>
      <c r="H31" s="29" t="s">
        <v>4022</v>
      </c>
      <c r="I31" s="19" t="s">
        <v>4869</v>
      </c>
      <c r="J31" s="29" t="s">
        <v>30</v>
      </c>
      <c r="K31" s="29" t="s">
        <v>4022</v>
      </c>
      <c r="L31" s="29" t="s">
        <v>322</v>
      </c>
      <c r="M31" s="29">
        <v>8301600000</v>
      </c>
      <c r="N31" s="29">
        <v>300</v>
      </c>
      <c r="O31" s="29" t="s">
        <v>4817</v>
      </c>
      <c r="P31" s="29"/>
      <c r="R31" s="9">
        <v>83.243963913581482</v>
      </c>
      <c r="T31" s="19"/>
      <c r="U31" s="29" t="s">
        <v>4607</v>
      </c>
    </row>
    <row r="32" spans="1:21" ht="14.1" customHeight="1">
      <c r="A32" s="29">
        <v>28</v>
      </c>
      <c r="B32" s="19" t="s">
        <v>609</v>
      </c>
      <c r="C32" s="19" t="s">
        <v>412</v>
      </c>
      <c r="D32" s="29" t="s">
        <v>684</v>
      </c>
      <c r="E32" s="19" t="s">
        <v>413</v>
      </c>
      <c r="F32" s="29" t="s">
        <v>26</v>
      </c>
      <c r="G32" s="19" t="s">
        <v>4870</v>
      </c>
      <c r="H32" s="29" t="s">
        <v>4022</v>
      </c>
      <c r="I32" s="19" t="s">
        <v>4871</v>
      </c>
      <c r="J32" s="29" t="s">
        <v>30</v>
      </c>
      <c r="K32" s="29" t="s">
        <v>4022</v>
      </c>
      <c r="L32" s="29" t="s">
        <v>322</v>
      </c>
      <c r="M32" s="29">
        <v>8301600000</v>
      </c>
      <c r="N32" s="29">
        <v>300</v>
      </c>
      <c r="O32" s="29" t="s">
        <v>4817</v>
      </c>
      <c r="P32" s="29"/>
      <c r="R32" s="9">
        <v>88.487678175854327</v>
      </c>
      <c r="T32" s="19"/>
      <c r="U32" s="29" t="s">
        <v>4607</v>
      </c>
    </row>
    <row r="33" spans="1:21" ht="14.1" customHeight="1">
      <c r="A33" s="29">
        <v>29</v>
      </c>
      <c r="B33" s="19" t="s">
        <v>609</v>
      </c>
      <c r="C33" s="19" t="s">
        <v>412</v>
      </c>
      <c r="D33" s="29" t="s">
        <v>684</v>
      </c>
      <c r="E33" s="19" t="s">
        <v>413</v>
      </c>
      <c r="F33" s="29" t="s">
        <v>26</v>
      </c>
      <c r="G33" s="19" t="s">
        <v>4872</v>
      </c>
      <c r="H33" s="29" t="s">
        <v>42</v>
      </c>
      <c r="I33" s="19" t="s">
        <v>4873</v>
      </c>
      <c r="J33" s="29" t="s">
        <v>30</v>
      </c>
      <c r="K33" s="29"/>
      <c r="L33" s="29" t="s">
        <v>322</v>
      </c>
      <c r="M33" s="29">
        <v>8301700000</v>
      </c>
      <c r="N33" s="29">
        <v>300</v>
      </c>
      <c r="O33" s="29" t="s">
        <v>4817</v>
      </c>
      <c r="P33" s="29"/>
      <c r="R33" s="9">
        <v>2.7584121900497802</v>
      </c>
      <c r="T33" s="19"/>
      <c r="U33" s="29" t="s">
        <v>4607</v>
      </c>
    </row>
    <row r="34" spans="1:21" ht="14.1" customHeight="1"/>
    <row r="35" spans="1:21" ht="14.1" customHeight="1"/>
    <row r="36" spans="1:21" ht="14.1" customHeight="1"/>
    <row r="37" spans="1:21" ht="14.1" customHeight="1"/>
    <row r="38" spans="1:21" ht="14.1" customHeight="1"/>
    <row r="39" spans="1:21" ht="14.1" customHeight="1"/>
    <row r="40" spans="1:21" ht="14.1" customHeight="1"/>
    <row r="41" spans="1:21" ht="14.1" customHeight="1"/>
    <row r="42" spans="1:21" ht="14.1" customHeight="1"/>
    <row r="43" spans="1:21" ht="14.1" customHeight="1"/>
    <row r="44" spans="1:21" ht="14.1" customHeight="1"/>
    <row r="45" spans="1:21" ht="14.1" customHeight="1"/>
    <row r="46" spans="1:21" ht="14.1" customHeight="1"/>
    <row r="47" spans="1:21" ht="14.1" customHeight="1"/>
    <row r="48" spans="1:21" ht="14.1" customHeight="1"/>
    <row r="49" ht="14.1" customHeight="1"/>
    <row r="50" ht="14.1" customHeight="1"/>
    <row r="51" ht="14.1" customHeight="1"/>
    <row r="52" ht="14.1" customHeight="1"/>
    <row r="53" ht="14.1" customHeight="1"/>
    <row r="54" ht="14.1" customHeight="1"/>
    <row r="55" ht="14.1" customHeight="1"/>
    <row r="56" ht="14.1" customHeight="1"/>
    <row r="57" ht="14.1" customHeight="1"/>
    <row r="58" ht="14.1" customHeight="1"/>
    <row r="59" ht="14.1" customHeight="1"/>
    <row r="60" ht="14.1" customHeight="1"/>
    <row r="61" ht="14.1" customHeight="1"/>
    <row r="62" ht="14.1" customHeight="1"/>
    <row r="63" ht="14.1" customHeight="1"/>
    <row r="64" ht="14.1" customHeight="1"/>
    <row r="65" ht="14.1" customHeight="1"/>
    <row r="66" ht="14.1" customHeight="1"/>
    <row r="67" ht="14.1" customHeight="1"/>
    <row r="68" ht="14.1" customHeight="1"/>
    <row r="69" ht="14.1" customHeight="1"/>
    <row r="70" ht="14.1" customHeight="1"/>
    <row r="71" ht="14.1" customHeight="1"/>
    <row r="72" ht="14.1" customHeight="1"/>
    <row r="73" ht="14.1" customHeight="1"/>
    <row r="74" ht="14.1" customHeight="1"/>
    <row r="75" ht="14.1" customHeight="1"/>
    <row r="76" ht="14.1" customHeight="1"/>
    <row r="77" ht="14.1" customHeight="1"/>
    <row r="78" ht="14.1" customHeight="1"/>
    <row r="79" ht="14.1" customHeight="1"/>
    <row r="80" ht="14.1" customHeight="1"/>
    <row r="81" ht="14.1" customHeight="1"/>
    <row r="82" ht="14.1" customHeight="1"/>
    <row r="83" ht="14.1" customHeight="1"/>
    <row r="84" ht="14.1" customHeight="1"/>
    <row r="85" ht="14.1" customHeight="1"/>
    <row r="86" ht="14.1" customHeight="1"/>
    <row r="87" ht="14.1" customHeight="1"/>
    <row r="88" ht="14.1" customHeight="1"/>
    <row r="89" ht="14.1" customHeight="1"/>
    <row r="90" ht="14.1" customHeight="1"/>
    <row r="91" ht="14.1" customHeight="1"/>
    <row r="92" ht="14.1" customHeight="1"/>
    <row r="93" ht="14.1" customHeight="1"/>
    <row r="94" ht="14.1" customHeight="1"/>
    <row r="95" ht="14.1" customHeight="1"/>
    <row r="96" ht="14.1" customHeight="1"/>
    <row r="97" ht="14.1" customHeight="1"/>
    <row r="98" ht="14.1" customHeight="1"/>
    <row r="99" ht="14.1" customHeight="1"/>
    <row r="100" ht="14.1" customHeight="1"/>
    <row r="101" ht="14.1" customHeight="1"/>
    <row r="102" ht="14.1" customHeight="1"/>
    <row r="103" ht="14.1" customHeight="1"/>
    <row r="104" ht="14.1" customHeight="1"/>
    <row r="105" ht="14.1" customHeight="1"/>
    <row r="106" ht="14.1" customHeight="1"/>
    <row r="107" ht="14.1" customHeight="1"/>
    <row r="108" ht="14.1" customHeight="1"/>
    <row r="109" ht="14.1" customHeight="1"/>
    <row r="110" ht="14.1" customHeight="1"/>
    <row r="111" ht="14.1" customHeight="1"/>
    <row r="112" ht="14.1" customHeight="1"/>
    <row r="113" ht="14.1" customHeight="1"/>
    <row r="114" ht="14.1" customHeight="1"/>
    <row r="115" ht="14.1" customHeight="1"/>
    <row r="116" ht="14.1" customHeight="1"/>
    <row r="117" ht="14.1" customHeight="1"/>
    <row r="118" ht="14.1" customHeight="1"/>
    <row r="119" ht="14.1" customHeight="1"/>
    <row r="120" ht="14.1" customHeight="1"/>
    <row r="121" ht="14.1" customHeight="1"/>
    <row r="122" ht="14.1" customHeight="1"/>
    <row r="123" ht="14.1" customHeight="1"/>
    <row r="124" ht="14.1" customHeight="1"/>
    <row r="125" ht="14.1" customHeight="1"/>
    <row r="126" ht="14.1" customHeight="1"/>
    <row r="127" ht="14.1" customHeight="1"/>
    <row r="128" ht="14.1" customHeight="1"/>
    <row r="129" ht="14.1" customHeight="1"/>
    <row r="130" ht="14.1" customHeight="1"/>
    <row r="131" ht="14.1" customHeight="1"/>
    <row r="132" ht="14.1" customHeight="1"/>
    <row r="133" ht="14.1" customHeight="1"/>
    <row r="134" ht="14.1" customHeight="1"/>
    <row r="135" ht="14.1" customHeight="1"/>
    <row r="136" ht="14.1" customHeight="1"/>
    <row r="137" ht="14.1" customHeight="1"/>
    <row r="138" ht="14.1" customHeight="1"/>
    <row r="139" ht="14.1" customHeight="1"/>
    <row r="140" ht="14.1" customHeight="1"/>
    <row r="141" ht="14.1" customHeight="1"/>
    <row r="142" ht="14.1" customHeight="1"/>
    <row r="143" ht="14.1" customHeight="1"/>
    <row r="144" ht="14.1" customHeight="1"/>
    <row r="145" ht="14.1" customHeight="1"/>
    <row r="146" ht="14.1" customHeight="1"/>
    <row r="147" ht="14.1" customHeight="1"/>
    <row r="148" ht="14.1" customHeight="1"/>
    <row r="149" ht="14.1" customHeight="1"/>
    <row r="150" ht="14.1" customHeight="1"/>
    <row r="151" ht="14.1" customHeight="1"/>
    <row r="152" ht="14.1" customHeight="1"/>
    <row r="153" ht="14.1" customHeight="1"/>
    <row r="154" ht="14.1" customHeight="1"/>
    <row r="155" ht="14.1" customHeight="1"/>
    <row r="156" ht="14.1" customHeight="1"/>
    <row r="157" ht="14.1" customHeight="1"/>
    <row r="158" ht="14.1" customHeight="1"/>
    <row r="159" ht="14.1" customHeight="1"/>
    <row r="160" ht="14.1" customHeight="1"/>
    <row r="161" ht="14.1" customHeight="1"/>
    <row r="162" ht="14.1" customHeight="1"/>
    <row r="163" ht="14.1" customHeight="1"/>
    <row r="164" ht="14.1" customHeight="1"/>
    <row r="165" ht="14.1" customHeight="1"/>
    <row r="166" ht="14.1" customHeight="1"/>
    <row r="167" ht="14.1" customHeight="1"/>
    <row r="168" ht="14.1" customHeight="1"/>
    <row r="169" ht="14.1" customHeight="1"/>
    <row r="170" ht="14.1" customHeight="1"/>
    <row r="171" ht="14.1" customHeight="1"/>
    <row r="172" ht="14.1" customHeight="1"/>
    <row r="173" ht="14.1" customHeight="1"/>
    <row r="174" ht="14.1" customHeight="1"/>
    <row r="175" ht="14.1" customHeight="1"/>
    <row r="176" ht="14.1" customHeight="1"/>
    <row r="177" ht="14.1" customHeight="1"/>
    <row r="178" ht="14.1" customHeight="1"/>
    <row r="179" ht="14.1" customHeight="1"/>
    <row r="180" ht="14.1" customHeight="1"/>
    <row r="181" ht="14.1" customHeight="1"/>
    <row r="182" ht="14.1" customHeight="1"/>
    <row r="183" ht="14.1" customHeight="1"/>
    <row r="184" ht="14.1" customHeight="1"/>
    <row r="185" ht="14.1" customHeight="1"/>
    <row r="186" ht="14.1" customHeight="1"/>
    <row r="187" ht="14.1" customHeight="1"/>
    <row r="188" ht="14.1" customHeight="1"/>
    <row r="189" ht="14.1" customHeight="1"/>
    <row r="190" ht="14.1" customHeight="1"/>
    <row r="191" ht="14.1" customHeight="1"/>
    <row r="192" ht="14.1" customHeight="1"/>
    <row r="193" ht="14.1" customHeight="1"/>
    <row r="194" ht="14.1" customHeight="1"/>
    <row r="195" ht="14.1" customHeight="1"/>
    <row r="196" ht="14.1" customHeight="1"/>
    <row r="197" ht="14.1" customHeight="1"/>
    <row r="198" ht="14.1" customHeight="1"/>
    <row r="199" ht="14.1" customHeight="1"/>
    <row r="200" ht="14.1" customHeight="1"/>
    <row r="201" ht="14.1" customHeight="1"/>
    <row r="202" ht="14.1" customHeight="1"/>
    <row r="203" ht="14.1" customHeight="1"/>
    <row r="204" ht="14.1" customHeight="1"/>
    <row r="205" ht="14.1" customHeight="1"/>
    <row r="206" ht="14.1" customHeight="1"/>
    <row r="207" ht="14.1" customHeight="1"/>
    <row r="208" ht="14.1" customHeight="1"/>
    <row r="209" ht="14.1" customHeight="1"/>
    <row r="210" ht="14.1" customHeight="1"/>
    <row r="211" ht="14.1" customHeight="1"/>
    <row r="212" ht="14.1" customHeight="1"/>
    <row r="213" ht="14.1" customHeight="1"/>
    <row r="214" ht="14.1" customHeight="1"/>
    <row r="215" ht="14.1" customHeight="1"/>
    <row r="216" ht="14.1" customHeight="1"/>
    <row r="217" ht="14.1" customHeight="1"/>
    <row r="218" ht="14.1" customHeight="1"/>
    <row r="219" ht="14.1" customHeight="1"/>
    <row r="220" ht="14.1" customHeight="1"/>
    <row r="221" ht="14.1" customHeight="1"/>
    <row r="222" ht="14.1" customHeight="1"/>
    <row r="223" ht="14.1" customHeight="1"/>
    <row r="224" ht="14.1" customHeight="1"/>
    <row r="225" ht="14.1" customHeight="1"/>
    <row r="226" ht="14.1" customHeight="1"/>
    <row r="227" ht="14.1" customHeight="1"/>
    <row r="228" ht="14.1" customHeight="1"/>
    <row r="229" ht="14.1" customHeight="1"/>
    <row r="230" ht="14.1" customHeight="1"/>
    <row r="231" ht="14.1" customHeight="1"/>
    <row r="232" ht="14.1" customHeight="1"/>
    <row r="233" ht="14.1" customHeight="1"/>
    <row r="234" ht="14.1" customHeight="1"/>
    <row r="235" ht="14.1" customHeight="1"/>
    <row r="236" ht="14.1" customHeight="1"/>
    <row r="237" ht="14.1" customHeight="1"/>
    <row r="238" ht="14.1" customHeight="1"/>
    <row r="239" ht="14.1" customHeight="1"/>
    <row r="240" ht="14.1" customHeight="1"/>
    <row r="241" ht="14.1" customHeight="1"/>
    <row r="242" ht="14.1" customHeight="1"/>
    <row r="243" ht="14.1" customHeight="1"/>
    <row r="244" ht="14.1" customHeight="1"/>
    <row r="245" ht="14.1" customHeight="1"/>
    <row r="246" ht="14.1" customHeight="1"/>
    <row r="247" ht="14.1" customHeight="1"/>
    <row r="248" ht="14.1" customHeight="1"/>
    <row r="249" ht="14.1" customHeight="1"/>
    <row r="250" ht="14.1" customHeight="1"/>
    <row r="251" ht="14.1" customHeight="1"/>
    <row r="252" ht="14.1" customHeight="1"/>
    <row r="253" ht="14.1" customHeight="1"/>
    <row r="254" ht="14.1" customHeight="1"/>
    <row r="255" ht="14.1" customHeight="1"/>
    <row r="256" ht="14.1" customHeight="1"/>
    <row r="257" ht="14.1" customHeight="1"/>
    <row r="258" ht="14.1" customHeight="1"/>
    <row r="259" ht="14.1" customHeight="1"/>
    <row r="260" ht="14.1" customHeight="1"/>
    <row r="261" ht="14.1" customHeight="1"/>
    <row r="262" ht="14.1" customHeight="1"/>
    <row r="263" ht="14.1" customHeight="1"/>
    <row r="264" ht="14.1" customHeight="1"/>
    <row r="265" ht="14.1" customHeight="1"/>
    <row r="266" ht="14.1" customHeight="1"/>
    <row r="267" ht="14.1" customHeight="1"/>
    <row r="268" ht="14.1" customHeight="1"/>
    <row r="269" ht="14.1" customHeight="1"/>
    <row r="270" ht="14.1" customHeight="1"/>
    <row r="271" ht="14.1" customHeight="1"/>
    <row r="272" ht="14.1" customHeight="1"/>
    <row r="273" ht="14.1" customHeight="1"/>
    <row r="274" ht="14.1" customHeight="1"/>
    <row r="275" ht="14.1" customHeight="1"/>
    <row r="276" ht="14.1" customHeight="1"/>
    <row r="277" ht="14.1" customHeight="1"/>
    <row r="278" ht="14.1" customHeight="1"/>
    <row r="279" ht="14.1" customHeight="1"/>
    <row r="280" ht="14.1" customHeight="1"/>
    <row r="281" ht="14.1" customHeight="1"/>
    <row r="282" ht="14.1" customHeight="1"/>
    <row r="283" ht="14.1" customHeight="1"/>
    <row r="284" ht="14.1" customHeight="1"/>
    <row r="285" ht="14.1" customHeight="1"/>
    <row r="286" ht="14.1" customHeight="1"/>
    <row r="287" ht="14.1" customHeight="1"/>
    <row r="288" ht="14.1" customHeight="1"/>
    <row r="289" ht="14.1" customHeight="1"/>
    <row r="290" ht="14.1" customHeight="1"/>
    <row r="291" ht="14.1" customHeight="1"/>
    <row r="292" ht="14.1" customHeight="1"/>
    <row r="293" ht="14.1" customHeight="1"/>
    <row r="294" ht="14.1" customHeight="1"/>
    <row r="295" ht="14.1" customHeight="1"/>
    <row r="296" ht="14.1" customHeight="1"/>
    <row r="297" ht="14.1" customHeight="1"/>
    <row r="298" ht="14.1" customHeight="1"/>
    <row r="299" ht="14.1" customHeight="1"/>
    <row r="300" ht="14.1" customHeight="1"/>
    <row r="301" ht="14.1" customHeight="1"/>
    <row r="302" ht="14.1" customHeight="1"/>
    <row r="303" ht="14.1" customHeight="1"/>
    <row r="304" ht="14.1" customHeight="1"/>
    <row r="305" ht="14.1" customHeight="1"/>
    <row r="306" ht="14.1" customHeight="1"/>
    <row r="307" ht="14.1" customHeight="1"/>
    <row r="308" ht="14.1" customHeight="1"/>
    <row r="309" ht="14.1" customHeight="1"/>
    <row r="310" ht="14.1" customHeight="1"/>
    <row r="311" ht="14.1" customHeight="1"/>
    <row r="312" ht="14.1" customHeight="1"/>
    <row r="313" ht="14.1" customHeight="1"/>
    <row r="314" ht="14.1" customHeight="1"/>
    <row r="315" ht="14.1" customHeight="1"/>
    <row r="316" ht="14.1" customHeight="1"/>
    <row r="317" ht="14.1" customHeight="1"/>
    <row r="318" ht="14.1" customHeight="1"/>
    <row r="319" ht="14.1" customHeight="1"/>
    <row r="320" ht="14.1" customHeight="1"/>
    <row r="321" ht="14.1" customHeight="1"/>
    <row r="322" ht="14.1" customHeight="1"/>
    <row r="323" ht="14.1" customHeight="1"/>
    <row r="324" ht="14.1" customHeight="1"/>
    <row r="325" ht="14.1" customHeight="1"/>
    <row r="326" ht="14.1" customHeight="1"/>
    <row r="327" ht="14.1" customHeight="1"/>
    <row r="328" ht="14.1" customHeight="1"/>
    <row r="329" ht="14.1" customHeight="1"/>
    <row r="330" ht="14.1" customHeight="1"/>
    <row r="331" ht="14.1" customHeight="1"/>
    <row r="332" ht="14.1" customHeight="1"/>
    <row r="333" ht="14.1" customHeight="1"/>
    <row r="334" ht="14.1" customHeight="1"/>
    <row r="335" ht="14.1" customHeight="1"/>
    <row r="336" ht="14.1" customHeight="1"/>
    <row r="337" ht="14.1" customHeight="1"/>
    <row r="338" ht="14.1" customHeight="1"/>
    <row r="339" ht="14.1" customHeight="1"/>
    <row r="340" ht="14.1" customHeight="1"/>
    <row r="341" ht="14.1" customHeight="1"/>
    <row r="342" ht="14.1" customHeight="1"/>
    <row r="343" ht="14.1" customHeight="1"/>
    <row r="344" ht="14.1" customHeight="1"/>
    <row r="345" ht="14.1" customHeight="1"/>
    <row r="346" ht="14.1" customHeight="1"/>
    <row r="347" ht="14.1" customHeight="1"/>
    <row r="348" ht="14.1" customHeight="1"/>
    <row r="349" ht="14.1" customHeight="1"/>
    <row r="350" ht="14.1" customHeight="1"/>
    <row r="351" ht="14.1" customHeight="1"/>
    <row r="352" ht="14.1" customHeight="1"/>
    <row r="353" ht="14.1" customHeight="1"/>
    <row r="354" ht="14.1" customHeight="1"/>
    <row r="355" ht="14.1" customHeight="1"/>
    <row r="356" ht="14.1" customHeight="1"/>
    <row r="357" ht="14.1" customHeight="1"/>
    <row r="358" ht="14.1" customHeight="1"/>
    <row r="359" ht="14.1" customHeight="1"/>
    <row r="360" ht="14.1" customHeight="1"/>
    <row r="361" ht="14.1" customHeight="1"/>
    <row r="362" ht="14.1" customHeight="1"/>
    <row r="363" ht="14.1" customHeight="1"/>
    <row r="364" ht="14.1" customHeight="1"/>
    <row r="365" ht="14.1" customHeight="1"/>
    <row r="366" ht="14.1" customHeight="1"/>
    <row r="367" ht="14.1" customHeight="1"/>
    <row r="368" ht="14.1" customHeight="1"/>
    <row r="369" ht="14.1" customHeight="1"/>
    <row r="370" ht="14.1" customHeight="1"/>
    <row r="371" ht="14.1" customHeight="1"/>
    <row r="372" ht="14.1" customHeight="1"/>
    <row r="373" ht="14.1" customHeight="1"/>
    <row r="374" ht="14.1" customHeight="1"/>
    <row r="375" ht="14.1" customHeight="1"/>
    <row r="376" ht="14.1" customHeight="1"/>
    <row r="377" ht="14.1" customHeight="1"/>
    <row r="378" ht="14.1" customHeight="1"/>
    <row r="379" ht="14.1" customHeight="1"/>
    <row r="380" ht="14.1" customHeight="1"/>
    <row r="381" ht="14.1" customHeight="1"/>
    <row r="382" ht="14.1" customHeight="1"/>
    <row r="383" ht="14.1" customHeight="1"/>
    <row r="384" ht="14.1" customHeight="1"/>
    <row r="385" ht="14.1" customHeight="1"/>
    <row r="386" ht="14.1" customHeight="1"/>
    <row r="387" ht="14.1" customHeight="1"/>
    <row r="388" ht="14.1" customHeight="1"/>
    <row r="389" ht="14.1" customHeight="1"/>
    <row r="390" ht="14.1" customHeight="1"/>
    <row r="391" ht="14.1" customHeight="1"/>
    <row r="392" ht="14.1" customHeight="1"/>
    <row r="393" ht="14.1" customHeight="1"/>
    <row r="394" ht="14.1" customHeight="1"/>
    <row r="395" ht="14.1" customHeight="1"/>
    <row r="396" ht="14.1" customHeight="1"/>
    <row r="397" ht="14.1" customHeight="1"/>
    <row r="398" ht="14.1" customHeight="1"/>
    <row r="399" ht="14.1" customHeight="1"/>
    <row r="400" ht="14.1" customHeight="1"/>
    <row r="401" ht="14.1" customHeight="1"/>
    <row r="402" ht="14.1" customHeight="1"/>
    <row r="403" ht="14.1" customHeight="1"/>
    <row r="404" ht="14.1" customHeight="1"/>
    <row r="405" ht="14.1" customHeight="1"/>
    <row r="406" ht="14.1" customHeight="1"/>
    <row r="407" ht="14.1" customHeight="1"/>
    <row r="408" ht="14.1" customHeight="1"/>
    <row r="409" ht="14.1" customHeight="1"/>
    <row r="410" ht="14.1" customHeight="1"/>
    <row r="411" ht="14.1" customHeight="1"/>
    <row r="412" ht="14.1" customHeight="1"/>
    <row r="413" ht="14.1" customHeight="1"/>
    <row r="414" ht="14.1" customHeight="1"/>
    <row r="415" ht="14.1" customHeight="1"/>
    <row r="416" ht="14.1" customHeight="1"/>
    <row r="417" ht="14.1" customHeight="1"/>
    <row r="418" ht="14.1" customHeight="1"/>
    <row r="419" ht="14.1" customHeight="1"/>
    <row r="420" ht="14.1" customHeight="1"/>
    <row r="421" ht="14.1" customHeight="1"/>
    <row r="422" ht="14.1" customHeight="1"/>
    <row r="423" ht="14.1" customHeight="1"/>
    <row r="424" ht="14.1" customHeight="1"/>
    <row r="425" ht="14.1" customHeight="1"/>
    <row r="426" ht="14.1" customHeight="1"/>
    <row r="427" ht="14.1" customHeight="1"/>
    <row r="428" ht="14.1" customHeight="1"/>
    <row r="429" ht="14.1" customHeight="1"/>
    <row r="430" ht="14.1" customHeight="1"/>
    <row r="431" ht="14.1" customHeight="1"/>
    <row r="432" ht="14.1" customHeight="1"/>
    <row r="433" ht="14.1" customHeight="1"/>
    <row r="434" ht="14.1" customHeight="1"/>
    <row r="435" ht="14.1" customHeight="1"/>
    <row r="436" ht="14.1" customHeight="1"/>
    <row r="437" ht="14.1" customHeight="1"/>
    <row r="438" ht="14.1" customHeight="1"/>
    <row r="439" ht="14.1" customHeight="1"/>
    <row r="440" ht="14.1" customHeight="1"/>
    <row r="441" ht="14.1" customHeight="1"/>
    <row r="442" ht="14.1" customHeight="1"/>
    <row r="443" ht="14.1" customHeight="1"/>
    <row r="444" ht="14.1" customHeight="1"/>
    <row r="445" ht="14.1" customHeight="1"/>
    <row r="446" ht="14.1" customHeight="1"/>
    <row r="447" ht="14.1" customHeight="1"/>
    <row r="448" ht="14.1" customHeight="1"/>
    <row r="449" ht="14.1" customHeight="1"/>
    <row r="450" ht="14.1" customHeight="1"/>
    <row r="451" ht="14.1" customHeight="1"/>
    <row r="452" ht="14.1" customHeight="1"/>
    <row r="453" ht="14.1" customHeight="1"/>
    <row r="454" ht="14.1" customHeight="1"/>
    <row r="455" ht="14.1" customHeight="1"/>
    <row r="456" ht="14.1" customHeight="1"/>
    <row r="457" ht="14.1" customHeight="1"/>
    <row r="458" ht="14.1" customHeight="1"/>
    <row r="459" ht="14.1" customHeight="1"/>
    <row r="460" ht="14.1" customHeight="1"/>
    <row r="461" ht="14.1" customHeight="1"/>
    <row r="462" ht="14.1" customHeight="1"/>
    <row r="463" ht="14.1" customHeight="1"/>
    <row r="464" ht="14.1" customHeight="1"/>
    <row r="465" ht="14.1" customHeight="1"/>
    <row r="466" ht="14.1" customHeight="1"/>
    <row r="467" ht="14.1" customHeight="1"/>
    <row r="468" ht="14.1" customHeight="1"/>
    <row r="469" ht="14.1" customHeight="1"/>
    <row r="470" ht="14.1" customHeight="1"/>
    <row r="471" ht="14.1" customHeight="1"/>
    <row r="472" ht="14.1" customHeight="1"/>
    <row r="473" ht="14.1" customHeight="1"/>
    <row r="474" ht="14.1" customHeight="1"/>
    <row r="475" ht="14.1" customHeight="1"/>
    <row r="476" ht="14.1" customHeight="1"/>
    <row r="477" ht="14.1" customHeight="1"/>
    <row r="478" ht="14.1" customHeight="1"/>
    <row r="479" ht="14.1" customHeight="1"/>
    <row r="480" ht="14.1" customHeight="1"/>
    <row r="481" ht="14.1" customHeight="1"/>
    <row r="482" ht="14.1" customHeight="1"/>
    <row r="483" ht="14.1" customHeight="1"/>
    <row r="484" ht="14.1" customHeight="1"/>
    <row r="485" ht="14.1" customHeight="1"/>
    <row r="486" ht="14.1" customHeight="1"/>
    <row r="487" ht="14.1" customHeight="1"/>
    <row r="488" ht="14.1" customHeight="1"/>
    <row r="489" ht="14.1" customHeight="1"/>
    <row r="490" ht="14.1" customHeight="1"/>
    <row r="491" ht="14.1" customHeight="1"/>
    <row r="492" ht="14.1" customHeight="1"/>
    <row r="493" ht="14.1" customHeight="1"/>
    <row r="494" ht="14.1" customHeight="1"/>
    <row r="495" ht="14.1" customHeight="1"/>
    <row r="496" ht="14.1" customHeight="1"/>
    <row r="497" ht="14.1" customHeight="1"/>
    <row r="498" ht="14.1" customHeight="1"/>
    <row r="499" ht="14.1" customHeight="1"/>
    <row r="500" ht="14.1" customHeight="1"/>
    <row r="501" ht="14.1" customHeight="1"/>
    <row r="502" ht="14.1" customHeight="1"/>
    <row r="503" ht="14.1" customHeight="1"/>
    <row r="504" ht="14.1" customHeight="1"/>
    <row r="505" ht="14.1" customHeight="1"/>
    <row r="506" ht="14.1" customHeight="1"/>
    <row r="507" ht="14.1" customHeight="1"/>
    <row r="508" ht="14.1" customHeight="1"/>
    <row r="509" ht="14.1" customHeight="1"/>
    <row r="510" ht="14.1" customHeight="1"/>
    <row r="511" ht="14.1" customHeight="1"/>
    <row r="512" ht="14.1" customHeight="1"/>
    <row r="513" ht="14.1" customHeight="1"/>
    <row r="514" ht="14.1" customHeight="1"/>
    <row r="515" ht="14.1" customHeight="1"/>
    <row r="516" ht="14.1" customHeight="1"/>
    <row r="517" ht="14.1" customHeight="1"/>
    <row r="518" ht="14.1" customHeight="1"/>
    <row r="519" ht="14.1" customHeight="1"/>
    <row r="520" ht="14.1" customHeight="1"/>
    <row r="521" ht="14.1" customHeight="1"/>
    <row r="522" ht="14.1" customHeight="1"/>
    <row r="523" ht="14.1" customHeight="1"/>
    <row r="524" ht="14.1" customHeight="1"/>
    <row r="525" ht="14.1" customHeight="1"/>
    <row r="526" ht="14.1" customHeight="1"/>
    <row r="527" ht="14.1" customHeight="1"/>
    <row r="528" ht="14.1" customHeight="1"/>
    <row r="529" ht="14.1" customHeight="1"/>
    <row r="530" ht="14.1" customHeight="1"/>
    <row r="531" ht="14.1" customHeight="1"/>
    <row r="532" ht="14.1" customHeight="1"/>
    <row r="533" ht="14.1" customHeight="1"/>
    <row r="534" ht="14.1" customHeight="1"/>
    <row r="535" ht="14.1" customHeight="1"/>
    <row r="536" ht="14.1" customHeight="1"/>
    <row r="537" ht="14.1" customHeight="1"/>
    <row r="538" ht="14.1" customHeight="1"/>
    <row r="539" ht="14.1" customHeight="1"/>
    <row r="540" ht="14.1" customHeight="1"/>
    <row r="541" ht="14.1" customHeight="1"/>
    <row r="542" ht="14.1" customHeight="1"/>
    <row r="543" ht="14.1" customHeight="1"/>
    <row r="544" ht="14.1" customHeight="1"/>
    <row r="545" ht="14.1" customHeight="1"/>
    <row r="546" ht="14.1" customHeight="1"/>
    <row r="547" ht="14.1" customHeight="1"/>
    <row r="548" ht="14.1" customHeight="1"/>
    <row r="549" ht="14.1" customHeight="1"/>
    <row r="550" ht="14.1" customHeight="1"/>
    <row r="551" ht="14.1" customHeight="1"/>
    <row r="552" ht="14.1" customHeight="1"/>
    <row r="553" ht="14.1" customHeight="1"/>
    <row r="554" ht="14.1" customHeight="1"/>
    <row r="555" ht="14.1" customHeight="1"/>
    <row r="556" ht="14.1" customHeight="1"/>
    <row r="557" ht="14.1" customHeight="1"/>
    <row r="558" ht="14.1" customHeight="1"/>
    <row r="559" ht="14.1" customHeight="1"/>
    <row r="560" ht="14.1" customHeight="1"/>
    <row r="561" ht="14.1" customHeight="1"/>
    <row r="562" ht="14.1" customHeight="1"/>
    <row r="563" ht="14.1" customHeight="1"/>
    <row r="564" ht="14.1" customHeight="1"/>
    <row r="565" ht="14.1" customHeight="1"/>
    <row r="566" ht="14.1" customHeight="1"/>
    <row r="567" ht="14.1" customHeight="1"/>
    <row r="568" ht="14.1" customHeight="1"/>
    <row r="569" ht="14.1" customHeight="1"/>
    <row r="570" ht="14.1" customHeight="1"/>
    <row r="571" ht="14.1" customHeight="1"/>
    <row r="572" ht="14.1" customHeight="1"/>
    <row r="573" ht="14.1" customHeight="1"/>
    <row r="574" ht="14.1" customHeight="1"/>
    <row r="575" ht="14.1" customHeight="1"/>
    <row r="576" ht="14.1" customHeight="1"/>
    <row r="577" ht="14.1" customHeight="1"/>
    <row r="578" ht="14.1" customHeight="1"/>
    <row r="579" ht="14.1" customHeight="1"/>
    <row r="580" ht="14.1" customHeight="1"/>
    <row r="581" ht="14.1" customHeight="1"/>
    <row r="582" ht="14.1" customHeight="1"/>
    <row r="583" ht="14.1" customHeight="1"/>
    <row r="584" ht="14.1" customHeight="1"/>
    <row r="585" ht="14.1" customHeight="1"/>
    <row r="586" ht="14.1" customHeight="1"/>
    <row r="587" ht="14.1" customHeight="1"/>
    <row r="588" ht="14.1" customHeight="1"/>
    <row r="589" ht="14.1" customHeight="1"/>
    <row r="590" ht="14.1" customHeight="1"/>
    <row r="591" ht="14.1" customHeight="1"/>
    <row r="592" ht="14.1" customHeight="1"/>
    <row r="593" ht="14.1" customHeight="1"/>
    <row r="594" ht="14.1" customHeight="1"/>
    <row r="595" ht="14.1" customHeight="1"/>
    <row r="596" ht="14.1" customHeight="1"/>
    <row r="597" ht="14.1" customHeight="1"/>
    <row r="598" ht="14.1" customHeight="1"/>
    <row r="599" ht="14.1" customHeight="1"/>
    <row r="600" ht="14.1" customHeight="1"/>
    <row r="601" ht="14.1" customHeight="1"/>
    <row r="602" ht="14.1" customHeight="1"/>
    <row r="603" ht="14.1" customHeight="1"/>
    <row r="604" ht="14.1" customHeight="1"/>
    <row r="605" ht="14.1" customHeight="1"/>
    <row r="606" ht="14.1" customHeight="1"/>
    <row r="607" ht="14.1" customHeight="1"/>
    <row r="608" ht="14.1" customHeight="1"/>
    <row r="609" ht="14.1" customHeight="1"/>
    <row r="610" ht="14.1" customHeight="1"/>
    <row r="611" ht="14.1" customHeight="1"/>
    <row r="612" ht="14.1" customHeight="1"/>
    <row r="613" ht="14.1" customHeight="1"/>
    <row r="614" ht="14.1" customHeight="1"/>
    <row r="615" ht="14.1" customHeight="1"/>
    <row r="616" ht="14.1" customHeight="1"/>
    <row r="617" ht="14.1" customHeight="1"/>
    <row r="618" ht="14.1" customHeight="1"/>
    <row r="619" ht="14.1" customHeight="1"/>
    <row r="620" ht="14.1" customHeight="1"/>
    <row r="621" ht="14.1" customHeight="1"/>
    <row r="622" ht="14.1" customHeight="1"/>
    <row r="623" ht="14.1" customHeight="1"/>
    <row r="624" ht="14.1" customHeight="1"/>
    <row r="625" ht="14.1" customHeight="1"/>
    <row r="626" ht="14.1" customHeight="1"/>
    <row r="627" ht="14.1" customHeight="1"/>
    <row r="628" ht="14.1" customHeight="1"/>
    <row r="629" ht="14.1" customHeight="1"/>
    <row r="630" ht="14.1" customHeight="1"/>
    <row r="631" ht="14.1" customHeight="1"/>
    <row r="632" ht="14.1" customHeight="1"/>
    <row r="633" ht="14.1" customHeight="1"/>
    <row r="634" ht="14.1" customHeight="1"/>
    <row r="635" ht="14.1" customHeight="1"/>
    <row r="636" ht="14.1" customHeight="1"/>
    <row r="637" ht="14.1" customHeight="1"/>
    <row r="638" ht="14.1" customHeight="1"/>
    <row r="639" ht="14.1" customHeight="1"/>
    <row r="640" ht="14.1" customHeight="1"/>
    <row r="641" ht="14.1" customHeight="1"/>
    <row r="642" ht="14.1" customHeight="1"/>
    <row r="643" ht="14.1" customHeight="1"/>
    <row r="644" ht="14.1" customHeight="1"/>
    <row r="645" ht="14.1" customHeight="1"/>
    <row r="646" ht="14.1" customHeight="1"/>
    <row r="647" ht="14.1" customHeight="1"/>
    <row r="648" ht="14.1" customHeight="1"/>
    <row r="649" ht="14.1" customHeight="1"/>
    <row r="650" ht="14.1" customHeight="1"/>
    <row r="651" ht="14.1" customHeight="1"/>
    <row r="652" ht="14.1" customHeight="1"/>
    <row r="653" ht="14.1" customHeight="1"/>
    <row r="654" ht="14.1" customHeight="1"/>
    <row r="655" ht="14.1" customHeight="1"/>
    <row r="656" ht="14.1" customHeight="1"/>
    <row r="657" ht="14.1" customHeight="1"/>
    <row r="658" ht="14.1" customHeight="1"/>
    <row r="659" ht="14.1" customHeight="1"/>
    <row r="660" ht="14.1" customHeight="1"/>
    <row r="661" ht="14.1" customHeight="1"/>
    <row r="662" ht="14.1" customHeight="1"/>
    <row r="663" ht="14.1" customHeight="1"/>
    <row r="664" ht="14.1" customHeight="1"/>
    <row r="665" ht="14.1" customHeight="1"/>
    <row r="666" ht="14.1" customHeight="1"/>
    <row r="667" ht="14.1" customHeight="1"/>
    <row r="668" ht="14.1" customHeight="1"/>
    <row r="669" ht="14.1" customHeight="1"/>
    <row r="670" ht="14.1" customHeight="1"/>
    <row r="671" ht="14.1" customHeight="1"/>
    <row r="672" ht="14.1" customHeight="1"/>
    <row r="673" ht="14.1" customHeight="1"/>
    <row r="674" ht="14.1" customHeight="1"/>
    <row r="675" ht="14.1" customHeight="1"/>
    <row r="676" ht="14.1" customHeight="1"/>
    <row r="677" ht="14.1" customHeight="1"/>
    <row r="678" ht="14.1" customHeight="1"/>
    <row r="679" ht="14.1" customHeight="1"/>
    <row r="680" ht="14.1" customHeight="1"/>
    <row r="681" ht="14.1" customHeight="1"/>
    <row r="682" ht="14.1" customHeight="1"/>
    <row r="683" ht="14.1" customHeight="1"/>
    <row r="684" ht="14.1" customHeight="1"/>
    <row r="685" ht="14.1" customHeight="1"/>
    <row r="686" ht="14.1" customHeight="1"/>
    <row r="687" ht="14.1" customHeight="1"/>
    <row r="688" ht="14.1" customHeight="1"/>
    <row r="689" ht="14.1" customHeight="1"/>
    <row r="690" ht="14.1" customHeight="1"/>
    <row r="691" ht="14.1" customHeight="1"/>
    <row r="692" ht="14.1" customHeight="1"/>
    <row r="693" ht="14.1" customHeight="1"/>
    <row r="694" ht="14.1" customHeight="1"/>
    <row r="695" ht="14.1" customHeight="1"/>
    <row r="696" ht="14.1" customHeight="1"/>
    <row r="697" ht="14.1" customHeight="1"/>
    <row r="698" ht="14.1" customHeight="1"/>
    <row r="699" ht="14.1" customHeight="1"/>
    <row r="700" ht="14.1" customHeight="1"/>
    <row r="701" ht="14.1" customHeight="1"/>
    <row r="702" ht="14.1" customHeight="1"/>
    <row r="703" ht="14.1" customHeight="1"/>
    <row r="704" ht="14.1" customHeight="1"/>
    <row r="705" ht="14.1" customHeight="1"/>
    <row r="706" ht="14.1" customHeight="1"/>
    <row r="707" ht="14.1" customHeight="1"/>
    <row r="708" ht="14.1" customHeight="1"/>
    <row r="709" ht="14.1" customHeight="1"/>
    <row r="710" ht="14.1" customHeight="1"/>
    <row r="711" ht="14.1" customHeight="1"/>
    <row r="712" ht="14.1" customHeight="1"/>
    <row r="713" ht="14.1" customHeight="1"/>
    <row r="714" ht="14.1" customHeight="1"/>
    <row r="715" ht="14.1" customHeight="1"/>
    <row r="716" ht="14.1" customHeight="1"/>
    <row r="717" ht="14.1" customHeight="1"/>
    <row r="718" ht="14.1" customHeight="1"/>
    <row r="719" ht="14.1" customHeight="1"/>
    <row r="720" ht="14.1" customHeight="1"/>
    <row r="721" ht="14.1" customHeight="1"/>
    <row r="722" ht="14.1" customHeight="1"/>
    <row r="723" ht="14.1" customHeight="1"/>
    <row r="724" ht="14.1" customHeight="1"/>
    <row r="725" ht="14.1" customHeight="1"/>
    <row r="726" ht="14.1" customHeight="1"/>
    <row r="727" ht="14.1" customHeight="1"/>
    <row r="728" ht="14.1" customHeight="1"/>
    <row r="729" ht="14.1" customHeight="1"/>
    <row r="730" ht="14.1" customHeight="1"/>
    <row r="731" ht="14.1" customHeight="1"/>
    <row r="732" ht="14.1" customHeight="1"/>
    <row r="733" ht="14.1" customHeight="1"/>
    <row r="734" ht="14.1" customHeight="1"/>
    <row r="735" ht="14.1" customHeight="1"/>
    <row r="736" ht="14.1" customHeight="1"/>
    <row r="737" ht="14.1" customHeight="1"/>
    <row r="738" ht="14.1" customHeight="1"/>
    <row r="739" ht="14.1" customHeight="1"/>
    <row r="740" ht="14.1" customHeight="1"/>
    <row r="741" ht="14.1" customHeight="1"/>
    <row r="742" ht="14.1" customHeight="1"/>
    <row r="743" ht="14.1" customHeight="1"/>
    <row r="744" ht="14.1" customHeight="1"/>
    <row r="745" ht="14.1" customHeight="1"/>
    <row r="746" ht="14.1" customHeight="1"/>
    <row r="747" ht="14.1" customHeight="1"/>
    <row r="748" ht="14.1" customHeight="1"/>
    <row r="749" ht="14.1" customHeight="1"/>
    <row r="750" ht="14.1" customHeight="1"/>
    <row r="751" ht="14.1" customHeight="1"/>
    <row r="752" ht="14.1" customHeight="1"/>
    <row r="753" ht="14.1" customHeight="1"/>
    <row r="754" ht="14.1" customHeight="1"/>
    <row r="755" ht="14.1" customHeight="1"/>
    <row r="756" ht="14.1" customHeight="1"/>
    <row r="757" ht="14.1" customHeight="1"/>
    <row r="758" ht="14.1" customHeight="1"/>
    <row r="759" ht="14.1" customHeight="1"/>
    <row r="760" ht="14.1" customHeight="1"/>
    <row r="761" ht="14.1" customHeight="1"/>
    <row r="762" ht="14.1" customHeight="1"/>
    <row r="763" ht="14.1" customHeight="1"/>
    <row r="764" ht="14.1" customHeight="1"/>
    <row r="765" ht="14.1" customHeight="1"/>
    <row r="766" ht="14.1" customHeight="1"/>
    <row r="767" ht="14.1" customHeight="1"/>
    <row r="768" ht="14.1" customHeight="1"/>
    <row r="769" ht="14.1" customHeight="1"/>
    <row r="770" ht="14.1" customHeight="1"/>
    <row r="771" ht="14.1" customHeight="1"/>
    <row r="772" ht="14.1" customHeight="1"/>
    <row r="773" ht="14.1" customHeight="1"/>
    <row r="774" ht="14.1" customHeight="1"/>
    <row r="775" ht="14.1" customHeight="1"/>
    <row r="776" ht="14.1" customHeight="1"/>
    <row r="777" ht="14.1" customHeight="1"/>
    <row r="778" ht="14.1" customHeight="1"/>
    <row r="779" ht="14.1" customHeight="1"/>
    <row r="780" ht="14.1" customHeight="1"/>
    <row r="781" ht="14.1" customHeight="1"/>
    <row r="782" ht="14.1" customHeight="1"/>
    <row r="783" ht="14.1" customHeight="1"/>
    <row r="784" ht="14.1" customHeight="1"/>
    <row r="785" ht="14.1" customHeight="1"/>
    <row r="786" ht="14.1" customHeight="1"/>
    <row r="787" ht="14.1" customHeight="1"/>
    <row r="788" ht="14.1" customHeight="1"/>
    <row r="789" ht="14.1" customHeight="1"/>
    <row r="790" ht="14.1" customHeight="1"/>
    <row r="791" ht="14.1" customHeight="1"/>
    <row r="792" ht="14.1" customHeight="1"/>
    <row r="793" ht="14.1" customHeight="1"/>
  </sheetData>
  <pageMargins left="0.7" right="0.7" top="0.75" bottom="0.75" header="0.3" footer="0.3"/>
  <headerFooter>
    <oddFooter>&amp;L_x000D_&amp;1#&amp;"Arial"&amp;7&amp;KDAD4CE Public&amp;C&amp;"Verdana"&amp;10 &amp;KC1C1C1_x000D_# Restricted</oddFooter>
  </headerFooter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600-000000000000}">
  <sheetPr codeName="Sheet26">
    <tabColor rgb="FF0070C0"/>
    <pageSetUpPr fitToPage="1"/>
  </sheetPr>
  <dimension ref="A1:U793"/>
  <sheetViews>
    <sheetView zoomScale="80" zoomScaleNormal="80" workbookViewId="0">
      <pane ySplit="4" topLeftCell="A5" activePane="bottomLeft" state="frozen"/>
      <selection activeCell="A16" sqref="A16"/>
      <selection pane="bottomLeft" activeCell="A16" sqref="A16"/>
    </sheetView>
  </sheetViews>
  <sheetFormatPr defaultColWidth="8.85546875" defaultRowHeight="15" customHeight="1"/>
  <cols>
    <col min="1" max="1" width="4.140625" style="85" customWidth="1"/>
    <col min="2" max="3" width="8.5703125" style="82" customWidth="1"/>
    <col min="4" max="4" width="14.5703125" style="85" customWidth="1"/>
    <col min="5" max="5" width="20.5703125" style="82" customWidth="1"/>
    <col min="6" max="6" width="8.5703125" style="85" customWidth="1"/>
    <col min="7" max="7" width="32.5703125" style="81" customWidth="1"/>
    <col min="8" max="8" width="18.5703125" style="82" customWidth="1"/>
    <col min="9" max="9" width="62.5703125" style="81" customWidth="1"/>
    <col min="10" max="10" width="9.5703125" style="85" customWidth="1"/>
    <col min="11" max="12" width="9.5703125" style="105" customWidth="1"/>
    <col min="13" max="13" width="10.5703125" style="105" customWidth="1"/>
    <col min="14" max="14" width="8.5703125" style="105" customWidth="1"/>
    <col min="15" max="15" width="10.5703125" style="85" customWidth="1"/>
    <col min="16" max="16" width="5.5703125" style="85" customWidth="1"/>
    <col min="17" max="17" width="1.5703125" style="2" customWidth="1"/>
    <col min="18" max="18" width="10.5703125" style="30" customWidth="1"/>
    <col min="19" max="19" width="1.5703125" style="81" customWidth="1"/>
    <col min="20" max="21" width="10.5703125" style="81" customWidth="1"/>
    <col min="22" max="220" width="8.85546875" style="81" customWidth="1"/>
    <col min="221" max="221" width="8.140625" style="81" customWidth="1"/>
    <col min="222" max="222" width="14.5703125" style="81" customWidth="1"/>
    <col min="223" max="223" width="37.42578125" style="81" customWidth="1"/>
    <col min="224" max="224" width="63.140625" style="81" customWidth="1"/>
    <col min="225" max="225" width="20" style="81" customWidth="1"/>
    <col min="226" max="226" width="11.140625" style="81" customWidth="1"/>
    <col min="227" max="227" width="10.85546875" style="81" customWidth="1"/>
    <col min="228" max="228" width="21" style="81" customWidth="1"/>
    <col min="229" max="229" width="10.85546875" style="81" customWidth="1"/>
    <col min="230" max="230" width="17.42578125" style="81" customWidth="1"/>
    <col min="231" max="231" width="14.85546875" style="81" customWidth="1"/>
    <col min="232" max="232" width="15" style="81" customWidth="1"/>
    <col min="233" max="233" width="14.85546875" style="81" customWidth="1"/>
    <col min="234" max="234" width="7.140625" style="81" customWidth="1"/>
    <col min="235" max="236" width="20.140625" style="81" customWidth="1"/>
    <col min="237" max="237" width="18.42578125" style="81" customWidth="1"/>
    <col min="238" max="238" width="9.140625" style="81" customWidth="1"/>
    <col min="239" max="239" width="12" style="81" customWidth="1"/>
    <col min="240" max="240" width="14.85546875" style="81" customWidth="1"/>
    <col min="241" max="241" width="22.42578125" style="81" customWidth="1"/>
    <col min="242" max="242" width="14.85546875" style="81" customWidth="1"/>
    <col min="243" max="243" width="7.140625" style="81" customWidth="1"/>
    <col min="244" max="244" width="20.140625" style="81" customWidth="1"/>
    <col min="245" max="476" width="8.85546875" style="81" customWidth="1"/>
    <col min="477" max="477" width="8.140625" style="81" customWidth="1"/>
    <col min="478" max="478" width="14.5703125" style="81" customWidth="1"/>
    <col min="479" max="479" width="37.42578125" style="81" customWidth="1"/>
    <col min="480" max="480" width="63.140625" style="81" customWidth="1"/>
    <col min="481" max="481" width="20" style="81" customWidth="1"/>
    <col min="482" max="482" width="11.140625" style="81" customWidth="1"/>
    <col min="483" max="483" width="10.85546875" style="81" customWidth="1"/>
    <col min="484" max="484" width="21" style="81" customWidth="1"/>
    <col min="485" max="485" width="10.85546875" style="81" customWidth="1"/>
    <col min="486" max="486" width="17.42578125" style="81" customWidth="1"/>
    <col min="487" max="487" width="14.85546875" style="81" customWidth="1"/>
    <col min="488" max="488" width="15" style="81" customWidth="1"/>
    <col min="489" max="489" width="14.85546875" style="81" customWidth="1"/>
    <col min="490" max="490" width="7.140625" style="81" customWidth="1"/>
    <col min="491" max="492" width="20.140625" style="81" customWidth="1"/>
    <col min="493" max="493" width="18.42578125" style="81" customWidth="1"/>
    <col min="494" max="494" width="9.140625" style="81" customWidth="1"/>
    <col min="495" max="495" width="12" style="81" customWidth="1"/>
    <col min="496" max="496" width="14.85546875" style="81" customWidth="1"/>
    <col min="497" max="497" width="22.42578125" style="81" customWidth="1"/>
    <col min="498" max="498" width="14.85546875" style="81" customWidth="1"/>
    <col min="499" max="499" width="7.140625" style="81" customWidth="1"/>
    <col min="500" max="500" width="20.140625" style="81" customWidth="1"/>
    <col min="501" max="732" width="8.85546875" style="81" customWidth="1"/>
    <col min="733" max="733" width="8.140625" style="81" customWidth="1"/>
    <col min="734" max="734" width="14.5703125" style="81" customWidth="1"/>
    <col min="735" max="735" width="37.42578125" style="81" customWidth="1"/>
    <col min="736" max="736" width="63.140625" style="81" customWidth="1"/>
    <col min="737" max="737" width="20" style="81" customWidth="1"/>
    <col min="738" max="738" width="11.140625" style="81" customWidth="1"/>
    <col min="739" max="739" width="10.85546875" style="81" customWidth="1"/>
    <col min="740" max="740" width="21" style="81" customWidth="1"/>
    <col min="741" max="741" width="10.85546875" style="81" customWidth="1"/>
    <col min="742" max="742" width="17.42578125" style="81" customWidth="1"/>
    <col min="743" max="743" width="14.85546875" style="81" customWidth="1"/>
    <col min="744" max="744" width="15" style="81" customWidth="1"/>
    <col min="745" max="745" width="14.85546875" style="81" customWidth="1"/>
    <col min="746" max="746" width="7.140625" style="81" customWidth="1"/>
    <col min="747" max="748" width="20.140625" style="81" customWidth="1"/>
    <col min="749" max="749" width="18.42578125" style="81" customWidth="1"/>
    <col min="750" max="750" width="9.140625" style="81" customWidth="1"/>
    <col min="751" max="751" width="12" style="81" customWidth="1"/>
    <col min="752" max="752" width="14.85546875" style="81" customWidth="1"/>
    <col min="753" max="753" width="22.42578125" style="81" customWidth="1"/>
    <col min="754" max="754" width="14.85546875" style="81" customWidth="1"/>
    <col min="755" max="755" width="7.140625" style="81" customWidth="1"/>
    <col min="756" max="756" width="20.140625" style="81" customWidth="1"/>
    <col min="757" max="988" width="8.85546875" style="81" customWidth="1"/>
    <col min="989" max="989" width="8.140625" style="81" customWidth="1"/>
    <col min="990" max="990" width="14.5703125" style="81" customWidth="1"/>
    <col min="991" max="991" width="37.42578125" style="81" customWidth="1"/>
    <col min="992" max="992" width="63.140625" style="81" customWidth="1"/>
    <col min="993" max="993" width="20" style="81" customWidth="1"/>
    <col min="994" max="994" width="11.140625" style="81" customWidth="1"/>
    <col min="995" max="995" width="10.85546875" style="81" customWidth="1"/>
    <col min="996" max="996" width="21" style="81" customWidth="1"/>
    <col min="997" max="997" width="10.85546875" style="81" customWidth="1"/>
    <col min="998" max="998" width="17.42578125" style="81" customWidth="1"/>
    <col min="999" max="999" width="14.85546875" style="81" customWidth="1"/>
    <col min="1000" max="1000" width="15" style="81" customWidth="1"/>
    <col min="1001" max="1001" width="14.85546875" style="81" customWidth="1"/>
    <col min="1002" max="1002" width="7.140625" style="81" customWidth="1"/>
    <col min="1003" max="1004" width="20.140625" style="81" customWidth="1"/>
    <col min="1005" max="1005" width="18.42578125" style="81" customWidth="1"/>
    <col min="1006" max="1006" width="9.140625" style="81" customWidth="1"/>
    <col min="1007" max="1007" width="12" style="81" customWidth="1"/>
    <col min="1008" max="1008" width="14.85546875" style="81" customWidth="1"/>
    <col min="1009" max="1009" width="22.42578125" style="81" customWidth="1"/>
    <col min="1010" max="1010" width="14.85546875" style="81" customWidth="1"/>
    <col min="1011" max="1011" width="7.140625" style="81" customWidth="1"/>
    <col min="1012" max="1012" width="20.140625" style="81" customWidth="1"/>
    <col min="1013" max="1244" width="8.85546875" style="81" customWidth="1"/>
    <col min="1245" max="1245" width="8.140625" style="81" customWidth="1"/>
    <col min="1246" max="1246" width="14.5703125" style="81" customWidth="1"/>
    <col min="1247" max="1247" width="37.42578125" style="81" customWidth="1"/>
    <col min="1248" max="1248" width="63.140625" style="81" customWidth="1"/>
    <col min="1249" max="1249" width="20" style="81" customWidth="1"/>
    <col min="1250" max="1250" width="11.140625" style="81" customWidth="1"/>
    <col min="1251" max="1251" width="10.85546875" style="81" customWidth="1"/>
    <col min="1252" max="1252" width="21" style="81" customWidth="1"/>
    <col min="1253" max="1253" width="10.85546875" style="81" customWidth="1"/>
    <col min="1254" max="1254" width="17.42578125" style="81" customWidth="1"/>
    <col min="1255" max="1255" width="14.85546875" style="81" customWidth="1"/>
    <col min="1256" max="1256" width="15" style="81" customWidth="1"/>
    <col min="1257" max="1257" width="14.85546875" style="81" customWidth="1"/>
    <col min="1258" max="1258" width="7.140625" style="81" customWidth="1"/>
    <col min="1259" max="1260" width="20.140625" style="81" customWidth="1"/>
    <col min="1261" max="1261" width="18.42578125" style="81" customWidth="1"/>
    <col min="1262" max="1262" width="9.140625" style="81" customWidth="1"/>
    <col min="1263" max="1263" width="12" style="81" customWidth="1"/>
    <col min="1264" max="1264" width="14.85546875" style="81" customWidth="1"/>
    <col min="1265" max="1265" width="22.42578125" style="81" customWidth="1"/>
    <col min="1266" max="1266" width="14.85546875" style="81" customWidth="1"/>
    <col min="1267" max="1267" width="7.140625" style="81" customWidth="1"/>
    <col min="1268" max="1268" width="20.140625" style="81" customWidth="1"/>
    <col min="1269" max="1500" width="8.85546875" style="81" customWidth="1"/>
    <col min="1501" max="1501" width="8.140625" style="81" customWidth="1"/>
    <col min="1502" max="1502" width="14.5703125" style="81" customWidth="1"/>
    <col min="1503" max="1503" width="37.42578125" style="81" customWidth="1"/>
    <col min="1504" max="1504" width="63.140625" style="81" customWidth="1"/>
    <col min="1505" max="1505" width="20" style="81" customWidth="1"/>
    <col min="1506" max="1506" width="11.140625" style="81" customWidth="1"/>
    <col min="1507" max="1507" width="10.85546875" style="81" customWidth="1"/>
    <col min="1508" max="1508" width="21" style="81" customWidth="1"/>
    <col min="1509" max="1509" width="10.85546875" style="81" customWidth="1"/>
    <col min="1510" max="1510" width="17.42578125" style="81" customWidth="1"/>
    <col min="1511" max="1511" width="14.85546875" style="81" customWidth="1"/>
    <col min="1512" max="1512" width="15" style="81" customWidth="1"/>
    <col min="1513" max="1513" width="14.85546875" style="81" customWidth="1"/>
    <col min="1514" max="1514" width="7.140625" style="81" customWidth="1"/>
    <col min="1515" max="1516" width="20.140625" style="81" customWidth="1"/>
    <col min="1517" max="1517" width="18.42578125" style="81" customWidth="1"/>
    <col min="1518" max="1518" width="9.140625" style="81" customWidth="1"/>
    <col min="1519" max="1519" width="12" style="81" customWidth="1"/>
    <col min="1520" max="1520" width="14.85546875" style="81" customWidth="1"/>
    <col min="1521" max="1521" width="22.42578125" style="81" customWidth="1"/>
    <col min="1522" max="1522" width="14.85546875" style="81" customWidth="1"/>
    <col min="1523" max="1523" width="7.140625" style="81" customWidth="1"/>
    <col min="1524" max="1524" width="20.140625" style="81" customWidth="1"/>
    <col min="1525" max="1756" width="8.85546875" style="81" customWidth="1"/>
    <col min="1757" max="1757" width="8.140625" style="81" customWidth="1"/>
    <col min="1758" max="1758" width="14.5703125" style="81" customWidth="1"/>
    <col min="1759" max="1759" width="37.42578125" style="81" customWidth="1"/>
    <col min="1760" max="1760" width="63.140625" style="81" customWidth="1"/>
    <col min="1761" max="1761" width="20" style="81" customWidth="1"/>
    <col min="1762" max="1762" width="11.140625" style="81" customWidth="1"/>
    <col min="1763" max="1763" width="10.85546875" style="81" customWidth="1"/>
    <col min="1764" max="1764" width="21" style="81" customWidth="1"/>
    <col min="1765" max="1765" width="10.85546875" style="81" customWidth="1"/>
    <col min="1766" max="1766" width="17.42578125" style="81" customWidth="1"/>
    <col min="1767" max="1767" width="14.85546875" style="81" customWidth="1"/>
    <col min="1768" max="1768" width="15" style="81" customWidth="1"/>
    <col min="1769" max="1769" width="14.85546875" style="81" customWidth="1"/>
    <col min="1770" max="1770" width="7.140625" style="81" customWidth="1"/>
    <col min="1771" max="1772" width="20.140625" style="81" customWidth="1"/>
    <col min="1773" max="1773" width="18.42578125" style="81" customWidth="1"/>
    <col min="1774" max="1774" width="9.140625" style="81" customWidth="1"/>
    <col min="1775" max="1775" width="12" style="81" customWidth="1"/>
    <col min="1776" max="1776" width="14.85546875" style="81" customWidth="1"/>
    <col min="1777" max="1777" width="22.42578125" style="81" customWidth="1"/>
    <col min="1778" max="1778" width="14.85546875" style="81" customWidth="1"/>
    <col min="1779" max="1779" width="7.140625" style="81" customWidth="1"/>
    <col min="1780" max="1780" width="20.140625" style="81" customWidth="1"/>
    <col min="1781" max="2012" width="8.85546875" style="81" customWidth="1"/>
    <col min="2013" max="2013" width="8.140625" style="81" customWidth="1"/>
    <col min="2014" max="2014" width="14.5703125" style="81" customWidth="1"/>
    <col min="2015" max="2015" width="37.42578125" style="81" customWidth="1"/>
    <col min="2016" max="2016" width="63.140625" style="81" customWidth="1"/>
    <col min="2017" max="2017" width="20" style="81" customWidth="1"/>
    <col min="2018" max="2018" width="11.140625" style="81" customWidth="1"/>
    <col min="2019" max="2019" width="10.85546875" style="81" customWidth="1"/>
    <col min="2020" max="2020" width="21" style="81" customWidth="1"/>
    <col min="2021" max="2021" width="10.85546875" style="81" customWidth="1"/>
    <col min="2022" max="2022" width="17.42578125" style="81" customWidth="1"/>
    <col min="2023" max="2023" width="14.85546875" style="81" customWidth="1"/>
    <col min="2024" max="2024" width="15" style="81" customWidth="1"/>
    <col min="2025" max="2025" width="14.85546875" style="81" customWidth="1"/>
    <col min="2026" max="2026" width="7.140625" style="81" customWidth="1"/>
    <col min="2027" max="2028" width="20.140625" style="81" customWidth="1"/>
    <col min="2029" max="2029" width="18.42578125" style="81" customWidth="1"/>
    <col min="2030" max="2030" width="9.140625" style="81" customWidth="1"/>
    <col min="2031" max="2031" width="12" style="81" customWidth="1"/>
    <col min="2032" max="2032" width="14.85546875" style="81" customWidth="1"/>
    <col min="2033" max="2033" width="22.42578125" style="81" customWidth="1"/>
    <col min="2034" max="2034" width="14.85546875" style="81" customWidth="1"/>
    <col min="2035" max="2035" width="7.140625" style="81" customWidth="1"/>
    <col min="2036" max="2036" width="20.140625" style="81" customWidth="1"/>
    <col min="2037" max="2268" width="8.85546875" style="81" customWidth="1"/>
    <col min="2269" max="2269" width="8.140625" style="81" customWidth="1"/>
    <col min="2270" max="2270" width="14.5703125" style="81" customWidth="1"/>
    <col min="2271" max="2271" width="37.42578125" style="81" customWidth="1"/>
    <col min="2272" max="2272" width="63.140625" style="81" customWidth="1"/>
    <col min="2273" max="2273" width="20" style="81" customWidth="1"/>
    <col min="2274" max="2274" width="11.140625" style="81" customWidth="1"/>
    <col min="2275" max="2275" width="10.85546875" style="81" customWidth="1"/>
    <col min="2276" max="2276" width="21" style="81" customWidth="1"/>
    <col min="2277" max="2277" width="10.85546875" style="81" customWidth="1"/>
    <col min="2278" max="2278" width="17.42578125" style="81" customWidth="1"/>
    <col min="2279" max="2279" width="14.85546875" style="81" customWidth="1"/>
    <col min="2280" max="2280" width="15" style="81" customWidth="1"/>
    <col min="2281" max="2281" width="14.85546875" style="81" customWidth="1"/>
    <col min="2282" max="2282" width="7.140625" style="81" customWidth="1"/>
    <col min="2283" max="2284" width="20.140625" style="81" customWidth="1"/>
    <col min="2285" max="2285" width="18.42578125" style="81" customWidth="1"/>
    <col min="2286" max="2286" width="9.140625" style="81" customWidth="1"/>
    <col min="2287" max="2287" width="12" style="81" customWidth="1"/>
    <col min="2288" max="2288" width="14.85546875" style="81" customWidth="1"/>
    <col min="2289" max="2289" width="22.42578125" style="81" customWidth="1"/>
    <col min="2290" max="2290" width="14.85546875" style="81" customWidth="1"/>
    <col min="2291" max="2291" width="7.140625" style="81" customWidth="1"/>
    <col min="2292" max="2292" width="20.140625" style="81" customWidth="1"/>
    <col min="2293" max="2524" width="8.85546875" style="81" customWidth="1"/>
    <col min="2525" max="2525" width="8.140625" style="81" customWidth="1"/>
    <col min="2526" max="2526" width="14.5703125" style="81" customWidth="1"/>
    <col min="2527" max="2527" width="37.42578125" style="81" customWidth="1"/>
    <col min="2528" max="2528" width="63.140625" style="81" customWidth="1"/>
    <col min="2529" max="2529" width="20" style="81" customWidth="1"/>
    <col min="2530" max="2530" width="11.140625" style="81" customWidth="1"/>
    <col min="2531" max="2531" width="10.85546875" style="81" customWidth="1"/>
    <col min="2532" max="2532" width="21" style="81" customWidth="1"/>
    <col min="2533" max="2533" width="10.85546875" style="81" customWidth="1"/>
    <col min="2534" max="2534" width="17.42578125" style="81" customWidth="1"/>
    <col min="2535" max="2535" width="14.85546875" style="81" customWidth="1"/>
    <col min="2536" max="2536" width="15" style="81" customWidth="1"/>
    <col min="2537" max="2537" width="14.85546875" style="81" customWidth="1"/>
    <col min="2538" max="2538" width="7.140625" style="81" customWidth="1"/>
    <col min="2539" max="2540" width="20.140625" style="81" customWidth="1"/>
    <col min="2541" max="2541" width="18.42578125" style="81" customWidth="1"/>
    <col min="2542" max="2542" width="9.140625" style="81" customWidth="1"/>
    <col min="2543" max="2543" width="12" style="81" customWidth="1"/>
    <col min="2544" max="2544" width="14.85546875" style="81" customWidth="1"/>
    <col min="2545" max="2545" width="22.42578125" style="81" customWidth="1"/>
    <col min="2546" max="2546" width="14.85546875" style="81" customWidth="1"/>
    <col min="2547" max="2547" width="7.140625" style="81" customWidth="1"/>
    <col min="2548" max="2548" width="20.140625" style="81" customWidth="1"/>
    <col min="2549" max="2780" width="8.85546875" style="81" customWidth="1"/>
    <col min="2781" max="2781" width="8.140625" style="81" customWidth="1"/>
    <col min="2782" max="2782" width="14.5703125" style="81" customWidth="1"/>
    <col min="2783" max="2783" width="37.42578125" style="81" customWidth="1"/>
    <col min="2784" max="2784" width="63.140625" style="81" customWidth="1"/>
    <col min="2785" max="2785" width="20" style="81" customWidth="1"/>
    <col min="2786" max="2786" width="11.140625" style="81" customWidth="1"/>
    <col min="2787" max="2787" width="10.85546875" style="81" customWidth="1"/>
    <col min="2788" max="2788" width="21" style="81" customWidth="1"/>
    <col min="2789" max="2789" width="10.85546875" style="81" customWidth="1"/>
    <col min="2790" max="2790" width="17.42578125" style="81" customWidth="1"/>
    <col min="2791" max="2791" width="14.85546875" style="81" customWidth="1"/>
    <col min="2792" max="2792" width="15" style="81" customWidth="1"/>
    <col min="2793" max="2793" width="14.85546875" style="81" customWidth="1"/>
    <col min="2794" max="2794" width="7.140625" style="81" customWidth="1"/>
    <col min="2795" max="2796" width="20.140625" style="81" customWidth="1"/>
    <col min="2797" max="2797" width="18.42578125" style="81" customWidth="1"/>
    <col min="2798" max="2798" width="9.140625" style="81" customWidth="1"/>
    <col min="2799" max="2799" width="12" style="81" customWidth="1"/>
    <col min="2800" max="2800" width="14.85546875" style="81" customWidth="1"/>
    <col min="2801" max="2801" width="22.42578125" style="81" customWidth="1"/>
    <col min="2802" max="2802" width="14.85546875" style="81" customWidth="1"/>
    <col min="2803" max="2803" width="7.140625" style="81" customWidth="1"/>
    <col min="2804" max="2804" width="20.140625" style="81" customWidth="1"/>
    <col min="2805" max="3036" width="8.85546875" style="81" customWidth="1"/>
    <col min="3037" max="3037" width="8.140625" style="81" customWidth="1"/>
    <col min="3038" max="3038" width="14.5703125" style="81" customWidth="1"/>
    <col min="3039" max="3039" width="37.42578125" style="81" customWidth="1"/>
    <col min="3040" max="3040" width="63.140625" style="81" customWidth="1"/>
    <col min="3041" max="3041" width="20" style="81" customWidth="1"/>
    <col min="3042" max="3042" width="11.140625" style="81" customWidth="1"/>
    <col min="3043" max="3043" width="10.85546875" style="81" customWidth="1"/>
    <col min="3044" max="3044" width="21" style="81" customWidth="1"/>
    <col min="3045" max="3045" width="10.85546875" style="81" customWidth="1"/>
    <col min="3046" max="3046" width="17.42578125" style="81" customWidth="1"/>
    <col min="3047" max="3047" width="14.85546875" style="81" customWidth="1"/>
    <col min="3048" max="3048" width="15" style="81" customWidth="1"/>
    <col min="3049" max="3049" width="14.85546875" style="81" customWidth="1"/>
    <col min="3050" max="3050" width="7.140625" style="81" customWidth="1"/>
    <col min="3051" max="3052" width="20.140625" style="81" customWidth="1"/>
    <col min="3053" max="3053" width="18.42578125" style="81" customWidth="1"/>
    <col min="3054" max="3054" width="9.140625" style="81" customWidth="1"/>
    <col min="3055" max="3055" width="12" style="81" customWidth="1"/>
    <col min="3056" max="3056" width="14.85546875" style="81" customWidth="1"/>
    <col min="3057" max="3057" width="22.42578125" style="81" customWidth="1"/>
    <col min="3058" max="3058" width="14.85546875" style="81" customWidth="1"/>
    <col min="3059" max="3059" width="7.140625" style="81" customWidth="1"/>
    <col min="3060" max="3060" width="20.140625" style="81" customWidth="1"/>
    <col min="3061" max="3292" width="8.85546875" style="81" customWidth="1"/>
    <col min="3293" max="3293" width="8.140625" style="81" customWidth="1"/>
    <col min="3294" max="3294" width="14.5703125" style="81" customWidth="1"/>
    <col min="3295" max="3295" width="37.42578125" style="81" customWidth="1"/>
    <col min="3296" max="3296" width="63.140625" style="81" customWidth="1"/>
    <col min="3297" max="3297" width="20" style="81" customWidth="1"/>
    <col min="3298" max="3298" width="11.140625" style="81" customWidth="1"/>
    <col min="3299" max="3299" width="10.85546875" style="81" customWidth="1"/>
    <col min="3300" max="3300" width="21" style="81" customWidth="1"/>
    <col min="3301" max="3301" width="10.85546875" style="81" customWidth="1"/>
    <col min="3302" max="3302" width="17.42578125" style="81" customWidth="1"/>
    <col min="3303" max="3303" width="14.85546875" style="81" customWidth="1"/>
    <col min="3304" max="3304" width="15" style="81" customWidth="1"/>
    <col min="3305" max="3305" width="14.85546875" style="81" customWidth="1"/>
    <col min="3306" max="3306" width="7.140625" style="81" customWidth="1"/>
    <col min="3307" max="3308" width="20.140625" style="81" customWidth="1"/>
    <col min="3309" max="3309" width="18.42578125" style="81" customWidth="1"/>
    <col min="3310" max="3310" width="9.140625" style="81" customWidth="1"/>
    <col min="3311" max="3311" width="12" style="81" customWidth="1"/>
    <col min="3312" max="3312" width="14.85546875" style="81" customWidth="1"/>
    <col min="3313" max="3313" width="22.42578125" style="81" customWidth="1"/>
    <col min="3314" max="3314" width="14.85546875" style="81" customWidth="1"/>
    <col min="3315" max="3315" width="7.140625" style="81" customWidth="1"/>
    <col min="3316" max="3316" width="20.140625" style="81" customWidth="1"/>
    <col min="3317" max="3548" width="8.85546875" style="81" customWidth="1"/>
    <col min="3549" max="3549" width="8.140625" style="81" customWidth="1"/>
    <col min="3550" max="3550" width="14.5703125" style="81" customWidth="1"/>
    <col min="3551" max="3551" width="37.42578125" style="81" customWidth="1"/>
    <col min="3552" max="3552" width="63.140625" style="81" customWidth="1"/>
    <col min="3553" max="3553" width="20" style="81" customWidth="1"/>
    <col min="3554" max="3554" width="11.140625" style="81" customWidth="1"/>
    <col min="3555" max="3555" width="10.85546875" style="81" customWidth="1"/>
    <col min="3556" max="3556" width="21" style="81" customWidth="1"/>
    <col min="3557" max="3557" width="10.85546875" style="81" customWidth="1"/>
    <col min="3558" max="3558" width="17.42578125" style="81" customWidth="1"/>
    <col min="3559" max="3559" width="14.85546875" style="81" customWidth="1"/>
    <col min="3560" max="3560" width="15" style="81" customWidth="1"/>
    <col min="3561" max="3561" width="14.85546875" style="81" customWidth="1"/>
    <col min="3562" max="3562" width="7.140625" style="81" customWidth="1"/>
    <col min="3563" max="3564" width="20.140625" style="81" customWidth="1"/>
    <col min="3565" max="3565" width="18.42578125" style="81" customWidth="1"/>
    <col min="3566" max="3566" width="9.140625" style="81" customWidth="1"/>
    <col min="3567" max="3567" width="12" style="81" customWidth="1"/>
    <col min="3568" max="3568" width="14.85546875" style="81" customWidth="1"/>
    <col min="3569" max="3569" width="22.42578125" style="81" customWidth="1"/>
    <col min="3570" max="3570" width="14.85546875" style="81" customWidth="1"/>
    <col min="3571" max="3571" width="7.140625" style="81" customWidth="1"/>
    <col min="3572" max="3572" width="20.140625" style="81" customWidth="1"/>
    <col min="3573" max="3804" width="8.85546875" style="81" customWidth="1"/>
    <col min="3805" max="3805" width="8.140625" style="81" customWidth="1"/>
    <col min="3806" max="3806" width="14.5703125" style="81" customWidth="1"/>
    <col min="3807" max="3807" width="37.42578125" style="81" customWidth="1"/>
    <col min="3808" max="3808" width="63.140625" style="81" customWidth="1"/>
    <col min="3809" max="3809" width="20" style="81" customWidth="1"/>
    <col min="3810" max="3810" width="11.140625" style="81" customWidth="1"/>
    <col min="3811" max="3811" width="10.85546875" style="81" customWidth="1"/>
    <col min="3812" max="3812" width="21" style="81" customWidth="1"/>
    <col min="3813" max="3813" width="10.85546875" style="81" customWidth="1"/>
    <col min="3814" max="3814" width="17.42578125" style="81" customWidth="1"/>
    <col min="3815" max="3815" width="14.85546875" style="81" customWidth="1"/>
    <col min="3816" max="3816" width="15" style="81" customWidth="1"/>
    <col min="3817" max="3817" width="14.85546875" style="81" customWidth="1"/>
    <col min="3818" max="3818" width="7.140625" style="81" customWidth="1"/>
    <col min="3819" max="3820" width="20.140625" style="81" customWidth="1"/>
    <col min="3821" max="3821" width="18.42578125" style="81" customWidth="1"/>
    <col min="3822" max="3822" width="9.140625" style="81" customWidth="1"/>
    <col min="3823" max="3823" width="12" style="81" customWidth="1"/>
    <col min="3824" max="3824" width="14.85546875" style="81" customWidth="1"/>
    <col min="3825" max="3825" width="22.42578125" style="81" customWidth="1"/>
    <col min="3826" max="3826" width="14.85546875" style="81" customWidth="1"/>
    <col min="3827" max="3827" width="7.140625" style="81" customWidth="1"/>
    <col min="3828" max="3828" width="20.140625" style="81" customWidth="1"/>
    <col min="3829" max="4060" width="8.85546875" style="81" customWidth="1"/>
    <col min="4061" max="4061" width="8.140625" style="81" customWidth="1"/>
    <col min="4062" max="4062" width="14.5703125" style="81" customWidth="1"/>
    <col min="4063" max="4063" width="37.42578125" style="81" customWidth="1"/>
    <col min="4064" max="4064" width="63.140625" style="81" customWidth="1"/>
    <col min="4065" max="4065" width="20" style="81" customWidth="1"/>
    <col min="4066" max="4066" width="11.140625" style="81" customWidth="1"/>
    <col min="4067" max="4067" width="10.85546875" style="81" customWidth="1"/>
    <col min="4068" max="4068" width="21" style="81" customWidth="1"/>
    <col min="4069" max="4069" width="10.85546875" style="81" customWidth="1"/>
    <col min="4070" max="4070" width="17.42578125" style="81" customWidth="1"/>
    <col min="4071" max="4071" width="14.85546875" style="81" customWidth="1"/>
    <col min="4072" max="4072" width="15" style="81" customWidth="1"/>
    <col min="4073" max="4073" width="14.85546875" style="81" customWidth="1"/>
    <col min="4074" max="4074" width="7.140625" style="81" customWidth="1"/>
    <col min="4075" max="4076" width="20.140625" style="81" customWidth="1"/>
    <col min="4077" max="4077" width="18.42578125" style="81" customWidth="1"/>
    <col min="4078" max="4078" width="9.140625" style="81" customWidth="1"/>
    <col min="4079" max="4079" width="12" style="81" customWidth="1"/>
    <col min="4080" max="4080" width="14.85546875" style="81" customWidth="1"/>
    <col min="4081" max="4081" width="22.42578125" style="81" customWidth="1"/>
    <col min="4082" max="4082" width="14.85546875" style="81" customWidth="1"/>
    <col min="4083" max="4083" width="7.140625" style="81" customWidth="1"/>
    <col min="4084" max="4084" width="20.140625" style="81" customWidth="1"/>
    <col min="4085" max="4316" width="8.85546875" style="81" customWidth="1"/>
    <col min="4317" max="4317" width="8.140625" style="81" customWidth="1"/>
    <col min="4318" max="4318" width="14.5703125" style="81" customWidth="1"/>
    <col min="4319" max="4319" width="37.42578125" style="81" customWidth="1"/>
    <col min="4320" max="4320" width="63.140625" style="81" customWidth="1"/>
    <col min="4321" max="4321" width="20" style="81" customWidth="1"/>
    <col min="4322" max="4322" width="11.140625" style="81" customWidth="1"/>
    <col min="4323" max="4323" width="10.85546875" style="81" customWidth="1"/>
    <col min="4324" max="4324" width="21" style="81" customWidth="1"/>
    <col min="4325" max="4325" width="10.85546875" style="81" customWidth="1"/>
    <col min="4326" max="4326" width="17.42578125" style="81" customWidth="1"/>
    <col min="4327" max="4327" width="14.85546875" style="81" customWidth="1"/>
    <col min="4328" max="4328" width="15" style="81" customWidth="1"/>
    <col min="4329" max="4329" width="14.85546875" style="81" customWidth="1"/>
    <col min="4330" max="4330" width="7.140625" style="81" customWidth="1"/>
    <col min="4331" max="4332" width="20.140625" style="81" customWidth="1"/>
    <col min="4333" max="4333" width="18.42578125" style="81" customWidth="1"/>
    <col min="4334" max="4334" width="9.140625" style="81" customWidth="1"/>
    <col min="4335" max="4335" width="12" style="81" customWidth="1"/>
    <col min="4336" max="4336" width="14.85546875" style="81" customWidth="1"/>
    <col min="4337" max="4337" width="22.42578125" style="81" customWidth="1"/>
    <col min="4338" max="4338" width="14.85546875" style="81" customWidth="1"/>
    <col min="4339" max="4339" width="7.140625" style="81" customWidth="1"/>
    <col min="4340" max="4340" width="20.140625" style="81" customWidth="1"/>
    <col min="4341" max="4572" width="8.85546875" style="81" customWidth="1"/>
    <col min="4573" max="4573" width="8.140625" style="81" customWidth="1"/>
    <col min="4574" max="4574" width="14.5703125" style="81" customWidth="1"/>
    <col min="4575" max="4575" width="37.42578125" style="81" customWidth="1"/>
    <col min="4576" max="4576" width="63.140625" style="81" customWidth="1"/>
    <col min="4577" max="4577" width="20" style="81" customWidth="1"/>
    <col min="4578" max="4578" width="11.140625" style="81" customWidth="1"/>
    <col min="4579" max="4579" width="10.85546875" style="81" customWidth="1"/>
    <col min="4580" max="4580" width="21" style="81" customWidth="1"/>
    <col min="4581" max="4581" width="10.85546875" style="81" customWidth="1"/>
    <col min="4582" max="4582" width="17.42578125" style="81" customWidth="1"/>
    <col min="4583" max="4583" width="14.85546875" style="81" customWidth="1"/>
    <col min="4584" max="4584" width="15" style="81" customWidth="1"/>
    <col min="4585" max="4585" width="14.85546875" style="81" customWidth="1"/>
    <col min="4586" max="4586" width="7.140625" style="81" customWidth="1"/>
    <col min="4587" max="4588" width="20.140625" style="81" customWidth="1"/>
    <col min="4589" max="4589" width="18.42578125" style="81" customWidth="1"/>
    <col min="4590" max="4590" width="9.140625" style="81" customWidth="1"/>
    <col min="4591" max="4591" width="12" style="81" customWidth="1"/>
    <col min="4592" max="4592" width="14.85546875" style="81" customWidth="1"/>
    <col min="4593" max="4593" width="22.42578125" style="81" customWidth="1"/>
    <col min="4594" max="4594" width="14.85546875" style="81" customWidth="1"/>
    <col min="4595" max="4595" width="7.140625" style="81" customWidth="1"/>
    <col min="4596" max="4596" width="20.140625" style="81" customWidth="1"/>
    <col min="4597" max="4828" width="8.85546875" style="81" customWidth="1"/>
    <col min="4829" max="4829" width="8.140625" style="81" customWidth="1"/>
    <col min="4830" max="4830" width="14.5703125" style="81" customWidth="1"/>
    <col min="4831" max="4831" width="37.42578125" style="81" customWidth="1"/>
    <col min="4832" max="4832" width="63.140625" style="81" customWidth="1"/>
    <col min="4833" max="4833" width="20" style="81" customWidth="1"/>
    <col min="4834" max="4834" width="11.140625" style="81" customWidth="1"/>
    <col min="4835" max="4835" width="10.85546875" style="81" customWidth="1"/>
    <col min="4836" max="4836" width="21" style="81" customWidth="1"/>
    <col min="4837" max="4837" width="10.85546875" style="81" customWidth="1"/>
    <col min="4838" max="4838" width="17.42578125" style="81" customWidth="1"/>
    <col min="4839" max="4839" width="14.85546875" style="81" customWidth="1"/>
    <col min="4840" max="4840" width="15" style="81" customWidth="1"/>
    <col min="4841" max="4841" width="14.85546875" style="81" customWidth="1"/>
    <col min="4842" max="4842" width="7.140625" style="81" customWidth="1"/>
    <col min="4843" max="4844" width="20.140625" style="81" customWidth="1"/>
    <col min="4845" max="4845" width="18.42578125" style="81" customWidth="1"/>
    <col min="4846" max="4846" width="9.140625" style="81" customWidth="1"/>
    <col min="4847" max="4847" width="12" style="81" customWidth="1"/>
    <col min="4848" max="4848" width="14.85546875" style="81" customWidth="1"/>
    <col min="4849" max="4849" width="22.42578125" style="81" customWidth="1"/>
    <col min="4850" max="4850" width="14.85546875" style="81" customWidth="1"/>
    <col min="4851" max="4851" width="7.140625" style="81" customWidth="1"/>
    <col min="4852" max="4852" width="20.140625" style="81" customWidth="1"/>
    <col min="4853" max="5084" width="8.85546875" style="81" customWidth="1"/>
    <col min="5085" max="5085" width="8.140625" style="81" customWidth="1"/>
    <col min="5086" max="5086" width="14.5703125" style="81" customWidth="1"/>
    <col min="5087" max="5087" width="37.42578125" style="81" customWidth="1"/>
    <col min="5088" max="5088" width="63.140625" style="81" customWidth="1"/>
    <col min="5089" max="5089" width="20" style="81" customWidth="1"/>
    <col min="5090" max="5090" width="11.140625" style="81" customWidth="1"/>
    <col min="5091" max="5091" width="10.85546875" style="81" customWidth="1"/>
    <col min="5092" max="5092" width="21" style="81" customWidth="1"/>
    <col min="5093" max="5093" width="10.85546875" style="81" customWidth="1"/>
    <col min="5094" max="5094" width="17.42578125" style="81" customWidth="1"/>
    <col min="5095" max="5095" width="14.85546875" style="81" customWidth="1"/>
    <col min="5096" max="5096" width="15" style="81" customWidth="1"/>
    <col min="5097" max="5097" width="14.85546875" style="81" customWidth="1"/>
    <col min="5098" max="5098" width="7.140625" style="81" customWidth="1"/>
    <col min="5099" max="5100" width="20.140625" style="81" customWidth="1"/>
    <col min="5101" max="5101" width="18.42578125" style="81" customWidth="1"/>
    <col min="5102" max="5102" width="9.140625" style="81" customWidth="1"/>
    <col min="5103" max="5103" width="12" style="81" customWidth="1"/>
    <col min="5104" max="5104" width="14.85546875" style="81" customWidth="1"/>
    <col min="5105" max="5105" width="22.42578125" style="81" customWidth="1"/>
    <col min="5106" max="5106" width="14.85546875" style="81" customWidth="1"/>
    <col min="5107" max="5107" width="7.140625" style="81" customWidth="1"/>
    <col min="5108" max="5108" width="20.140625" style="81" customWidth="1"/>
    <col min="5109" max="5340" width="8.85546875" style="81" customWidth="1"/>
    <col min="5341" max="5341" width="8.140625" style="81" customWidth="1"/>
    <col min="5342" max="5342" width="14.5703125" style="81" customWidth="1"/>
    <col min="5343" max="5343" width="37.42578125" style="81" customWidth="1"/>
    <col min="5344" max="5344" width="63.140625" style="81" customWidth="1"/>
    <col min="5345" max="5345" width="20" style="81" customWidth="1"/>
    <col min="5346" max="5346" width="11.140625" style="81" customWidth="1"/>
    <col min="5347" max="5347" width="10.85546875" style="81" customWidth="1"/>
    <col min="5348" max="5348" width="21" style="81" customWidth="1"/>
    <col min="5349" max="5349" width="10.85546875" style="81" customWidth="1"/>
    <col min="5350" max="5350" width="17.42578125" style="81" customWidth="1"/>
    <col min="5351" max="5351" width="14.85546875" style="81" customWidth="1"/>
    <col min="5352" max="5352" width="15" style="81" customWidth="1"/>
    <col min="5353" max="5353" width="14.85546875" style="81" customWidth="1"/>
    <col min="5354" max="5354" width="7.140625" style="81" customWidth="1"/>
    <col min="5355" max="5356" width="20.140625" style="81" customWidth="1"/>
    <col min="5357" max="5357" width="18.42578125" style="81" customWidth="1"/>
    <col min="5358" max="5358" width="9.140625" style="81" customWidth="1"/>
    <col min="5359" max="5359" width="12" style="81" customWidth="1"/>
    <col min="5360" max="5360" width="14.85546875" style="81" customWidth="1"/>
    <col min="5361" max="5361" width="22.42578125" style="81" customWidth="1"/>
    <col min="5362" max="5362" width="14.85546875" style="81" customWidth="1"/>
    <col min="5363" max="5363" width="7.140625" style="81" customWidth="1"/>
    <col min="5364" max="5364" width="20.140625" style="81" customWidth="1"/>
    <col min="5365" max="5596" width="8.85546875" style="81" customWidth="1"/>
    <col min="5597" max="5597" width="8.140625" style="81" customWidth="1"/>
    <col min="5598" max="5598" width="14.5703125" style="81" customWidth="1"/>
    <col min="5599" max="5599" width="37.42578125" style="81" customWidth="1"/>
    <col min="5600" max="5600" width="63.140625" style="81" customWidth="1"/>
    <col min="5601" max="5601" width="20" style="81" customWidth="1"/>
    <col min="5602" max="5602" width="11.140625" style="81" customWidth="1"/>
    <col min="5603" max="5603" width="10.85546875" style="81" customWidth="1"/>
    <col min="5604" max="5604" width="21" style="81" customWidth="1"/>
    <col min="5605" max="5605" width="10.85546875" style="81" customWidth="1"/>
    <col min="5606" max="5606" width="17.42578125" style="81" customWidth="1"/>
    <col min="5607" max="5607" width="14.85546875" style="81" customWidth="1"/>
    <col min="5608" max="5608" width="15" style="81" customWidth="1"/>
    <col min="5609" max="5609" width="14.85546875" style="81" customWidth="1"/>
    <col min="5610" max="5610" width="7.140625" style="81" customWidth="1"/>
    <col min="5611" max="5612" width="20.140625" style="81" customWidth="1"/>
    <col min="5613" max="5613" width="18.42578125" style="81" customWidth="1"/>
    <col min="5614" max="5614" width="9.140625" style="81" customWidth="1"/>
    <col min="5615" max="5615" width="12" style="81" customWidth="1"/>
    <col min="5616" max="5616" width="14.85546875" style="81" customWidth="1"/>
    <col min="5617" max="5617" width="22.42578125" style="81" customWidth="1"/>
    <col min="5618" max="5618" width="14.85546875" style="81" customWidth="1"/>
    <col min="5619" max="5619" width="7.140625" style="81" customWidth="1"/>
    <col min="5620" max="5620" width="20.140625" style="81" customWidth="1"/>
    <col min="5621" max="5852" width="8.85546875" style="81" customWidth="1"/>
    <col min="5853" max="5853" width="8.140625" style="81" customWidth="1"/>
    <col min="5854" max="5854" width="14.5703125" style="81" customWidth="1"/>
    <col min="5855" max="5855" width="37.42578125" style="81" customWidth="1"/>
    <col min="5856" max="5856" width="63.140625" style="81" customWidth="1"/>
    <col min="5857" max="5857" width="20" style="81" customWidth="1"/>
    <col min="5858" max="5858" width="11.140625" style="81" customWidth="1"/>
    <col min="5859" max="5859" width="10.85546875" style="81" customWidth="1"/>
    <col min="5860" max="5860" width="21" style="81" customWidth="1"/>
    <col min="5861" max="5861" width="10.85546875" style="81" customWidth="1"/>
    <col min="5862" max="5862" width="17.42578125" style="81" customWidth="1"/>
    <col min="5863" max="5863" width="14.85546875" style="81" customWidth="1"/>
    <col min="5864" max="5864" width="15" style="81" customWidth="1"/>
    <col min="5865" max="5865" width="14.85546875" style="81" customWidth="1"/>
    <col min="5866" max="5866" width="7.140625" style="81" customWidth="1"/>
    <col min="5867" max="5868" width="20.140625" style="81" customWidth="1"/>
    <col min="5869" max="5869" width="18.42578125" style="81" customWidth="1"/>
    <col min="5870" max="5870" width="9.140625" style="81" customWidth="1"/>
    <col min="5871" max="5871" width="12" style="81" customWidth="1"/>
    <col min="5872" max="5872" width="14.85546875" style="81" customWidth="1"/>
    <col min="5873" max="5873" width="22.42578125" style="81" customWidth="1"/>
    <col min="5874" max="5874" width="14.85546875" style="81" customWidth="1"/>
    <col min="5875" max="5875" width="7.140625" style="81" customWidth="1"/>
    <col min="5876" max="5876" width="20.140625" style="81" customWidth="1"/>
    <col min="5877" max="6108" width="8.85546875" style="81" customWidth="1"/>
    <col min="6109" max="6109" width="8.140625" style="81" customWidth="1"/>
    <col min="6110" max="6110" width="14.5703125" style="81" customWidth="1"/>
    <col min="6111" max="6111" width="37.42578125" style="81" customWidth="1"/>
    <col min="6112" max="6112" width="63.140625" style="81" customWidth="1"/>
    <col min="6113" max="6113" width="20" style="81" customWidth="1"/>
    <col min="6114" max="6114" width="11.140625" style="81" customWidth="1"/>
    <col min="6115" max="6115" width="10.85546875" style="81" customWidth="1"/>
    <col min="6116" max="6116" width="21" style="81" customWidth="1"/>
    <col min="6117" max="6117" width="10.85546875" style="81" customWidth="1"/>
    <col min="6118" max="6118" width="17.42578125" style="81" customWidth="1"/>
    <col min="6119" max="6119" width="14.85546875" style="81" customWidth="1"/>
    <col min="6120" max="6120" width="15" style="81" customWidth="1"/>
    <col min="6121" max="6121" width="14.85546875" style="81" customWidth="1"/>
    <col min="6122" max="6122" width="7.140625" style="81" customWidth="1"/>
    <col min="6123" max="6124" width="20.140625" style="81" customWidth="1"/>
    <col min="6125" max="6125" width="18.42578125" style="81" customWidth="1"/>
    <col min="6126" max="6126" width="9.140625" style="81" customWidth="1"/>
    <col min="6127" max="6127" width="12" style="81" customWidth="1"/>
    <col min="6128" max="6128" width="14.85546875" style="81" customWidth="1"/>
    <col min="6129" max="6129" width="22.42578125" style="81" customWidth="1"/>
    <col min="6130" max="6130" width="14.85546875" style="81" customWidth="1"/>
    <col min="6131" max="6131" width="7.140625" style="81" customWidth="1"/>
    <col min="6132" max="6132" width="20.140625" style="81" customWidth="1"/>
    <col min="6133" max="6364" width="8.85546875" style="81" customWidth="1"/>
    <col min="6365" max="6365" width="8.140625" style="81" customWidth="1"/>
    <col min="6366" max="6366" width="14.5703125" style="81" customWidth="1"/>
    <col min="6367" max="6367" width="37.42578125" style="81" customWidth="1"/>
    <col min="6368" max="6368" width="63.140625" style="81" customWidth="1"/>
    <col min="6369" max="6369" width="20" style="81" customWidth="1"/>
    <col min="6370" max="6370" width="11.140625" style="81" customWidth="1"/>
    <col min="6371" max="6371" width="10.85546875" style="81" customWidth="1"/>
    <col min="6372" max="6372" width="21" style="81" customWidth="1"/>
    <col min="6373" max="6373" width="10.85546875" style="81" customWidth="1"/>
    <col min="6374" max="6374" width="17.42578125" style="81" customWidth="1"/>
    <col min="6375" max="6375" width="14.85546875" style="81" customWidth="1"/>
    <col min="6376" max="6376" width="15" style="81" customWidth="1"/>
    <col min="6377" max="6377" width="14.85546875" style="81" customWidth="1"/>
    <col min="6378" max="6378" width="7.140625" style="81" customWidth="1"/>
    <col min="6379" max="6380" width="20.140625" style="81" customWidth="1"/>
    <col min="6381" max="6381" width="18.42578125" style="81" customWidth="1"/>
    <col min="6382" max="6382" width="9.140625" style="81" customWidth="1"/>
    <col min="6383" max="6383" width="12" style="81" customWidth="1"/>
    <col min="6384" max="6384" width="14.85546875" style="81" customWidth="1"/>
    <col min="6385" max="6385" width="22.42578125" style="81" customWidth="1"/>
    <col min="6386" max="6386" width="14.85546875" style="81" customWidth="1"/>
    <col min="6387" max="6387" width="7.140625" style="81" customWidth="1"/>
    <col min="6388" max="6388" width="20.140625" style="81" customWidth="1"/>
    <col min="6389" max="6620" width="8.85546875" style="81" customWidth="1"/>
    <col min="6621" max="6621" width="8.140625" style="81" customWidth="1"/>
    <col min="6622" max="6622" width="14.5703125" style="81" customWidth="1"/>
    <col min="6623" max="6623" width="37.42578125" style="81" customWidth="1"/>
    <col min="6624" max="6624" width="63.140625" style="81" customWidth="1"/>
    <col min="6625" max="6625" width="20" style="81" customWidth="1"/>
    <col min="6626" max="6626" width="11.140625" style="81" customWidth="1"/>
    <col min="6627" max="6627" width="10.85546875" style="81" customWidth="1"/>
    <col min="6628" max="6628" width="21" style="81" customWidth="1"/>
    <col min="6629" max="6629" width="10.85546875" style="81" customWidth="1"/>
    <col min="6630" max="6630" width="17.42578125" style="81" customWidth="1"/>
    <col min="6631" max="6631" width="14.85546875" style="81" customWidth="1"/>
    <col min="6632" max="6632" width="15" style="81" customWidth="1"/>
    <col min="6633" max="6633" width="14.85546875" style="81" customWidth="1"/>
    <col min="6634" max="6634" width="7.140625" style="81" customWidth="1"/>
    <col min="6635" max="6636" width="20.140625" style="81" customWidth="1"/>
    <col min="6637" max="6637" width="18.42578125" style="81" customWidth="1"/>
    <col min="6638" max="6638" width="9.140625" style="81" customWidth="1"/>
    <col min="6639" max="6639" width="12" style="81" customWidth="1"/>
    <col min="6640" max="6640" width="14.85546875" style="81" customWidth="1"/>
    <col min="6641" max="6641" width="22.42578125" style="81" customWidth="1"/>
    <col min="6642" max="6642" width="14.85546875" style="81" customWidth="1"/>
    <col min="6643" max="6643" width="7.140625" style="81" customWidth="1"/>
    <col min="6644" max="6644" width="20.140625" style="81" customWidth="1"/>
    <col min="6645" max="6876" width="8.85546875" style="81" customWidth="1"/>
    <col min="6877" max="6877" width="8.140625" style="81" customWidth="1"/>
    <col min="6878" max="6878" width="14.5703125" style="81" customWidth="1"/>
    <col min="6879" max="6879" width="37.42578125" style="81" customWidth="1"/>
    <col min="6880" max="6880" width="63.140625" style="81" customWidth="1"/>
    <col min="6881" max="6881" width="20" style="81" customWidth="1"/>
    <col min="6882" max="6882" width="11.140625" style="81" customWidth="1"/>
    <col min="6883" max="6883" width="10.85546875" style="81" customWidth="1"/>
    <col min="6884" max="6884" width="21" style="81" customWidth="1"/>
    <col min="6885" max="6885" width="10.85546875" style="81" customWidth="1"/>
    <col min="6886" max="6886" width="17.42578125" style="81" customWidth="1"/>
    <col min="6887" max="6887" width="14.85546875" style="81" customWidth="1"/>
    <col min="6888" max="6888" width="15" style="81" customWidth="1"/>
    <col min="6889" max="6889" width="14.85546875" style="81" customWidth="1"/>
    <col min="6890" max="6890" width="7.140625" style="81" customWidth="1"/>
    <col min="6891" max="6892" width="20.140625" style="81" customWidth="1"/>
    <col min="6893" max="6893" width="18.42578125" style="81" customWidth="1"/>
    <col min="6894" max="6894" width="9.140625" style="81" customWidth="1"/>
    <col min="6895" max="6895" width="12" style="81" customWidth="1"/>
    <col min="6896" max="6896" width="14.85546875" style="81" customWidth="1"/>
    <col min="6897" max="6897" width="22.42578125" style="81" customWidth="1"/>
    <col min="6898" max="6898" width="14.85546875" style="81" customWidth="1"/>
    <col min="6899" max="6899" width="7.140625" style="81" customWidth="1"/>
    <col min="6900" max="6900" width="20.140625" style="81" customWidth="1"/>
    <col min="6901" max="7132" width="8.85546875" style="81" customWidth="1"/>
    <col min="7133" max="7133" width="8.140625" style="81" customWidth="1"/>
    <col min="7134" max="7134" width="14.5703125" style="81" customWidth="1"/>
    <col min="7135" max="7135" width="37.42578125" style="81" customWidth="1"/>
    <col min="7136" max="7136" width="63.140625" style="81" customWidth="1"/>
    <col min="7137" max="7137" width="20" style="81" customWidth="1"/>
    <col min="7138" max="7138" width="11.140625" style="81" customWidth="1"/>
    <col min="7139" max="7139" width="10.85546875" style="81" customWidth="1"/>
    <col min="7140" max="7140" width="21" style="81" customWidth="1"/>
    <col min="7141" max="7141" width="10.85546875" style="81" customWidth="1"/>
    <col min="7142" max="7142" width="17.42578125" style="81" customWidth="1"/>
    <col min="7143" max="7143" width="14.85546875" style="81" customWidth="1"/>
    <col min="7144" max="7144" width="15" style="81" customWidth="1"/>
    <col min="7145" max="7145" width="14.85546875" style="81" customWidth="1"/>
    <col min="7146" max="7146" width="7.140625" style="81" customWidth="1"/>
    <col min="7147" max="7148" width="20.140625" style="81" customWidth="1"/>
    <col min="7149" max="7149" width="18.42578125" style="81" customWidth="1"/>
    <col min="7150" max="7150" width="9.140625" style="81" customWidth="1"/>
    <col min="7151" max="7151" width="12" style="81" customWidth="1"/>
    <col min="7152" max="7152" width="14.85546875" style="81" customWidth="1"/>
    <col min="7153" max="7153" width="22.42578125" style="81" customWidth="1"/>
    <col min="7154" max="7154" width="14.85546875" style="81" customWidth="1"/>
    <col min="7155" max="7155" width="7.140625" style="81" customWidth="1"/>
    <col min="7156" max="7156" width="20.140625" style="81" customWidth="1"/>
    <col min="7157" max="7388" width="8.85546875" style="81" customWidth="1"/>
    <col min="7389" max="7389" width="8.140625" style="81" customWidth="1"/>
    <col min="7390" max="7390" width="14.5703125" style="81" customWidth="1"/>
    <col min="7391" max="7391" width="37.42578125" style="81" customWidth="1"/>
    <col min="7392" max="7392" width="63.140625" style="81" customWidth="1"/>
    <col min="7393" max="7393" width="20" style="81" customWidth="1"/>
    <col min="7394" max="7394" width="11.140625" style="81" customWidth="1"/>
    <col min="7395" max="7395" width="10.85546875" style="81" customWidth="1"/>
    <col min="7396" max="7396" width="21" style="81" customWidth="1"/>
    <col min="7397" max="7397" width="10.85546875" style="81" customWidth="1"/>
    <col min="7398" max="7398" width="17.42578125" style="81" customWidth="1"/>
    <col min="7399" max="7399" width="14.85546875" style="81" customWidth="1"/>
    <col min="7400" max="7400" width="15" style="81" customWidth="1"/>
    <col min="7401" max="7401" width="14.85546875" style="81" customWidth="1"/>
    <col min="7402" max="7402" width="7.140625" style="81" customWidth="1"/>
    <col min="7403" max="7404" width="20.140625" style="81" customWidth="1"/>
    <col min="7405" max="7405" width="18.42578125" style="81" customWidth="1"/>
    <col min="7406" max="7406" width="9.140625" style="81" customWidth="1"/>
    <col min="7407" max="7407" width="12" style="81" customWidth="1"/>
    <col min="7408" max="7408" width="14.85546875" style="81" customWidth="1"/>
    <col min="7409" max="7409" width="22.42578125" style="81" customWidth="1"/>
    <col min="7410" max="7410" width="14.85546875" style="81" customWidth="1"/>
    <col min="7411" max="7411" width="7.140625" style="81" customWidth="1"/>
    <col min="7412" max="7412" width="20.140625" style="81" customWidth="1"/>
    <col min="7413" max="7644" width="8.85546875" style="81" customWidth="1"/>
    <col min="7645" max="7645" width="8.140625" style="81" customWidth="1"/>
    <col min="7646" max="7646" width="14.5703125" style="81" customWidth="1"/>
    <col min="7647" max="7647" width="37.42578125" style="81" customWidth="1"/>
    <col min="7648" max="7648" width="63.140625" style="81" customWidth="1"/>
    <col min="7649" max="7649" width="20" style="81" customWidth="1"/>
    <col min="7650" max="7650" width="11.140625" style="81" customWidth="1"/>
    <col min="7651" max="7651" width="10.85546875" style="81" customWidth="1"/>
    <col min="7652" max="7652" width="21" style="81" customWidth="1"/>
    <col min="7653" max="7653" width="10.85546875" style="81" customWidth="1"/>
    <col min="7654" max="7654" width="17.42578125" style="81" customWidth="1"/>
    <col min="7655" max="7655" width="14.85546875" style="81" customWidth="1"/>
    <col min="7656" max="7656" width="15" style="81" customWidth="1"/>
    <col min="7657" max="7657" width="14.85546875" style="81" customWidth="1"/>
    <col min="7658" max="7658" width="7.140625" style="81" customWidth="1"/>
    <col min="7659" max="7660" width="20.140625" style="81" customWidth="1"/>
    <col min="7661" max="7661" width="18.42578125" style="81" customWidth="1"/>
    <col min="7662" max="7662" width="9.140625" style="81" customWidth="1"/>
    <col min="7663" max="7663" width="12" style="81" customWidth="1"/>
    <col min="7664" max="7664" width="14.85546875" style="81" customWidth="1"/>
    <col min="7665" max="7665" width="22.42578125" style="81" customWidth="1"/>
    <col min="7666" max="7666" width="14.85546875" style="81" customWidth="1"/>
    <col min="7667" max="7667" width="7.140625" style="81" customWidth="1"/>
    <col min="7668" max="7668" width="20.140625" style="81" customWidth="1"/>
    <col min="7669" max="7900" width="8.85546875" style="81" customWidth="1"/>
    <col min="7901" max="7901" width="8.140625" style="81" customWidth="1"/>
    <col min="7902" max="7902" width="14.5703125" style="81" customWidth="1"/>
    <col min="7903" max="7903" width="37.42578125" style="81" customWidth="1"/>
    <col min="7904" max="7904" width="63.140625" style="81" customWidth="1"/>
    <col min="7905" max="7905" width="20" style="81" customWidth="1"/>
    <col min="7906" max="7906" width="11.140625" style="81" customWidth="1"/>
    <col min="7907" max="7907" width="10.85546875" style="81" customWidth="1"/>
    <col min="7908" max="7908" width="21" style="81" customWidth="1"/>
    <col min="7909" max="7909" width="10.85546875" style="81" customWidth="1"/>
    <col min="7910" max="7910" width="17.42578125" style="81" customWidth="1"/>
    <col min="7911" max="7911" width="14.85546875" style="81" customWidth="1"/>
    <col min="7912" max="7912" width="15" style="81" customWidth="1"/>
    <col min="7913" max="7913" width="14.85546875" style="81" customWidth="1"/>
    <col min="7914" max="7914" width="7.140625" style="81" customWidth="1"/>
    <col min="7915" max="7916" width="20.140625" style="81" customWidth="1"/>
    <col min="7917" max="7917" width="18.42578125" style="81" customWidth="1"/>
    <col min="7918" max="7918" width="9.140625" style="81" customWidth="1"/>
    <col min="7919" max="7919" width="12" style="81" customWidth="1"/>
    <col min="7920" max="7920" width="14.85546875" style="81" customWidth="1"/>
    <col min="7921" max="7921" width="22.42578125" style="81" customWidth="1"/>
    <col min="7922" max="7922" width="14.85546875" style="81" customWidth="1"/>
    <col min="7923" max="7923" width="7.140625" style="81" customWidth="1"/>
    <col min="7924" max="7924" width="20.140625" style="81" customWidth="1"/>
    <col min="7925" max="8156" width="8.85546875" style="81" customWidth="1"/>
    <col min="8157" max="8157" width="8.140625" style="81" customWidth="1"/>
    <col min="8158" max="8158" width="14.5703125" style="81" customWidth="1"/>
    <col min="8159" max="8159" width="37.42578125" style="81" customWidth="1"/>
    <col min="8160" max="8160" width="63.140625" style="81" customWidth="1"/>
    <col min="8161" max="8161" width="20" style="81" customWidth="1"/>
    <col min="8162" max="8162" width="11.140625" style="81" customWidth="1"/>
    <col min="8163" max="8163" width="10.85546875" style="81" customWidth="1"/>
    <col min="8164" max="8164" width="21" style="81" customWidth="1"/>
    <col min="8165" max="8165" width="10.85546875" style="81" customWidth="1"/>
    <col min="8166" max="8166" width="17.42578125" style="81" customWidth="1"/>
    <col min="8167" max="8167" width="14.85546875" style="81" customWidth="1"/>
    <col min="8168" max="8168" width="15" style="81" customWidth="1"/>
    <col min="8169" max="8169" width="14.85546875" style="81" customWidth="1"/>
    <col min="8170" max="8170" width="7.140625" style="81" customWidth="1"/>
    <col min="8171" max="8172" width="20.140625" style="81" customWidth="1"/>
    <col min="8173" max="8173" width="18.42578125" style="81" customWidth="1"/>
    <col min="8174" max="8174" width="9.140625" style="81" customWidth="1"/>
    <col min="8175" max="8175" width="12" style="81" customWidth="1"/>
    <col min="8176" max="8176" width="14.85546875" style="81" customWidth="1"/>
    <col min="8177" max="8177" width="22.42578125" style="81" customWidth="1"/>
    <col min="8178" max="8178" width="14.85546875" style="81" customWidth="1"/>
    <col min="8179" max="8179" width="7.140625" style="81" customWidth="1"/>
    <col min="8180" max="8180" width="20.140625" style="81" customWidth="1"/>
    <col min="8181" max="8412" width="8.85546875" style="81" customWidth="1"/>
    <col min="8413" max="8413" width="8.140625" style="81" customWidth="1"/>
    <col min="8414" max="8414" width="14.5703125" style="81" customWidth="1"/>
    <col min="8415" max="8415" width="37.42578125" style="81" customWidth="1"/>
    <col min="8416" max="8416" width="63.140625" style="81" customWidth="1"/>
    <col min="8417" max="8417" width="20" style="81" customWidth="1"/>
    <col min="8418" max="8418" width="11.140625" style="81" customWidth="1"/>
    <col min="8419" max="8419" width="10.85546875" style="81" customWidth="1"/>
    <col min="8420" max="8420" width="21" style="81" customWidth="1"/>
    <col min="8421" max="8421" width="10.85546875" style="81" customWidth="1"/>
    <col min="8422" max="8422" width="17.42578125" style="81" customWidth="1"/>
    <col min="8423" max="8423" width="14.85546875" style="81" customWidth="1"/>
    <col min="8424" max="8424" width="15" style="81" customWidth="1"/>
    <col min="8425" max="8425" width="14.85546875" style="81" customWidth="1"/>
    <col min="8426" max="8426" width="7.140625" style="81" customWidth="1"/>
    <col min="8427" max="8428" width="20.140625" style="81" customWidth="1"/>
    <col min="8429" max="8429" width="18.42578125" style="81" customWidth="1"/>
    <col min="8430" max="8430" width="9.140625" style="81" customWidth="1"/>
    <col min="8431" max="8431" width="12" style="81" customWidth="1"/>
    <col min="8432" max="8432" width="14.85546875" style="81" customWidth="1"/>
    <col min="8433" max="8433" width="22.42578125" style="81" customWidth="1"/>
    <col min="8434" max="8434" width="14.85546875" style="81" customWidth="1"/>
    <col min="8435" max="8435" width="7.140625" style="81" customWidth="1"/>
    <col min="8436" max="8436" width="20.140625" style="81" customWidth="1"/>
    <col min="8437" max="8668" width="8.85546875" style="81" customWidth="1"/>
    <col min="8669" max="8669" width="8.140625" style="81" customWidth="1"/>
    <col min="8670" max="8670" width="14.5703125" style="81" customWidth="1"/>
    <col min="8671" max="8671" width="37.42578125" style="81" customWidth="1"/>
    <col min="8672" max="8672" width="63.140625" style="81" customWidth="1"/>
    <col min="8673" max="8673" width="20" style="81" customWidth="1"/>
    <col min="8674" max="8674" width="11.140625" style="81" customWidth="1"/>
    <col min="8675" max="8675" width="10.85546875" style="81" customWidth="1"/>
    <col min="8676" max="8676" width="21" style="81" customWidth="1"/>
    <col min="8677" max="8677" width="10.85546875" style="81" customWidth="1"/>
    <col min="8678" max="8678" width="17.42578125" style="81" customWidth="1"/>
    <col min="8679" max="8679" width="14.85546875" style="81" customWidth="1"/>
    <col min="8680" max="8680" width="15" style="81" customWidth="1"/>
    <col min="8681" max="8681" width="14.85546875" style="81" customWidth="1"/>
    <col min="8682" max="8682" width="7.140625" style="81" customWidth="1"/>
    <col min="8683" max="8684" width="20.140625" style="81" customWidth="1"/>
    <col min="8685" max="8685" width="18.42578125" style="81" customWidth="1"/>
    <col min="8686" max="8686" width="9.140625" style="81" customWidth="1"/>
    <col min="8687" max="8687" width="12" style="81" customWidth="1"/>
    <col min="8688" max="8688" width="14.85546875" style="81" customWidth="1"/>
    <col min="8689" max="8689" width="22.42578125" style="81" customWidth="1"/>
    <col min="8690" max="8690" width="14.85546875" style="81" customWidth="1"/>
    <col min="8691" max="8691" width="7.140625" style="81" customWidth="1"/>
    <col min="8692" max="8692" width="20.140625" style="81" customWidth="1"/>
    <col min="8693" max="8924" width="8.85546875" style="81" customWidth="1"/>
    <col min="8925" max="8925" width="8.140625" style="81" customWidth="1"/>
    <col min="8926" max="8926" width="14.5703125" style="81" customWidth="1"/>
    <col min="8927" max="8927" width="37.42578125" style="81" customWidth="1"/>
    <col min="8928" max="8928" width="63.140625" style="81" customWidth="1"/>
    <col min="8929" max="8929" width="20" style="81" customWidth="1"/>
    <col min="8930" max="8930" width="11.140625" style="81" customWidth="1"/>
    <col min="8931" max="8931" width="10.85546875" style="81" customWidth="1"/>
    <col min="8932" max="8932" width="21" style="81" customWidth="1"/>
    <col min="8933" max="8933" width="10.85546875" style="81" customWidth="1"/>
    <col min="8934" max="8934" width="17.42578125" style="81" customWidth="1"/>
    <col min="8935" max="8935" width="14.85546875" style="81" customWidth="1"/>
    <col min="8936" max="8936" width="15" style="81" customWidth="1"/>
    <col min="8937" max="8937" width="14.85546875" style="81" customWidth="1"/>
    <col min="8938" max="8938" width="7.140625" style="81" customWidth="1"/>
    <col min="8939" max="8940" width="20.140625" style="81" customWidth="1"/>
    <col min="8941" max="8941" width="18.42578125" style="81" customWidth="1"/>
    <col min="8942" max="8942" width="9.140625" style="81" customWidth="1"/>
    <col min="8943" max="8943" width="12" style="81" customWidth="1"/>
    <col min="8944" max="8944" width="14.85546875" style="81" customWidth="1"/>
    <col min="8945" max="8945" width="22.42578125" style="81" customWidth="1"/>
    <col min="8946" max="8946" width="14.85546875" style="81" customWidth="1"/>
    <col min="8947" max="8947" width="7.140625" style="81" customWidth="1"/>
    <col min="8948" max="8948" width="20.140625" style="81" customWidth="1"/>
    <col min="8949" max="9180" width="8.85546875" style="81" customWidth="1"/>
    <col min="9181" max="9181" width="8.140625" style="81" customWidth="1"/>
    <col min="9182" max="9182" width="14.5703125" style="81" customWidth="1"/>
    <col min="9183" max="9183" width="37.42578125" style="81" customWidth="1"/>
    <col min="9184" max="9184" width="63.140625" style="81" customWidth="1"/>
    <col min="9185" max="9185" width="20" style="81" customWidth="1"/>
    <col min="9186" max="9186" width="11.140625" style="81" customWidth="1"/>
    <col min="9187" max="9187" width="10.85546875" style="81" customWidth="1"/>
    <col min="9188" max="9188" width="21" style="81" customWidth="1"/>
    <col min="9189" max="9189" width="10.85546875" style="81" customWidth="1"/>
    <col min="9190" max="9190" width="17.42578125" style="81" customWidth="1"/>
    <col min="9191" max="9191" width="14.85546875" style="81" customWidth="1"/>
    <col min="9192" max="9192" width="15" style="81" customWidth="1"/>
    <col min="9193" max="9193" width="14.85546875" style="81" customWidth="1"/>
    <col min="9194" max="9194" width="7.140625" style="81" customWidth="1"/>
    <col min="9195" max="9196" width="20.140625" style="81" customWidth="1"/>
    <col min="9197" max="9197" width="18.42578125" style="81" customWidth="1"/>
    <col min="9198" max="9198" width="9.140625" style="81" customWidth="1"/>
    <col min="9199" max="9199" width="12" style="81" customWidth="1"/>
    <col min="9200" max="9200" width="14.85546875" style="81" customWidth="1"/>
    <col min="9201" max="9201" width="22.42578125" style="81" customWidth="1"/>
    <col min="9202" max="9202" width="14.85546875" style="81" customWidth="1"/>
    <col min="9203" max="9203" width="7.140625" style="81" customWidth="1"/>
    <col min="9204" max="9204" width="20.140625" style="81" customWidth="1"/>
    <col min="9205" max="9436" width="8.85546875" style="81" customWidth="1"/>
    <col min="9437" max="9437" width="8.140625" style="81" customWidth="1"/>
    <col min="9438" max="9438" width="14.5703125" style="81" customWidth="1"/>
    <col min="9439" max="9439" width="37.42578125" style="81" customWidth="1"/>
    <col min="9440" max="9440" width="63.140625" style="81" customWidth="1"/>
    <col min="9441" max="9441" width="20" style="81" customWidth="1"/>
    <col min="9442" max="9442" width="11.140625" style="81" customWidth="1"/>
    <col min="9443" max="9443" width="10.85546875" style="81" customWidth="1"/>
    <col min="9444" max="9444" width="21" style="81" customWidth="1"/>
    <col min="9445" max="9445" width="10.85546875" style="81" customWidth="1"/>
    <col min="9446" max="9446" width="17.42578125" style="81" customWidth="1"/>
    <col min="9447" max="9447" width="14.85546875" style="81" customWidth="1"/>
    <col min="9448" max="9448" width="15" style="81" customWidth="1"/>
    <col min="9449" max="9449" width="14.85546875" style="81" customWidth="1"/>
    <col min="9450" max="9450" width="7.140625" style="81" customWidth="1"/>
    <col min="9451" max="9452" width="20.140625" style="81" customWidth="1"/>
    <col min="9453" max="9453" width="18.42578125" style="81" customWidth="1"/>
    <col min="9454" max="9454" width="9.140625" style="81" customWidth="1"/>
    <col min="9455" max="9455" width="12" style="81" customWidth="1"/>
    <col min="9456" max="9456" width="14.85546875" style="81" customWidth="1"/>
    <col min="9457" max="9457" width="22.42578125" style="81" customWidth="1"/>
    <col min="9458" max="9458" width="14.85546875" style="81" customWidth="1"/>
    <col min="9459" max="9459" width="7.140625" style="81" customWidth="1"/>
    <col min="9460" max="9460" width="20.140625" style="81" customWidth="1"/>
    <col min="9461" max="9692" width="8.85546875" style="81" customWidth="1"/>
    <col min="9693" max="9693" width="8.140625" style="81" customWidth="1"/>
    <col min="9694" max="9694" width="14.5703125" style="81" customWidth="1"/>
    <col min="9695" max="9695" width="37.42578125" style="81" customWidth="1"/>
    <col min="9696" max="9696" width="63.140625" style="81" customWidth="1"/>
    <col min="9697" max="9697" width="20" style="81" customWidth="1"/>
    <col min="9698" max="9698" width="11.140625" style="81" customWidth="1"/>
    <col min="9699" max="9699" width="10.85546875" style="81" customWidth="1"/>
    <col min="9700" max="9700" width="21" style="81" customWidth="1"/>
    <col min="9701" max="9701" width="10.85546875" style="81" customWidth="1"/>
    <col min="9702" max="9702" width="17.42578125" style="81" customWidth="1"/>
    <col min="9703" max="9703" width="14.85546875" style="81" customWidth="1"/>
    <col min="9704" max="9704" width="15" style="81" customWidth="1"/>
    <col min="9705" max="9705" width="14.85546875" style="81" customWidth="1"/>
    <col min="9706" max="9706" width="7.140625" style="81" customWidth="1"/>
    <col min="9707" max="9708" width="20.140625" style="81" customWidth="1"/>
    <col min="9709" max="9709" width="18.42578125" style="81" customWidth="1"/>
    <col min="9710" max="9710" width="9.140625" style="81" customWidth="1"/>
    <col min="9711" max="9711" width="12" style="81" customWidth="1"/>
    <col min="9712" max="9712" width="14.85546875" style="81" customWidth="1"/>
    <col min="9713" max="9713" width="22.42578125" style="81" customWidth="1"/>
    <col min="9714" max="9714" width="14.85546875" style="81" customWidth="1"/>
    <col min="9715" max="9715" width="7.140625" style="81" customWidth="1"/>
    <col min="9716" max="9716" width="20.140625" style="81" customWidth="1"/>
    <col min="9717" max="9948" width="8.85546875" style="81" customWidth="1"/>
    <col min="9949" max="9949" width="8.140625" style="81" customWidth="1"/>
    <col min="9950" max="9950" width="14.5703125" style="81" customWidth="1"/>
    <col min="9951" max="9951" width="37.42578125" style="81" customWidth="1"/>
    <col min="9952" max="9952" width="63.140625" style="81" customWidth="1"/>
    <col min="9953" max="9953" width="20" style="81" customWidth="1"/>
    <col min="9954" max="9954" width="11.140625" style="81" customWidth="1"/>
    <col min="9955" max="9955" width="10.85546875" style="81" customWidth="1"/>
    <col min="9956" max="9956" width="21" style="81" customWidth="1"/>
    <col min="9957" max="9957" width="10.85546875" style="81" customWidth="1"/>
    <col min="9958" max="9958" width="17.42578125" style="81" customWidth="1"/>
    <col min="9959" max="9959" width="14.85546875" style="81" customWidth="1"/>
    <col min="9960" max="9960" width="15" style="81" customWidth="1"/>
    <col min="9961" max="9961" width="14.85546875" style="81" customWidth="1"/>
    <col min="9962" max="9962" width="7.140625" style="81" customWidth="1"/>
    <col min="9963" max="9964" width="20.140625" style="81" customWidth="1"/>
    <col min="9965" max="9965" width="18.42578125" style="81" customWidth="1"/>
    <col min="9966" max="9966" width="9.140625" style="81" customWidth="1"/>
    <col min="9967" max="9967" width="12" style="81" customWidth="1"/>
    <col min="9968" max="9968" width="14.85546875" style="81" customWidth="1"/>
    <col min="9969" max="9969" width="22.42578125" style="81" customWidth="1"/>
    <col min="9970" max="9970" width="14.85546875" style="81" customWidth="1"/>
    <col min="9971" max="9971" width="7.140625" style="81" customWidth="1"/>
    <col min="9972" max="9972" width="20.140625" style="81" customWidth="1"/>
    <col min="9973" max="10204" width="8.85546875" style="81" customWidth="1"/>
    <col min="10205" max="10205" width="8.140625" style="81" customWidth="1"/>
    <col min="10206" max="10206" width="14.5703125" style="81" customWidth="1"/>
    <col min="10207" max="10207" width="37.42578125" style="81" customWidth="1"/>
    <col min="10208" max="10208" width="63.140625" style="81" customWidth="1"/>
    <col min="10209" max="10209" width="20" style="81" customWidth="1"/>
    <col min="10210" max="10210" width="11.140625" style="81" customWidth="1"/>
    <col min="10211" max="10211" width="10.85546875" style="81" customWidth="1"/>
    <col min="10212" max="10212" width="21" style="81" customWidth="1"/>
    <col min="10213" max="10213" width="10.85546875" style="81" customWidth="1"/>
    <col min="10214" max="10214" width="17.42578125" style="81" customWidth="1"/>
    <col min="10215" max="10215" width="14.85546875" style="81" customWidth="1"/>
    <col min="10216" max="10216" width="15" style="81" customWidth="1"/>
    <col min="10217" max="10217" width="14.85546875" style="81" customWidth="1"/>
    <col min="10218" max="10218" width="7.140625" style="81" customWidth="1"/>
    <col min="10219" max="10220" width="20.140625" style="81" customWidth="1"/>
    <col min="10221" max="10221" width="18.42578125" style="81" customWidth="1"/>
    <col min="10222" max="10222" width="9.140625" style="81" customWidth="1"/>
    <col min="10223" max="10223" width="12" style="81" customWidth="1"/>
    <col min="10224" max="10224" width="14.85546875" style="81" customWidth="1"/>
    <col min="10225" max="10225" width="22.42578125" style="81" customWidth="1"/>
    <col min="10226" max="10226" width="14.85546875" style="81" customWidth="1"/>
    <col min="10227" max="10227" width="7.140625" style="81" customWidth="1"/>
    <col min="10228" max="10228" width="20.140625" style="81" customWidth="1"/>
    <col min="10229" max="10460" width="8.85546875" style="81" customWidth="1"/>
    <col min="10461" max="10461" width="8.140625" style="81" customWidth="1"/>
    <col min="10462" max="10462" width="14.5703125" style="81" customWidth="1"/>
    <col min="10463" max="10463" width="37.42578125" style="81" customWidth="1"/>
    <col min="10464" max="10464" width="63.140625" style="81" customWidth="1"/>
    <col min="10465" max="10465" width="20" style="81" customWidth="1"/>
    <col min="10466" max="10466" width="11.140625" style="81" customWidth="1"/>
    <col min="10467" max="10467" width="10.85546875" style="81" customWidth="1"/>
    <col min="10468" max="10468" width="21" style="81" customWidth="1"/>
    <col min="10469" max="10469" width="10.85546875" style="81" customWidth="1"/>
    <col min="10470" max="10470" width="17.42578125" style="81" customWidth="1"/>
    <col min="10471" max="10471" width="14.85546875" style="81" customWidth="1"/>
    <col min="10472" max="10472" width="15" style="81" customWidth="1"/>
    <col min="10473" max="10473" width="14.85546875" style="81" customWidth="1"/>
    <col min="10474" max="10474" width="7.140625" style="81" customWidth="1"/>
    <col min="10475" max="10476" width="20.140625" style="81" customWidth="1"/>
    <col min="10477" max="10477" width="18.42578125" style="81" customWidth="1"/>
    <col min="10478" max="10478" width="9.140625" style="81" customWidth="1"/>
    <col min="10479" max="10479" width="12" style="81" customWidth="1"/>
    <col min="10480" max="10480" width="14.85546875" style="81" customWidth="1"/>
    <col min="10481" max="10481" width="22.42578125" style="81" customWidth="1"/>
    <col min="10482" max="10482" width="14.85546875" style="81" customWidth="1"/>
    <col min="10483" max="10483" width="7.140625" style="81" customWidth="1"/>
    <col min="10484" max="10484" width="20.140625" style="81" customWidth="1"/>
    <col min="10485" max="10716" width="8.85546875" style="81" customWidth="1"/>
    <col min="10717" max="10717" width="8.140625" style="81" customWidth="1"/>
    <col min="10718" max="10718" width="14.5703125" style="81" customWidth="1"/>
    <col min="10719" max="10719" width="37.42578125" style="81" customWidth="1"/>
    <col min="10720" max="10720" width="63.140625" style="81" customWidth="1"/>
    <col min="10721" max="10721" width="20" style="81" customWidth="1"/>
    <col min="10722" max="10722" width="11.140625" style="81" customWidth="1"/>
    <col min="10723" max="10723" width="10.85546875" style="81" customWidth="1"/>
    <col min="10724" max="10724" width="21" style="81" customWidth="1"/>
    <col min="10725" max="10725" width="10.85546875" style="81" customWidth="1"/>
    <col min="10726" max="10726" width="17.42578125" style="81" customWidth="1"/>
    <col min="10727" max="10727" width="14.85546875" style="81" customWidth="1"/>
    <col min="10728" max="10728" width="15" style="81" customWidth="1"/>
    <col min="10729" max="10729" width="14.85546875" style="81" customWidth="1"/>
    <col min="10730" max="10730" width="7.140625" style="81" customWidth="1"/>
    <col min="10731" max="10732" width="20.140625" style="81" customWidth="1"/>
    <col min="10733" max="10733" width="18.42578125" style="81" customWidth="1"/>
    <col min="10734" max="10734" width="9.140625" style="81" customWidth="1"/>
    <col min="10735" max="10735" width="12" style="81" customWidth="1"/>
    <col min="10736" max="10736" width="14.85546875" style="81" customWidth="1"/>
    <col min="10737" max="10737" width="22.42578125" style="81" customWidth="1"/>
    <col min="10738" max="10738" width="14.85546875" style="81" customWidth="1"/>
    <col min="10739" max="10739" width="7.140625" style="81" customWidth="1"/>
    <col min="10740" max="10740" width="20.140625" style="81" customWidth="1"/>
    <col min="10741" max="10972" width="8.85546875" style="81" customWidth="1"/>
    <col min="10973" max="10973" width="8.140625" style="81" customWidth="1"/>
    <col min="10974" max="10974" width="14.5703125" style="81" customWidth="1"/>
    <col min="10975" max="10975" width="37.42578125" style="81" customWidth="1"/>
    <col min="10976" max="10976" width="63.140625" style="81" customWidth="1"/>
    <col min="10977" max="10977" width="20" style="81" customWidth="1"/>
    <col min="10978" max="10978" width="11.140625" style="81" customWidth="1"/>
    <col min="10979" max="10979" width="10.85546875" style="81" customWidth="1"/>
    <col min="10980" max="10980" width="21" style="81" customWidth="1"/>
    <col min="10981" max="10981" width="10.85546875" style="81" customWidth="1"/>
    <col min="10982" max="10982" width="17.42578125" style="81" customWidth="1"/>
    <col min="10983" max="10983" width="14.85546875" style="81" customWidth="1"/>
    <col min="10984" max="10984" width="15" style="81" customWidth="1"/>
    <col min="10985" max="10985" width="14.85546875" style="81" customWidth="1"/>
    <col min="10986" max="10986" width="7.140625" style="81" customWidth="1"/>
    <col min="10987" max="10988" width="20.140625" style="81" customWidth="1"/>
    <col min="10989" max="10989" width="18.42578125" style="81" customWidth="1"/>
    <col min="10990" max="10990" width="9.140625" style="81" customWidth="1"/>
    <col min="10991" max="10991" width="12" style="81" customWidth="1"/>
    <col min="10992" max="10992" width="14.85546875" style="81" customWidth="1"/>
    <col min="10993" max="10993" width="22.42578125" style="81" customWidth="1"/>
    <col min="10994" max="10994" width="14.85546875" style="81" customWidth="1"/>
    <col min="10995" max="10995" width="7.140625" style="81" customWidth="1"/>
    <col min="10996" max="10996" width="20.140625" style="81" customWidth="1"/>
    <col min="10997" max="11228" width="8.85546875" style="81" customWidth="1"/>
    <col min="11229" max="11229" width="8.140625" style="81" customWidth="1"/>
    <col min="11230" max="11230" width="14.5703125" style="81" customWidth="1"/>
    <col min="11231" max="11231" width="37.42578125" style="81" customWidth="1"/>
    <col min="11232" max="11232" width="63.140625" style="81" customWidth="1"/>
    <col min="11233" max="11233" width="20" style="81" customWidth="1"/>
    <col min="11234" max="11234" width="11.140625" style="81" customWidth="1"/>
    <col min="11235" max="11235" width="10.85546875" style="81" customWidth="1"/>
    <col min="11236" max="11236" width="21" style="81" customWidth="1"/>
    <col min="11237" max="11237" width="10.85546875" style="81" customWidth="1"/>
    <col min="11238" max="11238" width="17.42578125" style="81" customWidth="1"/>
    <col min="11239" max="11239" width="14.85546875" style="81" customWidth="1"/>
    <col min="11240" max="11240" width="15" style="81" customWidth="1"/>
    <col min="11241" max="11241" width="14.85546875" style="81" customWidth="1"/>
    <col min="11242" max="11242" width="7.140625" style="81" customWidth="1"/>
    <col min="11243" max="11244" width="20.140625" style="81" customWidth="1"/>
    <col min="11245" max="11245" width="18.42578125" style="81" customWidth="1"/>
    <col min="11246" max="11246" width="9.140625" style="81" customWidth="1"/>
    <col min="11247" max="11247" width="12" style="81" customWidth="1"/>
    <col min="11248" max="11248" width="14.85546875" style="81" customWidth="1"/>
    <col min="11249" max="11249" width="22.42578125" style="81" customWidth="1"/>
    <col min="11250" max="11250" width="14.85546875" style="81" customWidth="1"/>
    <col min="11251" max="11251" width="7.140625" style="81" customWidth="1"/>
    <col min="11252" max="11252" width="20.140625" style="81" customWidth="1"/>
    <col min="11253" max="11484" width="8.85546875" style="81" customWidth="1"/>
    <col min="11485" max="11485" width="8.140625" style="81" customWidth="1"/>
    <col min="11486" max="11486" width="14.5703125" style="81" customWidth="1"/>
    <col min="11487" max="11487" width="37.42578125" style="81" customWidth="1"/>
    <col min="11488" max="11488" width="63.140625" style="81" customWidth="1"/>
    <col min="11489" max="11489" width="20" style="81" customWidth="1"/>
    <col min="11490" max="11490" width="11.140625" style="81" customWidth="1"/>
    <col min="11491" max="11491" width="10.85546875" style="81" customWidth="1"/>
    <col min="11492" max="11492" width="21" style="81" customWidth="1"/>
    <col min="11493" max="11493" width="10.85546875" style="81" customWidth="1"/>
    <col min="11494" max="11494" width="17.42578125" style="81" customWidth="1"/>
    <col min="11495" max="11495" width="14.85546875" style="81" customWidth="1"/>
    <col min="11496" max="11496" width="15" style="81" customWidth="1"/>
    <col min="11497" max="11497" width="14.85546875" style="81" customWidth="1"/>
    <col min="11498" max="11498" width="7.140625" style="81" customWidth="1"/>
    <col min="11499" max="11500" width="20.140625" style="81" customWidth="1"/>
    <col min="11501" max="11501" width="18.42578125" style="81" customWidth="1"/>
    <col min="11502" max="11502" width="9.140625" style="81" customWidth="1"/>
    <col min="11503" max="11503" width="12" style="81" customWidth="1"/>
    <col min="11504" max="11504" width="14.85546875" style="81" customWidth="1"/>
    <col min="11505" max="11505" width="22.42578125" style="81" customWidth="1"/>
    <col min="11506" max="11506" width="14.85546875" style="81" customWidth="1"/>
    <col min="11507" max="11507" width="7.140625" style="81" customWidth="1"/>
    <col min="11508" max="11508" width="20.140625" style="81" customWidth="1"/>
    <col min="11509" max="11740" width="8.85546875" style="81" customWidth="1"/>
    <col min="11741" max="11741" width="8.140625" style="81" customWidth="1"/>
    <col min="11742" max="11742" width="14.5703125" style="81" customWidth="1"/>
    <col min="11743" max="11743" width="37.42578125" style="81" customWidth="1"/>
    <col min="11744" max="11744" width="63.140625" style="81" customWidth="1"/>
    <col min="11745" max="11745" width="20" style="81" customWidth="1"/>
    <col min="11746" max="11746" width="11.140625" style="81" customWidth="1"/>
    <col min="11747" max="11747" width="10.85546875" style="81" customWidth="1"/>
    <col min="11748" max="11748" width="21" style="81" customWidth="1"/>
    <col min="11749" max="11749" width="10.85546875" style="81" customWidth="1"/>
    <col min="11750" max="11750" width="17.42578125" style="81" customWidth="1"/>
    <col min="11751" max="11751" width="14.85546875" style="81" customWidth="1"/>
    <col min="11752" max="11752" width="15" style="81" customWidth="1"/>
    <col min="11753" max="11753" width="14.85546875" style="81" customWidth="1"/>
    <col min="11754" max="11754" width="7.140625" style="81" customWidth="1"/>
    <col min="11755" max="11756" width="20.140625" style="81" customWidth="1"/>
    <col min="11757" max="11757" width="18.42578125" style="81" customWidth="1"/>
    <col min="11758" max="11758" width="9.140625" style="81" customWidth="1"/>
    <col min="11759" max="11759" width="12" style="81" customWidth="1"/>
    <col min="11760" max="11760" width="14.85546875" style="81" customWidth="1"/>
    <col min="11761" max="11761" width="22.42578125" style="81" customWidth="1"/>
    <col min="11762" max="11762" width="14.85546875" style="81" customWidth="1"/>
    <col min="11763" max="11763" width="7.140625" style="81" customWidth="1"/>
    <col min="11764" max="11764" width="20.140625" style="81" customWidth="1"/>
    <col min="11765" max="11996" width="8.85546875" style="81" customWidth="1"/>
    <col min="11997" max="11997" width="8.140625" style="81" customWidth="1"/>
    <col min="11998" max="11998" width="14.5703125" style="81" customWidth="1"/>
    <col min="11999" max="11999" width="37.42578125" style="81" customWidth="1"/>
    <col min="12000" max="12000" width="63.140625" style="81" customWidth="1"/>
    <col min="12001" max="12001" width="20" style="81" customWidth="1"/>
    <col min="12002" max="12002" width="11.140625" style="81" customWidth="1"/>
    <col min="12003" max="12003" width="10.85546875" style="81" customWidth="1"/>
    <col min="12004" max="12004" width="21" style="81" customWidth="1"/>
    <col min="12005" max="12005" width="10.85546875" style="81" customWidth="1"/>
    <col min="12006" max="12006" width="17.42578125" style="81" customWidth="1"/>
    <col min="12007" max="12007" width="14.85546875" style="81" customWidth="1"/>
    <col min="12008" max="12008" width="15" style="81" customWidth="1"/>
    <col min="12009" max="12009" width="14.85546875" style="81" customWidth="1"/>
    <col min="12010" max="12010" width="7.140625" style="81" customWidth="1"/>
    <col min="12011" max="12012" width="20.140625" style="81" customWidth="1"/>
    <col min="12013" max="12013" width="18.42578125" style="81" customWidth="1"/>
    <col min="12014" max="12014" width="9.140625" style="81" customWidth="1"/>
    <col min="12015" max="12015" width="12" style="81" customWidth="1"/>
    <col min="12016" max="12016" width="14.85546875" style="81" customWidth="1"/>
    <col min="12017" max="12017" width="22.42578125" style="81" customWidth="1"/>
    <col min="12018" max="12018" width="14.85546875" style="81" customWidth="1"/>
    <col min="12019" max="12019" width="7.140625" style="81" customWidth="1"/>
    <col min="12020" max="12020" width="20.140625" style="81" customWidth="1"/>
    <col min="12021" max="12252" width="8.85546875" style="81" customWidth="1"/>
    <col min="12253" max="12253" width="8.140625" style="81" customWidth="1"/>
    <col min="12254" max="12254" width="14.5703125" style="81" customWidth="1"/>
    <col min="12255" max="12255" width="37.42578125" style="81" customWidth="1"/>
    <col min="12256" max="12256" width="63.140625" style="81" customWidth="1"/>
    <col min="12257" max="12257" width="20" style="81" customWidth="1"/>
    <col min="12258" max="12258" width="11.140625" style="81" customWidth="1"/>
    <col min="12259" max="12259" width="10.85546875" style="81" customWidth="1"/>
    <col min="12260" max="12260" width="21" style="81" customWidth="1"/>
    <col min="12261" max="12261" width="10.85546875" style="81" customWidth="1"/>
    <col min="12262" max="12262" width="17.42578125" style="81" customWidth="1"/>
    <col min="12263" max="12263" width="14.85546875" style="81" customWidth="1"/>
    <col min="12264" max="12264" width="15" style="81" customWidth="1"/>
    <col min="12265" max="12265" width="14.85546875" style="81" customWidth="1"/>
    <col min="12266" max="12266" width="7.140625" style="81" customWidth="1"/>
    <col min="12267" max="12268" width="20.140625" style="81" customWidth="1"/>
    <col min="12269" max="12269" width="18.42578125" style="81" customWidth="1"/>
    <col min="12270" max="12270" width="9.140625" style="81" customWidth="1"/>
    <col min="12271" max="12271" width="12" style="81" customWidth="1"/>
    <col min="12272" max="12272" width="14.85546875" style="81" customWidth="1"/>
    <col min="12273" max="12273" width="22.42578125" style="81" customWidth="1"/>
    <col min="12274" max="12274" width="14.85546875" style="81" customWidth="1"/>
    <col min="12275" max="12275" width="7.140625" style="81" customWidth="1"/>
    <col min="12276" max="12276" width="20.140625" style="81" customWidth="1"/>
    <col min="12277" max="12508" width="8.85546875" style="81" customWidth="1"/>
    <col min="12509" max="12509" width="8.140625" style="81" customWidth="1"/>
    <col min="12510" max="12510" width="14.5703125" style="81" customWidth="1"/>
    <col min="12511" max="12511" width="37.42578125" style="81" customWidth="1"/>
    <col min="12512" max="12512" width="63.140625" style="81" customWidth="1"/>
    <col min="12513" max="12513" width="20" style="81" customWidth="1"/>
    <col min="12514" max="12514" width="11.140625" style="81" customWidth="1"/>
    <col min="12515" max="12515" width="10.85546875" style="81" customWidth="1"/>
    <col min="12516" max="12516" width="21" style="81" customWidth="1"/>
    <col min="12517" max="12517" width="10.85546875" style="81" customWidth="1"/>
    <col min="12518" max="12518" width="17.42578125" style="81" customWidth="1"/>
    <col min="12519" max="12519" width="14.85546875" style="81" customWidth="1"/>
    <col min="12520" max="12520" width="15" style="81" customWidth="1"/>
    <col min="12521" max="12521" width="14.85546875" style="81" customWidth="1"/>
    <col min="12522" max="12522" width="7.140625" style="81" customWidth="1"/>
    <col min="12523" max="12524" width="20.140625" style="81" customWidth="1"/>
    <col min="12525" max="12525" width="18.42578125" style="81" customWidth="1"/>
    <col min="12526" max="12526" width="9.140625" style="81" customWidth="1"/>
    <col min="12527" max="12527" width="12" style="81" customWidth="1"/>
    <col min="12528" max="12528" width="14.85546875" style="81" customWidth="1"/>
    <col min="12529" max="12529" width="22.42578125" style="81" customWidth="1"/>
    <col min="12530" max="12530" width="14.85546875" style="81" customWidth="1"/>
    <col min="12531" max="12531" width="7.140625" style="81" customWidth="1"/>
    <col min="12532" max="12532" width="20.140625" style="81" customWidth="1"/>
    <col min="12533" max="12764" width="8.85546875" style="81" customWidth="1"/>
    <col min="12765" max="12765" width="8.140625" style="81" customWidth="1"/>
    <col min="12766" max="12766" width="14.5703125" style="81" customWidth="1"/>
    <col min="12767" max="12767" width="37.42578125" style="81" customWidth="1"/>
    <col min="12768" max="12768" width="63.140625" style="81" customWidth="1"/>
    <col min="12769" max="12769" width="20" style="81" customWidth="1"/>
    <col min="12770" max="12770" width="11.140625" style="81" customWidth="1"/>
    <col min="12771" max="12771" width="10.85546875" style="81" customWidth="1"/>
    <col min="12772" max="12772" width="21" style="81" customWidth="1"/>
    <col min="12773" max="12773" width="10.85546875" style="81" customWidth="1"/>
    <col min="12774" max="12774" width="17.42578125" style="81" customWidth="1"/>
    <col min="12775" max="12775" width="14.85546875" style="81" customWidth="1"/>
    <col min="12776" max="12776" width="15" style="81" customWidth="1"/>
    <col min="12777" max="12777" width="14.85546875" style="81" customWidth="1"/>
    <col min="12778" max="12778" width="7.140625" style="81" customWidth="1"/>
    <col min="12779" max="12780" width="20.140625" style="81" customWidth="1"/>
    <col min="12781" max="12781" width="18.42578125" style="81" customWidth="1"/>
    <col min="12782" max="12782" width="9.140625" style="81" customWidth="1"/>
    <col min="12783" max="12783" width="12" style="81" customWidth="1"/>
    <col min="12784" max="12784" width="14.85546875" style="81" customWidth="1"/>
    <col min="12785" max="12785" width="22.42578125" style="81" customWidth="1"/>
    <col min="12786" max="12786" width="14.85546875" style="81" customWidth="1"/>
    <col min="12787" max="12787" width="7.140625" style="81" customWidth="1"/>
    <col min="12788" max="12788" width="20.140625" style="81" customWidth="1"/>
    <col min="12789" max="13020" width="8.85546875" style="81" customWidth="1"/>
    <col min="13021" max="13021" width="8.140625" style="81" customWidth="1"/>
    <col min="13022" max="13022" width="14.5703125" style="81" customWidth="1"/>
    <col min="13023" max="13023" width="37.42578125" style="81" customWidth="1"/>
    <col min="13024" max="13024" width="63.140625" style="81" customWidth="1"/>
    <col min="13025" max="13025" width="20" style="81" customWidth="1"/>
    <col min="13026" max="13026" width="11.140625" style="81" customWidth="1"/>
    <col min="13027" max="13027" width="10.85546875" style="81" customWidth="1"/>
    <col min="13028" max="13028" width="21" style="81" customWidth="1"/>
    <col min="13029" max="13029" width="10.85546875" style="81" customWidth="1"/>
    <col min="13030" max="13030" width="17.42578125" style="81" customWidth="1"/>
    <col min="13031" max="13031" width="14.85546875" style="81" customWidth="1"/>
    <col min="13032" max="13032" width="15" style="81" customWidth="1"/>
    <col min="13033" max="13033" width="14.85546875" style="81" customWidth="1"/>
    <col min="13034" max="13034" width="7.140625" style="81" customWidth="1"/>
    <col min="13035" max="13036" width="20.140625" style="81" customWidth="1"/>
    <col min="13037" max="13037" width="18.42578125" style="81" customWidth="1"/>
    <col min="13038" max="13038" width="9.140625" style="81" customWidth="1"/>
    <col min="13039" max="13039" width="12" style="81" customWidth="1"/>
    <col min="13040" max="13040" width="14.85546875" style="81" customWidth="1"/>
    <col min="13041" max="13041" width="22.42578125" style="81" customWidth="1"/>
    <col min="13042" max="13042" width="14.85546875" style="81" customWidth="1"/>
    <col min="13043" max="13043" width="7.140625" style="81" customWidth="1"/>
    <col min="13044" max="13044" width="20.140625" style="81" customWidth="1"/>
    <col min="13045" max="13276" width="8.85546875" style="81" customWidth="1"/>
    <col min="13277" max="13277" width="8.140625" style="81" customWidth="1"/>
    <col min="13278" max="13278" width="14.5703125" style="81" customWidth="1"/>
    <col min="13279" max="13279" width="37.42578125" style="81" customWidth="1"/>
    <col min="13280" max="13280" width="63.140625" style="81" customWidth="1"/>
    <col min="13281" max="13281" width="20" style="81" customWidth="1"/>
    <col min="13282" max="13282" width="11.140625" style="81" customWidth="1"/>
    <col min="13283" max="13283" width="10.85546875" style="81" customWidth="1"/>
    <col min="13284" max="13284" width="21" style="81" customWidth="1"/>
    <col min="13285" max="13285" width="10.85546875" style="81" customWidth="1"/>
    <col min="13286" max="13286" width="17.42578125" style="81" customWidth="1"/>
    <col min="13287" max="13287" width="14.85546875" style="81" customWidth="1"/>
    <col min="13288" max="13288" width="15" style="81" customWidth="1"/>
    <col min="13289" max="13289" width="14.85546875" style="81" customWidth="1"/>
    <col min="13290" max="13290" width="7.140625" style="81" customWidth="1"/>
    <col min="13291" max="13292" width="20.140625" style="81" customWidth="1"/>
    <col min="13293" max="13293" width="18.42578125" style="81" customWidth="1"/>
    <col min="13294" max="13294" width="9.140625" style="81" customWidth="1"/>
    <col min="13295" max="13295" width="12" style="81" customWidth="1"/>
    <col min="13296" max="13296" width="14.85546875" style="81" customWidth="1"/>
    <col min="13297" max="13297" width="22.42578125" style="81" customWidth="1"/>
    <col min="13298" max="13298" width="14.85546875" style="81" customWidth="1"/>
    <col min="13299" max="13299" width="7.140625" style="81" customWidth="1"/>
    <col min="13300" max="13300" width="20.140625" style="81" customWidth="1"/>
    <col min="13301" max="13532" width="8.85546875" style="81" customWidth="1"/>
    <col min="13533" max="13533" width="8.140625" style="81" customWidth="1"/>
    <col min="13534" max="13534" width="14.5703125" style="81" customWidth="1"/>
    <col min="13535" max="13535" width="37.42578125" style="81" customWidth="1"/>
    <col min="13536" max="13536" width="63.140625" style="81" customWidth="1"/>
    <col min="13537" max="13537" width="20" style="81" customWidth="1"/>
    <col min="13538" max="13538" width="11.140625" style="81" customWidth="1"/>
    <col min="13539" max="13539" width="10.85546875" style="81" customWidth="1"/>
    <col min="13540" max="13540" width="21" style="81" customWidth="1"/>
    <col min="13541" max="13541" width="10.85546875" style="81" customWidth="1"/>
    <col min="13542" max="13542" width="17.42578125" style="81" customWidth="1"/>
    <col min="13543" max="13543" width="14.85546875" style="81" customWidth="1"/>
    <col min="13544" max="13544" width="15" style="81" customWidth="1"/>
    <col min="13545" max="13545" width="14.85546875" style="81" customWidth="1"/>
    <col min="13546" max="13546" width="7.140625" style="81" customWidth="1"/>
    <col min="13547" max="13548" width="20.140625" style="81" customWidth="1"/>
    <col min="13549" max="13549" width="18.42578125" style="81" customWidth="1"/>
    <col min="13550" max="13550" width="9.140625" style="81" customWidth="1"/>
    <col min="13551" max="13551" width="12" style="81" customWidth="1"/>
    <col min="13552" max="13552" width="14.85546875" style="81" customWidth="1"/>
    <col min="13553" max="13553" width="22.42578125" style="81" customWidth="1"/>
    <col min="13554" max="13554" width="14.85546875" style="81" customWidth="1"/>
    <col min="13555" max="13555" width="7.140625" style="81" customWidth="1"/>
    <col min="13556" max="13556" width="20.140625" style="81" customWidth="1"/>
    <col min="13557" max="13788" width="8.85546875" style="81" customWidth="1"/>
    <col min="13789" max="13789" width="8.140625" style="81" customWidth="1"/>
    <col min="13790" max="13790" width="14.5703125" style="81" customWidth="1"/>
    <col min="13791" max="13791" width="37.42578125" style="81" customWidth="1"/>
    <col min="13792" max="13792" width="63.140625" style="81" customWidth="1"/>
    <col min="13793" max="13793" width="20" style="81" customWidth="1"/>
    <col min="13794" max="13794" width="11.140625" style="81" customWidth="1"/>
    <col min="13795" max="13795" width="10.85546875" style="81" customWidth="1"/>
    <col min="13796" max="13796" width="21" style="81" customWidth="1"/>
    <col min="13797" max="13797" width="10.85546875" style="81" customWidth="1"/>
    <col min="13798" max="13798" width="17.42578125" style="81" customWidth="1"/>
    <col min="13799" max="13799" width="14.85546875" style="81" customWidth="1"/>
    <col min="13800" max="13800" width="15" style="81" customWidth="1"/>
    <col min="13801" max="13801" width="14.85546875" style="81" customWidth="1"/>
    <col min="13802" max="13802" width="7.140625" style="81" customWidth="1"/>
    <col min="13803" max="13804" width="20.140625" style="81" customWidth="1"/>
    <col min="13805" max="13805" width="18.42578125" style="81" customWidth="1"/>
    <col min="13806" max="13806" width="9.140625" style="81" customWidth="1"/>
    <col min="13807" max="13807" width="12" style="81" customWidth="1"/>
    <col min="13808" max="13808" width="14.85546875" style="81" customWidth="1"/>
    <col min="13809" max="13809" width="22.42578125" style="81" customWidth="1"/>
    <col min="13810" max="13810" width="14.85546875" style="81" customWidth="1"/>
    <col min="13811" max="13811" width="7.140625" style="81" customWidth="1"/>
    <col min="13812" max="13812" width="20.140625" style="81" customWidth="1"/>
    <col min="13813" max="14044" width="8.85546875" style="81" customWidth="1"/>
    <col min="14045" max="14045" width="8.140625" style="81" customWidth="1"/>
    <col min="14046" max="14046" width="14.5703125" style="81" customWidth="1"/>
    <col min="14047" max="14047" width="37.42578125" style="81" customWidth="1"/>
    <col min="14048" max="14048" width="63.140625" style="81" customWidth="1"/>
    <col min="14049" max="14049" width="20" style="81" customWidth="1"/>
    <col min="14050" max="14050" width="11.140625" style="81" customWidth="1"/>
    <col min="14051" max="14051" width="10.85546875" style="81" customWidth="1"/>
    <col min="14052" max="14052" width="21" style="81" customWidth="1"/>
    <col min="14053" max="14053" width="10.85546875" style="81" customWidth="1"/>
    <col min="14054" max="14054" width="17.42578125" style="81" customWidth="1"/>
    <col min="14055" max="14055" width="14.85546875" style="81" customWidth="1"/>
    <col min="14056" max="14056" width="15" style="81" customWidth="1"/>
    <col min="14057" max="14057" width="14.85546875" style="81" customWidth="1"/>
    <col min="14058" max="14058" width="7.140625" style="81" customWidth="1"/>
    <col min="14059" max="14060" width="20.140625" style="81" customWidth="1"/>
    <col min="14061" max="14061" width="18.42578125" style="81" customWidth="1"/>
    <col min="14062" max="14062" width="9.140625" style="81" customWidth="1"/>
    <col min="14063" max="14063" width="12" style="81" customWidth="1"/>
    <col min="14064" max="14064" width="14.85546875" style="81" customWidth="1"/>
    <col min="14065" max="14065" width="22.42578125" style="81" customWidth="1"/>
    <col min="14066" max="14066" width="14.85546875" style="81" customWidth="1"/>
    <col min="14067" max="14067" width="7.140625" style="81" customWidth="1"/>
    <col min="14068" max="14068" width="20.140625" style="81" customWidth="1"/>
    <col min="14069" max="14300" width="8.85546875" style="81" customWidth="1"/>
    <col min="14301" max="14301" width="8.140625" style="81" customWidth="1"/>
    <col min="14302" max="14302" width="14.5703125" style="81" customWidth="1"/>
    <col min="14303" max="14303" width="37.42578125" style="81" customWidth="1"/>
    <col min="14304" max="14304" width="63.140625" style="81" customWidth="1"/>
    <col min="14305" max="14305" width="20" style="81" customWidth="1"/>
    <col min="14306" max="14306" width="11.140625" style="81" customWidth="1"/>
    <col min="14307" max="14307" width="10.85546875" style="81" customWidth="1"/>
    <col min="14308" max="14308" width="21" style="81" customWidth="1"/>
    <col min="14309" max="14309" width="10.85546875" style="81" customWidth="1"/>
    <col min="14310" max="14310" width="17.42578125" style="81" customWidth="1"/>
    <col min="14311" max="14311" width="14.85546875" style="81" customWidth="1"/>
    <col min="14312" max="14312" width="15" style="81" customWidth="1"/>
    <col min="14313" max="14313" width="14.85546875" style="81" customWidth="1"/>
    <col min="14314" max="14314" width="7.140625" style="81" customWidth="1"/>
    <col min="14315" max="14316" width="20.140625" style="81" customWidth="1"/>
    <col min="14317" max="14317" width="18.42578125" style="81" customWidth="1"/>
    <col min="14318" max="14318" width="9.140625" style="81" customWidth="1"/>
    <col min="14319" max="14319" width="12" style="81" customWidth="1"/>
    <col min="14320" max="14320" width="14.85546875" style="81" customWidth="1"/>
    <col min="14321" max="14321" width="22.42578125" style="81" customWidth="1"/>
    <col min="14322" max="14322" width="14.85546875" style="81" customWidth="1"/>
    <col min="14323" max="14323" width="7.140625" style="81" customWidth="1"/>
    <col min="14324" max="14324" width="20.140625" style="81" customWidth="1"/>
    <col min="14325" max="14556" width="8.85546875" style="81" customWidth="1"/>
    <col min="14557" max="14557" width="8.140625" style="81" customWidth="1"/>
    <col min="14558" max="14558" width="14.5703125" style="81" customWidth="1"/>
    <col min="14559" max="14559" width="37.42578125" style="81" customWidth="1"/>
    <col min="14560" max="14560" width="63.140625" style="81" customWidth="1"/>
    <col min="14561" max="14561" width="20" style="81" customWidth="1"/>
    <col min="14562" max="14562" width="11.140625" style="81" customWidth="1"/>
    <col min="14563" max="14563" width="10.85546875" style="81" customWidth="1"/>
    <col min="14564" max="14564" width="21" style="81" customWidth="1"/>
    <col min="14565" max="14565" width="10.85546875" style="81" customWidth="1"/>
    <col min="14566" max="14566" width="17.42578125" style="81" customWidth="1"/>
    <col min="14567" max="14567" width="14.85546875" style="81" customWidth="1"/>
    <col min="14568" max="14568" width="15" style="81" customWidth="1"/>
    <col min="14569" max="14569" width="14.85546875" style="81" customWidth="1"/>
    <col min="14570" max="14570" width="7.140625" style="81" customWidth="1"/>
    <col min="14571" max="14572" width="20.140625" style="81" customWidth="1"/>
    <col min="14573" max="14573" width="18.42578125" style="81" customWidth="1"/>
    <col min="14574" max="14574" width="9.140625" style="81" customWidth="1"/>
    <col min="14575" max="14575" width="12" style="81" customWidth="1"/>
    <col min="14576" max="14576" width="14.85546875" style="81" customWidth="1"/>
    <col min="14577" max="14577" width="22.42578125" style="81" customWidth="1"/>
    <col min="14578" max="14578" width="14.85546875" style="81" customWidth="1"/>
    <col min="14579" max="14579" width="7.140625" style="81" customWidth="1"/>
    <col min="14580" max="14580" width="20.140625" style="81" customWidth="1"/>
    <col min="14581" max="14812" width="8.85546875" style="81" customWidth="1"/>
    <col min="14813" max="14813" width="8.140625" style="81" customWidth="1"/>
    <col min="14814" max="14814" width="14.5703125" style="81" customWidth="1"/>
    <col min="14815" max="14815" width="37.42578125" style="81" customWidth="1"/>
    <col min="14816" max="14816" width="63.140625" style="81" customWidth="1"/>
    <col min="14817" max="14817" width="20" style="81" customWidth="1"/>
    <col min="14818" max="14818" width="11.140625" style="81" customWidth="1"/>
    <col min="14819" max="14819" width="10.85546875" style="81" customWidth="1"/>
    <col min="14820" max="14820" width="21" style="81" customWidth="1"/>
    <col min="14821" max="14821" width="10.85546875" style="81" customWidth="1"/>
    <col min="14822" max="14822" width="17.42578125" style="81" customWidth="1"/>
    <col min="14823" max="14823" width="14.85546875" style="81" customWidth="1"/>
    <col min="14824" max="14824" width="15" style="81" customWidth="1"/>
    <col min="14825" max="14825" width="14.85546875" style="81" customWidth="1"/>
    <col min="14826" max="14826" width="7.140625" style="81" customWidth="1"/>
    <col min="14827" max="14828" width="20.140625" style="81" customWidth="1"/>
    <col min="14829" max="14829" width="18.42578125" style="81" customWidth="1"/>
    <col min="14830" max="14830" width="9.140625" style="81" customWidth="1"/>
    <col min="14831" max="14831" width="12" style="81" customWidth="1"/>
    <col min="14832" max="14832" width="14.85546875" style="81" customWidth="1"/>
    <col min="14833" max="14833" width="22.42578125" style="81" customWidth="1"/>
    <col min="14834" max="14834" width="14.85546875" style="81" customWidth="1"/>
    <col min="14835" max="14835" width="7.140625" style="81" customWidth="1"/>
    <col min="14836" max="14836" width="20.140625" style="81" customWidth="1"/>
    <col min="14837" max="15068" width="8.85546875" style="81" customWidth="1"/>
    <col min="15069" max="15069" width="8.140625" style="81" customWidth="1"/>
    <col min="15070" max="15070" width="14.5703125" style="81" customWidth="1"/>
    <col min="15071" max="15071" width="37.42578125" style="81" customWidth="1"/>
    <col min="15072" max="15072" width="63.140625" style="81" customWidth="1"/>
    <col min="15073" max="15073" width="20" style="81" customWidth="1"/>
    <col min="15074" max="15074" width="11.140625" style="81" customWidth="1"/>
    <col min="15075" max="15075" width="10.85546875" style="81" customWidth="1"/>
    <col min="15076" max="15076" width="21" style="81" customWidth="1"/>
    <col min="15077" max="15077" width="10.85546875" style="81" customWidth="1"/>
    <col min="15078" max="15078" width="17.42578125" style="81" customWidth="1"/>
    <col min="15079" max="15079" width="14.85546875" style="81" customWidth="1"/>
    <col min="15080" max="15080" width="15" style="81" customWidth="1"/>
    <col min="15081" max="15081" width="14.85546875" style="81" customWidth="1"/>
    <col min="15082" max="15082" width="7.140625" style="81" customWidth="1"/>
    <col min="15083" max="15084" width="20.140625" style="81" customWidth="1"/>
    <col min="15085" max="15085" width="18.42578125" style="81" customWidth="1"/>
    <col min="15086" max="15086" width="9.140625" style="81" customWidth="1"/>
    <col min="15087" max="15087" width="12" style="81" customWidth="1"/>
    <col min="15088" max="15088" width="14.85546875" style="81" customWidth="1"/>
    <col min="15089" max="15089" width="22.42578125" style="81" customWidth="1"/>
    <col min="15090" max="15090" width="14.85546875" style="81" customWidth="1"/>
    <col min="15091" max="15091" width="7.140625" style="81" customWidth="1"/>
    <col min="15092" max="15092" width="20.140625" style="81" customWidth="1"/>
    <col min="15093" max="15324" width="8.85546875" style="81" customWidth="1"/>
    <col min="15325" max="15325" width="8.140625" style="81" customWidth="1"/>
    <col min="15326" max="15326" width="14.5703125" style="81" customWidth="1"/>
    <col min="15327" max="15327" width="37.42578125" style="81" customWidth="1"/>
    <col min="15328" max="15328" width="63.140625" style="81" customWidth="1"/>
    <col min="15329" max="15329" width="20" style="81" customWidth="1"/>
    <col min="15330" max="15330" width="11.140625" style="81" customWidth="1"/>
    <col min="15331" max="15331" width="10.85546875" style="81" customWidth="1"/>
    <col min="15332" max="15332" width="21" style="81" customWidth="1"/>
    <col min="15333" max="15333" width="10.85546875" style="81" customWidth="1"/>
    <col min="15334" max="15334" width="17.42578125" style="81" customWidth="1"/>
    <col min="15335" max="15335" width="14.85546875" style="81" customWidth="1"/>
    <col min="15336" max="15336" width="15" style="81" customWidth="1"/>
    <col min="15337" max="15337" width="14.85546875" style="81" customWidth="1"/>
    <col min="15338" max="15338" width="7.140625" style="81" customWidth="1"/>
    <col min="15339" max="15340" width="20.140625" style="81" customWidth="1"/>
    <col min="15341" max="15341" width="18.42578125" style="81" customWidth="1"/>
    <col min="15342" max="15342" width="9.140625" style="81" customWidth="1"/>
    <col min="15343" max="15343" width="12" style="81" customWidth="1"/>
    <col min="15344" max="15344" width="14.85546875" style="81" customWidth="1"/>
    <col min="15345" max="15345" width="22.42578125" style="81" customWidth="1"/>
    <col min="15346" max="15346" width="14.85546875" style="81" customWidth="1"/>
    <col min="15347" max="15347" width="7.140625" style="81" customWidth="1"/>
    <col min="15348" max="15348" width="20.140625" style="81" customWidth="1"/>
    <col min="15349" max="15580" width="8.85546875" style="81" customWidth="1"/>
    <col min="15581" max="15581" width="8.140625" style="81" customWidth="1"/>
    <col min="15582" max="15582" width="14.5703125" style="81" customWidth="1"/>
    <col min="15583" max="15583" width="37.42578125" style="81" customWidth="1"/>
    <col min="15584" max="15584" width="63.140625" style="81" customWidth="1"/>
    <col min="15585" max="15585" width="20" style="81" customWidth="1"/>
    <col min="15586" max="15586" width="11.140625" style="81" customWidth="1"/>
    <col min="15587" max="15587" width="10.85546875" style="81" customWidth="1"/>
    <col min="15588" max="15588" width="21" style="81" customWidth="1"/>
    <col min="15589" max="15589" width="10.85546875" style="81" customWidth="1"/>
    <col min="15590" max="15590" width="17.42578125" style="81" customWidth="1"/>
    <col min="15591" max="15591" width="14.85546875" style="81" customWidth="1"/>
    <col min="15592" max="15592" width="15" style="81" customWidth="1"/>
    <col min="15593" max="15593" width="14.85546875" style="81" customWidth="1"/>
    <col min="15594" max="15594" width="7.140625" style="81" customWidth="1"/>
    <col min="15595" max="15596" width="20.140625" style="81" customWidth="1"/>
    <col min="15597" max="15597" width="18.42578125" style="81" customWidth="1"/>
    <col min="15598" max="15598" width="9.140625" style="81" customWidth="1"/>
    <col min="15599" max="15599" width="12" style="81" customWidth="1"/>
    <col min="15600" max="15600" width="14.85546875" style="81" customWidth="1"/>
    <col min="15601" max="15601" width="22.42578125" style="81" customWidth="1"/>
    <col min="15602" max="15602" width="14.85546875" style="81" customWidth="1"/>
    <col min="15603" max="15603" width="7.140625" style="81" customWidth="1"/>
    <col min="15604" max="15604" width="20.140625" style="81" customWidth="1"/>
    <col min="15605" max="15836" width="8.85546875" style="81" customWidth="1"/>
    <col min="15837" max="15837" width="8.140625" style="81" customWidth="1"/>
    <col min="15838" max="15838" width="14.5703125" style="81" customWidth="1"/>
    <col min="15839" max="15839" width="37.42578125" style="81" customWidth="1"/>
    <col min="15840" max="15840" width="63.140625" style="81" customWidth="1"/>
    <col min="15841" max="15841" width="20" style="81" customWidth="1"/>
    <col min="15842" max="15842" width="11.140625" style="81" customWidth="1"/>
    <col min="15843" max="15843" width="10.85546875" style="81" customWidth="1"/>
    <col min="15844" max="15844" width="21" style="81" customWidth="1"/>
    <col min="15845" max="15845" width="10.85546875" style="81" customWidth="1"/>
    <col min="15846" max="15846" width="17.42578125" style="81" customWidth="1"/>
    <col min="15847" max="15847" width="14.85546875" style="81" customWidth="1"/>
    <col min="15848" max="15848" width="15" style="81" customWidth="1"/>
    <col min="15849" max="15849" width="14.85546875" style="81" customWidth="1"/>
    <col min="15850" max="15850" width="7.140625" style="81" customWidth="1"/>
    <col min="15851" max="15852" width="20.140625" style="81" customWidth="1"/>
    <col min="15853" max="15853" width="18.42578125" style="81" customWidth="1"/>
    <col min="15854" max="15854" width="9.140625" style="81" customWidth="1"/>
    <col min="15855" max="15855" width="12" style="81" customWidth="1"/>
    <col min="15856" max="15856" width="14.85546875" style="81" customWidth="1"/>
    <col min="15857" max="15857" width="22.42578125" style="81" customWidth="1"/>
    <col min="15858" max="15858" width="14.85546875" style="81" customWidth="1"/>
    <col min="15859" max="15859" width="7.140625" style="81" customWidth="1"/>
    <col min="15860" max="15860" width="20.140625" style="81" customWidth="1"/>
    <col min="15861" max="16092" width="8.85546875" style="81" customWidth="1"/>
    <col min="16093" max="16093" width="8.140625" style="81" customWidth="1"/>
    <col min="16094" max="16094" width="14.5703125" style="81" customWidth="1"/>
    <col min="16095" max="16095" width="37.42578125" style="81" customWidth="1"/>
    <col min="16096" max="16096" width="63.140625" style="81" customWidth="1"/>
    <col min="16097" max="16097" width="20" style="81" customWidth="1"/>
    <col min="16098" max="16098" width="11.140625" style="81" customWidth="1"/>
    <col min="16099" max="16099" width="10.85546875" style="81" customWidth="1"/>
    <col min="16100" max="16100" width="21" style="81" customWidth="1"/>
    <col min="16101" max="16101" width="10.85546875" style="81" customWidth="1"/>
    <col min="16102" max="16102" width="17.42578125" style="81" customWidth="1"/>
    <col min="16103" max="16103" width="14.85546875" style="81" customWidth="1"/>
    <col min="16104" max="16104" width="15" style="81" customWidth="1"/>
    <col min="16105" max="16105" width="14.85546875" style="81" customWidth="1"/>
    <col min="16106" max="16106" width="7.140625" style="81" customWidth="1"/>
    <col min="16107" max="16108" width="20.140625" style="81" customWidth="1"/>
    <col min="16109" max="16109" width="18.42578125" style="81" customWidth="1"/>
    <col min="16110" max="16110" width="9.140625" style="81" customWidth="1"/>
    <col min="16111" max="16111" width="12" style="81" customWidth="1"/>
    <col min="16112" max="16112" width="14.85546875" style="81" customWidth="1"/>
    <col min="16113" max="16113" width="22.42578125" style="81" customWidth="1"/>
    <col min="16114" max="16114" width="14.85546875" style="81" customWidth="1"/>
    <col min="16115" max="16115" width="7.140625" style="81" customWidth="1"/>
    <col min="16116" max="16116" width="20.140625" style="81" customWidth="1"/>
    <col min="16117" max="16384" width="8.85546875" style="81" customWidth="1"/>
  </cols>
  <sheetData>
    <row r="1" spans="1:21" ht="14.1" customHeight="1">
      <c r="A1" s="80" t="s">
        <v>4874</v>
      </c>
      <c r="B1" s="81"/>
      <c r="C1" s="81"/>
      <c r="D1" s="81"/>
      <c r="F1" s="81"/>
      <c r="J1" s="81"/>
      <c r="K1" s="83"/>
      <c r="L1" s="83"/>
      <c r="M1" s="83"/>
      <c r="N1" s="83"/>
      <c r="O1" s="81"/>
      <c r="P1" s="81"/>
      <c r="R1" s="10"/>
    </row>
    <row r="2" spans="1:21" s="4" customFormat="1" ht="14.1" customHeight="1">
      <c r="A2" s="4" t="s">
        <v>4875</v>
      </c>
      <c r="E2" s="69"/>
      <c r="H2" s="69"/>
      <c r="K2" s="84"/>
      <c r="L2" s="84"/>
      <c r="M2" s="84"/>
      <c r="N2" s="84"/>
      <c r="R2" s="336"/>
    </row>
    <row r="3" spans="1:21" s="91" customFormat="1" ht="14.1" customHeight="1">
      <c r="A3" s="85"/>
      <c r="B3" s="86"/>
      <c r="C3" s="86"/>
      <c r="D3" s="87"/>
      <c r="E3" s="86"/>
      <c r="F3" s="87"/>
      <c r="G3" s="88"/>
      <c r="H3" s="88"/>
      <c r="I3" s="88"/>
      <c r="J3" s="89"/>
      <c r="K3" s="90"/>
      <c r="L3" s="90"/>
      <c r="M3" s="90"/>
      <c r="N3" s="90"/>
      <c r="O3" s="89"/>
      <c r="P3" s="89"/>
      <c r="Q3" s="2"/>
      <c r="R3" s="355" t="s">
        <v>2</v>
      </c>
      <c r="S3" s="81"/>
      <c r="T3" s="81"/>
      <c r="U3" s="81"/>
    </row>
    <row r="4" spans="1:21" s="95" customFormat="1" ht="33" customHeight="1">
      <c r="A4" s="92" t="s">
        <v>3</v>
      </c>
      <c r="B4" s="93" t="s">
        <v>4</v>
      </c>
      <c r="C4" s="93" t="s">
        <v>5</v>
      </c>
      <c r="D4" s="92" t="s">
        <v>6</v>
      </c>
      <c r="E4" s="92" t="s">
        <v>7</v>
      </c>
      <c r="F4" s="92" t="s">
        <v>8</v>
      </c>
      <c r="G4" s="92" t="s">
        <v>9</v>
      </c>
      <c r="H4" s="92" t="s">
        <v>10</v>
      </c>
      <c r="I4" s="92" t="s">
        <v>11</v>
      </c>
      <c r="J4" s="92" t="s">
        <v>12</v>
      </c>
      <c r="K4" s="94" t="s">
        <v>13</v>
      </c>
      <c r="L4" s="94" t="s">
        <v>14</v>
      </c>
      <c r="M4" s="94" t="s">
        <v>15</v>
      </c>
      <c r="N4" s="94" t="s">
        <v>4753</v>
      </c>
      <c r="O4" s="92" t="s">
        <v>17</v>
      </c>
      <c r="P4" s="92" t="s">
        <v>18</v>
      </c>
      <c r="Q4" s="3"/>
      <c r="R4" s="41" t="s">
        <v>19</v>
      </c>
      <c r="S4" s="20"/>
      <c r="T4" s="42" t="s">
        <v>20</v>
      </c>
      <c r="U4" s="42" t="s">
        <v>21</v>
      </c>
    </row>
    <row r="5" spans="1:21" ht="14.1" customHeight="1">
      <c r="A5" s="96">
        <v>5</v>
      </c>
      <c r="B5" s="62" t="s">
        <v>124</v>
      </c>
      <c r="C5" s="62" t="s">
        <v>415</v>
      </c>
      <c r="D5" s="96" t="s">
        <v>773</v>
      </c>
      <c r="E5" s="62" t="s">
        <v>399</v>
      </c>
      <c r="F5" s="96" t="s">
        <v>26</v>
      </c>
      <c r="G5" s="97" t="s">
        <v>4619</v>
      </c>
      <c r="H5" s="62" t="s">
        <v>1424</v>
      </c>
      <c r="I5" s="97" t="s">
        <v>4876</v>
      </c>
      <c r="J5" s="7" t="s">
        <v>30</v>
      </c>
      <c r="K5" s="98" t="s">
        <v>1426</v>
      </c>
      <c r="L5" s="98" t="s">
        <v>322</v>
      </c>
      <c r="M5" s="98">
        <v>8302100000</v>
      </c>
      <c r="N5" s="98">
        <v>600</v>
      </c>
      <c r="O5" s="7">
        <v>35</v>
      </c>
      <c r="P5" s="7"/>
      <c r="R5" s="9">
        <v>40.939206662223967</v>
      </c>
      <c r="T5" s="7" t="s">
        <v>34</v>
      </c>
      <c r="U5" s="7" t="s">
        <v>34</v>
      </c>
    </row>
    <row r="6" spans="1:21" ht="14.1" customHeight="1">
      <c r="A6" s="96">
        <v>7</v>
      </c>
      <c r="B6" s="62" t="s">
        <v>124</v>
      </c>
      <c r="C6" s="62" t="s">
        <v>415</v>
      </c>
      <c r="D6" s="96" t="s">
        <v>773</v>
      </c>
      <c r="E6" s="62" t="s">
        <v>399</v>
      </c>
      <c r="F6" s="96" t="s">
        <v>26</v>
      </c>
      <c r="G6" s="97" t="s">
        <v>4877</v>
      </c>
      <c r="H6" s="62" t="s">
        <v>4878</v>
      </c>
      <c r="I6" s="97" t="s">
        <v>4879</v>
      </c>
      <c r="J6" s="7" t="s">
        <v>30</v>
      </c>
      <c r="K6" s="98" t="s">
        <v>1001</v>
      </c>
      <c r="L6" s="98" t="s">
        <v>322</v>
      </c>
      <c r="M6" s="98">
        <v>8302100000</v>
      </c>
      <c r="N6" s="98">
        <v>480</v>
      </c>
      <c r="O6" s="7">
        <v>45</v>
      </c>
      <c r="P6" s="7"/>
      <c r="R6" s="9">
        <v>43.424508734447031</v>
      </c>
      <c r="T6" s="7" t="s">
        <v>34</v>
      </c>
      <c r="U6" s="7" t="s">
        <v>34</v>
      </c>
    </row>
    <row r="7" spans="1:21" ht="14.1" customHeight="1">
      <c r="A7" s="96">
        <v>8</v>
      </c>
      <c r="B7" s="62" t="s">
        <v>124</v>
      </c>
      <c r="C7" s="62" t="s">
        <v>415</v>
      </c>
      <c r="D7" s="96" t="s">
        <v>773</v>
      </c>
      <c r="E7" s="62" t="s">
        <v>399</v>
      </c>
      <c r="F7" s="96" t="s">
        <v>26</v>
      </c>
      <c r="G7" s="97" t="s">
        <v>4880</v>
      </c>
      <c r="H7" s="62" t="s">
        <v>4881</v>
      </c>
      <c r="I7" s="97" t="s">
        <v>4879</v>
      </c>
      <c r="J7" s="7" t="s">
        <v>30</v>
      </c>
      <c r="K7" s="98" t="s">
        <v>1083</v>
      </c>
      <c r="L7" s="98" t="s">
        <v>322</v>
      </c>
      <c r="M7" s="98">
        <v>8302100000</v>
      </c>
      <c r="N7" s="98">
        <v>480</v>
      </c>
      <c r="O7" s="7">
        <v>45</v>
      </c>
      <c r="P7" s="7"/>
      <c r="R7" s="9">
        <v>37.361464118694052</v>
      </c>
      <c r="T7" s="7" t="s">
        <v>34</v>
      </c>
      <c r="U7" s="7" t="s">
        <v>34</v>
      </c>
    </row>
    <row r="8" spans="1:21" ht="14.1" customHeight="1">
      <c r="A8" s="96">
        <v>9</v>
      </c>
      <c r="B8" s="62" t="s">
        <v>124</v>
      </c>
      <c r="C8" s="62" t="s">
        <v>415</v>
      </c>
      <c r="D8" s="96" t="s">
        <v>773</v>
      </c>
      <c r="E8" s="62" t="s">
        <v>399</v>
      </c>
      <c r="F8" s="96" t="s">
        <v>26</v>
      </c>
      <c r="G8" s="97" t="s">
        <v>4882</v>
      </c>
      <c r="H8" s="62" t="s">
        <v>3780</v>
      </c>
      <c r="I8" s="97" t="s">
        <v>4879</v>
      </c>
      <c r="J8" s="7" t="s">
        <v>30</v>
      </c>
      <c r="K8" s="98" t="s">
        <v>26</v>
      </c>
      <c r="L8" s="98" t="s">
        <v>322</v>
      </c>
      <c r="M8" s="98">
        <v>8302100000</v>
      </c>
      <c r="N8" s="98">
        <v>480</v>
      </c>
      <c r="O8" s="7">
        <v>45</v>
      </c>
      <c r="P8" s="7"/>
      <c r="R8" s="9">
        <v>40.966517674006631</v>
      </c>
      <c r="T8" s="7" t="s">
        <v>34</v>
      </c>
      <c r="U8" s="7" t="s">
        <v>34</v>
      </c>
    </row>
    <row r="9" spans="1:21" ht="14.1" customHeight="1">
      <c r="A9" s="96">
        <v>10</v>
      </c>
      <c r="B9" s="62" t="s">
        <v>124</v>
      </c>
      <c r="C9" s="62" t="s">
        <v>415</v>
      </c>
      <c r="D9" s="96" t="s">
        <v>773</v>
      </c>
      <c r="E9" s="62" t="s">
        <v>399</v>
      </c>
      <c r="F9" s="96" t="s">
        <v>26</v>
      </c>
      <c r="G9" s="97" t="s">
        <v>4883</v>
      </c>
      <c r="H9" s="62" t="s">
        <v>4878</v>
      </c>
      <c r="I9" s="97" t="s">
        <v>4884</v>
      </c>
      <c r="J9" s="7" t="s">
        <v>30</v>
      </c>
      <c r="K9" s="98" t="s">
        <v>1001</v>
      </c>
      <c r="L9" s="98" t="s">
        <v>322</v>
      </c>
      <c r="M9" s="98">
        <v>8302100000</v>
      </c>
      <c r="N9" s="98">
        <v>480</v>
      </c>
      <c r="O9" s="7">
        <v>45</v>
      </c>
      <c r="P9" s="7"/>
      <c r="R9" s="9">
        <v>50.197639656549462</v>
      </c>
      <c r="T9" s="7" t="s">
        <v>34</v>
      </c>
      <c r="U9" s="7" t="s">
        <v>34</v>
      </c>
    </row>
    <row r="10" spans="1:21" ht="14.1" customHeight="1">
      <c r="A10" s="96">
        <v>11</v>
      </c>
      <c r="B10" s="62" t="s">
        <v>124</v>
      </c>
      <c r="C10" s="62" t="s">
        <v>415</v>
      </c>
      <c r="D10" s="96" t="s">
        <v>773</v>
      </c>
      <c r="E10" s="62" t="s">
        <v>399</v>
      </c>
      <c r="F10" s="96" t="s">
        <v>26</v>
      </c>
      <c r="G10" s="97" t="s">
        <v>4885</v>
      </c>
      <c r="H10" s="62" t="s">
        <v>4881</v>
      </c>
      <c r="I10" s="97" t="s">
        <v>4884</v>
      </c>
      <c r="J10" s="7" t="s">
        <v>30</v>
      </c>
      <c r="K10" s="98" t="s">
        <v>1083</v>
      </c>
      <c r="L10" s="98" t="s">
        <v>322</v>
      </c>
      <c r="M10" s="98">
        <v>8302100000</v>
      </c>
      <c r="N10" s="98">
        <v>480</v>
      </c>
      <c r="O10" s="7">
        <v>45</v>
      </c>
      <c r="P10" s="7"/>
      <c r="R10" s="9">
        <v>43.424508734447031</v>
      </c>
      <c r="T10" s="7" t="s">
        <v>34</v>
      </c>
      <c r="U10" s="7" t="s">
        <v>34</v>
      </c>
    </row>
    <row r="11" spans="1:21" ht="14.1" customHeight="1">
      <c r="A11" s="96">
        <v>12</v>
      </c>
      <c r="B11" s="62" t="s">
        <v>124</v>
      </c>
      <c r="C11" s="62" t="s">
        <v>415</v>
      </c>
      <c r="D11" s="96" t="s">
        <v>773</v>
      </c>
      <c r="E11" s="62" t="s">
        <v>399</v>
      </c>
      <c r="F11" s="96" t="s">
        <v>26</v>
      </c>
      <c r="G11" s="97" t="s">
        <v>4886</v>
      </c>
      <c r="H11" s="62" t="s">
        <v>3780</v>
      </c>
      <c r="I11" s="97" t="s">
        <v>4884</v>
      </c>
      <c r="J11" s="7" t="s">
        <v>30</v>
      </c>
      <c r="K11" s="98" t="s">
        <v>26</v>
      </c>
      <c r="L11" s="98" t="s">
        <v>322</v>
      </c>
      <c r="M11" s="98">
        <v>8302100000</v>
      </c>
      <c r="N11" s="98">
        <v>480</v>
      </c>
      <c r="O11" s="7">
        <v>45</v>
      </c>
      <c r="P11" s="7"/>
      <c r="R11" s="9">
        <v>45.609389677060733</v>
      </c>
      <c r="T11" s="7" t="s">
        <v>34</v>
      </c>
      <c r="U11" s="7" t="s">
        <v>34</v>
      </c>
    </row>
    <row r="12" spans="1:21" ht="14.1" customHeight="1">
      <c r="A12" s="96">
        <v>13</v>
      </c>
      <c r="B12" s="62" t="s">
        <v>124</v>
      </c>
      <c r="C12" s="62" t="s">
        <v>415</v>
      </c>
      <c r="D12" s="96" t="s">
        <v>773</v>
      </c>
      <c r="E12" s="62" t="s">
        <v>399</v>
      </c>
      <c r="F12" s="96" t="s">
        <v>26</v>
      </c>
      <c r="G12" s="97" t="s">
        <v>4887</v>
      </c>
      <c r="H12" s="62" t="s">
        <v>4878</v>
      </c>
      <c r="I12" s="97" t="s">
        <v>4888</v>
      </c>
      <c r="J12" s="7" t="s">
        <v>30</v>
      </c>
      <c r="K12" s="98" t="s">
        <v>1001</v>
      </c>
      <c r="L12" s="98" t="s">
        <v>322</v>
      </c>
      <c r="M12" s="98">
        <v>8302100000</v>
      </c>
      <c r="N12" s="98">
        <v>360</v>
      </c>
      <c r="O12" s="7">
        <v>45</v>
      </c>
      <c r="P12" s="7"/>
      <c r="R12" s="9">
        <v>58.336321167785457</v>
      </c>
      <c r="T12" s="7" t="s">
        <v>34</v>
      </c>
      <c r="U12" s="7" t="s">
        <v>34</v>
      </c>
    </row>
    <row r="13" spans="1:21" ht="14.1" customHeight="1">
      <c r="A13" s="96">
        <v>14</v>
      </c>
      <c r="B13" s="62" t="s">
        <v>124</v>
      </c>
      <c r="C13" s="62" t="s">
        <v>415</v>
      </c>
      <c r="D13" s="96" t="s">
        <v>773</v>
      </c>
      <c r="E13" s="62" t="s">
        <v>399</v>
      </c>
      <c r="F13" s="96" t="s">
        <v>26</v>
      </c>
      <c r="G13" s="97" t="s">
        <v>4889</v>
      </c>
      <c r="H13" s="62" t="s">
        <v>4881</v>
      </c>
      <c r="I13" s="97" t="s">
        <v>4888</v>
      </c>
      <c r="J13" s="7" t="s">
        <v>30</v>
      </c>
      <c r="K13" s="98" t="s">
        <v>1083</v>
      </c>
      <c r="L13" s="98" t="s">
        <v>322</v>
      </c>
      <c r="M13" s="98">
        <v>8302100000</v>
      </c>
      <c r="N13" s="98">
        <v>360</v>
      </c>
      <c r="O13" s="7">
        <v>45</v>
      </c>
      <c r="P13" s="7"/>
      <c r="R13" s="9">
        <v>50.224950668332141</v>
      </c>
      <c r="T13" s="7" t="s">
        <v>34</v>
      </c>
      <c r="U13" s="7" t="s">
        <v>34</v>
      </c>
    </row>
    <row r="14" spans="1:21" ht="14.1" customHeight="1">
      <c r="A14" s="96">
        <v>15</v>
      </c>
      <c r="B14" s="62" t="s">
        <v>124</v>
      </c>
      <c r="C14" s="62" t="s">
        <v>415</v>
      </c>
      <c r="D14" s="96" t="s">
        <v>773</v>
      </c>
      <c r="E14" s="62" t="s">
        <v>399</v>
      </c>
      <c r="F14" s="96" t="s">
        <v>26</v>
      </c>
      <c r="G14" s="97" t="s">
        <v>4890</v>
      </c>
      <c r="H14" s="62" t="s">
        <v>4891</v>
      </c>
      <c r="I14" s="97" t="s">
        <v>4888</v>
      </c>
      <c r="J14" s="7" t="s">
        <v>30</v>
      </c>
      <c r="K14" s="98" t="s">
        <v>1426</v>
      </c>
      <c r="L14" s="98" t="s">
        <v>322</v>
      </c>
      <c r="M14" s="98">
        <v>8302100000</v>
      </c>
      <c r="N14" s="98">
        <v>360</v>
      </c>
      <c r="O14" s="7">
        <v>45</v>
      </c>
      <c r="P14" s="7"/>
      <c r="R14" s="9">
        <v>37.416086142259402</v>
      </c>
      <c r="T14" s="7" t="s">
        <v>34</v>
      </c>
      <c r="U14" s="7" t="s">
        <v>34</v>
      </c>
    </row>
    <row r="15" spans="1:21" ht="14.1" customHeight="1">
      <c r="A15" s="96">
        <v>16</v>
      </c>
      <c r="B15" s="62" t="s">
        <v>124</v>
      </c>
      <c r="C15" s="62" t="s">
        <v>415</v>
      </c>
      <c r="D15" s="96" t="s">
        <v>773</v>
      </c>
      <c r="E15" s="62" t="s">
        <v>399</v>
      </c>
      <c r="F15" s="96" t="s">
        <v>26</v>
      </c>
      <c r="G15" s="97" t="s">
        <v>4892</v>
      </c>
      <c r="H15" s="62" t="s">
        <v>3780</v>
      </c>
      <c r="I15" s="97" t="s">
        <v>4888</v>
      </c>
      <c r="J15" s="7" t="s">
        <v>30</v>
      </c>
      <c r="K15" s="98" t="s">
        <v>26</v>
      </c>
      <c r="L15" s="98" t="s">
        <v>322</v>
      </c>
      <c r="M15" s="98">
        <v>8302100000</v>
      </c>
      <c r="N15" s="98">
        <v>360</v>
      </c>
      <c r="O15" s="7">
        <v>45</v>
      </c>
      <c r="P15" s="7"/>
      <c r="R15" s="9">
        <v>51.945544410640423</v>
      </c>
      <c r="T15" s="7" t="s">
        <v>34</v>
      </c>
      <c r="U15" s="7" t="s">
        <v>34</v>
      </c>
    </row>
    <row r="16" spans="1:21" ht="14.1" customHeight="1">
      <c r="A16" s="96">
        <v>17</v>
      </c>
      <c r="B16" s="62" t="s">
        <v>124</v>
      </c>
      <c r="C16" s="62" t="s">
        <v>415</v>
      </c>
      <c r="D16" s="96" t="s">
        <v>773</v>
      </c>
      <c r="E16" s="62" t="s">
        <v>399</v>
      </c>
      <c r="F16" s="96" t="s">
        <v>26</v>
      </c>
      <c r="G16" s="97" t="s">
        <v>4893</v>
      </c>
      <c r="H16" s="62" t="s">
        <v>4878</v>
      </c>
      <c r="I16" s="97" t="s">
        <v>4894</v>
      </c>
      <c r="J16" s="7" t="s">
        <v>30</v>
      </c>
      <c r="K16" s="98" t="s">
        <v>1001</v>
      </c>
      <c r="L16" s="98" t="s">
        <v>322</v>
      </c>
      <c r="M16" s="98">
        <v>8302100000</v>
      </c>
      <c r="N16" s="98">
        <v>360</v>
      </c>
      <c r="O16" s="7">
        <v>45</v>
      </c>
      <c r="P16" s="7"/>
      <c r="R16" s="9">
        <v>70.544343434639416</v>
      </c>
      <c r="T16" s="7" t="s">
        <v>34</v>
      </c>
      <c r="U16" s="7" t="s">
        <v>34</v>
      </c>
    </row>
    <row r="17" spans="1:21" ht="14.1" customHeight="1">
      <c r="A17" s="96">
        <v>18</v>
      </c>
      <c r="B17" s="62" t="s">
        <v>124</v>
      </c>
      <c r="C17" s="62" t="s">
        <v>415</v>
      </c>
      <c r="D17" s="96" t="s">
        <v>773</v>
      </c>
      <c r="E17" s="62" t="s">
        <v>399</v>
      </c>
      <c r="F17" s="96" t="s">
        <v>26</v>
      </c>
      <c r="G17" s="97" t="s">
        <v>4895</v>
      </c>
      <c r="H17" s="62" t="s">
        <v>4881</v>
      </c>
      <c r="I17" s="97" t="s">
        <v>4894</v>
      </c>
      <c r="J17" s="7" t="s">
        <v>30</v>
      </c>
      <c r="K17" s="98" t="s">
        <v>1083</v>
      </c>
      <c r="L17" s="98" t="s">
        <v>322</v>
      </c>
      <c r="M17" s="98">
        <v>8302100000</v>
      </c>
      <c r="N17" s="98">
        <v>360</v>
      </c>
      <c r="O17" s="7">
        <v>45</v>
      </c>
      <c r="P17" s="7"/>
      <c r="R17" s="9">
        <v>65.300629172366584</v>
      </c>
      <c r="T17" s="7" t="s">
        <v>34</v>
      </c>
      <c r="U17" s="7" t="s">
        <v>34</v>
      </c>
    </row>
    <row r="18" spans="1:21" ht="14.1" customHeight="1">
      <c r="A18" s="96">
        <v>19</v>
      </c>
      <c r="B18" s="62" t="s">
        <v>124</v>
      </c>
      <c r="C18" s="62" t="s">
        <v>415</v>
      </c>
      <c r="D18" s="96" t="s">
        <v>773</v>
      </c>
      <c r="E18" s="62" t="s">
        <v>399</v>
      </c>
      <c r="F18" s="96" t="s">
        <v>26</v>
      </c>
      <c r="G18" s="97" t="s">
        <v>4896</v>
      </c>
      <c r="H18" s="62" t="s">
        <v>4891</v>
      </c>
      <c r="I18" s="97" t="s">
        <v>4894</v>
      </c>
      <c r="J18" s="7" t="s">
        <v>30</v>
      </c>
      <c r="K18" s="98" t="s">
        <v>1426</v>
      </c>
      <c r="L18" s="98" t="s">
        <v>322</v>
      </c>
      <c r="M18" s="98">
        <v>8302100000</v>
      </c>
      <c r="N18" s="98">
        <v>360</v>
      </c>
      <c r="O18" s="7">
        <v>45</v>
      </c>
      <c r="P18" s="7"/>
      <c r="R18" s="9">
        <v>47.876203655022422</v>
      </c>
      <c r="T18" s="7" t="s">
        <v>34</v>
      </c>
      <c r="U18" s="7" t="s">
        <v>34</v>
      </c>
    </row>
    <row r="19" spans="1:21" ht="14.1" customHeight="1">
      <c r="A19" s="96">
        <v>20</v>
      </c>
      <c r="B19" s="62" t="s">
        <v>124</v>
      </c>
      <c r="C19" s="62" t="s">
        <v>415</v>
      </c>
      <c r="D19" s="96" t="s">
        <v>773</v>
      </c>
      <c r="E19" s="62" t="s">
        <v>399</v>
      </c>
      <c r="F19" s="96" t="s">
        <v>26</v>
      </c>
      <c r="G19" s="97" t="s">
        <v>4897</v>
      </c>
      <c r="H19" s="62" t="s">
        <v>3780</v>
      </c>
      <c r="I19" s="97" t="s">
        <v>4894</v>
      </c>
      <c r="J19" s="7" t="s">
        <v>30</v>
      </c>
      <c r="K19" s="98" t="s">
        <v>26</v>
      </c>
      <c r="L19" s="98" t="s">
        <v>322</v>
      </c>
      <c r="M19" s="98">
        <v>8302100000</v>
      </c>
      <c r="N19" s="98">
        <v>360</v>
      </c>
      <c r="O19" s="7">
        <v>45</v>
      </c>
      <c r="P19" s="7"/>
      <c r="R19" s="9">
        <v>63.552724418275623</v>
      </c>
      <c r="T19" s="7" t="s">
        <v>34</v>
      </c>
      <c r="U19" s="7" t="s">
        <v>34</v>
      </c>
    </row>
    <row r="20" spans="1:21" ht="14.1" customHeight="1">
      <c r="A20" s="96">
        <v>21</v>
      </c>
      <c r="B20" s="62" t="s">
        <v>124</v>
      </c>
      <c r="C20" s="62" t="s">
        <v>415</v>
      </c>
      <c r="D20" s="96" t="s">
        <v>773</v>
      </c>
      <c r="E20" s="62" t="s">
        <v>399</v>
      </c>
      <c r="F20" s="96" t="s">
        <v>26</v>
      </c>
      <c r="G20" s="97" t="s">
        <v>4898</v>
      </c>
      <c r="H20" s="62" t="s">
        <v>4881</v>
      </c>
      <c r="I20" s="97" t="s">
        <v>4899</v>
      </c>
      <c r="J20" s="7" t="s">
        <v>30</v>
      </c>
      <c r="K20" s="98" t="s">
        <v>1083</v>
      </c>
      <c r="L20" s="98" t="s">
        <v>322</v>
      </c>
      <c r="M20" s="98">
        <v>8302100000</v>
      </c>
      <c r="N20" s="98">
        <v>360</v>
      </c>
      <c r="O20" s="7">
        <v>45</v>
      </c>
      <c r="P20" s="7"/>
      <c r="R20" s="9">
        <v>114.21465127513051</v>
      </c>
      <c r="T20" s="7" t="s">
        <v>34</v>
      </c>
      <c r="U20" s="7" t="s">
        <v>34</v>
      </c>
    </row>
    <row r="21" spans="1:21" ht="14.1" customHeight="1">
      <c r="A21" s="96">
        <v>22</v>
      </c>
      <c r="B21" s="62" t="s">
        <v>124</v>
      </c>
      <c r="C21" s="62" t="s">
        <v>415</v>
      </c>
      <c r="D21" s="96" t="s">
        <v>773</v>
      </c>
      <c r="E21" s="62" t="s">
        <v>399</v>
      </c>
      <c r="F21" s="96" t="s">
        <v>26</v>
      </c>
      <c r="G21" s="97" t="s">
        <v>4900</v>
      </c>
      <c r="H21" s="62" t="s">
        <v>4891</v>
      </c>
      <c r="I21" s="97" t="s">
        <v>4899</v>
      </c>
      <c r="J21" s="7" t="s">
        <v>30</v>
      </c>
      <c r="K21" s="98" t="s">
        <v>1426</v>
      </c>
      <c r="L21" s="98" t="s">
        <v>322</v>
      </c>
      <c r="M21" s="98">
        <v>8302100000</v>
      </c>
      <c r="N21" s="98">
        <v>360</v>
      </c>
      <c r="O21" s="7">
        <v>45</v>
      </c>
      <c r="P21" s="7"/>
      <c r="R21" s="9">
        <v>87.504481751678171</v>
      </c>
      <c r="T21" s="7" t="s">
        <v>34</v>
      </c>
      <c r="U21" s="7" t="s">
        <v>34</v>
      </c>
    </row>
    <row r="22" spans="1:21" ht="14.1" customHeight="1">
      <c r="A22" s="96">
        <v>23</v>
      </c>
      <c r="B22" s="62" t="s">
        <v>124</v>
      </c>
      <c r="C22" s="62" t="s">
        <v>415</v>
      </c>
      <c r="D22" s="96" t="s">
        <v>773</v>
      </c>
      <c r="E22" s="62" t="s">
        <v>399</v>
      </c>
      <c r="F22" s="96" t="s">
        <v>26</v>
      </c>
      <c r="G22" s="97" t="s">
        <v>4901</v>
      </c>
      <c r="H22" s="62" t="s">
        <v>3780</v>
      </c>
      <c r="I22" s="97" t="s">
        <v>4899</v>
      </c>
      <c r="J22" s="7" t="s">
        <v>30</v>
      </c>
      <c r="K22" s="98" t="s">
        <v>26</v>
      </c>
      <c r="L22" s="98" t="s">
        <v>322</v>
      </c>
      <c r="M22" s="98">
        <v>8302100000</v>
      </c>
      <c r="N22" s="98">
        <v>360</v>
      </c>
      <c r="O22" s="7">
        <v>45</v>
      </c>
      <c r="P22" s="7"/>
      <c r="R22" s="9">
        <v>112.3848134856915</v>
      </c>
      <c r="T22" s="7" t="s">
        <v>34</v>
      </c>
      <c r="U22" s="7" t="s">
        <v>34</v>
      </c>
    </row>
    <row r="23" spans="1:21" ht="14.1" customHeight="1">
      <c r="A23" s="96">
        <v>24</v>
      </c>
      <c r="B23" s="62" t="s">
        <v>124</v>
      </c>
      <c r="C23" s="62" t="s">
        <v>415</v>
      </c>
      <c r="D23" s="96" t="s">
        <v>773</v>
      </c>
      <c r="E23" s="62" t="s">
        <v>399</v>
      </c>
      <c r="F23" s="96" t="s">
        <v>26</v>
      </c>
      <c r="G23" s="97" t="s">
        <v>4902</v>
      </c>
      <c r="H23" s="62" t="s">
        <v>4878</v>
      </c>
      <c r="I23" s="97" t="s">
        <v>4903</v>
      </c>
      <c r="J23" s="7" t="s">
        <v>30</v>
      </c>
      <c r="K23" s="98" t="s">
        <v>1001</v>
      </c>
      <c r="L23" s="98" t="s">
        <v>322</v>
      </c>
      <c r="M23" s="98">
        <v>8302100000</v>
      </c>
      <c r="N23" s="98">
        <v>360</v>
      </c>
      <c r="O23" s="7">
        <v>45</v>
      </c>
      <c r="P23" s="7"/>
      <c r="R23" s="9">
        <v>163.10136236611169</v>
      </c>
      <c r="T23" s="7" t="s">
        <v>34</v>
      </c>
      <c r="U23" s="7" t="s">
        <v>34</v>
      </c>
    </row>
    <row r="24" spans="1:21" ht="14.1" customHeight="1">
      <c r="A24" s="96">
        <v>25</v>
      </c>
      <c r="B24" s="62" t="s">
        <v>124</v>
      </c>
      <c r="C24" s="62" t="s">
        <v>415</v>
      </c>
      <c r="D24" s="96" t="s">
        <v>773</v>
      </c>
      <c r="E24" s="62" t="s">
        <v>399</v>
      </c>
      <c r="F24" s="96" t="s">
        <v>26</v>
      </c>
      <c r="G24" s="97" t="s">
        <v>4904</v>
      </c>
      <c r="H24" s="62" t="s">
        <v>4881</v>
      </c>
      <c r="I24" s="97" t="s">
        <v>4903</v>
      </c>
      <c r="J24" s="7" t="s">
        <v>30</v>
      </c>
      <c r="K24" s="98" t="s">
        <v>1083</v>
      </c>
      <c r="L24" s="98" t="s">
        <v>322</v>
      </c>
      <c r="M24" s="98">
        <v>8302100000</v>
      </c>
      <c r="N24" s="98">
        <v>360</v>
      </c>
      <c r="O24" s="7">
        <v>45</v>
      </c>
      <c r="P24" s="7"/>
      <c r="R24" s="9">
        <v>153.8975513953516</v>
      </c>
      <c r="T24" s="7" t="s">
        <v>34</v>
      </c>
      <c r="U24" s="7" t="s">
        <v>34</v>
      </c>
    </row>
    <row r="25" spans="1:21" ht="14.1" customHeight="1">
      <c r="A25" s="96">
        <v>26</v>
      </c>
      <c r="B25" s="62" t="s">
        <v>124</v>
      </c>
      <c r="C25" s="62" t="s">
        <v>415</v>
      </c>
      <c r="D25" s="96" t="s">
        <v>773</v>
      </c>
      <c r="E25" s="62" t="s">
        <v>399</v>
      </c>
      <c r="F25" s="96" t="s">
        <v>26</v>
      </c>
      <c r="G25" s="97" t="s">
        <v>4905</v>
      </c>
      <c r="H25" s="62" t="s">
        <v>4891</v>
      </c>
      <c r="I25" s="97" t="s">
        <v>4903</v>
      </c>
      <c r="J25" s="7" t="s">
        <v>30</v>
      </c>
      <c r="K25" s="98" t="s">
        <v>1426</v>
      </c>
      <c r="L25" s="98" t="s">
        <v>322</v>
      </c>
      <c r="M25" s="98">
        <v>8302100000</v>
      </c>
      <c r="N25" s="98">
        <v>360</v>
      </c>
      <c r="O25" s="7">
        <v>45</v>
      </c>
      <c r="P25" s="7"/>
      <c r="R25" s="9">
        <v>112.6579236035182</v>
      </c>
      <c r="T25" s="7" t="s">
        <v>34</v>
      </c>
      <c r="U25" s="7" t="s">
        <v>34</v>
      </c>
    </row>
    <row r="26" spans="1:21" ht="14.1" customHeight="1">
      <c r="A26" s="96">
        <v>27</v>
      </c>
      <c r="B26" s="62" t="s">
        <v>124</v>
      </c>
      <c r="C26" s="62" t="s">
        <v>415</v>
      </c>
      <c r="D26" s="96" t="s">
        <v>773</v>
      </c>
      <c r="E26" s="62" t="s">
        <v>399</v>
      </c>
      <c r="F26" s="96" t="s">
        <v>26</v>
      </c>
      <c r="G26" s="97" t="s">
        <v>4906</v>
      </c>
      <c r="H26" s="62" t="s">
        <v>4891</v>
      </c>
      <c r="I26" s="97" t="s">
        <v>4907</v>
      </c>
      <c r="J26" s="7" t="s">
        <v>30</v>
      </c>
      <c r="K26" s="98" t="s">
        <v>1426</v>
      </c>
      <c r="L26" s="98" t="s">
        <v>322</v>
      </c>
      <c r="M26" s="98">
        <v>8302100000</v>
      </c>
      <c r="N26" s="98">
        <v>360</v>
      </c>
      <c r="O26" s="7">
        <v>45</v>
      </c>
      <c r="P26" s="7"/>
      <c r="R26" s="9">
        <v>409.66517674006639</v>
      </c>
      <c r="T26" s="7" t="s">
        <v>34</v>
      </c>
      <c r="U26" s="7" t="s">
        <v>34</v>
      </c>
    </row>
    <row r="27" spans="1:21" ht="14.1" customHeight="1">
      <c r="A27" s="96">
        <v>28</v>
      </c>
      <c r="B27" s="62" t="s">
        <v>124</v>
      </c>
      <c r="C27" s="62" t="s">
        <v>415</v>
      </c>
      <c r="D27" s="96" t="s">
        <v>773</v>
      </c>
      <c r="E27" s="62" t="s">
        <v>399</v>
      </c>
      <c r="F27" s="96" t="s">
        <v>26</v>
      </c>
      <c r="G27" s="97" t="s">
        <v>4908</v>
      </c>
      <c r="H27" s="62" t="s">
        <v>3780</v>
      </c>
      <c r="I27" s="97" t="s">
        <v>4907</v>
      </c>
      <c r="J27" s="7" t="s">
        <v>30</v>
      </c>
      <c r="K27" s="98" t="s">
        <v>26</v>
      </c>
      <c r="L27" s="98" t="s">
        <v>322</v>
      </c>
      <c r="M27" s="98">
        <v>8302100000</v>
      </c>
      <c r="N27" s="98">
        <v>360</v>
      </c>
      <c r="O27" s="7">
        <v>45</v>
      </c>
      <c r="P27" s="7"/>
      <c r="R27" s="9">
        <v>458.82499794887428</v>
      </c>
      <c r="T27" s="7" t="s">
        <v>34</v>
      </c>
      <c r="U27" s="7" t="s">
        <v>34</v>
      </c>
    </row>
    <row r="28" spans="1:21" ht="14.1" customHeight="1">
      <c r="A28" s="96">
        <v>29</v>
      </c>
      <c r="B28" s="62" t="s">
        <v>124</v>
      </c>
      <c r="C28" s="62" t="s">
        <v>415</v>
      </c>
      <c r="D28" s="96" t="s">
        <v>773</v>
      </c>
      <c r="E28" s="62" t="s">
        <v>399</v>
      </c>
      <c r="F28" s="96" t="s">
        <v>26</v>
      </c>
      <c r="G28" s="97" t="s">
        <v>4909</v>
      </c>
      <c r="H28" s="62" t="s">
        <v>4891</v>
      </c>
      <c r="I28" s="97" t="s">
        <v>4910</v>
      </c>
      <c r="J28" s="7" t="s">
        <v>30</v>
      </c>
      <c r="K28" s="98" t="s">
        <v>1426</v>
      </c>
      <c r="L28" s="98" t="s">
        <v>322</v>
      </c>
      <c r="M28" s="98">
        <v>8302100000</v>
      </c>
      <c r="N28" s="98">
        <v>360</v>
      </c>
      <c r="O28" s="7">
        <v>45</v>
      </c>
      <c r="P28" s="7"/>
      <c r="R28" s="9">
        <v>436.97618852273752</v>
      </c>
      <c r="T28" s="7" t="s">
        <v>34</v>
      </c>
      <c r="U28" s="7" t="s">
        <v>34</v>
      </c>
    </row>
    <row r="29" spans="1:21" ht="14.1" customHeight="1">
      <c r="A29" s="96">
        <v>30</v>
      </c>
      <c r="B29" s="62" t="s">
        <v>124</v>
      </c>
      <c r="C29" s="62" t="s">
        <v>415</v>
      </c>
      <c r="D29" s="96" t="s">
        <v>773</v>
      </c>
      <c r="E29" s="62" t="s">
        <v>399</v>
      </c>
      <c r="F29" s="96" t="s">
        <v>26</v>
      </c>
      <c r="G29" s="97" t="s">
        <v>4911</v>
      </c>
      <c r="H29" s="62" t="s">
        <v>3780</v>
      </c>
      <c r="I29" s="97" t="s">
        <v>4910</v>
      </c>
      <c r="J29" s="7" t="s">
        <v>30</v>
      </c>
      <c r="K29" s="98" t="s">
        <v>26</v>
      </c>
      <c r="L29" s="98" t="s">
        <v>322</v>
      </c>
      <c r="M29" s="98">
        <v>8302100000</v>
      </c>
      <c r="N29" s="98">
        <v>360</v>
      </c>
      <c r="O29" s="7">
        <v>45</v>
      </c>
      <c r="P29" s="7"/>
      <c r="R29" s="9">
        <v>513.44702151421654</v>
      </c>
      <c r="T29" s="7" t="s">
        <v>34</v>
      </c>
      <c r="U29" s="7" t="s">
        <v>34</v>
      </c>
    </row>
    <row r="30" spans="1:21" ht="14.1" customHeight="1">
      <c r="A30" s="96">
        <v>31</v>
      </c>
      <c r="B30" s="62" t="s">
        <v>124</v>
      </c>
      <c r="C30" s="62" t="s">
        <v>415</v>
      </c>
      <c r="D30" s="96" t="s">
        <v>773</v>
      </c>
      <c r="E30" s="62" t="s">
        <v>399</v>
      </c>
      <c r="F30" s="96" t="s">
        <v>26</v>
      </c>
      <c r="G30" s="97" t="s">
        <v>4912</v>
      </c>
      <c r="H30" s="62" t="s">
        <v>4891</v>
      </c>
      <c r="I30" s="97" t="s">
        <v>4913</v>
      </c>
      <c r="J30" s="7" t="s">
        <v>30</v>
      </c>
      <c r="K30" s="98" t="s">
        <v>1426</v>
      </c>
      <c r="L30" s="98" t="s">
        <v>322</v>
      </c>
      <c r="M30" s="98">
        <v>8302100000</v>
      </c>
      <c r="N30" s="98">
        <v>360</v>
      </c>
      <c r="O30" s="7">
        <v>45</v>
      </c>
      <c r="P30" s="7"/>
      <c r="R30" s="9">
        <v>464.28720030540848</v>
      </c>
      <c r="T30" s="7" t="s">
        <v>34</v>
      </c>
      <c r="U30" s="7" t="s">
        <v>34</v>
      </c>
    </row>
    <row r="31" spans="1:21" ht="14.1" customHeight="1">
      <c r="A31" s="96">
        <v>32</v>
      </c>
      <c r="B31" s="62" t="s">
        <v>124</v>
      </c>
      <c r="C31" s="62" t="s">
        <v>415</v>
      </c>
      <c r="D31" s="96" t="s">
        <v>773</v>
      </c>
      <c r="E31" s="62" t="s">
        <v>399</v>
      </c>
      <c r="F31" s="96" t="s">
        <v>26</v>
      </c>
      <c r="G31" s="97" t="s">
        <v>4914</v>
      </c>
      <c r="H31" s="62" t="s">
        <v>3780</v>
      </c>
      <c r="I31" s="97" t="s">
        <v>4913</v>
      </c>
      <c r="J31" s="7" t="s">
        <v>30</v>
      </c>
      <c r="K31" s="98" t="s">
        <v>26</v>
      </c>
      <c r="L31" s="98" t="s">
        <v>322</v>
      </c>
      <c r="M31" s="98">
        <v>8302100000</v>
      </c>
      <c r="N31" s="98">
        <v>360</v>
      </c>
      <c r="O31" s="7">
        <v>45</v>
      </c>
      <c r="P31" s="7"/>
      <c r="R31" s="9">
        <v>546.22023565342181</v>
      </c>
      <c r="T31" s="7" t="s">
        <v>34</v>
      </c>
      <c r="U31" s="7" t="s">
        <v>34</v>
      </c>
    </row>
    <row r="32" spans="1:21" ht="14.1" customHeight="1">
      <c r="A32" s="96">
        <v>33</v>
      </c>
      <c r="B32" s="62" t="s">
        <v>124</v>
      </c>
      <c r="C32" s="62" t="s">
        <v>415</v>
      </c>
      <c r="D32" s="96" t="s">
        <v>773</v>
      </c>
      <c r="E32" s="62" t="s">
        <v>399</v>
      </c>
      <c r="F32" s="96" t="s">
        <v>26</v>
      </c>
      <c r="G32" s="97" t="s">
        <v>4915</v>
      </c>
      <c r="H32" s="62" t="s">
        <v>4891</v>
      </c>
      <c r="I32" s="97" t="s">
        <v>4916</v>
      </c>
      <c r="J32" s="7" t="s">
        <v>30</v>
      </c>
      <c r="K32" s="98" t="s">
        <v>1426</v>
      </c>
      <c r="L32" s="98" t="s">
        <v>322</v>
      </c>
      <c r="M32" s="98">
        <v>8302100000</v>
      </c>
      <c r="N32" s="98">
        <v>360</v>
      </c>
      <c r="O32" s="7">
        <v>45</v>
      </c>
      <c r="P32" s="7"/>
      <c r="R32" s="9">
        <v>436.97618852273752</v>
      </c>
      <c r="T32" s="7" t="s">
        <v>34</v>
      </c>
      <c r="U32" s="7" t="s">
        <v>34</v>
      </c>
    </row>
    <row r="33" spans="1:21" ht="14.1" customHeight="1">
      <c r="A33" s="96">
        <v>34</v>
      </c>
      <c r="B33" s="62" t="s">
        <v>124</v>
      </c>
      <c r="C33" s="62" t="s">
        <v>415</v>
      </c>
      <c r="D33" s="96" t="s">
        <v>773</v>
      </c>
      <c r="E33" s="62" t="s">
        <v>399</v>
      </c>
      <c r="F33" s="96" t="s">
        <v>26</v>
      </c>
      <c r="G33" s="97" t="s">
        <v>4917</v>
      </c>
      <c r="H33" s="62" t="s">
        <v>3780</v>
      </c>
      <c r="I33" s="97" t="s">
        <v>4916</v>
      </c>
      <c r="J33" s="7" t="s">
        <v>30</v>
      </c>
      <c r="K33" s="98" t="s">
        <v>26</v>
      </c>
      <c r="L33" s="98" t="s">
        <v>322</v>
      </c>
      <c r="M33" s="98">
        <v>8302100000</v>
      </c>
      <c r="N33" s="98">
        <v>360</v>
      </c>
      <c r="O33" s="7">
        <v>45</v>
      </c>
      <c r="P33" s="7"/>
      <c r="R33" s="9">
        <v>486.13600973154541</v>
      </c>
      <c r="T33" s="7" t="s">
        <v>34</v>
      </c>
      <c r="U33" s="7" t="s">
        <v>34</v>
      </c>
    </row>
    <row r="34" spans="1:21" ht="14.1" customHeight="1">
      <c r="A34" s="96">
        <v>35</v>
      </c>
      <c r="B34" s="62" t="s">
        <v>124</v>
      </c>
      <c r="C34" s="62" t="s">
        <v>415</v>
      </c>
      <c r="D34" s="96" t="s">
        <v>773</v>
      </c>
      <c r="E34" s="62" t="s">
        <v>399</v>
      </c>
      <c r="F34" s="96" t="s">
        <v>26</v>
      </c>
      <c r="G34" s="97" t="s">
        <v>4918</v>
      </c>
      <c r="H34" s="62" t="s">
        <v>4891</v>
      </c>
      <c r="I34" s="97" t="s">
        <v>4919</v>
      </c>
      <c r="J34" s="7" t="s">
        <v>30</v>
      </c>
      <c r="K34" s="98" t="s">
        <v>1426</v>
      </c>
      <c r="L34" s="98" t="s">
        <v>322</v>
      </c>
      <c r="M34" s="98">
        <v>8302100000</v>
      </c>
      <c r="N34" s="98">
        <v>360</v>
      </c>
      <c r="O34" s="7">
        <v>45</v>
      </c>
      <c r="P34" s="7"/>
      <c r="R34" s="9">
        <v>464.28720030540848</v>
      </c>
      <c r="T34" s="7" t="s">
        <v>34</v>
      </c>
      <c r="U34" s="7" t="s">
        <v>34</v>
      </c>
    </row>
    <row r="35" spans="1:21" ht="14.1" customHeight="1">
      <c r="A35" s="96">
        <v>36</v>
      </c>
      <c r="B35" s="62" t="s">
        <v>124</v>
      </c>
      <c r="C35" s="62" t="s">
        <v>415</v>
      </c>
      <c r="D35" s="96" t="s">
        <v>773</v>
      </c>
      <c r="E35" s="62" t="s">
        <v>399</v>
      </c>
      <c r="F35" s="96" t="s">
        <v>26</v>
      </c>
      <c r="G35" s="97" t="s">
        <v>4920</v>
      </c>
      <c r="H35" s="62" t="s">
        <v>3780</v>
      </c>
      <c r="I35" s="97" t="s">
        <v>4919</v>
      </c>
      <c r="J35" s="7" t="s">
        <v>30</v>
      </c>
      <c r="K35" s="98" t="s">
        <v>26</v>
      </c>
      <c r="L35" s="98" t="s">
        <v>322</v>
      </c>
      <c r="M35" s="98">
        <v>8302100000</v>
      </c>
      <c r="N35" s="98">
        <v>360</v>
      </c>
      <c r="O35" s="7">
        <v>45</v>
      </c>
      <c r="P35" s="7"/>
      <c r="R35" s="9">
        <v>513.44702151421654</v>
      </c>
      <c r="T35" s="7" t="s">
        <v>34</v>
      </c>
      <c r="U35" s="7" t="s">
        <v>34</v>
      </c>
    </row>
    <row r="36" spans="1:21" ht="14.1" customHeight="1">
      <c r="A36" s="96">
        <v>37</v>
      </c>
      <c r="B36" s="62" t="s">
        <v>124</v>
      </c>
      <c r="C36" s="62" t="s">
        <v>415</v>
      </c>
      <c r="D36" s="96" t="s">
        <v>773</v>
      </c>
      <c r="E36" s="62" t="s">
        <v>399</v>
      </c>
      <c r="F36" s="96" t="s">
        <v>26</v>
      </c>
      <c r="G36" s="97" t="s">
        <v>4921</v>
      </c>
      <c r="H36" s="62" t="s">
        <v>4891</v>
      </c>
      <c r="I36" s="97" t="s">
        <v>4922</v>
      </c>
      <c r="J36" s="7" t="s">
        <v>30</v>
      </c>
      <c r="K36" s="98" t="s">
        <v>1426</v>
      </c>
      <c r="L36" s="98" t="s">
        <v>322</v>
      </c>
      <c r="M36" s="98">
        <v>8302100000</v>
      </c>
      <c r="N36" s="98">
        <v>360</v>
      </c>
      <c r="O36" s="7">
        <v>45</v>
      </c>
      <c r="P36" s="7"/>
      <c r="R36" s="9">
        <v>491.59821208807972</v>
      </c>
      <c r="T36" s="7" t="s">
        <v>34</v>
      </c>
      <c r="U36" s="7" t="s">
        <v>34</v>
      </c>
    </row>
    <row r="37" spans="1:21" ht="14.1" customHeight="1">
      <c r="A37" s="96">
        <v>38</v>
      </c>
      <c r="B37" s="62" t="s">
        <v>124</v>
      </c>
      <c r="C37" s="62" t="s">
        <v>415</v>
      </c>
      <c r="D37" s="96" t="s">
        <v>773</v>
      </c>
      <c r="E37" s="62" t="s">
        <v>399</v>
      </c>
      <c r="F37" s="96" t="s">
        <v>26</v>
      </c>
      <c r="G37" s="97" t="s">
        <v>4923</v>
      </c>
      <c r="H37" s="62" t="s">
        <v>3780</v>
      </c>
      <c r="I37" s="97" t="s">
        <v>4922</v>
      </c>
      <c r="J37" s="7" t="s">
        <v>30</v>
      </c>
      <c r="K37" s="98" t="s">
        <v>26</v>
      </c>
      <c r="L37" s="98" t="s">
        <v>322</v>
      </c>
      <c r="M37" s="98">
        <v>8302100000</v>
      </c>
      <c r="N37" s="98">
        <v>360</v>
      </c>
      <c r="O37" s="7">
        <v>45</v>
      </c>
      <c r="P37" s="7"/>
      <c r="R37" s="9">
        <v>551.68243800995594</v>
      </c>
      <c r="T37" s="7" t="s">
        <v>34</v>
      </c>
      <c r="U37" s="7" t="s">
        <v>34</v>
      </c>
    </row>
    <row r="38" spans="1:21" ht="14.1" customHeight="1">
      <c r="A38" s="96">
        <v>39</v>
      </c>
      <c r="B38" s="62" t="s">
        <v>124</v>
      </c>
      <c r="C38" s="62" t="s">
        <v>415</v>
      </c>
      <c r="D38" s="96" t="s">
        <v>773</v>
      </c>
      <c r="E38" s="62" t="s">
        <v>399</v>
      </c>
      <c r="F38" s="96" t="s">
        <v>26</v>
      </c>
      <c r="G38" s="97" t="s">
        <v>4924</v>
      </c>
      <c r="H38" s="62" t="s">
        <v>4925</v>
      </c>
      <c r="I38" s="97" t="s">
        <v>4926</v>
      </c>
      <c r="J38" s="7" t="s">
        <v>30</v>
      </c>
      <c r="K38" s="98" t="s">
        <v>2329</v>
      </c>
      <c r="L38" s="98" t="s">
        <v>322</v>
      </c>
      <c r="M38" s="98">
        <v>8302100000</v>
      </c>
      <c r="N38" s="98">
        <v>100</v>
      </c>
      <c r="O38" s="7">
        <v>45</v>
      </c>
      <c r="P38" s="7"/>
      <c r="R38" s="9">
        <v>26.46437041740829</v>
      </c>
      <c r="T38" s="7" t="s">
        <v>34</v>
      </c>
      <c r="U38" s="7" t="s">
        <v>34</v>
      </c>
    </row>
    <row r="39" spans="1:21" ht="14.1" customHeight="1">
      <c r="A39" s="96">
        <v>40</v>
      </c>
      <c r="B39" s="62" t="s">
        <v>124</v>
      </c>
      <c r="C39" s="62" t="s">
        <v>415</v>
      </c>
      <c r="D39" s="96" t="s">
        <v>773</v>
      </c>
      <c r="E39" s="62" t="s">
        <v>399</v>
      </c>
      <c r="F39" s="96" t="s">
        <v>26</v>
      </c>
      <c r="G39" s="97" t="s">
        <v>4927</v>
      </c>
      <c r="H39" s="62" t="s">
        <v>4925</v>
      </c>
      <c r="I39" s="97" t="s">
        <v>4928</v>
      </c>
      <c r="J39" s="7" t="s">
        <v>30</v>
      </c>
      <c r="K39" s="98" t="s">
        <v>2329</v>
      </c>
      <c r="L39" s="98" t="s">
        <v>322</v>
      </c>
      <c r="M39" s="98">
        <v>8302100000</v>
      </c>
      <c r="N39" s="98">
        <v>100</v>
      </c>
      <c r="O39" s="7">
        <v>45</v>
      </c>
      <c r="P39" s="7"/>
      <c r="R39" s="9">
        <v>18.871909141825721</v>
      </c>
      <c r="T39" s="7" t="s">
        <v>34</v>
      </c>
      <c r="U39" s="7" t="s">
        <v>34</v>
      </c>
    </row>
    <row r="40" spans="1:21" ht="14.1" customHeight="1">
      <c r="A40" s="96">
        <v>41</v>
      </c>
      <c r="B40" s="62" t="s">
        <v>124</v>
      </c>
      <c r="C40" s="62" t="s">
        <v>415</v>
      </c>
      <c r="D40" s="96" t="s">
        <v>773</v>
      </c>
      <c r="E40" s="62" t="s">
        <v>399</v>
      </c>
      <c r="F40" s="96" t="s">
        <v>26</v>
      </c>
      <c r="G40" s="97" t="s">
        <v>4929</v>
      </c>
      <c r="H40" s="62" t="s">
        <v>4925</v>
      </c>
      <c r="I40" s="97" t="s">
        <v>4930</v>
      </c>
      <c r="J40" s="7" t="s">
        <v>30</v>
      </c>
      <c r="K40" s="98" t="s">
        <v>2329</v>
      </c>
      <c r="L40" s="98" t="s">
        <v>322</v>
      </c>
      <c r="M40" s="98">
        <v>8302100000</v>
      </c>
      <c r="N40" s="98">
        <v>100</v>
      </c>
      <c r="O40" s="7">
        <v>45</v>
      </c>
      <c r="P40" s="7"/>
      <c r="R40" s="9">
        <v>34.985406093601668</v>
      </c>
      <c r="T40" s="7" t="s">
        <v>34</v>
      </c>
      <c r="U40" s="7" t="s">
        <v>34</v>
      </c>
    </row>
    <row r="41" spans="1:21" ht="14.1" customHeight="1">
      <c r="A41" s="96">
        <v>42</v>
      </c>
      <c r="B41" s="62" t="s">
        <v>124</v>
      </c>
      <c r="C41" s="62" t="s">
        <v>415</v>
      </c>
      <c r="D41" s="96" t="s">
        <v>773</v>
      </c>
      <c r="E41" s="62" t="s">
        <v>399</v>
      </c>
      <c r="F41" s="96" t="s">
        <v>26</v>
      </c>
      <c r="G41" s="97" t="s">
        <v>4931</v>
      </c>
      <c r="H41" s="62" t="s">
        <v>4925</v>
      </c>
      <c r="I41" s="97" t="s">
        <v>4932</v>
      </c>
      <c r="J41" s="7" t="s">
        <v>30</v>
      </c>
      <c r="K41" s="98" t="s">
        <v>2329</v>
      </c>
      <c r="L41" s="98" t="s">
        <v>322</v>
      </c>
      <c r="M41" s="98">
        <v>8302100000</v>
      </c>
      <c r="N41" s="98">
        <v>100</v>
      </c>
      <c r="O41" s="7">
        <v>45</v>
      </c>
      <c r="P41" s="7"/>
      <c r="R41" s="9">
        <v>59.920359851180372</v>
      </c>
      <c r="T41" s="7" t="s">
        <v>34</v>
      </c>
      <c r="U41" s="7" t="s">
        <v>34</v>
      </c>
    </row>
    <row r="42" spans="1:21" ht="14.1" customHeight="1">
      <c r="A42" s="96">
        <v>43</v>
      </c>
      <c r="B42" s="62" t="s">
        <v>124</v>
      </c>
      <c r="C42" s="62" t="s">
        <v>415</v>
      </c>
      <c r="D42" s="96" t="s">
        <v>773</v>
      </c>
      <c r="E42" s="62" t="s">
        <v>399</v>
      </c>
      <c r="F42" s="96" t="s">
        <v>26</v>
      </c>
      <c r="G42" s="97" t="s">
        <v>4933</v>
      </c>
      <c r="H42" s="62" t="s">
        <v>4925</v>
      </c>
      <c r="I42" s="97" t="s">
        <v>4934</v>
      </c>
      <c r="J42" s="7" t="s">
        <v>30</v>
      </c>
      <c r="K42" s="98" t="s">
        <v>2329</v>
      </c>
      <c r="L42" s="98" t="s">
        <v>322</v>
      </c>
      <c r="M42" s="98">
        <v>8302100000</v>
      </c>
      <c r="N42" s="98">
        <v>100</v>
      </c>
      <c r="O42" s="7">
        <v>45</v>
      </c>
      <c r="P42" s="7"/>
      <c r="R42" s="9">
        <v>99.22090580644408</v>
      </c>
      <c r="T42" s="7" t="s">
        <v>34</v>
      </c>
      <c r="U42" s="7" t="s">
        <v>34</v>
      </c>
    </row>
    <row r="43" spans="1:21" ht="14.1" customHeight="1">
      <c r="A43" s="96">
        <v>44</v>
      </c>
      <c r="B43" s="62" t="s">
        <v>124</v>
      </c>
      <c r="C43" s="62" t="s">
        <v>415</v>
      </c>
      <c r="D43" s="96" t="s">
        <v>773</v>
      </c>
      <c r="E43" s="62" t="s">
        <v>399</v>
      </c>
      <c r="F43" s="96" t="s">
        <v>26</v>
      </c>
      <c r="G43" s="97" t="s">
        <v>4935</v>
      </c>
      <c r="H43" s="62" t="s">
        <v>4925</v>
      </c>
      <c r="I43" s="97" t="s">
        <v>4936</v>
      </c>
      <c r="J43" s="7" t="s">
        <v>30</v>
      </c>
      <c r="K43" s="98" t="s">
        <v>2329</v>
      </c>
      <c r="L43" s="98" t="s">
        <v>322</v>
      </c>
      <c r="M43" s="98">
        <v>8302100000</v>
      </c>
      <c r="N43" s="98">
        <v>100</v>
      </c>
      <c r="O43" s="7">
        <v>45</v>
      </c>
      <c r="P43" s="7"/>
      <c r="R43" s="9">
        <v>116.34491019417889</v>
      </c>
      <c r="T43" s="7" t="s">
        <v>34</v>
      </c>
      <c r="U43" s="7" t="s">
        <v>34</v>
      </c>
    </row>
    <row r="44" spans="1:21" ht="14.1" customHeight="1">
      <c r="A44" s="96">
        <v>45</v>
      </c>
      <c r="B44" s="62" t="s">
        <v>124</v>
      </c>
      <c r="C44" s="62" t="s">
        <v>415</v>
      </c>
      <c r="D44" s="96" t="s">
        <v>773</v>
      </c>
      <c r="E44" s="62" t="s">
        <v>399</v>
      </c>
      <c r="F44" s="96" t="s">
        <v>26</v>
      </c>
      <c r="G44" s="97" t="s">
        <v>4937</v>
      </c>
      <c r="H44" s="62" t="s">
        <v>4925</v>
      </c>
      <c r="I44" s="97" t="s">
        <v>4938</v>
      </c>
      <c r="J44" s="7" t="s">
        <v>30</v>
      </c>
      <c r="K44" s="98" t="s">
        <v>2329</v>
      </c>
      <c r="L44" s="98" t="s">
        <v>322</v>
      </c>
      <c r="M44" s="98">
        <v>8302100000</v>
      </c>
      <c r="N44" s="98">
        <v>100</v>
      </c>
      <c r="O44" s="7">
        <v>45</v>
      </c>
      <c r="P44" s="7"/>
      <c r="R44" s="9">
        <v>197.67710328297329</v>
      </c>
      <c r="T44" s="7" t="s">
        <v>34</v>
      </c>
      <c r="U44" s="7" t="s">
        <v>34</v>
      </c>
    </row>
    <row r="45" spans="1:21" ht="14.1" customHeight="1">
      <c r="A45" s="96">
        <v>46</v>
      </c>
      <c r="B45" s="62" t="s">
        <v>124</v>
      </c>
      <c r="C45" s="62" t="s">
        <v>415</v>
      </c>
      <c r="D45" s="96" t="s">
        <v>773</v>
      </c>
      <c r="E45" s="62" t="s">
        <v>399</v>
      </c>
      <c r="F45" s="96" t="s">
        <v>26</v>
      </c>
      <c r="G45" s="97" t="s">
        <v>4939</v>
      </c>
      <c r="H45" s="62" t="s">
        <v>1424</v>
      </c>
      <c r="I45" s="97" t="s">
        <v>4940</v>
      </c>
      <c r="J45" s="7" t="s">
        <v>30</v>
      </c>
      <c r="K45" s="98" t="s">
        <v>1426</v>
      </c>
      <c r="L45" s="98" t="s">
        <v>322</v>
      </c>
      <c r="M45" s="98">
        <v>8302100000</v>
      </c>
      <c r="N45" s="98">
        <v>100</v>
      </c>
      <c r="O45" s="7">
        <v>45</v>
      </c>
      <c r="P45" s="7"/>
      <c r="R45" s="9">
        <v>123.17266313984661</v>
      </c>
      <c r="T45" s="7" t="s">
        <v>34</v>
      </c>
      <c r="U45" s="7" t="s">
        <v>34</v>
      </c>
    </row>
    <row r="46" spans="1:21" ht="14.1" customHeight="1">
      <c r="A46" s="96">
        <v>47</v>
      </c>
      <c r="B46" s="62" t="s">
        <v>124</v>
      </c>
      <c r="C46" s="62" t="s">
        <v>415</v>
      </c>
      <c r="D46" s="96" t="s">
        <v>773</v>
      </c>
      <c r="E46" s="62" t="s">
        <v>399</v>
      </c>
      <c r="F46" s="96" t="s">
        <v>26</v>
      </c>
      <c r="G46" s="97" t="s">
        <v>4941</v>
      </c>
      <c r="H46" s="62" t="s">
        <v>1424</v>
      </c>
      <c r="I46" s="97" t="s">
        <v>4942</v>
      </c>
      <c r="J46" s="7" t="s">
        <v>30</v>
      </c>
      <c r="K46" s="98" t="s">
        <v>1426</v>
      </c>
      <c r="L46" s="98" t="s">
        <v>322</v>
      </c>
      <c r="M46" s="98">
        <v>8302100000</v>
      </c>
      <c r="N46" s="98">
        <v>100</v>
      </c>
      <c r="O46" s="7">
        <v>45</v>
      </c>
      <c r="P46" s="7"/>
      <c r="R46" s="9">
        <v>196.17499763492651</v>
      </c>
      <c r="T46" s="7" t="s">
        <v>34</v>
      </c>
      <c r="U46" s="7" t="s">
        <v>34</v>
      </c>
    </row>
    <row r="47" spans="1:21" ht="14.1" customHeight="1">
      <c r="A47" s="96">
        <v>48</v>
      </c>
      <c r="B47" s="62" t="s">
        <v>124</v>
      </c>
      <c r="C47" s="62" t="s">
        <v>415</v>
      </c>
      <c r="D47" s="96" t="s">
        <v>773</v>
      </c>
      <c r="E47" s="62" t="s">
        <v>399</v>
      </c>
      <c r="F47" s="96" t="s">
        <v>26</v>
      </c>
      <c r="G47" s="97" t="s">
        <v>4943</v>
      </c>
      <c r="H47" s="62" t="s">
        <v>1424</v>
      </c>
      <c r="I47" s="97" t="s">
        <v>4944</v>
      </c>
      <c r="J47" s="7" t="s">
        <v>30</v>
      </c>
      <c r="K47" s="98" t="s">
        <v>1426</v>
      </c>
      <c r="L47" s="98" t="s">
        <v>322</v>
      </c>
      <c r="M47" s="98">
        <v>8302100000</v>
      </c>
      <c r="N47" s="98">
        <v>100</v>
      </c>
      <c r="O47" s="7">
        <v>45</v>
      </c>
      <c r="P47" s="7"/>
      <c r="R47" s="9">
        <v>246.37263729147591</v>
      </c>
      <c r="T47" s="7" t="s">
        <v>34</v>
      </c>
      <c r="U47" s="7" t="s">
        <v>34</v>
      </c>
    </row>
    <row r="48" spans="1:21" ht="14.1" customHeight="1">
      <c r="A48" s="96">
        <v>49</v>
      </c>
      <c r="B48" s="62" t="s">
        <v>124</v>
      </c>
      <c r="C48" s="62" t="s">
        <v>415</v>
      </c>
      <c r="D48" s="96" t="s">
        <v>773</v>
      </c>
      <c r="E48" s="62" t="s">
        <v>399</v>
      </c>
      <c r="F48" s="96" t="s">
        <v>26</v>
      </c>
      <c r="G48" s="97" t="s">
        <v>4945</v>
      </c>
      <c r="H48" s="62" t="s">
        <v>1424</v>
      </c>
      <c r="I48" s="97" t="s">
        <v>4946</v>
      </c>
      <c r="J48" s="7" t="s">
        <v>30</v>
      </c>
      <c r="K48" s="98" t="s">
        <v>1426</v>
      </c>
      <c r="L48" s="98" t="s">
        <v>322</v>
      </c>
      <c r="M48" s="98">
        <v>8302100000</v>
      </c>
      <c r="N48" s="98">
        <v>100</v>
      </c>
      <c r="O48" s="7">
        <v>45</v>
      </c>
      <c r="P48" s="7"/>
      <c r="R48" s="9">
        <v>369.54530043132257</v>
      </c>
      <c r="T48" s="7" t="s">
        <v>34</v>
      </c>
      <c r="U48" s="7" t="s">
        <v>34</v>
      </c>
    </row>
    <row r="49" spans="1:21" ht="14.1" customHeight="1">
      <c r="A49" s="96">
        <v>50</v>
      </c>
      <c r="B49" s="62" t="s">
        <v>124</v>
      </c>
      <c r="C49" s="62" t="s">
        <v>415</v>
      </c>
      <c r="D49" s="96" t="s">
        <v>773</v>
      </c>
      <c r="E49" s="62" t="s">
        <v>399</v>
      </c>
      <c r="F49" s="96" t="s">
        <v>26</v>
      </c>
      <c r="G49" s="97" t="s">
        <v>4947</v>
      </c>
      <c r="H49" s="62" t="s">
        <v>1424</v>
      </c>
      <c r="I49" s="97" t="s">
        <v>4948</v>
      </c>
      <c r="J49" s="7" t="s">
        <v>30</v>
      </c>
      <c r="K49" s="98" t="s">
        <v>1426</v>
      </c>
      <c r="L49" s="98" t="s">
        <v>322</v>
      </c>
      <c r="M49" s="98">
        <v>8302100000</v>
      </c>
      <c r="N49" s="98">
        <v>100</v>
      </c>
      <c r="O49" s="7">
        <v>45</v>
      </c>
      <c r="P49" s="7"/>
      <c r="R49" s="9">
        <v>274.96726662793259</v>
      </c>
      <c r="T49" s="7" t="s">
        <v>34</v>
      </c>
      <c r="U49" s="7" t="s">
        <v>34</v>
      </c>
    </row>
    <row r="50" spans="1:21" ht="14.1" customHeight="1">
      <c r="A50" s="96">
        <v>51</v>
      </c>
      <c r="B50" s="62" t="s">
        <v>124</v>
      </c>
      <c r="C50" s="62" t="s">
        <v>415</v>
      </c>
      <c r="D50" s="96" t="s">
        <v>773</v>
      </c>
      <c r="E50" s="62" t="s">
        <v>399</v>
      </c>
      <c r="F50" s="96" t="s">
        <v>26</v>
      </c>
      <c r="G50" s="97" t="s">
        <v>4949</v>
      </c>
      <c r="H50" s="62" t="s">
        <v>1424</v>
      </c>
      <c r="I50" s="97" t="s">
        <v>4950</v>
      </c>
      <c r="J50" s="7" t="s">
        <v>30</v>
      </c>
      <c r="K50" s="98" t="s">
        <v>1426</v>
      </c>
      <c r="L50" s="98" t="s">
        <v>322</v>
      </c>
      <c r="M50" s="98">
        <v>8302100000</v>
      </c>
      <c r="N50" s="98">
        <v>100</v>
      </c>
      <c r="O50" s="7">
        <v>45</v>
      </c>
      <c r="P50" s="7"/>
      <c r="R50" s="9">
        <v>586.55860005642705</v>
      </c>
      <c r="T50" s="7" t="s">
        <v>34</v>
      </c>
      <c r="U50" s="7" t="s">
        <v>34</v>
      </c>
    </row>
    <row r="51" spans="1:21" ht="14.1" customHeight="1">
      <c r="A51" s="96">
        <v>52</v>
      </c>
      <c r="B51" s="62" t="s">
        <v>124</v>
      </c>
      <c r="C51" s="62" t="s">
        <v>415</v>
      </c>
      <c r="D51" s="96" t="s">
        <v>773</v>
      </c>
      <c r="E51" s="62" t="s">
        <v>399</v>
      </c>
      <c r="F51" s="96" t="s">
        <v>26</v>
      </c>
      <c r="G51" s="97" t="s">
        <v>4951</v>
      </c>
      <c r="H51" s="62" t="s">
        <v>1424</v>
      </c>
      <c r="I51" s="97" t="s">
        <v>4952</v>
      </c>
      <c r="J51" s="7" t="s">
        <v>30</v>
      </c>
      <c r="K51" s="98" t="s">
        <v>1426</v>
      </c>
      <c r="L51" s="98" t="s">
        <v>322</v>
      </c>
      <c r="M51" s="98">
        <v>8302100000</v>
      </c>
      <c r="N51" s="98">
        <v>100</v>
      </c>
      <c r="O51" s="7">
        <v>45</v>
      </c>
      <c r="P51" s="7"/>
      <c r="R51" s="9">
        <v>489.60450822794468</v>
      </c>
      <c r="T51" s="7" t="s">
        <v>34</v>
      </c>
      <c r="U51" s="7" t="s">
        <v>34</v>
      </c>
    </row>
    <row r="52" spans="1:21" ht="14.1" customHeight="1">
      <c r="A52" s="96">
        <v>53</v>
      </c>
      <c r="B52" s="62" t="s">
        <v>124</v>
      </c>
      <c r="C52" s="62" t="s">
        <v>415</v>
      </c>
      <c r="D52" s="96" t="s">
        <v>1601</v>
      </c>
      <c r="E52" s="62" t="s">
        <v>3621</v>
      </c>
      <c r="F52" s="96" t="s">
        <v>26</v>
      </c>
      <c r="G52" s="97" t="s">
        <v>4953</v>
      </c>
      <c r="H52" s="62" t="s">
        <v>1424</v>
      </c>
      <c r="I52" s="97" t="s">
        <v>4954</v>
      </c>
      <c r="J52" s="7" t="s">
        <v>123</v>
      </c>
      <c r="K52" s="98" t="s">
        <v>1426</v>
      </c>
      <c r="L52" s="98" t="s">
        <v>322</v>
      </c>
      <c r="M52" s="98">
        <v>83024100</v>
      </c>
      <c r="N52" s="98">
        <v>100</v>
      </c>
      <c r="O52" s="7">
        <v>45</v>
      </c>
      <c r="P52" s="7"/>
      <c r="R52" s="9">
        <v>181.8640274608068</v>
      </c>
      <c r="T52" s="7" t="s">
        <v>34</v>
      </c>
      <c r="U52" s="7" t="s">
        <v>34</v>
      </c>
    </row>
    <row r="53" spans="1:21" ht="14.1" customHeight="1">
      <c r="A53" s="96">
        <v>54</v>
      </c>
      <c r="B53" s="62" t="s">
        <v>124</v>
      </c>
      <c r="C53" s="62" t="s">
        <v>415</v>
      </c>
      <c r="D53" s="96" t="s">
        <v>1601</v>
      </c>
      <c r="E53" s="62" t="s">
        <v>3621</v>
      </c>
      <c r="F53" s="96" t="s">
        <v>26</v>
      </c>
      <c r="G53" s="97" t="s">
        <v>4955</v>
      </c>
      <c r="H53" s="62" t="s">
        <v>1424</v>
      </c>
      <c r="I53" s="97" t="s">
        <v>4954</v>
      </c>
      <c r="J53" s="7" t="s">
        <v>123</v>
      </c>
      <c r="K53" s="98" t="s">
        <v>1426</v>
      </c>
      <c r="L53" s="98" t="s">
        <v>322</v>
      </c>
      <c r="M53" s="98">
        <v>83024100</v>
      </c>
      <c r="N53" s="98">
        <v>100</v>
      </c>
      <c r="O53" s="7">
        <v>45</v>
      </c>
      <c r="P53" s="7"/>
      <c r="R53" s="9">
        <v>180.47116585989059</v>
      </c>
      <c r="T53" s="7" t="s">
        <v>34</v>
      </c>
      <c r="U53" s="7" t="s">
        <v>34</v>
      </c>
    </row>
    <row r="54" spans="1:21" ht="14.1" customHeight="1">
      <c r="A54" s="96">
        <v>55</v>
      </c>
      <c r="B54" s="62" t="s">
        <v>124</v>
      </c>
      <c r="C54" s="62" t="s">
        <v>415</v>
      </c>
      <c r="D54" s="96" t="s">
        <v>1601</v>
      </c>
      <c r="E54" s="62" t="s">
        <v>3621</v>
      </c>
      <c r="F54" s="96" t="s">
        <v>26</v>
      </c>
      <c r="G54" s="97" t="s">
        <v>4956</v>
      </c>
      <c r="H54" s="62" t="s">
        <v>1424</v>
      </c>
      <c r="I54" s="97" t="s">
        <v>4954</v>
      </c>
      <c r="J54" s="7" t="s">
        <v>123</v>
      </c>
      <c r="K54" s="98" t="s">
        <v>1426</v>
      </c>
      <c r="L54" s="98" t="s">
        <v>322</v>
      </c>
      <c r="M54" s="98">
        <v>83024100</v>
      </c>
      <c r="N54" s="98">
        <v>100</v>
      </c>
      <c r="O54" s="7">
        <v>45</v>
      </c>
      <c r="P54" s="7"/>
      <c r="R54" s="9">
        <v>180.47116585989059</v>
      </c>
      <c r="T54" s="7" t="s">
        <v>34</v>
      </c>
      <c r="U54" s="7" t="s">
        <v>34</v>
      </c>
    </row>
    <row r="55" spans="1:21" ht="14.1" customHeight="1">
      <c r="A55" s="96">
        <v>56</v>
      </c>
      <c r="B55" s="62" t="s">
        <v>124</v>
      </c>
      <c r="C55" s="62" t="s">
        <v>415</v>
      </c>
      <c r="D55" s="96" t="s">
        <v>1601</v>
      </c>
      <c r="E55" s="62" t="s">
        <v>3621</v>
      </c>
      <c r="F55" s="96" t="s">
        <v>26</v>
      </c>
      <c r="G55" s="97" t="s">
        <v>4957</v>
      </c>
      <c r="H55" s="62" t="s">
        <v>1424</v>
      </c>
      <c r="I55" s="97" t="s">
        <v>4954</v>
      </c>
      <c r="J55" s="7" t="s">
        <v>123</v>
      </c>
      <c r="K55" s="98" t="s">
        <v>1426</v>
      </c>
      <c r="L55" s="98" t="s">
        <v>322</v>
      </c>
      <c r="M55" s="98">
        <v>83024100</v>
      </c>
      <c r="N55" s="98">
        <v>100</v>
      </c>
      <c r="O55" s="7">
        <v>45</v>
      </c>
      <c r="P55" s="7"/>
      <c r="R55" s="9">
        <v>180.47116585989059</v>
      </c>
      <c r="T55" s="7" t="s">
        <v>34</v>
      </c>
      <c r="U55" s="7" t="s">
        <v>34</v>
      </c>
    </row>
    <row r="56" spans="1:21" ht="14.1" customHeight="1">
      <c r="A56" s="96">
        <v>58</v>
      </c>
      <c r="B56" s="62" t="s">
        <v>124</v>
      </c>
      <c r="C56" s="62" t="s">
        <v>415</v>
      </c>
      <c r="D56" s="96" t="s">
        <v>1601</v>
      </c>
      <c r="E56" s="62" t="s">
        <v>3621</v>
      </c>
      <c r="F56" s="96" t="s">
        <v>26</v>
      </c>
      <c r="G56" s="97" t="s">
        <v>4958</v>
      </c>
      <c r="H56" s="62" t="s">
        <v>1424</v>
      </c>
      <c r="I56" s="97" t="s">
        <v>4954</v>
      </c>
      <c r="J56" s="7" t="s">
        <v>123</v>
      </c>
      <c r="K56" s="98" t="s">
        <v>1426</v>
      </c>
      <c r="L56" s="98" t="s">
        <v>322</v>
      </c>
      <c r="M56" s="98">
        <v>83024100</v>
      </c>
      <c r="N56" s="98">
        <v>100</v>
      </c>
      <c r="O56" s="7">
        <v>45</v>
      </c>
      <c r="P56" s="7"/>
      <c r="R56" s="9">
        <v>188.82833546538791</v>
      </c>
      <c r="T56" s="7" t="s">
        <v>34</v>
      </c>
      <c r="U56" s="7" t="s">
        <v>34</v>
      </c>
    </row>
    <row r="57" spans="1:21" ht="14.1" customHeight="1">
      <c r="A57" s="96">
        <v>59</v>
      </c>
      <c r="B57" s="62" t="s">
        <v>124</v>
      </c>
      <c r="C57" s="62" t="s">
        <v>415</v>
      </c>
      <c r="D57" s="96" t="s">
        <v>1601</v>
      </c>
      <c r="E57" s="62" t="s">
        <v>3621</v>
      </c>
      <c r="F57" s="96" t="s">
        <v>26</v>
      </c>
      <c r="G57" s="97" t="s">
        <v>4959</v>
      </c>
      <c r="H57" s="62" t="s">
        <v>1424</v>
      </c>
      <c r="I57" s="97" t="s">
        <v>4954</v>
      </c>
      <c r="J57" s="7" t="s">
        <v>123</v>
      </c>
      <c r="K57" s="98" t="s">
        <v>1426</v>
      </c>
      <c r="L57" s="98" t="s">
        <v>322</v>
      </c>
      <c r="M57" s="98">
        <v>83024100</v>
      </c>
      <c r="N57" s="98">
        <v>100</v>
      </c>
      <c r="O57" s="7">
        <v>45</v>
      </c>
      <c r="P57" s="7"/>
      <c r="R57" s="9">
        <v>188.82833546538791</v>
      </c>
      <c r="T57" s="7" t="s">
        <v>34</v>
      </c>
      <c r="U57" s="7" t="s">
        <v>34</v>
      </c>
    </row>
    <row r="58" spans="1:21" ht="14.1" customHeight="1">
      <c r="A58" s="96">
        <v>60</v>
      </c>
      <c r="B58" s="62" t="s">
        <v>124</v>
      </c>
      <c r="C58" s="62" t="s">
        <v>415</v>
      </c>
      <c r="D58" s="96" t="s">
        <v>1601</v>
      </c>
      <c r="E58" s="62" t="s">
        <v>3621</v>
      </c>
      <c r="F58" s="96" t="s">
        <v>26</v>
      </c>
      <c r="G58" s="97" t="s">
        <v>4960</v>
      </c>
      <c r="H58" s="62" t="s">
        <v>1424</v>
      </c>
      <c r="I58" s="97" t="s">
        <v>4954</v>
      </c>
      <c r="J58" s="7" t="s">
        <v>123</v>
      </c>
      <c r="K58" s="98" t="s">
        <v>1426</v>
      </c>
      <c r="L58" s="98" t="s">
        <v>322</v>
      </c>
      <c r="M58" s="98">
        <v>83024100</v>
      </c>
      <c r="N58" s="98">
        <v>100</v>
      </c>
      <c r="O58" s="7">
        <v>45</v>
      </c>
      <c r="P58" s="7"/>
      <c r="R58" s="9">
        <v>188.82833546538791</v>
      </c>
      <c r="T58" s="7" t="s">
        <v>34</v>
      </c>
      <c r="U58" s="7" t="s">
        <v>34</v>
      </c>
    </row>
    <row r="59" spans="1:21" ht="14.1" customHeight="1">
      <c r="A59" s="96">
        <v>61</v>
      </c>
      <c r="B59" s="62" t="s">
        <v>124</v>
      </c>
      <c r="C59" s="62" t="s">
        <v>415</v>
      </c>
      <c r="D59" s="96" t="s">
        <v>1601</v>
      </c>
      <c r="E59" s="62" t="s">
        <v>3621</v>
      </c>
      <c r="F59" s="96" t="s">
        <v>26</v>
      </c>
      <c r="G59" s="97" t="s">
        <v>4961</v>
      </c>
      <c r="H59" s="62" t="s">
        <v>1424</v>
      </c>
      <c r="I59" s="97" t="s">
        <v>4954</v>
      </c>
      <c r="J59" s="7" t="s">
        <v>123</v>
      </c>
      <c r="K59" s="98" t="s">
        <v>1426</v>
      </c>
      <c r="L59" s="98" t="s">
        <v>322</v>
      </c>
      <c r="M59" s="98">
        <v>83024100</v>
      </c>
      <c r="N59" s="98">
        <v>100</v>
      </c>
      <c r="O59" s="7">
        <v>45</v>
      </c>
      <c r="P59" s="7"/>
      <c r="R59" s="9">
        <v>180.47116585989059</v>
      </c>
      <c r="T59" s="7" t="s">
        <v>34</v>
      </c>
      <c r="U59" s="7" t="s">
        <v>34</v>
      </c>
    </row>
    <row r="60" spans="1:21" ht="14.1" customHeight="1">
      <c r="A60" s="96">
        <v>71</v>
      </c>
      <c r="B60" s="62" t="s">
        <v>124</v>
      </c>
      <c r="C60" s="62" t="s">
        <v>415</v>
      </c>
      <c r="D60" s="96" t="s">
        <v>1601</v>
      </c>
      <c r="E60" s="62" t="s">
        <v>3621</v>
      </c>
      <c r="F60" s="96" t="s">
        <v>26</v>
      </c>
      <c r="G60" s="97" t="s">
        <v>4962</v>
      </c>
      <c r="H60" s="62" t="s">
        <v>1424</v>
      </c>
      <c r="I60" s="97" t="s">
        <v>4963</v>
      </c>
      <c r="J60" s="7" t="s">
        <v>123</v>
      </c>
      <c r="K60" s="98" t="s">
        <v>1426</v>
      </c>
      <c r="L60" s="98" t="s">
        <v>322</v>
      </c>
      <c r="M60" s="98">
        <v>83024100</v>
      </c>
      <c r="N60" s="98">
        <v>100</v>
      </c>
      <c r="O60" s="7">
        <v>45</v>
      </c>
      <c r="P60" s="7"/>
      <c r="R60" s="9">
        <v>79.775465417182247</v>
      </c>
      <c r="T60" s="7" t="s">
        <v>34</v>
      </c>
      <c r="U60" s="7" t="s">
        <v>34</v>
      </c>
    </row>
    <row r="61" spans="1:21" ht="14.1" customHeight="1">
      <c r="A61" s="96">
        <v>76</v>
      </c>
      <c r="B61" s="62" t="s">
        <v>124</v>
      </c>
      <c r="C61" s="62" t="s">
        <v>415</v>
      </c>
      <c r="D61" s="96" t="s">
        <v>1601</v>
      </c>
      <c r="E61" s="62" t="s">
        <v>3621</v>
      </c>
      <c r="F61" s="96" t="s">
        <v>26</v>
      </c>
      <c r="G61" s="97" t="s">
        <v>4964</v>
      </c>
      <c r="H61" s="62" t="s">
        <v>1424</v>
      </c>
      <c r="I61" s="97" t="s">
        <v>4965</v>
      </c>
      <c r="J61" s="7" t="s">
        <v>123</v>
      </c>
      <c r="K61" s="98" t="s">
        <v>1426</v>
      </c>
      <c r="L61" s="98" t="s">
        <v>322</v>
      </c>
      <c r="M61" s="98">
        <v>83024100</v>
      </c>
      <c r="N61" s="98">
        <v>100</v>
      </c>
      <c r="O61" s="7">
        <v>45</v>
      </c>
      <c r="P61" s="7"/>
      <c r="R61" s="9">
        <v>19.554684436392499</v>
      </c>
      <c r="T61" s="7" t="s">
        <v>34</v>
      </c>
      <c r="U61" s="7" t="s">
        <v>34</v>
      </c>
    </row>
    <row r="62" spans="1:21" ht="14.1" customHeight="1">
      <c r="A62" s="96">
        <v>77</v>
      </c>
      <c r="B62" s="62" t="s">
        <v>124</v>
      </c>
      <c r="C62" s="62" t="s">
        <v>415</v>
      </c>
      <c r="D62" s="96" t="s">
        <v>35</v>
      </c>
      <c r="E62" s="62" t="s">
        <v>864</v>
      </c>
      <c r="F62" s="96" t="s">
        <v>26</v>
      </c>
      <c r="G62" s="97" t="s">
        <v>4966</v>
      </c>
      <c r="H62" s="62" t="s">
        <v>1424</v>
      </c>
      <c r="I62" s="97" t="s">
        <v>4967</v>
      </c>
      <c r="J62" s="7" t="s">
        <v>123</v>
      </c>
      <c r="K62" s="98" t="s">
        <v>1426</v>
      </c>
      <c r="L62" s="98" t="s">
        <v>322</v>
      </c>
      <c r="M62" s="98">
        <v>83014000</v>
      </c>
      <c r="N62" s="98">
        <v>100</v>
      </c>
      <c r="O62" s="7">
        <v>45</v>
      </c>
      <c r="P62" s="7"/>
      <c r="R62" s="9">
        <v>59.592627709788317</v>
      </c>
      <c r="T62" s="7" t="s">
        <v>34</v>
      </c>
      <c r="U62" s="7" t="s">
        <v>34</v>
      </c>
    </row>
    <row r="63" spans="1:21" ht="14.1" customHeight="1">
      <c r="A63" s="96">
        <v>78</v>
      </c>
      <c r="B63" s="62" t="s">
        <v>124</v>
      </c>
      <c r="C63" s="62" t="s">
        <v>415</v>
      </c>
      <c r="D63" s="96" t="s">
        <v>35</v>
      </c>
      <c r="E63" s="62" t="s">
        <v>864</v>
      </c>
      <c r="F63" s="96" t="s">
        <v>26</v>
      </c>
      <c r="G63" s="97" t="s">
        <v>4968</v>
      </c>
      <c r="H63" s="62" t="s">
        <v>1424</v>
      </c>
      <c r="I63" s="97" t="s">
        <v>4969</v>
      </c>
      <c r="J63" s="7" t="s">
        <v>123</v>
      </c>
      <c r="K63" s="98" t="s">
        <v>1426</v>
      </c>
      <c r="L63" s="98" t="s">
        <v>322</v>
      </c>
      <c r="M63" s="98">
        <v>83014000</v>
      </c>
      <c r="N63" s="98">
        <v>100</v>
      </c>
      <c r="O63" s="7">
        <v>45</v>
      </c>
      <c r="P63" s="7"/>
      <c r="R63" s="9">
        <v>72.838468424383805</v>
      </c>
      <c r="T63" s="7" t="s">
        <v>34</v>
      </c>
      <c r="U63" s="7" t="s">
        <v>34</v>
      </c>
    </row>
    <row r="64" spans="1:21" ht="14.1" customHeight="1">
      <c r="A64" s="96">
        <v>79</v>
      </c>
      <c r="B64" s="62" t="s">
        <v>124</v>
      </c>
      <c r="C64" s="62" t="s">
        <v>415</v>
      </c>
      <c r="D64" s="96" t="s">
        <v>35</v>
      </c>
      <c r="E64" s="62" t="s">
        <v>864</v>
      </c>
      <c r="F64" s="96" t="s">
        <v>26</v>
      </c>
      <c r="G64" s="97" t="s">
        <v>4970</v>
      </c>
      <c r="H64" s="62" t="s">
        <v>1424</v>
      </c>
      <c r="I64" s="97" t="s">
        <v>4971</v>
      </c>
      <c r="J64" s="7" t="s">
        <v>123</v>
      </c>
      <c r="K64" s="98" t="s">
        <v>1426</v>
      </c>
      <c r="L64" s="98" t="s">
        <v>322</v>
      </c>
      <c r="M64" s="98">
        <v>83014000</v>
      </c>
      <c r="N64" s="98">
        <v>100</v>
      </c>
      <c r="O64" s="7">
        <v>45</v>
      </c>
      <c r="P64" s="7"/>
      <c r="R64" s="9">
        <v>52.956051846599237</v>
      </c>
      <c r="T64" s="7" t="s">
        <v>34</v>
      </c>
      <c r="U64" s="7" t="s">
        <v>34</v>
      </c>
    </row>
    <row r="65" spans="1:21" ht="14.1" customHeight="1">
      <c r="A65" s="96">
        <v>80</v>
      </c>
      <c r="B65" s="62" t="s">
        <v>124</v>
      </c>
      <c r="C65" s="62" t="s">
        <v>415</v>
      </c>
      <c r="D65" s="96" t="s">
        <v>35</v>
      </c>
      <c r="E65" s="62" t="s">
        <v>864</v>
      </c>
      <c r="F65" s="96" t="s">
        <v>26</v>
      </c>
      <c r="G65" s="97" t="s">
        <v>4972</v>
      </c>
      <c r="H65" s="62" t="s">
        <v>1424</v>
      </c>
      <c r="I65" s="97" t="s">
        <v>4973</v>
      </c>
      <c r="J65" s="7" t="s">
        <v>123</v>
      </c>
      <c r="K65" s="98" t="s">
        <v>1426</v>
      </c>
      <c r="L65" s="98" t="s">
        <v>322</v>
      </c>
      <c r="M65" s="98">
        <v>83014000</v>
      </c>
      <c r="N65" s="98">
        <v>100</v>
      </c>
      <c r="O65" s="7">
        <v>45</v>
      </c>
      <c r="P65" s="7"/>
      <c r="R65" s="9">
        <v>157.25680584462009</v>
      </c>
      <c r="T65" s="7" t="s">
        <v>34</v>
      </c>
      <c r="U65" s="7" t="s">
        <v>34</v>
      </c>
    </row>
    <row r="66" spans="1:21" ht="14.1" customHeight="1">
      <c r="A66" s="96">
        <v>81</v>
      </c>
      <c r="B66" s="62" t="s">
        <v>124</v>
      </c>
      <c r="C66" s="62" t="s">
        <v>415</v>
      </c>
      <c r="D66" s="96" t="s">
        <v>35</v>
      </c>
      <c r="E66" s="62" t="s">
        <v>864</v>
      </c>
      <c r="F66" s="96" t="s">
        <v>26</v>
      </c>
      <c r="G66" s="97" t="s">
        <v>4974</v>
      </c>
      <c r="H66" s="62" t="s">
        <v>1424</v>
      </c>
      <c r="I66" s="97" t="s">
        <v>4975</v>
      </c>
      <c r="J66" s="7" t="s">
        <v>123</v>
      </c>
      <c r="K66" s="98" t="s">
        <v>1426</v>
      </c>
      <c r="L66" s="98" t="s">
        <v>322</v>
      </c>
      <c r="M66" s="98">
        <v>83014000</v>
      </c>
      <c r="N66" s="98">
        <v>100</v>
      </c>
      <c r="O66" s="7">
        <v>45</v>
      </c>
      <c r="P66" s="7"/>
      <c r="R66" s="9">
        <v>94.687277850520687</v>
      </c>
      <c r="T66" s="7" t="s">
        <v>34</v>
      </c>
      <c r="U66" s="7" t="s">
        <v>34</v>
      </c>
    </row>
    <row r="67" spans="1:21" ht="14.1" customHeight="1">
      <c r="A67" s="96">
        <v>82</v>
      </c>
      <c r="B67" s="62" t="s">
        <v>124</v>
      </c>
      <c r="C67" s="62" t="s">
        <v>415</v>
      </c>
      <c r="D67" s="96" t="s">
        <v>35</v>
      </c>
      <c r="E67" s="62" t="s">
        <v>864</v>
      </c>
      <c r="F67" s="96" t="s">
        <v>26</v>
      </c>
      <c r="G67" s="97" t="s">
        <v>4976</v>
      </c>
      <c r="H67" s="62" t="s">
        <v>1424</v>
      </c>
      <c r="I67" s="97" t="s">
        <v>4977</v>
      </c>
      <c r="J67" s="7" t="s">
        <v>123</v>
      </c>
      <c r="K67" s="98" t="s">
        <v>1426</v>
      </c>
      <c r="L67" s="98" t="s">
        <v>322</v>
      </c>
      <c r="M67" s="98">
        <v>83014000</v>
      </c>
      <c r="N67" s="98">
        <v>100</v>
      </c>
      <c r="O67" s="7">
        <v>45</v>
      </c>
      <c r="P67" s="7"/>
      <c r="R67" s="9">
        <v>75.4876365673029</v>
      </c>
      <c r="T67" s="7" t="s">
        <v>34</v>
      </c>
      <c r="U67" s="7" t="s">
        <v>34</v>
      </c>
    </row>
    <row r="68" spans="1:21" ht="14.1" customHeight="1">
      <c r="A68" s="96">
        <v>83</v>
      </c>
      <c r="B68" s="62" t="s">
        <v>124</v>
      </c>
      <c r="C68" s="62" t="s">
        <v>415</v>
      </c>
      <c r="D68" s="96" t="s">
        <v>35</v>
      </c>
      <c r="E68" s="62" t="s">
        <v>864</v>
      </c>
      <c r="F68" s="96" t="s">
        <v>26</v>
      </c>
      <c r="G68" s="97" t="s">
        <v>4978</v>
      </c>
      <c r="H68" s="62" t="s">
        <v>1424</v>
      </c>
      <c r="I68" s="97" t="s">
        <v>4979</v>
      </c>
      <c r="J68" s="7" t="s">
        <v>123</v>
      </c>
      <c r="K68" s="98" t="s">
        <v>1426</v>
      </c>
      <c r="L68" s="98" t="s">
        <v>322</v>
      </c>
      <c r="M68" s="98">
        <v>83014000</v>
      </c>
      <c r="N68" s="98">
        <v>100</v>
      </c>
      <c r="O68" s="7">
        <v>45</v>
      </c>
      <c r="P68" s="7"/>
      <c r="R68" s="9">
        <v>99.985614136358848</v>
      </c>
      <c r="T68" s="7" t="s">
        <v>34</v>
      </c>
      <c r="U68" s="7" t="s">
        <v>34</v>
      </c>
    </row>
    <row r="69" spans="1:21" ht="14.1" customHeight="1">
      <c r="A69" s="96">
        <v>84</v>
      </c>
      <c r="B69" s="62" t="s">
        <v>124</v>
      </c>
      <c r="C69" s="62" t="s">
        <v>415</v>
      </c>
      <c r="D69" s="96" t="s">
        <v>35</v>
      </c>
      <c r="E69" s="62" t="s">
        <v>864</v>
      </c>
      <c r="F69" s="96" t="s">
        <v>26</v>
      </c>
      <c r="G69" s="97" t="s">
        <v>4980</v>
      </c>
      <c r="H69" s="62" t="s">
        <v>1424</v>
      </c>
      <c r="I69" s="97" t="s">
        <v>4981</v>
      </c>
      <c r="J69" s="7" t="s">
        <v>123</v>
      </c>
      <c r="K69" s="98" t="s">
        <v>1426</v>
      </c>
      <c r="L69" s="98" t="s">
        <v>322</v>
      </c>
      <c r="M69" s="98">
        <v>83014000</v>
      </c>
      <c r="N69" s="98">
        <v>100</v>
      </c>
      <c r="O69" s="7">
        <v>45</v>
      </c>
      <c r="P69" s="7"/>
      <c r="R69" s="9">
        <v>150.62022998143109</v>
      </c>
      <c r="T69" s="7" t="s">
        <v>34</v>
      </c>
      <c r="U69" s="7" t="s">
        <v>34</v>
      </c>
    </row>
    <row r="70" spans="1:21" ht="14.1" customHeight="1">
      <c r="A70" s="96">
        <v>85</v>
      </c>
      <c r="B70" s="62" t="s">
        <v>124</v>
      </c>
      <c r="C70" s="62" t="s">
        <v>415</v>
      </c>
      <c r="D70" s="96" t="s">
        <v>35</v>
      </c>
      <c r="E70" s="62" t="s">
        <v>864</v>
      </c>
      <c r="F70" s="96" t="s">
        <v>26</v>
      </c>
      <c r="G70" s="97" t="s">
        <v>4982</v>
      </c>
      <c r="H70" s="62" t="s">
        <v>1424</v>
      </c>
      <c r="I70" s="97" t="s">
        <v>4983</v>
      </c>
      <c r="J70" s="7" t="s">
        <v>123</v>
      </c>
      <c r="K70" s="98" t="s">
        <v>1426</v>
      </c>
      <c r="L70" s="98" t="s">
        <v>322</v>
      </c>
      <c r="M70" s="98">
        <v>83014000</v>
      </c>
      <c r="N70" s="98">
        <v>1000</v>
      </c>
      <c r="O70" s="7">
        <v>45</v>
      </c>
      <c r="P70" s="7"/>
      <c r="R70" s="9">
        <v>92.775507025733702</v>
      </c>
      <c r="T70" s="7" t="s">
        <v>34</v>
      </c>
      <c r="U70" s="7" t="s">
        <v>34</v>
      </c>
    </row>
    <row r="71" spans="1:21" ht="14.1" customHeight="1">
      <c r="A71" s="96">
        <v>86</v>
      </c>
      <c r="B71" s="62" t="s">
        <v>124</v>
      </c>
      <c r="C71" s="62" t="s">
        <v>415</v>
      </c>
      <c r="D71" s="96" t="s">
        <v>35</v>
      </c>
      <c r="E71" s="62" t="s">
        <v>864</v>
      </c>
      <c r="F71" s="96" t="s">
        <v>26</v>
      </c>
      <c r="G71" s="97" t="s">
        <v>4984</v>
      </c>
      <c r="H71" s="62" t="s">
        <v>1424</v>
      </c>
      <c r="I71" s="97" t="s">
        <v>4985</v>
      </c>
      <c r="J71" s="7" t="s">
        <v>123</v>
      </c>
      <c r="K71" s="98" t="s">
        <v>1426</v>
      </c>
      <c r="L71" s="98" t="s">
        <v>322</v>
      </c>
      <c r="M71" s="98">
        <v>83014000</v>
      </c>
      <c r="N71" s="98">
        <v>1000</v>
      </c>
      <c r="O71" s="7">
        <v>45</v>
      </c>
      <c r="P71" s="7"/>
      <c r="R71" s="9">
        <v>94.304923685563281</v>
      </c>
      <c r="T71" s="7" t="s">
        <v>34</v>
      </c>
      <c r="U71" s="7" t="s">
        <v>34</v>
      </c>
    </row>
    <row r="72" spans="1:21" ht="14.1" customHeight="1">
      <c r="A72" s="96">
        <v>87</v>
      </c>
      <c r="B72" s="62" t="s">
        <v>124</v>
      </c>
      <c r="C72" s="62" t="s">
        <v>415</v>
      </c>
      <c r="D72" s="96" t="s">
        <v>35</v>
      </c>
      <c r="E72" s="62" t="s">
        <v>864</v>
      </c>
      <c r="F72" s="96" t="s">
        <v>26</v>
      </c>
      <c r="G72" s="97" t="s">
        <v>4986</v>
      </c>
      <c r="H72" s="62" t="s">
        <v>1424</v>
      </c>
      <c r="I72" s="97" t="s">
        <v>4987</v>
      </c>
      <c r="J72" s="7" t="s">
        <v>123</v>
      </c>
      <c r="K72" s="98" t="s">
        <v>1426</v>
      </c>
      <c r="L72" s="98" t="s">
        <v>322</v>
      </c>
      <c r="M72" s="98">
        <v>83014000</v>
      </c>
      <c r="N72" s="98">
        <v>1000</v>
      </c>
      <c r="O72" s="7">
        <v>45</v>
      </c>
      <c r="P72" s="7"/>
      <c r="R72" s="9">
        <v>100.3679683013163</v>
      </c>
      <c r="T72" s="7" t="s">
        <v>34</v>
      </c>
      <c r="U72" s="7" t="s">
        <v>34</v>
      </c>
    </row>
    <row r="73" spans="1:21" ht="14.1" customHeight="1">
      <c r="A73" s="96">
        <v>88</v>
      </c>
      <c r="B73" s="62" t="s">
        <v>124</v>
      </c>
      <c r="C73" s="62" t="s">
        <v>415</v>
      </c>
      <c r="D73" s="96" t="s">
        <v>35</v>
      </c>
      <c r="E73" s="62" t="s">
        <v>864</v>
      </c>
      <c r="F73" s="96" t="s">
        <v>26</v>
      </c>
      <c r="G73" s="97" t="s">
        <v>4988</v>
      </c>
      <c r="H73" s="62" t="s">
        <v>1424</v>
      </c>
      <c r="I73" s="97" t="s">
        <v>4989</v>
      </c>
      <c r="J73" s="7" t="s">
        <v>123</v>
      </c>
      <c r="K73" s="98" t="s">
        <v>1426</v>
      </c>
      <c r="L73" s="98" t="s">
        <v>322</v>
      </c>
      <c r="M73" s="98">
        <v>83014000</v>
      </c>
      <c r="N73" s="98">
        <v>1000</v>
      </c>
      <c r="O73" s="7">
        <v>45</v>
      </c>
      <c r="P73" s="7"/>
      <c r="R73" s="9">
        <v>101.8973849611458</v>
      </c>
      <c r="T73" s="7" t="s">
        <v>34</v>
      </c>
      <c r="U73" s="7" t="s">
        <v>34</v>
      </c>
    </row>
    <row r="74" spans="1:21" ht="14.1" customHeight="1">
      <c r="A74" s="96">
        <v>89</v>
      </c>
      <c r="B74" s="62" t="s">
        <v>124</v>
      </c>
      <c r="C74" s="62" t="s">
        <v>415</v>
      </c>
      <c r="D74" s="96" t="s">
        <v>35</v>
      </c>
      <c r="E74" s="62" t="s">
        <v>864</v>
      </c>
      <c r="F74" s="96" t="s">
        <v>26</v>
      </c>
      <c r="G74" s="97" t="s">
        <v>4990</v>
      </c>
      <c r="H74" s="62" t="s">
        <v>1424</v>
      </c>
      <c r="I74" s="97" t="s">
        <v>4991</v>
      </c>
      <c r="J74" s="7" t="s">
        <v>123</v>
      </c>
      <c r="K74" s="98" t="s">
        <v>1426</v>
      </c>
      <c r="L74" s="98" t="s">
        <v>322</v>
      </c>
      <c r="M74" s="98">
        <v>83014000</v>
      </c>
      <c r="N74" s="98">
        <v>1000</v>
      </c>
      <c r="O74" s="7">
        <v>45</v>
      </c>
      <c r="P74" s="7"/>
      <c r="R74" s="9">
        <v>95.807029333610174</v>
      </c>
      <c r="T74" s="7" t="s">
        <v>34</v>
      </c>
      <c r="U74" s="7" t="s">
        <v>34</v>
      </c>
    </row>
    <row r="75" spans="1:21" ht="14.1" customHeight="1">
      <c r="A75" s="96">
        <v>90</v>
      </c>
      <c r="B75" s="62" t="s">
        <v>124</v>
      </c>
      <c r="C75" s="62" t="s">
        <v>415</v>
      </c>
      <c r="D75" s="96" t="s">
        <v>35</v>
      </c>
      <c r="E75" s="62" t="s">
        <v>864</v>
      </c>
      <c r="F75" s="96" t="s">
        <v>26</v>
      </c>
      <c r="G75" s="97" t="s">
        <v>4992</v>
      </c>
      <c r="H75" s="62" t="s">
        <v>1424</v>
      </c>
      <c r="I75" s="97" t="s">
        <v>4993</v>
      </c>
      <c r="J75" s="7" t="s">
        <v>123</v>
      </c>
      <c r="K75" s="98" t="s">
        <v>1426</v>
      </c>
      <c r="L75" s="98" t="s">
        <v>322</v>
      </c>
      <c r="M75" s="98">
        <v>83014000</v>
      </c>
      <c r="N75" s="98">
        <v>1000</v>
      </c>
      <c r="O75" s="7">
        <v>45</v>
      </c>
      <c r="P75" s="7"/>
      <c r="R75" s="9">
        <v>97.30913498165711</v>
      </c>
      <c r="T75" s="7" t="s">
        <v>34</v>
      </c>
      <c r="U75" s="7" t="s">
        <v>34</v>
      </c>
    </row>
    <row r="76" spans="1:21" ht="14.1" customHeight="1">
      <c r="A76" s="96">
        <v>91</v>
      </c>
      <c r="B76" s="62" t="s">
        <v>124</v>
      </c>
      <c r="C76" s="62" t="s">
        <v>415</v>
      </c>
      <c r="D76" s="96" t="s">
        <v>35</v>
      </c>
      <c r="E76" s="62" t="s">
        <v>864</v>
      </c>
      <c r="F76" s="96" t="s">
        <v>26</v>
      </c>
      <c r="G76" s="97" t="s">
        <v>4994</v>
      </c>
      <c r="H76" s="62" t="s">
        <v>1424</v>
      </c>
      <c r="I76" s="97" t="s">
        <v>4995</v>
      </c>
      <c r="J76" s="7" t="s">
        <v>123</v>
      </c>
      <c r="K76" s="98" t="s">
        <v>1426</v>
      </c>
      <c r="L76" s="98" t="s">
        <v>322</v>
      </c>
      <c r="M76" s="98">
        <v>83014000</v>
      </c>
      <c r="N76" s="98">
        <v>1000</v>
      </c>
      <c r="O76" s="7">
        <v>45</v>
      </c>
      <c r="P76" s="7"/>
      <c r="R76" s="9">
        <v>92.775507025733702</v>
      </c>
      <c r="T76" s="7" t="s">
        <v>34</v>
      </c>
      <c r="U76" s="7" t="s">
        <v>34</v>
      </c>
    </row>
    <row r="77" spans="1:21" ht="14.1" customHeight="1">
      <c r="A77" s="96">
        <v>92</v>
      </c>
      <c r="B77" s="62" t="s">
        <v>124</v>
      </c>
      <c r="C77" s="62" t="s">
        <v>415</v>
      </c>
      <c r="D77" s="96" t="s">
        <v>35</v>
      </c>
      <c r="E77" s="62" t="s">
        <v>864</v>
      </c>
      <c r="F77" s="96" t="s">
        <v>26</v>
      </c>
      <c r="G77" s="97" t="s">
        <v>4996</v>
      </c>
      <c r="H77" s="62" t="s">
        <v>1424</v>
      </c>
      <c r="I77" s="97" t="s">
        <v>4997</v>
      </c>
      <c r="J77" s="7" t="s">
        <v>123</v>
      </c>
      <c r="K77" s="98" t="s">
        <v>1426</v>
      </c>
      <c r="L77" s="98" t="s">
        <v>322</v>
      </c>
      <c r="M77" s="98">
        <v>83014000</v>
      </c>
      <c r="N77" s="98">
        <v>1000</v>
      </c>
      <c r="O77" s="7">
        <v>45</v>
      </c>
      <c r="P77" s="7"/>
      <c r="R77" s="9">
        <v>94.304923685563281</v>
      </c>
      <c r="T77" s="7" t="s">
        <v>34</v>
      </c>
      <c r="U77" s="7" t="s">
        <v>34</v>
      </c>
    </row>
    <row r="78" spans="1:21" ht="14.1" customHeight="1">
      <c r="A78" s="96">
        <v>93</v>
      </c>
      <c r="B78" s="62" t="s">
        <v>124</v>
      </c>
      <c r="C78" s="62" t="s">
        <v>415</v>
      </c>
      <c r="D78" s="96" t="s">
        <v>35</v>
      </c>
      <c r="E78" s="62" t="s">
        <v>864</v>
      </c>
      <c r="F78" s="96" t="s">
        <v>26</v>
      </c>
      <c r="G78" s="97" t="s">
        <v>4998</v>
      </c>
      <c r="H78" s="62" t="s">
        <v>1424</v>
      </c>
      <c r="I78" s="97" t="s">
        <v>4999</v>
      </c>
      <c r="J78" s="7" t="s">
        <v>123</v>
      </c>
      <c r="K78" s="98" t="s">
        <v>1426</v>
      </c>
      <c r="L78" s="98" t="s">
        <v>322</v>
      </c>
      <c r="M78" s="98">
        <v>83014000</v>
      </c>
      <c r="N78" s="98">
        <v>1000</v>
      </c>
      <c r="O78" s="7">
        <v>45</v>
      </c>
      <c r="P78" s="7"/>
      <c r="R78" s="9">
        <v>95.807029333610174</v>
      </c>
      <c r="T78" s="7" t="s">
        <v>34</v>
      </c>
      <c r="U78" s="7" t="s">
        <v>34</v>
      </c>
    </row>
    <row r="79" spans="1:21" ht="14.1" customHeight="1">
      <c r="A79" s="96">
        <v>94</v>
      </c>
      <c r="B79" s="62" t="s">
        <v>124</v>
      </c>
      <c r="C79" s="62" t="s">
        <v>415</v>
      </c>
      <c r="D79" s="96" t="s">
        <v>35</v>
      </c>
      <c r="E79" s="62" t="s">
        <v>864</v>
      </c>
      <c r="F79" s="96" t="s">
        <v>26</v>
      </c>
      <c r="G79" s="97" t="s">
        <v>5000</v>
      </c>
      <c r="H79" s="62" t="s">
        <v>1424</v>
      </c>
      <c r="I79" s="97" t="s">
        <v>5001</v>
      </c>
      <c r="J79" s="7" t="s">
        <v>123</v>
      </c>
      <c r="K79" s="98" t="s">
        <v>1426</v>
      </c>
      <c r="L79" s="98" t="s">
        <v>322</v>
      </c>
      <c r="M79" s="98">
        <v>83014000</v>
      </c>
      <c r="N79" s="98">
        <v>1000</v>
      </c>
      <c r="O79" s="7">
        <v>45</v>
      </c>
      <c r="P79" s="7"/>
      <c r="R79" s="9">
        <v>97.30913498165711</v>
      </c>
      <c r="T79" s="7" t="s">
        <v>34</v>
      </c>
      <c r="U79" s="7" t="s">
        <v>34</v>
      </c>
    </row>
    <row r="80" spans="1:21" ht="14.1" customHeight="1">
      <c r="A80" s="96">
        <v>95</v>
      </c>
      <c r="B80" s="62" t="s">
        <v>124</v>
      </c>
      <c r="C80" s="62" t="s">
        <v>415</v>
      </c>
      <c r="D80" s="96" t="s">
        <v>35</v>
      </c>
      <c r="E80" s="62" t="s">
        <v>864</v>
      </c>
      <c r="F80" s="96" t="s">
        <v>26</v>
      </c>
      <c r="G80" s="97" t="s">
        <v>5002</v>
      </c>
      <c r="H80" s="62" t="s">
        <v>1424</v>
      </c>
      <c r="I80" s="97" t="s">
        <v>5003</v>
      </c>
      <c r="J80" s="7" t="s">
        <v>123</v>
      </c>
      <c r="K80" s="98" t="s">
        <v>1426</v>
      </c>
      <c r="L80" s="98" t="s">
        <v>322</v>
      </c>
      <c r="M80" s="98">
        <v>83014000</v>
      </c>
      <c r="N80" s="98">
        <v>100</v>
      </c>
      <c r="O80" s="7">
        <v>45</v>
      </c>
      <c r="P80" s="7"/>
      <c r="R80" s="9">
        <v>59.592627709788317</v>
      </c>
      <c r="T80" s="7" t="s">
        <v>34</v>
      </c>
      <c r="U80" s="7" t="s">
        <v>34</v>
      </c>
    </row>
    <row r="81" spans="1:21" ht="14.1" customHeight="1">
      <c r="A81" s="96">
        <v>96</v>
      </c>
      <c r="B81" s="62" t="s">
        <v>124</v>
      </c>
      <c r="C81" s="62" t="s">
        <v>415</v>
      </c>
      <c r="D81" s="96" t="s">
        <v>35</v>
      </c>
      <c r="E81" s="62" t="s">
        <v>864</v>
      </c>
      <c r="F81" s="96" t="s">
        <v>26</v>
      </c>
      <c r="G81" s="97" t="s">
        <v>5002</v>
      </c>
      <c r="H81" s="62" t="s">
        <v>1081</v>
      </c>
      <c r="I81" s="97" t="s">
        <v>5003</v>
      </c>
      <c r="J81" s="7" t="s">
        <v>123</v>
      </c>
      <c r="K81" s="98" t="s">
        <v>1083</v>
      </c>
      <c r="L81" s="98" t="s">
        <v>322</v>
      </c>
      <c r="M81" s="98">
        <v>83014000</v>
      </c>
      <c r="N81" s="98">
        <v>100</v>
      </c>
      <c r="O81" s="7">
        <v>45</v>
      </c>
      <c r="P81" s="7"/>
      <c r="R81" s="9">
        <v>71.172496705640853</v>
      </c>
      <c r="T81" s="7" t="s">
        <v>34</v>
      </c>
      <c r="U81" s="7" t="s">
        <v>34</v>
      </c>
    </row>
    <row r="82" spans="1:21" ht="14.1" customHeight="1">
      <c r="A82" s="96">
        <v>97</v>
      </c>
      <c r="B82" s="62" t="s">
        <v>124</v>
      </c>
      <c r="C82" s="62" t="s">
        <v>415</v>
      </c>
      <c r="D82" s="96" t="s">
        <v>35</v>
      </c>
      <c r="E82" s="62" t="s">
        <v>864</v>
      </c>
      <c r="F82" s="96" t="s">
        <v>26</v>
      </c>
      <c r="G82" s="97" t="s">
        <v>5002</v>
      </c>
      <c r="H82" s="321" t="s">
        <v>3780</v>
      </c>
      <c r="I82" s="97" t="s">
        <v>5003</v>
      </c>
      <c r="J82" s="7" t="s">
        <v>123</v>
      </c>
      <c r="K82" s="322" t="s">
        <v>26</v>
      </c>
      <c r="L82" s="98" t="s">
        <v>322</v>
      </c>
      <c r="M82" s="98">
        <v>83014000</v>
      </c>
      <c r="N82" s="98">
        <v>100</v>
      </c>
      <c r="O82" s="7">
        <v>45</v>
      </c>
      <c r="P82" s="7"/>
      <c r="R82" s="9">
        <v>77.017053227132479</v>
      </c>
      <c r="T82" s="7" t="s">
        <v>34</v>
      </c>
      <c r="U82" s="7" t="s">
        <v>34</v>
      </c>
    </row>
    <row r="83" spans="1:21" ht="14.1" customHeight="1">
      <c r="A83" s="96">
        <v>98</v>
      </c>
      <c r="B83" s="62" t="s">
        <v>124</v>
      </c>
      <c r="C83" s="62" t="s">
        <v>415</v>
      </c>
      <c r="D83" s="96" t="s">
        <v>35</v>
      </c>
      <c r="E83" s="62" t="s">
        <v>864</v>
      </c>
      <c r="F83" s="96" t="s">
        <v>26</v>
      </c>
      <c r="G83" s="97" t="s">
        <v>5002</v>
      </c>
      <c r="H83" s="321" t="s">
        <v>1871</v>
      </c>
      <c r="I83" s="97" t="s">
        <v>5003</v>
      </c>
      <c r="J83" s="7" t="s">
        <v>123</v>
      </c>
      <c r="K83" s="322" t="s">
        <v>1873</v>
      </c>
      <c r="L83" s="98" t="s">
        <v>322</v>
      </c>
      <c r="M83" s="98">
        <v>83014000</v>
      </c>
      <c r="N83" s="98">
        <v>100</v>
      </c>
      <c r="O83" s="7">
        <v>45</v>
      </c>
      <c r="P83" s="7"/>
      <c r="R83" s="9">
        <v>70.462410399291414</v>
      </c>
      <c r="T83" s="7" t="s">
        <v>34</v>
      </c>
      <c r="U83" s="7" t="s">
        <v>34</v>
      </c>
    </row>
    <row r="84" spans="1:21" ht="14.1" customHeight="1">
      <c r="A84" s="96">
        <v>99</v>
      </c>
      <c r="B84" s="62" t="s">
        <v>124</v>
      </c>
      <c r="C84" s="62" t="s">
        <v>415</v>
      </c>
      <c r="D84" s="96" t="s">
        <v>804</v>
      </c>
      <c r="E84" s="62" t="s">
        <v>5004</v>
      </c>
      <c r="F84" s="96" t="s">
        <v>26</v>
      </c>
      <c r="G84" s="97" t="s">
        <v>5005</v>
      </c>
      <c r="H84" s="62" t="s">
        <v>5006</v>
      </c>
      <c r="I84" s="97" t="s">
        <v>5007</v>
      </c>
      <c r="J84" s="7" t="s">
        <v>123</v>
      </c>
      <c r="K84" s="98" t="s">
        <v>1426</v>
      </c>
      <c r="L84" s="98" t="s">
        <v>322</v>
      </c>
      <c r="M84" s="98">
        <v>83026000</v>
      </c>
      <c r="N84" s="98">
        <v>100</v>
      </c>
      <c r="O84" s="7">
        <v>55</v>
      </c>
      <c r="P84" s="7"/>
      <c r="R84" s="9">
        <v>303.6438289997372</v>
      </c>
      <c r="T84" s="7" t="s">
        <v>34</v>
      </c>
      <c r="U84" s="7" t="s">
        <v>34</v>
      </c>
    </row>
    <row r="85" spans="1:21" ht="14.1" customHeight="1">
      <c r="A85" s="96">
        <v>100</v>
      </c>
      <c r="B85" s="62" t="s">
        <v>124</v>
      </c>
      <c r="C85" s="62" t="s">
        <v>415</v>
      </c>
      <c r="D85" s="96" t="s">
        <v>804</v>
      </c>
      <c r="E85" s="62" t="s">
        <v>5004</v>
      </c>
      <c r="F85" s="96" t="s">
        <v>26</v>
      </c>
      <c r="G85" s="97" t="s">
        <v>5008</v>
      </c>
      <c r="H85" s="62" t="s">
        <v>5006</v>
      </c>
      <c r="I85" s="97" t="s">
        <v>5009</v>
      </c>
      <c r="J85" s="7" t="s">
        <v>123</v>
      </c>
      <c r="K85" s="98" t="s">
        <v>1426</v>
      </c>
      <c r="L85" s="98" t="s">
        <v>322</v>
      </c>
      <c r="M85" s="98">
        <v>83026000</v>
      </c>
      <c r="N85" s="98">
        <v>100</v>
      </c>
      <c r="O85" s="7">
        <v>55</v>
      </c>
      <c r="P85" s="7"/>
      <c r="R85" s="9">
        <v>384.45711286466098</v>
      </c>
      <c r="T85" s="7" t="s">
        <v>34</v>
      </c>
      <c r="U85" s="7" t="s">
        <v>34</v>
      </c>
    </row>
    <row r="86" spans="1:21" ht="14.1" customHeight="1">
      <c r="A86" s="96">
        <v>101</v>
      </c>
      <c r="B86" s="62" t="s">
        <v>124</v>
      </c>
      <c r="C86" s="62" t="s">
        <v>415</v>
      </c>
      <c r="D86" s="96" t="s">
        <v>804</v>
      </c>
      <c r="E86" s="62" t="s">
        <v>5004</v>
      </c>
      <c r="F86" s="96" t="s">
        <v>26</v>
      </c>
      <c r="G86" s="97" t="s">
        <v>5010</v>
      </c>
      <c r="H86" s="62" t="s">
        <v>5006</v>
      </c>
      <c r="I86" s="97" t="s">
        <v>5011</v>
      </c>
      <c r="J86" s="7" t="s">
        <v>123</v>
      </c>
      <c r="K86" s="98" t="s">
        <v>1426</v>
      </c>
      <c r="L86" s="98" t="s">
        <v>322</v>
      </c>
      <c r="M86" s="98">
        <v>83026000</v>
      </c>
      <c r="N86" s="98">
        <v>100</v>
      </c>
      <c r="O86" s="7">
        <v>55</v>
      </c>
      <c r="P86" s="7"/>
      <c r="R86" s="9">
        <v>481.76624784631809</v>
      </c>
      <c r="T86" s="7" t="s">
        <v>34</v>
      </c>
      <c r="U86" s="7" t="s">
        <v>34</v>
      </c>
    </row>
    <row r="87" spans="1:21" ht="14.1" customHeight="1">
      <c r="A87" s="96">
        <v>102</v>
      </c>
      <c r="B87" s="62" t="s">
        <v>124</v>
      </c>
      <c r="C87" s="62" t="s">
        <v>415</v>
      </c>
      <c r="D87" s="96" t="s">
        <v>804</v>
      </c>
      <c r="E87" s="62" t="s">
        <v>5004</v>
      </c>
      <c r="F87" s="96" t="s">
        <v>26</v>
      </c>
      <c r="G87" s="97" t="s">
        <v>5012</v>
      </c>
      <c r="H87" s="62" t="s">
        <v>5006</v>
      </c>
      <c r="I87" s="97" t="s">
        <v>5013</v>
      </c>
      <c r="J87" s="7" t="s">
        <v>123</v>
      </c>
      <c r="K87" s="98" t="s">
        <v>1426</v>
      </c>
      <c r="L87" s="98" t="s">
        <v>322</v>
      </c>
      <c r="M87" s="98">
        <v>83026000</v>
      </c>
      <c r="N87" s="98">
        <v>100</v>
      </c>
      <c r="O87" s="7">
        <v>55</v>
      </c>
      <c r="P87" s="7"/>
      <c r="R87" s="9">
        <v>481.76624784631809</v>
      </c>
      <c r="T87" s="7" t="s">
        <v>34</v>
      </c>
      <c r="U87" s="7" t="s">
        <v>34</v>
      </c>
    </row>
    <row r="88" spans="1:21" ht="14.1" customHeight="1">
      <c r="A88" s="96">
        <v>103</v>
      </c>
      <c r="B88" s="62" t="s">
        <v>124</v>
      </c>
      <c r="C88" s="62" t="s">
        <v>415</v>
      </c>
      <c r="D88" s="96" t="s">
        <v>804</v>
      </c>
      <c r="E88" s="62" t="s">
        <v>436</v>
      </c>
      <c r="F88" s="96" t="s">
        <v>26</v>
      </c>
      <c r="G88" s="97" t="s">
        <v>5014</v>
      </c>
      <c r="H88" s="62" t="s">
        <v>1424</v>
      </c>
      <c r="I88" s="97" t="s">
        <v>5015</v>
      </c>
      <c r="J88" s="7" t="s">
        <v>30</v>
      </c>
      <c r="K88" s="98" t="s">
        <v>1426</v>
      </c>
      <c r="L88" s="98" t="s">
        <v>322</v>
      </c>
      <c r="M88" s="98">
        <v>76169990</v>
      </c>
      <c r="N88" s="98">
        <v>100</v>
      </c>
      <c r="O88" s="7">
        <v>45</v>
      </c>
      <c r="P88" s="7"/>
      <c r="R88" s="9">
        <v>75.924612755825635</v>
      </c>
      <c r="T88" s="7" t="s">
        <v>34</v>
      </c>
      <c r="U88" s="7" t="s">
        <v>34</v>
      </c>
    </row>
    <row r="89" spans="1:21" ht="14.1" customHeight="1">
      <c r="A89" s="96">
        <v>105</v>
      </c>
      <c r="B89" s="62" t="s">
        <v>124</v>
      </c>
      <c r="C89" s="62" t="s">
        <v>415</v>
      </c>
      <c r="D89" s="96" t="s">
        <v>804</v>
      </c>
      <c r="E89" s="62" t="s">
        <v>436</v>
      </c>
      <c r="F89" s="96" t="s">
        <v>26</v>
      </c>
      <c r="G89" s="97" t="s">
        <v>5016</v>
      </c>
      <c r="H89" s="62" t="s">
        <v>1424</v>
      </c>
      <c r="I89" s="97" t="s">
        <v>5017</v>
      </c>
      <c r="J89" s="7" t="s">
        <v>30</v>
      </c>
      <c r="K89" s="98" t="s">
        <v>1426</v>
      </c>
      <c r="L89" s="98" t="s">
        <v>322</v>
      </c>
      <c r="M89" s="98">
        <v>76169990</v>
      </c>
      <c r="N89" s="98">
        <v>100</v>
      </c>
      <c r="O89" s="7">
        <v>45</v>
      </c>
      <c r="P89" s="7"/>
      <c r="R89" s="9">
        <v>75.924612755825635</v>
      </c>
      <c r="T89" s="7" t="s">
        <v>34</v>
      </c>
      <c r="U89" s="7" t="s">
        <v>34</v>
      </c>
    </row>
    <row r="90" spans="1:21" ht="14.1" customHeight="1">
      <c r="A90" s="96">
        <v>106</v>
      </c>
      <c r="B90" s="62" t="s">
        <v>124</v>
      </c>
      <c r="C90" s="62" t="s">
        <v>415</v>
      </c>
      <c r="D90" s="96" t="s">
        <v>804</v>
      </c>
      <c r="E90" s="62" t="s">
        <v>436</v>
      </c>
      <c r="F90" s="96" t="s">
        <v>26</v>
      </c>
      <c r="G90" s="97" t="s">
        <v>5018</v>
      </c>
      <c r="H90" s="62" t="s">
        <v>1424</v>
      </c>
      <c r="I90" s="97" t="s">
        <v>5019</v>
      </c>
      <c r="J90" s="7" t="s">
        <v>30</v>
      </c>
      <c r="K90" s="98" t="s">
        <v>1426</v>
      </c>
      <c r="L90" s="98" t="s">
        <v>322</v>
      </c>
      <c r="M90" s="98">
        <v>76169990</v>
      </c>
      <c r="N90" s="98">
        <v>100</v>
      </c>
      <c r="O90" s="7">
        <v>45</v>
      </c>
      <c r="P90" s="7"/>
      <c r="R90" s="9">
        <v>86.903639492459405</v>
      </c>
      <c r="T90" s="7" t="s">
        <v>34</v>
      </c>
      <c r="U90" s="7" t="s">
        <v>34</v>
      </c>
    </row>
    <row r="91" spans="1:21" ht="14.1" customHeight="1">
      <c r="A91" s="96">
        <v>107</v>
      </c>
      <c r="B91" s="62" t="s">
        <v>124</v>
      </c>
      <c r="C91" s="62" t="s">
        <v>415</v>
      </c>
      <c r="D91" s="96" t="s">
        <v>804</v>
      </c>
      <c r="E91" s="62" t="s">
        <v>436</v>
      </c>
      <c r="F91" s="96" t="s">
        <v>26</v>
      </c>
      <c r="G91" s="97" t="s">
        <v>5020</v>
      </c>
      <c r="H91" s="62" t="s">
        <v>1424</v>
      </c>
      <c r="I91" s="97" t="s">
        <v>5021</v>
      </c>
      <c r="J91" s="7" t="s">
        <v>30</v>
      </c>
      <c r="K91" s="98" t="s">
        <v>1426</v>
      </c>
      <c r="L91" s="98" t="s">
        <v>322</v>
      </c>
      <c r="M91" s="98">
        <v>76169990</v>
      </c>
      <c r="N91" s="98">
        <v>100</v>
      </c>
      <c r="O91" s="7">
        <v>45</v>
      </c>
      <c r="P91" s="7"/>
      <c r="R91" s="9">
        <v>75.924612755825635</v>
      </c>
      <c r="T91" s="7" t="s">
        <v>34</v>
      </c>
      <c r="U91" s="7" t="s">
        <v>34</v>
      </c>
    </row>
    <row r="92" spans="1:21" ht="14.1" customHeight="1">
      <c r="A92" s="96">
        <v>109</v>
      </c>
      <c r="B92" s="62" t="s">
        <v>124</v>
      </c>
      <c r="C92" s="62" t="s">
        <v>415</v>
      </c>
      <c r="D92" s="96" t="s">
        <v>804</v>
      </c>
      <c r="E92" s="62" t="s">
        <v>436</v>
      </c>
      <c r="F92" s="96" t="s">
        <v>26</v>
      </c>
      <c r="G92" s="97" t="s">
        <v>5022</v>
      </c>
      <c r="H92" s="62" t="s">
        <v>1081</v>
      </c>
      <c r="I92" s="97" t="s">
        <v>5019</v>
      </c>
      <c r="J92" s="7" t="s">
        <v>30</v>
      </c>
      <c r="K92" s="98" t="s">
        <v>1083</v>
      </c>
      <c r="L92" s="98" t="s">
        <v>322</v>
      </c>
      <c r="M92" s="98">
        <v>76169990</v>
      </c>
      <c r="N92" s="98">
        <v>100</v>
      </c>
      <c r="O92" s="7">
        <v>45</v>
      </c>
      <c r="P92" s="7"/>
      <c r="R92" s="9">
        <v>86.903639492459405</v>
      </c>
      <c r="T92" s="7" t="s">
        <v>34</v>
      </c>
      <c r="U92" s="7" t="s">
        <v>34</v>
      </c>
    </row>
    <row r="93" spans="1:21" ht="14.1" customHeight="1">
      <c r="A93" s="96">
        <v>111</v>
      </c>
      <c r="B93" s="62" t="s">
        <v>124</v>
      </c>
      <c r="C93" s="62" t="s">
        <v>415</v>
      </c>
      <c r="D93" s="96" t="s">
        <v>804</v>
      </c>
      <c r="E93" s="62" t="s">
        <v>436</v>
      </c>
      <c r="F93" s="96" t="s">
        <v>26</v>
      </c>
      <c r="G93" s="97" t="s">
        <v>5023</v>
      </c>
      <c r="H93" s="62" t="s">
        <v>1424</v>
      </c>
      <c r="I93" s="97" t="s">
        <v>5024</v>
      </c>
      <c r="J93" s="7" t="s">
        <v>30</v>
      </c>
      <c r="K93" s="98" t="s">
        <v>1426</v>
      </c>
      <c r="L93" s="98" t="s">
        <v>322</v>
      </c>
      <c r="M93" s="98">
        <v>76169990</v>
      </c>
      <c r="N93" s="98">
        <v>100</v>
      </c>
      <c r="O93" s="7">
        <v>45</v>
      </c>
      <c r="P93" s="7"/>
      <c r="R93" s="9">
        <v>90.344826977075954</v>
      </c>
      <c r="T93" s="7" t="s">
        <v>34</v>
      </c>
      <c r="U93" s="7" t="s">
        <v>34</v>
      </c>
    </row>
    <row r="94" spans="1:21" ht="14.1" customHeight="1">
      <c r="A94" s="96">
        <v>112</v>
      </c>
      <c r="B94" s="62" t="s">
        <v>124</v>
      </c>
      <c r="C94" s="62" t="s">
        <v>415</v>
      </c>
      <c r="D94" s="96" t="s">
        <v>804</v>
      </c>
      <c r="E94" s="62" t="s">
        <v>436</v>
      </c>
      <c r="F94" s="96" t="s">
        <v>26</v>
      </c>
      <c r="G94" s="97" t="s">
        <v>5025</v>
      </c>
      <c r="H94" s="62" t="s">
        <v>1424</v>
      </c>
      <c r="I94" s="97" t="s">
        <v>5026</v>
      </c>
      <c r="J94" s="7" t="s">
        <v>30</v>
      </c>
      <c r="K94" s="98" t="s">
        <v>1426</v>
      </c>
      <c r="L94" s="98" t="s">
        <v>322</v>
      </c>
      <c r="M94" s="98">
        <v>76169990</v>
      </c>
      <c r="N94" s="98">
        <v>100</v>
      </c>
      <c r="O94" s="7">
        <v>45</v>
      </c>
      <c r="P94" s="7"/>
      <c r="R94" s="9">
        <v>124.1285485522401</v>
      </c>
      <c r="T94" s="7" t="s">
        <v>34</v>
      </c>
      <c r="U94" s="7" t="s">
        <v>34</v>
      </c>
    </row>
    <row r="95" spans="1:21" ht="14.1" customHeight="1">
      <c r="A95" s="96">
        <v>113</v>
      </c>
      <c r="B95" s="62" t="s">
        <v>124</v>
      </c>
      <c r="C95" s="62" t="s">
        <v>415</v>
      </c>
      <c r="D95" s="96" t="s">
        <v>804</v>
      </c>
      <c r="E95" s="62" t="s">
        <v>436</v>
      </c>
      <c r="F95" s="96" t="s">
        <v>26</v>
      </c>
      <c r="G95" s="97" t="s">
        <v>5027</v>
      </c>
      <c r="H95" s="62" t="s">
        <v>1424</v>
      </c>
      <c r="I95" s="97" t="s">
        <v>5028</v>
      </c>
      <c r="J95" s="7" t="s">
        <v>30</v>
      </c>
      <c r="K95" s="98" t="s">
        <v>1426</v>
      </c>
      <c r="L95" s="98" t="s">
        <v>322</v>
      </c>
      <c r="M95" s="98">
        <v>76169990</v>
      </c>
      <c r="N95" s="98">
        <v>100</v>
      </c>
      <c r="O95" s="7">
        <v>45</v>
      </c>
      <c r="P95" s="7"/>
      <c r="R95" s="9">
        <v>261.8579809722504</v>
      </c>
      <c r="T95" s="7" t="s">
        <v>34</v>
      </c>
      <c r="U95" s="7" t="s">
        <v>34</v>
      </c>
    </row>
    <row r="96" spans="1:21" ht="14.1" customHeight="1">
      <c r="A96" s="96">
        <v>114</v>
      </c>
      <c r="B96" s="62" t="s">
        <v>124</v>
      </c>
      <c r="C96" s="62" t="s">
        <v>415</v>
      </c>
      <c r="D96" s="96" t="s">
        <v>804</v>
      </c>
      <c r="E96" s="62" t="s">
        <v>436</v>
      </c>
      <c r="F96" s="96" t="s">
        <v>26</v>
      </c>
      <c r="G96" s="97" t="s">
        <v>5029</v>
      </c>
      <c r="H96" s="62" t="s">
        <v>1424</v>
      </c>
      <c r="I96" s="97" t="s">
        <v>5030</v>
      </c>
      <c r="J96" s="7" t="s">
        <v>30</v>
      </c>
      <c r="K96" s="98" t="s">
        <v>1426</v>
      </c>
      <c r="L96" s="98" t="s">
        <v>322</v>
      </c>
      <c r="M96" s="98">
        <v>76169990</v>
      </c>
      <c r="N96" s="98">
        <v>100</v>
      </c>
      <c r="O96" s="7">
        <v>45</v>
      </c>
      <c r="P96" s="7"/>
      <c r="R96" s="9">
        <v>261.8579809722504</v>
      </c>
      <c r="T96" s="7" t="s">
        <v>34</v>
      </c>
      <c r="U96" s="7" t="s">
        <v>34</v>
      </c>
    </row>
    <row r="97" spans="1:21" ht="14.1" customHeight="1">
      <c r="A97" s="96">
        <v>115</v>
      </c>
      <c r="B97" s="62" t="s">
        <v>124</v>
      </c>
      <c r="C97" s="62" t="s">
        <v>415</v>
      </c>
      <c r="D97" s="96" t="s">
        <v>804</v>
      </c>
      <c r="E97" s="62" t="s">
        <v>436</v>
      </c>
      <c r="F97" s="96" t="s">
        <v>26</v>
      </c>
      <c r="G97" s="97" t="s">
        <v>5031</v>
      </c>
      <c r="H97" s="62" t="s">
        <v>1081</v>
      </c>
      <c r="I97" s="97" t="s">
        <v>5024</v>
      </c>
      <c r="J97" s="7" t="s">
        <v>30</v>
      </c>
      <c r="K97" s="98" t="s">
        <v>1083</v>
      </c>
      <c r="L97" s="98" t="s">
        <v>322</v>
      </c>
      <c r="M97" s="98">
        <v>76169990</v>
      </c>
      <c r="N97" s="98">
        <v>100</v>
      </c>
      <c r="O97" s="7">
        <v>45</v>
      </c>
      <c r="P97" s="7"/>
      <c r="R97" s="9">
        <v>90.344826977075954</v>
      </c>
      <c r="T97" s="7" t="s">
        <v>34</v>
      </c>
      <c r="U97" s="7" t="s">
        <v>34</v>
      </c>
    </row>
    <row r="98" spans="1:21" ht="14.1" customHeight="1">
      <c r="A98" s="96">
        <v>117</v>
      </c>
      <c r="B98" s="62" t="s">
        <v>124</v>
      </c>
      <c r="C98" s="62" t="s">
        <v>415</v>
      </c>
      <c r="D98" s="96" t="s">
        <v>804</v>
      </c>
      <c r="E98" s="62" t="s">
        <v>436</v>
      </c>
      <c r="F98" s="96" t="s">
        <v>26</v>
      </c>
      <c r="G98" s="97" t="s">
        <v>5032</v>
      </c>
      <c r="H98" s="62" t="s">
        <v>1081</v>
      </c>
      <c r="I98" s="97" t="s">
        <v>5028</v>
      </c>
      <c r="J98" s="7" t="s">
        <v>30</v>
      </c>
      <c r="K98" s="98" t="s">
        <v>1083</v>
      </c>
      <c r="L98" s="98" t="s">
        <v>322</v>
      </c>
      <c r="M98" s="98">
        <v>76169990</v>
      </c>
      <c r="N98" s="98">
        <v>100</v>
      </c>
      <c r="O98" s="7">
        <v>45</v>
      </c>
      <c r="P98" s="7"/>
      <c r="R98" s="9">
        <v>261.8579809722504</v>
      </c>
      <c r="T98" s="7" t="s">
        <v>34</v>
      </c>
      <c r="U98" s="7" t="s">
        <v>34</v>
      </c>
    </row>
    <row r="99" spans="1:21" ht="14.1" customHeight="1">
      <c r="A99" s="96">
        <v>118</v>
      </c>
      <c r="B99" s="62" t="s">
        <v>124</v>
      </c>
      <c r="C99" s="62" t="s">
        <v>415</v>
      </c>
      <c r="D99" s="96" t="s">
        <v>804</v>
      </c>
      <c r="E99" s="62" t="s">
        <v>436</v>
      </c>
      <c r="F99" s="96" t="s">
        <v>26</v>
      </c>
      <c r="G99" s="97" t="s">
        <v>5033</v>
      </c>
      <c r="H99" s="62" t="s">
        <v>1081</v>
      </c>
      <c r="I99" s="97" t="s">
        <v>5030</v>
      </c>
      <c r="J99" s="7" t="s">
        <v>30</v>
      </c>
      <c r="K99" s="98" t="s">
        <v>1083</v>
      </c>
      <c r="L99" s="98" t="s">
        <v>322</v>
      </c>
      <c r="M99" s="98">
        <v>76169990</v>
      </c>
      <c r="N99" s="98">
        <v>100</v>
      </c>
      <c r="O99" s="7">
        <v>45</v>
      </c>
      <c r="P99" s="7"/>
      <c r="R99" s="9">
        <v>261.8579809722504</v>
      </c>
      <c r="T99" s="7" t="s">
        <v>34</v>
      </c>
      <c r="U99" s="7" t="s">
        <v>34</v>
      </c>
    </row>
    <row r="100" spans="1:21" ht="14.1" customHeight="1">
      <c r="A100" s="96">
        <v>119</v>
      </c>
      <c r="B100" s="62" t="s">
        <v>124</v>
      </c>
      <c r="C100" s="62" t="s">
        <v>415</v>
      </c>
      <c r="D100" s="96" t="s">
        <v>804</v>
      </c>
      <c r="E100" s="62" t="s">
        <v>436</v>
      </c>
      <c r="F100" s="96" t="s">
        <v>26</v>
      </c>
      <c r="G100" s="97" t="s">
        <v>5034</v>
      </c>
      <c r="H100" s="62" t="s">
        <v>1424</v>
      </c>
      <c r="I100" s="97" t="s">
        <v>5035</v>
      </c>
      <c r="J100" s="7" t="s">
        <v>30</v>
      </c>
      <c r="K100" s="98" t="s">
        <v>1426</v>
      </c>
      <c r="L100" s="98" t="s">
        <v>322</v>
      </c>
      <c r="M100" s="98">
        <v>76169990</v>
      </c>
      <c r="N100" s="98">
        <v>100</v>
      </c>
      <c r="O100" s="7">
        <v>45</v>
      </c>
      <c r="P100" s="7"/>
      <c r="R100" s="9">
        <v>81.468748147707856</v>
      </c>
      <c r="T100" s="7" t="s">
        <v>34</v>
      </c>
      <c r="U100" s="7" t="s">
        <v>34</v>
      </c>
    </row>
    <row r="101" spans="1:21" ht="14.1" customHeight="1">
      <c r="A101" s="96">
        <v>120</v>
      </c>
      <c r="B101" s="62" t="s">
        <v>124</v>
      </c>
      <c r="C101" s="62" t="s">
        <v>415</v>
      </c>
      <c r="D101" s="96" t="s">
        <v>804</v>
      </c>
      <c r="E101" s="62" t="s">
        <v>436</v>
      </c>
      <c r="F101" s="96" t="s">
        <v>26</v>
      </c>
      <c r="G101" s="97" t="s">
        <v>5036</v>
      </c>
      <c r="H101" s="62" t="s">
        <v>1424</v>
      </c>
      <c r="I101" s="97" t="s">
        <v>5035</v>
      </c>
      <c r="J101" s="7" t="s">
        <v>30</v>
      </c>
      <c r="K101" s="98" t="s">
        <v>1426</v>
      </c>
      <c r="L101" s="98" t="s">
        <v>322</v>
      </c>
      <c r="M101" s="98">
        <v>76169990</v>
      </c>
      <c r="N101" s="98">
        <v>100</v>
      </c>
      <c r="O101" s="7">
        <v>45</v>
      </c>
      <c r="P101" s="7"/>
      <c r="R101" s="9">
        <v>88.67885525833303</v>
      </c>
      <c r="T101" s="7" t="s">
        <v>34</v>
      </c>
      <c r="U101" s="7" t="s">
        <v>34</v>
      </c>
    </row>
    <row r="102" spans="1:21" ht="14.1" customHeight="1">
      <c r="A102" s="96">
        <v>121</v>
      </c>
      <c r="B102" s="62" t="s">
        <v>124</v>
      </c>
      <c r="C102" s="62" t="s">
        <v>415</v>
      </c>
      <c r="D102" s="96" t="s">
        <v>804</v>
      </c>
      <c r="E102" s="62" t="s">
        <v>436</v>
      </c>
      <c r="F102" s="96" t="s">
        <v>26</v>
      </c>
      <c r="G102" s="97" t="s">
        <v>5037</v>
      </c>
      <c r="H102" s="62" t="s">
        <v>1424</v>
      </c>
      <c r="I102" s="97" t="s">
        <v>5038</v>
      </c>
      <c r="J102" s="7" t="s">
        <v>30</v>
      </c>
      <c r="K102" s="98" t="s">
        <v>1426</v>
      </c>
      <c r="L102" s="98" t="s">
        <v>322</v>
      </c>
      <c r="M102" s="98">
        <v>76169990</v>
      </c>
      <c r="N102" s="98">
        <v>100</v>
      </c>
      <c r="O102" s="7">
        <v>45</v>
      </c>
      <c r="P102" s="7"/>
      <c r="R102" s="9">
        <v>156.46478650292269</v>
      </c>
      <c r="T102" s="7" t="s">
        <v>34</v>
      </c>
      <c r="U102" s="7" t="s">
        <v>34</v>
      </c>
    </row>
    <row r="103" spans="1:21" ht="14.1" customHeight="1">
      <c r="A103" s="96">
        <v>122</v>
      </c>
      <c r="B103" s="62" t="s">
        <v>124</v>
      </c>
      <c r="C103" s="62" t="s">
        <v>415</v>
      </c>
      <c r="D103" s="96" t="s">
        <v>804</v>
      </c>
      <c r="E103" s="62" t="s">
        <v>436</v>
      </c>
      <c r="F103" s="96" t="s">
        <v>26</v>
      </c>
      <c r="G103" s="97" t="s">
        <v>5039</v>
      </c>
      <c r="H103" s="62" t="s">
        <v>1081</v>
      </c>
      <c r="I103" s="97" t="s">
        <v>5035</v>
      </c>
      <c r="J103" s="7" t="s">
        <v>30</v>
      </c>
      <c r="K103" s="98" t="s">
        <v>1083</v>
      </c>
      <c r="L103" s="98" t="s">
        <v>322</v>
      </c>
      <c r="M103" s="98">
        <v>76169990</v>
      </c>
      <c r="N103" s="98">
        <v>100</v>
      </c>
      <c r="O103" s="7">
        <v>45</v>
      </c>
      <c r="P103" s="7"/>
      <c r="R103" s="9">
        <v>81.468748147707856</v>
      </c>
      <c r="T103" s="7" t="s">
        <v>34</v>
      </c>
      <c r="U103" s="7" t="s">
        <v>34</v>
      </c>
    </row>
    <row r="104" spans="1:21" ht="14.1" customHeight="1">
      <c r="A104" s="96">
        <v>123</v>
      </c>
      <c r="B104" s="62" t="s">
        <v>124</v>
      </c>
      <c r="C104" s="62" t="s">
        <v>415</v>
      </c>
      <c r="D104" s="96" t="s">
        <v>804</v>
      </c>
      <c r="E104" s="62" t="s">
        <v>436</v>
      </c>
      <c r="F104" s="96" t="s">
        <v>26</v>
      </c>
      <c r="G104" s="97" t="s">
        <v>5040</v>
      </c>
      <c r="H104" s="62" t="s">
        <v>1081</v>
      </c>
      <c r="I104" s="97" t="s">
        <v>5035</v>
      </c>
      <c r="J104" s="7" t="s">
        <v>30</v>
      </c>
      <c r="K104" s="98" t="s">
        <v>1083</v>
      </c>
      <c r="L104" s="98" t="s">
        <v>322</v>
      </c>
      <c r="M104" s="98">
        <v>76169990</v>
      </c>
      <c r="N104" s="98">
        <v>100</v>
      </c>
      <c r="O104" s="7">
        <v>45</v>
      </c>
      <c r="P104" s="7"/>
      <c r="R104" s="9">
        <v>88.67885525833303</v>
      </c>
      <c r="T104" s="7" t="s">
        <v>34</v>
      </c>
      <c r="U104" s="7" t="s">
        <v>34</v>
      </c>
    </row>
    <row r="105" spans="1:21" ht="14.1" customHeight="1">
      <c r="A105" s="96">
        <v>124</v>
      </c>
      <c r="B105" s="62" t="s">
        <v>124</v>
      </c>
      <c r="C105" s="62" t="s">
        <v>415</v>
      </c>
      <c r="D105" s="96" t="s">
        <v>804</v>
      </c>
      <c r="E105" s="62" t="s">
        <v>436</v>
      </c>
      <c r="F105" s="96" t="s">
        <v>26</v>
      </c>
      <c r="G105" s="97" t="s">
        <v>5041</v>
      </c>
      <c r="H105" s="62" t="s">
        <v>1081</v>
      </c>
      <c r="I105" s="97" t="s">
        <v>5038</v>
      </c>
      <c r="J105" s="7" t="s">
        <v>30</v>
      </c>
      <c r="K105" s="98" t="s">
        <v>1083</v>
      </c>
      <c r="L105" s="98" t="s">
        <v>322</v>
      </c>
      <c r="M105" s="98">
        <v>76169990</v>
      </c>
      <c r="N105" s="98">
        <v>100</v>
      </c>
      <c r="O105" s="7">
        <v>45</v>
      </c>
      <c r="P105" s="7"/>
      <c r="R105" s="9">
        <v>156.46478650292269</v>
      </c>
      <c r="T105" s="7" t="s">
        <v>34</v>
      </c>
      <c r="U105" s="7" t="s">
        <v>34</v>
      </c>
    </row>
    <row r="106" spans="1:21" ht="14.1" customHeight="1">
      <c r="A106" s="96">
        <v>125</v>
      </c>
      <c r="B106" s="62" t="s">
        <v>124</v>
      </c>
      <c r="C106" s="62" t="s">
        <v>415</v>
      </c>
      <c r="D106" s="96" t="s">
        <v>804</v>
      </c>
      <c r="E106" s="62" t="s">
        <v>436</v>
      </c>
      <c r="F106" s="96" t="s">
        <v>26</v>
      </c>
      <c r="G106" s="97" t="s">
        <v>5042</v>
      </c>
      <c r="H106" s="62" t="s">
        <v>1424</v>
      </c>
      <c r="I106" s="97" t="s">
        <v>5043</v>
      </c>
      <c r="J106" s="7" t="s">
        <v>30</v>
      </c>
      <c r="K106" s="98" t="s">
        <v>1426</v>
      </c>
      <c r="L106" s="98" t="s">
        <v>322</v>
      </c>
      <c r="M106" s="98">
        <v>76169990</v>
      </c>
      <c r="N106" s="98">
        <v>100</v>
      </c>
      <c r="O106" s="7">
        <v>45</v>
      </c>
      <c r="P106" s="7"/>
      <c r="R106" s="9">
        <v>171.92281917191451</v>
      </c>
      <c r="T106" s="7" t="s">
        <v>34</v>
      </c>
      <c r="U106" s="7" t="s">
        <v>34</v>
      </c>
    </row>
    <row r="107" spans="1:21" ht="14.1" customHeight="1">
      <c r="A107" s="96">
        <v>126</v>
      </c>
      <c r="B107" s="62" t="s">
        <v>124</v>
      </c>
      <c r="C107" s="62" t="s">
        <v>415</v>
      </c>
      <c r="D107" s="96" t="s">
        <v>804</v>
      </c>
      <c r="E107" s="62" t="s">
        <v>436</v>
      </c>
      <c r="F107" s="96" t="s">
        <v>26</v>
      </c>
      <c r="G107" s="97" t="s">
        <v>5044</v>
      </c>
      <c r="H107" s="62" t="s">
        <v>1424</v>
      </c>
      <c r="I107" s="97" t="s">
        <v>5045</v>
      </c>
      <c r="J107" s="7" t="s">
        <v>30</v>
      </c>
      <c r="K107" s="98" t="s">
        <v>1426</v>
      </c>
      <c r="L107" s="98" t="s">
        <v>322</v>
      </c>
      <c r="M107" s="98">
        <v>76169990</v>
      </c>
      <c r="N107" s="98">
        <v>100</v>
      </c>
      <c r="O107" s="7">
        <v>45</v>
      </c>
      <c r="P107" s="7"/>
      <c r="R107" s="9">
        <v>171.92281917191451</v>
      </c>
      <c r="T107" s="7" t="s">
        <v>34</v>
      </c>
      <c r="U107" s="7" t="s">
        <v>34</v>
      </c>
    </row>
    <row r="108" spans="1:21" ht="14.1" customHeight="1">
      <c r="A108" s="96">
        <v>127</v>
      </c>
      <c r="B108" s="62" t="s">
        <v>124</v>
      </c>
      <c r="C108" s="62" t="s">
        <v>415</v>
      </c>
      <c r="D108" s="96" t="s">
        <v>804</v>
      </c>
      <c r="E108" s="62" t="s">
        <v>436</v>
      </c>
      <c r="F108" s="96" t="s">
        <v>26</v>
      </c>
      <c r="G108" s="97" t="s">
        <v>5046</v>
      </c>
      <c r="H108" s="62" t="s">
        <v>1424</v>
      </c>
      <c r="I108" s="97" t="s">
        <v>5047</v>
      </c>
      <c r="J108" s="7" t="s">
        <v>30</v>
      </c>
      <c r="K108" s="98" t="s">
        <v>1426</v>
      </c>
      <c r="L108" s="98" t="s">
        <v>322</v>
      </c>
      <c r="M108" s="98">
        <v>76169990</v>
      </c>
      <c r="N108" s="98">
        <v>100</v>
      </c>
      <c r="O108" s="7">
        <v>45</v>
      </c>
      <c r="P108" s="7"/>
      <c r="R108" s="9">
        <v>217.2590987311485</v>
      </c>
      <c r="T108" s="7" t="s">
        <v>34</v>
      </c>
      <c r="U108" s="7" t="s">
        <v>34</v>
      </c>
    </row>
    <row r="109" spans="1:21" ht="14.1" customHeight="1">
      <c r="A109" s="96">
        <v>128</v>
      </c>
      <c r="B109" s="62" t="s">
        <v>124</v>
      </c>
      <c r="C109" s="62" t="s">
        <v>415</v>
      </c>
      <c r="D109" s="96" t="s">
        <v>804</v>
      </c>
      <c r="E109" s="62" t="s">
        <v>436</v>
      </c>
      <c r="F109" s="96" t="s">
        <v>26</v>
      </c>
      <c r="G109" s="97" t="s">
        <v>5048</v>
      </c>
      <c r="H109" s="62" t="s">
        <v>1081</v>
      </c>
      <c r="I109" s="97" t="s">
        <v>5043</v>
      </c>
      <c r="J109" s="7" t="s">
        <v>30</v>
      </c>
      <c r="K109" s="98" t="s">
        <v>1083</v>
      </c>
      <c r="L109" s="98" t="s">
        <v>322</v>
      </c>
      <c r="M109" s="98">
        <v>76169990</v>
      </c>
      <c r="N109" s="98">
        <v>100</v>
      </c>
      <c r="O109" s="7">
        <v>45</v>
      </c>
      <c r="P109" s="7"/>
      <c r="R109" s="9">
        <v>171.92281917191451</v>
      </c>
      <c r="T109" s="7" t="s">
        <v>34</v>
      </c>
      <c r="U109" s="7" t="s">
        <v>34</v>
      </c>
    </row>
    <row r="110" spans="1:21" ht="14.1" customHeight="1">
      <c r="A110" s="96">
        <v>129</v>
      </c>
      <c r="B110" s="62" t="s">
        <v>124</v>
      </c>
      <c r="C110" s="62" t="s">
        <v>415</v>
      </c>
      <c r="D110" s="96" t="s">
        <v>804</v>
      </c>
      <c r="E110" s="62" t="s">
        <v>436</v>
      </c>
      <c r="F110" s="96" t="s">
        <v>26</v>
      </c>
      <c r="G110" s="97" t="s">
        <v>5049</v>
      </c>
      <c r="H110" s="62" t="s">
        <v>1081</v>
      </c>
      <c r="I110" s="97" t="s">
        <v>5045</v>
      </c>
      <c r="J110" s="7" t="s">
        <v>30</v>
      </c>
      <c r="K110" s="98" t="s">
        <v>1083</v>
      </c>
      <c r="L110" s="98" t="s">
        <v>322</v>
      </c>
      <c r="M110" s="98">
        <v>76169990</v>
      </c>
      <c r="N110" s="98">
        <v>100</v>
      </c>
      <c r="O110" s="7">
        <v>45</v>
      </c>
      <c r="P110" s="7"/>
      <c r="R110" s="9">
        <v>171.92281917191451</v>
      </c>
      <c r="T110" s="7" t="s">
        <v>34</v>
      </c>
      <c r="U110" s="7" t="s">
        <v>34</v>
      </c>
    </row>
    <row r="111" spans="1:21" ht="14.1" customHeight="1">
      <c r="A111" s="96">
        <v>130</v>
      </c>
      <c r="B111" s="62" t="s">
        <v>124</v>
      </c>
      <c r="C111" s="62" t="s">
        <v>415</v>
      </c>
      <c r="D111" s="96" t="s">
        <v>804</v>
      </c>
      <c r="E111" s="62" t="s">
        <v>436</v>
      </c>
      <c r="F111" s="96" t="s">
        <v>26</v>
      </c>
      <c r="G111" s="97" t="s">
        <v>5050</v>
      </c>
      <c r="H111" s="62" t="s">
        <v>1081</v>
      </c>
      <c r="I111" s="97" t="s">
        <v>5047</v>
      </c>
      <c r="J111" s="7" t="s">
        <v>30</v>
      </c>
      <c r="K111" s="98" t="s">
        <v>1083</v>
      </c>
      <c r="L111" s="98" t="s">
        <v>322</v>
      </c>
      <c r="M111" s="98">
        <v>76169990</v>
      </c>
      <c r="N111" s="98">
        <v>100</v>
      </c>
      <c r="O111" s="7">
        <v>45</v>
      </c>
      <c r="P111" s="7"/>
      <c r="R111" s="9">
        <v>217.2590987311485</v>
      </c>
      <c r="T111" s="7" t="s">
        <v>34</v>
      </c>
      <c r="U111" s="7" t="s">
        <v>34</v>
      </c>
    </row>
    <row r="112" spans="1:21" ht="14.1" customHeight="1">
      <c r="A112" s="96">
        <v>131</v>
      </c>
      <c r="B112" s="62" t="s">
        <v>124</v>
      </c>
      <c r="C112" s="62" t="s">
        <v>415</v>
      </c>
      <c r="D112" s="96" t="s">
        <v>804</v>
      </c>
      <c r="E112" s="62" t="s">
        <v>436</v>
      </c>
      <c r="F112" s="96" t="s">
        <v>26</v>
      </c>
      <c r="G112" s="97" t="s">
        <v>5051</v>
      </c>
      <c r="H112" s="62" t="s">
        <v>1424</v>
      </c>
      <c r="I112" s="97" t="s">
        <v>5052</v>
      </c>
      <c r="J112" s="7" t="s">
        <v>30</v>
      </c>
      <c r="K112" s="98" t="s">
        <v>1426</v>
      </c>
      <c r="L112" s="98" t="s">
        <v>322</v>
      </c>
      <c r="M112" s="98">
        <v>76169990</v>
      </c>
      <c r="N112" s="98">
        <v>100</v>
      </c>
      <c r="O112" s="7">
        <v>45</v>
      </c>
      <c r="P112" s="7"/>
      <c r="R112" s="9">
        <v>72.264937176947711</v>
      </c>
      <c r="T112" s="7" t="s">
        <v>34</v>
      </c>
      <c r="U112" s="7" t="s">
        <v>34</v>
      </c>
    </row>
    <row r="113" spans="1:21" ht="14.1" customHeight="1">
      <c r="A113" s="96">
        <v>132</v>
      </c>
      <c r="B113" s="62" t="s">
        <v>124</v>
      </c>
      <c r="C113" s="62" t="s">
        <v>415</v>
      </c>
      <c r="D113" s="96" t="s">
        <v>804</v>
      </c>
      <c r="E113" s="62" t="s">
        <v>436</v>
      </c>
      <c r="F113" s="96" t="s">
        <v>26</v>
      </c>
      <c r="G113" s="97" t="s">
        <v>5053</v>
      </c>
      <c r="H113" s="62" t="s">
        <v>1424</v>
      </c>
      <c r="I113" s="97" t="s">
        <v>5054</v>
      </c>
      <c r="J113" s="7" t="s">
        <v>30</v>
      </c>
      <c r="K113" s="98" t="s">
        <v>1426</v>
      </c>
      <c r="L113" s="98" t="s">
        <v>322</v>
      </c>
      <c r="M113" s="98">
        <v>76169990</v>
      </c>
      <c r="N113" s="98">
        <v>100</v>
      </c>
      <c r="O113" s="7">
        <v>45</v>
      </c>
      <c r="P113" s="7"/>
      <c r="R113" s="9">
        <v>166.05095163864021</v>
      </c>
      <c r="T113" s="7" t="s">
        <v>34</v>
      </c>
      <c r="U113" s="7" t="s">
        <v>34</v>
      </c>
    </row>
    <row r="114" spans="1:21" ht="14.1" customHeight="1">
      <c r="A114" s="96">
        <v>133</v>
      </c>
      <c r="B114" s="62" t="s">
        <v>124</v>
      </c>
      <c r="C114" s="62" t="s">
        <v>415</v>
      </c>
      <c r="D114" s="96" t="s">
        <v>804</v>
      </c>
      <c r="E114" s="62" t="s">
        <v>436</v>
      </c>
      <c r="F114" s="96" t="s">
        <v>26</v>
      </c>
      <c r="G114" s="97" t="s">
        <v>5055</v>
      </c>
      <c r="H114" s="62" t="s">
        <v>1424</v>
      </c>
      <c r="I114" s="97" t="s">
        <v>5056</v>
      </c>
      <c r="J114" s="7" t="s">
        <v>30</v>
      </c>
      <c r="K114" s="98" t="s">
        <v>1426</v>
      </c>
      <c r="L114" s="98" t="s">
        <v>322</v>
      </c>
      <c r="M114" s="98">
        <v>76169990</v>
      </c>
      <c r="N114" s="98">
        <v>100</v>
      </c>
      <c r="O114" s="7">
        <v>45</v>
      </c>
      <c r="P114" s="7"/>
      <c r="R114" s="9">
        <v>72.264937176947711</v>
      </c>
      <c r="T114" s="7" t="s">
        <v>34</v>
      </c>
      <c r="U114" s="7" t="s">
        <v>34</v>
      </c>
    </row>
    <row r="115" spans="1:21" ht="14.1" customHeight="1">
      <c r="A115" s="96">
        <v>134</v>
      </c>
      <c r="B115" s="62" t="s">
        <v>124</v>
      </c>
      <c r="C115" s="62" t="s">
        <v>415</v>
      </c>
      <c r="D115" s="96" t="s">
        <v>804</v>
      </c>
      <c r="E115" s="62" t="s">
        <v>436</v>
      </c>
      <c r="F115" s="96" t="s">
        <v>26</v>
      </c>
      <c r="G115" s="97" t="s">
        <v>5057</v>
      </c>
      <c r="H115" s="62" t="s">
        <v>1081</v>
      </c>
      <c r="I115" s="97" t="s">
        <v>5052</v>
      </c>
      <c r="J115" s="7" t="s">
        <v>30</v>
      </c>
      <c r="K115" s="98" t="s">
        <v>1083</v>
      </c>
      <c r="L115" s="98" t="s">
        <v>322</v>
      </c>
      <c r="M115" s="98">
        <v>76169990</v>
      </c>
      <c r="N115" s="98">
        <v>100</v>
      </c>
      <c r="O115" s="7">
        <v>45</v>
      </c>
      <c r="P115" s="7"/>
      <c r="R115" s="9">
        <v>72.264937176947711</v>
      </c>
      <c r="T115" s="7" t="s">
        <v>34</v>
      </c>
      <c r="U115" s="7" t="s">
        <v>34</v>
      </c>
    </row>
    <row r="116" spans="1:21" ht="14.1" customHeight="1">
      <c r="A116" s="96">
        <v>135</v>
      </c>
      <c r="B116" s="62" t="s">
        <v>124</v>
      </c>
      <c r="C116" s="62" t="s">
        <v>415</v>
      </c>
      <c r="D116" s="96" t="s">
        <v>804</v>
      </c>
      <c r="E116" s="62" t="s">
        <v>436</v>
      </c>
      <c r="F116" s="96" t="s">
        <v>26</v>
      </c>
      <c r="G116" s="97" t="s">
        <v>5058</v>
      </c>
      <c r="H116" s="62" t="s">
        <v>1081</v>
      </c>
      <c r="I116" s="97" t="s">
        <v>5054</v>
      </c>
      <c r="J116" s="7" t="s">
        <v>30</v>
      </c>
      <c r="K116" s="98" t="s">
        <v>1083</v>
      </c>
      <c r="L116" s="98" t="s">
        <v>322</v>
      </c>
      <c r="M116" s="98">
        <v>76169990</v>
      </c>
      <c r="N116" s="98">
        <v>100</v>
      </c>
      <c r="O116" s="7">
        <v>45</v>
      </c>
      <c r="P116" s="7"/>
      <c r="R116" s="9">
        <v>166.05095163864021</v>
      </c>
      <c r="T116" s="7" t="s">
        <v>34</v>
      </c>
      <c r="U116" s="7" t="s">
        <v>34</v>
      </c>
    </row>
    <row r="117" spans="1:21" ht="14.1" customHeight="1">
      <c r="A117" s="96">
        <v>136</v>
      </c>
      <c r="B117" s="62" t="s">
        <v>124</v>
      </c>
      <c r="C117" s="62" t="s">
        <v>415</v>
      </c>
      <c r="D117" s="96" t="s">
        <v>804</v>
      </c>
      <c r="E117" s="62" t="s">
        <v>436</v>
      </c>
      <c r="F117" s="96" t="s">
        <v>26</v>
      </c>
      <c r="G117" s="97" t="s">
        <v>5059</v>
      </c>
      <c r="H117" s="62" t="s">
        <v>1081</v>
      </c>
      <c r="I117" s="97" t="s">
        <v>5056</v>
      </c>
      <c r="J117" s="7" t="s">
        <v>30</v>
      </c>
      <c r="K117" s="98" t="s">
        <v>1083</v>
      </c>
      <c r="L117" s="98" t="s">
        <v>322</v>
      </c>
      <c r="M117" s="98">
        <v>76169990</v>
      </c>
      <c r="N117" s="98">
        <v>100</v>
      </c>
      <c r="O117" s="7">
        <v>45</v>
      </c>
      <c r="P117" s="7"/>
      <c r="R117" s="9">
        <v>72.264937176947711</v>
      </c>
      <c r="T117" s="7" t="s">
        <v>34</v>
      </c>
      <c r="U117" s="7" t="s">
        <v>34</v>
      </c>
    </row>
    <row r="118" spans="1:21" ht="14.1" customHeight="1">
      <c r="A118" s="96">
        <v>137</v>
      </c>
      <c r="B118" s="62" t="s">
        <v>124</v>
      </c>
      <c r="C118" s="62" t="s">
        <v>415</v>
      </c>
      <c r="D118" s="96" t="s">
        <v>804</v>
      </c>
      <c r="E118" s="62" t="s">
        <v>436</v>
      </c>
      <c r="F118" s="96" t="s">
        <v>26</v>
      </c>
      <c r="G118" s="97" t="s">
        <v>5060</v>
      </c>
      <c r="H118" s="62" t="s">
        <v>1424</v>
      </c>
      <c r="I118" s="97" t="s">
        <v>5061</v>
      </c>
      <c r="J118" s="7" t="s">
        <v>30</v>
      </c>
      <c r="K118" s="98" t="s">
        <v>1426</v>
      </c>
      <c r="L118" s="98" t="s">
        <v>322</v>
      </c>
      <c r="M118" s="98">
        <v>76169990</v>
      </c>
      <c r="N118" s="98">
        <v>100</v>
      </c>
      <c r="O118" s="7">
        <v>45</v>
      </c>
      <c r="P118" s="7"/>
      <c r="R118" s="9">
        <v>31.025309385114362</v>
      </c>
      <c r="T118" s="7" t="s">
        <v>34</v>
      </c>
      <c r="U118" s="7" t="s">
        <v>34</v>
      </c>
    </row>
    <row r="119" spans="1:21" ht="14.1" customHeight="1">
      <c r="A119" s="96">
        <v>138</v>
      </c>
      <c r="B119" s="62" t="s">
        <v>124</v>
      </c>
      <c r="C119" s="62" t="s">
        <v>415</v>
      </c>
      <c r="D119" s="96" t="s">
        <v>804</v>
      </c>
      <c r="E119" s="62" t="s">
        <v>436</v>
      </c>
      <c r="F119" s="96" t="s">
        <v>26</v>
      </c>
      <c r="G119" s="97" t="s">
        <v>5062</v>
      </c>
      <c r="H119" s="62" t="s">
        <v>1424</v>
      </c>
      <c r="I119" s="97" t="s">
        <v>5063</v>
      </c>
      <c r="J119" s="7" t="s">
        <v>30</v>
      </c>
      <c r="K119" s="98" t="s">
        <v>1426</v>
      </c>
      <c r="L119" s="98" t="s">
        <v>322</v>
      </c>
      <c r="M119" s="98">
        <v>76169990</v>
      </c>
      <c r="N119" s="98">
        <v>100</v>
      </c>
      <c r="O119" s="7">
        <v>45</v>
      </c>
      <c r="P119" s="7"/>
      <c r="R119" s="9">
        <v>326.33927979113679</v>
      </c>
      <c r="T119" s="7" t="s">
        <v>34</v>
      </c>
      <c r="U119" s="7" t="s">
        <v>34</v>
      </c>
    </row>
    <row r="120" spans="1:21" ht="14.1" customHeight="1">
      <c r="A120" s="96">
        <v>139</v>
      </c>
      <c r="B120" s="62" t="s">
        <v>124</v>
      </c>
      <c r="C120" s="62" t="s">
        <v>415</v>
      </c>
      <c r="D120" s="96" t="s">
        <v>838</v>
      </c>
      <c r="E120" s="62" t="s">
        <v>5064</v>
      </c>
      <c r="F120" s="96" t="s">
        <v>26</v>
      </c>
      <c r="G120" s="97" t="s">
        <v>5065</v>
      </c>
      <c r="H120" s="62" t="s">
        <v>1424</v>
      </c>
      <c r="I120" s="97" t="s">
        <v>5066</v>
      </c>
      <c r="J120" s="7" t="s">
        <v>3611</v>
      </c>
      <c r="K120" s="98" t="s">
        <v>1426</v>
      </c>
      <c r="L120" s="98" t="s">
        <v>322</v>
      </c>
      <c r="M120" s="98">
        <v>83024100</v>
      </c>
      <c r="N120" s="98">
        <v>100</v>
      </c>
      <c r="O120" s="7">
        <v>45</v>
      </c>
      <c r="P120" s="7"/>
      <c r="R120" s="9">
        <v>260.8474735362916</v>
      </c>
      <c r="T120" s="7" t="s">
        <v>34</v>
      </c>
      <c r="U120" s="7" t="s">
        <v>34</v>
      </c>
    </row>
    <row r="121" spans="1:21" ht="14.1" customHeight="1">
      <c r="A121" s="96">
        <v>140</v>
      </c>
      <c r="B121" s="62" t="s">
        <v>124</v>
      </c>
      <c r="C121" s="62" t="s">
        <v>415</v>
      </c>
      <c r="D121" s="96" t="s">
        <v>838</v>
      </c>
      <c r="E121" s="62" t="s">
        <v>5064</v>
      </c>
      <c r="F121" s="96" t="s">
        <v>26</v>
      </c>
      <c r="G121" s="97" t="s">
        <v>5067</v>
      </c>
      <c r="H121" s="62" t="s">
        <v>1424</v>
      </c>
      <c r="I121" s="97" t="s">
        <v>5068</v>
      </c>
      <c r="J121" s="7" t="s">
        <v>3611</v>
      </c>
      <c r="K121" s="98" t="s">
        <v>1426</v>
      </c>
      <c r="L121" s="98" t="s">
        <v>322</v>
      </c>
      <c r="M121" s="98">
        <v>83024100</v>
      </c>
      <c r="N121" s="98">
        <v>100</v>
      </c>
      <c r="O121" s="7">
        <v>45</v>
      </c>
      <c r="P121" s="7"/>
      <c r="R121" s="9">
        <v>354.63348799798399</v>
      </c>
      <c r="T121" s="7" t="s">
        <v>34</v>
      </c>
      <c r="U121" s="7" t="s">
        <v>34</v>
      </c>
    </row>
    <row r="122" spans="1:21" ht="14.1" customHeight="1">
      <c r="A122" s="96">
        <v>141</v>
      </c>
      <c r="B122" s="62" t="s">
        <v>124</v>
      </c>
      <c r="C122" s="62" t="s">
        <v>415</v>
      </c>
      <c r="D122" s="96" t="s">
        <v>838</v>
      </c>
      <c r="E122" s="62" t="s">
        <v>5064</v>
      </c>
      <c r="F122" s="96" t="s">
        <v>26</v>
      </c>
      <c r="G122" s="97" t="s">
        <v>5069</v>
      </c>
      <c r="H122" s="62" t="s">
        <v>1424</v>
      </c>
      <c r="I122" s="97" t="s">
        <v>5070</v>
      </c>
      <c r="J122" s="7" t="s">
        <v>3611</v>
      </c>
      <c r="K122" s="98" t="s">
        <v>1426</v>
      </c>
      <c r="L122" s="98" t="s">
        <v>322</v>
      </c>
      <c r="M122" s="98">
        <v>83024100</v>
      </c>
      <c r="N122" s="98">
        <v>100</v>
      </c>
      <c r="O122" s="7">
        <v>45</v>
      </c>
      <c r="P122" s="7"/>
      <c r="R122" s="9">
        <v>402.34582558231051</v>
      </c>
      <c r="T122" s="7" t="s">
        <v>34</v>
      </c>
      <c r="U122" s="7" t="s">
        <v>34</v>
      </c>
    </row>
    <row r="123" spans="1:21" ht="14.1" customHeight="1">
      <c r="A123" s="96">
        <v>142</v>
      </c>
      <c r="B123" s="62" t="s">
        <v>124</v>
      </c>
      <c r="C123" s="62" t="s">
        <v>415</v>
      </c>
      <c r="D123" s="96" t="s">
        <v>838</v>
      </c>
      <c r="E123" s="62" t="s">
        <v>5064</v>
      </c>
      <c r="F123" s="96" t="s">
        <v>26</v>
      </c>
      <c r="G123" s="97" t="s">
        <v>5071</v>
      </c>
      <c r="H123" s="62" t="s">
        <v>1424</v>
      </c>
      <c r="I123" s="97" t="s">
        <v>5072</v>
      </c>
      <c r="J123" s="7" t="s">
        <v>3611</v>
      </c>
      <c r="K123" s="98" t="s">
        <v>1426</v>
      </c>
      <c r="L123" s="98" t="s">
        <v>322</v>
      </c>
      <c r="M123" s="98">
        <v>83024100</v>
      </c>
      <c r="N123" s="98">
        <v>100</v>
      </c>
      <c r="O123" s="7">
        <v>45</v>
      </c>
      <c r="P123" s="7"/>
      <c r="R123" s="9">
        <v>426.24296089214772</v>
      </c>
      <c r="T123" s="7" t="s">
        <v>34</v>
      </c>
      <c r="U123" s="7" t="s">
        <v>34</v>
      </c>
    </row>
    <row r="124" spans="1:21" ht="14.1" customHeight="1">
      <c r="A124" s="96">
        <v>143</v>
      </c>
      <c r="B124" s="62" t="s">
        <v>124</v>
      </c>
      <c r="C124" s="62" t="s">
        <v>415</v>
      </c>
      <c r="D124" s="96" t="s">
        <v>838</v>
      </c>
      <c r="E124" s="62" t="s">
        <v>5064</v>
      </c>
      <c r="F124" s="96" t="s">
        <v>26</v>
      </c>
      <c r="G124" s="97" t="s">
        <v>5073</v>
      </c>
      <c r="H124" s="62" t="s">
        <v>1424</v>
      </c>
      <c r="I124" s="97" t="s">
        <v>5074</v>
      </c>
      <c r="J124" s="7" t="s">
        <v>3611</v>
      </c>
      <c r="K124" s="98" t="s">
        <v>1426</v>
      </c>
      <c r="L124" s="98" t="s">
        <v>322</v>
      </c>
      <c r="M124" s="98">
        <v>83024100</v>
      </c>
      <c r="N124" s="98">
        <v>100</v>
      </c>
      <c r="O124" s="7">
        <v>45</v>
      </c>
      <c r="P124" s="7"/>
      <c r="R124" s="9">
        <v>523.41554081489153</v>
      </c>
      <c r="T124" s="7" t="s">
        <v>34</v>
      </c>
      <c r="U124" s="7" t="s">
        <v>34</v>
      </c>
    </row>
    <row r="125" spans="1:21" ht="14.1" customHeight="1">
      <c r="A125" s="96">
        <v>144</v>
      </c>
      <c r="B125" s="62" t="s">
        <v>124</v>
      </c>
      <c r="C125" s="62" t="s">
        <v>415</v>
      </c>
      <c r="D125" s="96" t="s">
        <v>838</v>
      </c>
      <c r="E125" s="62" t="s">
        <v>5064</v>
      </c>
      <c r="F125" s="96" t="s">
        <v>26</v>
      </c>
      <c r="G125" s="97" t="s">
        <v>5075</v>
      </c>
      <c r="H125" s="62" t="s">
        <v>1424</v>
      </c>
      <c r="I125" s="97" t="s">
        <v>5076</v>
      </c>
      <c r="J125" s="7" t="s">
        <v>3611</v>
      </c>
      <c r="K125" s="98" t="s">
        <v>1426</v>
      </c>
      <c r="L125" s="98" t="s">
        <v>322</v>
      </c>
      <c r="M125" s="98">
        <v>83024100</v>
      </c>
      <c r="N125" s="98">
        <v>100</v>
      </c>
      <c r="O125" s="7">
        <v>45</v>
      </c>
      <c r="P125" s="7"/>
      <c r="R125" s="9">
        <v>570.30854804573767</v>
      </c>
      <c r="T125" s="7" t="s">
        <v>34</v>
      </c>
      <c r="U125" s="7" t="s">
        <v>34</v>
      </c>
    </row>
    <row r="126" spans="1:21" ht="14.1" customHeight="1">
      <c r="A126" s="96">
        <v>145</v>
      </c>
      <c r="B126" s="62" t="s">
        <v>124</v>
      </c>
      <c r="C126" s="62" t="s">
        <v>415</v>
      </c>
      <c r="D126" s="96" t="s">
        <v>838</v>
      </c>
      <c r="E126" s="62" t="s">
        <v>5064</v>
      </c>
      <c r="F126" s="96" t="s">
        <v>26</v>
      </c>
      <c r="G126" s="97" t="s">
        <v>5077</v>
      </c>
      <c r="H126" s="62" t="s">
        <v>1424</v>
      </c>
      <c r="I126" s="97" t="s">
        <v>5078</v>
      </c>
      <c r="J126" s="7" t="s">
        <v>3611</v>
      </c>
      <c r="K126" s="98" t="s">
        <v>1426</v>
      </c>
      <c r="L126" s="98" t="s">
        <v>322</v>
      </c>
      <c r="M126" s="98">
        <v>83024100</v>
      </c>
      <c r="N126" s="98">
        <v>100</v>
      </c>
      <c r="O126" s="7">
        <v>45</v>
      </c>
      <c r="P126" s="7"/>
      <c r="R126" s="9">
        <v>378.47600128425597</v>
      </c>
      <c r="T126" s="7" t="s">
        <v>34</v>
      </c>
      <c r="U126" s="7" t="s">
        <v>34</v>
      </c>
    </row>
    <row r="127" spans="1:21" ht="14.1" customHeight="1">
      <c r="A127" s="96">
        <v>146</v>
      </c>
      <c r="B127" s="62" t="s">
        <v>124</v>
      </c>
      <c r="C127" s="62" t="s">
        <v>415</v>
      </c>
      <c r="D127" s="96" t="s">
        <v>838</v>
      </c>
      <c r="E127" s="62" t="s">
        <v>5064</v>
      </c>
      <c r="F127" s="96" t="s">
        <v>26</v>
      </c>
      <c r="G127" s="97" t="s">
        <v>5079</v>
      </c>
      <c r="H127" s="62" t="s">
        <v>1424</v>
      </c>
      <c r="I127" s="97" t="s">
        <v>5080</v>
      </c>
      <c r="J127" s="7" t="s">
        <v>3611</v>
      </c>
      <c r="K127" s="98" t="s">
        <v>1426</v>
      </c>
      <c r="L127" s="98" t="s">
        <v>322</v>
      </c>
      <c r="M127" s="98">
        <v>83024100</v>
      </c>
      <c r="N127" s="98">
        <v>100</v>
      </c>
      <c r="O127" s="7">
        <v>45</v>
      </c>
      <c r="P127" s="7"/>
      <c r="R127" s="9">
        <v>477.36917494930788</v>
      </c>
      <c r="T127" s="7" t="s">
        <v>34</v>
      </c>
      <c r="U127" s="7" t="s">
        <v>34</v>
      </c>
    </row>
    <row r="128" spans="1:21" ht="14.1" customHeight="1">
      <c r="A128" s="96">
        <v>147</v>
      </c>
      <c r="B128" s="62" t="s">
        <v>124</v>
      </c>
      <c r="C128" s="62" t="s">
        <v>415</v>
      </c>
      <c r="D128" s="96" t="s">
        <v>838</v>
      </c>
      <c r="E128" s="62" t="s">
        <v>5064</v>
      </c>
      <c r="F128" s="96" t="s">
        <v>26</v>
      </c>
      <c r="G128" s="97" t="s">
        <v>5081</v>
      </c>
      <c r="H128" s="62" t="s">
        <v>1424</v>
      </c>
      <c r="I128" s="97" t="s">
        <v>5082</v>
      </c>
      <c r="J128" s="7" t="s">
        <v>3611</v>
      </c>
      <c r="K128" s="98" t="s">
        <v>1426</v>
      </c>
      <c r="L128" s="98" t="s">
        <v>322</v>
      </c>
      <c r="M128" s="98">
        <v>83024100</v>
      </c>
      <c r="N128" s="98">
        <v>100</v>
      </c>
      <c r="O128" s="7">
        <v>45</v>
      </c>
      <c r="P128" s="7"/>
      <c r="R128" s="9">
        <v>656.42016819649973</v>
      </c>
      <c r="T128" s="7" t="s">
        <v>34</v>
      </c>
      <c r="U128" s="7" t="s">
        <v>34</v>
      </c>
    </row>
    <row r="129" spans="1:21" ht="14.1" customHeight="1">
      <c r="A129" s="96">
        <v>148</v>
      </c>
      <c r="B129" s="62" t="s">
        <v>124</v>
      </c>
      <c r="C129" s="62" t="s">
        <v>415</v>
      </c>
      <c r="D129" s="96" t="s">
        <v>838</v>
      </c>
      <c r="E129" s="62" t="s">
        <v>5064</v>
      </c>
      <c r="F129" s="96" t="s">
        <v>26</v>
      </c>
      <c r="G129" s="97" t="s">
        <v>5083</v>
      </c>
      <c r="H129" s="62" t="s">
        <v>1424</v>
      </c>
      <c r="I129" s="97" t="s">
        <v>5084</v>
      </c>
      <c r="J129" s="7" t="s">
        <v>3611</v>
      </c>
      <c r="K129" s="98" t="s">
        <v>1426</v>
      </c>
      <c r="L129" s="98" t="s">
        <v>322</v>
      </c>
      <c r="M129" s="98">
        <v>83024100</v>
      </c>
      <c r="N129" s="98">
        <v>100</v>
      </c>
      <c r="O129" s="7">
        <v>45</v>
      </c>
      <c r="P129" s="7"/>
      <c r="R129" s="9">
        <v>758.69990732260294</v>
      </c>
      <c r="T129" s="7" t="s">
        <v>34</v>
      </c>
      <c r="U129" s="7" t="s">
        <v>34</v>
      </c>
    </row>
    <row r="130" spans="1:21" ht="14.1" customHeight="1">
      <c r="A130" s="96">
        <v>149</v>
      </c>
      <c r="B130" s="62" t="s">
        <v>124</v>
      </c>
      <c r="C130" s="62" t="s">
        <v>415</v>
      </c>
      <c r="D130" s="96" t="s">
        <v>838</v>
      </c>
      <c r="E130" s="62" t="s">
        <v>5064</v>
      </c>
      <c r="F130" s="96" t="s">
        <v>26</v>
      </c>
      <c r="G130" s="97" t="s">
        <v>5085</v>
      </c>
      <c r="H130" s="62" t="s">
        <v>1424</v>
      </c>
      <c r="I130" s="97" t="s">
        <v>5086</v>
      </c>
      <c r="J130" s="7" t="s">
        <v>3611</v>
      </c>
      <c r="K130" s="98" t="s">
        <v>1426</v>
      </c>
      <c r="L130" s="98" t="s">
        <v>322</v>
      </c>
      <c r="M130" s="98">
        <v>83024100</v>
      </c>
      <c r="N130" s="98">
        <v>100</v>
      </c>
      <c r="O130" s="7">
        <v>45</v>
      </c>
      <c r="P130" s="7"/>
      <c r="R130" s="9">
        <v>932.58911934286982</v>
      </c>
      <c r="T130" s="7" t="s">
        <v>34</v>
      </c>
      <c r="U130" s="7" t="s">
        <v>34</v>
      </c>
    </row>
    <row r="131" spans="1:21" ht="14.1" customHeight="1">
      <c r="A131" s="96">
        <v>150</v>
      </c>
      <c r="B131" s="62" t="s">
        <v>124</v>
      </c>
      <c r="C131" s="62" t="s">
        <v>415</v>
      </c>
      <c r="D131" s="96" t="s">
        <v>838</v>
      </c>
      <c r="E131" s="62" t="s">
        <v>5064</v>
      </c>
      <c r="F131" s="96" t="s">
        <v>26</v>
      </c>
      <c r="G131" s="97" t="s">
        <v>5087</v>
      </c>
      <c r="H131" s="62" t="s">
        <v>1081</v>
      </c>
      <c r="I131" s="97" t="s">
        <v>5066</v>
      </c>
      <c r="J131" s="7" t="s">
        <v>3611</v>
      </c>
      <c r="K131" s="98" t="s">
        <v>1083</v>
      </c>
      <c r="L131" s="98" t="s">
        <v>322</v>
      </c>
      <c r="M131" s="98">
        <v>83024100</v>
      </c>
      <c r="N131" s="98">
        <v>100</v>
      </c>
      <c r="O131" s="7">
        <v>45</v>
      </c>
      <c r="P131" s="7"/>
      <c r="R131" s="9">
        <v>288.13117430718</v>
      </c>
      <c r="T131" s="7" t="s">
        <v>34</v>
      </c>
      <c r="U131" s="7" t="s">
        <v>34</v>
      </c>
    </row>
    <row r="132" spans="1:21" ht="14.1" customHeight="1">
      <c r="A132" s="96">
        <v>151</v>
      </c>
      <c r="B132" s="62" t="s">
        <v>124</v>
      </c>
      <c r="C132" s="62" t="s">
        <v>415</v>
      </c>
      <c r="D132" s="96" t="s">
        <v>838</v>
      </c>
      <c r="E132" s="62" t="s">
        <v>5064</v>
      </c>
      <c r="F132" s="96" t="s">
        <v>26</v>
      </c>
      <c r="G132" s="97" t="s">
        <v>5088</v>
      </c>
      <c r="H132" s="62" t="s">
        <v>1081</v>
      </c>
      <c r="I132" s="97" t="s">
        <v>5068</v>
      </c>
      <c r="J132" s="7" t="s">
        <v>3611</v>
      </c>
      <c r="K132" s="98" t="s">
        <v>1083</v>
      </c>
      <c r="L132" s="98" t="s">
        <v>322</v>
      </c>
      <c r="M132" s="98">
        <v>83024100</v>
      </c>
      <c r="N132" s="98">
        <v>100</v>
      </c>
      <c r="O132" s="7">
        <v>45</v>
      </c>
      <c r="P132" s="7"/>
      <c r="R132" s="9">
        <v>390.41091343328333</v>
      </c>
      <c r="T132" s="7" t="s">
        <v>34</v>
      </c>
      <c r="U132" s="7" t="s">
        <v>34</v>
      </c>
    </row>
    <row r="133" spans="1:21" ht="14.1" customHeight="1">
      <c r="A133" s="96">
        <v>152</v>
      </c>
      <c r="B133" s="62" t="s">
        <v>124</v>
      </c>
      <c r="C133" s="62" t="s">
        <v>415</v>
      </c>
      <c r="D133" s="96" t="s">
        <v>838</v>
      </c>
      <c r="E133" s="62" t="s">
        <v>5064</v>
      </c>
      <c r="F133" s="96" t="s">
        <v>26</v>
      </c>
      <c r="G133" s="97" t="s">
        <v>5089</v>
      </c>
      <c r="H133" s="62" t="s">
        <v>1081</v>
      </c>
      <c r="I133" s="97" t="s">
        <v>5070</v>
      </c>
      <c r="J133" s="7" t="s">
        <v>3611</v>
      </c>
      <c r="K133" s="98" t="s">
        <v>1083</v>
      </c>
      <c r="L133" s="98" t="s">
        <v>322</v>
      </c>
      <c r="M133" s="98">
        <v>83024100</v>
      </c>
      <c r="N133" s="98">
        <v>100</v>
      </c>
      <c r="O133" s="7">
        <v>45</v>
      </c>
      <c r="P133" s="7"/>
      <c r="R133" s="9">
        <v>443.28503224453442</v>
      </c>
      <c r="T133" s="7" t="s">
        <v>34</v>
      </c>
      <c r="U133" s="7" t="s">
        <v>34</v>
      </c>
    </row>
    <row r="134" spans="1:21" ht="14.1" customHeight="1">
      <c r="A134" s="96">
        <v>153</v>
      </c>
      <c r="B134" s="62" t="s">
        <v>124</v>
      </c>
      <c r="C134" s="62" t="s">
        <v>415</v>
      </c>
      <c r="D134" s="96" t="s">
        <v>838</v>
      </c>
      <c r="E134" s="62" t="s">
        <v>5064</v>
      </c>
      <c r="F134" s="96" t="s">
        <v>26</v>
      </c>
      <c r="G134" s="97" t="s">
        <v>5090</v>
      </c>
      <c r="H134" s="62" t="s">
        <v>1081</v>
      </c>
      <c r="I134" s="97" t="s">
        <v>5072</v>
      </c>
      <c r="J134" s="7" t="s">
        <v>3611</v>
      </c>
      <c r="K134" s="98" t="s">
        <v>1083</v>
      </c>
      <c r="L134" s="98" t="s">
        <v>322</v>
      </c>
      <c r="M134" s="98">
        <v>83024100</v>
      </c>
      <c r="N134" s="98">
        <v>100</v>
      </c>
      <c r="O134" s="7">
        <v>45</v>
      </c>
      <c r="P134" s="7"/>
      <c r="R134" s="9">
        <v>489.30408709833517</v>
      </c>
      <c r="T134" s="7" t="s">
        <v>34</v>
      </c>
      <c r="U134" s="7" t="s">
        <v>34</v>
      </c>
    </row>
    <row r="135" spans="1:21" ht="14.1" customHeight="1">
      <c r="A135" s="96">
        <v>154</v>
      </c>
      <c r="B135" s="62" t="s">
        <v>124</v>
      </c>
      <c r="C135" s="62" t="s">
        <v>415</v>
      </c>
      <c r="D135" s="96" t="s">
        <v>838</v>
      </c>
      <c r="E135" s="62" t="s">
        <v>5064</v>
      </c>
      <c r="F135" s="96" t="s">
        <v>26</v>
      </c>
      <c r="G135" s="97" t="s">
        <v>5091</v>
      </c>
      <c r="H135" s="62" t="s">
        <v>1081</v>
      </c>
      <c r="I135" s="97" t="s">
        <v>5074</v>
      </c>
      <c r="J135" s="7" t="s">
        <v>3611</v>
      </c>
      <c r="K135" s="98" t="s">
        <v>1083</v>
      </c>
      <c r="L135" s="98" t="s">
        <v>322</v>
      </c>
      <c r="M135" s="98">
        <v>83024100</v>
      </c>
      <c r="N135" s="98">
        <v>100</v>
      </c>
      <c r="O135" s="7">
        <v>45</v>
      </c>
      <c r="P135" s="7"/>
      <c r="R135" s="9">
        <v>589.8905434939129</v>
      </c>
      <c r="T135" s="7" t="s">
        <v>34</v>
      </c>
      <c r="U135" s="7" t="s">
        <v>34</v>
      </c>
    </row>
    <row r="136" spans="1:21" ht="14.1" customHeight="1">
      <c r="A136" s="96">
        <v>155</v>
      </c>
      <c r="B136" s="62" t="s">
        <v>124</v>
      </c>
      <c r="C136" s="62" t="s">
        <v>415</v>
      </c>
      <c r="D136" s="96" t="s">
        <v>838</v>
      </c>
      <c r="E136" s="62" t="s">
        <v>5064</v>
      </c>
      <c r="F136" s="96" t="s">
        <v>26</v>
      </c>
      <c r="G136" s="97" t="s">
        <v>5092</v>
      </c>
      <c r="H136" s="62" t="s">
        <v>1081</v>
      </c>
      <c r="I136" s="97" t="s">
        <v>5076</v>
      </c>
      <c r="J136" s="7" t="s">
        <v>3611</v>
      </c>
      <c r="K136" s="98" t="s">
        <v>1083</v>
      </c>
      <c r="L136" s="98" t="s">
        <v>322</v>
      </c>
      <c r="M136" s="98">
        <v>83024100</v>
      </c>
      <c r="N136" s="98">
        <v>100</v>
      </c>
      <c r="O136" s="7">
        <v>45</v>
      </c>
      <c r="P136" s="7"/>
      <c r="R136" s="9">
        <v>661.52732739985925</v>
      </c>
      <c r="T136" s="7" t="s">
        <v>34</v>
      </c>
      <c r="U136" s="7" t="s">
        <v>34</v>
      </c>
    </row>
    <row r="137" spans="1:21" ht="14.1" customHeight="1">
      <c r="A137" s="96">
        <v>156</v>
      </c>
      <c r="B137" s="62" t="s">
        <v>124</v>
      </c>
      <c r="C137" s="62" t="s">
        <v>415</v>
      </c>
      <c r="D137" s="96" t="s">
        <v>838</v>
      </c>
      <c r="E137" s="62" t="s">
        <v>5064</v>
      </c>
      <c r="F137" s="96" t="s">
        <v>26</v>
      </c>
      <c r="G137" s="97" t="s">
        <v>5093</v>
      </c>
      <c r="H137" s="62" t="s">
        <v>1081</v>
      </c>
      <c r="I137" s="97" t="s">
        <v>5078</v>
      </c>
      <c r="J137" s="7" t="s">
        <v>3611</v>
      </c>
      <c r="K137" s="98" t="s">
        <v>1083</v>
      </c>
      <c r="L137" s="98" t="s">
        <v>322</v>
      </c>
      <c r="M137" s="98">
        <v>83024100</v>
      </c>
      <c r="N137" s="98">
        <v>100</v>
      </c>
      <c r="O137" s="7">
        <v>45</v>
      </c>
      <c r="P137" s="7"/>
      <c r="R137" s="9">
        <v>412.58745500081221</v>
      </c>
      <c r="T137" s="7" t="s">
        <v>34</v>
      </c>
      <c r="U137" s="7" t="s">
        <v>34</v>
      </c>
    </row>
    <row r="138" spans="1:21" ht="14.1" customHeight="1">
      <c r="A138" s="96">
        <v>157</v>
      </c>
      <c r="B138" s="62" t="s">
        <v>124</v>
      </c>
      <c r="C138" s="62" t="s">
        <v>415</v>
      </c>
      <c r="D138" s="96" t="s">
        <v>838</v>
      </c>
      <c r="E138" s="62" t="s">
        <v>5064</v>
      </c>
      <c r="F138" s="96" t="s">
        <v>26</v>
      </c>
      <c r="G138" s="97" t="s">
        <v>5094</v>
      </c>
      <c r="H138" s="62" t="s">
        <v>1081</v>
      </c>
      <c r="I138" s="97" t="s">
        <v>5080</v>
      </c>
      <c r="J138" s="7" t="s">
        <v>3611</v>
      </c>
      <c r="K138" s="98" t="s">
        <v>1083</v>
      </c>
      <c r="L138" s="98" t="s">
        <v>322</v>
      </c>
      <c r="M138" s="98">
        <v>83024100</v>
      </c>
      <c r="N138" s="98">
        <v>100</v>
      </c>
      <c r="O138" s="7">
        <v>45</v>
      </c>
      <c r="P138" s="7"/>
      <c r="R138" s="9">
        <v>520.00166434205755</v>
      </c>
      <c r="T138" s="7" t="s">
        <v>34</v>
      </c>
      <c r="U138" s="7" t="s">
        <v>34</v>
      </c>
    </row>
    <row r="139" spans="1:21" ht="14.1" customHeight="1">
      <c r="A139" s="96">
        <v>158</v>
      </c>
      <c r="B139" s="62" t="s">
        <v>124</v>
      </c>
      <c r="C139" s="62" t="s">
        <v>415</v>
      </c>
      <c r="D139" s="96" t="s">
        <v>838</v>
      </c>
      <c r="E139" s="62" t="s">
        <v>5064</v>
      </c>
      <c r="F139" s="96" t="s">
        <v>26</v>
      </c>
      <c r="G139" s="97" t="s">
        <v>5095</v>
      </c>
      <c r="H139" s="62" t="s">
        <v>1081</v>
      </c>
      <c r="I139" s="97" t="s">
        <v>5082</v>
      </c>
      <c r="J139" s="7" t="s">
        <v>3611</v>
      </c>
      <c r="K139" s="98" t="s">
        <v>1083</v>
      </c>
      <c r="L139" s="98" t="s">
        <v>322</v>
      </c>
      <c r="M139" s="98">
        <v>83024100</v>
      </c>
      <c r="N139" s="98">
        <v>100</v>
      </c>
      <c r="O139" s="7">
        <v>45</v>
      </c>
      <c r="P139" s="7"/>
      <c r="R139" s="9">
        <v>727.18299972540046</v>
      </c>
      <c r="T139" s="7" t="s">
        <v>34</v>
      </c>
      <c r="U139" s="7" t="s">
        <v>34</v>
      </c>
    </row>
    <row r="140" spans="1:21" ht="14.1" customHeight="1">
      <c r="A140" s="96">
        <v>159</v>
      </c>
      <c r="B140" s="62" t="s">
        <v>124</v>
      </c>
      <c r="C140" s="62" t="s">
        <v>415</v>
      </c>
      <c r="D140" s="96" t="s">
        <v>838</v>
      </c>
      <c r="E140" s="62" t="s">
        <v>5064</v>
      </c>
      <c r="F140" s="96" t="s">
        <v>26</v>
      </c>
      <c r="G140" s="97" t="s">
        <v>5096</v>
      </c>
      <c r="H140" s="62" t="s">
        <v>1081</v>
      </c>
      <c r="I140" s="97" t="s">
        <v>5084</v>
      </c>
      <c r="J140" s="7" t="s">
        <v>3611</v>
      </c>
      <c r="K140" s="98" t="s">
        <v>1083</v>
      </c>
      <c r="L140" s="98" t="s">
        <v>322</v>
      </c>
      <c r="M140" s="98">
        <v>83024100</v>
      </c>
      <c r="N140" s="98">
        <v>100</v>
      </c>
      <c r="O140" s="7">
        <v>45</v>
      </c>
      <c r="P140" s="7"/>
      <c r="R140" s="9">
        <v>835.4165394201259</v>
      </c>
      <c r="T140" s="7" t="s">
        <v>34</v>
      </c>
      <c r="U140" s="7" t="s">
        <v>34</v>
      </c>
    </row>
    <row r="141" spans="1:21" ht="14.1" customHeight="1">
      <c r="A141" s="96">
        <v>160</v>
      </c>
      <c r="B141" s="62" t="s">
        <v>124</v>
      </c>
      <c r="C141" s="62" t="s">
        <v>415</v>
      </c>
      <c r="D141" s="96" t="s">
        <v>838</v>
      </c>
      <c r="E141" s="62" t="s">
        <v>5064</v>
      </c>
      <c r="F141" s="96" t="s">
        <v>26</v>
      </c>
      <c r="G141" s="97" t="s">
        <v>5097</v>
      </c>
      <c r="H141" s="62" t="s">
        <v>1081</v>
      </c>
      <c r="I141" s="97" t="s">
        <v>5086</v>
      </c>
      <c r="J141" s="7" t="s">
        <v>3611</v>
      </c>
      <c r="K141" s="98" t="s">
        <v>1083</v>
      </c>
      <c r="L141" s="98" t="s">
        <v>322</v>
      </c>
      <c r="M141" s="98">
        <v>83024100</v>
      </c>
      <c r="N141" s="98">
        <v>100</v>
      </c>
      <c r="O141" s="7">
        <v>45</v>
      </c>
      <c r="P141" s="7"/>
      <c r="R141" s="9">
        <v>1022.961257331728</v>
      </c>
      <c r="T141" s="7" t="s">
        <v>34</v>
      </c>
      <c r="U141" s="7" t="s">
        <v>34</v>
      </c>
    </row>
    <row r="142" spans="1:21" ht="14.1" customHeight="1">
      <c r="A142" s="96">
        <v>161</v>
      </c>
      <c r="B142" s="62" t="s">
        <v>124</v>
      </c>
      <c r="C142" s="62" t="s">
        <v>415</v>
      </c>
      <c r="D142" s="96" t="s">
        <v>838</v>
      </c>
      <c r="E142" s="62" t="s">
        <v>5064</v>
      </c>
      <c r="F142" s="96" t="s">
        <v>26</v>
      </c>
      <c r="G142" s="97" t="s">
        <v>5098</v>
      </c>
      <c r="H142" s="62" t="s">
        <v>1424</v>
      </c>
      <c r="I142" s="97" t="s">
        <v>5099</v>
      </c>
      <c r="J142" s="7" t="s">
        <v>3611</v>
      </c>
      <c r="K142" s="98" t="s">
        <v>1426</v>
      </c>
      <c r="L142" s="98" t="s">
        <v>322</v>
      </c>
      <c r="M142" s="98">
        <v>83024100</v>
      </c>
      <c r="N142" s="98">
        <v>100</v>
      </c>
      <c r="O142" s="7">
        <v>45</v>
      </c>
      <c r="P142" s="7"/>
      <c r="R142" s="9">
        <v>293.23833351053952</v>
      </c>
      <c r="T142" s="7" t="s">
        <v>34</v>
      </c>
      <c r="U142" s="7" t="s">
        <v>34</v>
      </c>
    </row>
    <row r="143" spans="1:21" ht="14.1" customHeight="1">
      <c r="A143" s="96">
        <v>162</v>
      </c>
      <c r="B143" s="62" t="s">
        <v>124</v>
      </c>
      <c r="C143" s="62" t="s">
        <v>415</v>
      </c>
      <c r="D143" s="96" t="s">
        <v>838</v>
      </c>
      <c r="E143" s="62" t="s">
        <v>5064</v>
      </c>
      <c r="F143" s="96" t="s">
        <v>26</v>
      </c>
      <c r="G143" s="97" t="s">
        <v>5100</v>
      </c>
      <c r="H143" s="62" t="s">
        <v>1424</v>
      </c>
      <c r="I143" s="97" t="s">
        <v>5101</v>
      </c>
      <c r="J143" s="7" t="s">
        <v>3611</v>
      </c>
      <c r="K143" s="98" t="s">
        <v>1426</v>
      </c>
      <c r="L143" s="98" t="s">
        <v>322</v>
      </c>
      <c r="M143" s="98">
        <v>83024100</v>
      </c>
      <c r="N143" s="98">
        <v>100</v>
      </c>
      <c r="O143" s="7">
        <v>45</v>
      </c>
      <c r="P143" s="7"/>
      <c r="R143" s="9">
        <v>346.08514131000811</v>
      </c>
      <c r="T143" s="7" t="s">
        <v>34</v>
      </c>
      <c r="U143" s="7" t="s">
        <v>34</v>
      </c>
    </row>
    <row r="144" spans="1:21" ht="14.1" customHeight="1">
      <c r="A144" s="96">
        <v>163</v>
      </c>
      <c r="B144" s="62" t="s">
        <v>124</v>
      </c>
      <c r="C144" s="62" t="s">
        <v>415</v>
      </c>
      <c r="D144" s="96" t="s">
        <v>838</v>
      </c>
      <c r="E144" s="62" t="s">
        <v>5064</v>
      </c>
      <c r="F144" s="96" t="s">
        <v>26</v>
      </c>
      <c r="G144" s="97" t="s">
        <v>5102</v>
      </c>
      <c r="H144" s="62" t="s">
        <v>1424</v>
      </c>
      <c r="I144" s="97" t="s">
        <v>5103</v>
      </c>
      <c r="J144" s="7" t="s">
        <v>3611</v>
      </c>
      <c r="K144" s="98" t="s">
        <v>1426</v>
      </c>
      <c r="L144" s="98" t="s">
        <v>322</v>
      </c>
      <c r="M144" s="98">
        <v>83024100</v>
      </c>
      <c r="N144" s="98">
        <v>100</v>
      </c>
      <c r="O144" s="7">
        <v>45</v>
      </c>
      <c r="P144" s="7"/>
      <c r="R144" s="9">
        <v>446.67159770558573</v>
      </c>
      <c r="T144" s="7" t="s">
        <v>34</v>
      </c>
      <c r="U144" s="7" t="s">
        <v>34</v>
      </c>
    </row>
    <row r="145" spans="1:21" ht="14.1" customHeight="1">
      <c r="A145" s="96">
        <v>164</v>
      </c>
      <c r="B145" s="62" t="s">
        <v>124</v>
      </c>
      <c r="C145" s="62" t="s">
        <v>415</v>
      </c>
      <c r="D145" s="96" t="s">
        <v>838</v>
      </c>
      <c r="E145" s="62" t="s">
        <v>5064</v>
      </c>
      <c r="F145" s="96" t="s">
        <v>26</v>
      </c>
      <c r="G145" s="97" t="s">
        <v>5104</v>
      </c>
      <c r="H145" s="62" t="s">
        <v>1424</v>
      </c>
      <c r="I145" s="97" t="s">
        <v>5105</v>
      </c>
      <c r="J145" s="7" t="s">
        <v>3611</v>
      </c>
      <c r="K145" s="98" t="s">
        <v>1426</v>
      </c>
      <c r="L145" s="98" t="s">
        <v>322</v>
      </c>
      <c r="M145" s="98">
        <v>83024100</v>
      </c>
      <c r="N145" s="98">
        <v>100</v>
      </c>
      <c r="O145" s="7">
        <v>45</v>
      </c>
      <c r="P145" s="7"/>
      <c r="R145" s="9">
        <v>543.87148864011215</v>
      </c>
      <c r="T145" s="7" t="s">
        <v>34</v>
      </c>
      <c r="U145" s="7" t="s">
        <v>34</v>
      </c>
    </row>
    <row r="146" spans="1:21" ht="14.1" customHeight="1">
      <c r="A146" s="96">
        <v>165</v>
      </c>
      <c r="B146" s="62" t="s">
        <v>124</v>
      </c>
      <c r="C146" s="62" t="s">
        <v>415</v>
      </c>
      <c r="D146" s="96" t="s">
        <v>838</v>
      </c>
      <c r="E146" s="62" t="s">
        <v>5064</v>
      </c>
      <c r="F146" s="96" t="s">
        <v>26</v>
      </c>
      <c r="G146" s="97" t="s">
        <v>5106</v>
      </c>
      <c r="H146" s="62" t="s">
        <v>1424</v>
      </c>
      <c r="I146" s="97" t="s">
        <v>5107</v>
      </c>
      <c r="J146" s="7" t="s">
        <v>3611</v>
      </c>
      <c r="K146" s="98" t="s">
        <v>1426</v>
      </c>
      <c r="L146" s="98" t="s">
        <v>322</v>
      </c>
      <c r="M146" s="98">
        <v>83024100</v>
      </c>
      <c r="N146" s="98">
        <v>100</v>
      </c>
      <c r="O146" s="7">
        <v>45</v>
      </c>
      <c r="P146" s="7"/>
      <c r="R146" s="9">
        <v>728.84897144414344</v>
      </c>
      <c r="T146" s="7" t="s">
        <v>34</v>
      </c>
      <c r="U146" s="7" t="s">
        <v>34</v>
      </c>
    </row>
    <row r="147" spans="1:21" ht="14.1" customHeight="1">
      <c r="A147" s="96">
        <v>166</v>
      </c>
      <c r="B147" s="62" t="s">
        <v>124</v>
      </c>
      <c r="C147" s="62" t="s">
        <v>415</v>
      </c>
      <c r="D147" s="96" t="s">
        <v>838</v>
      </c>
      <c r="E147" s="62" t="s">
        <v>5064</v>
      </c>
      <c r="F147" s="96" t="s">
        <v>26</v>
      </c>
      <c r="G147" s="97" t="s">
        <v>5108</v>
      </c>
      <c r="H147" s="62" t="s">
        <v>1424</v>
      </c>
      <c r="I147" s="97" t="s">
        <v>5109</v>
      </c>
      <c r="J147" s="7" t="s">
        <v>3611</v>
      </c>
      <c r="K147" s="98" t="s">
        <v>1426</v>
      </c>
      <c r="L147" s="98" t="s">
        <v>322</v>
      </c>
      <c r="M147" s="98">
        <v>83024100</v>
      </c>
      <c r="N147" s="98">
        <v>100</v>
      </c>
      <c r="O147" s="7">
        <v>45</v>
      </c>
      <c r="P147" s="7"/>
      <c r="R147" s="9">
        <v>840.52369862348542</v>
      </c>
      <c r="T147" s="7" t="s">
        <v>34</v>
      </c>
      <c r="U147" s="7" t="s">
        <v>34</v>
      </c>
    </row>
    <row r="148" spans="1:21" ht="14.1" customHeight="1">
      <c r="A148" s="96">
        <v>167</v>
      </c>
      <c r="B148" s="62" t="s">
        <v>124</v>
      </c>
      <c r="C148" s="62" t="s">
        <v>415</v>
      </c>
      <c r="D148" s="96" t="s">
        <v>838</v>
      </c>
      <c r="E148" s="62" t="s">
        <v>5064</v>
      </c>
      <c r="F148" s="96" t="s">
        <v>26</v>
      </c>
      <c r="G148" s="97" t="s">
        <v>5110</v>
      </c>
      <c r="H148" s="62" t="s">
        <v>1424</v>
      </c>
      <c r="I148" s="97" t="s">
        <v>5111</v>
      </c>
      <c r="J148" s="7" t="s">
        <v>3611</v>
      </c>
      <c r="K148" s="98" t="s">
        <v>1426</v>
      </c>
      <c r="L148" s="98" t="s">
        <v>322</v>
      </c>
      <c r="M148" s="98">
        <v>83024100</v>
      </c>
      <c r="N148" s="98">
        <v>100</v>
      </c>
      <c r="O148" s="7">
        <v>45</v>
      </c>
      <c r="P148" s="7"/>
      <c r="R148" s="9">
        <v>1014.440221655535</v>
      </c>
      <c r="T148" s="7" t="s">
        <v>34</v>
      </c>
      <c r="U148" s="7" t="s">
        <v>34</v>
      </c>
    </row>
    <row r="149" spans="1:21" ht="14.1" customHeight="1">
      <c r="A149" s="96">
        <v>168</v>
      </c>
      <c r="B149" s="62" t="s">
        <v>124</v>
      </c>
      <c r="C149" s="62" t="s">
        <v>415</v>
      </c>
      <c r="D149" s="96" t="s">
        <v>838</v>
      </c>
      <c r="E149" s="62" t="s">
        <v>5064</v>
      </c>
      <c r="F149" s="96" t="s">
        <v>26</v>
      </c>
      <c r="G149" s="97" t="s">
        <v>5112</v>
      </c>
      <c r="H149" s="62" t="s">
        <v>1081</v>
      </c>
      <c r="I149" s="97" t="s">
        <v>5099</v>
      </c>
      <c r="J149" s="7" t="s">
        <v>3611</v>
      </c>
      <c r="K149" s="98" t="s">
        <v>1083</v>
      </c>
      <c r="L149" s="98" t="s">
        <v>322</v>
      </c>
      <c r="M149" s="98">
        <v>83024100</v>
      </c>
      <c r="N149" s="98">
        <v>100</v>
      </c>
      <c r="O149" s="7">
        <v>45</v>
      </c>
      <c r="P149" s="7"/>
      <c r="R149" s="9">
        <v>326.50314586183282</v>
      </c>
      <c r="T149" s="7" t="s">
        <v>34</v>
      </c>
      <c r="U149" s="7" t="s">
        <v>34</v>
      </c>
    </row>
    <row r="150" spans="1:21" ht="14.1" customHeight="1">
      <c r="A150" s="96">
        <v>169</v>
      </c>
      <c r="B150" s="62" t="s">
        <v>124</v>
      </c>
      <c r="C150" s="62" t="s">
        <v>415</v>
      </c>
      <c r="D150" s="96" t="s">
        <v>838</v>
      </c>
      <c r="E150" s="62" t="s">
        <v>5064</v>
      </c>
      <c r="F150" s="96" t="s">
        <v>26</v>
      </c>
      <c r="G150" s="97" t="s">
        <v>5113</v>
      </c>
      <c r="H150" s="62" t="s">
        <v>1081</v>
      </c>
      <c r="I150" s="97" t="s">
        <v>5101</v>
      </c>
      <c r="J150" s="7" t="s">
        <v>3611</v>
      </c>
      <c r="K150" s="98" t="s">
        <v>1083</v>
      </c>
      <c r="L150" s="98" t="s">
        <v>322</v>
      </c>
      <c r="M150" s="98">
        <v>83024100</v>
      </c>
      <c r="N150" s="98">
        <v>100</v>
      </c>
      <c r="O150" s="7">
        <v>45</v>
      </c>
      <c r="P150" s="7"/>
      <c r="R150" s="9">
        <v>388.74494171454029</v>
      </c>
      <c r="T150" s="7" t="s">
        <v>34</v>
      </c>
      <c r="U150" s="7" t="s">
        <v>34</v>
      </c>
    </row>
    <row r="151" spans="1:21" ht="14.1" customHeight="1">
      <c r="A151" s="96">
        <v>170</v>
      </c>
      <c r="B151" s="62" t="s">
        <v>124</v>
      </c>
      <c r="C151" s="62" t="s">
        <v>415</v>
      </c>
      <c r="D151" s="96" t="s">
        <v>838</v>
      </c>
      <c r="E151" s="62" t="s">
        <v>5064</v>
      </c>
      <c r="F151" s="96" t="s">
        <v>26</v>
      </c>
      <c r="G151" s="97" t="s">
        <v>5114</v>
      </c>
      <c r="H151" s="62" t="s">
        <v>1081</v>
      </c>
      <c r="I151" s="97" t="s">
        <v>5103</v>
      </c>
      <c r="J151" s="7" t="s">
        <v>3611</v>
      </c>
      <c r="K151" s="98" t="s">
        <v>1083</v>
      </c>
      <c r="L151" s="98" t="s">
        <v>322</v>
      </c>
      <c r="M151" s="98">
        <v>83024100</v>
      </c>
      <c r="N151" s="98">
        <v>100</v>
      </c>
      <c r="O151" s="7">
        <v>45</v>
      </c>
      <c r="P151" s="7"/>
      <c r="R151" s="9">
        <v>485.91752163728398</v>
      </c>
      <c r="T151" s="7" t="s">
        <v>34</v>
      </c>
      <c r="U151" s="7" t="s">
        <v>34</v>
      </c>
    </row>
    <row r="152" spans="1:21" ht="14.1" customHeight="1">
      <c r="A152" s="96">
        <v>171</v>
      </c>
      <c r="B152" s="62" t="s">
        <v>124</v>
      </c>
      <c r="C152" s="62" t="s">
        <v>415</v>
      </c>
      <c r="D152" s="96" t="s">
        <v>838</v>
      </c>
      <c r="E152" s="62" t="s">
        <v>5064</v>
      </c>
      <c r="F152" s="96" t="s">
        <v>26</v>
      </c>
      <c r="G152" s="97" t="s">
        <v>5115</v>
      </c>
      <c r="H152" s="62" t="s">
        <v>1081</v>
      </c>
      <c r="I152" s="97" t="s">
        <v>5105</v>
      </c>
      <c r="J152" s="7" t="s">
        <v>3611</v>
      </c>
      <c r="K152" s="98" t="s">
        <v>1083</v>
      </c>
      <c r="L152" s="98" t="s">
        <v>322</v>
      </c>
      <c r="M152" s="98">
        <v>83024100</v>
      </c>
      <c r="N152" s="98">
        <v>100</v>
      </c>
      <c r="O152" s="7">
        <v>45</v>
      </c>
      <c r="P152" s="7"/>
      <c r="R152" s="9">
        <v>590.79180688274096</v>
      </c>
      <c r="T152" s="7" t="s">
        <v>34</v>
      </c>
      <c r="U152" s="7" t="s">
        <v>34</v>
      </c>
    </row>
    <row r="153" spans="1:21" ht="14.1" customHeight="1">
      <c r="A153" s="96">
        <v>172</v>
      </c>
      <c r="B153" s="62" t="s">
        <v>124</v>
      </c>
      <c r="C153" s="62" t="s">
        <v>415</v>
      </c>
      <c r="D153" s="96" t="s">
        <v>838</v>
      </c>
      <c r="E153" s="62" t="s">
        <v>5064</v>
      </c>
      <c r="F153" s="96" t="s">
        <v>26</v>
      </c>
      <c r="G153" s="97" t="s">
        <v>5116</v>
      </c>
      <c r="H153" s="62" t="s">
        <v>1081</v>
      </c>
      <c r="I153" s="97" t="s">
        <v>5107</v>
      </c>
      <c r="J153" s="7" t="s">
        <v>3611</v>
      </c>
      <c r="K153" s="98" t="s">
        <v>1083</v>
      </c>
      <c r="L153" s="98" t="s">
        <v>322</v>
      </c>
      <c r="M153" s="98">
        <v>83024100</v>
      </c>
      <c r="N153" s="98">
        <v>100</v>
      </c>
      <c r="O153" s="7">
        <v>45</v>
      </c>
      <c r="P153" s="7"/>
      <c r="R153" s="9">
        <v>794.47733275790188</v>
      </c>
      <c r="T153" s="7" t="s">
        <v>34</v>
      </c>
      <c r="U153" s="7" t="s">
        <v>34</v>
      </c>
    </row>
    <row r="154" spans="1:21" ht="14.1" customHeight="1">
      <c r="A154" s="96">
        <v>173</v>
      </c>
      <c r="B154" s="62" t="s">
        <v>124</v>
      </c>
      <c r="C154" s="62" t="s">
        <v>415</v>
      </c>
      <c r="D154" s="96" t="s">
        <v>838</v>
      </c>
      <c r="E154" s="62" t="s">
        <v>5064</v>
      </c>
      <c r="F154" s="96" t="s">
        <v>26</v>
      </c>
      <c r="G154" s="97" t="s">
        <v>5117</v>
      </c>
      <c r="H154" s="62" t="s">
        <v>1081</v>
      </c>
      <c r="I154" s="97" t="s">
        <v>5109</v>
      </c>
      <c r="J154" s="7" t="s">
        <v>3611</v>
      </c>
      <c r="K154" s="98" t="s">
        <v>1083</v>
      </c>
      <c r="L154" s="98" t="s">
        <v>322</v>
      </c>
      <c r="M154" s="98">
        <v>83024100</v>
      </c>
      <c r="N154" s="98">
        <v>100</v>
      </c>
      <c r="O154" s="7">
        <v>45</v>
      </c>
      <c r="P154" s="7"/>
      <c r="R154" s="9">
        <v>934.30971308517815</v>
      </c>
      <c r="T154" s="7" t="s">
        <v>34</v>
      </c>
      <c r="U154" s="7" t="s">
        <v>34</v>
      </c>
    </row>
    <row r="155" spans="1:21" ht="14.1" customHeight="1">
      <c r="A155" s="96">
        <v>174</v>
      </c>
      <c r="B155" s="62" t="s">
        <v>124</v>
      </c>
      <c r="C155" s="62" t="s">
        <v>415</v>
      </c>
      <c r="D155" s="96" t="s">
        <v>838</v>
      </c>
      <c r="E155" s="62" t="s">
        <v>5064</v>
      </c>
      <c r="F155" s="96" t="s">
        <v>26</v>
      </c>
      <c r="G155" s="97" t="s">
        <v>5118</v>
      </c>
      <c r="H155" s="62" t="s">
        <v>1081</v>
      </c>
      <c r="I155" s="97" t="s">
        <v>5111</v>
      </c>
      <c r="J155" s="7" t="s">
        <v>3611</v>
      </c>
      <c r="K155" s="98" t="s">
        <v>1083</v>
      </c>
      <c r="L155" s="98" t="s">
        <v>322</v>
      </c>
      <c r="M155" s="98">
        <v>83024100</v>
      </c>
      <c r="N155" s="98">
        <v>100</v>
      </c>
      <c r="O155" s="7">
        <v>45</v>
      </c>
      <c r="P155" s="7"/>
      <c r="R155" s="9">
        <v>1121.8544309967799</v>
      </c>
      <c r="T155" s="7" t="s">
        <v>34</v>
      </c>
      <c r="U155" s="7" t="s">
        <v>34</v>
      </c>
    </row>
    <row r="156" spans="1:21" ht="14.1" customHeight="1">
      <c r="A156" s="96">
        <v>175</v>
      </c>
      <c r="B156" s="62" t="s">
        <v>124</v>
      </c>
      <c r="C156" s="62" t="s">
        <v>415</v>
      </c>
      <c r="D156" s="96" t="s">
        <v>838</v>
      </c>
      <c r="E156" s="62" t="s">
        <v>5064</v>
      </c>
      <c r="F156" s="96" t="s">
        <v>26</v>
      </c>
      <c r="G156" s="97" t="s">
        <v>5119</v>
      </c>
      <c r="H156" s="62" t="s">
        <v>1424</v>
      </c>
      <c r="I156" s="97" t="s">
        <v>5120</v>
      </c>
      <c r="J156" s="7" t="s">
        <v>3611</v>
      </c>
      <c r="K156" s="98" t="s">
        <v>1426</v>
      </c>
      <c r="L156" s="98" t="s">
        <v>322</v>
      </c>
      <c r="M156" s="98">
        <v>83024100</v>
      </c>
      <c r="N156" s="98">
        <v>100</v>
      </c>
      <c r="O156" s="7">
        <v>45</v>
      </c>
      <c r="P156" s="7"/>
      <c r="R156" s="9">
        <v>371.67555935037092</v>
      </c>
      <c r="T156" s="7" t="s">
        <v>34</v>
      </c>
      <c r="U156" s="7" t="s">
        <v>34</v>
      </c>
    </row>
    <row r="157" spans="1:21" ht="14.1" customHeight="1">
      <c r="A157" s="96">
        <v>176</v>
      </c>
      <c r="B157" s="62" t="s">
        <v>124</v>
      </c>
      <c r="C157" s="62" t="s">
        <v>415</v>
      </c>
      <c r="D157" s="96" t="s">
        <v>838</v>
      </c>
      <c r="E157" s="62" t="s">
        <v>5064</v>
      </c>
      <c r="F157" s="96" t="s">
        <v>26</v>
      </c>
      <c r="G157" s="97" t="s">
        <v>5121</v>
      </c>
      <c r="H157" s="62" t="s">
        <v>1424</v>
      </c>
      <c r="I157" s="97" t="s">
        <v>5122</v>
      </c>
      <c r="J157" s="7" t="s">
        <v>3611</v>
      </c>
      <c r="K157" s="98" t="s">
        <v>1426</v>
      </c>
      <c r="L157" s="98" t="s">
        <v>322</v>
      </c>
      <c r="M157" s="98">
        <v>83024100</v>
      </c>
      <c r="N157" s="98">
        <v>100</v>
      </c>
      <c r="O157" s="7">
        <v>45</v>
      </c>
      <c r="P157" s="7"/>
      <c r="R157" s="9">
        <v>468.87545028489728</v>
      </c>
      <c r="T157" s="7" t="s">
        <v>34</v>
      </c>
      <c r="U157" s="7" t="s">
        <v>34</v>
      </c>
    </row>
    <row r="158" spans="1:21" ht="14.1" customHeight="1">
      <c r="A158" s="96">
        <v>177</v>
      </c>
      <c r="B158" s="62" t="s">
        <v>124</v>
      </c>
      <c r="C158" s="62" t="s">
        <v>415</v>
      </c>
      <c r="D158" s="96" t="s">
        <v>838</v>
      </c>
      <c r="E158" s="62" t="s">
        <v>5064</v>
      </c>
      <c r="F158" s="96" t="s">
        <v>26</v>
      </c>
      <c r="G158" s="97" t="s">
        <v>5123</v>
      </c>
      <c r="H158" s="62" t="s">
        <v>1424</v>
      </c>
      <c r="I158" s="97" t="s">
        <v>5124</v>
      </c>
      <c r="J158" s="7" t="s">
        <v>3611</v>
      </c>
      <c r="K158" s="98" t="s">
        <v>1426</v>
      </c>
      <c r="L158" s="98" t="s">
        <v>322</v>
      </c>
      <c r="M158" s="98">
        <v>83024100</v>
      </c>
      <c r="N158" s="98">
        <v>100</v>
      </c>
      <c r="O158" s="7">
        <v>45</v>
      </c>
      <c r="P158" s="7"/>
      <c r="R158" s="9">
        <v>101.7881409140152</v>
      </c>
      <c r="T158" s="7" t="s">
        <v>34</v>
      </c>
      <c r="U158" s="7" t="s">
        <v>34</v>
      </c>
    </row>
    <row r="159" spans="1:21" ht="14.1" customHeight="1">
      <c r="A159" s="96">
        <v>178</v>
      </c>
      <c r="B159" s="62" t="s">
        <v>124</v>
      </c>
      <c r="C159" s="62" t="s">
        <v>415</v>
      </c>
      <c r="D159" s="96" t="s">
        <v>838</v>
      </c>
      <c r="E159" s="62" t="s">
        <v>5064</v>
      </c>
      <c r="F159" s="96" t="s">
        <v>26</v>
      </c>
      <c r="G159" s="97" t="s">
        <v>5125</v>
      </c>
      <c r="H159" s="62" t="s">
        <v>1424</v>
      </c>
      <c r="I159" s="97" t="s">
        <v>5126</v>
      </c>
      <c r="J159" s="7" t="s">
        <v>3611</v>
      </c>
      <c r="K159" s="98" t="s">
        <v>1426</v>
      </c>
      <c r="L159" s="98" t="s">
        <v>322</v>
      </c>
      <c r="M159" s="98">
        <v>83024100</v>
      </c>
      <c r="N159" s="98">
        <v>100</v>
      </c>
      <c r="O159" s="7">
        <v>45</v>
      </c>
      <c r="P159" s="7"/>
      <c r="R159" s="9">
        <v>114.4331393693919</v>
      </c>
      <c r="T159" s="7" t="s">
        <v>34</v>
      </c>
      <c r="U159" s="7" t="s">
        <v>34</v>
      </c>
    </row>
    <row r="160" spans="1:21" ht="14.1" customHeight="1">
      <c r="A160" s="96">
        <v>179</v>
      </c>
      <c r="B160" s="62" t="s">
        <v>124</v>
      </c>
      <c r="C160" s="62" t="s">
        <v>415</v>
      </c>
      <c r="D160" s="96" t="s">
        <v>838</v>
      </c>
      <c r="E160" s="62" t="s">
        <v>5064</v>
      </c>
      <c r="F160" s="96" t="s">
        <v>26</v>
      </c>
      <c r="G160" s="97" t="s">
        <v>5127</v>
      </c>
      <c r="H160" s="62" t="s">
        <v>1424</v>
      </c>
      <c r="I160" s="97" t="s">
        <v>5128</v>
      </c>
      <c r="J160" s="7" t="s">
        <v>3611</v>
      </c>
      <c r="K160" s="98" t="s">
        <v>1426</v>
      </c>
      <c r="L160" s="98" t="s">
        <v>322</v>
      </c>
      <c r="M160" s="98">
        <v>83024100</v>
      </c>
      <c r="N160" s="98">
        <v>100</v>
      </c>
      <c r="O160" s="7">
        <v>45</v>
      </c>
      <c r="P160" s="7"/>
      <c r="R160" s="9">
        <v>108.09698463581221</v>
      </c>
      <c r="T160" s="7" t="s">
        <v>34</v>
      </c>
      <c r="U160" s="7" t="s">
        <v>34</v>
      </c>
    </row>
    <row r="161" spans="1:21" ht="14.1" customHeight="1">
      <c r="A161" s="96">
        <v>180</v>
      </c>
      <c r="B161" s="62" t="s">
        <v>124</v>
      </c>
      <c r="C161" s="62" t="s">
        <v>415</v>
      </c>
      <c r="D161" s="96" t="s">
        <v>838</v>
      </c>
      <c r="E161" s="62" t="s">
        <v>5064</v>
      </c>
      <c r="F161" s="96" t="s">
        <v>26</v>
      </c>
      <c r="G161" s="97" t="s">
        <v>5129</v>
      </c>
      <c r="H161" s="62" t="s">
        <v>1424</v>
      </c>
      <c r="I161" s="97" t="s">
        <v>5130</v>
      </c>
      <c r="J161" s="7" t="s">
        <v>30</v>
      </c>
      <c r="K161" s="98" t="s">
        <v>1426</v>
      </c>
      <c r="L161" s="98" t="s">
        <v>322</v>
      </c>
      <c r="M161" s="98">
        <v>83024100</v>
      </c>
      <c r="N161" s="98">
        <v>100</v>
      </c>
      <c r="O161" s="7">
        <v>45</v>
      </c>
      <c r="P161" s="7"/>
      <c r="R161" s="9">
        <v>50.798481915768242</v>
      </c>
      <c r="T161" s="7" t="s">
        <v>34</v>
      </c>
      <c r="U161" s="7" t="s">
        <v>34</v>
      </c>
    </row>
    <row r="162" spans="1:21" ht="14.1" customHeight="1">
      <c r="A162" s="96">
        <v>181</v>
      </c>
      <c r="B162" s="62" t="s">
        <v>124</v>
      </c>
      <c r="C162" s="62" t="s">
        <v>415</v>
      </c>
      <c r="D162" s="96" t="s">
        <v>838</v>
      </c>
      <c r="E162" s="62" t="s">
        <v>5064</v>
      </c>
      <c r="F162" s="96" t="s">
        <v>26</v>
      </c>
      <c r="G162" s="97" t="s">
        <v>5131</v>
      </c>
      <c r="H162" s="62" t="s">
        <v>1424</v>
      </c>
      <c r="I162" s="97" t="s">
        <v>5132</v>
      </c>
      <c r="J162" s="7" t="s">
        <v>30</v>
      </c>
      <c r="K162" s="98" t="s">
        <v>1426</v>
      </c>
      <c r="L162" s="98" t="s">
        <v>322</v>
      </c>
      <c r="M162" s="98">
        <v>83024100</v>
      </c>
      <c r="N162" s="98">
        <v>100</v>
      </c>
      <c r="O162" s="7">
        <v>45</v>
      </c>
      <c r="P162" s="7"/>
      <c r="R162" s="9">
        <v>54.075803329688767</v>
      </c>
      <c r="T162" s="7" t="s">
        <v>34</v>
      </c>
      <c r="U162" s="7" t="s">
        <v>34</v>
      </c>
    </row>
    <row r="163" spans="1:21" ht="14.1" customHeight="1">
      <c r="A163" s="96">
        <v>182</v>
      </c>
      <c r="B163" s="62" t="s">
        <v>124</v>
      </c>
      <c r="C163" s="62" t="s">
        <v>415</v>
      </c>
      <c r="D163" s="96" t="s">
        <v>838</v>
      </c>
      <c r="E163" s="62" t="s">
        <v>5064</v>
      </c>
      <c r="F163" s="96" t="s">
        <v>26</v>
      </c>
      <c r="G163" s="97" t="s">
        <v>5133</v>
      </c>
      <c r="H163" s="62" t="s">
        <v>1081</v>
      </c>
      <c r="I163" s="97" t="s">
        <v>5120</v>
      </c>
      <c r="J163" s="7" t="s">
        <v>3611</v>
      </c>
      <c r="K163" s="98" t="s">
        <v>1083</v>
      </c>
      <c r="L163" s="98" t="s">
        <v>322</v>
      </c>
      <c r="M163" s="98">
        <v>83024100</v>
      </c>
      <c r="N163" s="98">
        <v>100</v>
      </c>
      <c r="O163" s="7">
        <v>45</v>
      </c>
      <c r="P163" s="7"/>
      <c r="R163" s="9">
        <v>400.67985386356747</v>
      </c>
      <c r="T163" s="7" t="s">
        <v>34</v>
      </c>
      <c r="U163" s="7" t="s">
        <v>34</v>
      </c>
    </row>
    <row r="164" spans="1:21" ht="14.1" customHeight="1">
      <c r="A164" s="96">
        <v>183</v>
      </c>
      <c r="B164" s="62" t="s">
        <v>124</v>
      </c>
      <c r="C164" s="62" t="s">
        <v>415</v>
      </c>
      <c r="D164" s="96" t="s">
        <v>838</v>
      </c>
      <c r="E164" s="62" t="s">
        <v>5064</v>
      </c>
      <c r="F164" s="96" t="s">
        <v>26</v>
      </c>
      <c r="G164" s="97" t="s">
        <v>5134</v>
      </c>
      <c r="H164" s="62" t="s">
        <v>1081</v>
      </c>
      <c r="I164" s="97" t="s">
        <v>5122</v>
      </c>
      <c r="J164" s="7" t="s">
        <v>3611</v>
      </c>
      <c r="K164" s="98" t="s">
        <v>1083</v>
      </c>
      <c r="L164" s="98" t="s">
        <v>322</v>
      </c>
      <c r="M164" s="98">
        <v>83024100</v>
      </c>
      <c r="N164" s="98">
        <v>100</v>
      </c>
      <c r="O164" s="7">
        <v>45</v>
      </c>
      <c r="P164" s="7"/>
      <c r="R164" s="9">
        <v>504.65287572019639</v>
      </c>
      <c r="T164" s="7" t="s">
        <v>34</v>
      </c>
      <c r="U164" s="7" t="s">
        <v>34</v>
      </c>
    </row>
    <row r="165" spans="1:21" ht="14.1" customHeight="1">
      <c r="A165" s="96">
        <v>184</v>
      </c>
      <c r="B165" s="62" t="s">
        <v>124</v>
      </c>
      <c r="C165" s="62" t="s">
        <v>415</v>
      </c>
      <c r="D165" s="96" t="s">
        <v>838</v>
      </c>
      <c r="E165" s="62" t="s">
        <v>5064</v>
      </c>
      <c r="F165" s="96" t="s">
        <v>26</v>
      </c>
      <c r="G165" s="97" t="s">
        <v>5135</v>
      </c>
      <c r="H165" s="62" t="s">
        <v>1081</v>
      </c>
      <c r="I165" s="97" t="s">
        <v>5124</v>
      </c>
      <c r="J165" s="7" t="s">
        <v>3611</v>
      </c>
      <c r="K165" s="98" t="s">
        <v>1083</v>
      </c>
      <c r="L165" s="98" t="s">
        <v>322</v>
      </c>
      <c r="M165" s="98">
        <v>83024100</v>
      </c>
      <c r="N165" s="98">
        <v>100</v>
      </c>
      <c r="O165" s="7">
        <v>45</v>
      </c>
      <c r="P165" s="7"/>
      <c r="R165" s="9">
        <v>109.10749207177101</v>
      </c>
      <c r="T165" s="7" t="s">
        <v>34</v>
      </c>
      <c r="U165" s="7" t="s">
        <v>34</v>
      </c>
    </row>
    <row r="166" spans="1:21" ht="14.1" customHeight="1">
      <c r="A166" s="96">
        <v>185</v>
      </c>
      <c r="B166" s="62" t="s">
        <v>124</v>
      </c>
      <c r="C166" s="62" t="s">
        <v>415</v>
      </c>
      <c r="D166" s="96" t="s">
        <v>838</v>
      </c>
      <c r="E166" s="62" t="s">
        <v>5064</v>
      </c>
      <c r="F166" s="96" t="s">
        <v>26</v>
      </c>
      <c r="G166" s="97" t="s">
        <v>5136</v>
      </c>
      <c r="H166" s="62" t="s">
        <v>1081</v>
      </c>
      <c r="I166" s="97" t="s">
        <v>5126</v>
      </c>
      <c r="J166" s="7" t="s">
        <v>3611</v>
      </c>
      <c r="K166" s="98" t="s">
        <v>1083</v>
      </c>
      <c r="L166" s="98" t="s">
        <v>322</v>
      </c>
      <c r="M166" s="98">
        <v>83024100</v>
      </c>
      <c r="N166" s="98">
        <v>100</v>
      </c>
      <c r="O166" s="7">
        <v>45</v>
      </c>
      <c r="P166" s="7"/>
      <c r="R166" s="9">
        <v>153.43326419504621</v>
      </c>
      <c r="T166" s="7" t="s">
        <v>34</v>
      </c>
      <c r="U166" s="7" t="s">
        <v>34</v>
      </c>
    </row>
    <row r="167" spans="1:21" ht="14.1" customHeight="1">
      <c r="A167" s="96">
        <v>186</v>
      </c>
      <c r="B167" s="62" t="s">
        <v>124</v>
      </c>
      <c r="C167" s="62" t="s">
        <v>415</v>
      </c>
      <c r="D167" s="96" t="s">
        <v>838</v>
      </c>
      <c r="E167" s="62" t="s">
        <v>5064</v>
      </c>
      <c r="F167" s="96" t="s">
        <v>26</v>
      </c>
      <c r="G167" s="97" t="s">
        <v>5137</v>
      </c>
      <c r="H167" s="62" t="s">
        <v>1081</v>
      </c>
      <c r="I167" s="97" t="s">
        <v>5128</v>
      </c>
      <c r="J167" s="7" t="s">
        <v>3611</v>
      </c>
      <c r="K167" s="98" t="s">
        <v>1083</v>
      </c>
      <c r="L167" s="98" t="s">
        <v>322</v>
      </c>
      <c r="M167" s="98">
        <v>83024100</v>
      </c>
      <c r="N167" s="98">
        <v>100</v>
      </c>
      <c r="O167" s="7">
        <v>45</v>
      </c>
      <c r="P167" s="7"/>
      <c r="R167" s="9">
        <v>129.56343989699161</v>
      </c>
      <c r="T167" s="7" t="s">
        <v>34</v>
      </c>
      <c r="U167" s="7" t="s">
        <v>34</v>
      </c>
    </row>
    <row r="168" spans="1:21" ht="14.1" customHeight="1">
      <c r="A168" s="96">
        <v>187</v>
      </c>
      <c r="B168" s="62" t="s">
        <v>124</v>
      </c>
      <c r="C168" s="62" t="s">
        <v>415</v>
      </c>
      <c r="D168" s="96" t="s">
        <v>838</v>
      </c>
      <c r="E168" s="62" t="s">
        <v>5064</v>
      </c>
      <c r="F168" s="96" t="s">
        <v>26</v>
      </c>
      <c r="G168" s="97" t="s">
        <v>5138</v>
      </c>
      <c r="H168" s="62" t="s">
        <v>1081</v>
      </c>
      <c r="I168" s="97" t="s">
        <v>5130</v>
      </c>
      <c r="J168" s="7" t="s">
        <v>30</v>
      </c>
      <c r="K168" s="98" t="s">
        <v>1083</v>
      </c>
      <c r="L168" s="98" t="s">
        <v>322</v>
      </c>
      <c r="M168" s="98">
        <v>83024100</v>
      </c>
      <c r="N168" s="98">
        <v>100</v>
      </c>
      <c r="O168" s="7">
        <v>45</v>
      </c>
      <c r="P168" s="7"/>
      <c r="R168" s="9">
        <v>57.27119170826127</v>
      </c>
      <c r="T168" s="7" t="s">
        <v>34</v>
      </c>
      <c r="U168" s="7" t="s">
        <v>34</v>
      </c>
    </row>
    <row r="169" spans="1:21" ht="14.1" customHeight="1">
      <c r="A169" s="96">
        <v>188</v>
      </c>
      <c r="B169" s="62" t="s">
        <v>124</v>
      </c>
      <c r="C169" s="62" t="s">
        <v>415</v>
      </c>
      <c r="D169" s="96" t="s">
        <v>838</v>
      </c>
      <c r="E169" s="62" t="s">
        <v>5064</v>
      </c>
      <c r="F169" s="96" t="s">
        <v>26</v>
      </c>
      <c r="G169" s="97" t="s">
        <v>5139</v>
      </c>
      <c r="H169" s="62" t="s">
        <v>1081</v>
      </c>
      <c r="I169" s="97" t="s">
        <v>5132</v>
      </c>
      <c r="J169" s="7" t="s">
        <v>30</v>
      </c>
      <c r="K169" s="98" t="s">
        <v>1083</v>
      </c>
      <c r="L169" s="98" t="s">
        <v>322</v>
      </c>
      <c r="M169" s="98">
        <v>83024100</v>
      </c>
      <c r="N169" s="98">
        <v>100</v>
      </c>
      <c r="O169" s="7">
        <v>45</v>
      </c>
      <c r="P169" s="7"/>
      <c r="R169" s="9">
        <v>62.077929782011402</v>
      </c>
      <c r="T169" s="7" t="s">
        <v>34</v>
      </c>
      <c r="U169" s="7" t="s">
        <v>34</v>
      </c>
    </row>
    <row r="170" spans="1:21" ht="14.1" customHeight="1">
      <c r="A170" s="96">
        <v>189</v>
      </c>
      <c r="B170" s="62" t="s">
        <v>124</v>
      </c>
      <c r="C170" s="62" t="s">
        <v>415</v>
      </c>
      <c r="D170" s="96" t="s">
        <v>2194</v>
      </c>
      <c r="E170" s="62" t="s">
        <v>2195</v>
      </c>
      <c r="F170" s="96" t="s">
        <v>26</v>
      </c>
      <c r="G170" s="97" t="s">
        <v>5140</v>
      </c>
      <c r="H170" s="62" t="s">
        <v>1320</v>
      </c>
      <c r="I170" s="97" t="s">
        <v>5141</v>
      </c>
      <c r="J170" s="7" t="s">
        <v>30</v>
      </c>
      <c r="K170" s="98" t="s">
        <v>1322</v>
      </c>
      <c r="L170" s="98" t="s">
        <v>322</v>
      </c>
      <c r="M170" s="98">
        <v>74182000</v>
      </c>
      <c r="N170" s="98">
        <v>100</v>
      </c>
      <c r="O170" s="7">
        <v>45</v>
      </c>
      <c r="P170" s="7"/>
      <c r="R170" s="9">
        <v>248.28440811626291</v>
      </c>
      <c r="T170" s="7" t="s">
        <v>34</v>
      </c>
      <c r="U170" s="7" t="s">
        <v>34</v>
      </c>
    </row>
    <row r="171" spans="1:21" ht="14.1" customHeight="1">
      <c r="A171" s="96">
        <v>190</v>
      </c>
      <c r="B171" s="62" t="s">
        <v>124</v>
      </c>
      <c r="C171" s="62" t="s">
        <v>415</v>
      </c>
      <c r="D171" s="96" t="s">
        <v>2194</v>
      </c>
      <c r="E171" s="62" t="s">
        <v>2195</v>
      </c>
      <c r="F171" s="96" t="s">
        <v>26</v>
      </c>
      <c r="G171" s="97" t="s">
        <v>5142</v>
      </c>
      <c r="H171" s="62" t="s">
        <v>1320</v>
      </c>
      <c r="I171" s="97" t="s">
        <v>5143</v>
      </c>
      <c r="J171" s="7" t="s">
        <v>30</v>
      </c>
      <c r="K171" s="98" t="s">
        <v>1322</v>
      </c>
      <c r="L171" s="98" t="s">
        <v>322</v>
      </c>
      <c r="M171" s="98">
        <v>74182000</v>
      </c>
      <c r="N171" s="98">
        <v>100</v>
      </c>
      <c r="O171" s="7">
        <v>45</v>
      </c>
      <c r="P171" s="7"/>
      <c r="R171" s="9">
        <v>248.28440811626291</v>
      </c>
      <c r="T171" s="7" t="s">
        <v>34</v>
      </c>
      <c r="U171" s="7" t="s">
        <v>34</v>
      </c>
    </row>
    <row r="172" spans="1:21" ht="14.1" customHeight="1">
      <c r="A172" s="96">
        <v>191</v>
      </c>
      <c r="B172" s="62" t="s">
        <v>124</v>
      </c>
      <c r="C172" s="62" t="s">
        <v>415</v>
      </c>
      <c r="D172" s="96" t="s">
        <v>2194</v>
      </c>
      <c r="E172" s="62" t="s">
        <v>2195</v>
      </c>
      <c r="F172" s="96" t="s">
        <v>26</v>
      </c>
      <c r="G172" s="97" t="s">
        <v>5144</v>
      </c>
      <c r="H172" s="62" t="s">
        <v>1320</v>
      </c>
      <c r="I172" s="97" t="s">
        <v>5145</v>
      </c>
      <c r="J172" s="7" t="s">
        <v>30</v>
      </c>
      <c r="K172" s="98" t="s">
        <v>1322</v>
      </c>
      <c r="L172" s="98" t="s">
        <v>322</v>
      </c>
      <c r="M172" s="98">
        <v>74182000</v>
      </c>
      <c r="N172" s="98">
        <v>100</v>
      </c>
      <c r="O172" s="7">
        <v>45</v>
      </c>
      <c r="P172" s="7"/>
      <c r="R172" s="9">
        <v>262.89579941999187</v>
      </c>
      <c r="T172" s="7" t="s">
        <v>34</v>
      </c>
      <c r="U172" s="7" t="s">
        <v>34</v>
      </c>
    </row>
    <row r="173" spans="1:21" ht="14.1" customHeight="1">
      <c r="A173" s="96">
        <v>192</v>
      </c>
      <c r="B173" s="62" t="s">
        <v>124</v>
      </c>
      <c r="C173" s="62" t="s">
        <v>415</v>
      </c>
      <c r="D173" s="96" t="s">
        <v>2194</v>
      </c>
      <c r="E173" s="62" t="s">
        <v>2195</v>
      </c>
      <c r="F173" s="96" t="s">
        <v>26</v>
      </c>
      <c r="G173" s="97" t="s">
        <v>5146</v>
      </c>
      <c r="H173" s="62" t="s">
        <v>1320</v>
      </c>
      <c r="I173" s="97" t="s">
        <v>5147</v>
      </c>
      <c r="J173" s="7" t="s">
        <v>30</v>
      </c>
      <c r="K173" s="98" t="s">
        <v>1322</v>
      </c>
      <c r="L173" s="98" t="s">
        <v>322</v>
      </c>
      <c r="M173" s="98">
        <v>74182000</v>
      </c>
      <c r="N173" s="98">
        <v>100</v>
      </c>
      <c r="O173" s="7">
        <v>45</v>
      </c>
      <c r="P173" s="7"/>
      <c r="R173" s="9">
        <v>338.82041217581752</v>
      </c>
      <c r="T173" s="7" t="s">
        <v>34</v>
      </c>
      <c r="U173" s="7" t="s">
        <v>34</v>
      </c>
    </row>
    <row r="174" spans="1:21" ht="14.1" customHeight="1">
      <c r="A174" s="96">
        <v>193</v>
      </c>
      <c r="B174" s="62" t="s">
        <v>124</v>
      </c>
      <c r="C174" s="62" t="s">
        <v>415</v>
      </c>
      <c r="D174" s="96" t="s">
        <v>2194</v>
      </c>
      <c r="E174" s="62" t="s">
        <v>2195</v>
      </c>
      <c r="F174" s="96" t="s">
        <v>26</v>
      </c>
      <c r="G174" s="97" t="s">
        <v>5148</v>
      </c>
      <c r="H174" s="62" t="s">
        <v>1320</v>
      </c>
      <c r="I174" s="97" t="s">
        <v>5149</v>
      </c>
      <c r="J174" s="7" t="s">
        <v>30</v>
      </c>
      <c r="K174" s="98" t="s">
        <v>1322</v>
      </c>
      <c r="L174" s="98" t="s">
        <v>322</v>
      </c>
      <c r="M174" s="98">
        <v>74182000</v>
      </c>
      <c r="N174" s="98">
        <v>100</v>
      </c>
      <c r="O174" s="7">
        <v>45</v>
      </c>
      <c r="P174" s="7"/>
      <c r="R174" s="9">
        <v>338.82041217581752</v>
      </c>
      <c r="T174" s="7" t="s">
        <v>34</v>
      </c>
      <c r="U174" s="7" t="s">
        <v>34</v>
      </c>
    </row>
    <row r="175" spans="1:21" ht="14.1" customHeight="1">
      <c r="A175" s="96">
        <v>194</v>
      </c>
      <c r="B175" s="62" t="s">
        <v>124</v>
      </c>
      <c r="C175" s="62" t="s">
        <v>415</v>
      </c>
      <c r="D175" s="96" t="s">
        <v>2194</v>
      </c>
      <c r="E175" s="62" t="s">
        <v>2195</v>
      </c>
      <c r="F175" s="96" t="s">
        <v>26</v>
      </c>
      <c r="G175" s="97" t="s">
        <v>5150</v>
      </c>
      <c r="H175" s="62" t="s">
        <v>1320</v>
      </c>
      <c r="I175" s="97" t="s">
        <v>5151</v>
      </c>
      <c r="J175" s="7" t="s">
        <v>30</v>
      </c>
      <c r="K175" s="98" t="s">
        <v>1322</v>
      </c>
      <c r="L175" s="98" t="s">
        <v>322</v>
      </c>
      <c r="M175" s="98">
        <v>74182000</v>
      </c>
      <c r="N175" s="98">
        <v>100</v>
      </c>
      <c r="O175" s="7">
        <v>45</v>
      </c>
      <c r="P175" s="7"/>
      <c r="R175" s="9">
        <v>368.04319478327562</v>
      </c>
      <c r="T175" s="7" t="s">
        <v>34</v>
      </c>
      <c r="U175" s="7" t="s">
        <v>34</v>
      </c>
    </row>
    <row r="176" spans="1:21" ht="14.1" customHeight="1">
      <c r="A176" s="96">
        <v>195</v>
      </c>
      <c r="B176" s="62" t="s">
        <v>124</v>
      </c>
      <c r="C176" s="62" t="s">
        <v>415</v>
      </c>
      <c r="D176" s="96" t="s">
        <v>2194</v>
      </c>
      <c r="E176" s="62" t="s">
        <v>2195</v>
      </c>
      <c r="F176" s="96" t="s">
        <v>26</v>
      </c>
      <c r="G176" s="97" t="s">
        <v>5152</v>
      </c>
      <c r="H176" s="62" t="s">
        <v>1320</v>
      </c>
      <c r="I176" s="97" t="s">
        <v>5153</v>
      </c>
      <c r="J176" s="7" t="s">
        <v>30</v>
      </c>
      <c r="K176" s="98" t="s">
        <v>1322</v>
      </c>
      <c r="L176" s="98" t="s">
        <v>322</v>
      </c>
      <c r="M176" s="98">
        <v>74182000</v>
      </c>
      <c r="N176" s="98">
        <v>100</v>
      </c>
      <c r="O176" s="7">
        <v>45</v>
      </c>
      <c r="P176" s="7"/>
      <c r="R176" s="9">
        <v>169.41020608790879</v>
      </c>
      <c r="T176" s="7" t="s">
        <v>34</v>
      </c>
      <c r="U176" s="7" t="s">
        <v>34</v>
      </c>
    </row>
    <row r="177" spans="1:21" ht="14.1" customHeight="1">
      <c r="A177" s="96">
        <v>196</v>
      </c>
      <c r="B177" s="62" t="s">
        <v>124</v>
      </c>
      <c r="C177" s="62" t="s">
        <v>415</v>
      </c>
      <c r="D177" s="96" t="s">
        <v>2194</v>
      </c>
      <c r="E177" s="62" t="s">
        <v>2195</v>
      </c>
      <c r="F177" s="96" t="s">
        <v>26</v>
      </c>
      <c r="G177" s="97" t="s">
        <v>5154</v>
      </c>
      <c r="H177" s="62" t="s">
        <v>1320</v>
      </c>
      <c r="I177" s="97" t="s">
        <v>5155</v>
      </c>
      <c r="J177" s="7" t="s">
        <v>30</v>
      </c>
      <c r="K177" s="98" t="s">
        <v>1322</v>
      </c>
      <c r="L177" s="98" t="s">
        <v>322</v>
      </c>
      <c r="M177" s="98">
        <v>74182000</v>
      </c>
      <c r="N177" s="98">
        <v>100</v>
      </c>
      <c r="O177" s="7">
        <v>45</v>
      </c>
      <c r="P177" s="7"/>
      <c r="R177" s="9">
        <v>236.59529507327969</v>
      </c>
      <c r="T177" s="7" t="s">
        <v>34</v>
      </c>
      <c r="U177" s="7" t="s">
        <v>34</v>
      </c>
    </row>
    <row r="178" spans="1:21" ht="14.1" customHeight="1">
      <c r="A178" s="96">
        <v>197</v>
      </c>
      <c r="B178" s="62" t="s">
        <v>124</v>
      </c>
      <c r="C178" s="62" t="s">
        <v>415</v>
      </c>
      <c r="D178" s="96" t="s">
        <v>2194</v>
      </c>
      <c r="E178" s="62" t="s">
        <v>2195</v>
      </c>
      <c r="F178" s="96" t="s">
        <v>26</v>
      </c>
      <c r="G178" s="97" t="s">
        <v>5156</v>
      </c>
      <c r="H178" s="62" t="s">
        <v>1320</v>
      </c>
      <c r="I178" s="97" t="s">
        <v>5157</v>
      </c>
      <c r="J178" s="7" t="s">
        <v>30</v>
      </c>
      <c r="K178" s="98" t="s">
        <v>1322</v>
      </c>
      <c r="L178" s="98" t="s">
        <v>322</v>
      </c>
      <c r="M178" s="98">
        <v>74182000</v>
      </c>
      <c r="N178" s="98">
        <v>100</v>
      </c>
      <c r="O178" s="7">
        <v>45</v>
      </c>
      <c r="P178" s="7"/>
      <c r="R178" s="9">
        <v>248.28440811626291</v>
      </c>
      <c r="T178" s="7" t="s">
        <v>34</v>
      </c>
      <c r="U178" s="7" t="s">
        <v>34</v>
      </c>
    </row>
    <row r="179" spans="1:21" ht="14.1" customHeight="1">
      <c r="A179" s="96">
        <v>198</v>
      </c>
      <c r="B179" s="62" t="s">
        <v>124</v>
      </c>
      <c r="C179" s="62" t="s">
        <v>415</v>
      </c>
      <c r="D179" s="96" t="s">
        <v>2194</v>
      </c>
      <c r="E179" s="62" t="s">
        <v>2195</v>
      </c>
      <c r="F179" s="96" t="s">
        <v>26</v>
      </c>
      <c r="G179" s="97" t="s">
        <v>5158</v>
      </c>
      <c r="H179" s="62" t="s">
        <v>1320</v>
      </c>
      <c r="I179" s="97" t="s">
        <v>5159</v>
      </c>
      <c r="J179" s="7" t="s">
        <v>30</v>
      </c>
      <c r="K179" s="98" t="s">
        <v>1322</v>
      </c>
      <c r="L179" s="98" t="s">
        <v>322</v>
      </c>
      <c r="M179" s="98">
        <v>74182000</v>
      </c>
      <c r="N179" s="98">
        <v>100</v>
      </c>
      <c r="O179" s="7">
        <v>45</v>
      </c>
      <c r="P179" s="7"/>
      <c r="R179" s="9">
        <v>248.28440811626291</v>
      </c>
      <c r="T179" s="7" t="s">
        <v>34</v>
      </c>
      <c r="U179" s="7" t="s">
        <v>34</v>
      </c>
    </row>
    <row r="180" spans="1:21" ht="14.1" customHeight="1">
      <c r="A180" s="96">
        <v>199</v>
      </c>
      <c r="B180" s="62" t="s">
        <v>124</v>
      </c>
      <c r="C180" s="62" t="s">
        <v>415</v>
      </c>
      <c r="D180" s="96" t="s">
        <v>2194</v>
      </c>
      <c r="E180" s="62" t="s">
        <v>2195</v>
      </c>
      <c r="F180" s="96" t="s">
        <v>26</v>
      </c>
      <c r="G180" s="97" t="s">
        <v>5160</v>
      </c>
      <c r="H180" s="62" t="s">
        <v>1320</v>
      </c>
      <c r="I180" s="97" t="s">
        <v>5161</v>
      </c>
      <c r="J180" s="7" t="s">
        <v>30</v>
      </c>
      <c r="K180" s="98" t="s">
        <v>1322</v>
      </c>
      <c r="L180" s="98" t="s">
        <v>322</v>
      </c>
      <c r="M180" s="98">
        <v>74182000</v>
      </c>
      <c r="N180" s="98">
        <v>100</v>
      </c>
      <c r="O180" s="7">
        <v>45</v>
      </c>
      <c r="P180" s="7"/>
      <c r="R180" s="9">
        <v>338.82041217581752</v>
      </c>
      <c r="T180" s="7" t="s">
        <v>34</v>
      </c>
      <c r="U180" s="7" t="s">
        <v>34</v>
      </c>
    </row>
    <row r="181" spans="1:21" ht="14.1" customHeight="1">
      <c r="A181" s="96">
        <v>200</v>
      </c>
      <c r="B181" s="62" t="s">
        <v>124</v>
      </c>
      <c r="C181" s="62" t="s">
        <v>415</v>
      </c>
      <c r="D181" s="96" t="s">
        <v>2194</v>
      </c>
      <c r="E181" s="62" t="s">
        <v>2195</v>
      </c>
      <c r="F181" s="96" t="s">
        <v>26</v>
      </c>
      <c r="G181" s="97" t="s">
        <v>5162</v>
      </c>
      <c r="H181" s="62" t="s">
        <v>1320</v>
      </c>
      <c r="I181" s="97" t="s">
        <v>5163</v>
      </c>
      <c r="J181" s="7" t="s">
        <v>30</v>
      </c>
      <c r="K181" s="98" t="s">
        <v>1322</v>
      </c>
      <c r="L181" s="98" t="s">
        <v>322</v>
      </c>
      <c r="M181" s="98">
        <v>74182000</v>
      </c>
      <c r="N181" s="98">
        <v>100</v>
      </c>
      <c r="O181" s="7">
        <v>45</v>
      </c>
      <c r="P181" s="7"/>
      <c r="R181" s="9">
        <v>338.82041217581752</v>
      </c>
      <c r="T181" s="7" t="s">
        <v>34</v>
      </c>
      <c r="U181" s="7" t="s">
        <v>34</v>
      </c>
    </row>
    <row r="182" spans="1:21" ht="14.1" customHeight="1">
      <c r="A182" s="96">
        <v>201</v>
      </c>
      <c r="B182" s="62" t="s">
        <v>124</v>
      </c>
      <c r="C182" s="62" t="s">
        <v>415</v>
      </c>
      <c r="D182" s="96" t="s">
        <v>2194</v>
      </c>
      <c r="E182" s="62" t="s">
        <v>2195</v>
      </c>
      <c r="F182" s="96" t="s">
        <v>26</v>
      </c>
      <c r="G182" s="97" t="s">
        <v>5164</v>
      </c>
      <c r="H182" s="62" t="s">
        <v>1320</v>
      </c>
      <c r="I182" s="97" t="s">
        <v>5165</v>
      </c>
      <c r="J182" s="7" t="s">
        <v>30</v>
      </c>
      <c r="K182" s="98" t="s">
        <v>1322</v>
      </c>
      <c r="L182" s="98" t="s">
        <v>322</v>
      </c>
      <c r="M182" s="98">
        <v>74182000</v>
      </c>
      <c r="N182" s="98">
        <v>100</v>
      </c>
      <c r="O182" s="7">
        <v>45</v>
      </c>
      <c r="P182" s="7"/>
      <c r="R182" s="9">
        <v>368.04319478327562</v>
      </c>
      <c r="T182" s="7" t="s">
        <v>34</v>
      </c>
      <c r="U182" s="7" t="s">
        <v>34</v>
      </c>
    </row>
    <row r="183" spans="1:21" ht="14.1" customHeight="1">
      <c r="A183" s="96">
        <v>202</v>
      </c>
      <c r="B183" s="62" t="s">
        <v>124</v>
      </c>
      <c r="C183" s="62" t="s">
        <v>415</v>
      </c>
      <c r="D183" s="96" t="s">
        <v>2194</v>
      </c>
      <c r="E183" s="62" t="s">
        <v>2195</v>
      </c>
      <c r="F183" s="96" t="s">
        <v>26</v>
      </c>
      <c r="G183" s="97" t="s">
        <v>5166</v>
      </c>
      <c r="H183" s="62" t="s">
        <v>1320</v>
      </c>
      <c r="I183" s="97" t="s">
        <v>5167</v>
      </c>
      <c r="J183" s="7" t="s">
        <v>30</v>
      </c>
      <c r="K183" s="98" t="s">
        <v>1322</v>
      </c>
      <c r="L183" s="98" t="s">
        <v>322</v>
      </c>
      <c r="M183" s="98">
        <v>74182000</v>
      </c>
      <c r="N183" s="98">
        <v>100</v>
      </c>
      <c r="O183" s="7">
        <v>45</v>
      </c>
      <c r="P183" s="7"/>
      <c r="R183" s="9">
        <v>330.08088840536283</v>
      </c>
      <c r="T183" s="7" t="s">
        <v>34</v>
      </c>
      <c r="U183" s="7" t="s">
        <v>34</v>
      </c>
    </row>
    <row r="184" spans="1:21" ht="14.1" customHeight="1">
      <c r="A184" s="96">
        <v>203</v>
      </c>
      <c r="B184" s="62" t="s">
        <v>124</v>
      </c>
      <c r="C184" s="62" t="s">
        <v>415</v>
      </c>
      <c r="D184" s="96" t="s">
        <v>2194</v>
      </c>
      <c r="E184" s="62" t="s">
        <v>2195</v>
      </c>
      <c r="F184" s="96" t="s">
        <v>26</v>
      </c>
      <c r="G184" s="97" t="s">
        <v>5168</v>
      </c>
      <c r="H184" s="62" t="s">
        <v>1320</v>
      </c>
      <c r="I184" s="97" t="s">
        <v>5169</v>
      </c>
      <c r="J184" s="7" t="s">
        <v>30</v>
      </c>
      <c r="K184" s="98" t="s">
        <v>1322</v>
      </c>
      <c r="L184" s="98" t="s">
        <v>322</v>
      </c>
      <c r="M184" s="98">
        <v>74182000</v>
      </c>
      <c r="N184" s="98">
        <v>100</v>
      </c>
      <c r="O184" s="7">
        <v>45</v>
      </c>
      <c r="P184" s="7"/>
      <c r="R184" s="9">
        <v>236.59529507327969</v>
      </c>
      <c r="T184" s="7" t="s">
        <v>34</v>
      </c>
      <c r="U184" s="7" t="s">
        <v>34</v>
      </c>
    </row>
    <row r="185" spans="1:21" ht="14.1" customHeight="1">
      <c r="A185" s="96">
        <v>204</v>
      </c>
      <c r="B185" s="62" t="s">
        <v>124</v>
      </c>
      <c r="C185" s="62" t="s">
        <v>415</v>
      </c>
      <c r="D185" s="96" t="s">
        <v>2194</v>
      </c>
      <c r="E185" s="62" t="s">
        <v>2195</v>
      </c>
      <c r="F185" s="96" t="s">
        <v>26</v>
      </c>
      <c r="G185" s="97" t="s">
        <v>5170</v>
      </c>
      <c r="H185" s="62" t="s">
        <v>1320</v>
      </c>
      <c r="I185" s="97" t="s">
        <v>5171</v>
      </c>
      <c r="J185" s="7" t="s">
        <v>30</v>
      </c>
      <c r="K185" s="98" t="s">
        <v>1322</v>
      </c>
      <c r="L185" s="98" t="s">
        <v>322</v>
      </c>
      <c r="M185" s="98">
        <v>74182000</v>
      </c>
      <c r="N185" s="98">
        <v>100</v>
      </c>
      <c r="O185" s="7">
        <v>45</v>
      </c>
      <c r="P185" s="7"/>
      <c r="R185" s="9">
        <v>93.458282320300469</v>
      </c>
      <c r="T185" s="7" t="s">
        <v>34</v>
      </c>
      <c r="U185" s="7" t="s">
        <v>34</v>
      </c>
    </row>
    <row r="186" spans="1:21" ht="14.1" customHeight="1">
      <c r="A186" s="96">
        <v>205</v>
      </c>
      <c r="B186" s="62" t="s">
        <v>124</v>
      </c>
      <c r="C186" s="62" t="s">
        <v>415</v>
      </c>
      <c r="D186" s="96" t="s">
        <v>2194</v>
      </c>
      <c r="E186" s="62" t="s">
        <v>2195</v>
      </c>
      <c r="F186" s="96" t="s">
        <v>26</v>
      </c>
      <c r="G186" s="97" t="s">
        <v>5172</v>
      </c>
      <c r="H186" s="62" t="s">
        <v>1320</v>
      </c>
      <c r="I186" s="97" t="s">
        <v>5171</v>
      </c>
      <c r="J186" s="7" t="s">
        <v>30</v>
      </c>
      <c r="K186" s="98" t="s">
        <v>1322</v>
      </c>
      <c r="L186" s="98" t="s">
        <v>322</v>
      </c>
      <c r="M186" s="98">
        <v>74182000</v>
      </c>
      <c r="N186" s="98">
        <v>100</v>
      </c>
      <c r="O186" s="7">
        <v>45</v>
      </c>
      <c r="P186" s="7"/>
      <c r="R186" s="9">
        <v>93.458282320300469</v>
      </c>
      <c r="T186" s="7" t="s">
        <v>34</v>
      </c>
      <c r="U186" s="7" t="s">
        <v>34</v>
      </c>
    </row>
    <row r="187" spans="1:21" ht="14.1" customHeight="1">
      <c r="A187" s="96">
        <v>206</v>
      </c>
      <c r="B187" s="62" t="s">
        <v>124</v>
      </c>
      <c r="C187" s="62" t="s">
        <v>415</v>
      </c>
      <c r="D187" s="96" t="s">
        <v>2194</v>
      </c>
      <c r="E187" s="62" t="s">
        <v>2195</v>
      </c>
      <c r="F187" s="96" t="s">
        <v>26</v>
      </c>
      <c r="G187" s="97" t="s">
        <v>5173</v>
      </c>
      <c r="H187" s="62" t="s">
        <v>1320</v>
      </c>
      <c r="I187" s="97" t="s">
        <v>5174</v>
      </c>
      <c r="J187" s="7" t="s">
        <v>30</v>
      </c>
      <c r="K187" s="98" t="s">
        <v>1322</v>
      </c>
      <c r="L187" s="98" t="s">
        <v>322</v>
      </c>
      <c r="M187" s="98">
        <v>74182000</v>
      </c>
      <c r="N187" s="98">
        <v>100</v>
      </c>
      <c r="O187" s="7">
        <v>45</v>
      </c>
      <c r="P187" s="7"/>
      <c r="R187" s="9">
        <v>116.8365084062669</v>
      </c>
      <c r="T187" s="7" t="s">
        <v>34</v>
      </c>
      <c r="U187" s="7" t="s">
        <v>34</v>
      </c>
    </row>
    <row r="188" spans="1:21" ht="14.1" customHeight="1">
      <c r="A188" s="96">
        <v>207</v>
      </c>
      <c r="B188" s="62" t="s">
        <v>124</v>
      </c>
      <c r="C188" s="62" t="s">
        <v>415</v>
      </c>
      <c r="D188" s="96" t="s">
        <v>2194</v>
      </c>
      <c r="E188" s="62" t="s">
        <v>2195</v>
      </c>
      <c r="F188" s="96" t="s">
        <v>26</v>
      </c>
      <c r="G188" s="97" t="s">
        <v>5175</v>
      </c>
      <c r="H188" s="62" t="s">
        <v>1320</v>
      </c>
      <c r="I188" s="97" t="s">
        <v>5176</v>
      </c>
      <c r="J188" s="7" t="s">
        <v>30</v>
      </c>
      <c r="K188" s="98" t="s">
        <v>1322</v>
      </c>
      <c r="L188" s="98" t="s">
        <v>322</v>
      </c>
      <c r="M188" s="98">
        <v>74182000</v>
      </c>
      <c r="N188" s="98">
        <v>100</v>
      </c>
      <c r="O188" s="7">
        <v>45</v>
      </c>
      <c r="P188" s="7"/>
      <c r="R188" s="9">
        <v>116.8365084062669</v>
      </c>
      <c r="T188" s="7" t="s">
        <v>34</v>
      </c>
      <c r="U188" s="7" t="s">
        <v>34</v>
      </c>
    </row>
    <row r="189" spans="1:21" ht="14.1" customHeight="1">
      <c r="A189" s="96">
        <v>208</v>
      </c>
      <c r="B189" s="62" t="s">
        <v>124</v>
      </c>
      <c r="C189" s="62" t="s">
        <v>415</v>
      </c>
      <c r="D189" s="96" t="s">
        <v>2194</v>
      </c>
      <c r="E189" s="62" t="s">
        <v>2195</v>
      </c>
      <c r="F189" s="96" t="s">
        <v>26</v>
      </c>
      <c r="G189" s="97" t="s">
        <v>5177</v>
      </c>
      <c r="H189" s="62" t="s">
        <v>1320</v>
      </c>
      <c r="I189" s="97" t="s">
        <v>5178</v>
      </c>
      <c r="J189" s="7" t="s">
        <v>30</v>
      </c>
      <c r="K189" s="98" t="s">
        <v>1322</v>
      </c>
      <c r="L189" s="98" t="s">
        <v>322</v>
      </c>
      <c r="M189" s="98">
        <v>74182000</v>
      </c>
      <c r="N189" s="98">
        <v>100</v>
      </c>
      <c r="O189" s="7">
        <v>45</v>
      </c>
      <c r="P189" s="7"/>
      <c r="R189" s="9">
        <v>154.79881478417971</v>
      </c>
      <c r="T189" s="7" t="s">
        <v>34</v>
      </c>
      <c r="U189" s="7" t="s">
        <v>34</v>
      </c>
    </row>
    <row r="190" spans="1:21" ht="14.1" customHeight="1">
      <c r="A190" s="96">
        <v>209</v>
      </c>
      <c r="B190" s="62" t="s">
        <v>124</v>
      </c>
      <c r="C190" s="62" t="s">
        <v>415</v>
      </c>
      <c r="D190" s="96" t="s">
        <v>2194</v>
      </c>
      <c r="E190" s="62" t="s">
        <v>2195</v>
      </c>
      <c r="F190" s="96" t="s">
        <v>26</v>
      </c>
      <c r="G190" s="97" t="s">
        <v>5179</v>
      </c>
      <c r="H190" s="62" t="s">
        <v>1320</v>
      </c>
      <c r="I190" s="97" t="s">
        <v>5180</v>
      </c>
      <c r="J190" s="7" t="s">
        <v>30</v>
      </c>
      <c r="K190" s="98" t="s">
        <v>1322</v>
      </c>
      <c r="L190" s="98" t="s">
        <v>322</v>
      </c>
      <c r="M190" s="98">
        <v>74182000</v>
      </c>
      <c r="N190" s="98">
        <v>100</v>
      </c>
      <c r="O190" s="7">
        <v>45</v>
      </c>
      <c r="P190" s="7"/>
      <c r="R190" s="9">
        <v>154.79881478417971</v>
      </c>
      <c r="T190" s="7" t="s">
        <v>34</v>
      </c>
      <c r="U190" s="7" t="s">
        <v>34</v>
      </c>
    </row>
    <row r="191" spans="1:21" ht="14.1" customHeight="1">
      <c r="A191" s="96">
        <v>210</v>
      </c>
      <c r="B191" s="62" t="s">
        <v>124</v>
      </c>
      <c r="C191" s="62" t="s">
        <v>415</v>
      </c>
      <c r="D191" s="96" t="s">
        <v>2194</v>
      </c>
      <c r="E191" s="62" t="s">
        <v>2195</v>
      </c>
      <c r="F191" s="96" t="s">
        <v>26</v>
      </c>
      <c r="G191" s="97" t="s">
        <v>5181</v>
      </c>
      <c r="H191" s="62" t="s">
        <v>1320</v>
      </c>
      <c r="I191" s="97" t="s">
        <v>5182</v>
      </c>
      <c r="J191" s="7" t="s">
        <v>30</v>
      </c>
      <c r="K191" s="98" t="s">
        <v>1322</v>
      </c>
      <c r="L191" s="98" t="s">
        <v>322</v>
      </c>
      <c r="M191" s="98">
        <v>74182000</v>
      </c>
      <c r="N191" s="98">
        <v>100</v>
      </c>
      <c r="O191" s="7">
        <v>45</v>
      </c>
      <c r="P191" s="7"/>
      <c r="R191" s="9">
        <v>154.79881478417971</v>
      </c>
      <c r="T191" s="7" t="s">
        <v>34</v>
      </c>
      <c r="U191" s="7" t="s">
        <v>34</v>
      </c>
    </row>
    <row r="192" spans="1:21" ht="14.1" customHeight="1">
      <c r="A192" s="96">
        <v>211</v>
      </c>
      <c r="B192" s="62" t="s">
        <v>124</v>
      </c>
      <c r="C192" s="62" t="s">
        <v>415</v>
      </c>
      <c r="D192" s="96" t="s">
        <v>2194</v>
      </c>
      <c r="E192" s="62" t="s">
        <v>2195</v>
      </c>
      <c r="F192" s="96" t="s">
        <v>26</v>
      </c>
      <c r="G192" s="97" t="s">
        <v>5183</v>
      </c>
      <c r="H192" s="62" t="s">
        <v>1320</v>
      </c>
      <c r="I192" s="97" t="s">
        <v>5184</v>
      </c>
      <c r="J192" s="7" t="s">
        <v>30</v>
      </c>
      <c r="K192" s="98" t="s">
        <v>1322</v>
      </c>
      <c r="L192" s="98" t="s">
        <v>322</v>
      </c>
      <c r="M192" s="98">
        <v>74182000</v>
      </c>
      <c r="N192" s="98">
        <v>100</v>
      </c>
      <c r="O192" s="7">
        <v>45</v>
      </c>
      <c r="P192" s="7"/>
      <c r="R192" s="9">
        <v>97.855355217310517</v>
      </c>
      <c r="T192" s="7" t="s">
        <v>34</v>
      </c>
      <c r="U192" s="7" t="s">
        <v>34</v>
      </c>
    </row>
    <row r="193" spans="1:21" ht="14.1" customHeight="1">
      <c r="A193" s="96">
        <v>212</v>
      </c>
      <c r="B193" s="62" t="s">
        <v>124</v>
      </c>
      <c r="C193" s="62" t="s">
        <v>415</v>
      </c>
      <c r="D193" s="96" t="s">
        <v>2194</v>
      </c>
      <c r="E193" s="62" t="s">
        <v>2195</v>
      </c>
      <c r="F193" s="96" t="s">
        <v>26</v>
      </c>
      <c r="G193" s="97" t="s">
        <v>5185</v>
      </c>
      <c r="H193" s="62" t="s">
        <v>1320</v>
      </c>
      <c r="I193" s="97" t="s">
        <v>5186</v>
      </c>
      <c r="J193" s="7" t="s">
        <v>30</v>
      </c>
      <c r="K193" s="98" t="s">
        <v>1322</v>
      </c>
      <c r="L193" s="98" t="s">
        <v>322</v>
      </c>
      <c r="M193" s="98">
        <v>74182000</v>
      </c>
      <c r="N193" s="98">
        <v>100</v>
      </c>
      <c r="O193" s="7">
        <v>45</v>
      </c>
      <c r="P193" s="7"/>
      <c r="R193" s="9">
        <v>125.6033431885044</v>
      </c>
      <c r="T193" s="7" t="s">
        <v>34</v>
      </c>
      <c r="U193" s="7" t="s">
        <v>34</v>
      </c>
    </row>
    <row r="194" spans="1:21" ht="14.1" customHeight="1">
      <c r="A194" s="96">
        <v>213</v>
      </c>
      <c r="B194" s="62" t="s">
        <v>124</v>
      </c>
      <c r="C194" s="62" t="s">
        <v>415</v>
      </c>
      <c r="D194" s="96" t="s">
        <v>2194</v>
      </c>
      <c r="E194" s="62" t="s">
        <v>2195</v>
      </c>
      <c r="F194" s="96" t="s">
        <v>26</v>
      </c>
      <c r="G194" s="97" t="s">
        <v>5187</v>
      </c>
      <c r="H194" s="62" t="s">
        <v>1320</v>
      </c>
      <c r="I194" s="97" t="s">
        <v>5188</v>
      </c>
      <c r="J194" s="7" t="s">
        <v>30</v>
      </c>
      <c r="K194" s="98" t="s">
        <v>1322</v>
      </c>
      <c r="L194" s="98" t="s">
        <v>322</v>
      </c>
      <c r="M194" s="98">
        <v>74182000</v>
      </c>
      <c r="N194" s="98">
        <v>100</v>
      </c>
      <c r="O194" s="7">
        <v>45</v>
      </c>
      <c r="P194" s="7"/>
      <c r="R194" s="9">
        <v>125.6033431885044</v>
      </c>
      <c r="T194" s="7" t="s">
        <v>34</v>
      </c>
      <c r="U194" s="7" t="s">
        <v>34</v>
      </c>
    </row>
    <row r="195" spans="1:21" ht="14.1" customHeight="1">
      <c r="A195" s="96">
        <v>214</v>
      </c>
      <c r="B195" s="62" t="s">
        <v>124</v>
      </c>
      <c r="C195" s="62" t="s">
        <v>415</v>
      </c>
      <c r="D195" s="96" t="s">
        <v>2194</v>
      </c>
      <c r="E195" s="62" t="s">
        <v>2195</v>
      </c>
      <c r="F195" s="96" t="s">
        <v>26</v>
      </c>
      <c r="G195" s="97" t="s">
        <v>5189</v>
      </c>
      <c r="H195" s="62" t="s">
        <v>1320</v>
      </c>
      <c r="I195" s="97" t="s">
        <v>5190</v>
      </c>
      <c r="J195" s="7" t="s">
        <v>30</v>
      </c>
      <c r="K195" s="98" t="s">
        <v>1322</v>
      </c>
      <c r="L195" s="98" t="s">
        <v>322</v>
      </c>
      <c r="M195" s="98">
        <v>74182000</v>
      </c>
      <c r="N195" s="98">
        <v>100</v>
      </c>
      <c r="O195" s="7">
        <v>45</v>
      </c>
      <c r="P195" s="7"/>
      <c r="R195" s="9">
        <v>163.56564956641719</v>
      </c>
      <c r="T195" s="7" t="s">
        <v>34</v>
      </c>
      <c r="U195" s="7" t="s">
        <v>34</v>
      </c>
    </row>
    <row r="196" spans="1:21" ht="14.1" customHeight="1">
      <c r="A196" s="96">
        <v>215</v>
      </c>
      <c r="B196" s="62" t="s">
        <v>124</v>
      </c>
      <c r="C196" s="62" t="s">
        <v>415</v>
      </c>
      <c r="D196" s="96" t="s">
        <v>2194</v>
      </c>
      <c r="E196" s="62" t="s">
        <v>2195</v>
      </c>
      <c r="F196" s="96" t="s">
        <v>26</v>
      </c>
      <c r="G196" s="97" t="s">
        <v>5191</v>
      </c>
      <c r="H196" s="62" t="s">
        <v>1320</v>
      </c>
      <c r="I196" s="97" t="s">
        <v>5192</v>
      </c>
      <c r="J196" s="7" t="s">
        <v>30</v>
      </c>
      <c r="K196" s="98" t="s">
        <v>1322</v>
      </c>
      <c r="L196" s="98" t="s">
        <v>322</v>
      </c>
      <c r="M196" s="98">
        <v>74182000</v>
      </c>
      <c r="N196" s="98">
        <v>100</v>
      </c>
      <c r="O196" s="7">
        <v>45</v>
      </c>
      <c r="P196" s="7"/>
      <c r="R196" s="9">
        <v>163.56564956641719</v>
      </c>
      <c r="T196" s="7" t="s">
        <v>34</v>
      </c>
      <c r="U196" s="7" t="s">
        <v>34</v>
      </c>
    </row>
    <row r="197" spans="1:21" ht="14.1" customHeight="1">
      <c r="A197" s="96">
        <v>216</v>
      </c>
      <c r="B197" s="62" t="s">
        <v>124</v>
      </c>
      <c r="C197" s="62" t="s">
        <v>415</v>
      </c>
      <c r="D197" s="96" t="s">
        <v>2194</v>
      </c>
      <c r="E197" s="62" t="s">
        <v>2195</v>
      </c>
      <c r="F197" s="96" t="s">
        <v>26</v>
      </c>
      <c r="G197" s="97" t="s">
        <v>5193</v>
      </c>
      <c r="H197" s="62" t="s">
        <v>1320</v>
      </c>
      <c r="I197" s="97" t="s">
        <v>5194</v>
      </c>
      <c r="J197" s="7" t="s">
        <v>30</v>
      </c>
      <c r="K197" s="98" t="s">
        <v>1322</v>
      </c>
      <c r="L197" s="98" t="s">
        <v>322</v>
      </c>
      <c r="M197" s="98">
        <v>74182000</v>
      </c>
      <c r="N197" s="98">
        <v>100</v>
      </c>
      <c r="O197" s="7">
        <v>45</v>
      </c>
      <c r="P197" s="7"/>
      <c r="R197" s="9">
        <v>163.56564956641719</v>
      </c>
      <c r="T197" s="7" t="s">
        <v>34</v>
      </c>
      <c r="U197" s="7" t="s">
        <v>34</v>
      </c>
    </row>
    <row r="198" spans="1:21" ht="14.1" customHeight="1">
      <c r="A198" s="96">
        <v>217</v>
      </c>
      <c r="B198" s="62" t="s">
        <v>124</v>
      </c>
      <c r="C198" s="62" t="s">
        <v>415</v>
      </c>
      <c r="D198" s="96" t="s">
        <v>2194</v>
      </c>
      <c r="E198" s="62" t="s">
        <v>2195</v>
      </c>
      <c r="F198" s="96" t="s">
        <v>26</v>
      </c>
      <c r="G198" s="97" t="s">
        <v>5195</v>
      </c>
      <c r="H198" s="62" t="s">
        <v>5196</v>
      </c>
      <c r="I198" s="97" t="s">
        <v>5197</v>
      </c>
      <c r="J198" s="7" t="s">
        <v>30</v>
      </c>
      <c r="K198" s="98" t="s">
        <v>1083</v>
      </c>
      <c r="L198" s="98" t="s">
        <v>322</v>
      </c>
      <c r="M198" s="98">
        <v>83024100</v>
      </c>
      <c r="N198" s="98">
        <v>100</v>
      </c>
      <c r="O198" s="7">
        <v>45</v>
      </c>
      <c r="P198" s="7"/>
      <c r="R198" s="9">
        <v>159.2231986929724</v>
      </c>
      <c r="T198" s="7" t="s">
        <v>34</v>
      </c>
      <c r="U198" s="7" t="s">
        <v>34</v>
      </c>
    </row>
    <row r="199" spans="1:21" ht="14.1" customHeight="1">
      <c r="A199" s="96">
        <v>218</v>
      </c>
      <c r="B199" s="62" t="s">
        <v>124</v>
      </c>
      <c r="C199" s="62" t="s">
        <v>415</v>
      </c>
      <c r="D199" s="96" t="s">
        <v>2194</v>
      </c>
      <c r="E199" s="62" t="s">
        <v>2195</v>
      </c>
      <c r="F199" s="96" t="s">
        <v>26</v>
      </c>
      <c r="G199" s="97" t="s">
        <v>5198</v>
      </c>
      <c r="H199" s="62" t="s">
        <v>5196</v>
      </c>
      <c r="I199" s="97" t="s">
        <v>5199</v>
      </c>
      <c r="J199" s="7" t="s">
        <v>30</v>
      </c>
      <c r="K199" s="98" t="s">
        <v>1083</v>
      </c>
      <c r="L199" s="98" t="s">
        <v>322</v>
      </c>
      <c r="M199" s="98">
        <v>83024100</v>
      </c>
      <c r="N199" s="98">
        <v>100</v>
      </c>
      <c r="O199" s="7">
        <v>45</v>
      </c>
      <c r="P199" s="7"/>
      <c r="R199" s="9">
        <v>162.50052010689299</v>
      </c>
      <c r="T199" s="7" t="s">
        <v>34</v>
      </c>
      <c r="U199" s="7" t="s">
        <v>34</v>
      </c>
    </row>
    <row r="200" spans="1:21" ht="14.1" customHeight="1">
      <c r="A200" s="96">
        <v>219</v>
      </c>
      <c r="B200" s="62" t="s">
        <v>124</v>
      </c>
      <c r="C200" s="62" t="s">
        <v>415</v>
      </c>
      <c r="D200" s="96" t="s">
        <v>2194</v>
      </c>
      <c r="E200" s="62" t="s">
        <v>2195</v>
      </c>
      <c r="F200" s="96" t="s">
        <v>26</v>
      </c>
      <c r="G200" s="97" t="s">
        <v>5200</v>
      </c>
      <c r="H200" s="62" t="s">
        <v>5196</v>
      </c>
      <c r="I200" s="97" t="s">
        <v>5201</v>
      </c>
      <c r="J200" s="7" t="s">
        <v>30</v>
      </c>
      <c r="K200" s="98" t="s">
        <v>1083</v>
      </c>
      <c r="L200" s="98" t="s">
        <v>322</v>
      </c>
      <c r="M200" s="98">
        <v>83024100</v>
      </c>
      <c r="N200" s="98">
        <v>100</v>
      </c>
      <c r="O200" s="7">
        <v>45</v>
      </c>
      <c r="P200" s="7"/>
      <c r="R200" s="9">
        <v>174.2442551734415</v>
      </c>
      <c r="T200" s="7" t="s">
        <v>34</v>
      </c>
      <c r="U200" s="7" t="s">
        <v>34</v>
      </c>
    </row>
    <row r="201" spans="1:21" ht="14.1" customHeight="1">
      <c r="A201" s="96">
        <v>220</v>
      </c>
      <c r="B201" s="62" t="s">
        <v>124</v>
      </c>
      <c r="C201" s="62" t="s">
        <v>415</v>
      </c>
      <c r="D201" s="96" t="s">
        <v>2194</v>
      </c>
      <c r="E201" s="62" t="s">
        <v>2195</v>
      </c>
      <c r="F201" s="96" t="s">
        <v>26</v>
      </c>
      <c r="G201" s="97" t="s">
        <v>5202</v>
      </c>
      <c r="H201" s="62" t="s">
        <v>5196</v>
      </c>
      <c r="I201" s="97" t="s">
        <v>5203</v>
      </c>
      <c r="J201" s="7" t="s">
        <v>30</v>
      </c>
      <c r="K201" s="98" t="s">
        <v>1083</v>
      </c>
      <c r="L201" s="98" t="s">
        <v>322</v>
      </c>
      <c r="M201" s="98">
        <v>83024100</v>
      </c>
      <c r="N201" s="98">
        <v>100</v>
      </c>
      <c r="O201" s="7">
        <v>45</v>
      </c>
      <c r="P201" s="7"/>
      <c r="R201" s="9">
        <v>186.94387565238361</v>
      </c>
      <c r="T201" s="7" t="s">
        <v>34</v>
      </c>
      <c r="U201" s="7" t="s">
        <v>34</v>
      </c>
    </row>
    <row r="202" spans="1:21" ht="14.1" customHeight="1">
      <c r="A202" s="96">
        <v>221</v>
      </c>
      <c r="B202" s="62" t="s">
        <v>124</v>
      </c>
      <c r="C202" s="62" t="s">
        <v>415</v>
      </c>
      <c r="D202" s="96" t="s">
        <v>2194</v>
      </c>
      <c r="E202" s="62" t="s">
        <v>2195</v>
      </c>
      <c r="F202" s="96" t="s">
        <v>26</v>
      </c>
      <c r="G202" s="97" t="s">
        <v>5204</v>
      </c>
      <c r="H202" s="62" t="s">
        <v>5196</v>
      </c>
      <c r="I202" s="97" t="s">
        <v>5205</v>
      </c>
      <c r="J202" s="7" t="s">
        <v>30</v>
      </c>
      <c r="K202" s="98" t="s">
        <v>1083</v>
      </c>
      <c r="L202" s="98" t="s">
        <v>322</v>
      </c>
      <c r="M202" s="98">
        <v>83024100</v>
      </c>
      <c r="N202" s="98">
        <v>100</v>
      </c>
      <c r="O202" s="7">
        <v>45</v>
      </c>
      <c r="P202" s="7"/>
      <c r="R202" s="9">
        <v>89.006587399725092</v>
      </c>
      <c r="T202" s="7" t="s">
        <v>34</v>
      </c>
      <c r="U202" s="7" t="s">
        <v>34</v>
      </c>
    </row>
    <row r="203" spans="1:21" ht="14.1" customHeight="1">
      <c r="A203" s="96">
        <v>222</v>
      </c>
      <c r="B203" s="62" t="s">
        <v>124</v>
      </c>
      <c r="C203" s="62" t="s">
        <v>415</v>
      </c>
      <c r="D203" s="96" t="s">
        <v>2194</v>
      </c>
      <c r="E203" s="62" t="s">
        <v>2195</v>
      </c>
      <c r="F203" s="96" t="s">
        <v>26</v>
      </c>
      <c r="G203" s="97" t="s">
        <v>5206</v>
      </c>
      <c r="H203" s="62" t="s">
        <v>5196</v>
      </c>
      <c r="I203" s="97" t="s">
        <v>5207</v>
      </c>
      <c r="J203" s="7" t="s">
        <v>30</v>
      </c>
      <c r="K203" s="98" t="s">
        <v>1083</v>
      </c>
      <c r="L203" s="98" t="s">
        <v>322</v>
      </c>
      <c r="M203" s="98">
        <v>83024100</v>
      </c>
      <c r="N203" s="98">
        <v>100</v>
      </c>
      <c r="O203" s="7">
        <v>45</v>
      </c>
      <c r="P203" s="7"/>
      <c r="R203" s="9">
        <v>101.7335188904498</v>
      </c>
      <c r="T203" s="7" t="s">
        <v>34</v>
      </c>
      <c r="U203" s="7" t="s">
        <v>34</v>
      </c>
    </row>
    <row r="204" spans="1:21" ht="14.1" customHeight="1">
      <c r="A204" s="96">
        <v>223</v>
      </c>
      <c r="B204" s="62" t="s">
        <v>124</v>
      </c>
      <c r="C204" s="62" t="s">
        <v>415</v>
      </c>
      <c r="D204" s="96" t="s">
        <v>2194</v>
      </c>
      <c r="E204" s="62" t="s">
        <v>2195</v>
      </c>
      <c r="F204" s="96" t="s">
        <v>26</v>
      </c>
      <c r="G204" s="97" t="s">
        <v>5208</v>
      </c>
      <c r="H204" s="62" t="s">
        <v>5196</v>
      </c>
      <c r="I204" s="97" t="s">
        <v>5209</v>
      </c>
      <c r="J204" s="7" t="s">
        <v>30</v>
      </c>
      <c r="K204" s="98" t="s">
        <v>1083</v>
      </c>
      <c r="L204" s="98" t="s">
        <v>322</v>
      </c>
      <c r="M204" s="98">
        <v>83024100</v>
      </c>
      <c r="N204" s="98">
        <v>100</v>
      </c>
      <c r="O204" s="7">
        <v>45</v>
      </c>
      <c r="P204" s="7"/>
      <c r="R204" s="9">
        <v>114.4331393693919</v>
      </c>
      <c r="T204" s="7" t="s">
        <v>34</v>
      </c>
      <c r="U204" s="7" t="s">
        <v>34</v>
      </c>
    </row>
    <row r="205" spans="1:21" ht="14.1" customHeight="1">
      <c r="A205" s="96">
        <v>224</v>
      </c>
      <c r="B205" s="62" t="s">
        <v>124</v>
      </c>
      <c r="C205" s="62" t="s">
        <v>415</v>
      </c>
      <c r="D205" s="96" t="s">
        <v>2194</v>
      </c>
      <c r="E205" s="62" t="s">
        <v>2195</v>
      </c>
      <c r="F205" s="96" t="s">
        <v>26</v>
      </c>
      <c r="G205" s="97" t="s">
        <v>5210</v>
      </c>
      <c r="H205" s="62" t="s">
        <v>5196</v>
      </c>
      <c r="I205" s="97" t="s">
        <v>5211</v>
      </c>
      <c r="J205" s="7" t="s">
        <v>30</v>
      </c>
      <c r="K205" s="98" t="s">
        <v>1083</v>
      </c>
      <c r="L205" s="98" t="s">
        <v>322</v>
      </c>
      <c r="M205" s="98">
        <v>83024100</v>
      </c>
      <c r="N205" s="98">
        <v>100</v>
      </c>
      <c r="O205" s="7">
        <v>45</v>
      </c>
      <c r="P205" s="7"/>
      <c r="R205" s="9">
        <v>133.52353660547899</v>
      </c>
      <c r="T205" s="7" t="s">
        <v>34</v>
      </c>
      <c r="U205" s="7" t="s">
        <v>34</v>
      </c>
    </row>
    <row r="206" spans="1:21" ht="14.1" customHeight="1">
      <c r="A206" s="96">
        <v>225</v>
      </c>
      <c r="B206" s="62" t="s">
        <v>124</v>
      </c>
      <c r="C206" s="62" t="s">
        <v>415</v>
      </c>
      <c r="D206" s="96" t="s">
        <v>2194</v>
      </c>
      <c r="E206" s="62" t="s">
        <v>2195</v>
      </c>
      <c r="F206" s="96" t="s">
        <v>26</v>
      </c>
      <c r="G206" s="97" t="s">
        <v>5212</v>
      </c>
      <c r="H206" s="62" t="s">
        <v>5196</v>
      </c>
      <c r="I206" s="97" t="s">
        <v>5213</v>
      </c>
      <c r="J206" s="7" t="s">
        <v>30</v>
      </c>
      <c r="K206" s="98" t="s">
        <v>1083</v>
      </c>
      <c r="L206" s="98" t="s">
        <v>322</v>
      </c>
      <c r="M206" s="98">
        <v>83024100</v>
      </c>
      <c r="N206" s="98">
        <v>100</v>
      </c>
      <c r="O206" s="7">
        <v>45</v>
      </c>
      <c r="P206" s="7"/>
      <c r="R206" s="9">
        <v>184.40395155659519</v>
      </c>
      <c r="T206" s="7" t="s">
        <v>34</v>
      </c>
      <c r="U206" s="7" t="s">
        <v>34</v>
      </c>
    </row>
    <row r="207" spans="1:21" ht="14.1" customHeight="1">
      <c r="A207" s="96">
        <v>226</v>
      </c>
      <c r="B207" s="62" t="s">
        <v>124</v>
      </c>
      <c r="C207" s="62" t="s">
        <v>415</v>
      </c>
      <c r="D207" s="96" t="s">
        <v>2194</v>
      </c>
      <c r="E207" s="62" t="s">
        <v>2195</v>
      </c>
      <c r="F207" s="96" t="s">
        <v>26</v>
      </c>
      <c r="G207" s="97" t="s">
        <v>5214</v>
      </c>
      <c r="H207" s="62" t="s">
        <v>5196</v>
      </c>
      <c r="I207" s="97" t="s">
        <v>5215</v>
      </c>
      <c r="J207" s="7" t="s">
        <v>30</v>
      </c>
      <c r="K207" s="98" t="s">
        <v>1083</v>
      </c>
      <c r="L207" s="98" t="s">
        <v>322</v>
      </c>
      <c r="M207" s="98">
        <v>83024100</v>
      </c>
      <c r="N207" s="98">
        <v>100</v>
      </c>
      <c r="O207" s="7">
        <v>45</v>
      </c>
      <c r="P207" s="7"/>
      <c r="R207" s="9">
        <v>197.13088304732</v>
      </c>
      <c r="T207" s="7" t="s">
        <v>34</v>
      </c>
      <c r="U207" s="7" t="s">
        <v>34</v>
      </c>
    </row>
    <row r="208" spans="1:21" ht="14.1" customHeight="1">
      <c r="A208" s="96">
        <v>227</v>
      </c>
      <c r="B208" s="62" t="s">
        <v>124</v>
      </c>
      <c r="C208" s="62" t="s">
        <v>415</v>
      </c>
      <c r="D208" s="96" t="s">
        <v>2194</v>
      </c>
      <c r="E208" s="62" t="s">
        <v>2195</v>
      </c>
      <c r="F208" s="96" t="s">
        <v>26</v>
      </c>
      <c r="G208" s="97" t="s">
        <v>5216</v>
      </c>
      <c r="H208" s="62" t="s">
        <v>5196</v>
      </c>
      <c r="I208" s="97" t="s">
        <v>5217</v>
      </c>
      <c r="J208" s="7" t="s">
        <v>30</v>
      </c>
      <c r="K208" s="98" t="s">
        <v>1083</v>
      </c>
      <c r="L208" s="98" t="s">
        <v>322</v>
      </c>
      <c r="M208" s="98">
        <v>83024100</v>
      </c>
      <c r="N208" s="98">
        <v>100</v>
      </c>
      <c r="O208" s="7">
        <v>45</v>
      </c>
      <c r="P208" s="7"/>
      <c r="R208" s="9">
        <v>165.3135543205081</v>
      </c>
      <c r="T208" s="7" t="s">
        <v>34</v>
      </c>
      <c r="U208" s="7" t="s">
        <v>34</v>
      </c>
    </row>
    <row r="209" spans="1:21" ht="14.1" customHeight="1">
      <c r="A209" s="96">
        <v>228</v>
      </c>
      <c r="B209" s="62" t="s">
        <v>124</v>
      </c>
      <c r="C209" s="62" t="s">
        <v>415</v>
      </c>
      <c r="D209" s="96" t="s">
        <v>2194</v>
      </c>
      <c r="E209" s="62" t="s">
        <v>2195</v>
      </c>
      <c r="F209" s="96" t="s">
        <v>26</v>
      </c>
      <c r="G209" s="97" t="s">
        <v>5218</v>
      </c>
      <c r="H209" s="62" t="s">
        <v>5196</v>
      </c>
      <c r="I209" s="97" t="s">
        <v>5219</v>
      </c>
      <c r="J209" s="7" t="s">
        <v>30</v>
      </c>
      <c r="K209" s="98" t="s">
        <v>1083</v>
      </c>
      <c r="L209" s="98" t="s">
        <v>322</v>
      </c>
      <c r="M209" s="98">
        <v>83024100</v>
      </c>
      <c r="N209" s="98">
        <v>100</v>
      </c>
      <c r="O209" s="7">
        <v>45</v>
      </c>
      <c r="P209" s="7"/>
      <c r="R209" s="9">
        <v>178.04048581123291</v>
      </c>
      <c r="T209" s="7" t="s">
        <v>34</v>
      </c>
      <c r="U209" s="7" t="s">
        <v>34</v>
      </c>
    </row>
    <row r="210" spans="1:21" ht="14.1" customHeight="1">
      <c r="A210" s="96">
        <v>229</v>
      </c>
      <c r="B210" s="62" t="s">
        <v>124</v>
      </c>
      <c r="C210" s="62" t="s">
        <v>415</v>
      </c>
      <c r="D210" s="96" t="s">
        <v>2194</v>
      </c>
      <c r="E210" s="62" t="s">
        <v>2195</v>
      </c>
      <c r="F210" s="96" t="s">
        <v>26</v>
      </c>
      <c r="G210" s="97" t="s">
        <v>5220</v>
      </c>
      <c r="H210" s="62" t="s">
        <v>5196</v>
      </c>
      <c r="I210" s="97" t="s">
        <v>5221</v>
      </c>
      <c r="J210" s="7" t="s">
        <v>30</v>
      </c>
      <c r="K210" s="98" t="s">
        <v>1083</v>
      </c>
      <c r="L210" s="98" t="s">
        <v>322</v>
      </c>
      <c r="M210" s="98">
        <v>83024100</v>
      </c>
      <c r="N210" s="98">
        <v>100</v>
      </c>
      <c r="O210" s="7">
        <v>45</v>
      </c>
      <c r="P210" s="7"/>
      <c r="R210" s="9">
        <v>197.13088304732</v>
      </c>
      <c r="T210" s="7" t="s">
        <v>34</v>
      </c>
      <c r="U210" s="7" t="s">
        <v>34</v>
      </c>
    </row>
    <row r="211" spans="1:21" ht="14.1" customHeight="1">
      <c r="A211" s="96">
        <v>230</v>
      </c>
      <c r="B211" s="62" t="s">
        <v>124</v>
      </c>
      <c r="C211" s="62" t="s">
        <v>415</v>
      </c>
      <c r="D211" s="96" t="s">
        <v>2194</v>
      </c>
      <c r="E211" s="62" t="s">
        <v>2195</v>
      </c>
      <c r="F211" s="96" t="s">
        <v>26</v>
      </c>
      <c r="G211" s="97" t="s">
        <v>5222</v>
      </c>
      <c r="H211" s="62" t="s">
        <v>5196</v>
      </c>
      <c r="I211" s="97" t="s">
        <v>5223</v>
      </c>
      <c r="J211" s="7" t="s">
        <v>30</v>
      </c>
      <c r="K211" s="98" t="s">
        <v>1083</v>
      </c>
      <c r="L211" s="98" t="s">
        <v>322</v>
      </c>
      <c r="M211" s="98">
        <v>83024100</v>
      </c>
      <c r="N211" s="98">
        <v>100</v>
      </c>
      <c r="O211" s="7">
        <v>45</v>
      </c>
      <c r="P211" s="7"/>
      <c r="R211" s="9">
        <v>222.55743501698669</v>
      </c>
      <c r="T211" s="7" t="s">
        <v>34</v>
      </c>
      <c r="U211" s="7" t="s">
        <v>34</v>
      </c>
    </row>
    <row r="212" spans="1:21" ht="14.1" customHeight="1">
      <c r="A212" s="96">
        <v>231</v>
      </c>
      <c r="B212" s="62" t="s">
        <v>124</v>
      </c>
      <c r="C212" s="62" t="s">
        <v>415</v>
      </c>
      <c r="D212" s="96" t="s">
        <v>2194</v>
      </c>
      <c r="E212" s="62" t="s">
        <v>2195</v>
      </c>
      <c r="F212" s="96" t="s">
        <v>26</v>
      </c>
      <c r="G212" s="97" t="s">
        <v>5224</v>
      </c>
      <c r="H212" s="62" t="s">
        <v>5196</v>
      </c>
      <c r="I212" s="97" t="s">
        <v>5197</v>
      </c>
      <c r="J212" s="7" t="s">
        <v>30</v>
      </c>
      <c r="K212" s="98" t="s">
        <v>1083</v>
      </c>
      <c r="L212" s="98" t="s">
        <v>322</v>
      </c>
      <c r="M212" s="98">
        <v>83024100</v>
      </c>
      <c r="N212" s="98">
        <v>100</v>
      </c>
      <c r="O212" s="7">
        <v>45</v>
      </c>
      <c r="P212" s="7"/>
      <c r="R212" s="9">
        <v>184.62243965085651</v>
      </c>
      <c r="T212" s="7" t="s">
        <v>34</v>
      </c>
      <c r="U212" s="7" t="s">
        <v>34</v>
      </c>
    </row>
    <row r="213" spans="1:21" ht="14.1" customHeight="1">
      <c r="A213" s="96">
        <v>232</v>
      </c>
      <c r="B213" s="62" t="s">
        <v>124</v>
      </c>
      <c r="C213" s="62" t="s">
        <v>415</v>
      </c>
      <c r="D213" s="96" t="s">
        <v>2194</v>
      </c>
      <c r="E213" s="62" t="s">
        <v>2195</v>
      </c>
      <c r="F213" s="96" t="s">
        <v>26</v>
      </c>
      <c r="G213" s="97" t="s">
        <v>5225</v>
      </c>
      <c r="H213" s="62" t="s">
        <v>5196</v>
      </c>
      <c r="I213" s="97" t="s">
        <v>5199</v>
      </c>
      <c r="J213" s="7" t="s">
        <v>30</v>
      </c>
      <c r="K213" s="98" t="s">
        <v>1083</v>
      </c>
      <c r="L213" s="98" t="s">
        <v>322</v>
      </c>
      <c r="M213" s="98">
        <v>83024100</v>
      </c>
      <c r="N213" s="98">
        <v>100</v>
      </c>
      <c r="O213" s="7">
        <v>45</v>
      </c>
      <c r="P213" s="7"/>
      <c r="R213" s="9">
        <v>187.8997610647771</v>
      </c>
      <c r="T213" s="7" t="s">
        <v>34</v>
      </c>
      <c r="U213" s="7" t="s">
        <v>34</v>
      </c>
    </row>
    <row r="214" spans="1:21" ht="14.1" customHeight="1">
      <c r="A214" s="96">
        <v>233</v>
      </c>
      <c r="B214" s="62" t="s">
        <v>124</v>
      </c>
      <c r="C214" s="62" t="s">
        <v>415</v>
      </c>
      <c r="D214" s="96" t="s">
        <v>2194</v>
      </c>
      <c r="E214" s="62" t="s">
        <v>2195</v>
      </c>
      <c r="F214" s="96" t="s">
        <v>26</v>
      </c>
      <c r="G214" s="97" t="s">
        <v>5226</v>
      </c>
      <c r="H214" s="62" t="s">
        <v>5196</v>
      </c>
      <c r="I214" s="97" t="s">
        <v>5201</v>
      </c>
      <c r="J214" s="7" t="s">
        <v>30</v>
      </c>
      <c r="K214" s="98" t="s">
        <v>1083</v>
      </c>
      <c r="L214" s="98" t="s">
        <v>322</v>
      </c>
      <c r="M214" s="98">
        <v>83024100</v>
      </c>
      <c r="N214" s="98">
        <v>100</v>
      </c>
      <c r="O214" s="7">
        <v>45</v>
      </c>
      <c r="P214" s="7"/>
      <c r="R214" s="9">
        <v>218.76120437919539</v>
      </c>
      <c r="T214" s="7" t="s">
        <v>34</v>
      </c>
      <c r="U214" s="7" t="s">
        <v>34</v>
      </c>
    </row>
    <row r="215" spans="1:21" ht="14.1" customHeight="1">
      <c r="A215" s="96">
        <v>234</v>
      </c>
      <c r="B215" s="62" t="s">
        <v>124</v>
      </c>
      <c r="C215" s="62" t="s">
        <v>415</v>
      </c>
      <c r="D215" s="96" t="s">
        <v>2194</v>
      </c>
      <c r="E215" s="62" t="s">
        <v>2195</v>
      </c>
      <c r="F215" s="96" t="s">
        <v>26</v>
      </c>
      <c r="G215" s="97" t="s">
        <v>5227</v>
      </c>
      <c r="H215" s="62" t="s">
        <v>5196</v>
      </c>
      <c r="I215" s="97" t="s">
        <v>5203</v>
      </c>
      <c r="J215" s="7" t="s">
        <v>30</v>
      </c>
      <c r="K215" s="98" t="s">
        <v>1083</v>
      </c>
      <c r="L215" s="98" t="s">
        <v>322</v>
      </c>
      <c r="M215" s="98">
        <v>83024100</v>
      </c>
      <c r="N215" s="98">
        <v>100</v>
      </c>
      <c r="O215" s="7">
        <v>45</v>
      </c>
      <c r="P215" s="7"/>
      <c r="R215" s="9">
        <v>231.4608248581375</v>
      </c>
      <c r="T215" s="7" t="s">
        <v>34</v>
      </c>
      <c r="U215" s="7" t="s">
        <v>34</v>
      </c>
    </row>
    <row r="216" spans="1:21" ht="14.1" customHeight="1">
      <c r="A216" s="96">
        <v>235</v>
      </c>
      <c r="B216" s="62" t="s">
        <v>124</v>
      </c>
      <c r="C216" s="62" t="s">
        <v>415</v>
      </c>
      <c r="D216" s="96" t="s">
        <v>2194</v>
      </c>
      <c r="E216" s="62" t="s">
        <v>2195</v>
      </c>
      <c r="F216" s="96" t="s">
        <v>26</v>
      </c>
      <c r="G216" s="97" t="s">
        <v>5228</v>
      </c>
      <c r="H216" s="62" t="s">
        <v>5196</v>
      </c>
      <c r="I216" s="97" t="s">
        <v>5229</v>
      </c>
      <c r="J216" s="7" t="s">
        <v>30</v>
      </c>
      <c r="K216" s="98" t="s">
        <v>1083</v>
      </c>
      <c r="L216" s="98" t="s">
        <v>322</v>
      </c>
      <c r="M216" s="98">
        <v>83024100</v>
      </c>
      <c r="N216" s="98">
        <v>100</v>
      </c>
      <c r="O216" s="7">
        <v>45</v>
      </c>
      <c r="P216" s="7"/>
      <c r="R216" s="9">
        <v>93.676770414561844</v>
      </c>
      <c r="T216" s="7" t="s">
        <v>34</v>
      </c>
      <c r="U216" s="7" t="s">
        <v>34</v>
      </c>
    </row>
    <row r="217" spans="1:21" ht="14.1" customHeight="1">
      <c r="A217" s="96">
        <v>236</v>
      </c>
      <c r="B217" s="62" t="s">
        <v>124</v>
      </c>
      <c r="C217" s="62" t="s">
        <v>415</v>
      </c>
      <c r="D217" s="96" t="s">
        <v>2194</v>
      </c>
      <c r="E217" s="62" t="s">
        <v>2195</v>
      </c>
      <c r="F217" s="96" t="s">
        <v>26</v>
      </c>
      <c r="G217" s="97" t="s">
        <v>5230</v>
      </c>
      <c r="H217" s="62" t="s">
        <v>5196</v>
      </c>
      <c r="I217" s="97" t="s">
        <v>5229</v>
      </c>
      <c r="J217" s="7" t="s">
        <v>30</v>
      </c>
      <c r="K217" s="98" t="s">
        <v>1083</v>
      </c>
      <c r="L217" s="98" t="s">
        <v>322</v>
      </c>
      <c r="M217" s="98">
        <v>83024100</v>
      </c>
      <c r="N217" s="98">
        <v>100</v>
      </c>
      <c r="O217" s="7">
        <v>45</v>
      </c>
      <c r="P217" s="7"/>
      <c r="R217" s="9">
        <v>98.701996582573329</v>
      </c>
      <c r="T217" s="7" t="s">
        <v>34</v>
      </c>
      <c r="U217" s="7" t="s">
        <v>34</v>
      </c>
    </row>
    <row r="218" spans="1:21" ht="14.1" customHeight="1">
      <c r="A218" s="96">
        <v>239</v>
      </c>
      <c r="B218" s="62" t="s">
        <v>124</v>
      </c>
      <c r="C218" s="62" t="s">
        <v>415</v>
      </c>
      <c r="D218" s="96" t="s">
        <v>2194</v>
      </c>
      <c r="E218" s="62" t="s">
        <v>2195</v>
      </c>
      <c r="F218" s="96" t="s">
        <v>26</v>
      </c>
      <c r="G218" s="97" t="s">
        <v>5231</v>
      </c>
      <c r="H218" s="62" t="s">
        <v>5232</v>
      </c>
      <c r="I218" s="97" t="s">
        <v>5233</v>
      </c>
      <c r="J218" s="7" t="s">
        <v>5234</v>
      </c>
      <c r="K218" s="99" t="s">
        <v>42</v>
      </c>
      <c r="L218" s="98" t="s">
        <v>322</v>
      </c>
      <c r="M218" s="98">
        <v>3926909090</v>
      </c>
      <c r="N218" s="98">
        <v>100</v>
      </c>
      <c r="O218" s="7">
        <v>45</v>
      </c>
      <c r="P218" s="7"/>
      <c r="R218" s="9">
        <v>8.712212758672079</v>
      </c>
      <c r="T218" s="7" t="s">
        <v>34</v>
      </c>
      <c r="U218" s="7" t="s">
        <v>34</v>
      </c>
    </row>
    <row r="219" spans="1:21" ht="14.1" customHeight="1">
      <c r="A219" s="96">
        <v>240</v>
      </c>
      <c r="B219" s="62" t="s">
        <v>124</v>
      </c>
      <c r="C219" s="62" t="s">
        <v>415</v>
      </c>
      <c r="D219" s="96" t="s">
        <v>2194</v>
      </c>
      <c r="E219" s="62" t="s">
        <v>2195</v>
      </c>
      <c r="F219" s="96" t="s">
        <v>26</v>
      </c>
      <c r="G219" s="97" t="s">
        <v>5235</v>
      </c>
      <c r="H219" s="62" t="s">
        <v>5232</v>
      </c>
      <c r="I219" s="97" t="s">
        <v>5233</v>
      </c>
      <c r="J219" s="7" t="s">
        <v>5234</v>
      </c>
      <c r="K219" s="99" t="s">
        <v>42</v>
      </c>
      <c r="L219" s="98" t="s">
        <v>322</v>
      </c>
      <c r="M219" s="98">
        <v>3926909090</v>
      </c>
      <c r="N219" s="98">
        <v>100</v>
      </c>
      <c r="O219" s="7">
        <v>45</v>
      </c>
      <c r="P219" s="7"/>
      <c r="R219" s="9">
        <v>9.7500312064135795</v>
      </c>
      <c r="T219" s="7" t="s">
        <v>34</v>
      </c>
      <c r="U219" s="7" t="s">
        <v>34</v>
      </c>
    </row>
    <row r="220" spans="1:21" ht="14.1" customHeight="1">
      <c r="A220" s="96">
        <v>241</v>
      </c>
      <c r="B220" s="62" t="s">
        <v>124</v>
      </c>
      <c r="C220" s="62" t="s">
        <v>415</v>
      </c>
      <c r="D220" s="96" t="s">
        <v>2194</v>
      </c>
      <c r="E220" s="62" t="s">
        <v>2195</v>
      </c>
      <c r="F220" s="96" t="s">
        <v>26</v>
      </c>
      <c r="G220" s="97" t="s">
        <v>5236</v>
      </c>
      <c r="H220" s="62" t="s">
        <v>5232</v>
      </c>
      <c r="I220" s="97" t="s">
        <v>5233</v>
      </c>
      <c r="J220" s="7" t="s">
        <v>5234</v>
      </c>
      <c r="K220" s="99" t="s">
        <v>42</v>
      </c>
      <c r="L220" s="98" t="s">
        <v>322</v>
      </c>
      <c r="M220" s="98">
        <v>3926909090</v>
      </c>
      <c r="N220" s="98">
        <v>100</v>
      </c>
      <c r="O220" s="7">
        <v>45</v>
      </c>
      <c r="P220" s="7"/>
      <c r="R220" s="9">
        <v>11.470624948721859</v>
      </c>
      <c r="T220" s="7" t="s">
        <v>34</v>
      </c>
      <c r="U220" s="7" t="s">
        <v>34</v>
      </c>
    </row>
    <row r="221" spans="1:21" ht="14.1" customHeight="1">
      <c r="A221" s="96">
        <v>242</v>
      </c>
      <c r="B221" s="62" t="s">
        <v>124</v>
      </c>
      <c r="C221" s="62" t="s">
        <v>415</v>
      </c>
      <c r="D221" s="96" t="s">
        <v>2194</v>
      </c>
      <c r="E221" s="62" t="s">
        <v>2195</v>
      </c>
      <c r="F221" s="96" t="s">
        <v>26</v>
      </c>
      <c r="G221" s="97" t="s">
        <v>5237</v>
      </c>
      <c r="H221" s="62" t="s">
        <v>5232</v>
      </c>
      <c r="I221" s="97" t="s">
        <v>5238</v>
      </c>
      <c r="J221" s="7" t="s">
        <v>5234</v>
      </c>
      <c r="K221" s="99" t="s">
        <v>42</v>
      </c>
      <c r="L221" s="98" t="s">
        <v>322</v>
      </c>
      <c r="M221" s="98">
        <v>3926909090</v>
      </c>
      <c r="N221" s="98">
        <v>100</v>
      </c>
      <c r="O221" s="7">
        <v>45</v>
      </c>
      <c r="P221" s="7"/>
      <c r="R221" s="9">
        <v>9.7500312064135795</v>
      </c>
      <c r="T221" s="7" t="s">
        <v>34</v>
      </c>
      <c r="U221" s="7" t="s">
        <v>34</v>
      </c>
    </row>
    <row r="222" spans="1:21" ht="14.1" customHeight="1">
      <c r="A222" s="96">
        <v>243</v>
      </c>
      <c r="B222" s="62" t="s">
        <v>124</v>
      </c>
      <c r="C222" s="62" t="s">
        <v>415</v>
      </c>
      <c r="D222" s="96" t="s">
        <v>2194</v>
      </c>
      <c r="E222" s="62" t="s">
        <v>2195</v>
      </c>
      <c r="F222" s="96" t="s">
        <v>26</v>
      </c>
      <c r="G222" s="97" t="s">
        <v>5239</v>
      </c>
      <c r="H222" s="62" t="s">
        <v>5232</v>
      </c>
      <c r="I222" s="97" t="s">
        <v>5238</v>
      </c>
      <c r="J222" s="7" t="s">
        <v>5234</v>
      </c>
      <c r="K222" s="99" t="s">
        <v>42</v>
      </c>
      <c r="L222" s="98" t="s">
        <v>322</v>
      </c>
      <c r="M222" s="98">
        <v>3926909090</v>
      </c>
      <c r="N222" s="98">
        <v>100</v>
      </c>
      <c r="O222" s="7">
        <v>45</v>
      </c>
      <c r="P222" s="7"/>
      <c r="R222" s="9">
        <v>10.432806500980361</v>
      </c>
      <c r="T222" s="7" t="s">
        <v>34</v>
      </c>
      <c r="U222" s="7" t="s">
        <v>34</v>
      </c>
    </row>
    <row r="223" spans="1:21" ht="14.1" customHeight="1">
      <c r="A223" s="96">
        <v>246</v>
      </c>
      <c r="B223" s="62" t="s">
        <v>124</v>
      </c>
      <c r="C223" s="62" t="s">
        <v>415</v>
      </c>
      <c r="D223" s="96" t="s">
        <v>2194</v>
      </c>
      <c r="E223" s="62" t="s">
        <v>2195</v>
      </c>
      <c r="F223" s="96" t="s">
        <v>26</v>
      </c>
      <c r="G223" s="97" t="s">
        <v>5240</v>
      </c>
      <c r="H223" s="62" t="s">
        <v>5232</v>
      </c>
      <c r="I223" s="97" t="s">
        <v>5241</v>
      </c>
      <c r="J223" s="7" t="s">
        <v>5234</v>
      </c>
      <c r="K223" s="99" t="s">
        <v>42</v>
      </c>
      <c r="L223" s="98" t="s">
        <v>322</v>
      </c>
      <c r="M223" s="98">
        <v>3926909090</v>
      </c>
      <c r="N223" s="98">
        <v>100</v>
      </c>
      <c r="O223" s="7">
        <v>45</v>
      </c>
      <c r="P223" s="7"/>
      <c r="R223" s="9">
        <v>9.7500312064135795</v>
      </c>
      <c r="T223" s="7" t="s">
        <v>34</v>
      </c>
      <c r="U223" s="7" t="s">
        <v>34</v>
      </c>
    </row>
    <row r="224" spans="1:21" ht="14.1" customHeight="1">
      <c r="A224" s="96">
        <v>247</v>
      </c>
      <c r="B224" s="62" t="s">
        <v>124</v>
      </c>
      <c r="C224" s="62" t="s">
        <v>415</v>
      </c>
      <c r="D224" s="96" t="s">
        <v>2194</v>
      </c>
      <c r="E224" s="62" t="s">
        <v>2195</v>
      </c>
      <c r="F224" s="96" t="s">
        <v>26</v>
      </c>
      <c r="G224" s="97" t="s">
        <v>5242</v>
      </c>
      <c r="H224" s="62" t="s">
        <v>5232</v>
      </c>
      <c r="I224" s="97" t="s">
        <v>5241</v>
      </c>
      <c r="J224" s="7" t="s">
        <v>5234</v>
      </c>
      <c r="K224" s="99" t="s">
        <v>42</v>
      </c>
      <c r="L224" s="98" t="s">
        <v>322</v>
      </c>
      <c r="M224" s="98">
        <v>3926909090</v>
      </c>
      <c r="N224" s="98">
        <v>100</v>
      </c>
      <c r="O224" s="7">
        <v>45</v>
      </c>
      <c r="P224" s="7"/>
      <c r="R224" s="9">
        <v>11.470624948721859</v>
      </c>
      <c r="T224" s="7" t="s">
        <v>34</v>
      </c>
      <c r="U224" s="7" t="s">
        <v>34</v>
      </c>
    </row>
    <row r="225" spans="1:21" ht="14.1" customHeight="1">
      <c r="A225" s="96">
        <v>254</v>
      </c>
      <c r="B225" s="62" t="s">
        <v>124</v>
      </c>
      <c r="C225" s="62" t="s">
        <v>415</v>
      </c>
      <c r="D225" s="96" t="s">
        <v>2194</v>
      </c>
      <c r="E225" s="62" t="s">
        <v>2195</v>
      </c>
      <c r="F225" s="96" t="s">
        <v>26</v>
      </c>
      <c r="G225" s="97" t="s">
        <v>5243</v>
      </c>
      <c r="H225" s="62" t="s">
        <v>5232</v>
      </c>
      <c r="I225" s="97" t="s">
        <v>5244</v>
      </c>
      <c r="J225" s="7" t="s">
        <v>5234</v>
      </c>
      <c r="K225" s="99" t="s">
        <v>42</v>
      </c>
      <c r="L225" s="98" t="s">
        <v>322</v>
      </c>
      <c r="M225" s="98">
        <v>3926909090</v>
      </c>
      <c r="N225" s="98">
        <v>100</v>
      </c>
      <c r="O225" s="7">
        <v>45</v>
      </c>
      <c r="P225" s="7"/>
      <c r="R225" s="9">
        <v>10.432806500980361</v>
      </c>
      <c r="T225" s="7" t="s">
        <v>34</v>
      </c>
      <c r="U225" s="7" t="s">
        <v>34</v>
      </c>
    </row>
    <row r="226" spans="1:21" ht="14.1" customHeight="1">
      <c r="A226" s="96">
        <v>255</v>
      </c>
      <c r="B226" s="62" t="s">
        <v>124</v>
      </c>
      <c r="C226" s="62" t="s">
        <v>415</v>
      </c>
      <c r="D226" s="96" t="s">
        <v>2194</v>
      </c>
      <c r="E226" s="62" t="s">
        <v>2195</v>
      </c>
      <c r="F226" s="96" t="s">
        <v>26</v>
      </c>
      <c r="G226" s="97" t="s">
        <v>5245</v>
      </c>
      <c r="H226" s="62" t="s">
        <v>5232</v>
      </c>
      <c r="I226" s="97" t="s">
        <v>5244</v>
      </c>
      <c r="J226" s="7" t="s">
        <v>5234</v>
      </c>
      <c r="K226" s="99" t="s">
        <v>42</v>
      </c>
      <c r="L226" s="98" t="s">
        <v>322</v>
      </c>
      <c r="M226" s="98">
        <v>3926909090</v>
      </c>
      <c r="N226" s="98">
        <v>100</v>
      </c>
      <c r="O226" s="7">
        <v>45</v>
      </c>
      <c r="P226" s="7"/>
      <c r="R226" s="9">
        <v>12.18071125507131</v>
      </c>
      <c r="T226" s="7" t="s">
        <v>34</v>
      </c>
      <c r="U226" s="7" t="s">
        <v>34</v>
      </c>
    </row>
    <row r="227" spans="1:21" ht="14.1" customHeight="1">
      <c r="A227" s="96">
        <v>258</v>
      </c>
      <c r="B227" s="62" t="s">
        <v>124</v>
      </c>
      <c r="C227" s="62" t="s">
        <v>415</v>
      </c>
      <c r="D227" s="96" t="s">
        <v>2194</v>
      </c>
      <c r="E227" s="62" t="s">
        <v>2195</v>
      </c>
      <c r="F227" s="96" t="s">
        <v>26</v>
      </c>
      <c r="G227" s="97" t="s">
        <v>5246</v>
      </c>
      <c r="H227" s="62" t="s">
        <v>5232</v>
      </c>
      <c r="I227" s="97" t="s">
        <v>5247</v>
      </c>
      <c r="J227" s="7" t="s">
        <v>5234</v>
      </c>
      <c r="K227" s="99" t="s">
        <v>42</v>
      </c>
      <c r="L227" s="98" t="s">
        <v>322</v>
      </c>
      <c r="M227" s="98">
        <v>3926909090</v>
      </c>
      <c r="N227" s="98">
        <v>100</v>
      </c>
      <c r="O227" s="7">
        <v>45</v>
      </c>
      <c r="P227" s="7"/>
      <c r="R227" s="9">
        <v>50.743859892202877</v>
      </c>
      <c r="T227" s="7" t="s">
        <v>34</v>
      </c>
      <c r="U227" s="7" t="s">
        <v>34</v>
      </c>
    </row>
    <row r="228" spans="1:21" ht="14.1" customHeight="1">
      <c r="A228" s="96">
        <v>261</v>
      </c>
      <c r="B228" s="62" t="s">
        <v>124</v>
      </c>
      <c r="C228" s="62" t="s">
        <v>415</v>
      </c>
      <c r="D228" s="96" t="s">
        <v>2194</v>
      </c>
      <c r="E228" s="62" t="s">
        <v>2195</v>
      </c>
      <c r="F228" s="96" t="s">
        <v>26</v>
      </c>
      <c r="G228" s="97" t="s">
        <v>5248</v>
      </c>
      <c r="H228" s="62" t="s">
        <v>5232</v>
      </c>
      <c r="I228" s="97" t="s">
        <v>5249</v>
      </c>
      <c r="J228" s="7" t="s">
        <v>5234</v>
      </c>
      <c r="K228" s="99" t="s">
        <v>42</v>
      </c>
      <c r="L228" s="98" t="s">
        <v>322</v>
      </c>
      <c r="M228" s="98">
        <v>3926909090</v>
      </c>
      <c r="N228" s="98">
        <v>100</v>
      </c>
      <c r="O228" s="7">
        <v>45</v>
      </c>
      <c r="P228" s="7"/>
      <c r="R228" s="9">
        <v>50.743859892202877</v>
      </c>
      <c r="T228" s="7" t="s">
        <v>34</v>
      </c>
      <c r="U228" s="7" t="s">
        <v>34</v>
      </c>
    </row>
    <row r="229" spans="1:21" ht="14.1" customHeight="1">
      <c r="A229" s="96">
        <v>264</v>
      </c>
      <c r="B229" s="62" t="s">
        <v>124</v>
      </c>
      <c r="C229" s="62" t="s">
        <v>415</v>
      </c>
      <c r="D229" s="96" t="s">
        <v>1601</v>
      </c>
      <c r="E229" s="62" t="s">
        <v>1602</v>
      </c>
      <c r="F229" s="96" t="s">
        <v>26</v>
      </c>
      <c r="G229" s="97" t="s">
        <v>5250</v>
      </c>
      <c r="H229" s="62" t="s">
        <v>1424</v>
      </c>
      <c r="I229" s="97" t="s">
        <v>5251</v>
      </c>
      <c r="J229" s="7" t="s">
        <v>30</v>
      </c>
      <c r="K229" s="98" t="s">
        <v>1426</v>
      </c>
      <c r="L229" s="98" t="s">
        <v>322</v>
      </c>
      <c r="M229" s="98">
        <v>83024100</v>
      </c>
      <c r="N229" s="98">
        <v>100</v>
      </c>
      <c r="O229" s="7">
        <v>45</v>
      </c>
      <c r="P229" s="7"/>
      <c r="R229" s="9">
        <v>17.888712717649561</v>
      </c>
      <c r="T229" s="7" t="s">
        <v>34</v>
      </c>
      <c r="U229" s="7" t="s">
        <v>34</v>
      </c>
    </row>
    <row r="230" spans="1:21" ht="14.1" customHeight="1">
      <c r="A230" s="96">
        <v>269</v>
      </c>
      <c r="B230" s="62" t="s">
        <v>124</v>
      </c>
      <c r="C230" s="62" t="s">
        <v>415</v>
      </c>
      <c r="D230" s="96" t="s">
        <v>810</v>
      </c>
      <c r="E230" s="62" t="s">
        <v>811</v>
      </c>
      <c r="F230" s="96" t="s">
        <v>26</v>
      </c>
      <c r="G230" s="97" t="s">
        <v>5252</v>
      </c>
      <c r="H230" s="62" t="s">
        <v>1424</v>
      </c>
      <c r="I230" s="97" t="s">
        <v>5253</v>
      </c>
      <c r="J230" s="7" t="s">
        <v>30</v>
      </c>
      <c r="K230" s="98" t="s">
        <v>1426</v>
      </c>
      <c r="L230" s="98" t="s">
        <v>322</v>
      </c>
      <c r="M230" s="98">
        <v>83024100</v>
      </c>
      <c r="N230" s="98">
        <v>100</v>
      </c>
      <c r="O230" s="7">
        <v>45</v>
      </c>
      <c r="P230" s="7"/>
      <c r="R230" s="9">
        <v>23.460159121314469</v>
      </c>
      <c r="T230" s="7" t="s">
        <v>34</v>
      </c>
      <c r="U230" s="7" t="s">
        <v>34</v>
      </c>
    </row>
    <row r="231" spans="1:21" ht="14.1" customHeight="1">
      <c r="A231" s="96">
        <v>270</v>
      </c>
      <c r="B231" s="62" t="s">
        <v>124</v>
      </c>
      <c r="C231" s="62" t="s">
        <v>415</v>
      </c>
      <c r="D231" s="96" t="s">
        <v>810</v>
      </c>
      <c r="E231" s="62" t="s">
        <v>811</v>
      </c>
      <c r="F231" s="96" t="s">
        <v>26</v>
      </c>
      <c r="G231" s="97" t="s">
        <v>5254</v>
      </c>
      <c r="H231" s="62" t="s">
        <v>1424</v>
      </c>
      <c r="I231" s="97" t="s">
        <v>5255</v>
      </c>
      <c r="J231" s="7" t="s">
        <v>30</v>
      </c>
      <c r="K231" s="98" t="s">
        <v>1426</v>
      </c>
      <c r="L231" s="98" t="s">
        <v>322</v>
      </c>
      <c r="M231" s="98">
        <v>83024100</v>
      </c>
      <c r="N231" s="98">
        <v>100</v>
      </c>
      <c r="O231" s="7">
        <v>45</v>
      </c>
      <c r="P231" s="7"/>
      <c r="R231" s="9">
        <v>26.21857131136424</v>
      </c>
      <c r="T231" s="7" t="s">
        <v>34</v>
      </c>
      <c r="U231" s="7" t="s">
        <v>34</v>
      </c>
    </row>
    <row r="232" spans="1:21" ht="14.1" customHeight="1">
      <c r="A232" s="96">
        <v>271</v>
      </c>
      <c r="B232" s="62" t="s">
        <v>124</v>
      </c>
      <c r="C232" s="62" t="s">
        <v>415</v>
      </c>
      <c r="D232" s="96" t="s">
        <v>810</v>
      </c>
      <c r="E232" s="62" t="s">
        <v>811</v>
      </c>
      <c r="F232" s="96" t="s">
        <v>26</v>
      </c>
      <c r="G232" s="97" t="s">
        <v>5256</v>
      </c>
      <c r="H232" s="62" t="s">
        <v>1424</v>
      </c>
      <c r="I232" s="97" t="s">
        <v>5257</v>
      </c>
      <c r="J232" s="7" t="s">
        <v>30</v>
      </c>
      <c r="K232" s="98" t="s">
        <v>1426</v>
      </c>
      <c r="L232" s="98" t="s">
        <v>322</v>
      </c>
      <c r="M232" s="98">
        <v>83024100</v>
      </c>
      <c r="N232" s="98">
        <v>100</v>
      </c>
      <c r="O232" s="7">
        <v>45</v>
      </c>
      <c r="P232" s="7"/>
      <c r="R232" s="9">
        <v>37.197598047998028</v>
      </c>
      <c r="T232" s="7" t="s">
        <v>34</v>
      </c>
      <c r="U232" s="7" t="s">
        <v>34</v>
      </c>
    </row>
    <row r="233" spans="1:21" ht="14.1" customHeight="1">
      <c r="A233" s="96">
        <v>273</v>
      </c>
      <c r="B233" s="62" t="s">
        <v>124</v>
      </c>
      <c r="C233" s="62" t="s">
        <v>415</v>
      </c>
      <c r="D233" s="96" t="s">
        <v>260</v>
      </c>
      <c r="E233" s="62" t="s">
        <v>827</v>
      </c>
      <c r="F233" s="96" t="s">
        <v>26</v>
      </c>
      <c r="G233" s="97" t="s">
        <v>5258</v>
      </c>
      <c r="H233" s="321" t="s">
        <v>5259</v>
      </c>
      <c r="I233" s="97" t="s">
        <v>5260</v>
      </c>
      <c r="J233" s="7" t="s">
        <v>30</v>
      </c>
      <c r="K233" s="322" t="s">
        <v>5261</v>
      </c>
      <c r="L233" s="98" t="s">
        <v>322</v>
      </c>
      <c r="M233" s="98">
        <v>83024100</v>
      </c>
      <c r="N233" s="98">
        <v>100</v>
      </c>
      <c r="O233" s="7">
        <v>45</v>
      </c>
      <c r="P233" s="7"/>
      <c r="R233" s="9">
        <v>49.296376267721321</v>
      </c>
      <c r="T233" s="7" t="s">
        <v>34</v>
      </c>
      <c r="U233" s="7" t="s">
        <v>34</v>
      </c>
    </row>
    <row r="234" spans="1:21" ht="14.1" customHeight="1">
      <c r="A234" s="96">
        <v>274</v>
      </c>
      <c r="B234" s="62" t="s">
        <v>124</v>
      </c>
      <c r="C234" s="62" t="s">
        <v>415</v>
      </c>
      <c r="D234" s="96" t="s">
        <v>260</v>
      </c>
      <c r="E234" s="62" t="s">
        <v>827</v>
      </c>
      <c r="F234" s="96" t="s">
        <v>26</v>
      </c>
      <c r="G234" s="97" t="s">
        <v>5262</v>
      </c>
      <c r="H234" s="321" t="s">
        <v>5259</v>
      </c>
      <c r="I234" s="97" t="s">
        <v>5263</v>
      </c>
      <c r="J234" s="7" t="s">
        <v>30</v>
      </c>
      <c r="K234" s="322" t="s">
        <v>5261</v>
      </c>
      <c r="L234" s="98" t="s">
        <v>322</v>
      </c>
      <c r="M234" s="98">
        <v>83024100</v>
      </c>
      <c r="N234" s="98">
        <v>100</v>
      </c>
      <c r="O234" s="7">
        <v>45</v>
      </c>
      <c r="P234" s="7"/>
      <c r="R234" s="9">
        <v>49.569486385548039</v>
      </c>
      <c r="T234" s="7" t="s">
        <v>34</v>
      </c>
      <c r="U234" s="7" t="s">
        <v>34</v>
      </c>
    </row>
    <row r="235" spans="1:21" ht="14.1" customHeight="1">
      <c r="A235" s="96">
        <v>275</v>
      </c>
      <c r="B235" s="62" t="s">
        <v>124</v>
      </c>
      <c r="C235" s="62" t="s">
        <v>415</v>
      </c>
      <c r="D235" s="96" t="s">
        <v>260</v>
      </c>
      <c r="E235" s="62" t="s">
        <v>827</v>
      </c>
      <c r="F235" s="96" t="s">
        <v>26</v>
      </c>
      <c r="G235" s="97" t="s">
        <v>5264</v>
      </c>
      <c r="H235" s="62" t="s">
        <v>4878</v>
      </c>
      <c r="I235" s="97" t="s">
        <v>5265</v>
      </c>
      <c r="J235" s="7" t="s">
        <v>30</v>
      </c>
      <c r="K235" s="96" t="s">
        <v>1001</v>
      </c>
      <c r="L235" s="98" t="s">
        <v>322</v>
      </c>
      <c r="M235" s="98">
        <v>83024100</v>
      </c>
      <c r="N235" s="98">
        <v>100</v>
      </c>
      <c r="O235" s="7">
        <v>45</v>
      </c>
      <c r="P235" s="7"/>
      <c r="R235" s="9">
        <v>87.395237704547483</v>
      </c>
      <c r="T235" s="7" t="s">
        <v>34</v>
      </c>
      <c r="U235" s="7" t="s">
        <v>34</v>
      </c>
    </row>
    <row r="236" spans="1:21" ht="14.1" customHeight="1">
      <c r="A236" s="96">
        <v>276</v>
      </c>
      <c r="B236" s="100" t="s">
        <v>124</v>
      </c>
      <c r="C236" s="100" t="s">
        <v>415</v>
      </c>
      <c r="D236" s="101" t="s">
        <v>260</v>
      </c>
      <c r="E236" s="100" t="s">
        <v>827</v>
      </c>
      <c r="F236" s="101" t="s">
        <v>26</v>
      </c>
      <c r="G236" s="97" t="s">
        <v>5264</v>
      </c>
      <c r="H236" s="100" t="s">
        <v>1424</v>
      </c>
      <c r="I236" s="102" t="s">
        <v>5265</v>
      </c>
      <c r="J236" s="101" t="s">
        <v>30</v>
      </c>
      <c r="K236" s="103" t="s">
        <v>1426</v>
      </c>
      <c r="L236" s="103" t="s">
        <v>322</v>
      </c>
      <c r="M236" s="103">
        <v>83024100</v>
      </c>
      <c r="N236" s="103">
        <v>500</v>
      </c>
      <c r="O236" s="101">
        <v>45</v>
      </c>
      <c r="P236" s="101"/>
      <c r="Q236" s="116"/>
      <c r="R236" s="9">
        <v>78.027560663091307</v>
      </c>
      <c r="T236" s="7" t="s">
        <v>34</v>
      </c>
      <c r="U236" s="7" t="s">
        <v>34</v>
      </c>
    </row>
    <row r="237" spans="1:21" ht="14.1" customHeight="1">
      <c r="A237" s="96">
        <v>277</v>
      </c>
      <c r="B237" s="62" t="s">
        <v>124</v>
      </c>
      <c r="C237" s="62" t="s">
        <v>415</v>
      </c>
      <c r="D237" s="96" t="s">
        <v>39</v>
      </c>
      <c r="E237" s="62" t="s">
        <v>3703</v>
      </c>
      <c r="F237" s="96" t="s">
        <v>26</v>
      </c>
      <c r="G237" s="97" t="s">
        <v>5266</v>
      </c>
      <c r="H237" s="62" t="s">
        <v>1424</v>
      </c>
      <c r="I237" s="97" t="s">
        <v>5267</v>
      </c>
      <c r="J237" s="7" t="s">
        <v>30</v>
      </c>
      <c r="K237" s="98" t="s">
        <v>1426</v>
      </c>
      <c r="L237" s="98" t="s">
        <v>322</v>
      </c>
      <c r="M237" s="98">
        <v>83024100</v>
      </c>
      <c r="N237" s="98">
        <v>100</v>
      </c>
      <c r="O237" s="7">
        <v>45</v>
      </c>
      <c r="P237" s="7"/>
      <c r="R237" s="9">
        <v>35.750114423516457</v>
      </c>
      <c r="T237" s="7" t="s">
        <v>34</v>
      </c>
      <c r="U237" s="7" t="s">
        <v>34</v>
      </c>
    </row>
    <row r="238" spans="1:21" ht="14.1" customHeight="1">
      <c r="A238" s="96">
        <v>278</v>
      </c>
      <c r="B238" s="62" t="s">
        <v>124</v>
      </c>
      <c r="C238" s="62" t="s">
        <v>415</v>
      </c>
      <c r="D238" s="96" t="s">
        <v>1601</v>
      </c>
      <c r="E238" s="62" t="s">
        <v>1602</v>
      </c>
      <c r="F238" s="96" t="s">
        <v>26</v>
      </c>
      <c r="G238" s="97" t="s">
        <v>5268</v>
      </c>
      <c r="H238" s="62" t="s">
        <v>1424</v>
      </c>
      <c r="I238" s="97" t="s">
        <v>5269</v>
      </c>
      <c r="J238" s="7" t="s">
        <v>30</v>
      </c>
      <c r="K238" s="98" t="s">
        <v>1426</v>
      </c>
      <c r="L238" s="98" t="s">
        <v>322</v>
      </c>
      <c r="M238" s="98">
        <v>83024100</v>
      </c>
      <c r="N238" s="98">
        <v>100</v>
      </c>
      <c r="O238" s="7">
        <v>45</v>
      </c>
      <c r="P238" s="7"/>
      <c r="R238" s="9">
        <v>20.86561300196071</v>
      </c>
      <c r="T238" s="7" t="s">
        <v>34</v>
      </c>
      <c r="U238" s="7" t="s">
        <v>34</v>
      </c>
    </row>
    <row r="239" spans="1:21" ht="14.1" customHeight="1">
      <c r="A239" s="96">
        <v>279</v>
      </c>
      <c r="B239" s="62" t="s">
        <v>124</v>
      </c>
      <c r="C239" s="62" t="s">
        <v>415</v>
      </c>
      <c r="D239" s="96" t="s">
        <v>39</v>
      </c>
      <c r="E239" s="62" t="s">
        <v>3703</v>
      </c>
      <c r="F239" s="96" t="s">
        <v>26</v>
      </c>
      <c r="G239" s="97" t="s">
        <v>5270</v>
      </c>
      <c r="H239" s="62" t="s">
        <v>1424</v>
      </c>
      <c r="I239" s="97" t="s">
        <v>5271</v>
      </c>
      <c r="J239" s="7" t="s">
        <v>30</v>
      </c>
      <c r="K239" s="98" t="s">
        <v>1426</v>
      </c>
      <c r="L239" s="98" t="s">
        <v>322</v>
      </c>
      <c r="M239" s="98">
        <v>83024100</v>
      </c>
      <c r="N239" s="98">
        <v>100</v>
      </c>
      <c r="O239" s="7">
        <v>45</v>
      </c>
      <c r="P239" s="7"/>
      <c r="R239" s="9">
        <v>28.458074277543279</v>
      </c>
      <c r="T239" s="7" t="s">
        <v>34</v>
      </c>
      <c r="U239" s="7" t="s">
        <v>34</v>
      </c>
    </row>
    <row r="240" spans="1:21" ht="14.1" customHeight="1">
      <c r="A240" s="96">
        <v>280</v>
      </c>
      <c r="B240" s="62" t="s">
        <v>124</v>
      </c>
      <c r="C240" s="62" t="s">
        <v>415</v>
      </c>
      <c r="D240" s="96" t="s">
        <v>39</v>
      </c>
      <c r="E240" s="62" t="s">
        <v>3703</v>
      </c>
      <c r="F240" s="96" t="s">
        <v>26</v>
      </c>
      <c r="G240" s="97" t="s">
        <v>5272</v>
      </c>
      <c r="H240" s="62" t="s">
        <v>1424</v>
      </c>
      <c r="I240" s="97" t="s">
        <v>5273</v>
      </c>
      <c r="J240" s="7" t="s">
        <v>30</v>
      </c>
      <c r="K240" s="98" t="s">
        <v>1426</v>
      </c>
      <c r="L240" s="98" t="s">
        <v>322</v>
      </c>
      <c r="M240" s="98">
        <v>83024100</v>
      </c>
      <c r="N240" s="98">
        <v>100</v>
      </c>
      <c r="O240" s="7">
        <v>45</v>
      </c>
      <c r="P240" s="7"/>
      <c r="R240" s="9">
        <v>34.439185857948253</v>
      </c>
      <c r="T240" s="7" t="s">
        <v>34</v>
      </c>
      <c r="U240" s="7" t="s">
        <v>34</v>
      </c>
    </row>
    <row r="241" spans="1:21" ht="14.1" customHeight="1">
      <c r="A241" s="96">
        <v>281</v>
      </c>
      <c r="B241" s="62" t="s">
        <v>124</v>
      </c>
      <c r="C241" s="62" t="s">
        <v>415</v>
      </c>
      <c r="D241" s="96" t="s">
        <v>39</v>
      </c>
      <c r="E241" s="62" t="s">
        <v>3703</v>
      </c>
      <c r="F241" s="96" t="s">
        <v>26</v>
      </c>
      <c r="G241" s="97" t="s">
        <v>5274</v>
      </c>
      <c r="H241" s="62" t="s">
        <v>1424</v>
      </c>
      <c r="I241" s="97" t="s">
        <v>5275</v>
      </c>
      <c r="J241" s="7" t="s">
        <v>30</v>
      </c>
      <c r="K241" s="98" t="s">
        <v>1426</v>
      </c>
      <c r="L241" s="98" t="s">
        <v>322</v>
      </c>
      <c r="M241" s="98">
        <v>83024100</v>
      </c>
      <c r="N241" s="98">
        <v>100</v>
      </c>
      <c r="O241" s="7">
        <v>45</v>
      </c>
      <c r="P241" s="7"/>
      <c r="R241" s="9">
        <v>40.338364403005201</v>
      </c>
      <c r="T241" s="7" t="s">
        <v>34</v>
      </c>
      <c r="U241" s="7" t="s">
        <v>34</v>
      </c>
    </row>
    <row r="242" spans="1:21" ht="14.1" customHeight="1">
      <c r="A242" s="96">
        <v>284</v>
      </c>
      <c r="B242" s="62" t="s">
        <v>124</v>
      </c>
      <c r="C242" s="62" t="s">
        <v>415</v>
      </c>
      <c r="D242" s="96" t="s">
        <v>39</v>
      </c>
      <c r="E242" s="62" t="s">
        <v>3703</v>
      </c>
      <c r="F242" s="96" t="s">
        <v>26</v>
      </c>
      <c r="G242" s="97" t="s">
        <v>5276</v>
      </c>
      <c r="H242" s="62" t="s">
        <v>1424</v>
      </c>
      <c r="I242" s="97" t="s">
        <v>5277</v>
      </c>
      <c r="J242" s="7" t="s">
        <v>30</v>
      </c>
      <c r="K242" s="98" t="s">
        <v>1426</v>
      </c>
      <c r="L242" s="98" t="s">
        <v>322</v>
      </c>
      <c r="M242" s="98">
        <v>83024100</v>
      </c>
      <c r="N242" s="98">
        <v>100</v>
      </c>
      <c r="O242" s="7">
        <v>45</v>
      </c>
      <c r="P242" s="7"/>
      <c r="R242" s="9">
        <v>84.828002596976404</v>
      </c>
      <c r="T242" s="7" t="s">
        <v>34</v>
      </c>
      <c r="U242" s="7" t="s">
        <v>34</v>
      </c>
    </row>
    <row r="243" spans="1:21" ht="14.1" customHeight="1">
      <c r="A243" s="96">
        <v>286</v>
      </c>
      <c r="B243" s="62" t="s">
        <v>124</v>
      </c>
      <c r="C243" s="62" t="s">
        <v>415</v>
      </c>
      <c r="D243" s="96" t="s">
        <v>39</v>
      </c>
      <c r="E243" s="62" t="s">
        <v>3703</v>
      </c>
      <c r="F243" s="96" t="s">
        <v>26</v>
      </c>
      <c r="G243" s="97" t="s">
        <v>5278</v>
      </c>
      <c r="H243" s="62" t="s">
        <v>1424</v>
      </c>
      <c r="I243" s="97" t="s">
        <v>5279</v>
      </c>
      <c r="J243" s="7" t="s">
        <v>30</v>
      </c>
      <c r="K243" s="98" t="s">
        <v>1426</v>
      </c>
      <c r="L243" s="98" t="s">
        <v>322</v>
      </c>
      <c r="M243" s="98">
        <v>83024100</v>
      </c>
      <c r="N243" s="98">
        <v>100</v>
      </c>
      <c r="O243" s="7">
        <v>45</v>
      </c>
      <c r="P243" s="7"/>
      <c r="R243" s="9">
        <v>60.30271401613777</v>
      </c>
      <c r="T243" s="7" t="s">
        <v>34</v>
      </c>
      <c r="U243" s="7" t="s">
        <v>34</v>
      </c>
    </row>
    <row r="244" spans="1:21" ht="14.1" customHeight="1">
      <c r="A244" s="96">
        <v>289</v>
      </c>
      <c r="B244" s="62" t="s">
        <v>124</v>
      </c>
      <c r="C244" s="62" t="s">
        <v>415</v>
      </c>
      <c r="D244" s="96" t="s">
        <v>39</v>
      </c>
      <c r="E244" s="62" t="s">
        <v>3703</v>
      </c>
      <c r="F244" s="96" t="s">
        <v>26</v>
      </c>
      <c r="G244" s="97" t="s">
        <v>5280</v>
      </c>
      <c r="H244" s="62" t="s">
        <v>1424</v>
      </c>
      <c r="I244" s="97" t="s">
        <v>5281</v>
      </c>
      <c r="J244" s="7" t="s">
        <v>30</v>
      </c>
      <c r="K244" s="98" t="s">
        <v>1426</v>
      </c>
      <c r="L244" s="98" t="s">
        <v>322</v>
      </c>
      <c r="M244" s="98">
        <v>83024100</v>
      </c>
      <c r="N244" s="98">
        <v>100</v>
      </c>
      <c r="O244" s="7">
        <v>45</v>
      </c>
      <c r="P244" s="7"/>
      <c r="R244" s="9">
        <v>45.8278777713221</v>
      </c>
      <c r="T244" s="7" t="s">
        <v>34</v>
      </c>
      <c r="U244" s="7" t="s">
        <v>34</v>
      </c>
    </row>
    <row r="245" spans="1:21" ht="14.1" customHeight="1">
      <c r="A245" s="96">
        <v>290</v>
      </c>
      <c r="B245" s="62" t="s">
        <v>124</v>
      </c>
      <c r="C245" s="62" t="s">
        <v>415</v>
      </c>
      <c r="D245" s="96" t="s">
        <v>2194</v>
      </c>
      <c r="E245" s="62" t="s">
        <v>2195</v>
      </c>
      <c r="F245" s="96" t="s">
        <v>26</v>
      </c>
      <c r="G245" s="97" t="s">
        <v>5282</v>
      </c>
      <c r="H245" s="62" t="s">
        <v>1424</v>
      </c>
      <c r="I245" s="97" t="s">
        <v>5283</v>
      </c>
      <c r="J245" s="7" t="s">
        <v>30</v>
      </c>
      <c r="K245" s="98" t="s">
        <v>1426</v>
      </c>
      <c r="L245" s="98" t="s">
        <v>322</v>
      </c>
      <c r="M245" s="98">
        <v>83024100</v>
      </c>
      <c r="N245" s="98">
        <v>100</v>
      </c>
      <c r="O245" s="7">
        <v>45</v>
      </c>
      <c r="P245" s="7"/>
      <c r="R245" s="9">
        <v>103.04444745601801</v>
      </c>
      <c r="T245" s="7" t="s">
        <v>34</v>
      </c>
      <c r="U245" s="7" t="s">
        <v>34</v>
      </c>
    </row>
    <row r="246" spans="1:21" ht="14.1" customHeight="1">
      <c r="A246" s="96">
        <v>291</v>
      </c>
      <c r="B246" s="62" t="s">
        <v>124</v>
      </c>
      <c r="C246" s="62" t="s">
        <v>415</v>
      </c>
      <c r="D246" s="96" t="s">
        <v>1601</v>
      </c>
      <c r="E246" s="62" t="s">
        <v>1602</v>
      </c>
      <c r="F246" s="96" t="s">
        <v>26</v>
      </c>
      <c r="G246" s="97" t="s">
        <v>5284</v>
      </c>
      <c r="H246" s="62" t="s">
        <v>1424</v>
      </c>
      <c r="I246" s="97" t="s">
        <v>5285</v>
      </c>
      <c r="J246" s="7" t="s">
        <v>30</v>
      </c>
      <c r="K246" s="98" t="s">
        <v>1426</v>
      </c>
      <c r="L246" s="98" t="s">
        <v>322</v>
      </c>
      <c r="M246" s="98">
        <v>83024100</v>
      </c>
      <c r="N246" s="98">
        <v>100</v>
      </c>
      <c r="O246" s="7">
        <v>45</v>
      </c>
      <c r="P246" s="7"/>
      <c r="R246" s="9">
        <v>27.720676959411161</v>
      </c>
      <c r="T246" s="7" t="s">
        <v>34</v>
      </c>
      <c r="U246" s="7" t="s">
        <v>34</v>
      </c>
    </row>
    <row r="247" spans="1:21" ht="14.1" customHeight="1">
      <c r="A247" s="96">
        <v>292</v>
      </c>
      <c r="B247" s="62" t="s">
        <v>124</v>
      </c>
      <c r="C247" s="62" t="s">
        <v>415</v>
      </c>
      <c r="D247" s="96" t="s">
        <v>1601</v>
      </c>
      <c r="E247" s="62" t="s">
        <v>3621</v>
      </c>
      <c r="F247" s="96" t="s">
        <v>26</v>
      </c>
      <c r="G247" s="97" t="s">
        <v>5286</v>
      </c>
      <c r="H247" s="62" t="s">
        <v>1424</v>
      </c>
      <c r="I247" s="97" t="s">
        <v>5287</v>
      </c>
      <c r="J247" s="7" t="s">
        <v>30</v>
      </c>
      <c r="K247" s="98" t="s">
        <v>1426</v>
      </c>
      <c r="L247" s="98" t="s">
        <v>322</v>
      </c>
      <c r="M247" s="98">
        <v>83024100</v>
      </c>
      <c r="N247" s="98">
        <v>100</v>
      </c>
      <c r="O247" s="7">
        <v>45</v>
      </c>
      <c r="P247" s="7"/>
      <c r="R247" s="9">
        <v>35.722803411733793</v>
      </c>
      <c r="T247" s="7" t="s">
        <v>34</v>
      </c>
      <c r="U247" s="7" t="s">
        <v>34</v>
      </c>
    </row>
    <row r="248" spans="1:21" ht="14.1" customHeight="1">
      <c r="A248" s="96">
        <v>293</v>
      </c>
      <c r="B248" s="62" t="s">
        <v>124</v>
      </c>
      <c r="C248" s="62" t="s">
        <v>415</v>
      </c>
      <c r="D248" s="96" t="s">
        <v>1601</v>
      </c>
      <c r="E248" s="62" t="s">
        <v>3621</v>
      </c>
      <c r="F248" s="96" t="s">
        <v>26</v>
      </c>
      <c r="G248" s="97" t="s">
        <v>5288</v>
      </c>
      <c r="H248" s="62" t="s">
        <v>1424</v>
      </c>
      <c r="I248" s="97" t="s">
        <v>5289</v>
      </c>
      <c r="J248" s="7" t="s">
        <v>30</v>
      </c>
      <c r="K248" s="98" t="s">
        <v>1426</v>
      </c>
      <c r="L248" s="98" t="s">
        <v>322</v>
      </c>
      <c r="M248" s="98">
        <v>83024100</v>
      </c>
      <c r="N248" s="98">
        <v>100</v>
      </c>
      <c r="O248" s="7">
        <v>45</v>
      </c>
      <c r="P248" s="7"/>
      <c r="R248" s="9">
        <v>67.458199103197586</v>
      </c>
      <c r="T248" s="7" t="s">
        <v>34</v>
      </c>
      <c r="U248" s="7" t="s">
        <v>34</v>
      </c>
    </row>
    <row r="249" spans="1:21" ht="14.1" customHeight="1">
      <c r="A249" s="96">
        <v>294</v>
      </c>
      <c r="B249" s="62" t="s">
        <v>124</v>
      </c>
      <c r="C249" s="62" t="s">
        <v>415</v>
      </c>
      <c r="D249" s="96" t="s">
        <v>658</v>
      </c>
      <c r="E249" s="62" t="s">
        <v>659</v>
      </c>
      <c r="F249" s="96" t="s">
        <v>26</v>
      </c>
      <c r="G249" s="97" t="s">
        <v>5290</v>
      </c>
      <c r="H249" s="62" t="s">
        <v>1424</v>
      </c>
      <c r="I249" s="97" t="s">
        <v>4120</v>
      </c>
      <c r="J249" s="7" t="s">
        <v>30</v>
      </c>
      <c r="K249" s="98" t="s">
        <v>1426</v>
      </c>
      <c r="L249" s="98" t="s">
        <v>322</v>
      </c>
      <c r="M249" s="98">
        <v>83024100</v>
      </c>
      <c r="N249" s="98">
        <v>100</v>
      </c>
      <c r="O249" s="7">
        <v>45</v>
      </c>
      <c r="P249" s="7"/>
      <c r="R249" s="9">
        <v>59.619938721570989</v>
      </c>
      <c r="T249" s="7" t="s">
        <v>34</v>
      </c>
      <c r="U249" s="7" t="s">
        <v>34</v>
      </c>
    </row>
    <row r="250" spans="1:21" ht="14.1" customHeight="1">
      <c r="A250" s="96">
        <v>295</v>
      </c>
      <c r="B250" s="62" t="s">
        <v>124</v>
      </c>
      <c r="C250" s="62" t="s">
        <v>415</v>
      </c>
      <c r="D250" s="96" t="s">
        <v>658</v>
      </c>
      <c r="E250" s="62" t="s">
        <v>659</v>
      </c>
      <c r="F250" s="96" t="s">
        <v>26</v>
      </c>
      <c r="G250" s="97" t="s">
        <v>5291</v>
      </c>
      <c r="H250" s="62" t="s">
        <v>1424</v>
      </c>
      <c r="I250" s="97" t="s">
        <v>5292</v>
      </c>
      <c r="J250" s="7" t="s">
        <v>30</v>
      </c>
      <c r="K250" s="98" t="s">
        <v>1426</v>
      </c>
      <c r="L250" s="98" t="s">
        <v>322</v>
      </c>
      <c r="M250" s="98">
        <v>83024100</v>
      </c>
      <c r="N250" s="98">
        <v>100</v>
      </c>
      <c r="O250" s="7">
        <v>45</v>
      </c>
      <c r="P250" s="7"/>
      <c r="R250" s="9">
        <v>261.55755984264101</v>
      </c>
      <c r="T250" s="7" t="s">
        <v>34</v>
      </c>
      <c r="U250" s="7" t="s">
        <v>34</v>
      </c>
    </row>
    <row r="251" spans="1:21" ht="14.1" customHeight="1">
      <c r="A251" s="96">
        <v>296</v>
      </c>
      <c r="B251" s="62" t="s">
        <v>124</v>
      </c>
      <c r="C251" s="62" t="s">
        <v>415</v>
      </c>
      <c r="D251" s="96" t="s">
        <v>39</v>
      </c>
      <c r="E251" s="62" t="s">
        <v>3703</v>
      </c>
      <c r="F251" s="96" t="s">
        <v>26</v>
      </c>
      <c r="G251" s="97" t="s">
        <v>5293</v>
      </c>
      <c r="H251" s="62" t="s">
        <v>1424</v>
      </c>
      <c r="I251" s="97" t="s">
        <v>5294</v>
      </c>
      <c r="J251" s="7" t="s">
        <v>30</v>
      </c>
      <c r="K251" s="98" t="s">
        <v>1426</v>
      </c>
      <c r="L251" s="98" t="s">
        <v>322</v>
      </c>
      <c r="M251" s="98">
        <v>83024100</v>
      </c>
      <c r="N251" s="98">
        <v>100</v>
      </c>
      <c r="O251" s="7">
        <v>45</v>
      </c>
      <c r="P251" s="7"/>
      <c r="R251" s="9">
        <v>142.12650531702039</v>
      </c>
      <c r="T251" s="7" t="s">
        <v>34</v>
      </c>
      <c r="U251" s="7" t="s">
        <v>34</v>
      </c>
    </row>
    <row r="252" spans="1:21" ht="14.1" customHeight="1">
      <c r="A252" s="96">
        <v>301</v>
      </c>
      <c r="B252" s="62" t="s">
        <v>124</v>
      </c>
      <c r="C252" s="62" t="s">
        <v>415</v>
      </c>
      <c r="D252" s="96" t="s">
        <v>810</v>
      </c>
      <c r="E252" s="62" t="s">
        <v>811</v>
      </c>
      <c r="F252" s="96" t="s">
        <v>26</v>
      </c>
      <c r="G252" s="97" t="s">
        <v>5295</v>
      </c>
      <c r="H252" s="62" t="s">
        <v>1424</v>
      </c>
      <c r="I252" s="97" t="s">
        <v>5296</v>
      </c>
      <c r="J252" s="7" t="s">
        <v>30</v>
      </c>
      <c r="K252" s="98" t="s">
        <v>1426</v>
      </c>
      <c r="L252" s="98" t="s">
        <v>322</v>
      </c>
      <c r="M252" s="98">
        <v>83024100</v>
      </c>
      <c r="N252" s="98">
        <v>100</v>
      </c>
      <c r="O252" s="7">
        <v>45</v>
      </c>
      <c r="P252" s="7"/>
      <c r="R252" s="9">
        <v>21.876120437919539</v>
      </c>
      <c r="T252" s="7" t="s">
        <v>34</v>
      </c>
      <c r="U252" s="7" t="s">
        <v>34</v>
      </c>
    </row>
    <row r="253" spans="1:21" ht="14.1" customHeight="1">
      <c r="A253" s="96">
        <v>302</v>
      </c>
      <c r="B253" s="62" t="s">
        <v>124</v>
      </c>
      <c r="C253" s="62" t="s">
        <v>415</v>
      </c>
      <c r="D253" s="96" t="s">
        <v>810</v>
      </c>
      <c r="E253" s="62" t="s">
        <v>811</v>
      </c>
      <c r="F253" s="96" t="s">
        <v>26</v>
      </c>
      <c r="G253" s="97" t="s">
        <v>5297</v>
      </c>
      <c r="H253" s="62" t="s">
        <v>1424</v>
      </c>
      <c r="I253" s="97" t="s">
        <v>5298</v>
      </c>
      <c r="J253" s="7" t="s">
        <v>30</v>
      </c>
      <c r="K253" s="98" t="s">
        <v>1426</v>
      </c>
      <c r="L253" s="98" t="s">
        <v>322</v>
      </c>
      <c r="M253" s="98">
        <v>83024100</v>
      </c>
      <c r="N253" s="98">
        <v>100</v>
      </c>
      <c r="O253" s="7">
        <v>45</v>
      </c>
      <c r="P253" s="7"/>
      <c r="R253" s="9">
        <v>62.815327100143513</v>
      </c>
      <c r="T253" s="7" t="s">
        <v>34</v>
      </c>
      <c r="U253" s="7" t="s">
        <v>34</v>
      </c>
    </row>
    <row r="254" spans="1:21" ht="14.1" customHeight="1">
      <c r="A254" s="96">
        <v>303</v>
      </c>
      <c r="B254" s="62" t="s">
        <v>124</v>
      </c>
      <c r="C254" s="62" t="s">
        <v>415</v>
      </c>
      <c r="D254" s="96" t="s">
        <v>810</v>
      </c>
      <c r="E254" s="62" t="s">
        <v>811</v>
      </c>
      <c r="F254" s="96" t="s">
        <v>26</v>
      </c>
      <c r="G254" s="97" t="s">
        <v>5299</v>
      </c>
      <c r="H254" s="62" t="s">
        <v>1424</v>
      </c>
      <c r="I254" s="97" t="s">
        <v>5300</v>
      </c>
      <c r="J254" s="7" t="s">
        <v>30</v>
      </c>
      <c r="K254" s="98" t="s">
        <v>1426</v>
      </c>
      <c r="L254" s="98" t="s">
        <v>322</v>
      </c>
      <c r="M254" s="98">
        <v>83024100</v>
      </c>
      <c r="N254" s="98">
        <v>100</v>
      </c>
      <c r="O254" s="7">
        <v>45</v>
      </c>
      <c r="P254" s="7"/>
      <c r="R254" s="9">
        <v>69.233414869071225</v>
      </c>
      <c r="T254" s="7" t="s">
        <v>34</v>
      </c>
      <c r="U254" s="7" t="s">
        <v>34</v>
      </c>
    </row>
    <row r="255" spans="1:21" ht="14.1" customHeight="1">
      <c r="A255" s="96">
        <v>304</v>
      </c>
      <c r="B255" s="62" t="s">
        <v>124</v>
      </c>
      <c r="C255" s="62" t="s">
        <v>415</v>
      </c>
      <c r="D255" s="96" t="s">
        <v>810</v>
      </c>
      <c r="E255" s="62" t="s">
        <v>811</v>
      </c>
      <c r="F255" s="96" t="s">
        <v>26</v>
      </c>
      <c r="G255" s="97" t="s">
        <v>5301</v>
      </c>
      <c r="H255" s="62" t="s">
        <v>1424</v>
      </c>
      <c r="I255" s="97" t="s">
        <v>5302</v>
      </c>
      <c r="J255" s="7" t="s">
        <v>30</v>
      </c>
      <c r="K255" s="98" t="s">
        <v>1426</v>
      </c>
      <c r="L255" s="98" t="s">
        <v>322</v>
      </c>
      <c r="M255" s="98">
        <v>83024100</v>
      </c>
      <c r="N255" s="98">
        <v>100</v>
      </c>
      <c r="O255" s="7">
        <v>45</v>
      </c>
      <c r="P255" s="7"/>
      <c r="R255" s="9">
        <v>51.535879233900353</v>
      </c>
      <c r="T255" s="7" t="s">
        <v>34</v>
      </c>
      <c r="U255" s="7" t="s">
        <v>34</v>
      </c>
    </row>
    <row r="256" spans="1:21" ht="14.1" customHeight="1">
      <c r="A256" s="96">
        <v>305</v>
      </c>
      <c r="B256" s="62" t="s">
        <v>124</v>
      </c>
      <c r="C256" s="62" t="s">
        <v>415</v>
      </c>
      <c r="D256" s="96" t="s">
        <v>804</v>
      </c>
      <c r="E256" s="62" t="s">
        <v>805</v>
      </c>
      <c r="F256" s="96" t="s">
        <v>26</v>
      </c>
      <c r="G256" s="97" t="s">
        <v>5303</v>
      </c>
      <c r="H256" s="62" t="s">
        <v>1424</v>
      </c>
      <c r="I256" s="97" t="s">
        <v>5304</v>
      </c>
      <c r="J256" s="96" t="s">
        <v>123</v>
      </c>
      <c r="K256" s="98" t="s">
        <v>1426</v>
      </c>
      <c r="L256" s="98" t="s">
        <v>322</v>
      </c>
      <c r="M256" s="98">
        <v>83024100</v>
      </c>
      <c r="N256" s="98">
        <v>50</v>
      </c>
      <c r="O256" s="7">
        <v>50</v>
      </c>
      <c r="P256" s="7"/>
      <c r="R256" s="9">
        <v>736.0317675429859</v>
      </c>
      <c r="T256" s="7" t="s">
        <v>34</v>
      </c>
      <c r="U256" s="7" t="s">
        <v>34</v>
      </c>
    </row>
    <row r="257" spans="1:21" ht="14.1" customHeight="1">
      <c r="A257" s="96">
        <v>306</v>
      </c>
      <c r="B257" s="62" t="s">
        <v>124</v>
      </c>
      <c r="C257" s="62" t="s">
        <v>415</v>
      </c>
      <c r="D257" s="96" t="s">
        <v>804</v>
      </c>
      <c r="E257" s="62" t="s">
        <v>805</v>
      </c>
      <c r="F257" s="96" t="s">
        <v>26</v>
      </c>
      <c r="G257" s="97" t="s">
        <v>5305</v>
      </c>
      <c r="H257" s="62" t="s">
        <v>1424</v>
      </c>
      <c r="I257" s="97" t="s">
        <v>5306</v>
      </c>
      <c r="J257" s="96" t="s">
        <v>123</v>
      </c>
      <c r="K257" s="98" t="s">
        <v>1426</v>
      </c>
      <c r="L257" s="98" t="s">
        <v>322</v>
      </c>
      <c r="M257" s="98">
        <v>83024100</v>
      </c>
      <c r="N257" s="98">
        <v>50</v>
      </c>
      <c r="O257" s="7">
        <v>50</v>
      </c>
      <c r="P257" s="7"/>
      <c r="R257" s="9">
        <v>468.38385207280919</v>
      </c>
      <c r="T257" s="7" t="s">
        <v>34</v>
      </c>
      <c r="U257" s="7" t="s">
        <v>34</v>
      </c>
    </row>
    <row r="258" spans="1:21" ht="14.1" customHeight="1">
      <c r="A258" s="96">
        <v>307</v>
      </c>
      <c r="B258" s="62" t="s">
        <v>124</v>
      </c>
      <c r="C258" s="62" t="s">
        <v>415</v>
      </c>
      <c r="D258" s="96" t="s">
        <v>658</v>
      </c>
      <c r="E258" s="62" t="s">
        <v>659</v>
      </c>
      <c r="F258" s="96" t="s">
        <v>26</v>
      </c>
      <c r="G258" s="97" t="s">
        <v>5307</v>
      </c>
      <c r="H258" s="62" t="s">
        <v>1424</v>
      </c>
      <c r="I258" s="97" t="s">
        <v>5308</v>
      </c>
      <c r="J258" s="7" t="s">
        <v>30</v>
      </c>
      <c r="K258" s="98" t="s">
        <v>1426</v>
      </c>
      <c r="L258" s="98" t="s">
        <v>322</v>
      </c>
      <c r="M258" s="98">
        <v>83024100</v>
      </c>
      <c r="N258" s="98">
        <v>100</v>
      </c>
      <c r="O258" s="7">
        <v>50</v>
      </c>
      <c r="P258" s="7"/>
      <c r="R258" s="9">
        <v>445.90688937567091</v>
      </c>
      <c r="T258" s="7" t="s">
        <v>34</v>
      </c>
      <c r="U258" s="7" t="s">
        <v>34</v>
      </c>
    </row>
    <row r="259" spans="1:21" ht="14.1" customHeight="1">
      <c r="A259" s="96">
        <v>308</v>
      </c>
      <c r="B259" s="62" t="s">
        <v>124</v>
      </c>
      <c r="C259" s="62" t="s">
        <v>415</v>
      </c>
      <c r="D259" s="96" t="s">
        <v>658</v>
      </c>
      <c r="E259" s="62" t="s">
        <v>659</v>
      </c>
      <c r="F259" s="96" t="s">
        <v>26</v>
      </c>
      <c r="G259" s="97" t="s">
        <v>5309</v>
      </c>
      <c r="H259" s="62" t="s">
        <v>1424</v>
      </c>
      <c r="I259" s="97" t="s">
        <v>5308</v>
      </c>
      <c r="J259" s="7" t="s">
        <v>30</v>
      </c>
      <c r="K259" s="98" t="s">
        <v>1426</v>
      </c>
      <c r="L259" s="98" t="s">
        <v>322</v>
      </c>
      <c r="M259" s="98">
        <v>83024100</v>
      </c>
      <c r="N259" s="98">
        <v>100</v>
      </c>
      <c r="O259" s="7">
        <v>50</v>
      </c>
      <c r="P259" s="7"/>
      <c r="R259" s="9">
        <v>472.12546068703517</v>
      </c>
      <c r="T259" s="7" t="s">
        <v>34</v>
      </c>
      <c r="U259" s="7" t="s">
        <v>34</v>
      </c>
    </row>
    <row r="260" spans="1:21" ht="14.1" customHeight="1">
      <c r="A260" s="96">
        <v>309</v>
      </c>
      <c r="B260" s="62" t="s">
        <v>124</v>
      </c>
      <c r="C260" s="62" t="s">
        <v>415</v>
      </c>
      <c r="D260" s="96" t="s">
        <v>658</v>
      </c>
      <c r="E260" s="62" t="s">
        <v>659</v>
      </c>
      <c r="F260" s="96" t="s">
        <v>26</v>
      </c>
      <c r="G260" s="97" t="s">
        <v>5310</v>
      </c>
      <c r="H260" s="62" t="s">
        <v>1424</v>
      </c>
      <c r="I260" s="97" t="s">
        <v>5308</v>
      </c>
      <c r="J260" s="7" t="s">
        <v>30</v>
      </c>
      <c r="K260" s="98" t="s">
        <v>1426</v>
      </c>
      <c r="L260" s="98" t="s">
        <v>322</v>
      </c>
      <c r="M260" s="98">
        <v>83024100</v>
      </c>
      <c r="N260" s="98">
        <v>100</v>
      </c>
      <c r="O260" s="7">
        <v>50</v>
      </c>
      <c r="P260" s="7"/>
      <c r="R260" s="9">
        <v>498.37134301018199</v>
      </c>
      <c r="T260" s="7" t="s">
        <v>34</v>
      </c>
      <c r="U260" s="7" t="s">
        <v>34</v>
      </c>
    </row>
    <row r="261" spans="1:21" ht="14.1" customHeight="1">
      <c r="A261" s="96">
        <v>310</v>
      </c>
      <c r="B261" s="62" t="s">
        <v>124</v>
      </c>
      <c r="C261" s="62" t="s">
        <v>415</v>
      </c>
      <c r="D261" s="96" t="s">
        <v>658</v>
      </c>
      <c r="E261" s="62" t="s">
        <v>659</v>
      </c>
      <c r="F261" s="96" t="s">
        <v>26</v>
      </c>
      <c r="G261" s="97" t="s">
        <v>5311</v>
      </c>
      <c r="H261" s="62" t="s">
        <v>1424</v>
      </c>
      <c r="I261" s="97" t="s">
        <v>5308</v>
      </c>
      <c r="J261" s="7" t="s">
        <v>30</v>
      </c>
      <c r="K261" s="98" t="s">
        <v>1426</v>
      </c>
      <c r="L261" s="98" t="s">
        <v>322</v>
      </c>
      <c r="M261" s="98">
        <v>83024100</v>
      </c>
      <c r="N261" s="98">
        <v>100</v>
      </c>
      <c r="O261" s="7">
        <v>50</v>
      </c>
      <c r="P261" s="7"/>
      <c r="R261" s="9">
        <v>524.5899143215463</v>
      </c>
      <c r="T261" s="7" t="s">
        <v>34</v>
      </c>
      <c r="U261" s="7" t="s">
        <v>34</v>
      </c>
    </row>
    <row r="262" spans="1:21" ht="14.1" customHeight="1">
      <c r="A262" s="96">
        <v>311</v>
      </c>
      <c r="B262" s="19" t="s">
        <v>456</v>
      </c>
      <c r="C262" s="19" t="s">
        <v>415</v>
      </c>
      <c r="D262" s="29" t="s">
        <v>35</v>
      </c>
      <c r="E262" s="19" t="s">
        <v>4263</v>
      </c>
      <c r="F262" s="29" t="s">
        <v>457</v>
      </c>
      <c r="G262" s="19" t="s">
        <v>5312</v>
      </c>
      <c r="H262" s="62" t="s">
        <v>1424</v>
      </c>
      <c r="I262" s="19" t="s">
        <v>5313</v>
      </c>
      <c r="J262" s="29" t="s">
        <v>123</v>
      </c>
      <c r="K262" s="79" t="s">
        <v>1426</v>
      </c>
      <c r="L262" s="79" t="s">
        <v>322</v>
      </c>
      <c r="M262" s="79">
        <v>83014000</v>
      </c>
      <c r="N262" s="79">
        <v>3000</v>
      </c>
      <c r="O262" s="29">
        <v>45</v>
      </c>
      <c r="P262" s="29"/>
      <c r="R262" s="9">
        <v>69.233414869071225</v>
      </c>
      <c r="T262" s="19"/>
      <c r="U262" s="29" t="s">
        <v>34</v>
      </c>
    </row>
    <row r="263" spans="1:21" ht="14.1" customHeight="1">
      <c r="A263" s="96">
        <v>312</v>
      </c>
      <c r="B263" s="19" t="s">
        <v>609</v>
      </c>
      <c r="C263" s="19" t="s">
        <v>415</v>
      </c>
      <c r="D263" s="29" t="s">
        <v>1627</v>
      </c>
      <c r="E263" s="19" t="s">
        <v>327</v>
      </c>
      <c r="F263" s="29" t="s">
        <v>26</v>
      </c>
      <c r="G263" s="19" t="s">
        <v>5314</v>
      </c>
      <c r="H263" s="19" t="s">
        <v>1304</v>
      </c>
      <c r="I263" s="19" t="s">
        <v>5315</v>
      </c>
      <c r="J263" s="29" t="s">
        <v>123</v>
      </c>
      <c r="K263" s="29" t="s">
        <v>152</v>
      </c>
      <c r="L263" s="79" t="s">
        <v>322</v>
      </c>
      <c r="M263" s="79">
        <v>83024100</v>
      </c>
      <c r="N263" s="79">
        <v>100</v>
      </c>
      <c r="O263" s="29">
        <v>50</v>
      </c>
      <c r="P263" s="29"/>
      <c r="R263" s="9">
        <v>277.34332465302492</v>
      </c>
      <c r="T263" s="19"/>
      <c r="U263" s="29" t="s">
        <v>34</v>
      </c>
    </row>
    <row r="264" spans="1:21" ht="14.1" customHeight="1">
      <c r="A264" s="96">
        <v>313</v>
      </c>
      <c r="B264" s="19" t="s">
        <v>609</v>
      </c>
      <c r="C264" s="19" t="s">
        <v>415</v>
      </c>
      <c r="D264" s="29" t="s">
        <v>1627</v>
      </c>
      <c r="E264" s="19" t="s">
        <v>327</v>
      </c>
      <c r="F264" s="29" t="s">
        <v>26</v>
      </c>
      <c r="G264" s="19" t="s">
        <v>5316</v>
      </c>
      <c r="H264" s="19" t="s">
        <v>1304</v>
      </c>
      <c r="I264" s="19" t="s">
        <v>5317</v>
      </c>
      <c r="J264" s="29" t="s">
        <v>123</v>
      </c>
      <c r="K264" s="29" t="s">
        <v>152</v>
      </c>
      <c r="L264" s="79" t="s">
        <v>322</v>
      </c>
      <c r="M264" s="79">
        <v>83024100</v>
      </c>
      <c r="N264" s="79">
        <v>100</v>
      </c>
      <c r="O264" s="29">
        <v>50</v>
      </c>
      <c r="P264" s="29"/>
      <c r="R264" s="9">
        <v>738.35320354451301</v>
      </c>
      <c r="T264" s="19"/>
      <c r="U264" s="29" t="s">
        <v>34</v>
      </c>
    </row>
    <row r="265" spans="1:21" ht="14.1" customHeight="1">
      <c r="H265" t="s">
        <v>42</v>
      </c>
    </row>
    <row r="266" spans="1:21" ht="14.1" customHeight="1">
      <c r="A266" s="104" t="s">
        <v>5318</v>
      </c>
      <c r="H266" t="s">
        <v>42</v>
      </c>
    </row>
    <row r="267" spans="1:21" ht="14.1" customHeight="1">
      <c r="A267" s="106" t="s">
        <v>5319</v>
      </c>
      <c r="H267" t="s">
        <v>42</v>
      </c>
    </row>
    <row r="268" spans="1:21" ht="14.1" customHeight="1">
      <c r="A268" s="106" t="s">
        <v>5320</v>
      </c>
      <c r="H268" t="s">
        <v>42</v>
      </c>
    </row>
    <row r="269" spans="1:21" ht="14.1" customHeight="1">
      <c r="A269" s="106" t="s">
        <v>5321</v>
      </c>
      <c r="H269" t="s">
        <v>42</v>
      </c>
    </row>
    <row r="270" spans="1:21" ht="14.1" customHeight="1">
      <c r="A270" s="106" t="s">
        <v>5322</v>
      </c>
      <c r="H270" t="s">
        <v>42</v>
      </c>
    </row>
    <row r="271" spans="1:21" ht="14.1" customHeight="1">
      <c r="A271" s="107" t="s">
        <v>5323</v>
      </c>
      <c r="H271" t="s">
        <v>42</v>
      </c>
    </row>
    <row r="272" spans="1:21" ht="14.1" customHeight="1">
      <c r="A272" s="107" t="s">
        <v>5324</v>
      </c>
      <c r="H272" t="s">
        <v>42</v>
      </c>
    </row>
    <row r="273" spans="1:8" ht="14.1" customHeight="1">
      <c r="A273" s="106" t="s">
        <v>5325</v>
      </c>
      <c r="H273" t="s">
        <v>42</v>
      </c>
    </row>
    <row r="274" spans="1:8" ht="14.1" customHeight="1">
      <c r="A274" s="106" t="s">
        <v>5326</v>
      </c>
      <c r="H274" t="s">
        <v>42</v>
      </c>
    </row>
    <row r="275" spans="1:8" ht="14.1" customHeight="1">
      <c r="A275" s="108" t="s">
        <v>5327</v>
      </c>
      <c r="H275" t="s">
        <v>42</v>
      </c>
    </row>
    <row r="276" spans="1:8" ht="14.1" customHeight="1"/>
    <row r="277" spans="1:8" ht="14.1" customHeight="1"/>
    <row r="278" spans="1:8" ht="14.1" customHeight="1"/>
    <row r="279" spans="1:8" ht="14.1" customHeight="1"/>
    <row r="280" spans="1:8" ht="14.1" customHeight="1"/>
    <row r="281" spans="1:8" ht="14.1" customHeight="1"/>
    <row r="282" spans="1:8" ht="14.1" customHeight="1"/>
    <row r="283" spans="1:8" ht="14.1" customHeight="1"/>
    <row r="284" spans="1:8" ht="14.1" customHeight="1"/>
    <row r="285" spans="1:8" ht="14.1" customHeight="1"/>
    <row r="286" spans="1:8" ht="14.1" customHeight="1"/>
    <row r="287" spans="1:8" ht="14.1" customHeight="1"/>
    <row r="288" spans="1:8" ht="14.1" customHeight="1"/>
    <row r="289" ht="14.1" customHeight="1"/>
    <row r="290" ht="14.1" customHeight="1"/>
    <row r="291" ht="14.1" customHeight="1"/>
    <row r="292" ht="14.1" customHeight="1"/>
    <row r="293" ht="14.1" customHeight="1"/>
    <row r="294" ht="14.1" customHeight="1"/>
    <row r="295" ht="14.1" customHeight="1"/>
    <row r="296" ht="14.1" customHeight="1"/>
    <row r="297" ht="14.1" customHeight="1"/>
    <row r="298" ht="14.1" customHeight="1"/>
    <row r="299" ht="14.1" customHeight="1"/>
    <row r="300" ht="14.1" customHeight="1"/>
    <row r="301" ht="14.1" customHeight="1"/>
    <row r="302" ht="14.1" customHeight="1"/>
    <row r="303" ht="14.1" customHeight="1"/>
    <row r="304" ht="14.1" customHeight="1"/>
    <row r="305" ht="14.1" customHeight="1"/>
    <row r="306" ht="14.1" customHeight="1"/>
    <row r="307" ht="14.1" customHeight="1"/>
    <row r="308" ht="14.1" customHeight="1"/>
    <row r="309" ht="14.1" customHeight="1"/>
    <row r="310" ht="14.1" customHeight="1"/>
    <row r="311" ht="14.1" customHeight="1"/>
    <row r="312" ht="14.1" customHeight="1"/>
    <row r="313" ht="14.1" customHeight="1"/>
    <row r="314" ht="14.1" customHeight="1"/>
    <row r="315" s="22" customFormat="1" ht="14.1" customHeight="1"/>
    <row r="316" s="22" customFormat="1" ht="14.1" customHeight="1"/>
    <row r="317" s="22" customFormat="1" ht="14.1" customHeight="1"/>
    <row r="318" ht="14.1" customHeight="1"/>
    <row r="319" ht="14.1" customHeight="1"/>
    <row r="320" ht="14.1" customHeight="1"/>
    <row r="321" ht="14.1" customHeight="1"/>
    <row r="322" ht="14.1" customHeight="1"/>
    <row r="323" ht="14.1" customHeight="1"/>
    <row r="324" ht="14.1" customHeight="1"/>
    <row r="325" ht="14.1" customHeight="1"/>
    <row r="326" ht="14.1" customHeight="1"/>
    <row r="327" ht="14.1" customHeight="1"/>
    <row r="328" ht="14.1" customHeight="1"/>
    <row r="329" ht="14.1" customHeight="1"/>
    <row r="330" ht="14.1" customHeight="1"/>
    <row r="331" ht="14.1" customHeight="1"/>
    <row r="332" ht="14.1" customHeight="1"/>
    <row r="333" ht="14.1" customHeight="1"/>
    <row r="334" ht="14.1" customHeight="1"/>
    <row r="335" ht="14.1" customHeight="1"/>
    <row r="336" ht="14.1" customHeight="1"/>
    <row r="337" ht="14.1" customHeight="1"/>
    <row r="338" ht="14.1" customHeight="1"/>
    <row r="339" ht="14.1" customHeight="1"/>
    <row r="340" ht="14.1" customHeight="1"/>
    <row r="341" ht="14.1" customHeight="1"/>
    <row r="342" ht="14.1" customHeight="1"/>
    <row r="343" ht="14.1" customHeight="1"/>
    <row r="344" ht="14.1" customHeight="1"/>
    <row r="345" ht="14.1" customHeight="1"/>
    <row r="346" ht="14.1" customHeight="1"/>
    <row r="347" ht="14.1" customHeight="1"/>
    <row r="348" ht="14.1" customHeight="1"/>
    <row r="349" ht="14.1" customHeight="1"/>
    <row r="350" ht="14.1" customHeight="1"/>
    <row r="351" ht="14.1" customHeight="1"/>
    <row r="352" ht="14.1" customHeight="1"/>
    <row r="353" ht="14.1" customHeight="1"/>
    <row r="354" ht="14.1" customHeight="1"/>
    <row r="355" ht="14.1" customHeight="1"/>
    <row r="356" ht="14.1" customHeight="1"/>
    <row r="357" ht="14.1" customHeight="1"/>
    <row r="358" ht="14.1" customHeight="1"/>
    <row r="359" ht="14.1" customHeight="1"/>
    <row r="360" ht="14.1" customHeight="1"/>
    <row r="361" ht="14.1" customHeight="1"/>
    <row r="362" ht="14.1" customHeight="1"/>
    <row r="363" ht="14.1" customHeight="1"/>
    <row r="364" ht="14.1" customHeight="1"/>
    <row r="365" ht="14.1" customHeight="1"/>
    <row r="366" ht="14.1" customHeight="1"/>
    <row r="367" ht="14.1" customHeight="1"/>
    <row r="368" ht="14.1" customHeight="1"/>
    <row r="369" ht="14.1" customHeight="1"/>
    <row r="370" ht="14.1" customHeight="1"/>
    <row r="371" ht="14.1" customHeight="1"/>
    <row r="372" ht="14.1" customHeight="1"/>
    <row r="373" ht="14.1" customHeight="1"/>
    <row r="374" ht="14.1" customHeight="1"/>
    <row r="375" ht="14.1" customHeight="1"/>
    <row r="376" ht="14.1" customHeight="1"/>
    <row r="377" ht="14.1" customHeight="1"/>
    <row r="378" ht="14.1" customHeight="1"/>
    <row r="379" ht="14.1" customHeight="1"/>
    <row r="380" ht="14.1" customHeight="1"/>
    <row r="381" ht="14.1" customHeight="1"/>
    <row r="382" ht="14.1" customHeight="1"/>
    <row r="383" ht="14.1" customHeight="1"/>
    <row r="384" ht="14.1" customHeight="1"/>
    <row r="385" ht="14.1" customHeight="1"/>
    <row r="386" ht="14.1" customHeight="1"/>
    <row r="387" ht="14.1" customHeight="1"/>
    <row r="388" ht="14.1" customHeight="1"/>
    <row r="389" ht="14.1" customHeight="1"/>
    <row r="390" ht="14.1" customHeight="1"/>
    <row r="391" ht="14.1" customHeight="1"/>
    <row r="392" ht="14.1" customHeight="1"/>
    <row r="393" ht="14.1" customHeight="1"/>
    <row r="394" ht="14.1" customHeight="1"/>
    <row r="395" ht="14.1" customHeight="1"/>
    <row r="396" ht="14.1" customHeight="1"/>
    <row r="397" ht="14.1" customHeight="1"/>
    <row r="398" ht="14.1" customHeight="1"/>
    <row r="399" ht="14.1" customHeight="1"/>
    <row r="400" ht="14.1" customHeight="1"/>
    <row r="401" ht="14.1" customHeight="1"/>
    <row r="402" ht="14.1" customHeight="1"/>
    <row r="403" ht="14.1" customHeight="1"/>
    <row r="404" ht="14.1" customHeight="1"/>
    <row r="405" ht="14.1" customHeight="1"/>
    <row r="406" ht="14.1" customHeight="1"/>
    <row r="407" ht="14.1" customHeight="1"/>
    <row r="408" ht="14.1" customHeight="1"/>
    <row r="409" ht="14.1" customHeight="1"/>
    <row r="410" ht="14.1" customHeight="1"/>
    <row r="411" ht="14.1" customHeight="1"/>
    <row r="412" ht="14.1" customHeight="1"/>
    <row r="413" ht="14.1" customHeight="1"/>
    <row r="414" ht="14.1" customHeight="1"/>
    <row r="415" ht="14.1" customHeight="1"/>
    <row r="416" ht="14.1" customHeight="1"/>
    <row r="417" ht="14.1" customHeight="1"/>
    <row r="418" ht="14.1" customHeight="1"/>
    <row r="419" ht="14.1" customHeight="1"/>
    <row r="420" ht="14.1" customHeight="1"/>
    <row r="421" ht="14.1" customHeight="1"/>
    <row r="422" ht="14.1" customHeight="1"/>
    <row r="423" ht="14.1" customHeight="1"/>
    <row r="424" ht="14.1" customHeight="1"/>
    <row r="425" ht="14.1" customHeight="1"/>
    <row r="426" ht="14.1" customHeight="1"/>
    <row r="427" ht="14.1" customHeight="1"/>
    <row r="428" ht="14.1" customHeight="1"/>
    <row r="429" ht="14.1" customHeight="1"/>
    <row r="430" ht="14.1" customHeight="1"/>
    <row r="431" ht="14.1" customHeight="1"/>
    <row r="432" ht="14.1" customHeight="1"/>
    <row r="433" ht="14.1" customHeight="1"/>
    <row r="434" ht="14.1" customHeight="1"/>
    <row r="435" ht="14.1" customHeight="1"/>
    <row r="436" ht="14.1" customHeight="1"/>
    <row r="437" ht="14.1" customHeight="1"/>
    <row r="438" ht="14.1" customHeight="1"/>
    <row r="439" ht="14.1" customHeight="1"/>
    <row r="440" ht="14.1" customHeight="1"/>
    <row r="441" ht="14.1" customHeight="1"/>
    <row r="442" ht="14.1" customHeight="1"/>
    <row r="443" ht="14.1" customHeight="1"/>
    <row r="444" ht="14.1" customHeight="1"/>
    <row r="445" ht="14.1" customHeight="1"/>
    <row r="446" ht="14.1" customHeight="1"/>
    <row r="447" ht="14.1" customHeight="1"/>
    <row r="448" ht="14.1" customHeight="1"/>
    <row r="449" ht="14.1" customHeight="1"/>
    <row r="450" ht="14.1" customHeight="1"/>
    <row r="451" ht="14.1" customHeight="1"/>
    <row r="452" ht="14.1" customHeight="1"/>
    <row r="453" ht="14.1" customHeight="1"/>
    <row r="454" ht="14.1" customHeight="1"/>
    <row r="455" ht="14.1" customHeight="1"/>
    <row r="456" ht="14.1" customHeight="1"/>
    <row r="457" ht="14.1" customHeight="1"/>
    <row r="458" ht="14.1" customHeight="1"/>
    <row r="459" ht="14.1" customHeight="1"/>
    <row r="460" ht="14.1" customHeight="1"/>
    <row r="461" ht="14.1" customHeight="1"/>
    <row r="462" ht="14.1" customHeight="1"/>
    <row r="463" ht="14.1" customHeight="1"/>
    <row r="464" ht="14.1" customHeight="1"/>
    <row r="465" ht="14.1" customHeight="1"/>
    <row r="466" ht="14.1" customHeight="1"/>
    <row r="467" ht="14.1" customHeight="1"/>
    <row r="468" ht="14.1" customHeight="1"/>
    <row r="469" ht="14.1" customHeight="1"/>
    <row r="470" ht="14.1" customHeight="1"/>
    <row r="471" ht="14.1" customHeight="1"/>
    <row r="472" ht="14.1" customHeight="1"/>
    <row r="473" ht="14.1" customHeight="1"/>
    <row r="474" ht="14.1" customHeight="1"/>
    <row r="475" ht="14.1" customHeight="1"/>
    <row r="476" ht="14.1" customHeight="1"/>
    <row r="477" ht="14.1" customHeight="1"/>
    <row r="478" ht="14.1" customHeight="1"/>
    <row r="479" ht="14.1" customHeight="1"/>
    <row r="480" ht="14.1" customHeight="1"/>
    <row r="481" ht="14.1" customHeight="1"/>
    <row r="482" ht="14.1" customHeight="1"/>
    <row r="483" ht="14.1" customHeight="1"/>
    <row r="484" ht="14.1" customHeight="1"/>
    <row r="485" ht="14.1" customHeight="1"/>
    <row r="486" ht="14.1" customHeight="1"/>
    <row r="487" ht="14.1" customHeight="1"/>
    <row r="488" ht="14.1" customHeight="1"/>
    <row r="489" ht="14.1" customHeight="1"/>
    <row r="490" ht="14.1" customHeight="1"/>
    <row r="491" ht="14.1" customHeight="1"/>
    <row r="492" ht="14.1" customHeight="1"/>
    <row r="493" ht="14.1" customHeight="1"/>
    <row r="494" ht="14.1" customHeight="1"/>
    <row r="495" ht="14.1" customHeight="1"/>
    <row r="496" ht="14.1" customHeight="1"/>
    <row r="497" ht="14.1" customHeight="1"/>
    <row r="498" ht="14.1" customHeight="1"/>
    <row r="499" ht="14.1" customHeight="1"/>
    <row r="500" ht="14.1" customHeight="1"/>
    <row r="501" ht="14.1" customHeight="1"/>
    <row r="502" ht="14.1" customHeight="1"/>
    <row r="503" ht="14.1" customHeight="1"/>
    <row r="504" ht="14.1" customHeight="1"/>
    <row r="505" ht="14.1" customHeight="1"/>
    <row r="506" ht="14.1" customHeight="1"/>
    <row r="507" ht="14.1" customHeight="1"/>
    <row r="508" ht="14.1" customHeight="1"/>
    <row r="509" ht="14.1" customHeight="1"/>
    <row r="510" ht="14.1" customHeight="1"/>
    <row r="511" ht="14.1" customHeight="1"/>
    <row r="512" ht="14.1" customHeight="1"/>
    <row r="513" ht="14.1" customHeight="1"/>
    <row r="514" ht="14.1" customHeight="1"/>
    <row r="515" ht="14.1" customHeight="1"/>
    <row r="516" ht="14.1" customHeight="1"/>
    <row r="517" ht="14.1" customHeight="1"/>
    <row r="518" ht="14.1" customHeight="1"/>
    <row r="519" ht="14.1" customHeight="1"/>
    <row r="520" ht="14.1" customHeight="1"/>
    <row r="521" ht="14.1" customHeight="1"/>
    <row r="522" ht="14.1" customHeight="1"/>
    <row r="523" ht="14.1" customHeight="1"/>
    <row r="524" ht="14.1" customHeight="1"/>
    <row r="525" ht="14.1" customHeight="1"/>
    <row r="526" ht="14.1" customHeight="1"/>
    <row r="527" ht="14.1" customHeight="1"/>
    <row r="528" ht="14.1" customHeight="1"/>
    <row r="529" ht="14.1" customHeight="1"/>
    <row r="530" ht="14.1" customHeight="1"/>
    <row r="531" ht="14.1" customHeight="1"/>
    <row r="532" ht="14.1" customHeight="1"/>
    <row r="533" ht="14.1" customHeight="1"/>
    <row r="534" ht="14.1" customHeight="1"/>
    <row r="535" ht="14.1" customHeight="1"/>
    <row r="536" ht="14.1" customHeight="1"/>
    <row r="537" ht="14.1" customHeight="1"/>
    <row r="538" ht="14.1" customHeight="1"/>
    <row r="539" ht="14.1" customHeight="1"/>
    <row r="540" ht="14.1" customHeight="1"/>
    <row r="541" ht="14.1" customHeight="1"/>
    <row r="542" ht="14.1" customHeight="1"/>
    <row r="543" ht="14.1" customHeight="1"/>
    <row r="544" ht="14.1" customHeight="1"/>
    <row r="545" ht="14.1" customHeight="1"/>
    <row r="546" ht="14.1" customHeight="1"/>
    <row r="547" ht="14.1" customHeight="1"/>
    <row r="548" ht="14.1" customHeight="1"/>
    <row r="549" ht="14.1" customHeight="1"/>
    <row r="550" ht="14.1" customHeight="1"/>
    <row r="551" ht="14.1" customHeight="1"/>
    <row r="552" ht="14.1" customHeight="1"/>
    <row r="553" ht="14.1" customHeight="1"/>
    <row r="554" ht="14.1" customHeight="1"/>
    <row r="555" ht="14.1" customHeight="1"/>
    <row r="556" ht="14.1" customHeight="1"/>
    <row r="557" ht="14.1" customHeight="1"/>
    <row r="558" ht="14.1" customHeight="1"/>
    <row r="559" ht="14.1" customHeight="1"/>
    <row r="560" ht="14.1" customHeight="1"/>
    <row r="561" ht="14.1" customHeight="1"/>
    <row r="562" ht="14.1" customHeight="1"/>
    <row r="563" ht="14.1" customHeight="1"/>
    <row r="564" ht="14.1" customHeight="1"/>
    <row r="565" ht="14.1" customHeight="1"/>
    <row r="566" ht="14.1" customHeight="1"/>
    <row r="567" ht="14.1" customHeight="1"/>
    <row r="568" ht="14.1" customHeight="1"/>
    <row r="569" ht="14.1" customHeight="1"/>
    <row r="570" ht="14.1" customHeight="1"/>
    <row r="571" ht="14.1" customHeight="1"/>
    <row r="572" ht="14.1" customHeight="1"/>
    <row r="573" ht="14.1" customHeight="1"/>
    <row r="574" ht="14.1" customHeight="1"/>
    <row r="575" ht="14.1" customHeight="1"/>
    <row r="576" ht="14.1" customHeight="1"/>
    <row r="577" ht="14.1" customHeight="1"/>
    <row r="578" ht="14.1" customHeight="1"/>
    <row r="579" ht="14.1" customHeight="1"/>
    <row r="580" ht="14.1" customHeight="1"/>
    <row r="581" ht="14.1" customHeight="1"/>
    <row r="582" ht="14.1" customHeight="1"/>
    <row r="583" ht="14.1" customHeight="1"/>
    <row r="584" ht="14.1" customHeight="1"/>
    <row r="585" ht="14.1" customHeight="1"/>
    <row r="586" ht="14.1" customHeight="1"/>
    <row r="587" ht="14.1" customHeight="1"/>
    <row r="588" ht="14.1" customHeight="1"/>
    <row r="589" ht="14.1" customHeight="1"/>
    <row r="590" ht="14.1" customHeight="1"/>
    <row r="591" ht="14.1" customHeight="1"/>
    <row r="592" ht="14.1" customHeight="1"/>
    <row r="593" ht="14.1" customHeight="1"/>
    <row r="594" ht="14.1" customHeight="1"/>
    <row r="595" ht="14.1" customHeight="1"/>
    <row r="596" ht="14.1" customHeight="1"/>
    <row r="597" ht="14.1" customHeight="1"/>
    <row r="598" ht="14.1" customHeight="1"/>
    <row r="599" ht="14.1" customHeight="1"/>
    <row r="600" ht="14.1" customHeight="1"/>
    <row r="601" ht="14.1" customHeight="1"/>
    <row r="602" ht="14.1" customHeight="1"/>
    <row r="603" ht="14.1" customHeight="1"/>
    <row r="604" ht="14.1" customHeight="1"/>
    <row r="605" ht="14.1" customHeight="1"/>
    <row r="606" ht="14.1" customHeight="1"/>
    <row r="607" ht="14.1" customHeight="1"/>
    <row r="608" ht="14.1" customHeight="1"/>
    <row r="609" ht="14.1" customHeight="1"/>
    <row r="610" ht="14.1" customHeight="1"/>
    <row r="611" ht="14.1" customHeight="1"/>
    <row r="612" ht="14.1" customHeight="1"/>
    <row r="613" ht="14.1" customHeight="1"/>
    <row r="614" ht="14.1" customHeight="1"/>
    <row r="615" ht="14.1" customHeight="1"/>
    <row r="616" ht="14.1" customHeight="1"/>
    <row r="617" ht="14.1" customHeight="1"/>
    <row r="618" ht="14.1" customHeight="1"/>
    <row r="619" ht="14.1" customHeight="1"/>
    <row r="620" ht="14.1" customHeight="1"/>
    <row r="621" ht="14.1" customHeight="1"/>
    <row r="622" ht="14.1" customHeight="1"/>
    <row r="623" ht="14.1" customHeight="1"/>
    <row r="624" ht="14.1" customHeight="1"/>
    <row r="625" ht="14.1" customHeight="1"/>
    <row r="626" ht="14.1" customHeight="1"/>
    <row r="627" ht="14.1" customHeight="1"/>
    <row r="628" ht="14.1" customHeight="1"/>
    <row r="629" ht="14.1" customHeight="1"/>
    <row r="630" ht="14.1" customHeight="1"/>
    <row r="631" ht="14.1" customHeight="1"/>
    <row r="632" ht="14.1" customHeight="1"/>
    <row r="633" ht="14.1" customHeight="1"/>
    <row r="634" ht="14.1" customHeight="1"/>
    <row r="635" ht="14.1" customHeight="1"/>
    <row r="636" ht="14.1" customHeight="1"/>
    <row r="637" ht="14.1" customHeight="1"/>
    <row r="638" ht="14.1" customHeight="1"/>
    <row r="639" ht="14.1" customHeight="1"/>
    <row r="640" ht="14.1" customHeight="1"/>
    <row r="641" ht="14.1" customHeight="1"/>
    <row r="642" ht="14.1" customHeight="1"/>
    <row r="643" ht="14.1" customHeight="1"/>
    <row r="644" ht="14.1" customHeight="1"/>
    <row r="645" ht="14.1" customHeight="1"/>
    <row r="646" ht="14.1" customHeight="1"/>
    <row r="647" ht="14.1" customHeight="1"/>
    <row r="648" ht="14.1" customHeight="1"/>
    <row r="649" ht="14.1" customHeight="1"/>
    <row r="650" ht="14.1" customHeight="1"/>
    <row r="651" ht="14.1" customHeight="1"/>
    <row r="652" ht="14.1" customHeight="1"/>
    <row r="653" ht="14.1" customHeight="1"/>
    <row r="654" ht="14.1" customHeight="1"/>
    <row r="655" ht="14.1" customHeight="1"/>
    <row r="656" ht="14.1" customHeight="1"/>
    <row r="657" ht="14.1" customHeight="1"/>
    <row r="658" ht="14.1" customHeight="1"/>
    <row r="659" ht="14.1" customHeight="1"/>
    <row r="660" ht="14.1" customHeight="1"/>
    <row r="661" ht="14.1" customHeight="1"/>
    <row r="662" ht="14.1" customHeight="1"/>
    <row r="663" ht="14.1" customHeight="1"/>
    <row r="664" ht="14.1" customHeight="1"/>
    <row r="665" ht="14.1" customHeight="1"/>
    <row r="666" ht="14.1" customHeight="1"/>
    <row r="667" ht="14.1" customHeight="1"/>
    <row r="668" ht="14.1" customHeight="1"/>
    <row r="669" ht="14.1" customHeight="1"/>
    <row r="670" ht="14.1" customHeight="1"/>
    <row r="671" ht="14.1" customHeight="1"/>
    <row r="672" ht="14.1" customHeight="1"/>
    <row r="673" ht="14.1" customHeight="1"/>
    <row r="674" ht="14.1" customHeight="1"/>
    <row r="675" ht="14.1" customHeight="1"/>
    <row r="676" ht="14.1" customHeight="1"/>
    <row r="677" ht="14.1" customHeight="1"/>
    <row r="678" ht="14.1" customHeight="1"/>
    <row r="679" ht="14.1" customHeight="1"/>
    <row r="680" ht="14.1" customHeight="1"/>
    <row r="681" ht="14.1" customHeight="1"/>
    <row r="682" ht="14.1" customHeight="1"/>
    <row r="683" ht="14.1" customHeight="1"/>
    <row r="684" ht="14.1" customHeight="1"/>
    <row r="685" ht="14.1" customHeight="1"/>
    <row r="686" ht="14.1" customHeight="1"/>
    <row r="687" ht="14.1" customHeight="1"/>
    <row r="688" ht="14.1" customHeight="1"/>
    <row r="689" ht="14.1" customHeight="1"/>
    <row r="690" ht="14.1" customHeight="1"/>
    <row r="691" ht="14.1" customHeight="1"/>
    <row r="692" ht="14.1" customHeight="1"/>
    <row r="693" ht="14.1" customHeight="1"/>
    <row r="694" ht="14.1" customHeight="1"/>
    <row r="695" ht="14.1" customHeight="1"/>
    <row r="696" ht="14.1" customHeight="1"/>
    <row r="697" ht="14.1" customHeight="1"/>
    <row r="698" ht="14.1" customHeight="1"/>
    <row r="699" ht="14.1" customHeight="1"/>
    <row r="700" ht="14.1" customHeight="1"/>
    <row r="701" ht="14.1" customHeight="1"/>
    <row r="702" ht="14.1" customHeight="1"/>
    <row r="703" ht="14.1" customHeight="1"/>
    <row r="704" ht="14.1" customHeight="1"/>
    <row r="705" ht="14.1" customHeight="1"/>
    <row r="706" ht="14.1" customHeight="1"/>
    <row r="707" ht="14.1" customHeight="1"/>
    <row r="708" ht="14.1" customHeight="1"/>
    <row r="709" ht="14.1" customHeight="1"/>
    <row r="710" ht="14.1" customHeight="1"/>
    <row r="711" ht="14.1" customHeight="1"/>
    <row r="712" ht="14.1" customHeight="1"/>
    <row r="713" ht="14.1" customHeight="1"/>
    <row r="714" ht="14.1" customHeight="1"/>
    <row r="715" ht="14.1" customHeight="1"/>
    <row r="716" ht="14.1" customHeight="1"/>
    <row r="717" ht="14.1" customHeight="1"/>
    <row r="718" ht="14.1" customHeight="1"/>
    <row r="719" ht="14.1" customHeight="1"/>
    <row r="720" ht="14.1" customHeight="1"/>
    <row r="721" ht="14.1" customHeight="1"/>
    <row r="722" ht="14.1" customHeight="1"/>
    <row r="723" ht="14.1" customHeight="1"/>
    <row r="724" ht="14.1" customHeight="1"/>
    <row r="725" ht="14.1" customHeight="1"/>
    <row r="726" ht="14.1" customHeight="1"/>
    <row r="727" ht="14.1" customHeight="1"/>
    <row r="728" ht="14.1" customHeight="1"/>
    <row r="729" ht="14.1" customHeight="1"/>
    <row r="730" ht="14.1" customHeight="1"/>
    <row r="731" ht="14.1" customHeight="1"/>
    <row r="732" ht="14.1" customHeight="1"/>
    <row r="733" ht="14.1" customHeight="1"/>
    <row r="734" ht="14.1" customHeight="1"/>
    <row r="735" ht="14.1" customHeight="1"/>
    <row r="736" ht="14.1" customHeight="1"/>
    <row r="737" ht="14.1" customHeight="1"/>
    <row r="738" ht="14.1" customHeight="1"/>
    <row r="739" ht="14.1" customHeight="1"/>
    <row r="740" ht="14.1" customHeight="1"/>
    <row r="741" ht="14.1" customHeight="1"/>
    <row r="742" ht="14.1" customHeight="1"/>
    <row r="743" ht="14.1" customHeight="1"/>
    <row r="744" ht="14.1" customHeight="1"/>
    <row r="745" ht="14.1" customHeight="1"/>
    <row r="746" ht="14.1" customHeight="1"/>
    <row r="747" ht="14.1" customHeight="1"/>
    <row r="748" ht="14.1" customHeight="1"/>
    <row r="749" ht="14.1" customHeight="1"/>
    <row r="750" ht="14.1" customHeight="1"/>
    <row r="751" ht="14.1" customHeight="1"/>
    <row r="752" ht="14.1" customHeight="1"/>
    <row r="753" ht="14.1" customHeight="1"/>
    <row r="754" ht="14.1" customHeight="1"/>
    <row r="755" ht="14.1" customHeight="1"/>
    <row r="756" ht="14.1" customHeight="1"/>
    <row r="757" ht="14.1" customHeight="1"/>
    <row r="758" ht="14.1" customHeight="1"/>
    <row r="759" ht="14.1" customHeight="1"/>
    <row r="760" ht="14.1" customHeight="1"/>
    <row r="761" ht="14.1" customHeight="1"/>
    <row r="762" ht="14.1" customHeight="1"/>
    <row r="763" ht="14.1" customHeight="1"/>
    <row r="764" ht="14.1" customHeight="1"/>
    <row r="765" ht="14.1" customHeight="1"/>
    <row r="766" ht="14.1" customHeight="1"/>
    <row r="767" ht="14.1" customHeight="1"/>
    <row r="768" ht="14.1" customHeight="1"/>
    <row r="769" ht="14.1" customHeight="1"/>
    <row r="770" ht="14.1" customHeight="1"/>
    <row r="771" ht="14.1" customHeight="1"/>
    <row r="772" ht="14.1" customHeight="1"/>
    <row r="773" ht="14.1" customHeight="1"/>
    <row r="774" ht="14.1" customHeight="1"/>
    <row r="775" ht="14.1" customHeight="1"/>
    <row r="776" ht="14.1" customHeight="1"/>
    <row r="777" ht="14.1" customHeight="1"/>
    <row r="778" ht="14.1" customHeight="1"/>
    <row r="779" ht="14.1" customHeight="1"/>
    <row r="780" ht="14.1" customHeight="1"/>
    <row r="781" ht="14.1" customHeight="1"/>
    <row r="782" ht="14.1" customHeight="1"/>
    <row r="783" ht="14.1" customHeight="1"/>
    <row r="784" ht="14.1" customHeight="1"/>
    <row r="785" ht="14.1" customHeight="1"/>
    <row r="786" ht="14.1" customHeight="1"/>
    <row r="787" ht="14.1" customHeight="1"/>
    <row r="788" ht="14.1" customHeight="1"/>
    <row r="789" ht="14.1" customHeight="1"/>
    <row r="790" ht="14.1" customHeight="1"/>
    <row r="791" ht="14.1" customHeight="1"/>
    <row r="792" ht="14.1" customHeight="1"/>
    <row r="793" ht="14.1" customHeight="1"/>
  </sheetData>
  <pageMargins left="0.61" right="0.16" top="0.87" bottom="0.21" header="0.16" footer="0.16"/>
  <pageSetup paperSize="8" scale="21" orientation="portrait"/>
  <headerFooter alignWithMargins="0">
    <oddFooter>&amp;L_x000D_&amp;1#&amp;"Arial"&amp;7&amp;KDAD4CE Public&amp;C&amp;"Verdana"&amp;10 &amp;KC1C1C1_x000D_# Restricted</oddFooter>
  </headerFooter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700-000000000000}">
  <sheetPr codeName="Sheet31">
    <tabColor rgb="FF0070C0"/>
    <pageSetUpPr fitToPage="1"/>
  </sheetPr>
  <dimension ref="A1:U793"/>
  <sheetViews>
    <sheetView zoomScale="80" zoomScaleNormal="80" workbookViewId="0">
      <pane ySplit="4" topLeftCell="A5" activePane="bottomLeft" state="frozen"/>
      <selection activeCell="A16" sqref="A16"/>
      <selection pane="bottomLeft" activeCell="A16" sqref="A16"/>
    </sheetView>
  </sheetViews>
  <sheetFormatPr defaultColWidth="8.85546875" defaultRowHeight="12.75"/>
  <cols>
    <col min="1" max="1" width="4.140625" style="3" customWidth="1"/>
    <col min="2" max="3" width="8.5703125" style="20" customWidth="1"/>
    <col min="4" max="4" width="14.5703125" style="3" customWidth="1"/>
    <col min="5" max="5" width="20.5703125" style="20" customWidth="1"/>
    <col min="6" max="6" width="8.5703125" style="3" customWidth="1"/>
    <col min="7" max="7" width="32.5703125" style="2" customWidth="1"/>
    <col min="8" max="8" width="18.5703125" style="3" customWidth="1"/>
    <col min="9" max="9" width="62.5703125" style="2" customWidth="1"/>
    <col min="10" max="12" width="9.5703125" style="3" customWidth="1"/>
    <col min="13" max="13" width="10.5703125" style="3" customWidth="1"/>
    <col min="14" max="14" width="8.5703125" style="3" customWidth="1"/>
    <col min="15" max="15" width="10.5703125" style="3" customWidth="1"/>
    <col min="16" max="16" width="5.5703125" style="3" customWidth="1"/>
    <col min="17" max="17" width="1.5703125" style="2" customWidth="1"/>
    <col min="18" max="18" width="10.5703125" style="30" customWidth="1"/>
    <col min="19" max="19" width="1.5703125" style="2" customWidth="1"/>
    <col min="20" max="21" width="10.5703125" style="2" customWidth="1"/>
    <col min="22" max="220" width="8.85546875" style="2" customWidth="1"/>
    <col min="221" max="221" width="8.140625" style="2" customWidth="1"/>
    <col min="222" max="222" width="14.42578125" style="2" customWidth="1"/>
    <col min="223" max="223" width="37.42578125" style="2" customWidth="1"/>
    <col min="224" max="224" width="63.140625" style="2" customWidth="1"/>
    <col min="225" max="225" width="20" style="2" customWidth="1"/>
    <col min="226" max="226" width="11.140625" style="2" customWidth="1"/>
    <col min="227" max="227" width="10.85546875" style="2" customWidth="1"/>
    <col min="228" max="228" width="21" style="2" customWidth="1"/>
    <col min="229" max="229" width="10.85546875" style="2" customWidth="1"/>
    <col min="230" max="230" width="17.42578125" style="2" customWidth="1"/>
    <col min="231" max="231" width="14.85546875" style="2" customWidth="1"/>
    <col min="232" max="232" width="15" style="2" customWidth="1"/>
    <col min="233" max="233" width="14.85546875" style="2" customWidth="1"/>
    <col min="234" max="234" width="7.140625" style="2" customWidth="1"/>
    <col min="235" max="236" width="20.140625" style="2" customWidth="1"/>
    <col min="237" max="237" width="18.42578125" style="2" customWidth="1"/>
    <col min="238" max="238" width="9.140625" style="2" customWidth="1"/>
    <col min="239" max="239" width="12" style="2" customWidth="1"/>
    <col min="240" max="240" width="14.85546875" style="2" customWidth="1"/>
    <col min="241" max="241" width="22.42578125" style="2" customWidth="1"/>
    <col min="242" max="242" width="14.85546875" style="2" customWidth="1"/>
    <col min="243" max="243" width="7.140625" style="2" customWidth="1"/>
    <col min="244" max="244" width="20.140625" style="2" customWidth="1"/>
    <col min="245" max="476" width="8.85546875" style="2" customWidth="1"/>
    <col min="477" max="477" width="8.140625" style="2" customWidth="1"/>
    <col min="478" max="478" width="14.42578125" style="2" customWidth="1"/>
    <col min="479" max="479" width="37.42578125" style="2" customWidth="1"/>
    <col min="480" max="480" width="63.140625" style="2" customWidth="1"/>
    <col min="481" max="481" width="20" style="2" customWidth="1"/>
    <col min="482" max="482" width="11.140625" style="2" customWidth="1"/>
    <col min="483" max="483" width="10.85546875" style="2" customWidth="1"/>
    <col min="484" max="484" width="21" style="2" customWidth="1"/>
    <col min="485" max="485" width="10.85546875" style="2" customWidth="1"/>
    <col min="486" max="486" width="17.42578125" style="2" customWidth="1"/>
    <col min="487" max="487" width="14.85546875" style="2" customWidth="1"/>
    <col min="488" max="488" width="15" style="2" customWidth="1"/>
    <col min="489" max="489" width="14.85546875" style="2" customWidth="1"/>
    <col min="490" max="490" width="7.140625" style="2" customWidth="1"/>
    <col min="491" max="492" width="20.140625" style="2" customWidth="1"/>
    <col min="493" max="493" width="18.42578125" style="2" customWidth="1"/>
    <col min="494" max="494" width="9.140625" style="2" customWidth="1"/>
    <col min="495" max="495" width="12" style="2" customWidth="1"/>
    <col min="496" max="496" width="14.85546875" style="2" customWidth="1"/>
    <col min="497" max="497" width="22.42578125" style="2" customWidth="1"/>
    <col min="498" max="498" width="14.85546875" style="2" customWidth="1"/>
    <col min="499" max="499" width="7.140625" style="2" customWidth="1"/>
    <col min="500" max="500" width="20.140625" style="2" customWidth="1"/>
    <col min="501" max="732" width="8.85546875" style="2" customWidth="1"/>
    <col min="733" max="733" width="8.140625" style="2" customWidth="1"/>
    <col min="734" max="734" width="14.42578125" style="2" customWidth="1"/>
    <col min="735" max="735" width="37.42578125" style="2" customWidth="1"/>
    <col min="736" max="736" width="63.140625" style="2" customWidth="1"/>
    <col min="737" max="737" width="20" style="2" customWidth="1"/>
    <col min="738" max="738" width="11.140625" style="2" customWidth="1"/>
    <col min="739" max="739" width="10.85546875" style="2" customWidth="1"/>
    <col min="740" max="740" width="21" style="2" customWidth="1"/>
    <col min="741" max="741" width="10.85546875" style="2" customWidth="1"/>
    <col min="742" max="742" width="17.42578125" style="2" customWidth="1"/>
    <col min="743" max="743" width="14.85546875" style="2" customWidth="1"/>
    <col min="744" max="744" width="15" style="2" customWidth="1"/>
    <col min="745" max="745" width="14.85546875" style="2" customWidth="1"/>
    <col min="746" max="746" width="7.140625" style="2" customWidth="1"/>
    <col min="747" max="748" width="20.140625" style="2" customWidth="1"/>
    <col min="749" max="749" width="18.42578125" style="2" customWidth="1"/>
    <col min="750" max="750" width="9.140625" style="2" customWidth="1"/>
    <col min="751" max="751" width="12" style="2" customWidth="1"/>
    <col min="752" max="752" width="14.85546875" style="2" customWidth="1"/>
    <col min="753" max="753" width="22.42578125" style="2" customWidth="1"/>
    <col min="754" max="754" width="14.85546875" style="2" customWidth="1"/>
    <col min="755" max="755" width="7.140625" style="2" customWidth="1"/>
    <col min="756" max="756" width="20.140625" style="2" customWidth="1"/>
    <col min="757" max="988" width="8.85546875" style="2" customWidth="1"/>
    <col min="989" max="989" width="8.140625" style="2" customWidth="1"/>
    <col min="990" max="990" width="14.42578125" style="2" customWidth="1"/>
    <col min="991" max="991" width="37.42578125" style="2" customWidth="1"/>
    <col min="992" max="992" width="63.140625" style="2" customWidth="1"/>
    <col min="993" max="993" width="20" style="2" customWidth="1"/>
    <col min="994" max="994" width="11.140625" style="2" customWidth="1"/>
    <col min="995" max="995" width="10.85546875" style="2" customWidth="1"/>
    <col min="996" max="996" width="21" style="2" customWidth="1"/>
    <col min="997" max="997" width="10.85546875" style="2" customWidth="1"/>
    <col min="998" max="998" width="17.42578125" style="2" customWidth="1"/>
    <col min="999" max="999" width="14.85546875" style="2" customWidth="1"/>
    <col min="1000" max="1000" width="15" style="2" customWidth="1"/>
    <col min="1001" max="1001" width="14.85546875" style="2" customWidth="1"/>
    <col min="1002" max="1002" width="7.140625" style="2" customWidth="1"/>
    <col min="1003" max="1004" width="20.140625" style="2" customWidth="1"/>
    <col min="1005" max="1005" width="18.42578125" style="2" customWidth="1"/>
    <col min="1006" max="1006" width="9.140625" style="2" customWidth="1"/>
    <col min="1007" max="1007" width="12" style="2" customWidth="1"/>
    <col min="1008" max="1008" width="14.85546875" style="2" customWidth="1"/>
    <col min="1009" max="1009" width="22.42578125" style="2" customWidth="1"/>
    <col min="1010" max="1010" width="14.85546875" style="2" customWidth="1"/>
    <col min="1011" max="1011" width="7.140625" style="2" customWidth="1"/>
    <col min="1012" max="1012" width="20.140625" style="2" customWidth="1"/>
    <col min="1013" max="1244" width="8.85546875" style="2" customWidth="1"/>
    <col min="1245" max="1245" width="8.140625" style="2" customWidth="1"/>
    <col min="1246" max="1246" width="14.42578125" style="2" customWidth="1"/>
    <col min="1247" max="1247" width="37.42578125" style="2" customWidth="1"/>
    <col min="1248" max="1248" width="63.140625" style="2" customWidth="1"/>
    <col min="1249" max="1249" width="20" style="2" customWidth="1"/>
    <col min="1250" max="1250" width="11.140625" style="2" customWidth="1"/>
    <col min="1251" max="1251" width="10.85546875" style="2" customWidth="1"/>
    <col min="1252" max="1252" width="21" style="2" customWidth="1"/>
    <col min="1253" max="1253" width="10.85546875" style="2" customWidth="1"/>
    <col min="1254" max="1254" width="17.42578125" style="2" customWidth="1"/>
    <col min="1255" max="1255" width="14.85546875" style="2" customWidth="1"/>
    <col min="1256" max="1256" width="15" style="2" customWidth="1"/>
    <col min="1257" max="1257" width="14.85546875" style="2" customWidth="1"/>
    <col min="1258" max="1258" width="7.140625" style="2" customWidth="1"/>
    <col min="1259" max="1260" width="20.140625" style="2" customWidth="1"/>
    <col min="1261" max="1261" width="18.42578125" style="2" customWidth="1"/>
    <col min="1262" max="1262" width="9.140625" style="2" customWidth="1"/>
    <col min="1263" max="1263" width="12" style="2" customWidth="1"/>
    <col min="1264" max="1264" width="14.85546875" style="2" customWidth="1"/>
    <col min="1265" max="1265" width="22.42578125" style="2" customWidth="1"/>
    <col min="1266" max="1266" width="14.85546875" style="2" customWidth="1"/>
    <col min="1267" max="1267" width="7.140625" style="2" customWidth="1"/>
    <col min="1268" max="1268" width="20.140625" style="2" customWidth="1"/>
    <col min="1269" max="1500" width="8.85546875" style="2" customWidth="1"/>
    <col min="1501" max="1501" width="8.140625" style="2" customWidth="1"/>
    <col min="1502" max="1502" width="14.42578125" style="2" customWidth="1"/>
    <col min="1503" max="1503" width="37.42578125" style="2" customWidth="1"/>
    <col min="1504" max="1504" width="63.140625" style="2" customWidth="1"/>
    <col min="1505" max="1505" width="20" style="2" customWidth="1"/>
    <col min="1506" max="1506" width="11.140625" style="2" customWidth="1"/>
    <col min="1507" max="1507" width="10.85546875" style="2" customWidth="1"/>
    <col min="1508" max="1508" width="21" style="2" customWidth="1"/>
    <col min="1509" max="1509" width="10.85546875" style="2" customWidth="1"/>
    <col min="1510" max="1510" width="17.42578125" style="2" customWidth="1"/>
    <col min="1511" max="1511" width="14.85546875" style="2" customWidth="1"/>
    <col min="1512" max="1512" width="15" style="2" customWidth="1"/>
    <col min="1513" max="1513" width="14.85546875" style="2" customWidth="1"/>
    <col min="1514" max="1514" width="7.140625" style="2" customWidth="1"/>
    <col min="1515" max="1516" width="20.140625" style="2" customWidth="1"/>
    <col min="1517" max="1517" width="18.42578125" style="2" customWidth="1"/>
    <col min="1518" max="1518" width="9.140625" style="2" customWidth="1"/>
    <col min="1519" max="1519" width="12" style="2" customWidth="1"/>
    <col min="1520" max="1520" width="14.85546875" style="2" customWidth="1"/>
    <col min="1521" max="1521" width="22.42578125" style="2" customWidth="1"/>
    <col min="1522" max="1522" width="14.85546875" style="2" customWidth="1"/>
    <col min="1523" max="1523" width="7.140625" style="2" customWidth="1"/>
    <col min="1524" max="1524" width="20.140625" style="2" customWidth="1"/>
    <col min="1525" max="1756" width="8.85546875" style="2" customWidth="1"/>
    <col min="1757" max="1757" width="8.140625" style="2" customWidth="1"/>
    <col min="1758" max="1758" width="14.42578125" style="2" customWidth="1"/>
    <col min="1759" max="1759" width="37.42578125" style="2" customWidth="1"/>
    <col min="1760" max="1760" width="63.140625" style="2" customWidth="1"/>
    <col min="1761" max="1761" width="20" style="2" customWidth="1"/>
    <col min="1762" max="1762" width="11.140625" style="2" customWidth="1"/>
    <col min="1763" max="1763" width="10.85546875" style="2" customWidth="1"/>
    <col min="1764" max="1764" width="21" style="2" customWidth="1"/>
    <col min="1765" max="1765" width="10.85546875" style="2" customWidth="1"/>
    <col min="1766" max="1766" width="17.42578125" style="2" customWidth="1"/>
    <col min="1767" max="1767" width="14.85546875" style="2" customWidth="1"/>
    <col min="1768" max="1768" width="15" style="2" customWidth="1"/>
    <col min="1769" max="1769" width="14.85546875" style="2" customWidth="1"/>
    <col min="1770" max="1770" width="7.140625" style="2" customWidth="1"/>
    <col min="1771" max="1772" width="20.140625" style="2" customWidth="1"/>
    <col min="1773" max="1773" width="18.42578125" style="2" customWidth="1"/>
    <col min="1774" max="1774" width="9.140625" style="2" customWidth="1"/>
    <col min="1775" max="1775" width="12" style="2" customWidth="1"/>
    <col min="1776" max="1776" width="14.85546875" style="2" customWidth="1"/>
    <col min="1777" max="1777" width="22.42578125" style="2" customWidth="1"/>
    <col min="1778" max="1778" width="14.85546875" style="2" customWidth="1"/>
    <col min="1779" max="1779" width="7.140625" style="2" customWidth="1"/>
    <col min="1780" max="1780" width="20.140625" style="2" customWidth="1"/>
    <col min="1781" max="2012" width="8.85546875" style="2" customWidth="1"/>
    <col min="2013" max="2013" width="8.140625" style="2" customWidth="1"/>
    <col min="2014" max="2014" width="14.42578125" style="2" customWidth="1"/>
    <col min="2015" max="2015" width="37.42578125" style="2" customWidth="1"/>
    <col min="2016" max="2016" width="63.140625" style="2" customWidth="1"/>
    <col min="2017" max="2017" width="20" style="2" customWidth="1"/>
    <col min="2018" max="2018" width="11.140625" style="2" customWidth="1"/>
    <col min="2019" max="2019" width="10.85546875" style="2" customWidth="1"/>
    <col min="2020" max="2020" width="21" style="2" customWidth="1"/>
    <col min="2021" max="2021" width="10.85546875" style="2" customWidth="1"/>
    <col min="2022" max="2022" width="17.42578125" style="2" customWidth="1"/>
    <col min="2023" max="2023" width="14.85546875" style="2" customWidth="1"/>
    <col min="2024" max="2024" width="15" style="2" customWidth="1"/>
    <col min="2025" max="2025" width="14.85546875" style="2" customWidth="1"/>
    <col min="2026" max="2026" width="7.140625" style="2" customWidth="1"/>
    <col min="2027" max="2028" width="20.140625" style="2" customWidth="1"/>
    <col min="2029" max="2029" width="18.42578125" style="2" customWidth="1"/>
    <col min="2030" max="2030" width="9.140625" style="2" customWidth="1"/>
    <col min="2031" max="2031" width="12" style="2" customWidth="1"/>
    <col min="2032" max="2032" width="14.85546875" style="2" customWidth="1"/>
    <col min="2033" max="2033" width="22.42578125" style="2" customWidth="1"/>
    <col min="2034" max="2034" width="14.85546875" style="2" customWidth="1"/>
    <col min="2035" max="2035" width="7.140625" style="2" customWidth="1"/>
    <col min="2036" max="2036" width="20.140625" style="2" customWidth="1"/>
    <col min="2037" max="2268" width="8.85546875" style="2" customWidth="1"/>
    <col min="2269" max="2269" width="8.140625" style="2" customWidth="1"/>
    <col min="2270" max="2270" width="14.42578125" style="2" customWidth="1"/>
    <col min="2271" max="2271" width="37.42578125" style="2" customWidth="1"/>
    <col min="2272" max="2272" width="63.140625" style="2" customWidth="1"/>
    <col min="2273" max="2273" width="20" style="2" customWidth="1"/>
    <col min="2274" max="2274" width="11.140625" style="2" customWidth="1"/>
    <col min="2275" max="2275" width="10.85546875" style="2" customWidth="1"/>
    <col min="2276" max="2276" width="21" style="2" customWidth="1"/>
    <col min="2277" max="2277" width="10.85546875" style="2" customWidth="1"/>
    <col min="2278" max="2278" width="17.42578125" style="2" customWidth="1"/>
    <col min="2279" max="2279" width="14.85546875" style="2" customWidth="1"/>
    <col min="2280" max="2280" width="15" style="2" customWidth="1"/>
    <col min="2281" max="2281" width="14.85546875" style="2" customWidth="1"/>
    <col min="2282" max="2282" width="7.140625" style="2" customWidth="1"/>
    <col min="2283" max="2284" width="20.140625" style="2" customWidth="1"/>
    <col min="2285" max="2285" width="18.42578125" style="2" customWidth="1"/>
    <col min="2286" max="2286" width="9.140625" style="2" customWidth="1"/>
    <col min="2287" max="2287" width="12" style="2" customWidth="1"/>
    <col min="2288" max="2288" width="14.85546875" style="2" customWidth="1"/>
    <col min="2289" max="2289" width="22.42578125" style="2" customWidth="1"/>
    <col min="2290" max="2290" width="14.85546875" style="2" customWidth="1"/>
    <col min="2291" max="2291" width="7.140625" style="2" customWidth="1"/>
    <col min="2292" max="2292" width="20.140625" style="2" customWidth="1"/>
    <col min="2293" max="2524" width="8.85546875" style="2" customWidth="1"/>
    <col min="2525" max="2525" width="8.140625" style="2" customWidth="1"/>
    <col min="2526" max="2526" width="14.42578125" style="2" customWidth="1"/>
    <col min="2527" max="2527" width="37.42578125" style="2" customWidth="1"/>
    <col min="2528" max="2528" width="63.140625" style="2" customWidth="1"/>
    <col min="2529" max="2529" width="20" style="2" customWidth="1"/>
    <col min="2530" max="2530" width="11.140625" style="2" customWidth="1"/>
    <col min="2531" max="2531" width="10.85546875" style="2" customWidth="1"/>
    <col min="2532" max="2532" width="21" style="2" customWidth="1"/>
    <col min="2533" max="2533" width="10.85546875" style="2" customWidth="1"/>
    <col min="2534" max="2534" width="17.42578125" style="2" customWidth="1"/>
    <col min="2535" max="2535" width="14.85546875" style="2" customWidth="1"/>
    <col min="2536" max="2536" width="15" style="2" customWidth="1"/>
    <col min="2537" max="2537" width="14.85546875" style="2" customWidth="1"/>
    <col min="2538" max="2538" width="7.140625" style="2" customWidth="1"/>
    <col min="2539" max="2540" width="20.140625" style="2" customWidth="1"/>
    <col min="2541" max="2541" width="18.42578125" style="2" customWidth="1"/>
    <col min="2542" max="2542" width="9.140625" style="2" customWidth="1"/>
    <col min="2543" max="2543" width="12" style="2" customWidth="1"/>
    <col min="2544" max="2544" width="14.85546875" style="2" customWidth="1"/>
    <col min="2545" max="2545" width="22.42578125" style="2" customWidth="1"/>
    <col min="2546" max="2546" width="14.85546875" style="2" customWidth="1"/>
    <col min="2547" max="2547" width="7.140625" style="2" customWidth="1"/>
    <col min="2548" max="2548" width="20.140625" style="2" customWidth="1"/>
    <col min="2549" max="2780" width="8.85546875" style="2" customWidth="1"/>
    <col min="2781" max="2781" width="8.140625" style="2" customWidth="1"/>
    <col min="2782" max="2782" width="14.42578125" style="2" customWidth="1"/>
    <col min="2783" max="2783" width="37.42578125" style="2" customWidth="1"/>
    <col min="2784" max="2784" width="63.140625" style="2" customWidth="1"/>
    <col min="2785" max="2785" width="20" style="2" customWidth="1"/>
    <col min="2786" max="2786" width="11.140625" style="2" customWidth="1"/>
    <col min="2787" max="2787" width="10.85546875" style="2" customWidth="1"/>
    <col min="2788" max="2788" width="21" style="2" customWidth="1"/>
    <col min="2789" max="2789" width="10.85546875" style="2" customWidth="1"/>
    <col min="2790" max="2790" width="17.42578125" style="2" customWidth="1"/>
    <col min="2791" max="2791" width="14.85546875" style="2" customWidth="1"/>
    <col min="2792" max="2792" width="15" style="2" customWidth="1"/>
    <col min="2793" max="2793" width="14.85546875" style="2" customWidth="1"/>
    <col min="2794" max="2794" width="7.140625" style="2" customWidth="1"/>
    <col min="2795" max="2796" width="20.140625" style="2" customWidth="1"/>
    <col min="2797" max="2797" width="18.42578125" style="2" customWidth="1"/>
    <col min="2798" max="2798" width="9.140625" style="2" customWidth="1"/>
    <col min="2799" max="2799" width="12" style="2" customWidth="1"/>
    <col min="2800" max="2800" width="14.85546875" style="2" customWidth="1"/>
    <col min="2801" max="2801" width="22.42578125" style="2" customWidth="1"/>
    <col min="2802" max="2802" width="14.85546875" style="2" customWidth="1"/>
    <col min="2803" max="2803" width="7.140625" style="2" customWidth="1"/>
    <col min="2804" max="2804" width="20.140625" style="2" customWidth="1"/>
    <col min="2805" max="3036" width="8.85546875" style="2" customWidth="1"/>
    <col min="3037" max="3037" width="8.140625" style="2" customWidth="1"/>
    <col min="3038" max="3038" width="14.42578125" style="2" customWidth="1"/>
    <col min="3039" max="3039" width="37.42578125" style="2" customWidth="1"/>
    <col min="3040" max="3040" width="63.140625" style="2" customWidth="1"/>
    <col min="3041" max="3041" width="20" style="2" customWidth="1"/>
    <col min="3042" max="3042" width="11.140625" style="2" customWidth="1"/>
    <col min="3043" max="3043" width="10.85546875" style="2" customWidth="1"/>
    <col min="3044" max="3044" width="21" style="2" customWidth="1"/>
    <col min="3045" max="3045" width="10.85546875" style="2" customWidth="1"/>
    <col min="3046" max="3046" width="17.42578125" style="2" customWidth="1"/>
    <col min="3047" max="3047" width="14.85546875" style="2" customWidth="1"/>
    <col min="3048" max="3048" width="15" style="2" customWidth="1"/>
    <col min="3049" max="3049" width="14.85546875" style="2" customWidth="1"/>
    <col min="3050" max="3050" width="7.140625" style="2" customWidth="1"/>
    <col min="3051" max="3052" width="20.140625" style="2" customWidth="1"/>
    <col min="3053" max="3053" width="18.42578125" style="2" customWidth="1"/>
    <col min="3054" max="3054" width="9.140625" style="2" customWidth="1"/>
    <col min="3055" max="3055" width="12" style="2" customWidth="1"/>
    <col min="3056" max="3056" width="14.85546875" style="2" customWidth="1"/>
    <col min="3057" max="3057" width="22.42578125" style="2" customWidth="1"/>
    <col min="3058" max="3058" width="14.85546875" style="2" customWidth="1"/>
    <col min="3059" max="3059" width="7.140625" style="2" customWidth="1"/>
    <col min="3060" max="3060" width="20.140625" style="2" customWidth="1"/>
    <col min="3061" max="3292" width="8.85546875" style="2" customWidth="1"/>
    <col min="3293" max="3293" width="8.140625" style="2" customWidth="1"/>
    <col min="3294" max="3294" width="14.42578125" style="2" customWidth="1"/>
    <col min="3295" max="3295" width="37.42578125" style="2" customWidth="1"/>
    <col min="3296" max="3296" width="63.140625" style="2" customWidth="1"/>
    <col min="3297" max="3297" width="20" style="2" customWidth="1"/>
    <col min="3298" max="3298" width="11.140625" style="2" customWidth="1"/>
    <col min="3299" max="3299" width="10.85546875" style="2" customWidth="1"/>
    <col min="3300" max="3300" width="21" style="2" customWidth="1"/>
    <col min="3301" max="3301" width="10.85546875" style="2" customWidth="1"/>
    <col min="3302" max="3302" width="17.42578125" style="2" customWidth="1"/>
    <col min="3303" max="3303" width="14.85546875" style="2" customWidth="1"/>
    <col min="3304" max="3304" width="15" style="2" customWidth="1"/>
    <col min="3305" max="3305" width="14.85546875" style="2" customWidth="1"/>
    <col min="3306" max="3306" width="7.140625" style="2" customWidth="1"/>
    <col min="3307" max="3308" width="20.140625" style="2" customWidth="1"/>
    <col min="3309" max="3309" width="18.42578125" style="2" customWidth="1"/>
    <col min="3310" max="3310" width="9.140625" style="2" customWidth="1"/>
    <col min="3311" max="3311" width="12" style="2" customWidth="1"/>
    <col min="3312" max="3312" width="14.85546875" style="2" customWidth="1"/>
    <col min="3313" max="3313" width="22.42578125" style="2" customWidth="1"/>
    <col min="3314" max="3314" width="14.85546875" style="2" customWidth="1"/>
    <col min="3315" max="3315" width="7.140625" style="2" customWidth="1"/>
    <col min="3316" max="3316" width="20.140625" style="2" customWidth="1"/>
    <col min="3317" max="3548" width="8.85546875" style="2" customWidth="1"/>
    <col min="3549" max="3549" width="8.140625" style="2" customWidth="1"/>
    <col min="3550" max="3550" width="14.42578125" style="2" customWidth="1"/>
    <col min="3551" max="3551" width="37.42578125" style="2" customWidth="1"/>
    <col min="3552" max="3552" width="63.140625" style="2" customWidth="1"/>
    <col min="3553" max="3553" width="20" style="2" customWidth="1"/>
    <col min="3554" max="3554" width="11.140625" style="2" customWidth="1"/>
    <col min="3555" max="3555" width="10.85546875" style="2" customWidth="1"/>
    <col min="3556" max="3556" width="21" style="2" customWidth="1"/>
    <col min="3557" max="3557" width="10.85546875" style="2" customWidth="1"/>
    <col min="3558" max="3558" width="17.42578125" style="2" customWidth="1"/>
    <col min="3559" max="3559" width="14.85546875" style="2" customWidth="1"/>
    <col min="3560" max="3560" width="15" style="2" customWidth="1"/>
    <col min="3561" max="3561" width="14.85546875" style="2" customWidth="1"/>
    <col min="3562" max="3562" width="7.140625" style="2" customWidth="1"/>
    <col min="3563" max="3564" width="20.140625" style="2" customWidth="1"/>
    <col min="3565" max="3565" width="18.42578125" style="2" customWidth="1"/>
    <col min="3566" max="3566" width="9.140625" style="2" customWidth="1"/>
    <col min="3567" max="3567" width="12" style="2" customWidth="1"/>
    <col min="3568" max="3568" width="14.85546875" style="2" customWidth="1"/>
    <col min="3569" max="3569" width="22.42578125" style="2" customWidth="1"/>
    <col min="3570" max="3570" width="14.85546875" style="2" customWidth="1"/>
    <col min="3571" max="3571" width="7.140625" style="2" customWidth="1"/>
    <col min="3572" max="3572" width="20.140625" style="2" customWidth="1"/>
    <col min="3573" max="3804" width="8.85546875" style="2" customWidth="1"/>
    <col min="3805" max="3805" width="8.140625" style="2" customWidth="1"/>
    <col min="3806" max="3806" width="14.42578125" style="2" customWidth="1"/>
    <col min="3807" max="3807" width="37.42578125" style="2" customWidth="1"/>
    <col min="3808" max="3808" width="63.140625" style="2" customWidth="1"/>
    <col min="3809" max="3809" width="20" style="2" customWidth="1"/>
    <col min="3810" max="3810" width="11.140625" style="2" customWidth="1"/>
    <col min="3811" max="3811" width="10.85546875" style="2" customWidth="1"/>
    <col min="3812" max="3812" width="21" style="2" customWidth="1"/>
    <col min="3813" max="3813" width="10.85546875" style="2" customWidth="1"/>
    <col min="3814" max="3814" width="17.42578125" style="2" customWidth="1"/>
    <col min="3815" max="3815" width="14.85546875" style="2" customWidth="1"/>
    <col min="3816" max="3816" width="15" style="2" customWidth="1"/>
    <col min="3817" max="3817" width="14.85546875" style="2" customWidth="1"/>
    <col min="3818" max="3818" width="7.140625" style="2" customWidth="1"/>
    <col min="3819" max="3820" width="20.140625" style="2" customWidth="1"/>
    <col min="3821" max="3821" width="18.42578125" style="2" customWidth="1"/>
    <col min="3822" max="3822" width="9.140625" style="2" customWidth="1"/>
    <col min="3823" max="3823" width="12" style="2" customWidth="1"/>
    <col min="3824" max="3824" width="14.85546875" style="2" customWidth="1"/>
    <col min="3825" max="3825" width="22.42578125" style="2" customWidth="1"/>
    <col min="3826" max="3826" width="14.85546875" style="2" customWidth="1"/>
    <col min="3827" max="3827" width="7.140625" style="2" customWidth="1"/>
    <col min="3828" max="3828" width="20.140625" style="2" customWidth="1"/>
    <col min="3829" max="4060" width="8.85546875" style="2" customWidth="1"/>
    <col min="4061" max="4061" width="8.140625" style="2" customWidth="1"/>
    <col min="4062" max="4062" width="14.42578125" style="2" customWidth="1"/>
    <col min="4063" max="4063" width="37.42578125" style="2" customWidth="1"/>
    <col min="4064" max="4064" width="63.140625" style="2" customWidth="1"/>
    <col min="4065" max="4065" width="20" style="2" customWidth="1"/>
    <col min="4066" max="4066" width="11.140625" style="2" customWidth="1"/>
    <col min="4067" max="4067" width="10.85546875" style="2" customWidth="1"/>
    <col min="4068" max="4068" width="21" style="2" customWidth="1"/>
    <col min="4069" max="4069" width="10.85546875" style="2" customWidth="1"/>
    <col min="4070" max="4070" width="17.42578125" style="2" customWidth="1"/>
    <col min="4071" max="4071" width="14.85546875" style="2" customWidth="1"/>
    <col min="4072" max="4072" width="15" style="2" customWidth="1"/>
    <col min="4073" max="4073" width="14.85546875" style="2" customWidth="1"/>
    <col min="4074" max="4074" width="7.140625" style="2" customWidth="1"/>
    <col min="4075" max="4076" width="20.140625" style="2" customWidth="1"/>
    <col min="4077" max="4077" width="18.42578125" style="2" customWidth="1"/>
    <col min="4078" max="4078" width="9.140625" style="2" customWidth="1"/>
    <col min="4079" max="4079" width="12" style="2" customWidth="1"/>
    <col min="4080" max="4080" width="14.85546875" style="2" customWidth="1"/>
    <col min="4081" max="4081" width="22.42578125" style="2" customWidth="1"/>
    <col min="4082" max="4082" width="14.85546875" style="2" customWidth="1"/>
    <col min="4083" max="4083" width="7.140625" style="2" customWidth="1"/>
    <col min="4084" max="4084" width="20.140625" style="2" customWidth="1"/>
    <col min="4085" max="4316" width="8.85546875" style="2" customWidth="1"/>
    <col min="4317" max="4317" width="8.140625" style="2" customWidth="1"/>
    <col min="4318" max="4318" width="14.42578125" style="2" customWidth="1"/>
    <col min="4319" max="4319" width="37.42578125" style="2" customWidth="1"/>
    <col min="4320" max="4320" width="63.140625" style="2" customWidth="1"/>
    <col min="4321" max="4321" width="20" style="2" customWidth="1"/>
    <col min="4322" max="4322" width="11.140625" style="2" customWidth="1"/>
    <col min="4323" max="4323" width="10.85546875" style="2" customWidth="1"/>
    <col min="4324" max="4324" width="21" style="2" customWidth="1"/>
    <col min="4325" max="4325" width="10.85546875" style="2" customWidth="1"/>
    <col min="4326" max="4326" width="17.42578125" style="2" customWidth="1"/>
    <col min="4327" max="4327" width="14.85546875" style="2" customWidth="1"/>
    <col min="4328" max="4328" width="15" style="2" customWidth="1"/>
    <col min="4329" max="4329" width="14.85546875" style="2" customWidth="1"/>
    <col min="4330" max="4330" width="7.140625" style="2" customWidth="1"/>
    <col min="4331" max="4332" width="20.140625" style="2" customWidth="1"/>
    <col min="4333" max="4333" width="18.42578125" style="2" customWidth="1"/>
    <col min="4334" max="4334" width="9.140625" style="2" customWidth="1"/>
    <col min="4335" max="4335" width="12" style="2" customWidth="1"/>
    <col min="4336" max="4336" width="14.85546875" style="2" customWidth="1"/>
    <col min="4337" max="4337" width="22.42578125" style="2" customWidth="1"/>
    <col min="4338" max="4338" width="14.85546875" style="2" customWidth="1"/>
    <col min="4339" max="4339" width="7.140625" style="2" customWidth="1"/>
    <col min="4340" max="4340" width="20.140625" style="2" customWidth="1"/>
    <col min="4341" max="4572" width="8.85546875" style="2" customWidth="1"/>
    <col min="4573" max="4573" width="8.140625" style="2" customWidth="1"/>
    <col min="4574" max="4574" width="14.42578125" style="2" customWidth="1"/>
    <col min="4575" max="4575" width="37.42578125" style="2" customWidth="1"/>
    <col min="4576" max="4576" width="63.140625" style="2" customWidth="1"/>
    <col min="4577" max="4577" width="20" style="2" customWidth="1"/>
    <col min="4578" max="4578" width="11.140625" style="2" customWidth="1"/>
    <col min="4579" max="4579" width="10.85546875" style="2" customWidth="1"/>
    <col min="4580" max="4580" width="21" style="2" customWidth="1"/>
    <col min="4581" max="4581" width="10.85546875" style="2" customWidth="1"/>
    <col min="4582" max="4582" width="17.42578125" style="2" customWidth="1"/>
    <col min="4583" max="4583" width="14.85546875" style="2" customWidth="1"/>
    <col min="4584" max="4584" width="15" style="2" customWidth="1"/>
    <col min="4585" max="4585" width="14.85546875" style="2" customWidth="1"/>
    <col min="4586" max="4586" width="7.140625" style="2" customWidth="1"/>
    <col min="4587" max="4588" width="20.140625" style="2" customWidth="1"/>
    <col min="4589" max="4589" width="18.42578125" style="2" customWidth="1"/>
    <col min="4590" max="4590" width="9.140625" style="2" customWidth="1"/>
    <col min="4591" max="4591" width="12" style="2" customWidth="1"/>
    <col min="4592" max="4592" width="14.85546875" style="2" customWidth="1"/>
    <col min="4593" max="4593" width="22.42578125" style="2" customWidth="1"/>
    <col min="4594" max="4594" width="14.85546875" style="2" customWidth="1"/>
    <col min="4595" max="4595" width="7.140625" style="2" customWidth="1"/>
    <col min="4596" max="4596" width="20.140625" style="2" customWidth="1"/>
    <col min="4597" max="4828" width="8.85546875" style="2" customWidth="1"/>
    <col min="4829" max="4829" width="8.140625" style="2" customWidth="1"/>
    <col min="4830" max="4830" width="14.42578125" style="2" customWidth="1"/>
    <col min="4831" max="4831" width="37.42578125" style="2" customWidth="1"/>
    <col min="4832" max="4832" width="63.140625" style="2" customWidth="1"/>
    <col min="4833" max="4833" width="20" style="2" customWidth="1"/>
    <col min="4834" max="4834" width="11.140625" style="2" customWidth="1"/>
    <col min="4835" max="4835" width="10.85546875" style="2" customWidth="1"/>
    <col min="4836" max="4836" width="21" style="2" customWidth="1"/>
    <col min="4837" max="4837" width="10.85546875" style="2" customWidth="1"/>
    <col min="4838" max="4838" width="17.42578125" style="2" customWidth="1"/>
    <col min="4839" max="4839" width="14.85546875" style="2" customWidth="1"/>
    <col min="4840" max="4840" width="15" style="2" customWidth="1"/>
    <col min="4841" max="4841" width="14.85546875" style="2" customWidth="1"/>
    <col min="4842" max="4842" width="7.140625" style="2" customWidth="1"/>
    <col min="4843" max="4844" width="20.140625" style="2" customWidth="1"/>
    <col min="4845" max="4845" width="18.42578125" style="2" customWidth="1"/>
    <col min="4846" max="4846" width="9.140625" style="2" customWidth="1"/>
    <col min="4847" max="4847" width="12" style="2" customWidth="1"/>
    <col min="4848" max="4848" width="14.85546875" style="2" customWidth="1"/>
    <col min="4849" max="4849" width="22.42578125" style="2" customWidth="1"/>
    <col min="4850" max="4850" width="14.85546875" style="2" customWidth="1"/>
    <col min="4851" max="4851" width="7.140625" style="2" customWidth="1"/>
    <col min="4852" max="4852" width="20.140625" style="2" customWidth="1"/>
    <col min="4853" max="5084" width="8.85546875" style="2" customWidth="1"/>
    <col min="5085" max="5085" width="8.140625" style="2" customWidth="1"/>
    <col min="5086" max="5086" width="14.42578125" style="2" customWidth="1"/>
    <col min="5087" max="5087" width="37.42578125" style="2" customWidth="1"/>
    <col min="5088" max="5088" width="63.140625" style="2" customWidth="1"/>
    <col min="5089" max="5089" width="20" style="2" customWidth="1"/>
    <col min="5090" max="5090" width="11.140625" style="2" customWidth="1"/>
    <col min="5091" max="5091" width="10.85546875" style="2" customWidth="1"/>
    <col min="5092" max="5092" width="21" style="2" customWidth="1"/>
    <col min="5093" max="5093" width="10.85546875" style="2" customWidth="1"/>
    <col min="5094" max="5094" width="17.42578125" style="2" customWidth="1"/>
    <col min="5095" max="5095" width="14.85546875" style="2" customWidth="1"/>
    <col min="5096" max="5096" width="15" style="2" customWidth="1"/>
    <col min="5097" max="5097" width="14.85546875" style="2" customWidth="1"/>
    <col min="5098" max="5098" width="7.140625" style="2" customWidth="1"/>
    <col min="5099" max="5100" width="20.140625" style="2" customWidth="1"/>
    <col min="5101" max="5101" width="18.42578125" style="2" customWidth="1"/>
    <col min="5102" max="5102" width="9.140625" style="2" customWidth="1"/>
    <col min="5103" max="5103" width="12" style="2" customWidth="1"/>
    <col min="5104" max="5104" width="14.85546875" style="2" customWidth="1"/>
    <col min="5105" max="5105" width="22.42578125" style="2" customWidth="1"/>
    <col min="5106" max="5106" width="14.85546875" style="2" customWidth="1"/>
    <col min="5107" max="5107" width="7.140625" style="2" customWidth="1"/>
    <col min="5108" max="5108" width="20.140625" style="2" customWidth="1"/>
    <col min="5109" max="5340" width="8.85546875" style="2" customWidth="1"/>
    <col min="5341" max="5341" width="8.140625" style="2" customWidth="1"/>
    <col min="5342" max="5342" width="14.42578125" style="2" customWidth="1"/>
    <col min="5343" max="5343" width="37.42578125" style="2" customWidth="1"/>
    <col min="5344" max="5344" width="63.140625" style="2" customWidth="1"/>
    <col min="5345" max="5345" width="20" style="2" customWidth="1"/>
    <col min="5346" max="5346" width="11.140625" style="2" customWidth="1"/>
    <col min="5347" max="5347" width="10.85546875" style="2" customWidth="1"/>
    <col min="5348" max="5348" width="21" style="2" customWidth="1"/>
    <col min="5349" max="5349" width="10.85546875" style="2" customWidth="1"/>
    <col min="5350" max="5350" width="17.42578125" style="2" customWidth="1"/>
    <col min="5351" max="5351" width="14.85546875" style="2" customWidth="1"/>
    <col min="5352" max="5352" width="15" style="2" customWidth="1"/>
    <col min="5353" max="5353" width="14.85546875" style="2" customWidth="1"/>
    <col min="5354" max="5354" width="7.140625" style="2" customWidth="1"/>
    <col min="5355" max="5356" width="20.140625" style="2" customWidth="1"/>
    <col min="5357" max="5357" width="18.42578125" style="2" customWidth="1"/>
    <col min="5358" max="5358" width="9.140625" style="2" customWidth="1"/>
    <col min="5359" max="5359" width="12" style="2" customWidth="1"/>
    <col min="5360" max="5360" width="14.85546875" style="2" customWidth="1"/>
    <col min="5361" max="5361" width="22.42578125" style="2" customWidth="1"/>
    <col min="5362" max="5362" width="14.85546875" style="2" customWidth="1"/>
    <col min="5363" max="5363" width="7.140625" style="2" customWidth="1"/>
    <col min="5364" max="5364" width="20.140625" style="2" customWidth="1"/>
    <col min="5365" max="5596" width="8.85546875" style="2" customWidth="1"/>
    <col min="5597" max="5597" width="8.140625" style="2" customWidth="1"/>
    <col min="5598" max="5598" width="14.42578125" style="2" customWidth="1"/>
    <col min="5599" max="5599" width="37.42578125" style="2" customWidth="1"/>
    <col min="5600" max="5600" width="63.140625" style="2" customWidth="1"/>
    <col min="5601" max="5601" width="20" style="2" customWidth="1"/>
    <col min="5602" max="5602" width="11.140625" style="2" customWidth="1"/>
    <col min="5603" max="5603" width="10.85546875" style="2" customWidth="1"/>
    <col min="5604" max="5604" width="21" style="2" customWidth="1"/>
    <col min="5605" max="5605" width="10.85546875" style="2" customWidth="1"/>
    <col min="5606" max="5606" width="17.42578125" style="2" customWidth="1"/>
    <col min="5607" max="5607" width="14.85546875" style="2" customWidth="1"/>
    <col min="5608" max="5608" width="15" style="2" customWidth="1"/>
    <col min="5609" max="5609" width="14.85546875" style="2" customWidth="1"/>
    <col min="5610" max="5610" width="7.140625" style="2" customWidth="1"/>
    <col min="5611" max="5612" width="20.140625" style="2" customWidth="1"/>
    <col min="5613" max="5613" width="18.42578125" style="2" customWidth="1"/>
    <col min="5614" max="5614" width="9.140625" style="2" customWidth="1"/>
    <col min="5615" max="5615" width="12" style="2" customWidth="1"/>
    <col min="5616" max="5616" width="14.85546875" style="2" customWidth="1"/>
    <col min="5617" max="5617" width="22.42578125" style="2" customWidth="1"/>
    <col min="5618" max="5618" width="14.85546875" style="2" customWidth="1"/>
    <col min="5619" max="5619" width="7.140625" style="2" customWidth="1"/>
    <col min="5620" max="5620" width="20.140625" style="2" customWidth="1"/>
    <col min="5621" max="5852" width="8.85546875" style="2" customWidth="1"/>
    <col min="5853" max="5853" width="8.140625" style="2" customWidth="1"/>
    <col min="5854" max="5854" width="14.42578125" style="2" customWidth="1"/>
    <col min="5855" max="5855" width="37.42578125" style="2" customWidth="1"/>
    <col min="5856" max="5856" width="63.140625" style="2" customWidth="1"/>
    <col min="5857" max="5857" width="20" style="2" customWidth="1"/>
    <col min="5858" max="5858" width="11.140625" style="2" customWidth="1"/>
    <col min="5859" max="5859" width="10.85546875" style="2" customWidth="1"/>
    <col min="5860" max="5860" width="21" style="2" customWidth="1"/>
    <col min="5861" max="5861" width="10.85546875" style="2" customWidth="1"/>
    <col min="5862" max="5862" width="17.42578125" style="2" customWidth="1"/>
    <col min="5863" max="5863" width="14.85546875" style="2" customWidth="1"/>
    <col min="5864" max="5864" width="15" style="2" customWidth="1"/>
    <col min="5865" max="5865" width="14.85546875" style="2" customWidth="1"/>
    <col min="5866" max="5866" width="7.140625" style="2" customWidth="1"/>
    <col min="5867" max="5868" width="20.140625" style="2" customWidth="1"/>
    <col min="5869" max="5869" width="18.42578125" style="2" customWidth="1"/>
    <col min="5870" max="5870" width="9.140625" style="2" customWidth="1"/>
    <col min="5871" max="5871" width="12" style="2" customWidth="1"/>
    <col min="5872" max="5872" width="14.85546875" style="2" customWidth="1"/>
    <col min="5873" max="5873" width="22.42578125" style="2" customWidth="1"/>
    <col min="5874" max="5874" width="14.85546875" style="2" customWidth="1"/>
    <col min="5875" max="5875" width="7.140625" style="2" customWidth="1"/>
    <col min="5876" max="5876" width="20.140625" style="2" customWidth="1"/>
    <col min="5877" max="6108" width="8.85546875" style="2" customWidth="1"/>
    <col min="6109" max="6109" width="8.140625" style="2" customWidth="1"/>
    <col min="6110" max="6110" width="14.42578125" style="2" customWidth="1"/>
    <col min="6111" max="6111" width="37.42578125" style="2" customWidth="1"/>
    <col min="6112" max="6112" width="63.140625" style="2" customWidth="1"/>
    <col min="6113" max="6113" width="20" style="2" customWidth="1"/>
    <col min="6114" max="6114" width="11.140625" style="2" customWidth="1"/>
    <col min="6115" max="6115" width="10.85546875" style="2" customWidth="1"/>
    <col min="6116" max="6116" width="21" style="2" customWidth="1"/>
    <col min="6117" max="6117" width="10.85546875" style="2" customWidth="1"/>
    <col min="6118" max="6118" width="17.42578125" style="2" customWidth="1"/>
    <col min="6119" max="6119" width="14.85546875" style="2" customWidth="1"/>
    <col min="6120" max="6120" width="15" style="2" customWidth="1"/>
    <col min="6121" max="6121" width="14.85546875" style="2" customWidth="1"/>
    <col min="6122" max="6122" width="7.140625" style="2" customWidth="1"/>
    <col min="6123" max="6124" width="20.140625" style="2" customWidth="1"/>
    <col min="6125" max="6125" width="18.42578125" style="2" customWidth="1"/>
    <col min="6126" max="6126" width="9.140625" style="2" customWidth="1"/>
    <col min="6127" max="6127" width="12" style="2" customWidth="1"/>
    <col min="6128" max="6128" width="14.85546875" style="2" customWidth="1"/>
    <col min="6129" max="6129" width="22.42578125" style="2" customWidth="1"/>
    <col min="6130" max="6130" width="14.85546875" style="2" customWidth="1"/>
    <col min="6131" max="6131" width="7.140625" style="2" customWidth="1"/>
    <col min="6132" max="6132" width="20.140625" style="2" customWidth="1"/>
    <col min="6133" max="6364" width="8.85546875" style="2" customWidth="1"/>
    <col min="6365" max="6365" width="8.140625" style="2" customWidth="1"/>
    <col min="6366" max="6366" width="14.42578125" style="2" customWidth="1"/>
    <col min="6367" max="6367" width="37.42578125" style="2" customWidth="1"/>
    <col min="6368" max="6368" width="63.140625" style="2" customWidth="1"/>
    <col min="6369" max="6369" width="20" style="2" customWidth="1"/>
    <col min="6370" max="6370" width="11.140625" style="2" customWidth="1"/>
    <col min="6371" max="6371" width="10.85546875" style="2" customWidth="1"/>
    <col min="6372" max="6372" width="21" style="2" customWidth="1"/>
    <col min="6373" max="6373" width="10.85546875" style="2" customWidth="1"/>
    <col min="6374" max="6374" width="17.42578125" style="2" customWidth="1"/>
    <col min="6375" max="6375" width="14.85546875" style="2" customWidth="1"/>
    <col min="6376" max="6376" width="15" style="2" customWidth="1"/>
    <col min="6377" max="6377" width="14.85546875" style="2" customWidth="1"/>
    <col min="6378" max="6378" width="7.140625" style="2" customWidth="1"/>
    <col min="6379" max="6380" width="20.140625" style="2" customWidth="1"/>
    <col min="6381" max="6381" width="18.42578125" style="2" customWidth="1"/>
    <col min="6382" max="6382" width="9.140625" style="2" customWidth="1"/>
    <col min="6383" max="6383" width="12" style="2" customWidth="1"/>
    <col min="6384" max="6384" width="14.85546875" style="2" customWidth="1"/>
    <col min="6385" max="6385" width="22.42578125" style="2" customWidth="1"/>
    <col min="6386" max="6386" width="14.85546875" style="2" customWidth="1"/>
    <col min="6387" max="6387" width="7.140625" style="2" customWidth="1"/>
    <col min="6388" max="6388" width="20.140625" style="2" customWidth="1"/>
    <col min="6389" max="6620" width="8.85546875" style="2" customWidth="1"/>
    <col min="6621" max="6621" width="8.140625" style="2" customWidth="1"/>
    <col min="6622" max="6622" width="14.42578125" style="2" customWidth="1"/>
    <col min="6623" max="6623" width="37.42578125" style="2" customWidth="1"/>
    <col min="6624" max="6624" width="63.140625" style="2" customWidth="1"/>
    <col min="6625" max="6625" width="20" style="2" customWidth="1"/>
    <col min="6626" max="6626" width="11.140625" style="2" customWidth="1"/>
    <col min="6627" max="6627" width="10.85546875" style="2" customWidth="1"/>
    <col min="6628" max="6628" width="21" style="2" customWidth="1"/>
    <col min="6629" max="6629" width="10.85546875" style="2" customWidth="1"/>
    <col min="6630" max="6630" width="17.42578125" style="2" customWidth="1"/>
    <col min="6631" max="6631" width="14.85546875" style="2" customWidth="1"/>
    <col min="6632" max="6632" width="15" style="2" customWidth="1"/>
    <col min="6633" max="6633" width="14.85546875" style="2" customWidth="1"/>
    <col min="6634" max="6634" width="7.140625" style="2" customWidth="1"/>
    <col min="6635" max="6636" width="20.140625" style="2" customWidth="1"/>
    <col min="6637" max="6637" width="18.42578125" style="2" customWidth="1"/>
    <col min="6638" max="6638" width="9.140625" style="2" customWidth="1"/>
    <col min="6639" max="6639" width="12" style="2" customWidth="1"/>
    <col min="6640" max="6640" width="14.85546875" style="2" customWidth="1"/>
    <col min="6641" max="6641" width="22.42578125" style="2" customWidth="1"/>
    <col min="6642" max="6642" width="14.85546875" style="2" customWidth="1"/>
    <col min="6643" max="6643" width="7.140625" style="2" customWidth="1"/>
    <col min="6644" max="6644" width="20.140625" style="2" customWidth="1"/>
    <col min="6645" max="6876" width="8.85546875" style="2" customWidth="1"/>
    <col min="6877" max="6877" width="8.140625" style="2" customWidth="1"/>
    <col min="6878" max="6878" width="14.42578125" style="2" customWidth="1"/>
    <col min="6879" max="6879" width="37.42578125" style="2" customWidth="1"/>
    <col min="6880" max="6880" width="63.140625" style="2" customWidth="1"/>
    <col min="6881" max="6881" width="20" style="2" customWidth="1"/>
    <col min="6882" max="6882" width="11.140625" style="2" customWidth="1"/>
    <col min="6883" max="6883" width="10.85546875" style="2" customWidth="1"/>
    <col min="6884" max="6884" width="21" style="2" customWidth="1"/>
    <col min="6885" max="6885" width="10.85546875" style="2" customWidth="1"/>
    <col min="6886" max="6886" width="17.42578125" style="2" customWidth="1"/>
    <col min="6887" max="6887" width="14.85546875" style="2" customWidth="1"/>
    <col min="6888" max="6888" width="15" style="2" customWidth="1"/>
    <col min="6889" max="6889" width="14.85546875" style="2" customWidth="1"/>
    <col min="6890" max="6890" width="7.140625" style="2" customWidth="1"/>
    <col min="6891" max="6892" width="20.140625" style="2" customWidth="1"/>
    <col min="6893" max="6893" width="18.42578125" style="2" customWidth="1"/>
    <col min="6894" max="6894" width="9.140625" style="2" customWidth="1"/>
    <col min="6895" max="6895" width="12" style="2" customWidth="1"/>
    <col min="6896" max="6896" width="14.85546875" style="2" customWidth="1"/>
    <col min="6897" max="6897" width="22.42578125" style="2" customWidth="1"/>
    <col min="6898" max="6898" width="14.85546875" style="2" customWidth="1"/>
    <col min="6899" max="6899" width="7.140625" style="2" customWidth="1"/>
    <col min="6900" max="6900" width="20.140625" style="2" customWidth="1"/>
    <col min="6901" max="7132" width="8.85546875" style="2" customWidth="1"/>
    <col min="7133" max="7133" width="8.140625" style="2" customWidth="1"/>
    <col min="7134" max="7134" width="14.42578125" style="2" customWidth="1"/>
    <col min="7135" max="7135" width="37.42578125" style="2" customWidth="1"/>
    <col min="7136" max="7136" width="63.140625" style="2" customWidth="1"/>
    <col min="7137" max="7137" width="20" style="2" customWidth="1"/>
    <col min="7138" max="7138" width="11.140625" style="2" customWidth="1"/>
    <col min="7139" max="7139" width="10.85546875" style="2" customWidth="1"/>
    <col min="7140" max="7140" width="21" style="2" customWidth="1"/>
    <col min="7141" max="7141" width="10.85546875" style="2" customWidth="1"/>
    <col min="7142" max="7142" width="17.42578125" style="2" customWidth="1"/>
    <col min="7143" max="7143" width="14.85546875" style="2" customWidth="1"/>
    <col min="7144" max="7144" width="15" style="2" customWidth="1"/>
    <col min="7145" max="7145" width="14.85546875" style="2" customWidth="1"/>
    <col min="7146" max="7146" width="7.140625" style="2" customWidth="1"/>
    <col min="7147" max="7148" width="20.140625" style="2" customWidth="1"/>
    <col min="7149" max="7149" width="18.42578125" style="2" customWidth="1"/>
    <col min="7150" max="7150" width="9.140625" style="2" customWidth="1"/>
    <col min="7151" max="7151" width="12" style="2" customWidth="1"/>
    <col min="7152" max="7152" width="14.85546875" style="2" customWidth="1"/>
    <col min="7153" max="7153" width="22.42578125" style="2" customWidth="1"/>
    <col min="7154" max="7154" width="14.85546875" style="2" customWidth="1"/>
    <col min="7155" max="7155" width="7.140625" style="2" customWidth="1"/>
    <col min="7156" max="7156" width="20.140625" style="2" customWidth="1"/>
    <col min="7157" max="7388" width="8.85546875" style="2" customWidth="1"/>
    <col min="7389" max="7389" width="8.140625" style="2" customWidth="1"/>
    <col min="7390" max="7390" width="14.42578125" style="2" customWidth="1"/>
    <col min="7391" max="7391" width="37.42578125" style="2" customWidth="1"/>
    <col min="7392" max="7392" width="63.140625" style="2" customWidth="1"/>
    <col min="7393" max="7393" width="20" style="2" customWidth="1"/>
    <col min="7394" max="7394" width="11.140625" style="2" customWidth="1"/>
    <col min="7395" max="7395" width="10.85546875" style="2" customWidth="1"/>
    <col min="7396" max="7396" width="21" style="2" customWidth="1"/>
    <col min="7397" max="7397" width="10.85546875" style="2" customWidth="1"/>
    <col min="7398" max="7398" width="17.42578125" style="2" customWidth="1"/>
    <col min="7399" max="7399" width="14.85546875" style="2" customWidth="1"/>
    <col min="7400" max="7400" width="15" style="2" customWidth="1"/>
    <col min="7401" max="7401" width="14.85546875" style="2" customWidth="1"/>
    <col min="7402" max="7402" width="7.140625" style="2" customWidth="1"/>
    <col min="7403" max="7404" width="20.140625" style="2" customWidth="1"/>
    <col min="7405" max="7405" width="18.42578125" style="2" customWidth="1"/>
    <col min="7406" max="7406" width="9.140625" style="2" customWidth="1"/>
    <col min="7407" max="7407" width="12" style="2" customWidth="1"/>
    <col min="7408" max="7408" width="14.85546875" style="2" customWidth="1"/>
    <col min="7409" max="7409" width="22.42578125" style="2" customWidth="1"/>
    <col min="7410" max="7410" width="14.85546875" style="2" customWidth="1"/>
    <col min="7411" max="7411" width="7.140625" style="2" customWidth="1"/>
    <col min="7412" max="7412" width="20.140625" style="2" customWidth="1"/>
    <col min="7413" max="7644" width="8.85546875" style="2" customWidth="1"/>
    <col min="7645" max="7645" width="8.140625" style="2" customWidth="1"/>
    <col min="7646" max="7646" width="14.42578125" style="2" customWidth="1"/>
    <col min="7647" max="7647" width="37.42578125" style="2" customWidth="1"/>
    <col min="7648" max="7648" width="63.140625" style="2" customWidth="1"/>
    <col min="7649" max="7649" width="20" style="2" customWidth="1"/>
    <col min="7650" max="7650" width="11.140625" style="2" customWidth="1"/>
    <col min="7651" max="7651" width="10.85546875" style="2" customWidth="1"/>
    <col min="7652" max="7652" width="21" style="2" customWidth="1"/>
    <col min="7653" max="7653" width="10.85546875" style="2" customWidth="1"/>
    <col min="7654" max="7654" width="17.42578125" style="2" customWidth="1"/>
    <col min="7655" max="7655" width="14.85546875" style="2" customWidth="1"/>
    <col min="7656" max="7656" width="15" style="2" customWidth="1"/>
    <col min="7657" max="7657" width="14.85546875" style="2" customWidth="1"/>
    <col min="7658" max="7658" width="7.140625" style="2" customWidth="1"/>
    <col min="7659" max="7660" width="20.140625" style="2" customWidth="1"/>
    <col min="7661" max="7661" width="18.42578125" style="2" customWidth="1"/>
    <col min="7662" max="7662" width="9.140625" style="2" customWidth="1"/>
    <col min="7663" max="7663" width="12" style="2" customWidth="1"/>
    <col min="7664" max="7664" width="14.85546875" style="2" customWidth="1"/>
    <col min="7665" max="7665" width="22.42578125" style="2" customWidth="1"/>
    <col min="7666" max="7666" width="14.85546875" style="2" customWidth="1"/>
    <col min="7667" max="7667" width="7.140625" style="2" customWidth="1"/>
    <col min="7668" max="7668" width="20.140625" style="2" customWidth="1"/>
    <col min="7669" max="7900" width="8.85546875" style="2" customWidth="1"/>
    <col min="7901" max="7901" width="8.140625" style="2" customWidth="1"/>
    <col min="7902" max="7902" width="14.42578125" style="2" customWidth="1"/>
    <col min="7903" max="7903" width="37.42578125" style="2" customWidth="1"/>
    <col min="7904" max="7904" width="63.140625" style="2" customWidth="1"/>
    <col min="7905" max="7905" width="20" style="2" customWidth="1"/>
    <col min="7906" max="7906" width="11.140625" style="2" customWidth="1"/>
    <col min="7907" max="7907" width="10.85546875" style="2" customWidth="1"/>
    <col min="7908" max="7908" width="21" style="2" customWidth="1"/>
    <col min="7909" max="7909" width="10.85546875" style="2" customWidth="1"/>
    <col min="7910" max="7910" width="17.42578125" style="2" customWidth="1"/>
    <col min="7911" max="7911" width="14.85546875" style="2" customWidth="1"/>
    <col min="7912" max="7912" width="15" style="2" customWidth="1"/>
    <col min="7913" max="7913" width="14.85546875" style="2" customWidth="1"/>
    <col min="7914" max="7914" width="7.140625" style="2" customWidth="1"/>
    <col min="7915" max="7916" width="20.140625" style="2" customWidth="1"/>
    <col min="7917" max="7917" width="18.42578125" style="2" customWidth="1"/>
    <col min="7918" max="7918" width="9.140625" style="2" customWidth="1"/>
    <col min="7919" max="7919" width="12" style="2" customWidth="1"/>
    <col min="7920" max="7920" width="14.85546875" style="2" customWidth="1"/>
    <col min="7921" max="7921" width="22.42578125" style="2" customWidth="1"/>
    <col min="7922" max="7922" width="14.85546875" style="2" customWidth="1"/>
    <col min="7923" max="7923" width="7.140625" style="2" customWidth="1"/>
    <col min="7924" max="7924" width="20.140625" style="2" customWidth="1"/>
    <col min="7925" max="8156" width="8.85546875" style="2" customWidth="1"/>
    <col min="8157" max="8157" width="8.140625" style="2" customWidth="1"/>
    <col min="8158" max="8158" width="14.42578125" style="2" customWidth="1"/>
    <col min="8159" max="8159" width="37.42578125" style="2" customWidth="1"/>
    <col min="8160" max="8160" width="63.140625" style="2" customWidth="1"/>
    <col min="8161" max="8161" width="20" style="2" customWidth="1"/>
    <col min="8162" max="8162" width="11.140625" style="2" customWidth="1"/>
    <col min="8163" max="8163" width="10.85546875" style="2" customWidth="1"/>
    <col min="8164" max="8164" width="21" style="2" customWidth="1"/>
    <col min="8165" max="8165" width="10.85546875" style="2" customWidth="1"/>
    <col min="8166" max="8166" width="17.42578125" style="2" customWidth="1"/>
    <col min="8167" max="8167" width="14.85546875" style="2" customWidth="1"/>
    <col min="8168" max="8168" width="15" style="2" customWidth="1"/>
    <col min="8169" max="8169" width="14.85546875" style="2" customWidth="1"/>
    <col min="8170" max="8170" width="7.140625" style="2" customWidth="1"/>
    <col min="8171" max="8172" width="20.140625" style="2" customWidth="1"/>
    <col min="8173" max="8173" width="18.42578125" style="2" customWidth="1"/>
    <col min="8174" max="8174" width="9.140625" style="2" customWidth="1"/>
    <col min="8175" max="8175" width="12" style="2" customWidth="1"/>
    <col min="8176" max="8176" width="14.85546875" style="2" customWidth="1"/>
    <col min="8177" max="8177" width="22.42578125" style="2" customWidth="1"/>
    <col min="8178" max="8178" width="14.85546875" style="2" customWidth="1"/>
    <col min="8179" max="8179" width="7.140625" style="2" customWidth="1"/>
    <col min="8180" max="8180" width="20.140625" style="2" customWidth="1"/>
    <col min="8181" max="8412" width="8.85546875" style="2" customWidth="1"/>
    <col min="8413" max="8413" width="8.140625" style="2" customWidth="1"/>
    <col min="8414" max="8414" width="14.42578125" style="2" customWidth="1"/>
    <col min="8415" max="8415" width="37.42578125" style="2" customWidth="1"/>
    <col min="8416" max="8416" width="63.140625" style="2" customWidth="1"/>
    <col min="8417" max="8417" width="20" style="2" customWidth="1"/>
    <col min="8418" max="8418" width="11.140625" style="2" customWidth="1"/>
    <col min="8419" max="8419" width="10.85546875" style="2" customWidth="1"/>
    <col min="8420" max="8420" width="21" style="2" customWidth="1"/>
    <col min="8421" max="8421" width="10.85546875" style="2" customWidth="1"/>
    <col min="8422" max="8422" width="17.42578125" style="2" customWidth="1"/>
    <col min="8423" max="8423" width="14.85546875" style="2" customWidth="1"/>
    <col min="8424" max="8424" width="15" style="2" customWidth="1"/>
    <col min="8425" max="8425" width="14.85546875" style="2" customWidth="1"/>
    <col min="8426" max="8426" width="7.140625" style="2" customWidth="1"/>
    <col min="8427" max="8428" width="20.140625" style="2" customWidth="1"/>
    <col min="8429" max="8429" width="18.42578125" style="2" customWidth="1"/>
    <col min="8430" max="8430" width="9.140625" style="2" customWidth="1"/>
    <col min="8431" max="8431" width="12" style="2" customWidth="1"/>
    <col min="8432" max="8432" width="14.85546875" style="2" customWidth="1"/>
    <col min="8433" max="8433" width="22.42578125" style="2" customWidth="1"/>
    <col min="8434" max="8434" width="14.85546875" style="2" customWidth="1"/>
    <col min="8435" max="8435" width="7.140625" style="2" customWidth="1"/>
    <col min="8436" max="8436" width="20.140625" style="2" customWidth="1"/>
    <col min="8437" max="8668" width="8.85546875" style="2" customWidth="1"/>
    <col min="8669" max="8669" width="8.140625" style="2" customWidth="1"/>
    <col min="8670" max="8670" width="14.42578125" style="2" customWidth="1"/>
    <col min="8671" max="8671" width="37.42578125" style="2" customWidth="1"/>
    <col min="8672" max="8672" width="63.140625" style="2" customWidth="1"/>
    <col min="8673" max="8673" width="20" style="2" customWidth="1"/>
    <col min="8674" max="8674" width="11.140625" style="2" customWidth="1"/>
    <col min="8675" max="8675" width="10.85546875" style="2" customWidth="1"/>
    <col min="8676" max="8676" width="21" style="2" customWidth="1"/>
    <col min="8677" max="8677" width="10.85546875" style="2" customWidth="1"/>
    <col min="8678" max="8678" width="17.42578125" style="2" customWidth="1"/>
    <col min="8679" max="8679" width="14.85546875" style="2" customWidth="1"/>
    <col min="8680" max="8680" width="15" style="2" customWidth="1"/>
    <col min="8681" max="8681" width="14.85546875" style="2" customWidth="1"/>
    <col min="8682" max="8682" width="7.140625" style="2" customWidth="1"/>
    <col min="8683" max="8684" width="20.140625" style="2" customWidth="1"/>
    <col min="8685" max="8685" width="18.42578125" style="2" customWidth="1"/>
    <col min="8686" max="8686" width="9.140625" style="2" customWidth="1"/>
    <col min="8687" max="8687" width="12" style="2" customWidth="1"/>
    <col min="8688" max="8688" width="14.85546875" style="2" customWidth="1"/>
    <col min="8689" max="8689" width="22.42578125" style="2" customWidth="1"/>
    <col min="8690" max="8690" width="14.85546875" style="2" customWidth="1"/>
    <col min="8691" max="8691" width="7.140625" style="2" customWidth="1"/>
    <col min="8692" max="8692" width="20.140625" style="2" customWidth="1"/>
    <col min="8693" max="8924" width="8.85546875" style="2" customWidth="1"/>
    <col min="8925" max="8925" width="8.140625" style="2" customWidth="1"/>
    <col min="8926" max="8926" width="14.42578125" style="2" customWidth="1"/>
    <col min="8927" max="8927" width="37.42578125" style="2" customWidth="1"/>
    <col min="8928" max="8928" width="63.140625" style="2" customWidth="1"/>
    <col min="8929" max="8929" width="20" style="2" customWidth="1"/>
    <col min="8930" max="8930" width="11.140625" style="2" customWidth="1"/>
    <col min="8931" max="8931" width="10.85546875" style="2" customWidth="1"/>
    <col min="8932" max="8932" width="21" style="2" customWidth="1"/>
    <col min="8933" max="8933" width="10.85546875" style="2" customWidth="1"/>
    <col min="8934" max="8934" width="17.42578125" style="2" customWidth="1"/>
    <col min="8935" max="8935" width="14.85546875" style="2" customWidth="1"/>
    <col min="8936" max="8936" width="15" style="2" customWidth="1"/>
    <col min="8937" max="8937" width="14.85546875" style="2" customWidth="1"/>
    <col min="8938" max="8938" width="7.140625" style="2" customWidth="1"/>
    <col min="8939" max="8940" width="20.140625" style="2" customWidth="1"/>
    <col min="8941" max="8941" width="18.42578125" style="2" customWidth="1"/>
    <col min="8942" max="8942" width="9.140625" style="2" customWidth="1"/>
    <col min="8943" max="8943" width="12" style="2" customWidth="1"/>
    <col min="8944" max="8944" width="14.85546875" style="2" customWidth="1"/>
    <col min="8945" max="8945" width="22.42578125" style="2" customWidth="1"/>
    <col min="8946" max="8946" width="14.85546875" style="2" customWidth="1"/>
    <col min="8947" max="8947" width="7.140625" style="2" customWidth="1"/>
    <col min="8948" max="8948" width="20.140625" style="2" customWidth="1"/>
    <col min="8949" max="9180" width="8.85546875" style="2" customWidth="1"/>
    <col min="9181" max="9181" width="8.140625" style="2" customWidth="1"/>
    <col min="9182" max="9182" width="14.42578125" style="2" customWidth="1"/>
    <col min="9183" max="9183" width="37.42578125" style="2" customWidth="1"/>
    <col min="9184" max="9184" width="63.140625" style="2" customWidth="1"/>
    <col min="9185" max="9185" width="20" style="2" customWidth="1"/>
    <col min="9186" max="9186" width="11.140625" style="2" customWidth="1"/>
    <col min="9187" max="9187" width="10.85546875" style="2" customWidth="1"/>
    <col min="9188" max="9188" width="21" style="2" customWidth="1"/>
    <col min="9189" max="9189" width="10.85546875" style="2" customWidth="1"/>
    <col min="9190" max="9190" width="17.42578125" style="2" customWidth="1"/>
    <col min="9191" max="9191" width="14.85546875" style="2" customWidth="1"/>
    <col min="9192" max="9192" width="15" style="2" customWidth="1"/>
    <col min="9193" max="9193" width="14.85546875" style="2" customWidth="1"/>
    <col min="9194" max="9194" width="7.140625" style="2" customWidth="1"/>
    <col min="9195" max="9196" width="20.140625" style="2" customWidth="1"/>
    <col min="9197" max="9197" width="18.42578125" style="2" customWidth="1"/>
    <col min="9198" max="9198" width="9.140625" style="2" customWidth="1"/>
    <col min="9199" max="9199" width="12" style="2" customWidth="1"/>
    <col min="9200" max="9200" width="14.85546875" style="2" customWidth="1"/>
    <col min="9201" max="9201" width="22.42578125" style="2" customWidth="1"/>
    <col min="9202" max="9202" width="14.85546875" style="2" customWidth="1"/>
    <col min="9203" max="9203" width="7.140625" style="2" customWidth="1"/>
    <col min="9204" max="9204" width="20.140625" style="2" customWidth="1"/>
    <col min="9205" max="9436" width="8.85546875" style="2" customWidth="1"/>
    <col min="9437" max="9437" width="8.140625" style="2" customWidth="1"/>
    <col min="9438" max="9438" width="14.42578125" style="2" customWidth="1"/>
    <col min="9439" max="9439" width="37.42578125" style="2" customWidth="1"/>
    <col min="9440" max="9440" width="63.140625" style="2" customWidth="1"/>
    <col min="9441" max="9441" width="20" style="2" customWidth="1"/>
    <col min="9442" max="9442" width="11.140625" style="2" customWidth="1"/>
    <col min="9443" max="9443" width="10.85546875" style="2" customWidth="1"/>
    <col min="9444" max="9444" width="21" style="2" customWidth="1"/>
    <col min="9445" max="9445" width="10.85546875" style="2" customWidth="1"/>
    <col min="9446" max="9446" width="17.42578125" style="2" customWidth="1"/>
    <col min="9447" max="9447" width="14.85546875" style="2" customWidth="1"/>
    <col min="9448" max="9448" width="15" style="2" customWidth="1"/>
    <col min="9449" max="9449" width="14.85546875" style="2" customWidth="1"/>
    <col min="9450" max="9450" width="7.140625" style="2" customWidth="1"/>
    <col min="9451" max="9452" width="20.140625" style="2" customWidth="1"/>
    <col min="9453" max="9453" width="18.42578125" style="2" customWidth="1"/>
    <col min="9454" max="9454" width="9.140625" style="2" customWidth="1"/>
    <col min="9455" max="9455" width="12" style="2" customWidth="1"/>
    <col min="9456" max="9456" width="14.85546875" style="2" customWidth="1"/>
    <col min="9457" max="9457" width="22.42578125" style="2" customWidth="1"/>
    <col min="9458" max="9458" width="14.85546875" style="2" customWidth="1"/>
    <col min="9459" max="9459" width="7.140625" style="2" customWidth="1"/>
    <col min="9460" max="9460" width="20.140625" style="2" customWidth="1"/>
    <col min="9461" max="9692" width="8.85546875" style="2" customWidth="1"/>
    <col min="9693" max="9693" width="8.140625" style="2" customWidth="1"/>
    <col min="9694" max="9694" width="14.42578125" style="2" customWidth="1"/>
    <col min="9695" max="9695" width="37.42578125" style="2" customWidth="1"/>
    <col min="9696" max="9696" width="63.140625" style="2" customWidth="1"/>
    <col min="9697" max="9697" width="20" style="2" customWidth="1"/>
    <col min="9698" max="9698" width="11.140625" style="2" customWidth="1"/>
    <col min="9699" max="9699" width="10.85546875" style="2" customWidth="1"/>
    <col min="9700" max="9700" width="21" style="2" customWidth="1"/>
    <col min="9701" max="9701" width="10.85546875" style="2" customWidth="1"/>
    <col min="9702" max="9702" width="17.42578125" style="2" customWidth="1"/>
    <col min="9703" max="9703" width="14.85546875" style="2" customWidth="1"/>
    <col min="9704" max="9704" width="15" style="2" customWidth="1"/>
    <col min="9705" max="9705" width="14.85546875" style="2" customWidth="1"/>
    <col min="9706" max="9706" width="7.140625" style="2" customWidth="1"/>
    <col min="9707" max="9708" width="20.140625" style="2" customWidth="1"/>
    <col min="9709" max="9709" width="18.42578125" style="2" customWidth="1"/>
    <col min="9710" max="9710" width="9.140625" style="2" customWidth="1"/>
    <col min="9711" max="9711" width="12" style="2" customWidth="1"/>
    <col min="9712" max="9712" width="14.85546875" style="2" customWidth="1"/>
    <col min="9713" max="9713" width="22.42578125" style="2" customWidth="1"/>
    <col min="9714" max="9714" width="14.85546875" style="2" customWidth="1"/>
    <col min="9715" max="9715" width="7.140625" style="2" customWidth="1"/>
    <col min="9716" max="9716" width="20.140625" style="2" customWidth="1"/>
    <col min="9717" max="9948" width="8.85546875" style="2" customWidth="1"/>
    <col min="9949" max="9949" width="8.140625" style="2" customWidth="1"/>
    <col min="9950" max="9950" width="14.42578125" style="2" customWidth="1"/>
    <col min="9951" max="9951" width="37.42578125" style="2" customWidth="1"/>
    <col min="9952" max="9952" width="63.140625" style="2" customWidth="1"/>
    <col min="9953" max="9953" width="20" style="2" customWidth="1"/>
    <col min="9954" max="9954" width="11.140625" style="2" customWidth="1"/>
    <col min="9955" max="9955" width="10.85546875" style="2" customWidth="1"/>
    <col min="9956" max="9956" width="21" style="2" customWidth="1"/>
    <col min="9957" max="9957" width="10.85546875" style="2" customWidth="1"/>
    <col min="9958" max="9958" width="17.42578125" style="2" customWidth="1"/>
    <col min="9959" max="9959" width="14.85546875" style="2" customWidth="1"/>
    <col min="9960" max="9960" width="15" style="2" customWidth="1"/>
    <col min="9961" max="9961" width="14.85546875" style="2" customWidth="1"/>
    <col min="9962" max="9962" width="7.140625" style="2" customWidth="1"/>
    <col min="9963" max="9964" width="20.140625" style="2" customWidth="1"/>
    <col min="9965" max="9965" width="18.42578125" style="2" customWidth="1"/>
    <col min="9966" max="9966" width="9.140625" style="2" customWidth="1"/>
    <col min="9967" max="9967" width="12" style="2" customWidth="1"/>
    <col min="9968" max="9968" width="14.85546875" style="2" customWidth="1"/>
    <col min="9969" max="9969" width="22.42578125" style="2" customWidth="1"/>
    <col min="9970" max="9970" width="14.85546875" style="2" customWidth="1"/>
    <col min="9971" max="9971" width="7.140625" style="2" customWidth="1"/>
    <col min="9972" max="9972" width="20.140625" style="2" customWidth="1"/>
    <col min="9973" max="10204" width="8.85546875" style="2" customWidth="1"/>
    <col min="10205" max="10205" width="8.140625" style="2" customWidth="1"/>
    <col min="10206" max="10206" width="14.42578125" style="2" customWidth="1"/>
    <col min="10207" max="10207" width="37.42578125" style="2" customWidth="1"/>
    <col min="10208" max="10208" width="63.140625" style="2" customWidth="1"/>
    <col min="10209" max="10209" width="20" style="2" customWidth="1"/>
    <col min="10210" max="10210" width="11.140625" style="2" customWidth="1"/>
    <col min="10211" max="10211" width="10.85546875" style="2" customWidth="1"/>
    <col min="10212" max="10212" width="21" style="2" customWidth="1"/>
    <col min="10213" max="10213" width="10.85546875" style="2" customWidth="1"/>
    <col min="10214" max="10214" width="17.42578125" style="2" customWidth="1"/>
    <col min="10215" max="10215" width="14.85546875" style="2" customWidth="1"/>
    <col min="10216" max="10216" width="15" style="2" customWidth="1"/>
    <col min="10217" max="10217" width="14.85546875" style="2" customWidth="1"/>
    <col min="10218" max="10218" width="7.140625" style="2" customWidth="1"/>
    <col min="10219" max="10220" width="20.140625" style="2" customWidth="1"/>
    <col min="10221" max="10221" width="18.42578125" style="2" customWidth="1"/>
    <col min="10222" max="10222" width="9.140625" style="2" customWidth="1"/>
    <col min="10223" max="10223" width="12" style="2" customWidth="1"/>
    <col min="10224" max="10224" width="14.85546875" style="2" customWidth="1"/>
    <col min="10225" max="10225" width="22.42578125" style="2" customWidth="1"/>
    <col min="10226" max="10226" width="14.85546875" style="2" customWidth="1"/>
    <col min="10227" max="10227" width="7.140625" style="2" customWidth="1"/>
    <col min="10228" max="10228" width="20.140625" style="2" customWidth="1"/>
    <col min="10229" max="10460" width="8.85546875" style="2" customWidth="1"/>
    <col min="10461" max="10461" width="8.140625" style="2" customWidth="1"/>
    <col min="10462" max="10462" width="14.42578125" style="2" customWidth="1"/>
    <col min="10463" max="10463" width="37.42578125" style="2" customWidth="1"/>
    <col min="10464" max="10464" width="63.140625" style="2" customWidth="1"/>
    <col min="10465" max="10465" width="20" style="2" customWidth="1"/>
    <col min="10466" max="10466" width="11.140625" style="2" customWidth="1"/>
    <col min="10467" max="10467" width="10.85546875" style="2" customWidth="1"/>
    <col min="10468" max="10468" width="21" style="2" customWidth="1"/>
    <col min="10469" max="10469" width="10.85546875" style="2" customWidth="1"/>
    <col min="10470" max="10470" width="17.42578125" style="2" customWidth="1"/>
    <col min="10471" max="10471" width="14.85546875" style="2" customWidth="1"/>
    <col min="10472" max="10472" width="15" style="2" customWidth="1"/>
    <col min="10473" max="10473" width="14.85546875" style="2" customWidth="1"/>
    <col min="10474" max="10474" width="7.140625" style="2" customWidth="1"/>
    <col min="10475" max="10476" width="20.140625" style="2" customWidth="1"/>
    <col min="10477" max="10477" width="18.42578125" style="2" customWidth="1"/>
    <col min="10478" max="10478" width="9.140625" style="2" customWidth="1"/>
    <col min="10479" max="10479" width="12" style="2" customWidth="1"/>
    <col min="10480" max="10480" width="14.85546875" style="2" customWidth="1"/>
    <col min="10481" max="10481" width="22.42578125" style="2" customWidth="1"/>
    <col min="10482" max="10482" width="14.85546875" style="2" customWidth="1"/>
    <col min="10483" max="10483" width="7.140625" style="2" customWidth="1"/>
    <col min="10484" max="10484" width="20.140625" style="2" customWidth="1"/>
    <col min="10485" max="10716" width="8.85546875" style="2" customWidth="1"/>
    <col min="10717" max="10717" width="8.140625" style="2" customWidth="1"/>
    <col min="10718" max="10718" width="14.42578125" style="2" customWidth="1"/>
    <col min="10719" max="10719" width="37.42578125" style="2" customWidth="1"/>
    <col min="10720" max="10720" width="63.140625" style="2" customWidth="1"/>
    <col min="10721" max="10721" width="20" style="2" customWidth="1"/>
    <col min="10722" max="10722" width="11.140625" style="2" customWidth="1"/>
    <col min="10723" max="10723" width="10.85546875" style="2" customWidth="1"/>
    <col min="10724" max="10724" width="21" style="2" customWidth="1"/>
    <col min="10725" max="10725" width="10.85546875" style="2" customWidth="1"/>
    <col min="10726" max="10726" width="17.42578125" style="2" customWidth="1"/>
    <col min="10727" max="10727" width="14.85546875" style="2" customWidth="1"/>
    <col min="10728" max="10728" width="15" style="2" customWidth="1"/>
    <col min="10729" max="10729" width="14.85546875" style="2" customWidth="1"/>
    <col min="10730" max="10730" width="7.140625" style="2" customWidth="1"/>
    <col min="10731" max="10732" width="20.140625" style="2" customWidth="1"/>
    <col min="10733" max="10733" width="18.42578125" style="2" customWidth="1"/>
    <col min="10734" max="10734" width="9.140625" style="2" customWidth="1"/>
    <col min="10735" max="10735" width="12" style="2" customWidth="1"/>
    <col min="10736" max="10736" width="14.85546875" style="2" customWidth="1"/>
    <col min="10737" max="10737" width="22.42578125" style="2" customWidth="1"/>
    <col min="10738" max="10738" width="14.85546875" style="2" customWidth="1"/>
    <col min="10739" max="10739" width="7.140625" style="2" customWidth="1"/>
    <col min="10740" max="10740" width="20.140625" style="2" customWidth="1"/>
    <col min="10741" max="10972" width="8.85546875" style="2" customWidth="1"/>
    <col min="10973" max="10973" width="8.140625" style="2" customWidth="1"/>
    <col min="10974" max="10974" width="14.42578125" style="2" customWidth="1"/>
    <col min="10975" max="10975" width="37.42578125" style="2" customWidth="1"/>
    <col min="10976" max="10976" width="63.140625" style="2" customWidth="1"/>
    <col min="10977" max="10977" width="20" style="2" customWidth="1"/>
    <col min="10978" max="10978" width="11.140625" style="2" customWidth="1"/>
    <col min="10979" max="10979" width="10.85546875" style="2" customWidth="1"/>
    <col min="10980" max="10980" width="21" style="2" customWidth="1"/>
    <col min="10981" max="10981" width="10.85546875" style="2" customWidth="1"/>
    <col min="10982" max="10982" width="17.42578125" style="2" customWidth="1"/>
    <col min="10983" max="10983" width="14.85546875" style="2" customWidth="1"/>
    <col min="10984" max="10984" width="15" style="2" customWidth="1"/>
    <col min="10985" max="10985" width="14.85546875" style="2" customWidth="1"/>
    <col min="10986" max="10986" width="7.140625" style="2" customWidth="1"/>
    <col min="10987" max="10988" width="20.140625" style="2" customWidth="1"/>
    <col min="10989" max="10989" width="18.42578125" style="2" customWidth="1"/>
    <col min="10990" max="10990" width="9.140625" style="2" customWidth="1"/>
    <col min="10991" max="10991" width="12" style="2" customWidth="1"/>
    <col min="10992" max="10992" width="14.85546875" style="2" customWidth="1"/>
    <col min="10993" max="10993" width="22.42578125" style="2" customWidth="1"/>
    <col min="10994" max="10994" width="14.85546875" style="2" customWidth="1"/>
    <col min="10995" max="10995" width="7.140625" style="2" customWidth="1"/>
    <col min="10996" max="10996" width="20.140625" style="2" customWidth="1"/>
    <col min="10997" max="11228" width="8.85546875" style="2" customWidth="1"/>
    <col min="11229" max="11229" width="8.140625" style="2" customWidth="1"/>
    <col min="11230" max="11230" width="14.42578125" style="2" customWidth="1"/>
    <col min="11231" max="11231" width="37.42578125" style="2" customWidth="1"/>
    <col min="11232" max="11232" width="63.140625" style="2" customWidth="1"/>
    <col min="11233" max="11233" width="20" style="2" customWidth="1"/>
    <col min="11234" max="11234" width="11.140625" style="2" customWidth="1"/>
    <col min="11235" max="11235" width="10.85546875" style="2" customWidth="1"/>
    <col min="11236" max="11236" width="21" style="2" customWidth="1"/>
    <col min="11237" max="11237" width="10.85546875" style="2" customWidth="1"/>
    <col min="11238" max="11238" width="17.42578125" style="2" customWidth="1"/>
    <col min="11239" max="11239" width="14.85546875" style="2" customWidth="1"/>
    <col min="11240" max="11240" width="15" style="2" customWidth="1"/>
    <col min="11241" max="11241" width="14.85546875" style="2" customWidth="1"/>
    <col min="11242" max="11242" width="7.140625" style="2" customWidth="1"/>
    <col min="11243" max="11244" width="20.140625" style="2" customWidth="1"/>
    <col min="11245" max="11245" width="18.42578125" style="2" customWidth="1"/>
    <col min="11246" max="11246" width="9.140625" style="2" customWidth="1"/>
    <col min="11247" max="11247" width="12" style="2" customWidth="1"/>
    <col min="11248" max="11248" width="14.85546875" style="2" customWidth="1"/>
    <col min="11249" max="11249" width="22.42578125" style="2" customWidth="1"/>
    <col min="11250" max="11250" width="14.85546875" style="2" customWidth="1"/>
    <col min="11251" max="11251" width="7.140625" style="2" customWidth="1"/>
    <col min="11252" max="11252" width="20.140625" style="2" customWidth="1"/>
    <col min="11253" max="11484" width="8.85546875" style="2" customWidth="1"/>
    <col min="11485" max="11485" width="8.140625" style="2" customWidth="1"/>
    <col min="11486" max="11486" width="14.42578125" style="2" customWidth="1"/>
    <col min="11487" max="11487" width="37.42578125" style="2" customWidth="1"/>
    <col min="11488" max="11488" width="63.140625" style="2" customWidth="1"/>
    <col min="11489" max="11489" width="20" style="2" customWidth="1"/>
    <col min="11490" max="11490" width="11.140625" style="2" customWidth="1"/>
    <col min="11491" max="11491" width="10.85546875" style="2" customWidth="1"/>
    <col min="11492" max="11492" width="21" style="2" customWidth="1"/>
    <col min="11493" max="11493" width="10.85546875" style="2" customWidth="1"/>
    <col min="11494" max="11494" width="17.42578125" style="2" customWidth="1"/>
    <col min="11495" max="11495" width="14.85546875" style="2" customWidth="1"/>
    <col min="11496" max="11496" width="15" style="2" customWidth="1"/>
    <col min="11497" max="11497" width="14.85546875" style="2" customWidth="1"/>
    <col min="11498" max="11498" width="7.140625" style="2" customWidth="1"/>
    <col min="11499" max="11500" width="20.140625" style="2" customWidth="1"/>
    <col min="11501" max="11501" width="18.42578125" style="2" customWidth="1"/>
    <col min="11502" max="11502" width="9.140625" style="2" customWidth="1"/>
    <col min="11503" max="11503" width="12" style="2" customWidth="1"/>
    <col min="11504" max="11504" width="14.85546875" style="2" customWidth="1"/>
    <col min="11505" max="11505" width="22.42578125" style="2" customWidth="1"/>
    <col min="11506" max="11506" width="14.85546875" style="2" customWidth="1"/>
    <col min="11507" max="11507" width="7.140625" style="2" customWidth="1"/>
    <col min="11508" max="11508" width="20.140625" style="2" customWidth="1"/>
    <col min="11509" max="11740" width="8.85546875" style="2" customWidth="1"/>
    <col min="11741" max="11741" width="8.140625" style="2" customWidth="1"/>
    <col min="11742" max="11742" width="14.42578125" style="2" customWidth="1"/>
    <col min="11743" max="11743" width="37.42578125" style="2" customWidth="1"/>
    <col min="11744" max="11744" width="63.140625" style="2" customWidth="1"/>
    <col min="11745" max="11745" width="20" style="2" customWidth="1"/>
    <col min="11746" max="11746" width="11.140625" style="2" customWidth="1"/>
    <col min="11747" max="11747" width="10.85546875" style="2" customWidth="1"/>
    <col min="11748" max="11748" width="21" style="2" customWidth="1"/>
    <col min="11749" max="11749" width="10.85546875" style="2" customWidth="1"/>
    <col min="11750" max="11750" width="17.42578125" style="2" customWidth="1"/>
    <col min="11751" max="11751" width="14.85546875" style="2" customWidth="1"/>
    <col min="11752" max="11752" width="15" style="2" customWidth="1"/>
    <col min="11753" max="11753" width="14.85546875" style="2" customWidth="1"/>
    <col min="11754" max="11754" width="7.140625" style="2" customWidth="1"/>
    <col min="11755" max="11756" width="20.140625" style="2" customWidth="1"/>
    <col min="11757" max="11757" width="18.42578125" style="2" customWidth="1"/>
    <col min="11758" max="11758" width="9.140625" style="2" customWidth="1"/>
    <col min="11759" max="11759" width="12" style="2" customWidth="1"/>
    <col min="11760" max="11760" width="14.85546875" style="2" customWidth="1"/>
    <col min="11761" max="11761" width="22.42578125" style="2" customWidth="1"/>
    <col min="11762" max="11762" width="14.85546875" style="2" customWidth="1"/>
    <col min="11763" max="11763" width="7.140625" style="2" customWidth="1"/>
    <col min="11764" max="11764" width="20.140625" style="2" customWidth="1"/>
    <col min="11765" max="11996" width="8.85546875" style="2" customWidth="1"/>
    <col min="11997" max="11997" width="8.140625" style="2" customWidth="1"/>
    <col min="11998" max="11998" width="14.42578125" style="2" customWidth="1"/>
    <col min="11999" max="11999" width="37.42578125" style="2" customWidth="1"/>
    <col min="12000" max="12000" width="63.140625" style="2" customWidth="1"/>
    <col min="12001" max="12001" width="20" style="2" customWidth="1"/>
    <col min="12002" max="12002" width="11.140625" style="2" customWidth="1"/>
    <col min="12003" max="12003" width="10.85546875" style="2" customWidth="1"/>
    <col min="12004" max="12004" width="21" style="2" customWidth="1"/>
    <col min="12005" max="12005" width="10.85546875" style="2" customWidth="1"/>
    <col min="12006" max="12006" width="17.42578125" style="2" customWidth="1"/>
    <col min="12007" max="12007" width="14.85546875" style="2" customWidth="1"/>
    <col min="12008" max="12008" width="15" style="2" customWidth="1"/>
    <col min="12009" max="12009" width="14.85546875" style="2" customWidth="1"/>
    <col min="12010" max="12010" width="7.140625" style="2" customWidth="1"/>
    <col min="12011" max="12012" width="20.140625" style="2" customWidth="1"/>
    <col min="12013" max="12013" width="18.42578125" style="2" customWidth="1"/>
    <col min="12014" max="12014" width="9.140625" style="2" customWidth="1"/>
    <col min="12015" max="12015" width="12" style="2" customWidth="1"/>
    <col min="12016" max="12016" width="14.85546875" style="2" customWidth="1"/>
    <col min="12017" max="12017" width="22.42578125" style="2" customWidth="1"/>
    <col min="12018" max="12018" width="14.85546875" style="2" customWidth="1"/>
    <col min="12019" max="12019" width="7.140625" style="2" customWidth="1"/>
    <col min="12020" max="12020" width="20.140625" style="2" customWidth="1"/>
    <col min="12021" max="12252" width="8.85546875" style="2" customWidth="1"/>
    <col min="12253" max="12253" width="8.140625" style="2" customWidth="1"/>
    <col min="12254" max="12254" width="14.42578125" style="2" customWidth="1"/>
    <col min="12255" max="12255" width="37.42578125" style="2" customWidth="1"/>
    <col min="12256" max="12256" width="63.140625" style="2" customWidth="1"/>
    <col min="12257" max="12257" width="20" style="2" customWidth="1"/>
    <col min="12258" max="12258" width="11.140625" style="2" customWidth="1"/>
    <col min="12259" max="12259" width="10.85546875" style="2" customWidth="1"/>
    <col min="12260" max="12260" width="21" style="2" customWidth="1"/>
    <col min="12261" max="12261" width="10.85546875" style="2" customWidth="1"/>
    <col min="12262" max="12262" width="17.42578125" style="2" customWidth="1"/>
    <col min="12263" max="12263" width="14.85546875" style="2" customWidth="1"/>
    <col min="12264" max="12264" width="15" style="2" customWidth="1"/>
    <col min="12265" max="12265" width="14.85546875" style="2" customWidth="1"/>
    <col min="12266" max="12266" width="7.140625" style="2" customWidth="1"/>
    <col min="12267" max="12268" width="20.140625" style="2" customWidth="1"/>
    <col min="12269" max="12269" width="18.42578125" style="2" customWidth="1"/>
    <col min="12270" max="12270" width="9.140625" style="2" customWidth="1"/>
    <col min="12271" max="12271" width="12" style="2" customWidth="1"/>
    <col min="12272" max="12272" width="14.85546875" style="2" customWidth="1"/>
    <col min="12273" max="12273" width="22.42578125" style="2" customWidth="1"/>
    <col min="12274" max="12274" width="14.85546875" style="2" customWidth="1"/>
    <col min="12275" max="12275" width="7.140625" style="2" customWidth="1"/>
    <col min="12276" max="12276" width="20.140625" style="2" customWidth="1"/>
    <col min="12277" max="12508" width="8.85546875" style="2" customWidth="1"/>
    <col min="12509" max="12509" width="8.140625" style="2" customWidth="1"/>
    <col min="12510" max="12510" width="14.42578125" style="2" customWidth="1"/>
    <col min="12511" max="12511" width="37.42578125" style="2" customWidth="1"/>
    <col min="12512" max="12512" width="63.140625" style="2" customWidth="1"/>
    <col min="12513" max="12513" width="20" style="2" customWidth="1"/>
    <col min="12514" max="12514" width="11.140625" style="2" customWidth="1"/>
    <col min="12515" max="12515" width="10.85546875" style="2" customWidth="1"/>
    <col min="12516" max="12516" width="21" style="2" customWidth="1"/>
    <col min="12517" max="12517" width="10.85546875" style="2" customWidth="1"/>
    <col min="12518" max="12518" width="17.42578125" style="2" customWidth="1"/>
    <col min="12519" max="12519" width="14.85546875" style="2" customWidth="1"/>
    <col min="12520" max="12520" width="15" style="2" customWidth="1"/>
    <col min="12521" max="12521" width="14.85546875" style="2" customWidth="1"/>
    <col min="12522" max="12522" width="7.140625" style="2" customWidth="1"/>
    <col min="12523" max="12524" width="20.140625" style="2" customWidth="1"/>
    <col min="12525" max="12525" width="18.42578125" style="2" customWidth="1"/>
    <col min="12526" max="12526" width="9.140625" style="2" customWidth="1"/>
    <col min="12527" max="12527" width="12" style="2" customWidth="1"/>
    <col min="12528" max="12528" width="14.85546875" style="2" customWidth="1"/>
    <col min="12529" max="12529" width="22.42578125" style="2" customWidth="1"/>
    <col min="12530" max="12530" width="14.85546875" style="2" customWidth="1"/>
    <col min="12531" max="12531" width="7.140625" style="2" customWidth="1"/>
    <col min="12532" max="12532" width="20.140625" style="2" customWidth="1"/>
    <col min="12533" max="12764" width="8.85546875" style="2" customWidth="1"/>
    <col min="12765" max="12765" width="8.140625" style="2" customWidth="1"/>
    <col min="12766" max="12766" width="14.42578125" style="2" customWidth="1"/>
    <col min="12767" max="12767" width="37.42578125" style="2" customWidth="1"/>
    <col min="12768" max="12768" width="63.140625" style="2" customWidth="1"/>
    <col min="12769" max="12769" width="20" style="2" customWidth="1"/>
    <col min="12770" max="12770" width="11.140625" style="2" customWidth="1"/>
    <col min="12771" max="12771" width="10.85546875" style="2" customWidth="1"/>
    <col min="12772" max="12772" width="21" style="2" customWidth="1"/>
    <col min="12773" max="12773" width="10.85546875" style="2" customWidth="1"/>
    <col min="12774" max="12774" width="17.42578125" style="2" customWidth="1"/>
    <col min="12775" max="12775" width="14.85546875" style="2" customWidth="1"/>
    <col min="12776" max="12776" width="15" style="2" customWidth="1"/>
    <col min="12777" max="12777" width="14.85546875" style="2" customWidth="1"/>
    <col min="12778" max="12778" width="7.140625" style="2" customWidth="1"/>
    <col min="12779" max="12780" width="20.140625" style="2" customWidth="1"/>
    <col min="12781" max="12781" width="18.42578125" style="2" customWidth="1"/>
    <col min="12782" max="12782" width="9.140625" style="2" customWidth="1"/>
    <col min="12783" max="12783" width="12" style="2" customWidth="1"/>
    <col min="12784" max="12784" width="14.85546875" style="2" customWidth="1"/>
    <col min="12785" max="12785" width="22.42578125" style="2" customWidth="1"/>
    <col min="12786" max="12786" width="14.85546875" style="2" customWidth="1"/>
    <col min="12787" max="12787" width="7.140625" style="2" customWidth="1"/>
    <col min="12788" max="12788" width="20.140625" style="2" customWidth="1"/>
    <col min="12789" max="13020" width="8.85546875" style="2" customWidth="1"/>
    <col min="13021" max="13021" width="8.140625" style="2" customWidth="1"/>
    <col min="13022" max="13022" width="14.42578125" style="2" customWidth="1"/>
    <col min="13023" max="13023" width="37.42578125" style="2" customWidth="1"/>
    <col min="13024" max="13024" width="63.140625" style="2" customWidth="1"/>
    <col min="13025" max="13025" width="20" style="2" customWidth="1"/>
    <col min="13026" max="13026" width="11.140625" style="2" customWidth="1"/>
    <col min="13027" max="13027" width="10.85546875" style="2" customWidth="1"/>
    <col min="13028" max="13028" width="21" style="2" customWidth="1"/>
    <col min="13029" max="13029" width="10.85546875" style="2" customWidth="1"/>
    <col min="13030" max="13030" width="17.42578125" style="2" customWidth="1"/>
    <col min="13031" max="13031" width="14.85546875" style="2" customWidth="1"/>
    <col min="13032" max="13032" width="15" style="2" customWidth="1"/>
    <col min="13033" max="13033" width="14.85546875" style="2" customWidth="1"/>
    <col min="13034" max="13034" width="7.140625" style="2" customWidth="1"/>
    <col min="13035" max="13036" width="20.140625" style="2" customWidth="1"/>
    <col min="13037" max="13037" width="18.42578125" style="2" customWidth="1"/>
    <col min="13038" max="13038" width="9.140625" style="2" customWidth="1"/>
    <col min="13039" max="13039" width="12" style="2" customWidth="1"/>
    <col min="13040" max="13040" width="14.85546875" style="2" customWidth="1"/>
    <col min="13041" max="13041" width="22.42578125" style="2" customWidth="1"/>
    <col min="13042" max="13042" width="14.85546875" style="2" customWidth="1"/>
    <col min="13043" max="13043" width="7.140625" style="2" customWidth="1"/>
    <col min="13044" max="13044" width="20.140625" style="2" customWidth="1"/>
    <col min="13045" max="13276" width="8.85546875" style="2" customWidth="1"/>
    <col min="13277" max="13277" width="8.140625" style="2" customWidth="1"/>
    <col min="13278" max="13278" width="14.42578125" style="2" customWidth="1"/>
    <col min="13279" max="13279" width="37.42578125" style="2" customWidth="1"/>
    <col min="13280" max="13280" width="63.140625" style="2" customWidth="1"/>
    <col min="13281" max="13281" width="20" style="2" customWidth="1"/>
    <col min="13282" max="13282" width="11.140625" style="2" customWidth="1"/>
    <col min="13283" max="13283" width="10.85546875" style="2" customWidth="1"/>
    <col min="13284" max="13284" width="21" style="2" customWidth="1"/>
    <col min="13285" max="13285" width="10.85546875" style="2" customWidth="1"/>
    <col min="13286" max="13286" width="17.42578125" style="2" customWidth="1"/>
    <col min="13287" max="13287" width="14.85546875" style="2" customWidth="1"/>
    <col min="13288" max="13288" width="15" style="2" customWidth="1"/>
    <col min="13289" max="13289" width="14.85546875" style="2" customWidth="1"/>
    <col min="13290" max="13290" width="7.140625" style="2" customWidth="1"/>
    <col min="13291" max="13292" width="20.140625" style="2" customWidth="1"/>
    <col min="13293" max="13293" width="18.42578125" style="2" customWidth="1"/>
    <col min="13294" max="13294" width="9.140625" style="2" customWidth="1"/>
    <col min="13295" max="13295" width="12" style="2" customWidth="1"/>
    <col min="13296" max="13296" width="14.85546875" style="2" customWidth="1"/>
    <col min="13297" max="13297" width="22.42578125" style="2" customWidth="1"/>
    <col min="13298" max="13298" width="14.85546875" style="2" customWidth="1"/>
    <col min="13299" max="13299" width="7.140625" style="2" customWidth="1"/>
    <col min="13300" max="13300" width="20.140625" style="2" customWidth="1"/>
    <col min="13301" max="13532" width="8.85546875" style="2" customWidth="1"/>
    <col min="13533" max="13533" width="8.140625" style="2" customWidth="1"/>
    <col min="13534" max="13534" width="14.42578125" style="2" customWidth="1"/>
    <col min="13535" max="13535" width="37.42578125" style="2" customWidth="1"/>
    <col min="13536" max="13536" width="63.140625" style="2" customWidth="1"/>
    <col min="13537" max="13537" width="20" style="2" customWidth="1"/>
    <col min="13538" max="13538" width="11.140625" style="2" customWidth="1"/>
    <col min="13539" max="13539" width="10.85546875" style="2" customWidth="1"/>
    <col min="13540" max="13540" width="21" style="2" customWidth="1"/>
    <col min="13541" max="13541" width="10.85546875" style="2" customWidth="1"/>
    <col min="13542" max="13542" width="17.42578125" style="2" customWidth="1"/>
    <col min="13543" max="13543" width="14.85546875" style="2" customWidth="1"/>
    <col min="13544" max="13544" width="15" style="2" customWidth="1"/>
    <col min="13545" max="13545" width="14.85546875" style="2" customWidth="1"/>
    <col min="13546" max="13546" width="7.140625" style="2" customWidth="1"/>
    <col min="13547" max="13548" width="20.140625" style="2" customWidth="1"/>
    <col min="13549" max="13549" width="18.42578125" style="2" customWidth="1"/>
    <col min="13550" max="13550" width="9.140625" style="2" customWidth="1"/>
    <col min="13551" max="13551" width="12" style="2" customWidth="1"/>
    <col min="13552" max="13552" width="14.85546875" style="2" customWidth="1"/>
    <col min="13553" max="13553" width="22.42578125" style="2" customWidth="1"/>
    <col min="13554" max="13554" width="14.85546875" style="2" customWidth="1"/>
    <col min="13555" max="13555" width="7.140625" style="2" customWidth="1"/>
    <col min="13556" max="13556" width="20.140625" style="2" customWidth="1"/>
    <col min="13557" max="13788" width="8.85546875" style="2" customWidth="1"/>
    <col min="13789" max="13789" width="8.140625" style="2" customWidth="1"/>
    <col min="13790" max="13790" width="14.42578125" style="2" customWidth="1"/>
    <col min="13791" max="13791" width="37.42578125" style="2" customWidth="1"/>
    <col min="13792" max="13792" width="63.140625" style="2" customWidth="1"/>
    <col min="13793" max="13793" width="20" style="2" customWidth="1"/>
    <col min="13794" max="13794" width="11.140625" style="2" customWidth="1"/>
    <col min="13795" max="13795" width="10.85546875" style="2" customWidth="1"/>
    <col min="13796" max="13796" width="21" style="2" customWidth="1"/>
    <col min="13797" max="13797" width="10.85546875" style="2" customWidth="1"/>
    <col min="13798" max="13798" width="17.42578125" style="2" customWidth="1"/>
    <col min="13799" max="13799" width="14.85546875" style="2" customWidth="1"/>
    <col min="13800" max="13800" width="15" style="2" customWidth="1"/>
    <col min="13801" max="13801" width="14.85546875" style="2" customWidth="1"/>
    <col min="13802" max="13802" width="7.140625" style="2" customWidth="1"/>
    <col min="13803" max="13804" width="20.140625" style="2" customWidth="1"/>
    <col min="13805" max="13805" width="18.42578125" style="2" customWidth="1"/>
    <col min="13806" max="13806" width="9.140625" style="2" customWidth="1"/>
    <col min="13807" max="13807" width="12" style="2" customWidth="1"/>
    <col min="13808" max="13808" width="14.85546875" style="2" customWidth="1"/>
    <col min="13809" max="13809" width="22.42578125" style="2" customWidth="1"/>
    <col min="13810" max="13810" width="14.85546875" style="2" customWidth="1"/>
    <col min="13811" max="13811" width="7.140625" style="2" customWidth="1"/>
    <col min="13812" max="13812" width="20.140625" style="2" customWidth="1"/>
    <col min="13813" max="14044" width="8.85546875" style="2" customWidth="1"/>
    <col min="14045" max="14045" width="8.140625" style="2" customWidth="1"/>
    <col min="14046" max="14046" width="14.42578125" style="2" customWidth="1"/>
    <col min="14047" max="14047" width="37.42578125" style="2" customWidth="1"/>
    <col min="14048" max="14048" width="63.140625" style="2" customWidth="1"/>
    <col min="14049" max="14049" width="20" style="2" customWidth="1"/>
    <col min="14050" max="14050" width="11.140625" style="2" customWidth="1"/>
    <col min="14051" max="14051" width="10.85546875" style="2" customWidth="1"/>
    <col min="14052" max="14052" width="21" style="2" customWidth="1"/>
    <col min="14053" max="14053" width="10.85546875" style="2" customWidth="1"/>
    <col min="14054" max="14054" width="17.42578125" style="2" customWidth="1"/>
    <col min="14055" max="14055" width="14.85546875" style="2" customWidth="1"/>
    <col min="14056" max="14056" width="15" style="2" customWidth="1"/>
    <col min="14057" max="14057" width="14.85546875" style="2" customWidth="1"/>
    <col min="14058" max="14058" width="7.140625" style="2" customWidth="1"/>
    <col min="14059" max="14060" width="20.140625" style="2" customWidth="1"/>
    <col min="14061" max="14061" width="18.42578125" style="2" customWidth="1"/>
    <col min="14062" max="14062" width="9.140625" style="2" customWidth="1"/>
    <col min="14063" max="14063" width="12" style="2" customWidth="1"/>
    <col min="14064" max="14064" width="14.85546875" style="2" customWidth="1"/>
    <col min="14065" max="14065" width="22.42578125" style="2" customWidth="1"/>
    <col min="14066" max="14066" width="14.85546875" style="2" customWidth="1"/>
    <col min="14067" max="14067" width="7.140625" style="2" customWidth="1"/>
    <col min="14068" max="14068" width="20.140625" style="2" customWidth="1"/>
    <col min="14069" max="14300" width="8.85546875" style="2" customWidth="1"/>
    <col min="14301" max="14301" width="8.140625" style="2" customWidth="1"/>
    <col min="14302" max="14302" width="14.42578125" style="2" customWidth="1"/>
    <col min="14303" max="14303" width="37.42578125" style="2" customWidth="1"/>
    <col min="14304" max="14304" width="63.140625" style="2" customWidth="1"/>
    <col min="14305" max="14305" width="20" style="2" customWidth="1"/>
    <col min="14306" max="14306" width="11.140625" style="2" customWidth="1"/>
    <col min="14307" max="14307" width="10.85546875" style="2" customWidth="1"/>
    <col min="14308" max="14308" width="21" style="2" customWidth="1"/>
    <col min="14309" max="14309" width="10.85546875" style="2" customWidth="1"/>
    <col min="14310" max="14310" width="17.42578125" style="2" customWidth="1"/>
    <col min="14311" max="14311" width="14.85546875" style="2" customWidth="1"/>
    <col min="14312" max="14312" width="15" style="2" customWidth="1"/>
    <col min="14313" max="14313" width="14.85546875" style="2" customWidth="1"/>
    <col min="14314" max="14314" width="7.140625" style="2" customWidth="1"/>
    <col min="14315" max="14316" width="20.140625" style="2" customWidth="1"/>
    <col min="14317" max="14317" width="18.42578125" style="2" customWidth="1"/>
    <col min="14318" max="14318" width="9.140625" style="2" customWidth="1"/>
    <col min="14319" max="14319" width="12" style="2" customWidth="1"/>
    <col min="14320" max="14320" width="14.85546875" style="2" customWidth="1"/>
    <col min="14321" max="14321" width="22.42578125" style="2" customWidth="1"/>
    <col min="14322" max="14322" width="14.85546875" style="2" customWidth="1"/>
    <col min="14323" max="14323" width="7.140625" style="2" customWidth="1"/>
    <col min="14324" max="14324" width="20.140625" style="2" customWidth="1"/>
    <col min="14325" max="14556" width="8.85546875" style="2" customWidth="1"/>
    <col min="14557" max="14557" width="8.140625" style="2" customWidth="1"/>
    <col min="14558" max="14558" width="14.42578125" style="2" customWidth="1"/>
    <col min="14559" max="14559" width="37.42578125" style="2" customWidth="1"/>
    <col min="14560" max="14560" width="63.140625" style="2" customWidth="1"/>
    <col min="14561" max="14561" width="20" style="2" customWidth="1"/>
    <col min="14562" max="14562" width="11.140625" style="2" customWidth="1"/>
    <col min="14563" max="14563" width="10.85546875" style="2" customWidth="1"/>
    <col min="14564" max="14564" width="21" style="2" customWidth="1"/>
    <col min="14565" max="14565" width="10.85546875" style="2" customWidth="1"/>
    <col min="14566" max="14566" width="17.42578125" style="2" customWidth="1"/>
    <col min="14567" max="14567" width="14.85546875" style="2" customWidth="1"/>
    <col min="14568" max="14568" width="15" style="2" customWidth="1"/>
    <col min="14569" max="14569" width="14.85546875" style="2" customWidth="1"/>
    <col min="14570" max="14570" width="7.140625" style="2" customWidth="1"/>
    <col min="14571" max="14572" width="20.140625" style="2" customWidth="1"/>
    <col min="14573" max="14573" width="18.42578125" style="2" customWidth="1"/>
    <col min="14574" max="14574" width="9.140625" style="2" customWidth="1"/>
    <col min="14575" max="14575" width="12" style="2" customWidth="1"/>
    <col min="14576" max="14576" width="14.85546875" style="2" customWidth="1"/>
    <col min="14577" max="14577" width="22.42578125" style="2" customWidth="1"/>
    <col min="14578" max="14578" width="14.85546875" style="2" customWidth="1"/>
    <col min="14579" max="14579" width="7.140625" style="2" customWidth="1"/>
    <col min="14580" max="14580" width="20.140625" style="2" customWidth="1"/>
    <col min="14581" max="14812" width="8.85546875" style="2" customWidth="1"/>
    <col min="14813" max="14813" width="8.140625" style="2" customWidth="1"/>
    <col min="14814" max="14814" width="14.42578125" style="2" customWidth="1"/>
    <col min="14815" max="14815" width="37.42578125" style="2" customWidth="1"/>
    <col min="14816" max="14816" width="63.140625" style="2" customWidth="1"/>
    <col min="14817" max="14817" width="20" style="2" customWidth="1"/>
    <col min="14818" max="14818" width="11.140625" style="2" customWidth="1"/>
    <col min="14819" max="14819" width="10.85546875" style="2" customWidth="1"/>
    <col min="14820" max="14820" width="21" style="2" customWidth="1"/>
    <col min="14821" max="14821" width="10.85546875" style="2" customWidth="1"/>
    <col min="14822" max="14822" width="17.42578125" style="2" customWidth="1"/>
    <col min="14823" max="14823" width="14.85546875" style="2" customWidth="1"/>
    <col min="14824" max="14824" width="15" style="2" customWidth="1"/>
    <col min="14825" max="14825" width="14.85546875" style="2" customWidth="1"/>
    <col min="14826" max="14826" width="7.140625" style="2" customWidth="1"/>
    <col min="14827" max="14828" width="20.140625" style="2" customWidth="1"/>
    <col min="14829" max="14829" width="18.42578125" style="2" customWidth="1"/>
    <col min="14830" max="14830" width="9.140625" style="2" customWidth="1"/>
    <col min="14831" max="14831" width="12" style="2" customWidth="1"/>
    <col min="14832" max="14832" width="14.85546875" style="2" customWidth="1"/>
    <col min="14833" max="14833" width="22.42578125" style="2" customWidth="1"/>
    <col min="14834" max="14834" width="14.85546875" style="2" customWidth="1"/>
    <col min="14835" max="14835" width="7.140625" style="2" customWidth="1"/>
    <col min="14836" max="14836" width="20.140625" style="2" customWidth="1"/>
    <col min="14837" max="15068" width="8.85546875" style="2" customWidth="1"/>
    <col min="15069" max="15069" width="8.140625" style="2" customWidth="1"/>
    <col min="15070" max="15070" width="14.42578125" style="2" customWidth="1"/>
    <col min="15071" max="15071" width="37.42578125" style="2" customWidth="1"/>
    <col min="15072" max="15072" width="63.140625" style="2" customWidth="1"/>
    <col min="15073" max="15073" width="20" style="2" customWidth="1"/>
    <col min="15074" max="15074" width="11.140625" style="2" customWidth="1"/>
    <col min="15075" max="15075" width="10.85546875" style="2" customWidth="1"/>
    <col min="15076" max="15076" width="21" style="2" customWidth="1"/>
    <col min="15077" max="15077" width="10.85546875" style="2" customWidth="1"/>
    <col min="15078" max="15078" width="17.42578125" style="2" customWidth="1"/>
    <col min="15079" max="15079" width="14.85546875" style="2" customWidth="1"/>
    <col min="15080" max="15080" width="15" style="2" customWidth="1"/>
    <col min="15081" max="15081" width="14.85546875" style="2" customWidth="1"/>
    <col min="15082" max="15082" width="7.140625" style="2" customWidth="1"/>
    <col min="15083" max="15084" width="20.140625" style="2" customWidth="1"/>
    <col min="15085" max="15085" width="18.42578125" style="2" customWidth="1"/>
    <col min="15086" max="15086" width="9.140625" style="2" customWidth="1"/>
    <col min="15087" max="15087" width="12" style="2" customWidth="1"/>
    <col min="15088" max="15088" width="14.85546875" style="2" customWidth="1"/>
    <col min="15089" max="15089" width="22.42578125" style="2" customWidth="1"/>
    <col min="15090" max="15090" width="14.85546875" style="2" customWidth="1"/>
    <col min="15091" max="15091" width="7.140625" style="2" customWidth="1"/>
    <col min="15092" max="15092" width="20.140625" style="2" customWidth="1"/>
    <col min="15093" max="15324" width="8.85546875" style="2" customWidth="1"/>
    <col min="15325" max="15325" width="8.140625" style="2" customWidth="1"/>
    <col min="15326" max="15326" width="14.42578125" style="2" customWidth="1"/>
    <col min="15327" max="15327" width="37.42578125" style="2" customWidth="1"/>
    <col min="15328" max="15328" width="63.140625" style="2" customWidth="1"/>
    <col min="15329" max="15329" width="20" style="2" customWidth="1"/>
    <col min="15330" max="15330" width="11.140625" style="2" customWidth="1"/>
    <col min="15331" max="15331" width="10.85546875" style="2" customWidth="1"/>
    <col min="15332" max="15332" width="21" style="2" customWidth="1"/>
    <col min="15333" max="15333" width="10.85546875" style="2" customWidth="1"/>
    <col min="15334" max="15334" width="17.42578125" style="2" customWidth="1"/>
    <col min="15335" max="15335" width="14.85546875" style="2" customWidth="1"/>
    <col min="15336" max="15336" width="15" style="2" customWidth="1"/>
    <col min="15337" max="15337" width="14.85546875" style="2" customWidth="1"/>
    <col min="15338" max="15338" width="7.140625" style="2" customWidth="1"/>
    <col min="15339" max="15340" width="20.140625" style="2" customWidth="1"/>
    <col min="15341" max="15341" width="18.42578125" style="2" customWidth="1"/>
    <col min="15342" max="15342" width="9.140625" style="2" customWidth="1"/>
    <col min="15343" max="15343" width="12" style="2" customWidth="1"/>
    <col min="15344" max="15344" width="14.85546875" style="2" customWidth="1"/>
    <col min="15345" max="15345" width="22.42578125" style="2" customWidth="1"/>
    <col min="15346" max="15346" width="14.85546875" style="2" customWidth="1"/>
    <col min="15347" max="15347" width="7.140625" style="2" customWidth="1"/>
    <col min="15348" max="15348" width="20.140625" style="2" customWidth="1"/>
    <col min="15349" max="15580" width="8.85546875" style="2" customWidth="1"/>
    <col min="15581" max="15581" width="8.140625" style="2" customWidth="1"/>
    <col min="15582" max="15582" width="14.42578125" style="2" customWidth="1"/>
    <col min="15583" max="15583" width="37.42578125" style="2" customWidth="1"/>
    <col min="15584" max="15584" width="63.140625" style="2" customWidth="1"/>
    <col min="15585" max="15585" width="20" style="2" customWidth="1"/>
    <col min="15586" max="15586" width="11.140625" style="2" customWidth="1"/>
    <col min="15587" max="15587" width="10.85546875" style="2" customWidth="1"/>
    <col min="15588" max="15588" width="21" style="2" customWidth="1"/>
    <col min="15589" max="15589" width="10.85546875" style="2" customWidth="1"/>
    <col min="15590" max="15590" width="17.42578125" style="2" customWidth="1"/>
    <col min="15591" max="15591" width="14.85546875" style="2" customWidth="1"/>
    <col min="15592" max="15592" width="15" style="2" customWidth="1"/>
    <col min="15593" max="15593" width="14.85546875" style="2" customWidth="1"/>
    <col min="15594" max="15594" width="7.140625" style="2" customWidth="1"/>
    <col min="15595" max="15596" width="20.140625" style="2" customWidth="1"/>
    <col min="15597" max="15597" width="18.42578125" style="2" customWidth="1"/>
    <col min="15598" max="15598" width="9.140625" style="2" customWidth="1"/>
    <col min="15599" max="15599" width="12" style="2" customWidth="1"/>
    <col min="15600" max="15600" width="14.85546875" style="2" customWidth="1"/>
    <col min="15601" max="15601" width="22.42578125" style="2" customWidth="1"/>
    <col min="15602" max="15602" width="14.85546875" style="2" customWidth="1"/>
    <col min="15603" max="15603" width="7.140625" style="2" customWidth="1"/>
    <col min="15604" max="15604" width="20.140625" style="2" customWidth="1"/>
    <col min="15605" max="15836" width="8.85546875" style="2" customWidth="1"/>
    <col min="15837" max="15837" width="8.140625" style="2" customWidth="1"/>
    <col min="15838" max="15838" width="14.42578125" style="2" customWidth="1"/>
    <col min="15839" max="15839" width="37.42578125" style="2" customWidth="1"/>
    <col min="15840" max="15840" width="63.140625" style="2" customWidth="1"/>
    <col min="15841" max="15841" width="20" style="2" customWidth="1"/>
    <col min="15842" max="15842" width="11.140625" style="2" customWidth="1"/>
    <col min="15843" max="15843" width="10.85546875" style="2" customWidth="1"/>
    <col min="15844" max="15844" width="21" style="2" customWidth="1"/>
    <col min="15845" max="15845" width="10.85546875" style="2" customWidth="1"/>
    <col min="15846" max="15846" width="17.42578125" style="2" customWidth="1"/>
    <col min="15847" max="15847" width="14.85546875" style="2" customWidth="1"/>
    <col min="15848" max="15848" width="15" style="2" customWidth="1"/>
    <col min="15849" max="15849" width="14.85546875" style="2" customWidth="1"/>
    <col min="15850" max="15850" width="7.140625" style="2" customWidth="1"/>
    <col min="15851" max="15852" width="20.140625" style="2" customWidth="1"/>
    <col min="15853" max="15853" width="18.42578125" style="2" customWidth="1"/>
    <col min="15854" max="15854" width="9.140625" style="2" customWidth="1"/>
    <col min="15855" max="15855" width="12" style="2" customWidth="1"/>
    <col min="15856" max="15856" width="14.85546875" style="2" customWidth="1"/>
    <col min="15857" max="15857" width="22.42578125" style="2" customWidth="1"/>
    <col min="15858" max="15858" width="14.85546875" style="2" customWidth="1"/>
    <col min="15859" max="15859" width="7.140625" style="2" customWidth="1"/>
    <col min="15860" max="15860" width="20.140625" style="2" customWidth="1"/>
    <col min="15861" max="16092" width="8.85546875" style="2" customWidth="1"/>
    <col min="16093" max="16093" width="8.140625" style="2" customWidth="1"/>
    <col min="16094" max="16094" width="14.42578125" style="2" customWidth="1"/>
    <col min="16095" max="16095" width="37.42578125" style="2" customWidth="1"/>
    <col min="16096" max="16096" width="63.140625" style="2" customWidth="1"/>
    <col min="16097" max="16097" width="20" style="2" customWidth="1"/>
    <col min="16098" max="16098" width="11.140625" style="2" customWidth="1"/>
    <col min="16099" max="16099" width="10.85546875" style="2" customWidth="1"/>
    <col min="16100" max="16100" width="21" style="2" customWidth="1"/>
    <col min="16101" max="16101" width="10.85546875" style="2" customWidth="1"/>
    <col min="16102" max="16102" width="17.42578125" style="2" customWidth="1"/>
    <col min="16103" max="16103" width="14.85546875" style="2" customWidth="1"/>
    <col min="16104" max="16104" width="15" style="2" customWidth="1"/>
    <col min="16105" max="16105" width="14.85546875" style="2" customWidth="1"/>
    <col min="16106" max="16106" width="7.140625" style="2" customWidth="1"/>
    <col min="16107" max="16108" width="20.140625" style="2" customWidth="1"/>
    <col min="16109" max="16109" width="18.42578125" style="2" customWidth="1"/>
    <col min="16110" max="16110" width="9.140625" style="2" customWidth="1"/>
    <col min="16111" max="16111" width="12" style="2" customWidth="1"/>
    <col min="16112" max="16112" width="14.85546875" style="2" customWidth="1"/>
    <col min="16113" max="16113" width="22.42578125" style="2" customWidth="1"/>
    <col min="16114" max="16114" width="14.85546875" style="2" customWidth="1"/>
    <col min="16115" max="16115" width="7.140625" style="2" customWidth="1"/>
    <col min="16116" max="16116" width="20.140625" style="2" customWidth="1"/>
    <col min="16117" max="16384" width="8.85546875" style="2" customWidth="1"/>
  </cols>
  <sheetData>
    <row r="1" spans="1:21" ht="14.1" customHeight="1">
      <c r="A1" s="1" t="s">
        <v>5328</v>
      </c>
      <c r="B1" s="2"/>
      <c r="C1" s="2"/>
      <c r="D1" s="2"/>
      <c r="F1" s="2"/>
      <c r="H1" s="2"/>
      <c r="J1" s="2"/>
      <c r="K1" s="2"/>
      <c r="L1" s="2"/>
      <c r="M1" s="2"/>
      <c r="N1" s="2"/>
      <c r="O1" s="2"/>
      <c r="P1" s="2"/>
      <c r="R1" s="10"/>
    </row>
    <row r="2" spans="1:21" s="4" customFormat="1" ht="14.1" customHeight="1">
      <c r="A2" s="4" t="s">
        <v>5329</v>
      </c>
      <c r="E2" s="69"/>
      <c r="R2" s="336"/>
    </row>
    <row r="3" spans="1:21" s="6" customFormat="1" ht="14.1" customHeight="1">
      <c r="A3" s="3"/>
      <c r="B3" s="16"/>
      <c r="C3" s="16"/>
      <c r="D3" s="23"/>
      <c r="E3" s="16"/>
      <c r="F3" s="23"/>
      <c r="G3" s="15"/>
      <c r="H3" s="25"/>
      <c r="I3" s="15"/>
      <c r="J3" s="25"/>
      <c r="K3" s="25"/>
      <c r="L3" s="25"/>
      <c r="M3" s="25"/>
      <c r="N3" s="25"/>
      <c r="O3" s="25"/>
      <c r="P3" s="25"/>
      <c r="Q3" s="2"/>
      <c r="R3" s="355" t="s">
        <v>2</v>
      </c>
      <c r="S3" s="2"/>
      <c r="T3" s="2"/>
      <c r="U3" s="2"/>
    </row>
    <row r="4" spans="1:21" s="5" customFormat="1" ht="33" customHeight="1">
      <c r="A4" s="21" t="s">
        <v>3</v>
      </c>
      <c r="B4" s="52" t="s">
        <v>4</v>
      </c>
      <c r="C4" s="52" t="s">
        <v>5</v>
      </c>
      <c r="D4" s="21" t="s">
        <v>6</v>
      </c>
      <c r="E4" s="21" t="s">
        <v>7</v>
      </c>
      <c r="F4" s="21" t="s">
        <v>8</v>
      </c>
      <c r="G4" s="21" t="s">
        <v>9</v>
      </c>
      <c r="H4" s="21" t="s">
        <v>10</v>
      </c>
      <c r="I4" s="21" t="s">
        <v>11</v>
      </c>
      <c r="J4" s="21" t="s">
        <v>12</v>
      </c>
      <c r="K4" s="21" t="s">
        <v>13</v>
      </c>
      <c r="L4" s="21" t="s">
        <v>14</v>
      </c>
      <c r="M4" s="21" t="s">
        <v>15</v>
      </c>
      <c r="N4" s="21" t="s">
        <v>16</v>
      </c>
      <c r="O4" s="21" t="s">
        <v>17</v>
      </c>
      <c r="P4" s="21" t="s">
        <v>18</v>
      </c>
      <c r="Q4" s="3"/>
      <c r="R4" s="41" t="s">
        <v>19</v>
      </c>
      <c r="S4" s="20"/>
      <c r="T4" s="42" t="s">
        <v>20</v>
      </c>
      <c r="U4" s="42" t="s">
        <v>21</v>
      </c>
    </row>
    <row r="5" spans="1:21" ht="14.1" customHeight="1">
      <c r="A5" s="35">
        <v>1</v>
      </c>
      <c r="B5" s="197" t="s">
        <v>124</v>
      </c>
      <c r="C5" s="197" t="s">
        <v>5330</v>
      </c>
      <c r="D5" s="35" t="s">
        <v>773</v>
      </c>
      <c r="E5" s="197" t="s">
        <v>399</v>
      </c>
      <c r="F5" s="35" t="s">
        <v>26</v>
      </c>
      <c r="G5" s="198" t="s">
        <v>5331</v>
      </c>
      <c r="H5" s="35" t="s">
        <v>1846</v>
      </c>
      <c r="I5" s="199" t="s">
        <v>5332</v>
      </c>
      <c r="J5" s="35" t="s">
        <v>30</v>
      </c>
      <c r="K5" s="35" t="s">
        <v>1848</v>
      </c>
      <c r="L5" s="35" t="s">
        <v>322</v>
      </c>
      <c r="M5" s="35">
        <v>83021000</v>
      </c>
      <c r="N5" s="35">
        <v>100</v>
      </c>
      <c r="O5" s="35">
        <v>45</v>
      </c>
      <c r="P5" s="35"/>
      <c r="R5" s="9">
        <v>100.9911228113651</v>
      </c>
      <c r="S5" s="22"/>
      <c r="T5" s="7" t="s">
        <v>34</v>
      </c>
      <c r="U5" s="7" t="s">
        <v>34</v>
      </c>
    </row>
    <row r="6" spans="1:21" ht="14.1" customHeight="1">
      <c r="A6" s="35">
        <v>2</v>
      </c>
      <c r="B6" s="197" t="s">
        <v>124</v>
      </c>
      <c r="C6" s="197" t="s">
        <v>5330</v>
      </c>
      <c r="D6" s="35" t="s">
        <v>773</v>
      </c>
      <c r="E6" s="197" t="s">
        <v>399</v>
      </c>
      <c r="F6" s="35" t="s">
        <v>26</v>
      </c>
      <c r="G6" s="198" t="s">
        <v>5333</v>
      </c>
      <c r="H6" s="35" t="s">
        <v>1846</v>
      </c>
      <c r="I6" s="199" t="s">
        <v>5334</v>
      </c>
      <c r="J6" s="35" t="s">
        <v>30</v>
      </c>
      <c r="K6" s="35" t="s">
        <v>1848</v>
      </c>
      <c r="L6" s="35" t="s">
        <v>322</v>
      </c>
      <c r="M6" s="35">
        <v>83021000</v>
      </c>
      <c r="N6" s="35">
        <v>100</v>
      </c>
      <c r="O6" s="35">
        <v>45</v>
      </c>
      <c r="P6" s="35"/>
      <c r="R6" s="9">
        <v>140.06619275893999</v>
      </c>
      <c r="T6" s="7" t="s">
        <v>34</v>
      </c>
      <c r="U6" s="7" t="s">
        <v>34</v>
      </c>
    </row>
    <row r="7" spans="1:21" ht="14.1" customHeight="1">
      <c r="A7" s="35">
        <v>3</v>
      </c>
      <c r="B7" s="197" t="s">
        <v>124</v>
      </c>
      <c r="C7" s="197" t="s">
        <v>5330</v>
      </c>
      <c r="D7" s="35" t="s">
        <v>773</v>
      </c>
      <c r="E7" s="197" t="s">
        <v>399</v>
      </c>
      <c r="F7" s="35" t="s">
        <v>26</v>
      </c>
      <c r="G7" s="198" t="s">
        <v>5335</v>
      </c>
      <c r="H7" s="35" t="s">
        <v>1846</v>
      </c>
      <c r="I7" s="199" t="s">
        <v>5336</v>
      </c>
      <c r="J7" s="35" t="s">
        <v>30</v>
      </c>
      <c r="K7" s="35" t="s">
        <v>1848</v>
      </c>
      <c r="L7" s="35" t="s">
        <v>322</v>
      </c>
      <c r="M7" s="35">
        <v>83021000</v>
      </c>
      <c r="N7" s="35">
        <v>100</v>
      </c>
      <c r="O7" s="35">
        <v>45</v>
      </c>
      <c r="P7" s="35"/>
      <c r="R7" s="9">
        <v>150.07092081315011</v>
      </c>
      <c r="T7" s="7" t="s">
        <v>34</v>
      </c>
      <c r="U7" s="7" t="s">
        <v>34</v>
      </c>
    </row>
    <row r="8" spans="1:21" ht="14.1" customHeight="1">
      <c r="A8" s="35">
        <v>4</v>
      </c>
      <c r="B8" s="197" t="s">
        <v>124</v>
      </c>
      <c r="C8" s="197" t="s">
        <v>5330</v>
      </c>
      <c r="D8" s="35" t="s">
        <v>773</v>
      </c>
      <c r="E8" s="197" t="s">
        <v>399</v>
      </c>
      <c r="F8" s="35" t="s">
        <v>26</v>
      </c>
      <c r="G8" s="198" t="s">
        <v>5337</v>
      </c>
      <c r="H8" s="35" t="s">
        <v>1846</v>
      </c>
      <c r="I8" s="199" t="s">
        <v>5338</v>
      </c>
      <c r="J8" s="35" t="s">
        <v>30</v>
      </c>
      <c r="K8" s="35" t="s">
        <v>1848</v>
      </c>
      <c r="L8" s="35" t="s">
        <v>322</v>
      </c>
      <c r="M8" s="35">
        <v>83021000</v>
      </c>
      <c r="N8" s="35">
        <v>100</v>
      </c>
      <c r="O8" s="35">
        <v>45</v>
      </c>
      <c r="P8" s="35"/>
      <c r="R8" s="9">
        <v>269.75012055596397</v>
      </c>
      <c r="T8" s="7" t="s">
        <v>34</v>
      </c>
      <c r="U8" s="7" t="s">
        <v>34</v>
      </c>
    </row>
    <row r="9" spans="1:21" ht="14.1" customHeight="1">
      <c r="A9" s="35">
        <v>8</v>
      </c>
      <c r="B9" s="200" t="s">
        <v>124</v>
      </c>
      <c r="C9" s="200" t="s">
        <v>5330</v>
      </c>
      <c r="D9" s="35" t="s">
        <v>658</v>
      </c>
      <c r="E9" s="200" t="s">
        <v>659</v>
      </c>
      <c r="F9" s="201" t="s">
        <v>26</v>
      </c>
      <c r="G9" s="203" t="s">
        <v>5339</v>
      </c>
      <c r="H9" s="201" t="s">
        <v>1424</v>
      </c>
      <c r="I9" s="202" t="s">
        <v>5340</v>
      </c>
      <c r="J9" s="201" t="s">
        <v>30</v>
      </c>
      <c r="K9" s="201" t="s">
        <v>1426</v>
      </c>
      <c r="L9" s="201" t="s">
        <v>322</v>
      </c>
      <c r="M9" s="201">
        <v>83024100</v>
      </c>
      <c r="N9" s="201">
        <v>60</v>
      </c>
      <c r="O9" s="201">
        <v>45</v>
      </c>
      <c r="P9" s="35"/>
      <c r="R9" s="9">
        <v>525.38352890560441</v>
      </c>
      <c r="T9" s="7" t="s">
        <v>34</v>
      </c>
      <c r="U9" s="7" t="s">
        <v>34</v>
      </c>
    </row>
    <row r="10" spans="1:21" ht="14.1" customHeight="1">
      <c r="A10" s="35">
        <v>9</v>
      </c>
      <c r="B10" s="197" t="s">
        <v>124</v>
      </c>
      <c r="C10" s="197" t="s">
        <v>5330</v>
      </c>
      <c r="D10" s="35" t="s">
        <v>773</v>
      </c>
      <c r="E10" s="197" t="s">
        <v>399</v>
      </c>
      <c r="F10" s="35" t="s">
        <v>26</v>
      </c>
      <c r="G10" s="198" t="s">
        <v>5341</v>
      </c>
      <c r="H10" s="35" t="s">
        <v>1424</v>
      </c>
      <c r="I10" s="199" t="s">
        <v>5342</v>
      </c>
      <c r="J10" s="35" t="s">
        <v>30</v>
      </c>
      <c r="K10" s="35" t="s">
        <v>1426</v>
      </c>
      <c r="L10" s="35" t="s">
        <v>322</v>
      </c>
      <c r="M10" s="35">
        <v>83021000</v>
      </c>
      <c r="N10" s="35">
        <v>600</v>
      </c>
      <c r="O10" s="35">
        <v>45</v>
      </c>
      <c r="P10" s="35"/>
      <c r="R10" s="9">
        <v>21.120945885652489</v>
      </c>
      <c r="T10" s="7" t="s">
        <v>34</v>
      </c>
      <c r="U10" s="7" t="s">
        <v>34</v>
      </c>
    </row>
    <row r="11" spans="1:21" ht="14.1" customHeight="1">
      <c r="A11" s="35">
        <v>10</v>
      </c>
      <c r="B11" s="197" t="s">
        <v>124</v>
      </c>
      <c r="C11" s="197" t="s">
        <v>5330</v>
      </c>
      <c r="D11" s="35" t="s">
        <v>773</v>
      </c>
      <c r="E11" s="197" t="s">
        <v>399</v>
      </c>
      <c r="F11" s="35" t="s">
        <v>26</v>
      </c>
      <c r="G11" s="198" t="s">
        <v>5343</v>
      </c>
      <c r="H11" s="35" t="s">
        <v>1424</v>
      </c>
      <c r="I11" s="199" t="s">
        <v>5344</v>
      </c>
      <c r="J11" s="35" t="s">
        <v>30</v>
      </c>
      <c r="K11" s="35" t="s">
        <v>1426</v>
      </c>
      <c r="L11" s="35" t="s">
        <v>322</v>
      </c>
      <c r="M11" s="35">
        <v>83021000</v>
      </c>
      <c r="N11" s="35">
        <v>600</v>
      </c>
      <c r="O11" s="35">
        <v>45</v>
      </c>
      <c r="P11" s="35"/>
      <c r="R11" s="9">
        <v>32.656942516572272</v>
      </c>
      <c r="T11" s="7" t="s">
        <v>34</v>
      </c>
      <c r="U11" s="7" t="s">
        <v>34</v>
      </c>
    </row>
    <row r="12" spans="1:21" ht="14.1" customHeight="1">
      <c r="A12" s="35">
        <v>11</v>
      </c>
      <c r="B12" s="197" t="s">
        <v>124</v>
      </c>
      <c r="C12" s="197" t="s">
        <v>5330</v>
      </c>
      <c r="D12" s="35" t="s">
        <v>773</v>
      </c>
      <c r="E12" s="197" t="s">
        <v>399</v>
      </c>
      <c r="F12" s="35" t="s">
        <v>26</v>
      </c>
      <c r="G12" s="198" t="s">
        <v>5345</v>
      </c>
      <c r="H12" s="35" t="s">
        <v>1424</v>
      </c>
      <c r="I12" s="199" t="s">
        <v>5346</v>
      </c>
      <c r="J12" s="35" t="s">
        <v>30</v>
      </c>
      <c r="K12" s="35" t="s">
        <v>1426</v>
      </c>
      <c r="L12" s="35" t="s">
        <v>322</v>
      </c>
      <c r="M12" s="35">
        <v>83021000</v>
      </c>
      <c r="N12" s="35">
        <v>600</v>
      </c>
      <c r="O12" s="35">
        <v>45</v>
      </c>
      <c r="P12" s="35"/>
      <c r="R12" s="9">
        <v>36.621080047485663</v>
      </c>
      <c r="T12" s="7" t="s">
        <v>34</v>
      </c>
      <c r="U12" s="7" t="s">
        <v>34</v>
      </c>
    </row>
    <row r="13" spans="1:21" ht="14.1" customHeight="1">
      <c r="A13" s="35">
        <v>12</v>
      </c>
      <c r="B13" s="197" t="s">
        <v>124</v>
      </c>
      <c r="C13" s="197" t="s">
        <v>5330</v>
      </c>
      <c r="D13" s="35" t="s">
        <v>773</v>
      </c>
      <c r="E13" s="197" t="s">
        <v>399</v>
      </c>
      <c r="F13" s="35" t="s">
        <v>26</v>
      </c>
      <c r="G13" s="198" t="s">
        <v>5347</v>
      </c>
      <c r="H13" s="35" t="s">
        <v>1424</v>
      </c>
      <c r="I13" s="199" t="s">
        <v>5348</v>
      </c>
      <c r="J13" s="35" t="s">
        <v>30</v>
      </c>
      <c r="K13" s="35" t="s">
        <v>1426</v>
      </c>
      <c r="L13" s="35" t="s">
        <v>322</v>
      </c>
      <c r="M13" s="35">
        <v>83021000</v>
      </c>
      <c r="N13" s="35">
        <v>600</v>
      </c>
      <c r="O13" s="35">
        <v>45</v>
      </c>
      <c r="P13" s="35"/>
      <c r="R13" s="9">
        <v>42.241891771304978</v>
      </c>
      <c r="T13" s="7" t="s">
        <v>34</v>
      </c>
      <c r="U13" s="7" t="s">
        <v>34</v>
      </c>
    </row>
    <row r="14" spans="1:21" ht="14.1" customHeight="1">
      <c r="A14" s="35">
        <v>13</v>
      </c>
      <c r="B14" s="197" t="s">
        <v>124</v>
      </c>
      <c r="C14" s="197" t="s">
        <v>5330</v>
      </c>
      <c r="D14" s="35" t="s">
        <v>773</v>
      </c>
      <c r="E14" s="197" t="s">
        <v>399</v>
      </c>
      <c r="F14" s="35" t="s">
        <v>26</v>
      </c>
      <c r="G14" s="198" t="s">
        <v>5349</v>
      </c>
      <c r="H14" s="35" t="s">
        <v>1424</v>
      </c>
      <c r="I14" s="199" t="s">
        <v>5350</v>
      </c>
      <c r="J14" s="35" t="s">
        <v>30</v>
      </c>
      <c r="K14" s="35" t="s">
        <v>1426</v>
      </c>
      <c r="L14" s="35" t="s">
        <v>322</v>
      </c>
      <c r="M14" s="35">
        <v>83021000</v>
      </c>
      <c r="N14" s="35">
        <v>600</v>
      </c>
      <c r="O14" s="35">
        <v>45</v>
      </c>
      <c r="P14" s="35"/>
      <c r="R14" s="9">
        <v>35.641596182038562</v>
      </c>
      <c r="T14" s="7" t="s">
        <v>34</v>
      </c>
      <c r="U14" s="7" t="s">
        <v>34</v>
      </c>
    </row>
    <row r="15" spans="1:21" ht="14.1" customHeight="1">
      <c r="A15" s="35">
        <v>23</v>
      </c>
      <c r="B15" s="197" t="s">
        <v>124</v>
      </c>
      <c r="C15" s="197" t="s">
        <v>5330</v>
      </c>
      <c r="D15" s="35" t="s">
        <v>2194</v>
      </c>
      <c r="E15" s="197" t="s">
        <v>2195</v>
      </c>
      <c r="F15" s="35" t="s">
        <v>26</v>
      </c>
      <c r="G15" s="198" t="s">
        <v>5351</v>
      </c>
      <c r="H15" s="35" t="s">
        <v>5232</v>
      </c>
      <c r="I15" s="199" t="s">
        <v>5352</v>
      </c>
      <c r="J15" s="35" t="s">
        <v>5353</v>
      </c>
      <c r="K15" s="204" t="s">
        <v>42</v>
      </c>
      <c r="L15" s="35" t="s">
        <v>322</v>
      </c>
      <c r="M15" s="35">
        <v>39162010</v>
      </c>
      <c r="N15" s="35">
        <v>200</v>
      </c>
      <c r="O15" s="35">
        <v>30</v>
      </c>
      <c r="P15" s="35"/>
      <c r="R15" s="9">
        <v>9.4384226926509456</v>
      </c>
      <c r="T15" s="7" t="s">
        <v>34</v>
      </c>
      <c r="U15" s="7" t="s">
        <v>34</v>
      </c>
    </row>
    <row r="16" spans="1:21" ht="14.1" customHeight="1">
      <c r="A16" s="35">
        <v>24</v>
      </c>
      <c r="B16" s="197" t="s">
        <v>124</v>
      </c>
      <c r="C16" s="197" t="s">
        <v>5330</v>
      </c>
      <c r="D16" s="35" t="s">
        <v>2194</v>
      </c>
      <c r="E16" s="197" t="s">
        <v>2195</v>
      </c>
      <c r="F16" s="35" t="s">
        <v>26</v>
      </c>
      <c r="G16" s="198" t="s">
        <v>5354</v>
      </c>
      <c r="H16" s="35" t="s">
        <v>5232</v>
      </c>
      <c r="I16" s="199" t="s">
        <v>5352</v>
      </c>
      <c r="J16" s="35" t="s">
        <v>5353</v>
      </c>
      <c r="K16" s="204" t="s">
        <v>42</v>
      </c>
      <c r="L16" s="35" t="s">
        <v>322</v>
      </c>
      <c r="M16" s="35">
        <v>39162010</v>
      </c>
      <c r="N16" s="35">
        <v>200</v>
      </c>
      <c r="O16" s="35">
        <v>30</v>
      </c>
      <c r="P16" s="35"/>
      <c r="R16" s="9">
        <v>10.00472805421</v>
      </c>
      <c r="T16" s="7" t="s">
        <v>34</v>
      </c>
      <c r="U16" s="7" t="s">
        <v>34</v>
      </c>
    </row>
    <row r="17" spans="1:21" ht="14.1" customHeight="1">
      <c r="A17" s="35">
        <v>25</v>
      </c>
      <c r="B17" s="197" t="s">
        <v>124</v>
      </c>
      <c r="C17" s="197" t="s">
        <v>5330</v>
      </c>
      <c r="D17" s="35" t="s">
        <v>2194</v>
      </c>
      <c r="E17" s="197" t="s">
        <v>2195</v>
      </c>
      <c r="F17" s="35" t="s">
        <v>26</v>
      </c>
      <c r="G17" s="198" t="s">
        <v>5355</v>
      </c>
      <c r="H17" s="35" t="s">
        <v>5232</v>
      </c>
      <c r="I17" s="199" t="s">
        <v>5241</v>
      </c>
      <c r="J17" s="35" t="s">
        <v>5353</v>
      </c>
      <c r="K17" s="204" t="s">
        <v>42</v>
      </c>
      <c r="L17" s="35" t="s">
        <v>322</v>
      </c>
      <c r="M17" s="35">
        <v>39162010</v>
      </c>
      <c r="N17" s="35">
        <v>200</v>
      </c>
      <c r="O17" s="35">
        <v>30</v>
      </c>
      <c r="P17" s="35"/>
      <c r="R17" s="9">
        <v>9.4384226926509456</v>
      </c>
      <c r="T17" s="7" t="s">
        <v>34</v>
      </c>
      <c r="U17" s="7" t="s">
        <v>34</v>
      </c>
    </row>
    <row r="18" spans="1:21" ht="14.1" customHeight="1">
      <c r="A18" s="35">
        <v>26</v>
      </c>
      <c r="B18" s="197" t="s">
        <v>124</v>
      </c>
      <c r="C18" s="197" t="s">
        <v>5330</v>
      </c>
      <c r="D18" s="35" t="s">
        <v>2194</v>
      </c>
      <c r="E18" s="197" t="s">
        <v>2195</v>
      </c>
      <c r="F18" s="35" t="s">
        <v>26</v>
      </c>
      <c r="G18" s="198" t="s">
        <v>5356</v>
      </c>
      <c r="H18" s="35" t="s">
        <v>5232</v>
      </c>
      <c r="I18" s="199" t="s">
        <v>5241</v>
      </c>
      <c r="J18" s="35" t="s">
        <v>5353</v>
      </c>
      <c r="K18" s="204" t="s">
        <v>42</v>
      </c>
      <c r="L18" s="35" t="s">
        <v>322</v>
      </c>
      <c r="M18" s="35">
        <v>39162010</v>
      </c>
      <c r="N18" s="35">
        <v>200</v>
      </c>
      <c r="O18" s="35">
        <v>30</v>
      </c>
      <c r="P18" s="35"/>
      <c r="R18" s="9">
        <v>10.00472805421</v>
      </c>
      <c r="T18" s="7" t="s">
        <v>34</v>
      </c>
      <c r="U18" s="7" t="s">
        <v>34</v>
      </c>
    </row>
    <row r="19" spans="1:21" ht="14.1" customHeight="1">
      <c r="A19" s="35">
        <v>29</v>
      </c>
      <c r="B19" s="197" t="s">
        <v>124</v>
      </c>
      <c r="C19" s="197" t="s">
        <v>5330</v>
      </c>
      <c r="D19" s="35" t="s">
        <v>2194</v>
      </c>
      <c r="E19" s="197" t="s">
        <v>2195</v>
      </c>
      <c r="F19" s="35" t="s">
        <v>26</v>
      </c>
      <c r="G19" s="198" t="s">
        <v>5357</v>
      </c>
      <c r="H19" s="35" t="s">
        <v>5232</v>
      </c>
      <c r="I19" s="199" t="s">
        <v>5358</v>
      </c>
      <c r="J19" s="35" t="s">
        <v>5353</v>
      </c>
      <c r="K19" s="204" t="s">
        <v>42</v>
      </c>
      <c r="L19" s="35" t="s">
        <v>322</v>
      </c>
      <c r="M19" s="35">
        <v>39162010</v>
      </c>
      <c r="N19" s="35">
        <v>200</v>
      </c>
      <c r="O19" s="35">
        <v>30</v>
      </c>
      <c r="P19" s="35"/>
      <c r="R19" s="9">
        <v>9.4384226926509456</v>
      </c>
      <c r="T19" s="7" t="s">
        <v>34</v>
      </c>
      <c r="U19" s="7" t="s">
        <v>34</v>
      </c>
    </row>
    <row r="20" spans="1:21" ht="14.1" customHeight="1">
      <c r="A20" s="35">
        <v>30</v>
      </c>
      <c r="B20" s="197" t="s">
        <v>124</v>
      </c>
      <c r="C20" s="197" t="s">
        <v>5330</v>
      </c>
      <c r="D20" s="35" t="s">
        <v>2194</v>
      </c>
      <c r="E20" s="197" t="s">
        <v>2195</v>
      </c>
      <c r="F20" s="35" t="s">
        <v>26</v>
      </c>
      <c r="G20" s="198" t="s">
        <v>5359</v>
      </c>
      <c r="H20" s="35" t="s">
        <v>5232</v>
      </c>
      <c r="I20" s="199" t="s">
        <v>5358</v>
      </c>
      <c r="J20" s="35" t="s">
        <v>5353</v>
      </c>
      <c r="K20" s="204" t="s">
        <v>42</v>
      </c>
      <c r="L20" s="35" t="s">
        <v>322</v>
      </c>
      <c r="M20" s="35">
        <v>39162010</v>
      </c>
      <c r="N20" s="35">
        <v>200</v>
      </c>
      <c r="O20" s="35">
        <v>30</v>
      </c>
      <c r="P20" s="35"/>
      <c r="R20" s="9">
        <v>10.00472805421</v>
      </c>
      <c r="T20" s="7" t="s">
        <v>34</v>
      </c>
      <c r="U20" s="7" t="s">
        <v>34</v>
      </c>
    </row>
    <row r="21" spans="1:21" ht="14.1" customHeight="1">
      <c r="A21" s="35">
        <v>31</v>
      </c>
      <c r="B21" s="197" t="s">
        <v>124</v>
      </c>
      <c r="C21" s="197" t="s">
        <v>5330</v>
      </c>
      <c r="D21" s="35" t="s">
        <v>2194</v>
      </c>
      <c r="E21" s="197" t="s">
        <v>2195</v>
      </c>
      <c r="F21" s="35" t="s">
        <v>26</v>
      </c>
      <c r="G21" s="198" t="s">
        <v>5360</v>
      </c>
      <c r="H21" s="35" t="s">
        <v>5232</v>
      </c>
      <c r="I21" s="199" t="s">
        <v>5361</v>
      </c>
      <c r="J21" s="35" t="s">
        <v>5353</v>
      </c>
      <c r="K21" s="204" t="s">
        <v>42</v>
      </c>
      <c r="L21" s="35" t="s">
        <v>322</v>
      </c>
      <c r="M21" s="35">
        <v>39162010</v>
      </c>
      <c r="N21" s="35">
        <v>200</v>
      </c>
      <c r="O21" s="35">
        <v>30</v>
      </c>
      <c r="P21" s="35"/>
      <c r="R21" s="9">
        <v>9.4384226926509456</v>
      </c>
      <c r="T21" s="7" t="s">
        <v>34</v>
      </c>
      <c r="U21" s="7" t="s">
        <v>34</v>
      </c>
    </row>
    <row r="22" spans="1:21" ht="14.1" customHeight="1">
      <c r="A22" s="35">
        <v>32</v>
      </c>
      <c r="B22" s="197" t="s">
        <v>124</v>
      </c>
      <c r="C22" s="197" t="s">
        <v>5330</v>
      </c>
      <c r="D22" s="35" t="s">
        <v>2194</v>
      </c>
      <c r="E22" s="197" t="s">
        <v>2195</v>
      </c>
      <c r="F22" s="35" t="s">
        <v>26</v>
      </c>
      <c r="G22" s="198" t="s">
        <v>5362</v>
      </c>
      <c r="H22" s="35" t="s">
        <v>5232</v>
      </c>
      <c r="I22" s="199" t="s">
        <v>5361</v>
      </c>
      <c r="J22" s="35" t="s">
        <v>5353</v>
      </c>
      <c r="K22" s="204" t="s">
        <v>42</v>
      </c>
      <c r="L22" s="35" t="s">
        <v>322</v>
      </c>
      <c r="M22" s="35">
        <v>39162010</v>
      </c>
      <c r="N22" s="35">
        <v>200</v>
      </c>
      <c r="O22" s="35">
        <v>30</v>
      </c>
      <c r="P22" s="35"/>
      <c r="R22" s="9">
        <v>10.00472805421</v>
      </c>
      <c r="T22" s="7" t="s">
        <v>34</v>
      </c>
      <c r="U22" s="7" t="s">
        <v>34</v>
      </c>
    </row>
    <row r="23" spans="1:21" ht="14.1" customHeight="1">
      <c r="A23" s="35">
        <v>33</v>
      </c>
      <c r="B23" s="197" t="s">
        <v>124</v>
      </c>
      <c r="C23" s="197" t="s">
        <v>5330</v>
      </c>
      <c r="D23" s="35" t="s">
        <v>2194</v>
      </c>
      <c r="E23" s="197" t="s">
        <v>2195</v>
      </c>
      <c r="F23" s="35" t="s">
        <v>26</v>
      </c>
      <c r="G23" s="198" t="s">
        <v>5363</v>
      </c>
      <c r="H23" s="35" t="s">
        <v>5232</v>
      </c>
      <c r="I23" s="199" t="s">
        <v>5233</v>
      </c>
      <c r="J23" s="35" t="s">
        <v>5353</v>
      </c>
      <c r="K23" s="204" t="s">
        <v>42</v>
      </c>
      <c r="L23" s="35" t="s">
        <v>322</v>
      </c>
      <c r="M23" s="35">
        <v>39162010</v>
      </c>
      <c r="N23" s="35">
        <v>200</v>
      </c>
      <c r="O23" s="35">
        <v>30</v>
      </c>
      <c r="P23" s="35"/>
      <c r="R23" s="9">
        <v>9.4384226926509456</v>
      </c>
      <c r="T23" s="7" t="s">
        <v>34</v>
      </c>
      <c r="U23" s="7" t="s">
        <v>34</v>
      </c>
    </row>
    <row r="24" spans="1:21" ht="14.1" customHeight="1">
      <c r="A24" s="35">
        <v>34</v>
      </c>
      <c r="B24" s="197" t="s">
        <v>124</v>
      </c>
      <c r="C24" s="197" t="s">
        <v>5330</v>
      </c>
      <c r="D24" s="35" t="s">
        <v>2194</v>
      </c>
      <c r="E24" s="197" t="s">
        <v>2195</v>
      </c>
      <c r="F24" s="35" t="s">
        <v>26</v>
      </c>
      <c r="G24" s="198" t="s">
        <v>5364</v>
      </c>
      <c r="H24" s="35" t="s">
        <v>5232</v>
      </c>
      <c r="I24" s="199" t="s">
        <v>5233</v>
      </c>
      <c r="J24" s="35" t="s">
        <v>5353</v>
      </c>
      <c r="K24" s="204" t="s">
        <v>42</v>
      </c>
      <c r="L24" s="35" t="s">
        <v>322</v>
      </c>
      <c r="M24" s="35">
        <v>39162010</v>
      </c>
      <c r="N24" s="35">
        <v>200</v>
      </c>
      <c r="O24" s="35">
        <v>30</v>
      </c>
      <c r="P24" s="35"/>
      <c r="R24" s="9">
        <v>10.00472805421</v>
      </c>
      <c r="T24" s="7" t="s">
        <v>34</v>
      </c>
      <c r="U24" s="7" t="s">
        <v>34</v>
      </c>
    </row>
    <row r="25" spans="1:21" ht="14.1" customHeight="1">
      <c r="A25" s="35">
        <v>35</v>
      </c>
      <c r="B25" s="197" t="s">
        <v>124</v>
      </c>
      <c r="C25" s="197" t="s">
        <v>5330</v>
      </c>
      <c r="D25" s="35" t="s">
        <v>260</v>
      </c>
      <c r="E25" s="197" t="s">
        <v>827</v>
      </c>
      <c r="F25" s="35" t="s">
        <v>26</v>
      </c>
      <c r="G25" s="198" t="s">
        <v>5258</v>
      </c>
      <c r="H25" s="35" t="s">
        <v>1846</v>
      </c>
      <c r="I25" s="199" t="s">
        <v>5260</v>
      </c>
      <c r="J25" s="35" t="s">
        <v>30</v>
      </c>
      <c r="K25" s="35" t="s">
        <v>1848</v>
      </c>
      <c r="L25" s="35" t="s">
        <v>322</v>
      </c>
      <c r="M25" s="35">
        <v>83023200</v>
      </c>
      <c r="N25" s="35">
        <v>300</v>
      </c>
      <c r="O25" s="35">
        <v>45</v>
      </c>
      <c r="P25" s="35"/>
      <c r="R25" s="9">
        <v>48.135955732519811</v>
      </c>
      <c r="T25" s="7" t="s">
        <v>34</v>
      </c>
      <c r="U25" s="7" t="s">
        <v>34</v>
      </c>
    </row>
    <row r="26" spans="1:21" ht="14.1" customHeight="1">
      <c r="A26" s="35">
        <v>36</v>
      </c>
      <c r="B26" s="197" t="s">
        <v>124</v>
      </c>
      <c r="C26" s="197" t="s">
        <v>5330</v>
      </c>
      <c r="D26" s="35" t="s">
        <v>260</v>
      </c>
      <c r="E26" s="197" t="s">
        <v>827</v>
      </c>
      <c r="F26" s="35" t="s">
        <v>26</v>
      </c>
      <c r="G26" s="198" t="s">
        <v>5262</v>
      </c>
      <c r="H26" s="35" t="s">
        <v>1846</v>
      </c>
      <c r="I26" s="199" t="s">
        <v>5263</v>
      </c>
      <c r="J26" s="35" t="s">
        <v>30</v>
      </c>
      <c r="K26" s="35" t="s">
        <v>1848</v>
      </c>
      <c r="L26" s="35" t="s">
        <v>322</v>
      </c>
      <c r="M26" s="35">
        <v>83022300</v>
      </c>
      <c r="N26" s="35">
        <v>300</v>
      </c>
      <c r="O26" s="35">
        <v>45</v>
      </c>
      <c r="P26" s="35"/>
      <c r="R26" s="9">
        <v>43.983049747753398</v>
      </c>
      <c r="T26" s="7" t="s">
        <v>34</v>
      </c>
      <c r="U26" s="7" t="s">
        <v>34</v>
      </c>
    </row>
    <row r="27" spans="1:21" ht="14.1" customHeight="1">
      <c r="A27" s="35">
        <v>37</v>
      </c>
      <c r="B27" s="197" t="s">
        <v>124</v>
      </c>
      <c r="C27" s="197" t="s">
        <v>5330</v>
      </c>
      <c r="D27" s="35" t="s">
        <v>260</v>
      </c>
      <c r="E27" s="197" t="s">
        <v>827</v>
      </c>
      <c r="F27" s="35" t="s">
        <v>26</v>
      </c>
      <c r="G27" s="198" t="s">
        <v>5264</v>
      </c>
      <c r="H27" s="35" t="s">
        <v>1846</v>
      </c>
      <c r="I27" s="199" t="s">
        <v>5265</v>
      </c>
      <c r="J27" s="35" t="s">
        <v>30</v>
      </c>
      <c r="K27" s="35" t="s">
        <v>1848</v>
      </c>
      <c r="L27" s="35" t="s">
        <v>322</v>
      </c>
      <c r="M27" s="35">
        <v>90138020</v>
      </c>
      <c r="N27" s="35">
        <v>300</v>
      </c>
      <c r="O27" s="35">
        <v>45</v>
      </c>
      <c r="P27" s="35"/>
      <c r="R27" s="9">
        <v>41.529059847664158</v>
      </c>
      <c r="T27" s="7" t="s">
        <v>34</v>
      </c>
      <c r="U27" s="7" t="s">
        <v>34</v>
      </c>
    </row>
    <row r="28" spans="1:21" ht="14.1" customHeight="1">
      <c r="A28" s="35">
        <v>38</v>
      </c>
      <c r="B28" s="197" t="s">
        <v>124</v>
      </c>
      <c r="C28" s="197" t="s">
        <v>5330</v>
      </c>
      <c r="D28" s="35" t="s">
        <v>39</v>
      </c>
      <c r="E28" s="197" t="s">
        <v>3703</v>
      </c>
      <c r="F28" s="35" t="s">
        <v>26</v>
      </c>
      <c r="G28" s="198" t="s">
        <v>5365</v>
      </c>
      <c r="H28" s="35" t="s">
        <v>1424</v>
      </c>
      <c r="I28" s="199" t="s">
        <v>5366</v>
      </c>
      <c r="J28" s="35" t="s">
        <v>30</v>
      </c>
      <c r="K28" s="35" t="s">
        <v>1426</v>
      </c>
      <c r="L28" s="35" t="s">
        <v>322</v>
      </c>
      <c r="M28" s="35">
        <v>83024100</v>
      </c>
      <c r="N28" s="35">
        <v>300</v>
      </c>
      <c r="O28" s="35">
        <v>45</v>
      </c>
      <c r="P28" s="35"/>
      <c r="R28" s="9">
        <v>22.0859091008032</v>
      </c>
      <c r="T28" s="7" t="s">
        <v>34</v>
      </c>
      <c r="U28" s="7" t="s">
        <v>34</v>
      </c>
    </row>
    <row r="29" spans="1:21" ht="14.1" customHeight="1">
      <c r="A29" s="35">
        <v>42</v>
      </c>
      <c r="B29" s="197" t="s">
        <v>124</v>
      </c>
      <c r="C29" s="197" t="s">
        <v>5330</v>
      </c>
      <c r="D29" s="35" t="s">
        <v>1601</v>
      </c>
      <c r="E29" s="197" t="s">
        <v>1602</v>
      </c>
      <c r="F29" s="35" t="s">
        <v>26</v>
      </c>
      <c r="G29" s="198" t="s">
        <v>5367</v>
      </c>
      <c r="H29" s="35" t="s">
        <v>1424</v>
      </c>
      <c r="I29" s="199" t="s">
        <v>5368</v>
      </c>
      <c r="J29" s="35" t="s">
        <v>30</v>
      </c>
      <c r="K29" s="35" t="s">
        <v>1426</v>
      </c>
      <c r="L29" s="35" t="s">
        <v>322</v>
      </c>
      <c r="M29" s="35">
        <v>83024100</v>
      </c>
      <c r="N29" s="35">
        <v>300</v>
      </c>
      <c r="O29" s="35">
        <v>45</v>
      </c>
      <c r="P29" s="35"/>
      <c r="R29" s="9">
        <v>24.539899000892451</v>
      </c>
      <c r="T29" s="7" t="s">
        <v>34</v>
      </c>
      <c r="U29" s="7" t="s">
        <v>34</v>
      </c>
    </row>
    <row r="30" spans="1:21" ht="14.1" customHeight="1">
      <c r="A30" s="35">
        <v>43</v>
      </c>
      <c r="B30" s="197" t="s">
        <v>124</v>
      </c>
      <c r="C30" s="197" t="s">
        <v>5330</v>
      </c>
      <c r="D30" s="35" t="s">
        <v>1601</v>
      </c>
      <c r="E30" s="197" t="s">
        <v>1602</v>
      </c>
      <c r="F30" s="35" t="s">
        <v>26</v>
      </c>
      <c r="G30" s="198" t="s">
        <v>5369</v>
      </c>
      <c r="H30" s="35" t="s">
        <v>1424</v>
      </c>
      <c r="I30" s="199" t="s">
        <v>5370</v>
      </c>
      <c r="J30" s="35" t="s">
        <v>30</v>
      </c>
      <c r="K30" s="35" t="s">
        <v>1426</v>
      </c>
      <c r="L30" s="35" t="s">
        <v>322</v>
      </c>
      <c r="M30" s="35">
        <v>83024100</v>
      </c>
      <c r="N30" s="35">
        <v>300</v>
      </c>
      <c r="O30" s="35">
        <v>45</v>
      </c>
      <c r="P30" s="35"/>
      <c r="R30" s="9">
        <v>31.713100247307171</v>
      </c>
      <c r="T30" s="7" t="s">
        <v>34</v>
      </c>
      <c r="U30" s="7" t="s">
        <v>34</v>
      </c>
    </row>
    <row r="31" spans="1:21" ht="14.1" customHeight="1">
      <c r="A31" s="35">
        <v>44</v>
      </c>
      <c r="B31" s="197" t="s">
        <v>124</v>
      </c>
      <c r="C31" s="197" t="s">
        <v>5330</v>
      </c>
      <c r="D31" s="35" t="s">
        <v>1601</v>
      </c>
      <c r="E31" s="197" t="s">
        <v>1602</v>
      </c>
      <c r="F31" s="35" t="s">
        <v>26</v>
      </c>
      <c r="G31" s="198" t="s">
        <v>5371</v>
      </c>
      <c r="H31" s="35" t="s">
        <v>1424</v>
      </c>
      <c r="I31" s="199" t="s">
        <v>5372</v>
      </c>
      <c r="J31" s="35" t="s">
        <v>30</v>
      </c>
      <c r="K31" s="35" t="s">
        <v>1426</v>
      </c>
      <c r="L31" s="35" t="s">
        <v>322</v>
      </c>
      <c r="M31" s="35">
        <v>83024100</v>
      </c>
      <c r="N31" s="35">
        <v>300</v>
      </c>
      <c r="O31" s="35">
        <v>45</v>
      </c>
      <c r="P31" s="35"/>
      <c r="R31" s="9">
        <v>18.688076931448869</v>
      </c>
      <c r="T31" s="7" t="s">
        <v>34</v>
      </c>
      <c r="U31" s="7" t="s">
        <v>34</v>
      </c>
    </row>
    <row r="32" spans="1:21" ht="14.1" customHeight="1">
      <c r="A32" s="35">
        <v>45</v>
      </c>
      <c r="B32" s="197" t="s">
        <v>124</v>
      </c>
      <c r="C32" s="197" t="s">
        <v>5330</v>
      </c>
      <c r="D32" s="35" t="s">
        <v>1601</v>
      </c>
      <c r="E32" s="197" t="s">
        <v>1602</v>
      </c>
      <c r="F32" s="35" t="s">
        <v>26</v>
      </c>
      <c r="G32" s="198" t="s">
        <v>5373</v>
      </c>
      <c r="H32" s="35" t="s">
        <v>1424</v>
      </c>
      <c r="I32" s="199" t="s">
        <v>5374</v>
      </c>
      <c r="J32" s="35" t="s">
        <v>30</v>
      </c>
      <c r="K32" s="35" t="s">
        <v>1426</v>
      </c>
      <c r="L32" s="35" t="s">
        <v>322</v>
      </c>
      <c r="M32" s="35">
        <v>83024100</v>
      </c>
      <c r="N32" s="35">
        <v>300</v>
      </c>
      <c r="O32" s="35">
        <v>45</v>
      </c>
      <c r="P32" s="35"/>
      <c r="R32" s="9">
        <v>43.416744386194338</v>
      </c>
      <c r="T32" s="7" t="s">
        <v>34</v>
      </c>
      <c r="U32" s="7" t="s">
        <v>34</v>
      </c>
    </row>
    <row r="33" spans="1:21" ht="14.1" customHeight="1">
      <c r="A33" s="35">
        <v>47</v>
      </c>
      <c r="B33" s="197" t="s">
        <v>124</v>
      </c>
      <c r="C33" s="197" t="s">
        <v>5330</v>
      </c>
      <c r="D33" s="35" t="s">
        <v>810</v>
      </c>
      <c r="E33" s="197" t="s">
        <v>811</v>
      </c>
      <c r="F33" s="35" t="s">
        <v>26</v>
      </c>
      <c r="G33" s="198" t="s">
        <v>5375</v>
      </c>
      <c r="H33" s="35" t="s">
        <v>1424</v>
      </c>
      <c r="I33" s="199" t="s">
        <v>5376</v>
      </c>
      <c r="J33" s="35" t="s">
        <v>30</v>
      </c>
      <c r="K33" s="35" t="s">
        <v>1426</v>
      </c>
      <c r="L33" s="35" t="s">
        <v>322</v>
      </c>
      <c r="M33" s="35">
        <v>83024100</v>
      </c>
      <c r="N33" s="35">
        <v>300</v>
      </c>
      <c r="O33" s="35">
        <v>45</v>
      </c>
      <c r="P33" s="35"/>
      <c r="R33" s="9">
        <v>24.539899000892451</v>
      </c>
      <c r="T33" s="7" t="s">
        <v>34</v>
      </c>
      <c r="U33" s="7" t="s">
        <v>34</v>
      </c>
    </row>
    <row r="34" spans="1:21" ht="14.1" customHeight="1">
      <c r="A34" s="35">
        <v>48</v>
      </c>
      <c r="B34" s="197" t="s">
        <v>124</v>
      </c>
      <c r="C34" s="197" t="s">
        <v>5330</v>
      </c>
      <c r="D34" s="35" t="s">
        <v>810</v>
      </c>
      <c r="E34" s="197" t="s">
        <v>811</v>
      </c>
      <c r="F34" s="35" t="s">
        <v>26</v>
      </c>
      <c r="G34" s="198" t="s">
        <v>5377</v>
      </c>
      <c r="H34" s="35" t="s">
        <v>1424</v>
      </c>
      <c r="I34" s="199" t="s">
        <v>5378</v>
      </c>
      <c r="J34" s="35" t="s">
        <v>30</v>
      </c>
      <c r="K34" s="35" t="s">
        <v>1426</v>
      </c>
      <c r="L34" s="35" t="s">
        <v>322</v>
      </c>
      <c r="M34" s="35">
        <v>83024100</v>
      </c>
      <c r="N34" s="35">
        <v>300</v>
      </c>
      <c r="O34" s="35">
        <v>45</v>
      </c>
      <c r="P34" s="35"/>
      <c r="R34" s="9">
        <v>53.799009348110381</v>
      </c>
      <c r="T34" s="7" t="s">
        <v>34</v>
      </c>
      <c r="U34" s="7" t="s">
        <v>34</v>
      </c>
    </row>
    <row r="35" spans="1:21" ht="14.1" customHeight="1">
      <c r="A35" s="35">
        <v>55</v>
      </c>
      <c r="B35" s="197" t="s">
        <v>124</v>
      </c>
      <c r="C35" s="197" t="s">
        <v>5330</v>
      </c>
      <c r="D35" s="35" t="s">
        <v>2194</v>
      </c>
      <c r="E35" s="197" t="s">
        <v>2195</v>
      </c>
      <c r="F35" s="35" t="s">
        <v>26</v>
      </c>
      <c r="G35" s="198" t="s">
        <v>5379</v>
      </c>
      <c r="H35" s="35" t="s">
        <v>1320</v>
      </c>
      <c r="I35" s="199" t="s">
        <v>5184</v>
      </c>
      <c r="J35" s="35" t="s">
        <v>30</v>
      </c>
      <c r="K35" s="35" t="s">
        <v>1322</v>
      </c>
      <c r="L35" s="35" t="s">
        <v>322</v>
      </c>
      <c r="M35" s="35">
        <v>83024100</v>
      </c>
      <c r="N35" s="35">
        <v>300</v>
      </c>
      <c r="O35" s="35">
        <v>45</v>
      </c>
      <c r="P35" s="35"/>
      <c r="R35" s="9">
        <v>55.309156978934531</v>
      </c>
      <c r="T35" s="7" t="s">
        <v>34</v>
      </c>
      <c r="U35" s="7" t="s">
        <v>34</v>
      </c>
    </row>
    <row r="36" spans="1:21" ht="14.1" customHeight="1">
      <c r="A36" s="35">
        <v>74</v>
      </c>
      <c r="B36" s="197" t="s">
        <v>124</v>
      </c>
      <c r="C36" s="197" t="s">
        <v>5330</v>
      </c>
      <c r="D36" s="35" t="s">
        <v>2194</v>
      </c>
      <c r="E36" s="197" t="s">
        <v>2195</v>
      </c>
      <c r="F36" s="35" t="s">
        <v>26</v>
      </c>
      <c r="G36" s="198" t="s">
        <v>5380</v>
      </c>
      <c r="H36" s="35" t="s">
        <v>5232</v>
      </c>
      <c r="I36" s="199" t="s">
        <v>5249</v>
      </c>
      <c r="J36" s="35" t="s">
        <v>5353</v>
      </c>
      <c r="K36" s="204" t="s">
        <v>42</v>
      </c>
      <c r="L36" s="35" t="s">
        <v>322</v>
      </c>
      <c r="M36" s="35">
        <v>39162010</v>
      </c>
      <c r="N36" s="35">
        <v>200</v>
      </c>
      <c r="O36" s="35">
        <v>30</v>
      </c>
      <c r="P36" s="35"/>
      <c r="R36" s="9">
        <v>43.416744386194338</v>
      </c>
      <c r="T36" s="7" t="s">
        <v>34</v>
      </c>
      <c r="U36" s="7" t="s">
        <v>34</v>
      </c>
    </row>
    <row r="37" spans="1:21" ht="14.1" customHeight="1">
      <c r="A37" s="35">
        <v>75</v>
      </c>
      <c r="B37" s="197" t="s">
        <v>124</v>
      </c>
      <c r="C37" s="197" t="s">
        <v>5330</v>
      </c>
      <c r="D37" s="35" t="s">
        <v>2194</v>
      </c>
      <c r="E37" s="197" t="s">
        <v>2195</v>
      </c>
      <c r="F37" s="35" t="s">
        <v>26</v>
      </c>
      <c r="G37" s="198" t="s">
        <v>5381</v>
      </c>
      <c r="H37" s="35" t="s">
        <v>5232</v>
      </c>
      <c r="I37" s="199" t="s">
        <v>5249</v>
      </c>
      <c r="J37" s="35" t="s">
        <v>5353</v>
      </c>
      <c r="K37" s="204" t="s">
        <v>42</v>
      </c>
      <c r="L37" s="35" t="s">
        <v>322</v>
      </c>
      <c r="M37" s="35">
        <v>39162010</v>
      </c>
      <c r="N37" s="35">
        <v>200</v>
      </c>
      <c r="O37" s="35">
        <v>30</v>
      </c>
      <c r="P37" s="35"/>
      <c r="R37" s="9">
        <v>44.926892017018481</v>
      </c>
      <c r="T37" s="7" t="s">
        <v>34</v>
      </c>
      <c r="U37" s="7" t="s">
        <v>34</v>
      </c>
    </row>
    <row r="38" spans="1:21" ht="14.1" customHeight="1">
      <c r="A38" s="35">
        <v>76</v>
      </c>
      <c r="B38" s="197" t="s">
        <v>124</v>
      </c>
      <c r="C38" s="197" t="s">
        <v>5330</v>
      </c>
      <c r="D38" s="35" t="s">
        <v>2194</v>
      </c>
      <c r="E38" s="197" t="s">
        <v>2195</v>
      </c>
      <c r="F38" s="35" t="s">
        <v>26</v>
      </c>
      <c r="G38" s="198" t="s">
        <v>5382</v>
      </c>
      <c r="H38" s="35" t="s">
        <v>5232</v>
      </c>
      <c r="I38" s="199" t="s">
        <v>5383</v>
      </c>
      <c r="J38" s="35" t="s">
        <v>5353</v>
      </c>
      <c r="K38" s="204" t="s">
        <v>42</v>
      </c>
      <c r="L38" s="35" t="s">
        <v>322</v>
      </c>
      <c r="M38" s="35">
        <v>39162010</v>
      </c>
      <c r="N38" s="35">
        <v>200</v>
      </c>
      <c r="O38" s="35">
        <v>30</v>
      </c>
      <c r="P38" s="35"/>
      <c r="R38" s="9">
        <v>43.416744386194338</v>
      </c>
      <c r="T38" s="7" t="s">
        <v>34</v>
      </c>
      <c r="U38" s="7" t="s">
        <v>34</v>
      </c>
    </row>
    <row r="39" spans="1:21" ht="14.1" customHeight="1">
      <c r="A39" s="35">
        <v>77</v>
      </c>
      <c r="B39" s="197" t="s">
        <v>124</v>
      </c>
      <c r="C39" s="197" t="s">
        <v>5330</v>
      </c>
      <c r="D39" s="35" t="s">
        <v>2194</v>
      </c>
      <c r="E39" s="197" t="s">
        <v>2195</v>
      </c>
      <c r="F39" s="35" t="s">
        <v>26</v>
      </c>
      <c r="G39" s="198" t="s">
        <v>5384</v>
      </c>
      <c r="H39" s="35" t="s">
        <v>5232</v>
      </c>
      <c r="I39" s="199" t="s">
        <v>5383</v>
      </c>
      <c r="J39" s="35" t="s">
        <v>5353</v>
      </c>
      <c r="K39" s="204" t="s">
        <v>42</v>
      </c>
      <c r="L39" s="35" t="s">
        <v>322</v>
      </c>
      <c r="M39" s="35">
        <v>39162010</v>
      </c>
      <c r="N39" s="35">
        <v>200</v>
      </c>
      <c r="O39" s="35">
        <v>30</v>
      </c>
      <c r="P39" s="35"/>
      <c r="R39" s="9">
        <v>44.926892017018481</v>
      </c>
      <c r="T39" s="7" t="s">
        <v>34</v>
      </c>
      <c r="U39" s="7" t="s">
        <v>34</v>
      </c>
    </row>
    <row r="40" spans="1:21" ht="14.1" customHeight="1">
      <c r="A40" s="35">
        <v>79</v>
      </c>
      <c r="B40" s="197" t="s">
        <v>124</v>
      </c>
      <c r="C40" s="197" t="s">
        <v>5330</v>
      </c>
      <c r="D40" s="35" t="s">
        <v>2194</v>
      </c>
      <c r="E40" s="197" t="s">
        <v>2195</v>
      </c>
      <c r="F40" s="35" t="s">
        <v>26</v>
      </c>
      <c r="G40" s="198" t="s">
        <v>5385</v>
      </c>
      <c r="H40" s="35" t="s">
        <v>5232</v>
      </c>
      <c r="I40" s="199" t="s">
        <v>5247</v>
      </c>
      <c r="J40" s="35" t="s">
        <v>5353</v>
      </c>
      <c r="K40" s="204" t="s">
        <v>42</v>
      </c>
      <c r="L40" s="35" t="s">
        <v>322</v>
      </c>
      <c r="M40" s="35">
        <v>39162010</v>
      </c>
      <c r="N40" s="35">
        <v>200</v>
      </c>
      <c r="O40" s="35">
        <v>30</v>
      </c>
      <c r="P40" s="35"/>
      <c r="R40" s="9">
        <v>43.416744386194338</v>
      </c>
      <c r="T40" s="7" t="s">
        <v>34</v>
      </c>
      <c r="U40" s="7" t="s">
        <v>34</v>
      </c>
    </row>
    <row r="41" spans="1:21" ht="14.1" customHeight="1">
      <c r="A41" s="35">
        <v>80</v>
      </c>
      <c r="B41" s="197" t="s">
        <v>124</v>
      </c>
      <c r="C41" s="197" t="s">
        <v>5330</v>
      </c>
      <c r="D41" s="35" t="s">
        <v>2194</v>
      </c>
      <c r="E41" s="197" t="s">
        <v>2195</v>
      </c>
      <c r="F41" s="35" t="s">
        <v>26</v>
      </c>
      <c r="G41" s="198" t="s">
        <v>5386</v>
      </c>
      <c r="H41" s="35" t="s">
        <v>5232</v>
      </c>
      <c r="I41" s="199" t="s">
        <v>5247</v>
      </c>
      <c r="J41" s="35" t="s">
        <v>5353</v>
      </c>
      <c r="K41" s="204" t="s">
        <v>42</v>
      </c>
      <c r="L41" s="35" t="s">
        <v>322</v>
      </c>
      <c r="M41" s="35">
        <v>39162010</v>
      </c>
      <c r="N41" s="35">
        <v>200</v>
      </c>
      <c r="O41" s="35">
        <v>30</v>
      </c>
      <c r="P41" s="35"/>
      <c r="R41" s="9">
        <v>44.926892017018481</v>
      </c>
      <c r="T41" s="7" t="s">
        <v>34</v>
      </c>
      <c r="U41" s="7" t="s">
        <v>34</v>
      </c>
    </row>
    <row r="42" spans="1:21" ht="14.1" customHeight="1">
      <c r="A42" s="35">
        <v>81</v>
      </c>
      <c r="B42" s="197" t="s">
        <v>124</v>
      </c>
      <c r="C42" s="197" t="s">
        <v>5330</v>
      </c>
      <c r="D42" s="35" t="s">
        <v>838</v>
      </c>
      <c r="E42" s="197" t="s">
        <v>4030</v>
      </c>
      <c r="F42" s="35" t="s">
        <v>26</v>
      </c>
      <c r="G42" s="198" t="s">
        <v>5387</v>
      </c>
      <c r="H42" s="35" t="s">
        <v>1424</v>
      </c>
      <c r="I42" s="199" t="s">
        <v>5388</v>
      </c>
      <c r="J42" s="35" t="s">
        <v>30</v>
      </c>
      <c r="K42" s="35" t="s">
        <v>1426</v>
      </c>
      <c r="L42" s="35" t="s">
        <v>322</v>
      </c>
      <c r="M42" s="35">
        <v>83024100</v>
      </c>
      <c r="N42" s="35">
        <v>100</v>
      </c>
      <c r="O42" s="35">
        <v>45</v>
      </c>
      <c r="P42" s="35"/>
      <c r="R42" s="9">
        <v>94.006690018803411</v>
      </c>
      <c r="T42" s="7" t="s">
        <v>34</v>
      </c>
      <c r="U42" s="7" t="s">
        <v>34</v>
      </c>
    </row>
    <row r="43" spans="1:21" ht="14.1" customHeight="1">
      <c r="A43" s="35">
        <v>82</v>
      </c>
      <c r="B43" s="197" t="s">
        <v>124</v>
      </c>
      <c r="C43" s="197" t="s">
        <v>5330</v>
      </c>
      <c r="D43" s="35" t="s">
        <v>838</v>
      </c>
      <c r="E43" s="197" t="s">
        <v>4030</v>
      </c>
      <c r="F43" s="35" t="s">
        <v>26</v>
      </c>
      <c r="G43" s="198" t="s">
        <v>5389</v>
      </c>
      <c r="H43" s="35" t="s">
        <v>1424</v>
      </c>
      <c r="I43" s="199" t="s">
        <v>5390</v>
      </c>
      <c r="J43" s="35" t="s">
        <v>30</v>
      </c>
      <c r="K43" s="35" t="s">
        <v>1426</v>
      </c>
      <c r="L43" s="35" t="s">
        <v>322</v>
      </c>
      <c r="M43" s="35">
        <v>83024100</v>
      </c>
      <c r="N43" s="35">
        <v>100</v>
      </c>
      <c r="O43" s="35">
        <v>45</v>
      </c>
      <c r="P43" s="35"/>
      <c r="R43" s="9">
        <v>96.649448372745681</v>
      </c>
      <c r="T43" s="7" t="s">
        <v>34</v>
      </c>
      <c r="U43" s="7" t="s">
        <v>34</v>
      </c>
    </row>
    <row r="44" spans="1:21" ht="14.1" customHeight="1">
      <c r="A44" s="35">
        <v>83</v>
      </c>
      <c r="B44" s="197" t="s">
        <v>124</v>
      </c>
      <c r="C44" s="197" t="s">
        <v>5330</v>
      </c>
      <c r="D44" s="35" t="s">
        <v>838</v>
      </c>
      <c r="E44" s="197" t="s">
        <v>4030</v>
      </c>
      <c r="F44" s="35" t="s">
        <v>26</v>
      </c>
      <c r="G44" s="198" t="s">
        <v>5391</v>
      </c>
      <c r="H44" s="35" t="s">
        <v>1424</v>
      </c>
      <c r="I44" s="199" t="s">
        <v>5392</v>
      </c>
      <c r="J44" s="35" t="s">
        <v>30</v>
      </c>
      <c r="K44" s="35" t="s">
        <v>1426</v>
      </c>
      <c r="L44" s="35" t="s">
        <v>322</v>
      </c>
      <c r="M44" s="35">
        <v>83024100</v>
      </c>
      <c r="N44" s="35">
        <v>100</v>
      </c>
      <c r="O44" s="35">
        <v>45</v>
      </c>
      <c r="P44" s="35"/>
      <c r="R44" s="9">
        <v>61.538515956084147</v>
      </c>
      <c r="T44" s="7" t="s">
        <v>34</v>
      </c>
      <c r="U44" s="7" t="s">
        <v>34</v>
      </c>
    </row>
    <row r="45" spans="1:21" ht="14.1" customHeight="1">
      <c r="A45" s="35">
        <v>84</v>
      </c>
      <c r="B45" s="197" t="s">
        <v>124</v>
      </c>
      <c r="C45" s="197" t="s">
        <v>5330</v>
      </c>
      <c r="D45" s="35" t="s">
        <v>838</v>
      </c>
      <c r="E45" s="197" t="s">
        <v>4030</v>
      </c>
      <c r="F45" s="35" t="s">
        <v>26</v>
      </c>
      <c r="G45" s="198" t="s">
        <v>5393</v>
      </c>
      <c r="H45" s="35" t="s">
        <v>1424</v>
      </c>
      <c r="I45" s="199" t="s">
        <v>5394</v>
      </c>
      <c r="J45" s="35" t="s">
        <v>30</v>
      </c>
      <c r="K45" s="35" t="s">
        <v>1426</v>
      </c>
      <c r="L45" s="35" t="s">
        <v>322</v>
      </c>
      <c r="M45" s="35">
        <v>83024100</v>
      </c>
      <c r="N45" s="35">
        <v>100</v>
      </c>
      <c r="O45" s="35">
        <v>45</v>
      </c>
      <c r="P45" s="35"/>
      <c r="R45" s="9">
        <v>65.691421940850574</v>
      </c>
      <c r="T45" s="7" t="s">
        <v>34</v>
      </c>
      <c r="U45" s="7" t="s">
        <v>34</v>
      </c>
    </row>
    <row r="46" spans="1:21" ht="14.1" customHeight="1">
      <c r="A46" s="35">
        <v>85</v>
      </c>
      <c r="B46" s="200" t="s">
        <v>124</v>
      </c>
      <c r="C46" s="200" t="s">
        <v>5330</v>
      </c>
      <c r="D46" s="201" t="s">
        <v>810</v>
      </c>
      <c r="E46" s="205" t="s">
        <v>811</v>
      </c>
      <c r="F46" s="201" t="s">
        <v>26</v>
      </c>
      <c r="G46" s="203" t="s">
        <v>5395</v>
      </c>
      <c r="H46" s="201" t="s">
        <v>1424</v>
      </c>
      <c r="I46" s="202" t="s">
        <v>5396</v>
      </c>
      <c r="J46" s="201" t="s">
        <v>30</v>
      </c>
      <c r="K46" s="201" t="s">
        <v>1426</v>
      </c>
      <c r="L46" s="201" t="s">
        <v>322</v>
      </c>
      <c r="M46" s="201">
        <v>83024100</v>
      </c>
      <c r="N46" s="201">
        <v>500</v>
      </c>
      <c r="O46" s="201">
        <v>45</v>
      </c>
      <c r="P46" s="35"/>
      <c r="R46" s="9">
        <v>63.36283765695746</v>
      </c>
      <c r="T46" s="7" t="s">
        <v>34</v>
      </c>
      <c r="U46" s="7" t="s">
        <v>34</v>
      </c>
    </row>
    <row r="47" spans="1:21" ht="14.1" customHeight="1">
      <c r="A47" s="35">
        <v>86</v>
      </c>
      <c r="B47" s="200" t="s">
        <v>124</v>
      </c>
      <c r="C47" s="200" t="s">
        <v>5330</v>
      </c>
      <c r="D47" s="201" t="s">
        <v>844</v>
      </c>
      <c r="E47" s="205" t="s">
        <v>5397</v>
      </c>
      <c r="F47" s="201" t="s">
        <v>26</v>
      </c>
      <c r="G47" s="203" t="s">
        <v>5398</v>
      </c>
      <c r="H47" s="201" t="s">
        <v>1424</v>
      </c>
      <c r="I47" s="202" t="s">
        <v>5399</v>
      </c>
      <c r="J47" s="201" t="s">
        <v>30</v>
      </c>
      <c r="K47" s="201" t="s">
        <v>1426</v>
      </c>
      <c r="L47" s="201" t="s">
        <v>322</v>
      </c>
      <c r="M47" s="201">
        <v>83024100</v>
      </c>
      <c r="N47" s="201">
        <v>200</v>
      </c>
      <c r="O47" s="201">
        <v>45</v>
      </c>
      <c r="P47" s="35"/>
      <c r="R47" s="9">
        <v>21.912981356364408</v>
      </c>
      <c r="T47" s="7" t="s">
        <v>34</v>
      </c>
      <c r="U47" s="7" t="s">
        <v>34</v>
      </c>
    </row>
    <row r="48" spans="1:21" ht="14.1" customHeight="1">
      <c r="A48" s="35">
        <v>87</v>
      </c>
      <c r="B48" s="197" t="s">
        <v>124</v>
      </c>
      <c r="C48" s="197" t="s">
        <v>5330</v>
      </c>
      <c r="D48" s="35" t="s">
        <v>2194</v>
      </c>
      <c r="E48" s="197" t="s">
        <v>2195</v>
      </c>
      <c r="F48" s="35" t="s">
        <v>26</v>
      </c>
      <c r="G48" s="198" t="s">
        <v>5400</v>
      </c>
      <c r="H48" s="35" t="s">
        <v>1320</v>
      </c>
      <c r="I48" s="199" t="s">
        <v>5401</v>
      </c>
      <c r="J48" s="35" t="s">
        <v>30</v>
      </c>
      <c r="K48" s="35" t="s">
        <v>1322</v>
      </c>
      <c r="L48" s="35" t="s">
        <v>322</v>
      </c>
      <c r="M48" s="35">
        <v>83024100</v>
      </c>
      <c r="N48" s="35">
        <v>300</v>
      </c>
      <c r="O48" s="35">
        <v>45</v>
      </c>
      <c r="P48" s="35"/>
      <c r="R48" s="9">
        <v>50.401177178756043</v>
      </c>
      <c r="T48" s="7" t="s">
        <v>34</v>
      </c>
      <c r="U48" s="7" t="s">
        <v>34</v>
      </c>
    </row>
    <row r="49" spans="1:21" ht="14.1" customHeight="1">
      <c r="A49" s="35">
        <v>88</v>
      </c>
      <c r="B49" s="197" t="s">
        <v>124</v>
      </c>
      <c r="C49" s="197" t="s">
        <v>5330</v>
      </c>
      <c r="D49" s="35" t="s">
        <v>2194</v>
      </c>
      <c r="E49" s="197" t="s">
        <v>2195</v>
      </c>
      <c r="F49" s="35" t="s">
        <v>26</v>
      </c>
      <c r="G49" s="198" t="s">
        <v>5402</v>
      </c>
      <c r="H49" s="35" t="s">
        <v>1320</v>
      </c>
      <c r="I49" s="199" t="s">
        <v>5403</v>
      </c>
      <c r="J49" s="35" t="s">
        <v>30</v>
      </c>
      <c r="K49" s="35" t="s">
        <v>1322</v>
      </c>
      <c r="L49" s="35" t="s">
        <v>322</v>
      </c>
      <c r="M49" s="35">
        <v>83024100</v>
      </c>
      <c r="N49" s="35">
        <v>300</v>
      </c>
      <c r="O49" s="35">
        <v>45</v>
      </c>
      <c r="P49" s="35"/>
      <c r="R49" s="9">
        <v>89.287478672477945</v>
      </c>
      <c r="T49" s="7" t="s">
        <v>34</v>
      </c>
      <c r="U49" s="7" t="s">
        <v>34</v>
      </c>
    </row>
    <row r="50" spans="1:21" ht="14.1" customHeight="1">
      <c r="A50" s="35">
        <v>89</v>
      </c>
      <c r="B50" s="197" t="s">
        <v>124</v>
      </c>
      <c r="C50" s="197" t="s">
        <v>5330</v>
      </c>
      <c r="D50" s="35" t="s">
        <v>2194</v>
      </c>
      <c r="E50" s="197" t="s">
        <v>2195</v>
      </c>
      <c r="F50" s="35" t="s">
        <v>26</v>
      </c>
      <c r="G50" s="198" t="s">
        <v>5195</v>
      </c>
      <c r="H50" s="35" t="s">
        <v>1081</v>
      </c>
      <c r="I50" s="199" t="s">
        <v>5197</v>
      </c>
      <c r="J50" s="35" t="s">
        <v>3611</v>
      </c>
      <c r="K50" s="35" t="s">
        <v>1083</v>
      </c>
      <c r="L50" s="35" t="s">
        <v>322</v>
      </c>
      <c r="M50" s="35">
        <v>83024100</v>
      </c>
      <c r="N50" s="35">
        <v>100</v>
      </c>
      <c r="O50" s="35">
        <v>35</v>
      </c>
      <c r="P50" s="35"/>
      <c r="R50" s="9">
        <v>108.7306294193389</v>
      </c>
      <c r="T50" s="7" t="s">
        <v>34</v>
      </c>
      <c r="U50" s="7" t="s">
        <v>34</v>
      </c>
    </row>
    <row r="51" spans="1:21" ht="14.1" customHeight="1">
      <c r="A51" s="35">
        <v>90</v>
      </c>
      <c r="B51" s="197" t="s">
        <v>124</v>
      </c>
      <c r="C51" s="197" t="s">
        <v>5330</v>
      </c>
      <c r="D51" s="35" t="s">
        <v>2194</v>
      </c>
      <c r="E51" s="197" t="s">
        <v>2195</v>
      </c>
      <c r="F51" s="35" t="s">
        <v>26</v>
      </c>
      <c r="G51" s="198" t="s">
        <v>5198</v>
      </c>
      <c r="H51" s="35" t="s">
        <v>1081</v>
      </c>
      <c r="I51" s="199" t="s">
        <v>5199</v>
      </c>
      <c r="J51" s="35" t="s">
        <v>3611</v>
      </c>
      <c r="K51" s="35" t="s">
        <v>1083</v>
      </c>
      <c r="L51" s="35" t="s">
        <v>322</v>
      </c>
      <c r="M51" s="35">
        <v>83024100</v>
      </c>
      <c r="N51" s="35">
        <v>100</v>
      </c>
      <c r="O51" s="35">
        <v>35</v>
      </c>
      <c r="P51" s="35"/>
      <c r="R51" s="9">
        <v>111.18461931942809</v>
      </c>
      <c r="T51" s="7" t="s">
        <v>34</v>
      </c>
      <c r="U51" s="7" t="s">
        <v>34</v>
      </c>
    </row>
    <row r="52" spans="1:21" ht="14.1" customHeight="1">
      <c r="A52" s="35">
        <v>91</v>
      </c>
      <c r="B52" s="197" t="s">
        <v>124</v>
      </c>
      <c r="C52" s="197" t="s">
        <v>5330</v>
      </c>
      <c r="D52" s="35" t="s">
        <v>2194</v>
      </c>
      <c r="E52" s="197" t="s">
        <v>2195</v>
      </c>
      <c r="F52" s="35" t="s">
        <v>26</v>
      </c>
      <c r="G52" s="198" t="s">
        <v>5200</v>
      </c>
      <c r="H52" s="35" t="s">
        <v>1081</v>
      </c>
      <c r="I52" s="199" t="s">
        <v>5201</v>
      </c>
      <c r="J52" s="35" t="s">
        <v>3611</v>
      </c>
      <c r="K52" s="35" t="s">
        <v>1083</v>
      </c>
      <c r="L52" s="35" t="s">
        <v>322</v>
      </c>
      <c r="M52" s="35">
        <v>83024100</v>
      </c>
      <c r="N52" s="35">
        <v>100</v>
      </c>
      <c r="O52" s="35">
        <v>35</v>
      </c>
      <c r="P52" s="35"/>
      <c r="R52" s="9">
        <v>121.7556527351972</v>
      </c>
      <c r="T52" s="7" t="s">
        <v>34</v>
      </c>
      <c r="U52" s="7" t="s">
        <v>34</v>
      </c>
    </row>
    <row r="53" spans="1:21" ht="14.1" customHeight="1">
      <c r="A53" s="35">
        <v>92</v>
      </c>
      <c r="B53" s="197" t="s">
        <v>124</v>
      </c>
      <c r="C53" s="197" t="s">
        <v>5330</v>
      </c>
      <c r="D53" s="35" t="s">
        <v>2194</v>
      </c>
      <c r="E53" s="197" t="s">
        <v>2195</v>
      </c>
      <c r="F53" s="35" t="s">
        <v>26</v>
      </c>
      <c r="G53" s="198" t="s">
        <v>5202</v>
      </c>
      <c r="H53" s="35" t="s">
        <v>1081</v>
      </c>
      <c r="I53" s="199" t="s">
        <v>5203</v>
      </c>
      <c r="J53" s="35" t="s">
        <v>3611</v>
      </c>
      <c r="K53" s="35" t="s">
        <v>1083</v>
      </c>
      <c r="L53" s="35" t="s">
        <v>322</v>
      </c>
      <c r="M53" s="35">
        <v>83024100</v>
      </c>
      <c r="N53" s="35">
        <v>100</v>
      </c>
      <c r="O53" s="35">
        <v>35</v>
      </c>
      <c r="P53" s="35"/>
      <c r="R53" s="9">
        <v>126.8524009892287</v>
      </c>
      <c r="T53" s="7" t="s">
        <v>34</v>
      </c>
      <c r="U53" s="7" t="s">
        <v>34</v>
      </c>
    </row>
    <row r="54" spans="1:21" ht="25.5" customHeight="1">
      <c r="A54" s="35">
        <v>93</v>
      </c>
      <c r="B54" s="197" t="s">
        <v>124</v>
      </c>
      <c r="C54" s="197" t="s">
        <v>5330</v>
      </c>
      <c r="D54" s="35" t="s">
        <v>2194</v>
      </c>
      <c r="E54" s="197" t="s">
        <v>2195</v>
      </c>
      <c r="F54" s="35" t="s">
        <v>26</v>
      </c>
      <c r="G54" s="198" t="s">
        <v>5204</v>
      </c>
      <c r="H54" s="35" t="s">
        <v>1081</v>
      </c>
      <c r="I54" s="199" t="s">
        <v>5205</v>
      </c>
      <c r="J54" s="35" t="s">
        <v>3611</v>
      </c>
      <c r="K54" s="35" t="s">
        <v>1083</v>
      </c>
      <c r="L54" s="35" t="s">
        <v>322</v>
      </c>
      <c r="M54" s="35">
        <v>83024100</v>
      </c>
      <c r="N54" s="35">
        <v>100</v>
      </c>
      <c r="O54" s="35">
        <v>35</v>
      </c>
      <c r="P54" s="35"/>
      <c r="R54" s="9">
        <v>56.252999248199629</v>
      </c>
      <c r="T54" s="7" t="s">
        <v>34</v>
      </c>
      <c r="U54" s="7" t="s">
        <v>34</v>
      </c>
    </row>
    <row r="55" spans="1:21" ht="14.1" customHeight="1">
      <c r="A55" s="35">
        <v>94</v>
      </c>
      <c r="B55" s="197" t="s">
        <v>124</v>
      </c>
      <c r="C55" s="197" t="s">
        <v>5330</v>
      </c>
      <c r="D55" s="35" t="s">
        <v>2194</v>
      </c>
      <c r="E55" s="197" t="s">
        <v>2195</v>
      </c>
      <c r="F55" s="35" t="s">
        <v>26</v>
      </c>
      <c r="G55" s="198" t="s">
        <v>5206</v>
      </c>
      <c r="H55" s="35" t="s">
        <v>1081</v>
      </c>
      <c r="I55" s="199" t="s">
        <v>5207</v>
      </c>
      <c r="J55" s="35" t="s">
        <v>3611</v>
      </c>
      <c r="K55" s="35" t="s">
        <v>1083</v>
      </c>
      <c r="L55" s="35" t="s">
        <v>322</v>
      </c>
      <c r="M55" s="35">
        <v>83024100</v>
      </c>
      <c r="N55" s="35">
        <v>100</v>
      </c>
      <c r="O55" s="35">
        <v>35</v>
      </c>
      <c r="P55" s="35"/>
      <c r="R55" s="9">
        <v>67.579106479380769</v>
      </c>
      <c r="T55" s="7" t="s">
        <v>34</v>
      </c>
      <c r="U55" s="7" t="s">
        <v>34</v>
      </c>
    </row>
    <row r="56" spans="1:21" ht="14.1" customHeight="1">
      <c r="A56" s="35">
        <v>95</v>
      </c>
      <c r="B56" s="197" t="s">
        <v>124</v>
      </c>
      <c r="C56" s="197" t="s">
        <v>5330</v>
      </c>
      <c r="D56" s="35" t="s">
        <v>2194</v>
      </c>
      <c r="E56" s="197" t="s">
        <v>2195</v>
      </c>
      <c r="F56" s="35" t="s">
        <v>26</v>
      </c>
      <c r="G56" s="198" t="s">
        <v>5208</v>
      </c>
      <c r="H56" s="35" t="s">
        <v>1081</v>
      </c>
      <c r="I56" s="199" t="s">
        <v>5209</v>
      </c>
      <c r="J56" s="35" t="s">
        <v>3611</v>
      </c>
      <c r="K56" s="35" t="s">
        <v>1083</v>
      </c>
      <c r="L56" s="35" t="s">
        <v>322</v>
      </c>
      <c r="M56" s="35">
        <v>83024100</v>
      </c>
      <c r="N56" s="35">
        <v>100</v>
      </c>
      <c r="O56" s="35">
        <v>35</v>
      </c>
      <c r="P56" s="35"/>
      <c r="R56" s="9">
        <v>79.28275061826794</v>
      </c>
      <c r="T56" s="7" t="s">
        <v>34</v>
      </c>
      <c r="U56" s="7" t="s">
        <v>34</v>
      </c>
    </row>
    <row r="57" spans="1:21" ht="14.1" customHeight="1">
      <c r="A57" s="35">
        <v>96</v>
      </c>
      <c r="B57" s="197" t="s">
        <v>124</v>
      </c>
      <c r="C57" s="197" t="s">
        <v>5330</v>
      </c>
      <c r="D57" s="35" t="s">
        <v>2194</v>
      </c>
      <c r="E57" s="197" t="s">
        <v>2195</v>
      </c>
      <c r="F57" s="35" t="s">
        <v>26</v>
      </c>
      <c r="G57" s="198" t="s">
        <v>5210</v>
      </c>
      <c r="H57" s="35" t="s">
        <v>1081</v>
      </c>
      <c r="I57" s="199" t="s">
        <v>5211</v>
      </c>
      <c r="J57" s="35" t="s">
        <v>3611</v>
      </c>
      <c r="K57" s="35" t="s">
        <v>1083</v>
      </c>
      <c r="L57" s="35" t="s">
        <v>322</v>
      </c>
      <c r="M57" s="35">
        <v>83024100</v>
      </c>
      <c r="N57" s="35">
        <v>100</v>
      </c>
      <c r="O57" s="35">
        <v>35</v>
      </c>
      <c r="P57" s="35"/>
      <c r="R57" s="9">
        <v>90.608857849449066</v>
      </c>
      <c r="T57" s="7" t="s">
        <v>34</v>
      </c>
      <c r="U57" s="7" t="s">
        <v>34</v>
      </c>
    </row>
    <row r="58" spans="1:21" ht="14.1" customHeight="1">
      <c r="A58" s="35">
        <v>97</v>
      </c>
      <c r="B58" s="197" t="s">
        <v>124</v>
      </c>
      <c r="C58" s="197" t="s">
        <v>5330</v>
      </c>
      <c r="D58" s="35" t="s">
        <v>2194</v>
      </c>
      <c r="E58" s="197" t="s">
        <v>2195</v>
      </c>
      <c r="F58" s="35" t="s">
        <v>26</v>
      </c>
      <c r="G58" s="198" t="s">
        <v>5212</v>
      </c>
      <c r="H58" s="35" t="s">
        <v>1081</v>
      </c>
      <c r="I58" s="199" t="s">
        <v>5213</v>
      </c>
      <c r="J58" s="35" t="s">
        <v>3611</v>
      </c>
      <c r="K58" s="35" t="s">
        <v>1083</v>
      </c>
      <c r="L58" s="35" t="s">
        <v>322</v>
      </c>
      <c r="M58" s="35">
        <v>83024100</v>
      </c>
      <c r="N58" s="35">
        <v>100</v>
      </c>
      <c r="O58" s="35">
        <v>35</v>
      </c>
      <c r="P58" s="35"/>
      <c r="R58" s="9">
        <v>100.0472805421</v>
      </c>
      <c r="T58" s="7" t="s">
        <v>34</v>
      </c>
      <c r="U58" s="7" t="s">
        <v>34</v>
      </c>
    </row>
    <row r="59" spans="1:21" ht="14.1" customHeight="1">
      <c r="A59" s="35">
        <v>98</v>
      </c>
      <c r="B59" s="197" t="s">
        <v>124</v>
      </c>
      <c r="C59" s="197" t="s">
        <v>5330</v>
      </c>
      <c r="D59" s="35" t="s">
        <v>2194</v>
      </c>
      <c r="E59" s="197" t="s">
        <v>2195</v>
      </c>
      <c r="F59" s="35" t="s">
        <v>26</v>
      </c>
      <c r="G59" s="198" t="s">
        <v>5214</v>
      </c>
      <c r="H59" s="35" t="s">
        <v>1081</v>
      </c>
      <c r="I59" s="199" t="s">
        <v>5215</v>
      </c>
      <c r="J59" s="35" t="s">
        <v>3611</v>
      </c>
      <c r="K59" s="35" t="s">
        <v>1083</v>
      </c>
      <c r="L59" s="35" t="s">
        <v>322</v>
      </c>
      <c r="M59" s="35">
        <v>83024100</v>
      </c>
      <c r="N59" s="35">
        <v>100</v>
      </c>
      <c r="O59" s="35">
        <v>35</v>
      </c>
      <c r="P59" s="35"/>
      <c r="R59" s="9">
        <v>118.9241259274019</v>
      </c>
      <c r="T59" s="7" t="s">
        <v>34</v>
      </c>
      <c r="U59" s="7" t="s">
        <v>34</v>
      </c>
    </row>
    <row r="60" spans="1:21" ht="25.5" customHeight="1">
      <c r="A60" s="35">
        <v>99</v>
      </c>
      <c r="B60" s="197" t="s">
        <v>124</v>
      </c>
      <c r="C60" s="197" t="s">
        <v>5330</v>
      </c>
      <c r="D60" s="35" t="s">
        <v>2194</v>
      </c>
      <c r="E60" s="197" t="s">
        <v>2195</v>
      </c>
      <c r="F60" s="35" t="s">
        <v>26</v>
      </c>
      <c r="G60" s="198" t="s">
        <v>5216</v>
      </c>
      <c r="H60" s="35" t="s">
        <v>1081</v>
      </c>
      <c r="I60" s="199" t="s">
        <v>5217</v>
      </c>
      <c r="J60" s="35" t="s">
        <v>3611</v>
      </c>
      <c r="K60" s="35" t="s">
        <v>1083</v>
      </c>
      <c r="L60" s="35" t="s">
        <v>322</v>
      </c>
      <c r="M60" s="35">
        <v>83024100</v>
      </c>
      <c r="N60" s="35">
        <v>100</v>
      </c>
      <c r="O60" s="35">
        <v>35</v>
      </c>
      <c r="P60" s="35"/>
      <c r="R60" s="9">
        <v>162.34087031359621</v>
      </c>
      <c r="T60" s="7" t="s">
        <v>34</v>
      </c>
      <c r="U60" s="7" t="s">
        <v>34</v>
      </c>
    </row>
    <row r="61" spans="1:21" ht="14.1" customHeight="1">
      <c r="A61" s="35">
        <v>100</v>
      </c>
      <c r="B61" s="197" t="s">
        <v>124</v>
      </c>
      <c r="C61" s="197" t="s">
        <v>5330</v>
      </c>
      <c r="D61" s="35" t="s">
        <v>2194</v>
      </c>
      <c r="E61" s="197" t="s">
        <v>2195</v>
      </c>
      <c r="F61" s="35" t="s">
        <v>26</v>
      </c>
      <c r="G61" s="198" t="s">
        <v>5218</v>
      </c>
      <c r="H61" s="35" t="s">
        <v>1081</v>
      </c>
      <c r="I61" s="199" t="s">
        <v>5219</v>
      </c>
      <c r="J61" s="35" t="s">
        <v>3611</v>
      </c>
      <c r="K61" s="35" t="s">
        <v>1083</v>
      </c>
      <c r="L61" s="35" t="s">
        <v>322</v>
      </c>
      <c r="M61" s="35">
        <v>83024100</v>
      </c>
      <c r="N61" s="35">
        <v>100</v>
      </c>
      <c r="O61" s="35">
        <v>35</v>
      </c>
      <c r="P61" s="35"/>
      <c r="R61" s="9">
        <v>175.55466208330759</v>
      </c>
      <c r="T61" s="7" t="s">
        <v>34</v>
      </c>
      <c r="U61" s="7" t="s">
        <v>34</v>
      </c>
    </row>
    <row r="62" spans="1:21" ht="14.1" customHeight="1">
      <c r="A62" s="35">
        <v>101</v>
      </c>
      <c r="B62" s="197" t="s">
        <v>124</v>
      </c>
      <c r="C62" s="197" t="s">
        <v>5330</v>
      </c>
      <c r="D62" s="35" t="s">
        <v>2194</v>
      </c>
      <c r="E62" s="197" t="s">
        <v>2195</v>
      </c>
      <c r="F62" s="35" t="s">
        <v>26</v>
      </c>
      <c r="G62" s="198" t="s">
        <v>5220</v>
      </c>
      <c r="H62" s="35" t="s">
        <v>1081</v>
      </c>
      <c r="I62" s="199" t="s">
        <v>5221</v>
      </c>
      <c r="J62" s="35" t="s">
        <v>3611</v>
      </c>
      <c r="K62" s="35" t="s">
        <v>1083</v>
      </c>
      <c r="L62" s="35" t="s">
        <v>322</v>
      </c>
      <c r="M62" s="35">
        <v>83024100</v>
      </c>
      <c r="N62" s="35">
        <v>100</v>
      </c>
      <c r="O62" s="35">
        <v>35</v>
      </c>
      <c r="P62" s="35"/>
      <c r="R62" s="9">
        <v>184.99308477595849</v>
      </c>
      <c r="T62" s="7" t="s">
        <v>34</v>
      </c>
      <c r="U62" s="7" t="s">
        <v>34</v>
      </c>
    </row>
    <row r="63" spans="1:21" ht="14.1" customHeight="1">
      <c r="A63" s="35">
        <v>102</v>
      </c>
      <c r="B63" s="197" t="s">
        <v>124</v>
      </c>
      <c r="C63" s="197" t="s">
        <v>5330</v>
      </c>
      <c r="D63" s="35" t="s">
        <v>2194</v>
      </c>
      <c r="E63" s="197" t="s">
        <v>2195</v>
      </c>
      <c r="F63" s="35" t="s">
        <v>26</v>
      </c>
      <c r="G63" s="198" t="s">
        <v>5222</v>
      </c>
      <c r="H63" s="35" t="s">
        <v>1081</v>
      </c>
      <c r="I63" s="199" t="s">
        <v>5223</v>
      </c>
      <c r="J63" s="35" t="s">
        <v>3611</v>
      </c>
      <c r="K63" s="35" t="s">
        <v>1083</v>
      </c>
      <c r="L63" s="35" t="s">
        <v>322</v>
      </c>
      <c r="M63" s="35">
        <v>83024100</v>
      </c>
      <c r="N63" s="35">
        <v>100</v>
      </c>
      <c r="O63" s="35">
        <v>35</v>
      </c>
      <c r="P63" s="35"/>
      <c r="R63" s="9">
        <v>201.9822456227302</v>
      </c>
      <c r="T63" s="7" t="s">
        <v>34</v>
      </c>
      <c r="U63" s="7" t="s">
        <v>34</v>
      </c>
    </row>
    <row r="64" spans="1:21" ht="14.1" customHeight="1">
      <c r="A64" s="35">
        <v>107</v>
      </c>
      <c r="B64" s="206" t="s">
        <v>124</v>
      </c>
      <c r="C64" s="197" t="s">
        <v>5330</v>
      </c>
      <c r="D64" s="207" t="s">
        <v>2194</v>
      </c>
      <c r="E64" s="206" t="s">
        <v>2195</v>
      </c>
      <c r="F64" s="207" t="s">
        <v>26</v>
      </c>
      <c r="G64" s="208" t="s">
        <v>5404</v>
      </c>
      <c r="H64" s="207" t="s">
        <v>1320</v>
      </c>
      <c r="I64" s="209" t="s">
        <v>5405</v>
      </c>
      <c r="J64" s="207" t="s">
        <v>30</v>
      </c>
      <c r="K64" s="207" t="s">
        <v>1322</v>
      </c>
      <c r="L64" s="207" t="s">
        <v>322</v>
      </c>
      <c r="M64" s="207">
        <v>83021000</v>
      </c>
      <c r="N64" s="207">
        <v>100</v>
      </c>
      <c r="O64" s="207">
        <v>45</v>
      </c>
      <c r="P64" s="207"/>
      <c r="R64" s="9">
        <v>142.56638472815399</v>
      </c>
      <c r="T64" s="7" t="s">
        <v>34</v>
      </c>
      <c r="U64" s="7" t="s">
        <v>34</v>
      </c>
    </row>
    <row r="65" spans="1:21" ht="14.1" customHeight="1">
      <c r="A65" s="35">
        <v>114</v>
      </c>
      <c r="B65" s="200" t="s">
        <v>124</v>
      </c>
      <c r="C65" s="200" t="s">
        <v>5330</v>
      </c>
      <c r="D65" s="35" t="s">
        <v>773</v>
      </c>
      <c r="E65" s="200" t="s">
        <v>399</v>
      </c>
      <c r="F65" s="201" t="s">
        <v>26</v>
      </c>
      <c r="G65" s="211" t="s">
        <v>5406</v>
      </c>
      <c r="H65" s="201" t="s">
        <v>1424</v>
      </c>
      <c r="I65" s="202" t="s">
        <v>5407</v>
      </c>
      <c r="J65" s="201" t="s">
        <v>30</v>
      </c>
      <c r="K65" s="201" t="s">
        <v>1426</v>
      </c>
      <c r="L65" s="201" t="s">
        <v>322</v>
      </c>
      <c r="M65" s="201">
        <v>83024100</v>
      </c>
      <c r="N65" s="201">
        <v>100</v>
      </c>
      <c r="O65" s="201">
        <v>45</v>
      </c>
      <c r="P65" s="201"/>
      <c r="R65" s="9">
        <v>277.21241474918878</v>
      </c>
      <c r="T65" s="7" t="s">
        <v>34</v>
      </c>
      <c r="U65" s="7" t="s">
        <v>34</v>
      </c>
    </row>
    <row r="66" spans="1:21" ht="14.1" customHeight="1">
      <c r="A66" s="35">
        <v>115</v>
      </c>
      <c r="B66" s="200" t="s">
        <v>124</v>
      </c>
      <c r="C66" s="200" t="s">
        <v>5330</v>
      </c>
      <c r="D66" s="35" t="s">
        <v>773</v>
      </c>
      <c r="E66" s="200" t="s">
        <v>399</v>
      </c>
      <c r="F66" s="201" t="s">
        <v>26</v>
      </c>
      <c r="G66" s="211" t="s">
        <v>5408</v>
      </c>
      <c r="H66" s="201" t="s">
        <v>1424</v>
      </c>
      <c r="I66" s="199" t="s">
        <v>5409</v>
      </c>
      <c r="J66" s="201" t="s">
        <v>30</v>
      </c>
      <c r="K66" s="201" t="s">
        <v>1426</v>
      </c>
      <c r="L66" s="201" t="s">
        <v>322</v>
      </c>
      <c r="M66" s="201">
        <v>83024100</v>
      </c>
      <c r="N66" s="201">
        <v>100</v>
      </c>
      <c r="O66" s="201">
        <v>45</v>
      </c>
      <c r="P66" s="201"/>
      <c r="R66" s="9">
        <v>417.17828301517181</v>
      </c>
      <c r="T66" s="7" t="s">
        <v>34</v>
      </c>
      <c r="U66" s="7" t="s">
        <v>34</v>
      </c>
    </row>
    <row r="67" spans="1:21" ht="14.1" customHeight="1">
      <c r="A67" s="35">
        <v>116</v>
      </c>
      <c r="B67" s="200" t="s">
        <v>124</v>
      </c>
      <c r="C67" s="200" t="s">
        <v>5330</v>
      </c>
      <c r="D67" s="35" t="s">
        <v>773</v>
      </c>
      <c r="E67" s="200" t="s">
        <v>399</v>
      </c>
      <c r="F67" s="201" t="s">
        <v>26</v>
      </c>
      <c r="G67" s="211" t="s">
        <v>5410</v>
      </c>
      <c r="H67" s="201" t="s">
        <v>1424</v>
      </c>
      <c r="I67" s="202" t="s">
        <v>5407</v>
      </c>
      <c r="J67" s="201" t="s">
        <v>30</v>
      </c>
      <c r="K67" s="201" t="s">
        <v>1426</v>
      </c>
      <c r="L67" s="201" t="s">
        <v>322</v>
      </c>
      <c r="M67" s="201">
        <v>83024100</v>
      </c>
      <c r="N67" s="201">
        <v>60</v>
      </c>
      <c r="O67" s="201">
        <v>45</v>
      </c>
      <c r="P67" s="201"/>
      <c r="R67" s="9">
        <v>630.98825833386672</v>
      </c>
      <c r="T67" s="7" t="s">
        <v>34</v>
      </c>
      <c r="U67" s="7" t="s">
        <v>34</v>
      </c>
    </row>
    <row r="68" spans="1:21" ht="14.1" customHeight="1">
      <c r="A68" s="35">
        <v>120</v>
      </c>
      <c r="B68" s="200" t="s">
        <v>124</v>
      </c>
      <c r="C68" s="200" t="s">
        <v>5330</v>
      </c>
      <c r="D68" s="35" t="s">
        <v>1601</v>
      </c>
      <c r="E68" s="200" t="s">
        <v>3621</v>
      </c>
      <c r="F68" s="201" t="s">
        <v>26</v>
      </c>
      <c r="G68" s="211" t="s">
        <v>5411</v>
      </c>
      <c r="H68" s="201" t="s">
        <v>1424</v>
      </c>
      <c r="I68" s="199" t="s">
        <v>5412</v>
      </c>
      <c r="J68" s="201" t="s">
        <v>30</v>
      </c>
      <c r="K68" s="201" t="s">
        <v>1426</v>
      </c>
      <c r="L68" s="201" t="s">
        <v>322</v>
      </c>
      <c r="M68" s="201">
        <v>83024100</v>
      </c>
      <c r="N68" s="201">
        <v>3000</v>
      </c>
      <c r="O68" s="201">
        <v>60</v>
      </c>
      <c r="P68" s="201"/>
      <c r="R68" s="9">
        <v>106.34842470592621</v>
      </c>
      <c r="T68" s="7" t="s">
        <v>34</v>
      </c>
      <c r="U68" s="7"/>
    </row>
    <row r="69" spans="1:21" ht="14.1" customHeight="1">
      <c r="A69" s="35">
        <v>121</v>
      </c>
      <c r="B69" s="200" t="s">
        <v>124</v>
      </c>
      <c r="C69" s="200" t="s">
        <v>5330</v>
      </c>
      <c r="D69" s="35" t="s">
        <v>35</v>
      </c>
      <c r="E69" s="200" t="s">
        <v>864</v>
      </c>
      <c r="F69" s="201" t="s">
        <v>26</v>
      </c>
      <c r="G69" s="211" t="s">
        <v>5413</v>
      </c>
      <c r="H69" s="201" t="s">
        <v>1424</v>
      </c>
      <c r="I69" s="199" t="s">
        <v>5414</v>
      </c>
      <c r="J69" s="201" t="s">
        <v>30</v>
      </c>
      <c r="K69" s="201" t="s">
        <v>1426</v>
      </c>
      <c r="L69" s="201" t="s">
        <v>322</v>
      </c>
      <c r="M69" s="201">
        <v>83024100</v>
      </c>
      <c r="N69" s="201">
        <v>5000</v>
      </c>
      <c r="O69" s="201">
        <v>60</v>
      </c>
      <c r="P69" s="201"/>
      <c r="R69" s="9">
        <v>93.062847749538307</v>
      </c>
      <c r="T69" s="7" t="s">
        <v>34</v>
      </c>
      <c r="U69" s="7"/>
    </row>
    <row r="70" spans="1:21" ht="14.1" customHeight="1">
      <c r="A70" s="35">
        <v>122</v>
      </c>
      <c r="B70" s="200" t="s">
        <v>124</v>
      </c>
      <c r="C70" s="200" t="s">
        <v>5330</v>
      </c>
      <c r="D70" s="35" t="s">
        <v>773</v>
      </c>
      <c r="E70" s="200" t="s">
        <v>399</v>
      </c>
      <c r="F70" s="201" t="s">
        <v>26</v>
      </c>
      <c r="G70" s="211" t="s">
        <v>5415</v>
      </c>
      <c r="H70" s="201" t="s">
        <v>1424</v>
      </c>
      <c r="I70" s="199" t="s">
        <v>5416</v>
      </c>
      <c r="J70" s="201" t="s">
        <v>30</v>
      </c>
      <c r="K70" s="201" t="s">
        <v>1426</v>
      </c>
      <c r="L70" s="201" t="s">
        <v>322</v>
      </c>
      <c r="M70" s="201">
        <v>83021000</v>
      </c>
      <c r="N70" s="201">
        <v>2000</v>
      </c>
      <c r="O70" s="201">
        <v>60</v>
      </c>
      <c r="P70" s="201"/>
      <c r="R70" s="9">
        <v>41.529059847664158</v>
      </c>
      <c r="T70" s="7" t="s">
        <v>34</v>
      </c>
      <c r="U70" s="7"/>
    </row>
    <row r="71" spans="1:21" ht="14.1" customHeight="1"/>
    <row r="72" spans="1:21" ht="14.1" customHeight="1"/>
    <row r="73" spans="1:21" ht="14.1" customHeight="1"/>
    <row r="74" spans="1:21" ht="14.1" customHeight="1"/>
    <row r="75" spans="1:21" ht="14.1" customHeight="1"/>
    <row r="76" spans="1:21" ht="14.1" customHeight="1"/>
    <row r="77" spans="1:21" ht="14.1" customHeight="1"/>
    <row r="78" spans="1:21" ht="14.1" customHeight="1"/>
    <row r="79" spans="1:21" ht="14.1" customHeight="1"/>
    <row r="80" spans="1:21" ht="14.1" customHeight="1"/>
    <row r="81" ht="14.1" customHeight="1"/>
    <row r="82" ht="14.1" customHeight="1"/>
    <row r="83" ht="14.1" customHeight="1"/>
    <row r="84" ht="14.1" customHeight="1"/>
    <row r="85" ht="14.1" customHeight="1"/>
    <row r="86" ht="14.1" customHeight="1"/>
    <row r="87" ht="14.1" customHeight="1"/>
    <row r="88" ht="14.1" customHeight="1"/>
    <row r="89" ht="14.1" customHeight="1"/>
    <row r="90" ht="14.1" customHeight="1"/>
    <row r="91" ht="14.1" customHeight="1"/>
    <row r="92" ht="14.1" customHeight="1"/>
    <row r="93" ht="14.1" customHeight="1"/>
    <row r="94" ht="14.1" customHeight="1"/>
    <row r="95" ht="14.1" customHeight="1"/>
    <row r="96" ht="14.1" customHeight="1"/>
    <row r="97" ht="14.1" customHeight="1"/>
    <row r="98" ht="14.1" customHeight="1"/>
    <row r="99" ht="14.1" customHeight="1"/>
    <row r="100" ht="14.1" customHeight="1"/>
    <row r="101" ht="14.1" customHeight="1"/>
    <row r="102" ht="14.1" customHeight="1"/>
    <row r="103" ht="14.1" customHeight="1"/>
    <row r="104" ht="14.1" customHeight="1"/>
    <row r="105" ht="14.1" customHeight="1"/>
    <row r="106" ht="14.1" customHeight="1"/>
    <row r="107" ht="14.1" customHeight="1"/>
    <row r="108" ht="14.1" customHeight="1"/>
    <row r="109" ht="14.1" customHeight="1"/>
    <row r="110" ht="14.1" customHeight="1"/>
    <row r="111" ht="14.1" customHeight="1"/>
    <row r="112" ht="14.1" customHeight="1"/>
    <row r="113" s="210" customFormat="1" ht="14.1" customHeight="1"/>
    <row r="114" s="210" customFormat="1" ht="14.1" customHeight="1"/>
    <row r="115" s="210" customFormat="1" ht="14.1" customHeight="1"/>
    <row r="116" s="210" customFormat="1" ht="14.1" customHeight="1"/>
    <row r="117" s="210" customFormat="1" ht="14.1" customHeight="1"/>
    <row r="118" s="210" customFormat="1" ht="14.1" customHeight="1"/>
    <row r="119" s="210" customFormat="1" ht="14.1" customHeight="1"/>
    <row r="120" s="210" customFormat="1" ht="14.1" customHeight="1"/>
    <row r="121" s="210" customFormat="1" ht="14.1" customHeight="1"/>
    <row r="122" s="210" customFormat="1" ht="14.1" customHeight="1"/>
    <row r="123" s="210" customFormat="1" ht="14.1" customHeight="1"/>
    <row r="124" s="210" customFormat="1" ht="14.1" customHeight="1"/>
    <row r="125" s="210" customFormat="1" ht="14.1" customHeight="1"/>
    <row r="126" s="210" customFormat="1" ht="14.1" customHeight="1"/>
    <row r="127" ht="14.1" customHeight="1"/>
    <row r="128" ht="14.1" customHeight="1"/>
    <row r="129" ht="14.1" customHeight="1"/>
    <row r="130" ht="14.1" customHeight="1"/>
    <row r="131" ht="14.1" customHeight="1"/>
    <row r="132" ht="14.1" customHeight="1"/>
    <row r="133" ht="14.1" customHeight="1"/>
    <row r="134" ht="14.1" customHeight="1"/>
    <row r="135" ht="14.1" customHeight="1"/>
    <row r="136" ht="14.1" customHeight="1"/>
    <row r="137" ht="14.1" customHeight="1"/>
    <row r="138" ht="14.1" customHeight="1"/>
    <row r="139" ht="14.1" customHeight="1"/>
    <row r="140" ht="14.1" customHeight="1"/>
    <row r="141" ht="14.1" customHeight="1"/>
    <row r="142" ht="14.1" customHeight="1"/>
    <row r="143" ht="14.1" customHeight="1"/>
    <row r="144" ht="14.1" customHeight="1"/>
    <row r="145" ht="14.1" customHeight="1"/>
    <row r="146" ht="14.1" customHeight="1"/>
    <row r="147" ht="14.1" customHeight="1"/>
    <row r="148" ht="14.1" customHeight="1"/>
    <row r="149" ht="14.1" customHeight="1"/>
    <row r="150" ht="14.1" customHeight="1"/>
    <row r="151" ht="14.1" customHeight="1"/>
    <row r="152" ht="14.1" customHeight="1"/>
    <row r="153" ht="14.1" customHeight="1"/>
    <row r="154" ht="14.1" customHeight="1"/>
    <row r="155" ht="14.1" customHeight="1"/>
    <row r="156" ht="14.1" customHeight="1"/>
    <row r="157" ht="14.1" customHeight="1"/>
    <row r="158" ht="14.1" customHeight="1"/>
    <row r="159" ht="14.1" customHeight="1"/>
    <row r="160" ht="14.1" customHeight="1"/>
    <row r="161" ht="14.1" customHeight="1"/>
    <row r="162" ht="14.1" customHeight="1"/>
    <row r="163" ht="14.1" customHeight="1"/>
    <row r="164" ht="14.1" customHeight="1"/>
    <row r="165" ht="14.1" customHeight="1"/>
    <row r="166" ht="14.1" customHeight="1"/>
    <row r="167" ht="14.1" customHeight="1"/>
    <row r="168" ht="14.1" customHeight="1"/>
    <row r="169" ht="14.1" customHeight="1"/>
    <row r="170" ht="14.1" customHeight="1"/>
    <row r="171" ht="14.1" customHeight="1"/>
    <row r="172" ht="14.1" customHeight="1"/>
    <row r="173" ht="14.1" customHeight="1"/>
    <row r="174" ht="14.1" customHeight="1"/>
    <row r="175" ht="14.1" customHeight="1"/>
    <row r="176" ht="14.1" customHeight="1"/>
    <row r="177" ht="14.1" customHeight="1"/>
    <row r="178" ht="14.1" customHeight="1"/>
    <row r="179" ht="14.1" customHeight="1"/>
    <row r="180" ht="14.1" customHeight="1"/>
    <row r="181" ht="14.1" customHeight="1"/>
    <row r="182" ht="14.1" customHeight="1"/>
    <row r="183" ht="14.1" customHeight="1"/>
    <row r="184" ht="14.1" customHeight="1"/>
    <row r="185" ht="14.1" customHeight="1"/>
    <row r="186" ht="14.1" customHeight="1"/>
    <row r="187" ht="14.1" customHeight="1"/>
    <row r="188" ht="14.1" customHeight="1"/>
    <row r="189" ht="14.1" customHeight="1"/>
    <row r="190" ht="14.1" customHeight="1"/>
    <row r="191" ht="14.1" customHeight="1"/>
    <row r="192" ht="14.1" customHeight="1"/>
    <row r="193" ht="14.1" customHeight="1"/>
    <row r="194" ht="14.1" customHeight="1"/>
    <row r="195" ht="14.1" customHeight="1"/>
    <row r="196" ht="14.1" customHeight="1"/>
    <row r="197" ht="14.1" customHeight="1"/>
    <row r="198" ht="14.1" customHeight="1"/>
    <row r="199" ht="14.1" customHeight="1"/>
    <row r="200" ht="14.1" customHeight="1"/>
    <row r="201" ht="14.1" customHeight="1"/>
    <row r="202" ht="14.1" customHeight="1"/>
    <row r="203" ht="14.1" customHeight="1"/>
    <row r="204" ht="14.1" customHeight="1"/>
    <row r="205" ht="14.1" customHeight="1"/>
    <row r="206" ht="14.1" customHeight="1"/>
    <row r="207" ht="14.1" customHeight="1"/>
    <row r="208" ht="14.1" customHeight="1"/>
    <row r="209" ht="14.1" customHeight="1"/>
    <row r="210" ht="14.1" customHeight="1"/>
    <row r="211" ht="14.1" customHeight="1"/>
    <row r="212" ht="14.1" customHeight="1"/>
    <row r="213" ht="14.1" customHeight="1"/>
    <row r="214" ht="14.1" customHeight="1"/>
    <row r="215" ht="14.1" customHeight="1"/>
    <row r="216" ht="14.1" customHeight="1"/>
    <row r="217" ht="14.1" customHeight="1"/>
    <row r="218" ht="14.1" customHeight="1"/>
    <row r="219" ht="14.1" customHeight="1"/>
    <row r="220" ht="14.1" customHeight="1"/>
    <row r="221" ht="14.1" customHeight="1"/>
    <row r="222" ht="14.1" customHeight="1"/>
    <row r="223" ht="14.1" customHeight="1"/>
    <row r="224" ht="14.1" customHeight="1"/>
    <row r="225" ht="14.1" customHeight="1"/>
    <row r="226" ht="14.1" customHeight="1"/>
    <row r="227" ht="14.1" customHeight="1"/>
    <row r="228" ht="14.1" customHeight="1"/>
    <row r="229" ht="14.1" customHeight="1"/>
    <row r="230" ht="14.1" customHeight="1"/>
    <row r="231" ht="14.1" customHeight="1"/>
    <row r="232" ht="14.1" customHeight="1"/>
    <row r="233" ht="14.1" customHeight="1"/>
    <row r="234" ht="14.1" customHeight="1"/>
    <row r="235" ht="14.1" customHeight="1"/>
    <row r="236" ht="14.1" customHeight="1"/>
    <row r="237" ht="14.1" customHeight="1"/>
    <row r="238" ht="14.1" customHeight="1"/>
    <row r="239" ht="14.1" customHeight="1"/>
    <row r="240" ht="14.1" customHeight="1"/>
    <row r="241" ht="14.1" customHeight="1"/>
    <row r="242" ht="14.1" customHeight="1"/>
    <row r="243" ht="14.1" customHeight="1"/>
    <row r="244" ht="14.1" customHeight="1"/>
    <row r="245" ht="14.1" customHeight="1"/>
    <row r="246" ht="14.1" customHeight="1"/>
    <row r="247" ht="14.1" customHeight="1"/>
    <row r="248" ht="14.1" customHeight="1"/>
    <row r="249" ht="14.1" customHeight="1"/>
    <row r="250" ht="14.1" customHeight="1"/>
    <row r="251" ht="14.1" customHeight="1"/>
    <row r="252" ht="14.1" customHeight="1"/>
    <row r="253" ht="14.1" customHeight="1"/>
    <row r="254" ht="14.1" customHeight="1"/>
    <row r="255" ht="14.1" customHeight="1"/>
    <row r="256" ht="14.1" customHeight="1"/>
    <row r="257" ht="14.1" customHeight="1"/>
    <row r="258" ht="14.1" customHeight="1"/>
    <row r="259" ht="14.1" customHeight="1"/>
    <row r="260" ht="14.1" customHeight="1"/>
    <row r="261" ht="14.1" customHeight="1"/>
    <row r="262" ht="14.1" customHeight="1"/>
    <row r="263" ht="14.1" customHeight="1"/>
    <row r="264" ht="14.1" customHeight="1"/>
    <row r="265" ht="14.1" customHeight="1"/>
    <row r="266" ht="14.1" customHeight="1"/>
    <row r="267" ht="14.1" customHeight="1"/>
    <row r="268" ht="14.1" customHeight="1"/>
    <row r="269" ht="14.1" customHeight="1"/>
    <row r="270" ht="14.1" customHeight="1"/>
    <row r="271" ht="14.1" customHeight="1"/>
    <row r="272" ht="14.1" customHeight="1"/>
    <row r="273" ht="14.1" customHeight="1"/>
    <row r="274" ht="14.1" customHeight="1"/>
    <row r="275" ht="14.1" customHeight="1"/>
    <row r="276" ht="14.1" customHeight="1"/>
    <row r="277" ht="14.1" customHeight="1"/>
    <row r="278" ht="14.1" customHeight="1"/>
    <row r="279" ht="14.1" customHeight="1"/>
    <row r="280" ht="14.1" customHeight="1"/>
    <row r="281" ht="14.1" customHeight="1"/>
    <row r="282" ht="14.1" customHeight="1"/>
    <row r="283" ht="14.1" customHeight="1"/>
    <row r="284" ht="14.1" customHeight="1"/>
    <row r="285" ht="14.1" customHeight="1"/>
    <row r="286" ht="14.1" customHeight="1"/>
    <row r="287" ht="14.1" customHeight="1"/>
    <row r="288" ht="14.1" customHeight="1"/>
    <row r="289" ht="14.1" customHeight="1"/>
    <row r="290" ht="14.1" customHeight="1"/>
    <row r="291" ht="14.1" customHeight="1"/>
    <row r="292" ht="14.1" customHeight="1"/>
    <row r="293" ht="14.1" customHeight="1"/>
    <row r="294" ht="14.1" customHeight="1"/>
    <row r="295" ht="14.1" customHeight="1"/>
    <row r="296" ht="14.1" customHeight="1"/>
    <row r="297" ht="14.1" customHeight="1"/>
    <row r="298" ht="14.1" customHeight="1"/>
    <row r="299" ht="14.1" customHeight="1"/>
    <row r="300" ht="14.1" customHeight="1"/>
    <row r="301" ht="14.1" customHeight="1"/>
    <row r="302" ht="14.1" customHeight="1"/>
    <row r="303" ht="14.1" customHeight="1"/>
    <row r="304" ht="14.1" customHeight="1"/>
    <row r="305" ht="14.1" customHeight="1"/>
    <row r="306" ht="14.1" customHeight="1"/>
    <row r="307" ht="14.1" customHeight="1"/>
    <row r="308" ht="14.1" customHeight="1"/>
    <row r="309" ht="14.1" customHeight="1"/>
    <row r="310" ht="14.1" customHeight="1"/>
    <row r="311" ht="14.1" customHeight="1"/>
    <row r="312" ht="14.1" customHeight="1"/>
    <row r="313" ht="14.1" customHeight="1"/>
    <row r="314" ht="14.1" customHeight="1"/>
    <row r="315" ht="14.1" customHeight="1"/>
    <row r="316" ht="14.1" customHeight="1"/>
    <row r="317" ht="14.1" customHeight="1"/>
    <row r="318" ht="14.1" customHeight="1"/>
    <row r="319" ht="14.1" customHeight="1"/>
    <row r="320" ht="14.1" customHeight="1"/>
    <row r="321" ht="14.1" customHeight="1"/>
    <row r="322" ht="14.1" customHeight="1"/>
    <row r="323" ht="14.1" customHeight="1"/>
    <row r="324" ht="14.1" customHeight="1"/>
    <row r="325" ht="14.1" customHeight="1"/>
    <row r="326" ht="14.1" customHeight="1"/>
    <row r="327" ht="14.1" customHeight="1"/>
    <row r="328" ht="14.1" customHeight="1"/>
    <row r="329" ht="14.1" customHeight="1"/>
    <row r="330" ht="14.1" customHeight="1"/>
    <row r="331" ht="14.1" customHeight="1"/>
    <row r="332" ht="14.1" customHeight="1"/>
    <row r="333" ht="14.1" customHeight="1"/>
    <row r="334" ht="14.1" customHeight="1"/>
    <row r="335" ht="14.1" customHeight="1"/>
    <row r="336" ht="14.1" customHeight="1"/>
    <row r="337" ht="14.1" customHeight="1"/>
    <row r="338" ht="14.1" customHeight="1"/>
    <row r="339" ht="14.1" customHeight="1"/>
    <row r="340" ht="14.1" customHeight="1"/>
    <row r="341" ht="14.1" customHeight="1"/>
    <row r="342" ht="14.1" customHeight="1"/>
    <row r="343" ht="14.1" customHeight="1"/>
    <row r="344" ht="14.1" customHeight="1"/>
    <row r="345" ht="14.1" customHeight="1"/>
    <row r="346" ht="14.1" customHeight="1"/>
    <row r="347" ht="14.1" customHeight="1"/>
    <row r="348" ht="14.1" customHeight="1"/>
    <row r="349" ht="14.1" customHeight="1"/>
    <row r="350" ht="14.1" customHeight="1"/>
    <row r="351" ht="14.1" customHeight="1"/>
    <row r="352" ht="14.1" customHeight="1"/>
    <row r="353" ht="14.1" customHeight="1"/>
    <row r="354" ht="14.1" customHeight="1"/>
    <row r="355" ht="14.1" customHeight="1"/>
    <row r="356" ht="14.1" customHeight="1"/>
    <row r="357" ht="14.1" customHeight="1"/>
    <row r="358" ht="14.1" customHeight="1"/>
    <row r="359" ht="14.1" customHeight="1"/>
    <row r="360" ht="14.1" customHeight="1"/>
    <row r="361" ht="14.1" customHeight="1"/>
    <row r="362" ht="14.1" customHeight="1"/>
    <row r="363" ht="14.1" customHeight="1"/>
    <row r="364" ht="14.1" customHeight="1"/>
    <row r="365" ht="14.1" customHeight="1"/>
    <row r="366" ht="14.1" customHeight="1"/>
    <row r="367" ht="14.1" customHeight="1"/>
    <row r="368" ht="14.1" customHeight="1"/>
    <row r="369" ht="14.1" customHeight="1"/>
    <row r="370" ht="14.1" customHeight="1"/>
    <row r="371" ht="14.1" customHeight="1"/>
    <row r="372" ht="14.1" customHeight="1"/>
    <row r="373" ht="14.1" customHeight="1"/>
    <row r="374" ht="14.1" customHeight="1"/>
    <row r="375" ht="14.1" customHeight="1"/>
    <row r="376" ht="14.1" customHeight="1"/>
    <row r="377" ht="14.1" customHeight="1"/>
    <row r="378" ht="14.1" customHeight="1"/>
    <row r="379" ht="14.1" customHeight="1"/>
    <row r="380" ht="14.1" customHeight="1"/>
    <row r="381" ht="14.1" customHeight="1"/>
    <row r="382" ht="14.1" customHeight="1"/>
    <row r="383" ht="14.1" customHeight="1"/>
    <row r="384" ht="14.1" customHeight="1"/>
    <row r="385" ht="14.1" customHeight="1"/>
    <row r="386" ht="14.1" customHeight="1"/>
    <row r="387" ht="14.1" customHeight="1"/>
    <row r="388" ht="14.1" customHeight="1"/>
    <row r="389" ht="14.1" customHeight="1"/>
    <row r="390" ht="14.1" customHeight="1"/>
    <row r="391" ht="14.1" customHeight="1"/>
    <row r="392" ht="14.1" customHeight="1"/>
    <row r="393" ht="14.1" customHeight="1"/>
    <row r="394" ht="14.1" customHeight="1"/>
    <row r="395" ht="14.1" customHeight="1"/>
    <row r="396" ht="14.1" customHeight="1"/>
    <row r="397" ht="14.1" customHeight="1"/>
    <row r="398" ht="14.1" customHeight="1"/>
    <row r="399" ht="14.1" customHeight="1"/>
    <row r="400" ht="14.1" customHeight="1"/>
    <row r="401" ht="14.1" customHeight="1"/>
    <row r="402" ht="14.1" customHeight="1"/>
    <row r="403" ht="14.1" customHeight="1"/>
    <row r="404" ht="14.1" customHeight="1"/>
    <row r="405" ht="14.1" customHeight="1"/>
    <row r="406" ht="14.1" customHeight="1"/>
    <row r="407" ht="14.1" customHeight="1"/>
    <row r="408" ht="14.1" customHeight="1"/>
    <row r="409" ht="14.1" customHeight="1"/>
    <row r="410" ht="14.1" customHeight="1"/>
    <row r="411" ht="14.1" customHeight="1"/>
    <row r="412" ht="14.1" customHeight="1"/>
    <row r="413" ht="14.1" customHeight="1"/>
    <row r="414" ht="14.1" customHeight="1"/>
    <row r="415" ht="14.1" customHeight="1"/>
    <row r="416" ht="14.1" customHeight="1"/>
    <row r="417" ht="14.1" customHeight="1"/>
    <row r="418" ht="14.1" customHeight="1"/>
    <row r="419" ht="14.1" customHeight="1"/>
    <row r="420" ht="14.1" customHeight="1"/>
    <row r="421" ht="14.1" customHeight="1"/>
    <row r="422" ht="14.1" customHeight="1"/>
    <row r="423" ht="14.1" customHeight="1"/>
    <row r="424" ht="14.1" customHeight="1"/>
    <row r="425" ht="14.1" customHeight="1"/>
    <row r="426" ht="14.1" customHeight="1"/>
    <row r="427" ht="14.1" customHeight="1"/>
    <row r="428" ht="14.1" customHeight="1"/>
    <row r="429" ht="14.1" customHeight="1"/>
    <row r="430" ht="14.1" customHeight="1"/>
    <row r="431" ht="14.1" customHeight="1"/>
    <row r="432" ht="14.1" customHeight="1"/>
    <row r="433" ht="14.1" customHeight="1"/>
    <row r="434" ht="14.1" customHeight="1"/>
    <row r="435" ht="14.1" customHeight="1"/>
    <row r="436" ht="14.1" customHeight="1"/>
    <row r="437" ht="14.1" customHeight="1"/>
    <row r="438" ht="14.1" customHeight="1"/>
    <row r="439" ht="14.1" customHeight="1"/>
    <row r="440" ht="14.1" customHeight="1"/>
    <row r="441" ht="14.1" customHeight="1"/>
    <row r="442" ht="14.1" customHeight="1"/>
    <row r="443" ht="14.1" customHeight="1"/>
    <row r="444" ht="14.1" customHeight="1"/>
    <row r="445" ht="14.1" customHeight="1"/>
    <row r="446" ht="14.1" customHeight="1"/>
    <row r="447" ht="14.1" customHeight="1"/>
    <row r="448" ht="14.1" customHeight="1"/>
    <row r="449" ht="14.1" customHeight="1"/>
    <row r="450" ht="14.1" customHeight="1"/>
    <row r="451" ht="14.1" customHeight="1"/>
    <row r="452" ht="14.1" customHeight="1"/>
    <row r="453" ht="14.1" customHeight="1"/>
    <row r="454" ht="14.1" customHeight="1"/>
    <row r="455" ht="14.1" customHeight="1"/>
    <row r="456" ht="14.1" customHeight="1"/>
    <row r="457" ht="14.1" customHeight="1"/>
    <row r="458" ht="14.1" customHeight="1"/>
    <row r="459" ht="14.1" customHeight="1"/>
    <row r="460" ht="14.1" customHeight="1"/>
    <row r="461" ht="14.1" customHeight="1"/>
    <row r="462" ht="14.1" customHeight="1"/>
    <row r="463" ht="14.1" customHeight="1"/>
    <row r="464" ht="14.1" customHeight="1"/>
    <row r="465" ht="14.1" customHeight="1"/>
    <row r="466" ht="14.1" customHeight="1"/>
    <row r="467" ht="14.1" customHeight="1"/>
    <row r="468" ht="14.1" customHeight="1"/>
    <row r="469" ht="14.1" customHeight="1"/>
    <row r="470" ht="14.1" customHeight="1"/>
    <row r="471" ht="14.1" customHeight="1"/>
    <row r="472" ht="14.1" customHeight="1"/>
    <row r="473" ht="14.1" customHeight="1"/>
    <row r="474" ht="14.1" customHeight="1"/>
    <row r="475" ht="14.1" customHeight="1"/>
    <row r="476" ht="14.1" customHeight="1"/>
    <row r="477" ht="14.1" customHeight="1"/>
    <row r="478" ht="14.1" customHeight="1"/>
    <row r="479" ht="14.1" customHeight="1"/>
    <row r="480" ht="14.1" customHeight="1"/>
    <row r="481" ht="14.1" customHeight="1"/>
    <row r="482" ht="14.1" customHeight="1"/>
    <row r="483" ht="14.1" customHeight="1"/>
    <row r="484" ht="14.1" customHeight="1"/>
    <row r="485" ht="14.1" customHeight="1"/>
    <row r="486" ht="14.1" customHeight="1"/>
    <row r="487" ht="14.1" customHeight="1"/>
    <row r="488" ht="14.1" customHeight="1"/>
    <row r="489" ht="14.1" customHeight="1"/>
    <row r="490" ht="14.1" customHeight="1"/>
    <row r="491" ht="14.1" customHeight="1"/>
    <row r="492" ht="14.1" customHeight="1"/>
    <row r="493" ht="14.1" customHeight="1"/>
    <row r="494" ht="14.1" customHeight="1"/>
    <row r="495" ht="14.1" customHeight="1"/>
    <row r="496" ht="14.1" customHeight="1"/>
    <row r="497" ht="14.1" customHeight="1"/>
    <row r="498" ht="14.1" customHeight="1"/>
    <row r="499" ht="14.1" customHeight="1"/>
    <row r="500" ht="14.1" customHeight="1"/>
    <row r="501" ht="14.1" customHeight="1"/>
    <row r="502" ht="14.1" customHeight="1"/>
    <row r="503" ht="14.1" customHeight="1"/>
    <row r="504" ht="14.1" customHeight="1"/>
    <row r="505" ht="14.1" customHeight="1"/>
    <row r="506" ht="14.1" customHeight="1"/>
    <row r="507" ht="14.1" customHeight="1"/>
    <row r="508" ht="14.1" customHeight="1"/>
    <row r="509" ht="14.1" customHeight="1"/>
    <row r="510" ht="14.1" customHeight="1"/>
    <row r="511" ht="14.1" customHeight="1"/>
    <row r="512" ht="14.1" customHeight="1"/>
    <row r="513" ht="14.1" customHeight="1"/>
    <row r="514" ht="14.1" customHeight="1"/>
    <row r="515" ht="14.1" customHeight="1"/>
    <row r="516" ht="14.1" customHeight="1"/>
    <row r="517" ht="14.1" customHeight="1"/>
    <row r="518" ht="14.1" customHeight="1"/>
    <row r="519" ht="14.1" customHeight="1"/>
    <row r="520" ht="14.1" customHeight="1"/>
    <row r="521" ht="14.1" customHeight="1"/>
    <row r="522" ht="14.1" customHeight="1"/>
    <row r="523" ht="14.1" customHeight="1"/>
    <row r="524" ht="14.1" customHeight="1"/>
    <row r="525" ht="14.1" customHeight="1"/>
    <row r="526" ht="14.1" customHeight="1"/>
    <row r="527" ht="14.1" customHeight="1"/>
    <row r="528" ht="14.1" customHeight="1"/>
    <row r="529" ht="14.1" customHeight="1"/>
    <row r="530" ht="14.1" customHeight="1"/>
    <row r="531" ht="14.1" customHeight="1"/>
    <row r="532" ht="14.1" customHeight="1"/>
    <row r="533" ht="14.1" customHeight="1"/>
    <row r="534" ht="14.1" customHeight="1"/>
    <row r="535" ht="14.1" customHeight="1"/>
    <row r="536" ht="14.1" customHeight="1"/>
    <row r="537" ht="14.1" customHeight="1"/>
    <row r="538" ht="14.1" customHeight="1"/>
    <row r="539" ht="14.1" customHeight="1"/>
    <row r="540" ht="14.1" customHeight="1"/>
    <row r="541" ht="14.1" customHeight="1"/>
    <row r="542" ht="14.1" customHeight="1"/>
    <row r="543" ht="14.1" customHeight="1"/>
    <row r="544" ht="14.1" customHeight="1"/>
    <row r="545" ht="14.1" customHeight="1"/>
    <row r="546" ht="14.1" customHeight="1"/>
    <row r="547" ht="14.1" customHeight="1"/>
    <row r="548" ht="14.1" customHeight="1"/>
    <row r="549" ht="14.1" customHeight="1"/>
    <row r="550" ht="14.1" customHeight="1"/>
    <row r="551" ht="14.1" customHeight="1"/>
    <row r="552" ht="14.1" customHeight="1"/>
    <row r="553" ht="14.1" customHeight="1"/>
    <row r="554" ht="14.1" customHeight="1"/>
    <row r="555" ht="14.1" customHeight="1"/>
    <row r="556" ht="14.1" customHeight="1"/>
    <row r="557" ht="14.1" customHeight="1"/>
    <row r="558" ht="14.1" customHeight="1"/>
    <row r="559" ht="14.1" customHeight="1"/>
    <row r="560" ht="14.1" customHeight="1"/>
    <row r="561" ht="14.1" customHeight="1"/>
    <row r="562" ht="14.1" customHeight="1"/>
    <row r="563" ht="14.1" customHeight="1"/>
    <row r="564" ht="14.1" customHeight="1"/>
    <row r="565" ht="14.1" customHeight="1"/>
    <row r="566" ht="14.1" customHeight="1"/>
    <row r="567" ht="14.1" customHeight="1"/>
    <row r="568" ht="14.1" customHeight="1"/>
    <row r="569" ht="14.1" customHeight="1"/>
    <row r="570" ht="14.1" customHeight="1"/>
    <row r="571" ht="14.1" customHeight="1"/>
    <row r="572" ht="14.1" customHeight="1"/>
    <row r="573" ht="14.1" customHeight="1"/>
    <row r="574" ht="14.1" customHeight="1"/>
    <row r="575" ht="14.1" customHeight="1"/>
    <row r="576" ht="14.1" customHeight="1"/>
    <row r="577" ht="14.1" customHeight="1"/>
    <row r="578" ht="14.1" customHeight="1"/>
    <row r="579" ht="14.1" customHeight="1"/>
    <row r="580" ht="14.1" customHeight="1"/>
    <row r="581" ht="14.1" customHeight="1"/>
    <row r="582" ht="14.1" customHeight="1"/>
    <row r="583" ht="14.1" customHeight="1"/>
    <row r="584" ht="14.1" customHeight="1"/>
    <row r="585" ht="14.1" customHeight="1"/>
    <row r="586" ht="14.1" customHeight="1"/>
    <row r="587" ht="14.1" customHeight="1"/>
    <row r="588" ht="14.1" customHeight="1"/>
    <row r="589" ht="14.1" customHeight="1"/>
    <row r="590" ht="14.1" customHeight="1"/>
    <row r="591" ht="14.1" customHeight="1"/>
    <row r="592" ht="14.1" customHeight="1"/>
    <row r="593" ht="14.1" customHeight="1"/>
    <row r="594" ht="14.1" customHeight="1"/>
    <row r="595" ht="14.1" customHeight="1"/>
    <row r="596" ht="14.1" customHeight="1"/>
    <row r="597" ht="14.1" customHeight="1"/>
    <row r="598" ht="14.1" customHeight="1"/>
    <row r="599" ht="14.1" customHeight="1"/>
    <row r="600" ht="14.1" customHeight="1"/>
    <row r="601" ht="14.1" customHeight="1"/>
    <row r="602" ht="14.1" customHeight="1"/>
    <row r="603" ht="14.1" customHeight="1"/>
    <row r="604" ht="14.1" customHeight="1"/>
    <row r="605" ht="14.1" customHeight="1"/>
    <row r="606" ht="14.1" customHeight="1"/>
    <row r="607" ht="14.1" customHeight="1"/>
    <row r="608" ht="14.1" customHeight="1"/>
    <row r="609" ht="14.1" customHeight="1"/>
    <row r="610" ht="14.1" customHeight="1"/>
    <row r="611" ht="14.1" customHeight="1"/>
    <row r="612" ht="14.1" customHeight="1"/>
    <row r="613" ht="14.1" customHeight="1"/>
    <row r="614" ht="14.1" customHeight="1"/>
    <row r="615" ht="14.1" customHeight="1"/>
    <row r="616" ht="14.1" customHeight="1"/>
    <row r="617" ht="14.1" customHeight="1"/>
    <row r="618" ht="14.1" customHeight="1"/>
    <row r="619" ht="14.1" customHeight="1"/>
    <row r="620" ht="14.1" customHeight="1"/>
    <row r="621" ht="14.1" customHeight="1"/>
    <row r="622" ht="14.1" customHeight="1"/>
    <row r="623" ht="14.1" customHeight="1"/>
    <row r="624" ht="14.1" customHeight="1"/>
    <row r="625" ht="14.1" customHeight="1"/>
    <row r="626" ht="14.1" customHeight="1"/>
    <row r="627" ht="14.1" customHeight="1"/>
    <row r="628" ht="14.1" customHeight="1"/>
    <row r="629" ht="14.1" customHeight="1"/>
    <row r="630" ht="14.1" customHeight="1"/>
    <row r="631" ht="14.1" customHeight="1"/>
    <row r="632" ht="14.1" customHeight="1"/>
    <row r="633" ht="14.1" customHeight="1"/>
    <row r="634" ht="14.1" customHeight="1"/>
    <row r="635" ht="14.1" customHeight="1"/>
    <row r="636" ht="14.1" customHeight="1"/>
    <row r="637" ht="14.1" customHeight="1"/>
    <row r="638" ht="14.1" customHeight="1"/>
    <row r="639" ht="14.1" customHeight="1"/>
    <row r="640" ht="14.1" customHeight="1"/>
    <row r="641" ht="14.1" customHeight="1"/>
    <row r="642" ht="14.1" customHeight="1"/>
    <row r="643" ht="14.1" customHeight="1"/>
    <row r="644" ht="14.1" customHeight="1"/>
    <row r="645" ht="14.1" customHeight="1"/>
    <row r="646" ht="14.1" customHeight="1"/>
    <row r="647" ht="14.1" customHeight="1"/>
    <row r="648" ht="14.1" customHeight="1"/>
    <row r="649" ht="14.1" customHeight="1"/>
    <row r="650" ht="14.1" customHeight="1"/>
    <row r="651" ht="14.1" customHeight="1"/>
    <row r="652" ht="14.1" customHeight="1"/>
    <row r="653" ht="14.1" customHeight="1"/>
    <row r="654" ht="14.1" customHeight="1"/>
    <row r="655" ht="14.1" customHeight="1"/>
    <row r="656" ht="14.1" customHeight="1"/>
    <row r="657" ht="14.1" customHeight="1"/>
    <row r="658" ht="14.1" customHeight="1"/>
    <row r="659" ht="14.1" customHeight="1"/>
    <row r="660" ht="14.1" customHeight="1"/>
    <row r="661" ht="14.1" customHeight="1"/>
    <row r="662" ht="14.1" customHeight="1"/>
    <row r="663" ht="14.1" customHeight="1"/>
    <row r="664" ht="14.1" customHeight="1"/>
    <row r="665" ht="14.1" customHeight="1"/>
    <row r="666" ht="14.1" customHeight="1"/>
    <row r="667" ht="14.1" customHeight="1"/>
    <row r="668" ht="14.1" customHeight="1"/>
    <row r="669" ht="14.1" customHeight="1"/>
    <row r="670" ht="14.1" customHeight="1"/>
    <row r="671" ht="14.1" customHeight="1"/>
    <row r="672" ht="14.1" customHeight="1"/>
    <row r="673" ht="14.1" customHeight="1"/>
    <row r="674" ht="14.1" customHeight="1"/>
    <row r="675" ht="14.1" customHeight="1"/>
    <row r="676" ht="14.1" customHeight="1"/>
    <row r="677" ht="14.1" customHeight="1"/>
    <row r="678" ht="14.1" customHeight="1"/>
    <row r="679" ht="14.1" customHeight="1"/>
    <row r="680" ht="14.1" customHeight="1"/>
    <row r="681" ht="14.1" customHeight="1"/>
    <row r="682" ht="14.1" customHeight="1"/>
    <row r="683" ht="14.1" customHeight="1"/>
    <row r="684" ht="14.1" customHeight="1"/>
    <row r="685" ht="14.1" customHeight="1"/>
    <row r="686" ht="14.1" customHeight="1"/>
    <row r="687" ht="14.1" customHeight="1"/>
    <row r="688" ht="14.1" customHeight="1"/>
    <row r="689" ht="14.1" customHeight="1"/>
    <row r="690" ht="14.1" customHeight="1"/>
    <row r="691" ht="14.1" customHeight="1"/>
    <row r="692" ht="14.1" customHeight="1"/>
    <row r="693" ht="14.1" customHeight="1"/>
    <row r="694" ht="14.1" customHeight="1"/>
    <row r="695" ht="14.1" customHeight="1"/>
    <row r="696" ht="14.1" customHeight="1"/>
    <row r="697" ht="14.1" customHeight="1"/>
    <row r="698" ht="14.1" customHeight="1"/>
    <row r="699" ht="14.1" customHeight="1"/>
    <row r="700" ht="14.1" customHeight="1"/>
    <row r="701" ht="14.1" customHeight="1"/>
    <row r="702" ht="14.1" customHeight="1"/>
    <row r="703" ht="14.1" customHeight="1"/>
    <row r="704" ht="14.1" customHeight="1"/>
    <row r="705" ht="14.1" customHeight="1"/>
    <row r="706" ht="14.1" customHeight="1"/>
    <row r="707" ht="14.1" customHeight="1"/>
    <row r="708" ht="14.1" customHeight="1"/>
    <row r="709" ht="14.1" customHeight="1"/>
    <row r="710" ht="14.1" customHeight="1"/>
    <row r="711" ht="14.1" customHeight="1"/>
    <row r="712" ht="14.1" customHeight="1"/>
    <row r="713" ht="14.1" customHeight="1"/>
    <row r="714" ht="14.1" customHeight="1"/>
    <row r="715" ht="14.1" customHeight="1"/>
    <row r="716" ht="14.1" customHeight="1"/>
    <row r="717" ht="14.1" customHeight="1"/>
    <row r="718" ht="14.1" customHeight="1"/>
    <row r="719" ht="14.1" customHeight="1"/>
    <row r="720" ht="14.1" customHeight="1"/>
    <row r="721" ht="14.1" customHeight="1"/>
    <row r="722" ht="14.1" customHeight="1"/>
    <row r="723" ht="14.1" customHeight="1"/>
    <row r="724" ht="14.1" customHeight="1"/>
    <row r="725" ht="14.1" customHeight="1"/>
    <row r="726" ht="14.1" customHeight="1"/>
    <row r="727" ht="14.1" customHeight="1"/>
    <row r="728" ht="14.1" customHeight="1"/>
    <row r="729" ht="14.1" customHeight="1"/>
    <row r="730" ht="14.1" customHeight="1"/>
    <row r="731" ht="14.1" customHeight="1"/>
    <row r="732" ht="14.1" customHeight="1"/>
    <row r="733" ht="14.1" customHeight="1"/>
    <row r="734" ht="14.1" customHeight="1"/>
    <row r="735" ht="14.1" customHeight="1"/>
    <row r="736" ht="14.1" customHeight="1"/>
    <row r="737" ht="14.1" customHeight="1"/>
    <row r="738" ht="14.1" customHeight="1"/>
    <row r="739" ht="14.1" customHeight="1"/>
    <row r="740" ht="14.1" customHeight="1"/>
    <row r="741" ht="14.1" customHeight="1"/>
    <row r="742" ht="14.1" customHeight="1"/>
    <row r="743" ht="14.1" customHeight="1"/>
    <row r="744" ht="14.1" customHeight="1"/>
    <row r="745" ht="14.1" customHeight="1"/>
    <row r="746" ht="14.1" customHeight="1"/>
    <row r="747" ht="14.1" customHeight="1"/>
    <row r="748" ht="14.1" customHeight="1"/>
    <row r="749" ht="14.1" customHeight="1"/>
    <row r="750" ht="14.1" customHeight="1"/>
    <row r="751" ht="14.1" customHeight="1"/>
    <row r="752" ht="14.1" customHeight="1"/>
    <row r="753" ht="14.1" customHeight="1"/>
    <row r="754" ht="14.1" customHeight="1"/>
    <row r="755" ht="14.1" customHeight="1"/>
    <row r="756" ht="14.1" customHeight="1"/>
    <row r="757" ht="14.1" customHeight="1"/>
    <row r="758" ht="14.1" customHeight="1"/>
    <row r="759" ht="14.1" customHeight="1"/>
    <row r="760" ht="14.1" customHeight="1"/>
    <row r="761" ht="14.1" customHeight="1"/>
    <row r="762" ht="14.1" customHeight="1"/>
    <row r="763" ht="14.1" customHeight="1"/>
    <row r="764" ht="14.1" customHeight="1"/>
    <row r="765" ht="14.1" customHeight="1"/>
    <row r="766" ht="14.1" customHeight="1"/>
    <row r="767" ht="14.1" customHeight="1"/>
    <row r="768" ht="14.1" customHeight="1"/>
    <row r="769" ht="14.1" customHeight="1"/>
    <row r="770" ht="14.1" customHeight="1"/>
    <row r="771" ht="14.1" customHeight="1"/>
    <row r="772" ht="14.1" customHeight="1"/>
    <row r="773" ht="14.1" customHeight="1"/>
    <row r="774" ht="14.1" customHeight="1"/>
    <row r="775" ht="14.1" customHeight="1"/>
    <row r="776" ht="14.1" customHeight="1"/>
    <row r="777" ht="14.1" customHeight="1"/>
    <row r="778" ht="14.1" customHeight="1"/>
    <row r="779" ht="14.1" customHeight="1"/>
    <row r="780" ht="14.1" customHeight="1"/>
    <row r="781" ht="14.1" customHeight="1"/>
    <row r="782" ht="14.1" customHeight="1"/>
    <row r="783" ht="14.1" customHeight="1"/>
    <row r="784" ht="14.1" customHeight="1"/>
    <row r="785" ht="14.1" customHeight="1"/>
    <row r="786" ht="14.1" customHeight="1"/>
    <row r="787" ht="14.1" customHeight="1"/>
    <row r="788" ht="14.1" customHeight="1"/>
    <row r="789" ht="14.1" customHeight="1"/>
    <row r="790" ht="14.1" customHeight="1"/>
    <row r="791" ht="14.1" customHeight="1"/>
    <row r="792" ht="14.1" customHeight="1"/>
    <row r="793" ht="14.1" customHeight="1"/>
  </sheetData>
  <pageMargins left="0.61" right="0.16" top="0.87" bottom="0.21" header="0.16" footer="0.16"/>
  <pageSetup paperSize="8" scale="50" orientation="portrait"/>
  <headerFooter alignWithMargins="0">
    <oddFooter>&amp;L_x000D_&amp;1#&amp;"Arial"&amp;7&amp;KDAD4CE Public&amp;C&amp;"Verdana"&amp;10 &amp;KC1C1C1_x000D_# Restricted</oddFooter>
  </headerFooter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800-000000000000}">
  <sheetPr codeName="Sheet44">
    <tabColor rgb="FF0070C0"/>
  </sheetPr>
  <dimension ref="A1:U793"/>
  <sheetViews>
    <sheetView zoomScale="80" zoomScaleNormal="80" workbookViewId="0">
      <selection activeCell="A16" sqref="A16"/>
    </sheetView>
  </sheetViews>
  <sheetFormatPr defaultColWidth="8.85546875" defaultRowHeight="15"/>
  <cols>
    <col min="1" max="1" width="4.140625" style="43" customWidth="1"/>
    <col min="2" max="3" width="8.5703125" style="22" customWidth="1"/>
    <col min="4" max="4" width="14.5703125" style="43" customWidth="1"/>
    <col min="5" max="5" width="20.5703125" style="22" customWidth="1"/>
    <col min="6" max="6" width="8.5703125" style="43" customWidth="1"/>
    <col min="7" max="7" width="32.5703125" style="22" customWidth="1"/>
    <col min="8" max="8" width="18.5703125" style="43" customWidth="1"/>
    <col min="9" max="9" width="62.5703125" style="22" customWidth="1"/>
    <col min="10" max="12" width="9.5703125" style="43" customWidth="1"/>
    <col min="13" max="13" width="10.5703125" style="43" customWidth="1"/>
    <col min="14" max="14" width="8.5703125" style="43" customWidth="1"/>
    <col min="15" max="15" width="10.5703125" style="43" customWidth="1"/>
    <col min="16" max="16" width="5.5703125" style="43" customWidth="1"/>
    <col min="17" max="17" width="1.5703125" style="22" customWidth="1"/>
    <col min="18" max="18" width="10.5703125" style="68" customWidth="1"/>
    <col min="19" max="19" width="1.5703125" style="22" customWidth="1"/>
    <col min="20" max="20" width="10.5703125" style="22" customWidth="1"/>
    <col min="21" max="21" width="10.5703125" style="43" customWidth="1"/>
    <col min="22" max="22" width="8.85546875" style="71" customWidth="1"/>
    <col min="23" max="16384" width="8.85546875" style="71"/>
  </cols>
  <sheetData>
    <row r="1" spans="1:21" s="2" customFormat="1" ht="14.1" customHeight="1">
      <c r="A1" s="1" t="s">
        <v>5417</v>
      </c>
      <c r="E1" s="20"/>
      <c r="R1" s="10"/>
    </row>
    <row r="2" spans="1:21" s="2" customFormat="1" ht="14.1" customHeight="1">
      <c r="A2" s="4" t="s">
        <v>4628</v>
      </c>
      <c r="E2" s="20"/>
      <c r="H2" s="4"/>
      <c r="K2" s="4"/>
      <c r="R2" s="336"/>
    </row>
    <row r="3" spans="1:21" s="6" customFormat="1" ht="14.1" customHeight="1">
      <c r="A3" s="3"/>
      <c r="B3" s="16"/>
      <c r="C3" s="16"/>
      <c r="D3" s="23"/>
      <c r="E3" s="16"/>
      <c r="F3" s="23"/>
      <c r="G3" s="15"/>
      <c r="H3" s="25"/>
      <c r="I3" s="15"/>
      <c r="J3" s="25"/>
      <c r="K3" s="25"/>
      <c r="L3" s="25"/>
      <c r="M3" s="25"/>
      <c r="N3" s="25"/>
      <c r="O3" s="25"/>
      <c r="P3" s="25"/>
      <c r="Q3" s="2"/>
      <c r="R3" s="355" t="s">
        <v>2</v>
      </c>
      <c r="S3" s="2"/>
      <c r="T3" s="42"/>
      <c r="U3" s="42"/>
    </row>
    <row r="4" spans="1:21" s="5" customFormat="1" ht="33" customHeight="1">
      <c r="A4" s="21" t="s">
        <v>3</v>
      </c>
      <c r="B4" s="52" t="s">
        <v>4</v>
      </c>
      <c r="C4" s="52" t="s">
        <v>5</v>
      </c>
      <c r="D4" s="21" t="s">
        <v>6</v>
      </c>
      <c r="E4" s="21" t="s">
        <v>7</v>
      </c>
      <c r="F4" s="21" t="s">
        <v>8</v>
      </c>
      <c r="G4" s="21" t="s">
        <v>9</v>
      </c>
      <c r="H4" s="21" t="s">
        <v>10</v>
      </c>
      <c r="I4" s="21" t="s">
        <v>11</v>
      </c>
      <c r="J4" s="21" t="s">
        <v>12</v>
      </c>
      <c r="K4" s="21" t="s">
        <v>13</v>
      </c>
      <c r="L4" s="21" t="s">
        <v>455</v>
      </c>
      <c r="M4" s="21" t="s">
        <v>15</v>
      </c>
      <c r="N4" s="21" t="s">
        <v>16</v>
      </c>
      <c r="O4" s="21" t="s">
        <v>17</v>
      </c>
      <c r="P4" s="21" t="s">
        <v>18</v>
      </c>
      <c r="Q4" s="3"/>
      <c r="R4" s="41" t="s">
        <v>19</v>
      </c>
      <c r="S4" s="3"/>
      <c r="T4" s="42" t="s">
        <v>20</v>
      </c>
      <c r="U4" s="42" t="s">
        <v>21</v>
      </c>
    </row>
    <row r="5" spans="1:21" ht="14.1" customHeight="1">
      <c r="A5" s="29">
        <v>1</v>
      </c>
      <c r="B5" s="19" t="s">
        <v>456</v>
      </c>
      <c r="C5" s="19" t="s">
        <v>422</v>
      </c>
      <c r="D5" s="29" t="s">
        <v>773</v>
      </c>
      <c r="E5" s="19" t="s">
        <v>399</v>
      </c>
      <c r="F5" s="29" t="s">
        <v>457</v>
      </c>
      <c r="G5" s="19" t="s">
        <v>5418</v>
      </c>
      <c r="H5" s="29" t="s">
        <v>4638</v>
      </c>
      <c r="I5" s="19" t="s">
        <v>5419</v>
      </c>
      <c r="J5" s="29" t="s">
        <v>30</v>
      </c>
      <c r="K5" s="29"/>
      <c r="L5" s="29" t="s">
        <v>322</v>
      </c>
      <c r="M5" s="29">
        <v>8302100000</v>
      </c>
      <c r="N5" s="29">
        <v>1000</v>
      </c>
      <c r="O5" s="29" t="s">
        <v>5420</v>
      </c>
      <c r="P5" s="29"/>
      <c r="R5" s="9">
        <v>35.998144149770702</v>
      </c>
      <c r="T5" s="19"/>
      <c r="U5" s="29" t="s">
        <v>4607</v>
      </c>
    </row>
    <row r="6" spans="1:21" ht="14.1" customHeight="1">
      <c r="A6" s="29">
        <v>2</v>
      </c>
      <c r="B6" s="19" t="s">
        <v>456</v>
      </c>
      <c r="C6" s="19" t="s">
        <v>422</v>
      </c>
      <c r="D6" s="29" t="s">
        <v>773</v>
      </c>
      <c r="E6" s="19" t="s">
        <v>399</v>
      </c>
      <c r="F6" s="29" t="s">
        <v>457</v>
      </c>
      <c r="G6" s="19" t="s">
        <v>5421</v>
      </c>
      <c r="H6" s="29" t="s">
        <v>4019</v>
      </c>
      <c r="I6" s="19" t="s">
        <v>5422</v>
      </c>
      <c r="J6" s="29" t="s">
        <v>30</v>
      </c>
      <c r="K6" s="29"/>
      <c r="L6" s="29" t="s">
        <v>322</v>
      </c>
      <c r="M6" s="29">
        <v>8302100000</v>
      </c>
      <c r="N6" s="29">
        <v>1000</v>
      </c>
      <c r="O6" s="29" t="s">
        <v>5423</v>
      </c>
      <c r="P6" s="29"/>
      <c r="R6" s="9">
        <v>25.162834898607411</v>
      </c>
      <c r="T6" s="19"/>
      <c r="U6" s="29" t="s">
        <v>4607</v>
      </c>
    </row>
    <row r="7" spans="1:21" ht="14.1" customHeight="1">
      <c r="A7" s="29">
        <v>3</v>
      </c>
      <c r="B7" s="19" t="s">
        <v>456</v>
      </c>
      <c r="C7" s="19" t="s">
        <v>422</v>
      </c>
      <c r="D7" s="29" t="s">
        <v>773</v>
      </c>
      <c r="E7" s="19" t="s">
        <v>399</v>
      </c>
      <c r="F7" s="29" t="s">
        <v>457</v>
      </c>
      <c r="G7" s="19" t="s">
        <v>5424</v>
      </c>
      <c r="H7" s="29" t="s">
        <v>1001</v>
      </c>
      <c r="I7" s="19" t="s">
        <v>5425</v>
      </c>
      <c r="J7" s="29" t="s">
        <v>30</v>
      </c>
      <c r="K7" s="29"/>
      <c r="L7" s="29" t="s">
        <v>322</v>
      </c>
      <c r="M7" s="29">
        <v>8302100000</v>
      </c>
      <c r="N7" s="29">
        <v>1000</v>
      </c>
      <c r="O7" s="29" t="s">
        <v>5420</v>
      </c>
      <c r="P7" s="29"/>
      <c r="R7" s="9">
        <v>32.128390845783819</v>
      </c>
      <c r="T7" s="19"/>
      <c r="U7" s="29" t="s">
        <v>4607</v>
      </c>
    </row>
    <row r="8" spans="1:21" ht="14.1" customHeight="1">
      <c r="A8" s="29">
        <v>4</v>
      </c>
      <c r="B8" s="19" t="s">
        <v>456</v>
      </c>
      <c r="C8" s="19" t="s">
        <v>422</v>
      </c>
      <c r="D8" s="29" t="s">
        <v>773</v>
      </c>
      <c r="E8" s="19" t="s">
        <v>399</v>
      </c>
      <c r="F8" s="29" t="s">
        <v>457</v>
      </c>
      <c r="G8" s="19" t="s">
        <v>5426</v>
      </c>
      <c r="H8" s="29" t="s">
        <v>1426</v>
      </c>
      <c r="I8" s="19" t="s">
        <v>5427</v>
      </c>
      <c r="J8" s="29" t="s">
        <v>30</v>
      </c>
      <c r="K8" s="29"/>
      <c r="L8" s="29" t="s">
        <v>322</v>
      </c>
      <c r="M8" s="29">
        <v>8302100000</v>
      </c>
      <c r="N8" s="29">
        <v>1000</v>
      </c>
      <c r="O8" s="29" t="s">
        <v>5423</v>
      </c>
      <c r="P8" s="29"/>
      <c r="R8" s="9">
        <v>36.9986169551917</v>
      </c>
      <c r="T8" s="19"/>
      <c r="U8" s="29" t="s">
        <v>4607</v>
      </c>
    </row>
    <row r="9" spans="1:21" ht="14.1" customHeight="1">
      <c r="A9" s="29">
        <v>5</v>
      </c>
      <c r="B9" s="19" t="s">
        <v>456</v>
      </c>
      <c r="C9" s="19" t="s">
        <v>422</v>
      </c>
      <c r="D9" s="29" t="s">
        <v>773</v>
      </c>
      <c r="E9" s="19" t="s">
        <v>399</v>
      </c>
      <c r="F9" s="29" t="s">
        <v>457</v>
      </c>
      <c r="G9" s="19" t="s">
        <v>5428</v>
      </c>
      <c r="H9" s="29" t="s">
        <v>4019</v>
      </c>
      <c r="I9" s="19" t="s">
        <v>5429</v>
      </c>
      <c r="J9" s="29" t="s">
        <v>30</v>
      </c>
      <c r="K9" s="29"/>
      <c r="L9" s="29" t="s">
        <v>322</v>
      </c>
      <c r="M9" s="29">
        <v>8302100000</v>
      </c>
      <c r="N9" s="29">
        <v>1000</v>
      </c>
      <c r="O9" s="29" t="s">
        <v>5423</v>
      </c>
      <c r="P9" s="29"/>
      <c r="R9" s="9">
        <v>36.9986169551917</v>
      </c>
      <c r="T9" s="19"/>
      <c r="U9" s="29" t="s">
        <v>4607</v>
      </c>
    </row>
    <row r="10" spans="1:21" ht="14.1" customHeight="1">
      <c r="A10" s="29">
        <v>6</v>
      </c>
      <c r="B10" s="19" t="s">
        <v>456</v>
      </c>
      <c r="C10" s="19" t="s">
        <v>422</v>
      </c>
      <c r="D10" s="29" t="s">
        <v>773</v>
      </c>
      <c r="E10" s="19" t="s">
        <v>399</v>
      </c>
      <c r="F10" s="29" t="s">
        <v>457</v>
      </c>
      <c r="G10" s="19" t="s">
        <v>5430</v>
      </c>
      <c r="H10" s="29" t="s">
        <v>526</v>
      </c>
      <c r="I10" s="19" t="s">
        <v>5431</v>
      </c>
      <c r="J10" s="29" t="s">
        <v>30</v>
      </c>
      <c r="K10" s="29"/>
      <c r="L10" s="29" t="s">
        <v>322</v>
      </c>
      <c r="M10" s="29">
        <v>8302100000</v>
      </c>
      <c r="N10" s="29">
        <v>1000</v>
      </c>
      <c r="O10" s="29" t="s">
        <v>5420</v>
      </c>
      <c r="P10" s="29"/>
      <c r="R10" s="9">
        <v>51.930201654965487</v>
      </c>
      <c r="T10" s="19"/>
      <c r="U10" s="29" t="s">
        <v>4607</v>
      </c>
    </row>
    <row r="11" spans="1:21" ht="14.1" customHeight="1">
      <c r="A11" s="29">
        <v>7</v>
      </c>
      <c r="B11" s="19" t="s">
        <v>456</v>
      </c>
      <c r="C11" s="19" t="s">
        <v>422</v>
      </c>
      <c r="D11" s="29" t="s">
        <v>773</v>
      </c>
      <c r="E11" s="19" t="s">
        <v>399</v>
      </c>
      <c r="F11" s="29" t="s">
        <v>457</v>
      </c>
      <c r="G11" s="19" t="s">
        <v>5432</v>
      </c>
      <c r="H11" s="29" t="s">
        <v>4638</v>
      </c>
      <c r="I11" s="19" t="s">
        <v>5433</v>
      </c>
      <c r="J11" s="29" t="s">
        <v>30</v>
      </c>
      <c r="K11" s="29"/>
      <c r="L11" s="29" t="s">
        <v>322</v>
      </c>
      <c r="M11" s="29">
        <v>8302100000</v>
      </c>
      <c r="N11" s="29">
        <v>1000</v>
      </c>
      <c r="O11" s="29" t="s">
        <v>5420</v>
      </c>
      <c r="P11" s="29"/>
      <c r="R11" s="9">
        <v>51.930201654965487</v>
      </c>
      <c r="T11" s="19"/>
      <c r="U11" s="29" t="s">
        <v>4607</v>
      </c>
    </row>
    <row r="12" spans="1:21" ht="14.1" customHeight="1">
      <c r="A12" s="29">
        <v>8</v>
      </c>
      <c r="B12" s="19" t="s">
        <v>456</v>
      </c>
      <c r="C12" s="19" t="s">
        <v>422</v>
      </c>
      <c r="D12" s="29" t="s">
        <v>773</v>
      </c>
      <c r="E12" s="19" t="s">
        <v>399</v>
      </c>
      <c r="F12" s="29" t="s">
        <v>457</v>
      </c>
      <c r="G12" s="19" t="s">
        <v>5434</v>
      </c>
      <c r="H12" s="29" t="s">
        <v>31</v>
      </c>
      <c r="I12" s="19" t="s">
        <v>5435</v>
      </c>
      <c r="J12" s="29" t="s">
        <v>30</v>
      </c>
      <c r="K12" s="29"/>
      <c r="L12" s="29" t="s">
        <v>322</v>
      </c>
      <c r="M12" s="29">
        <v>8302100000</v>
      </c>
      <c r="N12" s="29">
        <v>1000</v>
      </c>
      <c r="O12" s="29" t="s">
        <v>5423</v>
      </c>
      <c r="P12" s="29"/>
      <c r="R12" s="9">
        <v>36.9986169551917</v>
      </c>
      <c r="T12" s="19"/>
      <c r="U12" s="29" t="s">
        <v>4607</v>
      </c>
    </row>
    <row r="13" spans="1:21" ht="14.1" customHeight="1">
      <c r="A13" s="29">
        <v>9</v>
      </c>
      <c r="B13" s="19" t="s">
        <v>456</v>
      </c>
      <c r="C13" s="19" t="s">
        <v>422</v>
      </c>
      <c r="D13" s="29" t="s">
        <v>773</v>
      </c>
      <c r="E13" s="19" t="s">
        <v>399</v>
      </c>
      <c r="F13" s="29" t="s">
        <v>457</v>
      </c>
      <c r="G13" s="19" t="s">
        <v>5436</v>
      </c>
      <c r="H13" s="29" t="s">
        <v>4019</v>
      </c>
      <c r="I13" s="19" t="s">
        <v>5437</v>
      </c>
      <c r="J13" s="29" t="s">
        <v>30</v>
      </c>
      <c r="K13" s="29"/>
      <c r="L13" s="29" t="s">
        <v>322</v>
      </c>
      <c r="M13" s="29">
        <v>8302100000</v>
      </c>
      <c r="N13" s="29">
        <v>1000</v>
      </c>
      <c r="O13" s="29" t="s">
        <v>5423</v>
      </c>
      <c r="P13" s="29"/>
      <c r="R13" s="9">
        <v>36.9986169551917</v>
      </c>
      <c r="T13" s="19"/>
      <c r="U13" s="29" t="s">
        <v>4607</v>
      </c>
    </row>
    <row r="14" spans="1:21" ht="14.1" customHeight="1">
      <c r="A14" s="29">
        <v>10</v>
      </c>
      <c r="B14" s="19" t="s">
        <v>456</v>
      </c>
      <c r="C14" s="19" t="s">
        <v>422</v>
      </c>
      <c r="D14" s="29" t="s">
        <v>773</v>
      </c>
      <c r="E14" s="19" t="s">
        <v>399</v>
      </c>
      <c r="F14" s="29" t="s">
        <v>457</v>
      </c>
      <c r="G14" s="19" t="s">
        <v>5438</v>
      </c>
      <c r="H14" s="29" t="s">
        <v>1426</v>
      </c>
      <c r="I14" s="19" t="s">
        <v>5439</v>
      </c>
      <c r="J14" s="29" t="s">
        <v>30</v>
      </c>
      <c r="K14" s="29"/>
      <c r="L14" s="29" t="s">
        <v>322</v>
      </c>
      <c r="M14" s="29">
        <v>8302100000</v>
      </c>
      <c r="N14" s="29">
        <v>1000</v>
      </c>
      <c r="O14" s="29" t="s">
        <v>5423</v>
      </c>
      <c r="P14" s="29"/>
      <c r="R14" s="9">
        <v>62.331343462266837</v>
      </c>
      <c r="T14" s="19"/>
      <c r="U14" s="29" t="s">
        <v>4607</v>
      </c>
    </row>
    <row r="15" spans="1:21" ht="14.1" customHeight="1">
      <c r="A15" s="29">
        <v>11</v>
      </c>
      <c r="B15" s="19" t="s">
        <v>456</v>
      </c>
      <c r="C15" s="19" t="s">
        <v>422</v>
      </c>
      <c r="D15" s="29" t="s">
        <v>773</v>
      </c>
      <c r="E15" s="19" t="s">
        <v>399</v>
      </c>
      <c r="F15" s="29" t="s">
        <v>457</v>
      </c>
      <c r="G15" s="19" t="s">
        <v>5440</v>
      </c>
      <c r="H15" s="29" t="s">
        <v>4019</v>
      </c>
      <c r="I15" s="19" t="s">
        <v>5441</v>
      </c>
      <c r="J15" s="29" t="s">
        <v>30</v>
      </c>
      <c r="K15" s="29"/>
      <c r="L15" s="29" t="s">
        <v>322</v>
      </c>
      <c r="M15" s="29">
        <v>8302100000</v>
      </c>
      <c r="N15" s="29">
        <v>1000</v>
      </c>
      <c r="O15" s="29" t="s">
        <v>5423</v>
      </c>
      <c r="P15" s="29"/>
      <c r="R15" s="9">
        <v>62.331343462266837</v>
      </c>
      <c r="T15" s="19"/>
      <c r="U15" s="29" t="s">
        <v>4607</v>
      </c>
    </row>
    <row r="16" spans="1:21" ht="14.1" customHeight="1">
      <c r="A16" s="29">
        <v>12</v>
      </c>
      <c r="B16" s="19" t="s">
        <v>609</v>
      </c>
      <c r="C16" s="19" t="s">
        <v>422</v>
      </c>
      <c r="D16" s="29" t="s">
        <v>773</v>
      </c>
      <c r="E16" s="19" t="s">
        <v>399</v>
      </c>
      <c r="F16" s="29" t="s">
        <v>26</v>
      </c>
      <c r="G16" s="19" t="s">
        <v>5442</v>
      </c>
      <c r="H16" s="29" t="s">
        <v>4019</v>
      </c>
      <c r="I16" s="19" t="s">
        <v>5443</v>
      </c>
      <c r="J16" s="29" t="s">
        <v>30</v>
      </c>
      <c r="K16" s="29"/>
      <c r="L16" s="29" t="s">
        <v>322</v>
      </c>
      <c r="M16" s="29">
        <v>8302100000</v>
      </c>
      <c r="N16" s="29">
        <v>1000</v>
      </c>
      <c r="O16" s="29" t="s">
        <v>5423</v>
      </c>
      <c r="P16" s="29"/>
      <c r="R16" s="9">
        <v>25.162834898607411</v>
      </c>
      <c r="T16" s="19"/>
      <c r="U16" s="29" t="s">
        <v>4607</v>
      </c>
    </row>
    <row r="17" ht="14.1" customHeight="1"/>
    <row r="18" ht="14.1" customHeight="1"/>
    <row r="19" ht="14.1" customHeight="1"/>
    <row r="20" ht="14.1" customHeight="1"/>
    <row r="21" ht="14.1" customHeight="1"/>
    <row r="22" ht="14.1" customHeight="1"/>
    <row r="23" ht="14.1" customHeight="1"/>
    <row r="24" ht="14.1" customHeight="1"/>
    <row r="25" ht="14.1" customHeight="1"/>
    <row r="26" ht="14.1" customHeight="1"/>
    <row r="27" ht="14.1" customHeight="1"/>
    <row r="28" ht="14.1" customHeight="1"/>
    <row r="29" ht="14.1" customHeight="1"/>
    <row r="30" ht="14.1" customHeight="1"/>
    <row r="31" ht="14.1" customHeight="1"/>
    <row r="32" ht="14.1" customHeight="1"/>
    <row r="33" ht="14.1" customHeight="1"/>
    <row r="34" ht="14.1" customHeight="1"/>
    <row r="35" ht="14.1" customHeight="1"/>
    <row r="36" ht="14.1" customHeight="1"/>
    <row r="37" ht="14.1" customHeight="1"/>
    <row r="38" ht="14.1" customHeight="1"/>
    <row r="39" ht="14.1" customHeight="1"/>
    <row r="40" ht="14.1" customHeight="1"/>
    <row r="41" ht="14.1" customHeight="1"/>
    <row r="42" ht="14.1" customHeight="1"/>
    <row r="43" ht="14.1" customHeight="1"/>
    <row r="44" ht="14.1" customHeight="1"/>
    <row r="45" ht="14.1" customHeight="1"/>
    <row r="46" ht="14.1" customHeight="1"/>
    <row r="47" ht="14.1" customHeight="1"/>
    <row r="48" ht="14.1" customHeight="1"/>
    <row r="49" ht="14.1" customHeight="1"/>
    <row r="50" ht="14.1" customHeight="1"/>
    <row r="51" ht="14.1" customHeight="1"/>
    <row r="52" ht="14.1" customHeight="1"/>
    <row r="53" ht="14.1" customHeight="1"/>
    <row r="54" ht="14.1" customHeight="1"/>
    <row r="55" ht="14.1" customHeight="1"/>
    <row r="56" ht="14.1" customHeight="1"/>
    <row r="57" ht="14.1" customHeight="1"/>
    <row r="58" ht="14.1" customHeight="1"/>
    <row r="59" ht="14.1" customHeight="1"/>
    <row r="60" ht="14.1" customHeight="1"/>
    <row r="61" ht="14.1" customHeight="1"/>
    <row r="62" ht="14.1" customHeight="1"/>
    <row r="63" ht="14.1" customHeight="1"/>
    <row r="64" ht="14.1" customHeight="1"/>
    <row r="65" ht="14.1" customHeight="1"/>
    <row r="66" ht="14.1" customHeight="1"/>
    <row r="67" ht="14.1" customHeight="1"/>
    <row r="68" ht="14.1" customHeight="1"/>
    <row r="69" ht="14.1" customHeight="1"/>
    <row r="70" ht="14.1" customHeight="1"/>
    <row r="71" ht="14.1" customHeight="1"/>
    <row r="72" ht="14.1" customHeight="1"/>
    <row r="73" ht="14.1" customHeight="1"/>
    <row r="74" ht="14.1" customHeight="1"/>
    <row r="75" ht="14.1" customHeight="1"/>
    <row r="76" ht="14.1" customHeight="1"/>
    <row r="77" ht="14.1" customHeight="1"/>
    <row r="78" ht="14.1" customHeight="1"/>
    <row r="79" ht="14.1" customHeight="1"/>
    <row r="80" ht="14.1" customHeight="1"/>
    <row r="81" ht="14.1" customHeight="1"/>
    <row r="82" ht="14.1" customHeight="1"/>
    <row r="83" ht="14.1" customHeight="1"/>
    <row r="84" ht="14.1" customHeight="1"/>
    <row r="85" ht="14.1" customHeight="1"/>
    <row r="86" ht="14.1" customHeight="1"/>
    <row r="87" ht="14.1" customHeight="1"/>
    <row r="88" ht="14.1" customHeight="1"/>
    <row r="89" ht="14.1" customHeight="1"/>
    <row r="90" ht="14.1" customHeight="1"/>
    <row r="91" ht="14.1" customHeight="1"/>
    <row r="92" ht="14.1" customHeight="1"/>
    <row r="93" ht="14.1" customHeight="1"/>
    <row r="94" ht="14.1" customHeight="1"/>
    <row r="95" ht="14.1" customHeight="1"/>
    <row r="96" ht="14.1" customHeight="1"/>
    <row r="97" ht="14.1" customHeight="1"/>
    <row r="98" ht="14.1" customHeight="1"/>
    <row r="99" ht="14.1" customHeight="1"/>
    <row r="100" ht="14.1" customHeight="1"/>
    <row r="101" ht="14.1" customHeight="1"/>
    <row r="102" ht="14.1" customHeight="1"/>
    <row r="103" ht="14.1" customHeight="1"/>
    <row r="104" ht="14.1" customHeight="1"/>
    <row r="105" ht="14.1" customHeight="1"/>
    <row r="106" ht="14.1" customHeight="1"/>
    <row r="107" ht="14.1" customHeight="1"/>
    <row r="108" ht="14.1" customHeight="1"/>
    <row r="109" ht="14.1" customHeight="1"/>
    <row r="110" ht="14.1" customHeight="1"/>
    <row r="111" ht="14.1" customHeight="1"/>
    <row r="112" ht="14.1" customHeight="1"/>
    <row r="113" ht="14.1" customHeight="1"/>
    <row r="114" ht="14.1" customHeight="1"/>
    <row r="115" ht="14.1" customHeight="1"/>
    <row r="116" ht="14.1" customHeight="1"/>
    <row r="117" ht="14.1" customHeight="1"/>
    <row r="118" ht="14.1" customHeight="1"/>
    <row r="119" ht="14.1" customHeight="1"/>
    <row r="120" ht="14.1" customHeight="1"/>
    <row r="121" ht="14.1" customHeight="1"/>
    <row r="122" ht="14.1" customHeight="1"/>
    <row r="123" ht="14.1" customHeight="1"/>
    <row r="124" ht="14.1" customHeight="1"/>
    <row r="125" ht="14.1" customHeight="1"/>
    <row r="126" ht="14.1" customHeight="1"/>
    <row r="127" ht="14.1" customHeight="1"/>
    <row r="128" ht="14.1" customHeight="1"/>
    <row r="129" ht="14.1" customHeight="1"/>
    <row r="130" ht="14.1" customHeight="1"/>
    <row r="131" ht="14.1" customHeight="1"/>
    <row r="132" ht="14.1" customHeight="1"/>
    <row r="133" ht="14.1" customHeight="1"/>
    <row r="134" ht="14.1" customHeight="1"/>
    <row r="135" ht="14.1" customHeight="1"/>
    <row r="136" ht="14.1" customHeight="1"/>
    <row r="137" ht="14.1" customHeight="1"/>
    <row r="138" ht="14.1" customHeight="1"/>
    <row r="139" ht="14.1" customHeight="1"/>
    <row r="140" ht="14.1" customHeight="1"/>
    <row r="141" ht="14.1" customHeight="1"/>
    <row r="142" ht="14.1" customHeight="1"/>
    <row r="143" ht="14.1" customHeight="1"/>
    <row r="144" ht="14.1" customHeight="1"/>
    <row r="145" ht="14.1" customHeight="1"/>
    <row r="146" ht="14.1" customHeight="1"/>
    <row r="147" ht="14.1" customHeight="1"/>
    <row r="148" ht="14.1" customHeight="1"/>
    <row r="149" ht="14.1" customHeight="1"/>
    <row r="150" ht="14.1" customHeight="1"/>
    <row r="151" ht="14.1" customHeight="1"/>
    <row r="152" ht="14.1" customHeight="1"/>
    <row r="153" ht="14.1" customHeight="1"/>
    <row r="154" ht="14.1" customHeight="1"/>
    <row r="155" ht="14.1" customHeight="1"/>
    <row r="156" ht="14.1" customHeight="1"/>
    <row r="157" ht="14.1" customHeight="1"/>
    <row r="158" ht="14.1" customHeight="1"/>
    <row r="159" ht="14.1" customHeight="1"/>
    <row r="160" ht="14.1" customHeight="1"/>
    <row r="161" ht="14.1" customHeight="1"/>
    <row r="162" ht="14.1" customHeight="1"/>
    <row r="163" ht="14.1" customHeight="1"/>
    <row r="164" ht="14.1" customHeight="1"/>
    <row r="165" ht="14.1" customHeight="1"/>
    <row r="166" ht="14.1" customHeight="1"/>
    <row r="167" ht="14.1" customHeight="1"/>
    <row r="168" ht="14.1" customHeight="1"/>
    <row r="169" ht="14.1" customHeight="1"/>
    <row r="170" ht="14.1" customHeight="1"/>
    <row r="171" ht="14.1" customHeight="1"/>
    <row r="172" ht="14.1" customHeight="1"/>
    <row r="173" ht="14.1" customHeight="1"/>
    <row r="174" ht="14.1" customHeight="1"/>
    <row r="175" ht="14.1" customHeight="1"/>
    <row r="176" ht="14.1" customHeight="1"/>
    <row r="177" ht="14.1" customHeight="1"/>
    <row r="178" ht="14.1" customHeight="1"/>
    <row r="179" ht="14.1" customHeight="1"/>
    <row r="180" ht="14.1" customHeight="1"/>
    <row r="181" ht="14.1" customHeight="1"/>
    <row r="182" ht="14.1" customHeight="1"/>
    <row r="183" ht="14.1" customHeight="1"/>
    <row r="184" ht="14.1" customHeight="1"/>
    <row r="185" ht="14.1" customHeight="1"/>
    <row r="186" ht="14.1" customHeight="1"/>
    <row r="187" ht="14.1" customHeight="1"/>
    <row r="188" ht="14.1" customHeight="1"/>
    <row r="189" ht="14.1" customHeight="1"/>
    <row r="190" ht="14.1" customHeight="1"/>
    <row r="191" ht="14.1" customHeight="1"/>
    <row r="192" ht="14.1" customHeight="1"/>
    <row r="193" ht="14.1" customHeight="1"/>
    <row r="194" ht="14.1" customHeight="1"/>
    <row r="195" ht="14.1" customHeight="1"/>
    <row r="196" ht="14.1" customHeight="1"/>
    <row r="197" ht="14.1" customHeight="1"/>
    <row r="198" ht="14.1" customHeight="1"/>
    <row r="199" ht="14.1" customHeight="1"/>
    <row r="200" ht="14.1" customHeight="1"/>
    <row r="201" ht="14.1" customHeight="1"/>
    <row r="202" ht="14.1" customHeight="1"/>
    <row r="203" ht="14.1" customHeight="1"/>
    <row r="204" ht="14.1" customHeight="1"/>
    <row r="205" ht="14.1" customHeight="1"/>
    <row r="206" ht="14.1" customHeight="1"/>
    <row r="207" ht="14.1" customHeight="1"/>
    <row r="208" ht="14.1" customHeight="1"/>
    <row r="209" ht="14.1" customHeight="1"/>
    <row r="210" ht="14.1" customHeight="1"/>
    <row r="211" ht="14.1" customHeight="1"/>
    <row r="212" ht="14.1" customHeight="1"/>
    <row r="213" ht="14.1" customHeight="1"/>
    <row r="214" ht="14.1" customHeight="1"/>
    <row r="215" ht="14.1" customHeight="1"/>
    <row r="216" ht="14.1" customHeight="1"/>
    <row r="217" ht="14.1" customHeight="1"/>
    <row r="218" ht="14.1" customHeight="1"/>
    <row r="219" ht="14.1" customHeight="1"/>
    <row r="220" ht="14.1" customHeight="1"/>
    <row r="221" ht="14.1" customHeight="1"/>
    <row r="222" ht="14.1" customHeight="1"/>
    <row r="223" ht="14.1" customHeight="1"/>
    <row r="224" ht="14.1" customHeight="1"/>
    <row r="225" ht="14.1" customHeight="1"/>
    <row r="226" ht="14.1" customHeight="1"/>
    <row r="227" ht="14.1" customHeight="1"/>
    <row r="228" ht="14.1" customHeight="1"/>
    <row r="229" ht="14.1" customHeight="1"/>
    <row r="230" ht="14.1" customHeight="1"/>
    <row r="231" ht="14.1" customHeight="1"/>
    <row r="232" ht="14.1" customHeight="1"/>
    <row r="233" ht="14.1" customHeight="1"/>
    <row r="234" ht="14.1" customHeight="1"/>
    <row r="235" ht="14.1" customHeight="1"/>
    <row r="236" ht="14.1" customHeight="1"/>
    <row r="237" ht="14.1" customHeight="1"/>
    <row r="238" ht="14.1" customHeight="1"/>
    <row r="239" ht="14.1" customHeight="1"/>
    <row r="240" ht="14.1" customHeight="1"/>
    <row r="241" ht="14.1" customHeight="1"/>
    <row r="242" ht="14.1" customHeight="1"/>
    <row r="243" ht="14.1" customHeight="1"/>
    <row r="244" ht="14.1" customHeight="1"/>
    <row r="245" ht="14.1" customHeight="1"/>
    <row r="246" ht="14.1" customHeight="1"/>
    <row r="247" ht="14.1" customHeight="1"/>
    <row r="248" ht="14.1" customHeight="1"/>
    <row r="249" ht="14.1" customHeight="1"/>
    <row r="250" ht="14.1" customHeight="1"/>
    <row r="251" ht="14.1" customHeight="1"/>
    <row r="252" ht="14.1" customHeight="1"/>
    <row r="253" ht="14.1" customHeight="1"/>
    <row r="254" ht="14.1" customHeight="1"/>
    <row r="255" ht="14.1" customHeight="1"/>
    <row r="256" ht="14.1" customHeight="1"/>
    <row r="257" ht="14.1" customHeight="1"/>
    <row r="258" ht="14.1" customHeight="1"/>
    <row r="259" ht="14.1" customHeight="1"/>
    <row r="260" ht="14.1" customHeight="1"/>
    <row r="261" ht="14.1" customHeight="1"/>
    <row r="262" ht="14.1" customHeight="1"/>
    <row r="263" ht="14.1" customHeight="1"/>
    <row r="264" ht="14.1" customHeight="1"/>
    <row r="265" ht="14.1" customHeight="1"/>
    <row r="266" ht="14.1" customHeight="1"/>
    <row r="267" ht="14.1" customHeight="1"/>
    <row r="268" ht="14.1" customHeight="1"/>
    <row r="269" ht="14.1" customHeight="1"/>
    <row r="270" ht="14.1" customHeight="1"/>
    <row r="271" ht="14.1" customHeight="1"/>
    <row r="272" ht="14.1" customHeight="1"/>
    <row r="273" ht="14.1" customHeight="1"/>
    <row r="274" ht="14.1" customHeight="1"/>
    <row r="275" ht="14.1" customHeight="1"/>
    <row r="276" ht="14.1" customHeight="1"/>
    <row r="277" ht="14.1" customHeight="1"/>
    <row r="278" ht="14.1" customHeight="1"/>
    <row r="279" ht="14.1" customHeight="1"/>
    <row r="280" ht="14.1" customHeight="1"/>
    <row r="281" ht="14.1" customHeight="1"/>
    <row r="282" ht="14.1" customHeight="1"/>
    <row r="283" ht="14.1" customHeight="1"/>
    <row r="284" ht="14.1" customHeight="1"/>
    <row r="285" ht="14.1" customHeight="1"/>
    <row r="286" ht="14.1" customHeight="1"/>
    <row r="287" ht="14.1" customHeight="1"/>
    <row r="288" ht="14.1" customHeight="1"/>
    <row r="289" ht="14.1" customHeight="1"/>
    <row r="290" ht="14.1" customHeight="1"/>
    <row r="291" ht="14.1" customHeight="1"/>
    <row r="292" ht="14.1" customHeight="1"/>
    <row r="293" ht="14.1" customHeight="1"/>
    <row r="294" ht="14.1" customHeight="1"/>
    <row r="295" ht="14.1" customHeight="1"/>
    <row r="296" ht="14.1" customHeight="1"/>
    <row r="297" ht="14.1" customHeight="1"/>
    <row r="298" ht="14.1" customHeight="1"/>
    <row r="299" ht="14.1" customHeight="1"/>
    <row r="300" ht="14.1" customHeight="1"/>
    <row r="301" ht="14.1" customHeight="1"/>
    <row r="302" ht="14.1" customHeight="1"/>
    <row r="303" ht="14.1" customHeight="1"/>
    <row r="304" ht="14.1" customHeight="1"/>
    <row r="305" ht="14.1" customHeight="1"/>
    <row r="306" ht="14.1" customHeight="1"/>
    <row r="307" ht="14.1" customHeight="1"/>
    <row r="308" ht="14.1" customHeight="1"/>
    <row r="309" ht="14.1" customHeight="1"/>
    <row r="310" ht="14.1" customHeight="1"/>
    <row r="311" ht="14.1" customHeight="1"/>
    <row r="312" ht="14.1" customHeight="1"/>
    <row r="313" ht="14.1" customHeight="1"/>
    <row r="314" ht="14.1" customHeight="1"/>
    <row r="315" ht="14.1" customHeight="1"/>
    <row r="316" ht="14.1" customHeight="1"/>
    <row r="317" ht="14.1" customHeight="1"/>
    <row r="318" ht="14.1" customHeight="1"/>
    <row r="319" ht="14.1" customHeight="1"/>
    <row r="320" ht="14.1" customHeight="1"/>
    <row r="321" ht="14.1" customHeight="1"/>
    <row r="322" ht="14.1" customHeight="1"/>
    <row r="323" ht="14.1" customHeight="1"/>
    <row r="324" ht="14.1" customHeight="1"/>
    <row r="325" ht="14.1" customHeight="1"/>
    <row r="326" ht="14.1" customHeight="1"/>
    <row r="327" ht="14.1" customHeight="1"/>
    <row r="328" ht="14.1" customHeight="1"/>
    <row r="329" ht="14.1" customHeight="1"/>
    <row r="330" ht="14.1" customHeight="1"/>
    <row r="331" ht="14.1" customHeight="1"/>
    <row r="332" ht="14.1" customHeight="1"/>
    <row r="333" ht="14.1" customHeight="1"/>
    <row r="334" ht="14.1" customHeight="1"/>
    <row r="335" ht="14.1" customHeight="1"/>
    <row r="336" ht="14.1" customHeight="1"/>
    <row r="337" ht="14.1" customHeight="1"/>
    <row r="338" ht="14.1" customHeight="1"/>
    <row r="339" ht="14.1" customHeight="1"/>
    <row r="340" ht="14.1" customHeight="1"/>
    <row r="341" ht="14.1" customHeight="1"/>
    <row r="342" ht="14.1" customHeight="1"/>
    <row r="343" ht="14.1" customHeight="1"/>
    <row r="344" ht="14.1" customHeight="1"/>
    <row r="345" ht="14.1" customHeight="1"/>
    <row r="346" ht="14.1" customHeight="1"/>
    <row r="347" ht="14.1" customHeight="1"/>
    <row r="348" ht="14.1" customHeight="1"/>
    <row r="349" ht="14.1" customHeight="1"/>
    <row r="350" ht="14.1" customHeight="1"/>
    <row r="351" ht="14.1" customHeight="1"/>
    <row r="352" ht="14.1" customHeight="1"/>
    <row r="353" ht="14.1" customHeight="1"/>
    <row r="354" ht="14.1" customHeight="1"/>
    <row r="355" ht="14.1" customHeight="1"/>
    <row r="356" ht="14.1" customHeight="1"/>
    <row r="357" ht="14.1" customHeight="1"/>
    <row r="358" ht="14.1" customHeight="1"/>
    <row r="359" ht="14.1" customHeight="1"/>
    <row r="360" ht="14.1" customHeight="1"/>
    <row r="361" ht="14.1" customHeight="1"/>
    <row r="362" ht="14.1" customHeight="1"/>
    <row r="363" ht="14.1" customHeight="1"/>
    <row r="364" ht="14.1" customHeight="1"/>
    <row r="365" ht="14.1" customHeight="1"/>
    <row r="366" ht="14.1" customHeight="1"/>
    <row r="367" ht="14.1" customHeight="1"/>
    <row r="368" ht="14.1" customHeight="1"/>
    <row r="369" ht="14.1" customHeight="1"/>
    <row r="370" ht="14.1" customHeight="1"/>
    <row r="371" ht="14.1" customHeight="1"/>
    <row r="372" ht="14.1" customHeight="1"/>
    <row r="373" ht="14.1" customHeight="1"/>
    <row r="374" ht="14.1" customHeight="1"/>
    <row r="375" ht="14.1" customHeight="1"/>
    <row r="376" ht="14.1" customHeight="1"/>
    <row r="377" ht="14.1" customHeight="1"/>
    <row r="378" ht="14.1" customHeight="1"/>
    <row r="379" ht="14.1" customHeight="1"/>
    <row r="380" ht="14.1" customHeight="1"/>
    <row r="381" ht="14.1" customHeight="1"/>
    <row r="382" ht="14.1" customHeight="1"/>
    <row r="383" ht="14.1" customHeight="1"/>
    <row r="384" ht="14.1" customHeight="1"/>
    <row r="385" ht="14.1" customHeight="1"/>
    <row r="386" ht="14.1" customHeight="1"/>
    <row r="387" ht="14.1" customHeight="1"/>
    <row r="388" ht="14.1" customHeight="1"/>
    <row r="389" ht="14.1" customHeight="1"/>
    <row r="390" ht="14.1" customHeight="1"/>
    <row r="391" ht="14.1" customHeight="1"/>
    <row r="392" ht="14.1" customHeight="1"/>
    <row r="393" ht="14.1" customHeight="1"/>
    <row r="394" ht="14.1" customHeight="1"/>
    <row r="395" ht="14.1" customHeight="1"/>
    <row r="396" ht="14.1" customHeight="1"/>
    <row r="397" ht="14.1" customHeight="1"/>
    <row r="398" ht="14.1" customHeight="1"/>
    <row r="399" ht="14.1" customHeight="1"/>
    <row r="400" ht="14.1" customHeight="1"/>
    <row r="401" ht="14.1" customHeight="1"/>
    <row r="402" ht="14.1" customHeight="1"/>
    <row r="403" ht="14.1" customHeight="1"/>
    <row r="404" ht="14.1" customHeight="1"/>
    <row r="405" ht="14.1" customHeight="1"/>
    <row r="406" ht="14.1" customHeight="1"/>
    <row r="407" ht="14.1" customHeight="1"/>
    <row r="408" ht="14.1" customHeight="1"/>
    <row r="409" ht="14.1" customHeight="1"/>
    <row r="410" ht="14.1" customHeight="1"/>
    <row r="411" ht="14.1" customHeight="1"/>
    <row r="412" ht="14.1" customHeight="1"/>
    <row r="413" ht="14.1" customHeight="1"/>
    <row r="414" ht="14.1" customHeight="1"/>
    <row r="415" ht="14.1" customHeight="1"/>
    <row r="416" ht="14.1" customHeight="1"/>
    <row r="417" ht="14.1" customHeight="1"/>
    <row r="418" ht="14.1" customHeight="1"/>
    <row r="419" ht="14.1" customHeight="1"/>
    <row r="420" ht="14.1" customHeight="1"/>
    <row r="421" ht="14.1" customHeight="1"/>
    <row r="422" ht="14.1" customHeight="1"/>
    <row r="423" ht="14.1" customHeight="1"/>
    <row r="424" ht="14.1" customHeight="1"/>
    <row r="425" ht="14.1" customHeight="1"/>
    <row r="426" ht="14.1" customHeight="1"/>
    <row r="427" ht="14.1" customHeight="1"/>
    <row r="428" ht="14.1" customHeight="1"/>
    <row r="429" ht="14.1" customHeight="1"/>
    <row r="430" ht="14.1" customHeight="1"/>
    <row r="431" ht="14.1" customHeight="1"/>
    <row r="432" ht="14.1" customHeight="1"/>
    <row r="433" ht="14.1" customHeight="1"/>
    <row r="434" ht="14.1" customHeight="1"/>
    <row r="435" ht="14.1" customHeight="1"/>
    <row r="436" ht="14.1" customHeight="1"/>
    <row r="437" ht="14.1" customHeight="1"/>
    <row r="438" ht="14.1" customHeight="1"/>
    <row r="439" ht="14.1" customHeight="1"/>
    <row r="440" ht="14.1" customHeight="1"/>
    <row r="441" ht="14.1" customHeight="1"/>
    <row r="442" ht="14.1" customHeight="1"/>
    <row r="443" ht="14.1" customHeight="1"/>
    <row r="444" ht="14.1" customHeight="1"/>
    <row r="445" ht="14.1" customHeight="1"/>
    <row r="446" ht="14.1" customHeight="1"/>
    <row r="447" ht="14.1" customHeight="1"/>
    <row r="448" ht="14.1" customHeight="1"/>
    <row r="449" ht="14.1" customHeight="1"/>
    <row r="450" ht="14.1" customHeight="1"/>
    <row r="451" ht="14.1" customHeight="1"/>
    <row r="452" ht="14.1" customHeight="1"/>
    <row r="453" ht="14.1" customHeight="1"/>
    <row r="454" ht="14.1" customHeight="1"/>
    <row r="455" ht="14.1" customHeight="1"/>
    <row r="456" ht="14.1" customHeight="1"/>
    <row r="457" ht="14.1" customHeight="1"/>
    <row r="458" ht="14.1" customHeight="1"/>
    <row r="459" ht="14.1" customHeight="1"/>
    <row r="460" ht="14.1" customHeight="1"/>
    <row r="461" ht="14.1" customHeight="1"/>
    <row r="462" ht="14.1" customHeight="1"/>
    <row r="463" ht="14.1" customHeight="1"/>
    <row r="464" ht="14.1" customHeight="1"/>
    <row r="465" ht="14.1" customHeight="1"/>
    <row r="466" ht="14.1" customHeight="1"/>
    <row r="467" ht="14.1" customHeight="1"/>
    <row r="468" ht="14.1" customHeight="1"/>
    <row r="469" ht="14.1" customHeight="1"/>
    <row r="470" ht="14.1" customHeight="1"/>
    <row r="471" ht="14.1" customHeight="1"/>
    <row r="472" ht="14.1" customHeight="1"/>
    <row r="473" ht="14.1" customHeight="1"/>
    <row r="474" ht="14.1" customHeight="1"/>
    <row r="475" ht="14.1" customHeight="1"/>
    <row r="476" ht="14.1" customHeight="1"/>
    <row r="477" ht="14.1" customHeight="1"/>
    <row r="478" ht="14.1" customHeight="1"/>
    <row r="479" ht="14.1" customHeight="1"/>
    <row r="480" ht="14.1" customHeight="1"/>
    <row r="481" ht="14.1" customHeight="1"/>
    <row r="482" ht="14.1" customHeight="1"/>
    <row r="483" ht="14.1" customHeight="1"/>
    <row r="484" ht="14.1" customHeight="1"/>
    <row r="485" ht="14.1" customHeight="1"/>
    <row r="486" ht="14.1" customHeight="1"/>
    <row r="487" ht="14.1" customHeight="1"/>
    <row r="488" ht="14.1" customHeight="1"/>
    <row r="489" ht="14.1" customHeight="1"/>
    <row r="490" ht="14.1" customHeight="1"/>
    <row r="491" ht="14.1" customHeight="1"/>
    <row r="492" ht="14.1" customHeight="1"/>
    <row r="493" ht="14.1" customHeight="1"/>
    <row r="494" ht="14.1" customHeight="1"/>
    <row r="495" ht="14.1" customHeight="1"/>
    <row r="496" ht="14.1" customHeight="1"/>
    <row r="497" ht="14.1" customHeight="1"/>
    <row r="498" ht="14.1" customHeight="1"/>
    <row r="499" ht="14.1" customHeight="1"/>
    <row r="500" ht="14.1" customHeight="1"/>
    <row r="501" ht="14.1" customHeight="1"/>
    <row r="502" ht="14.1" customHeight="1"/>
    <row r="503" ht="14.1" customHeight="1"/>
    <row r="504" ht="14.1" customHeight="1"/>
    <row r="505" ht="14.1" customHeight="1"/>
    <row r="506" ht="14.1" customHeight="1"/>
    <row r="507" ht="14.1" customHeight="1"/>
    <row r="508" ht="14.1" customHeight="1"/>
    <row r="509" ht="14.1" customHeight="1"/>
    <row r="510" ht="14.1" customHeight="1"/>
    <row r="511" ht="14.1" customHeight="1"/>
    <row r="512" ht="14.1" customHeight="1"/>
    <row r="513" ht="14.1" customHeight="1"/>
    <row r="514" ht="14.1" customHeight="1"/>
    <row r="515" ht="14.1" customHeight="1"/>
    <row r="516" ht="14.1" customHeight="1"/>
    <row r="517" ht="14.1" customHeight="1"/>
    <row r="518" ht="14.1" customHeight="1"/>
    <row r="519" ht="14.1" customHeight="1"/>
    <row r="520" ht="14.1" customHeight="1"/>
    <row r="521" ht="14.1" customHeight="1"/>
    <row r="522" ht="14.1" customHeight="1"/>
    <row r="523" ht="14.1" customHeight="1"/>
    <row r="524" ht="14.1" customHeight="1"/>
    <row r="525" ht="14.1" customHeight="1"/>
    <row r="526" ht="14.1" customHeight="1"/>
    <row r="527" ht="14.1" customHeight="1"/>
    <row r="528" ht="14.1" customHeight="1"/>
    <row r="529" ht="14.1" customHeight="1"/>
    <row r="530" ht="14.1" customHeight="1"/>
    <row r="531" ht="14.1" customHeight="1"/>
    <row r="532" ht="14.1" customHeight="1"/>
    <row r="533" ht="14.1" customHeight="1"/>
    <row r="534" ht="14.1" customHeight="1"/>
    <row r="535" ht="14.1" customHeight="1"/>
    <row r="536" ht="14.1" customHeight="1"/>
    <row r="537" ht="14.1" customHeight="1"/>
    <row r="538" ht="14.1" customHeight="1"/>
    <row r="539" ht="14.1" customHeight="1"/>
    <row r="540" ht="14.1" customHeight="1"/>
    <row r="541" ht="14.1" customHeight="1"/>
    <row r="542" ht="14.1" customHeight="1"/>
    <row r="543" ht="14.1" customHeight="1"/>
    <row r="544" ht="14.1" customHeight="1"/>
    <row r="545" ht="14.1" customHeight="1"/>
    <row r="546" ht="14.1" customHeight="1"/>
    <row r="547" ht="14.1" customHeight="1"/>
    <row r="548" ht="14.1" customHeight="1"/>
    <row r="549" ht="14.1" customHeight="1"/>
    <row r="550" ht="14.1" customHeight="1"/>
    <row r="551" ht="14.1" customHeight="1"/>
    <row r="552" ht="14.1" customHeight="1"/>
    <row r="553" ht="14.1" customHeight="1"/>
    <row r="554" ht="14.1" customHeight="1"/>
    <row r="555" ht="14.1" customHeight="1"/>
    <row r="556" ht="14.1" customHeight="1"/>
    <row r="557" ht="14.1" customHeight="1"/>
    <row r="558" ht="14.1" customHeight="1"/>
    <row r="559" ht="14.1" customHeight="1"/>
    <row r="560" ht="14.1" customHeight="1"/>
    <row r="561" ht="14.1" customHeight="1"/>
    <row r="562" ht="14.1" customHeight="1"/>
    <row r="563" ht="14.1" customHeight="1"/>
    <row r="564" ht="14.1" customHeight="1"/>
    <row r="565" ht="14.1" customHeight="1"/>
    <row r="566" ht="14.1" customHeight="1"/>
    <row r="567" ht="14.1" customHeight="1"/>
    <row r="568" ht="14.1" customHeight="1"/>
    <row r="569" ht="14.1" customHeight="1"/>
    <row r="570" ht="14.1" customHeight="1"/>
    <row r="571" ht="14.1" customHeight="1"/>
    <row r="572" ht="14.1" customHeight="1"/>
    <row r="573" ht="14.1" customHeight="1"/>
    <row r="574" ht="14.1" customHeight="1"/>
    <row r="575" ht="14.1" customHeight="1"/>
    <row r="576" ht="14.1" customHeight="1"/>
    <row r="577" ht="14.1" customHeight="1"/>
    <row r="578" ht="14.1" customHeight="1"/>
    <row r="579" ht="14.1" customHeight="1"/>
    <row r="580" ht="14.1" customHeight="1"/>
    <row r="581" ht="14.1" customHeight="1"/>
    <row r="582" ht="14.1" customHeight="1"/>
    <row r="583" ht="14.1" customHeight="1"/>
    <row r="584" ht="14.1" customHeight="1"/>
    <row r="585" ht="14.1" customHeight="1"/>
    <row r="586" ht="14.1" customHeight="1"/>
    <row r="587" ht="14.1" customHeight="1"/>
    <row r="588" ht="14.1" customHeight="1"/>
    <row r="589" ht="14.1" customHeight="1"/>
    <row r="590" ht="14.1" customHeight="1"/>
    <row r="591" ht="14.1" customHeight="1"/>
    <row r="592" ht="14.1" customHeight="1"/>
    <row r="593" ht="14.1" customHeight="1"/>
    <row r="594" ht="14.1" customHeight="1"/>
    <row r="595" ht="14.1" customHeight="1"/>
    <row r="596" ht="14.1" customHeight="1"/>
    <row r="597" ht="14.1" customHeight="1"/>
    <row r="598" ht="14.1" customHeight="1"/>
    <row r="599" ht="14.1" customHeight="1"/>
    <row r="600" ht="14.1" customHeight="1"/>
    <row r="601" ht="14.1" customHeight="1"/>
    <row r="602" ht="14.1" customHeight="1"/>
    <row r="603" ht="14.1" customHeight="1"/>
    <row r="604" ht="14.1" customHeight="1"/>
    <row r="605" ht="14.1" customHeight="1"/>
    <row r="606" ht="14.1" customHeight="1"/>
    <row r="607" ht="14.1" customHeight="1"/>
    <row r="608" ht="14.1" customHeight="1"/>
    <row r="609" ht="14.1" customHeight="1"/>
    <row r="610" ht="14.1" customHeight="1"/>
    <row r="611" ht="14.1" customHeight="1"/>
    <row r="612" ht="14.1" customHeight="1"/>
    <row r="613" ht="14.1" customHeight="1"/>
    <row r="614" ht="14.1" customHeight="1"/>
    <row r="615" ht="14.1" customHeight="1"/>
    <row r="616" ht="14.1" customHeight="1"/>
    <row r="617" ht="14.1" customHeight="1"/>
    <row r="618" ht="14.1" customHeight="1"/>
    <row r="619" ht="14.1" customHeight="1"/>
    <row r="620" ht="14.1" customHeight="1"/>
    <row r="621" ht="14.1" customHeight="1"/>
    <row r="622" ht="14.1" customHeight="1"/>
    <row r="623" ht="14.1" customHeight="1"/>
    <row r="624" ht="14.1" customHeight="1"/>
    <row r="625" ht="14.1" customHeight="1"/>
    <row r="626" ht="14.1" customHeight="1"/>
    <row r="627" ht="14.1" customHeight="1"/>
    <row r="628" ht="14.1" customHeight="1"/>
    <row r="629" ht="14.1" customHeight="1"/>
    <row r="630" ht="14.1" customHeight="1"/>
    <row r="631" ht="14.1" customHeight="1"/>
    <row r="632" ht="14.1" customHeight="1"/>
    <row r="633" ht="14.1" customHeight="1"/>
    <row r="634" ht="14.1" customHeight="1"/>
    <row r="635" ht="14.1" customHeight="1"/>
    <row r="636" ht="14.1" customHeight="1"/>
    <row r="637" ht="14.1" customHeight="1"/>
    <row r="638" ht="14.1" customHeight="1"/>
    <row r="639" ht="14.1" customHeight="1"/>
    <row r="640" ht="14.1" customHeight="1"/>
    <row r="641" ht="14.1" customHeight="1"/>
    <row r="642" ht="14.1" customHeight="1"/>
    <row r="643" ht="14.1" customHeight="1"/>
    <row r="644" ht="14.1" customHeight="1"/>
    <row r="645" ht="14.1" customHeight="1"/>
    <row r="646" ht="14.1" customHeight="1"/>
    <row r="647" ht="14.1" customHeight="1"/>
    <row r="648" ht="14.1" customHeight="1"/>
    <row r="649" ht="14.1" customHeight="1"/>
    <row r="650" ht="14.1" customHeight="1"/>
    <row r="651" ht="14.1" customHeight="1"/>
    <row r="652" ht="14.1" customHeight="1"/>
    <row r="653" ht="14.1" customHeight="1"/>
    <row r="654" ht="14.1" customHeight="1"/>
    <row r="655" ht="14.1" customHeight="1"/>
    <row r="656" ht="14.1" customHeight="1"/>
    <row r="657" ht="14.1" customHeight="1"/>
    <row r="658" ht="14.1" customHeight="1"/>
    <row r="659" ht="14.1" customHeight="1"/>
    <row r="660" ht="14.1" customHeight="1"/>
    <row r="661" ht="14.1" customHeight="1"/>
    <row r="662" ht="14.1" customHeight="1"/>
    <row r="663" ht="14.1" customHeight="1"/>
    <row r="664" ht="14.1" customHeight="1"/>
    <row r="665" ht="14.1" customHeight="1"/>
    <row r="666" ht="14.1" customHeight="1"/>
    <row r="667" ht="14.1" customHeight="1"/>
    <row r="668" ht="14.1" customHeight="1"/>
    <row r="669" ht="14.1" customHeight="1"/>
    <row r="670" ht="14.1" customHeight="1"/>
    <row r="671" ht="14.1" customHeight="1"/>
    <row r="672" ht="14.1" customHeight="1"/>
    <row r="673" ht="14.1" customHeight="1"/>
    <row r="674" ht="14.1" customHeight="1"/>
    <row r="675" ht="14.1" customHeight="1"/>
    <row r="676" ht="14.1" customHeight="1"/>
    <row r="677" ht="14.1" customHeight="1"/>
    <row r="678" ht="14.1" customHeight="1"/>
    <row r="679" ht="14.1" customHeight="1"/>
    <row r="680" ht="14.1" customHeight="1"/>
    <row r="681" ht="14.1" customHeight="1"/>
    <row r="682" ht="14.1" customHeight="1"/>
    <row r="683" ht="14.1" customHeight="1"/>
    <row r="684" ht="14.1" customHeight="1"/>
    <row r="685" ht="14.1" customHeight="1"/>
    <row r="686" ht="14.1" customHeight="1"/>
    <row r="687" ht="14.1" customHeight="1"/>
    <row r="688" ht="14.1" customHeight="1"/>
    <row r="689" ht="14.1" customHeight="1"/>
    <row r="690" ht="14.1" customHeight="1"/>
    <row r="691" ht="14.1" customHeight="1"/>
    <row r="692" ht="14.1" customHeight="1"/>
    <row r="693" ht="14.1" customHeight="1"/>
    <row r="694" ht="14.1" customHeight="1"/>
    <row r="695" ht="14.1" customHeight="1"/>
    <row r="696" ht="14.1" customHeight="1"/>
    <row r="697" ht="14.1" customHeight="1"/>
    <row r="698" ht="14.1" customHeight="1"/>
    <row r="699" ht="14.1" customHeight="1"/>
    <row r="700" ht="14.1" customHeight="1"/>
    <row r="701" ht="14.1" customHeight="1"/>
    <row r="702" ht="14.1" customHeight="1"/>
    <row r="703" ht="14.1" customHeight="1"/>
    <row r="704" ht="14.1" customHeight="1"/>
    <row r="705" ht="14.1" customHeight="1"/>
    <row r="706" ht="14.1" customHeight="1"/>
    <row r="707" ht="14.1" customHeight="1"/>
    <row r="708" ht="14.1" customHeight="1"/>
    <row r="709" ht="14.1" customHeight="1"/>
    <row r="710" ht="14.1" customHeight="1"/>
    <row r="711" ht="14.1" customHeight="1"/>
    <row r="712" ht="14.1" customHeight="1"/>
    <row r="713" ht="14.1" customHeight="1"/>
    <row r="714" ht="14.1" customHeight="1"/>
    <row r="715" ht="14.1" customHeight="1"/>
    <row r="716" ht="14.1" customHeight="1"/>
    <row r="717" ht="14.1" customHeight="1"/>
    <row r="718" ht="14.1" customHeight="1"/>
    <row r="719" ht="14.1" customHeight="1"/>
    <row r="720" ht="14.1" customHeight="1"/>
    <row r="721" ht="14.1" customHeight="1"/>
    <row r="722" ht="14.1" customHeight="1"/>
    <row r="723" ht="14.1" customHeight="1"/>
    <row r="724" ht="14.1" customHeight="1"/>
    <row r="725" ht="14.1" customHeight="1"/>
    <row r="726" ht="14.1" customHeight="1"/>
    <row r="727" ht="14.1" customHeight="1"/>
    <row r="728" ht="14.1" customHeight="1"/>
    <row r="729" ht="14.1" customHeight="1"/>
    <row r="730" ht="14.1" customHeight="1"/>
    <row r="731" ht="14.1" customHeight="1"/>
    <row r="732" ht="14.1" customHeight="1"/>
    <row r="733" ht="14.1" customHeight="1"/>
    <row r="734" ht="14.1" customHeight="1"/>
    <row r="735" ht="14.1" customHeight="1"/>
    <row r="736" ht="14.1" customHeight="1"/>
    <row r="737" ht="14.1" customHeight="1"/>
    <row r="738" ht="14.1" customHeight="1"/>
    <row r="739" ht="14.1" customHeight="1"/>
    <row r="740" ht="14.1" customHeight="1"/>
    <row r="741" ht="14.1" customHeight="1"/>
    <row r="742" ht="14.1" customHeight="1"/>
    <row r="743" ht="14.1" customHeight="1"/>
    <row r="744" ht="14.1" customHeight="1"/>
    <row r="745" ht="14.1" customHeight="1"/>
    <row r="746" ht="14.1" customHeight="1"/>
    <row r="747" ht="14.1" customHeight="1"/>
    <row r="748" ht="14.1" customHeight="1"/>
    <row r="749" ht="14.1" customHeight="1"/>
    <row r="750" ht="14.1" customHeight="1"/>
    <row r="751" ht="14.1" customHeight="1"/>
    <row r="752" ht="14.1" customHeight="1"/>
    <row r="753" ht="14.1" customHeight="1"/>
    <row r="754" ht="14.1" customHeight="1"/>
    <row r="755" ht="14.1" customHeight="1"/>
    <row r="756" ht="14.1" customHeight="1"/>
    <row r="757" ht="14.1" customHeight="1"/>
    <row r="758" ht="14.1" customHeight="1"/>
    <row r="759" ht="14.1" customHeight="1"/>
    <row r="760" ht="14.1" customHeight="1"/>
    <row r="761" ht="14.1" customHeight="1"/>
    <row r="762" ht="14.1" customHeight="1"/>
    <row r="763" ht="14.1" customHeight="1"/>
    <row r="764" ht="14.1" customHeight="1"/>
    <row r="765" ht="14.1" customHeight="1"/>
    <row r="766" ht="14.1" customHeight="1"/>
    <row r="767" ht="14.1" customHeight="1"/>
    <row r="768" ht="14.1" customHeight="1"/>
    <row r="769" ht="14.1" customHeight="1"/>
    <row r="770" ht="14.1" customHeight="1"/>
    <row r="771" ht="14.1" customHeight="1"/>
    <row r="772" ht="14.1" customHeight="1"/>
    <row r="773" ht="14.1" customHeight="1"/>
    <row r="774" ht="14.1" customHeight="1"/>
    <row r="775" ht="14.1" customHeight="1"/>
    <row r="776" ht="14.1" customHeight="1"/>
    <row r="777" ht="14.1" customHeight="1"/>
    <row r="778" ht="14.1" customHeight="1"/>
    <row r="779" ht="14.1" customHeight="1"/>
    <row r="780" ht="14.1" customHeight="1"/>
    <row r="781" ht="14.1" customHeight="1"/>
    <row r="782" ht="14.1" customHeight="1"/>
    <row r="783" ht="14.1" customHeight="1"/>
    <row r="784" ht="14.1" customHeight="1"/>
    <row r="785" ht="14.1" customHeight="1"/>
    <row r="786" ht="14.1" customHeight="1"/>
    <row r="787" ht="14.1" customHeight="1"/>
    <row r="788" ht="14.1" customHeight="1"/>
    <row r="789" ht="14.1" customHeight="1"/>
    <row r="790" ht="14.1" customHeight="1"/>
    <row r="791" ht="14.1" customHeight="1"/>
    <row r="792" ht="14.1" customHeight="1"/>
    <row r="793" ht="14.1" customHeight="1"/>
  </sheetData>
  <pageMargins left="0.7" right="0.7" top="0.75" bottom="0.75" header="0.3" footer="0.3"/>
  <headerFooter>
    <oddFooter>&amp;L_x000D_&amp;1#&amp;"Arial"&amp;7&amp;KDAD4CE Public&amp;C&amp;"Verdana"&amp;10 &amp;KC1C1C1_x000D_# Restricted</oddFooter>
  </headerFooter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900-000000000000}">
  <sheetPr>
    <tabColor rgb="FF0070C0"/>
  </sheetPr>
  <dimension ref="A1:U793"/>
  <sheetViews>
    <sheetView zoomScale="80" zoomScaleNormal="80" workbookViewId="0">
      <selection activeCell="A16" sqref="A16"/>
    </sheetView>
  </sheetViews>
  <sheetFormatPr defaultColWidth="8.85546875" defaultRowHeight="14.25"/>
  <cols>
    <col min="1" max="1" width="4.140625" style="43" customWidth="1"/>
    <col min="2" max="3" width="8.5703125" style="22" customWidth="1"/>
    <col min="4" max="4" width="14.5703125" style="43" customWidth="1"/>
    <col min="5" max="5" width="20.5703125" style="22" customWidth="1"/>
    <col min="6" max="6" width="8.5703125" style="43" customWidth="1"/>
    <col min="7" max="7" width="32.5703125" style="22" customWidth="1"/>
    <col min="8" max="8" width="18.5703125" style="43" customWidth="1"/>
    <col min="9" max="9" width="62.5703125" style="22" customWidth="1"/>
    <col min="10" max="12" width="9.5703125" style="43" customWidth="1"/>
    <col min="13" max="13" width="10.5703125" style="43" customWidth="1"/>
    <col min="14" max="14" width="8.5703125" style="43" customWidth="1"/>
    <col min="15" max="15" width="10.5703125" style="43" customWidth="1"/>
    <col min="16" max="16" width="5.5703125" style="43" customWidth="1"/>
    <col min="17" max="17" width="1.5703125" style="22" customWidth="1"/>
    <col min="18" max="18" width="10.5703125" style="68" customWidth="1"/>
    <col min="19" max="19" width="1.5703125" style="22" customWidth="1"/>
    <col min="20" max="20" width="10.5703125" style="22" customWidth="1"/>
    <col min="21" max="21" width="10.5703125" style="43" customWidth="1"/>
    <col min="22" max="22" width="8.85546875" style="122" customWidth="1"/>
    <col min="23" max="16384" width="8.85546875" style="122"/>
  </cols>
  <sheetData>
    <row r="1" spans="1:21" s="2" customFormat="1" ht="14.1" customHeight="1">
      <c r="A1" s="1" t="s">
        <v>5444</v>
      </c>
      <c r="E1" s="20"/>
      <c r="R1" s="10"/>
    </row>
    <row r="2" spans="1:21" s="2" customFormat="1" ht="14.1" customHeight="1">
      <c r="A2" s="4" t="s">
        <v>5445</v>
      </c>
      <c r="E2" s="20"/>
      <c r="H2" s="4"/>
      <c r="K2" s="4"/>
      <c r="R2" s="336"/>
    </row>
    <row r="3" spans="1:21" s="6" customFormat="1" ht="14.1" customHeight="1">
      <c r="A3" s="3"/>
      <c r="B3" s="16"/>
      <c r="C3" s="16"/>
      <c r="D3" s="23"/>
      <c r="E3" s="16"/>
      <c r="F3" s="23"/>
      <c r="G3" s="15"/>
      <c r="H3" s="25"/>
      <c r="I3" s="15"/>
      <c r="J3" s="25"/>
      <c r="K3" s="25"/>
      <c r="L3" s="25"/>
      <c r="M3" s="25"/>
      <c r="N3" s="25"/>
      <c r="O3" s="25"/>
      <c r="P3" s="25"/>
      <c r="Q3" s="2"/>
      <c r="R3" s="355" t="s">
        <v>2</v>
      </c>
      <c r="S3" s="2"/>
      <c r="T3" s="42"/>
      <c r="U3" s="42"/>
    </row>
    <row r="4" spans="1:21" s="5" customFormat="1" ht="33" customHeight="1">
      <c r="A4" s="21" t="s">
        <v>3</v>
      </c>
      <c r="B4" s="52" t="s">
        <v>4</v>
      </c>
      <c r="C4" s="52" t="s">
        <v>5</v>
      </c>
      <c r="D4" s="21" t="s">
        <v>6</v>
      </c>
      <c r="E4" s="21" t="s">
        <v>7</v>
      </c>
      <c r="F4" s="21" t="s">
        <v>8</v>
      </c>
      <c r="G4" s="21" t="s">
        <v>9</v>
      </c>
      <c r="H4" s="21" t="s">
        <v>10</v>
      </c>
      <c r="I4" s="21" t="s">
        <v>11</v>
      </c>
      <c r="J4" s="21" t="s">
        <v>12</v>
      </c>
      <c r="K4" s="21" t="s">
        <v>13</v>
      </c>
      <c r="L4" s="21" t="s">
        <v>455</v>
      </c>
      <c r="M4" s="21" t="s">
        <v>15</v>
      </c>
      <c r="N4" s="21" t="s">
        <v>16</v>
      </c>
      <c r="O4" s="21" t="s">
        <v>17</v>
      </c>
      <c r="P4" s="21" t="s">
        <v>18</v>
      </c>
      <c r="Q4" s="3"/>
      <c r="R4" s="41" t="s">
        <v>19</v>
      </c>
      <c r="S4" s="3"/>
      <c r="T4" s="42" t="s">
        <v>20</v>
      </c>
      <c r="U4" s="42" t="s">
        <v>21</v>
      </c>
    </row>
    <row r="5" spans="1:21" ht="14.1" customHeight="1">
      <c r="A5" s="29">
        <v>1</v>
      </c>
      <c r="B5" s="19" t="s">
        <v>609</v>
      </c>
      <c r="C5" s="19" t="s">
        <v>424</v>
      </c>
      <c r="D5" s="29" t="s">
        <v>260</v>
      </c>
      <c r="E5" s="19" t="s">
        <v>827</v>
      </c>
      <c r="F5" s="29" t="s">
        <v>26</v>
      </c>
      <c r="G5" s="19" t="s">
        <v>5446</v>
      </c>
      <c r="H5" s="29" t="s">
        <v>42</v>
      </c>
      <c r="I5" s="212" t="s">
        <v>5447</v>
      </c>
      <c r="J5" s="29" t="s">
        <v>30</v>
      </c>
      <c r="K5" s="29"/>
      <c r="L5" s="29" t="s">
        <v>322</v>
      </c>
      <c r="M5" s="29">
        <v>86080090</v>
      </c>
      <c r="N5" s="29">
        <v>1</v>
      </c>
      <c r="O5" s="29">
        <v>10</v>
      </c>
      <c r="P5" s="29"/>
      <c r="R5" s="9">
        <v>7322.1395565047515</v>
      </c>
      <c r="T5" s="29" t="s">
        <v>4607</v>
      </c>
      <c r="U5" s="29"/>
    </row>
    <row r="6" spans="1:21" ht="14.1" customHeight="1">
      <c r="A6" s="29">
        <v>2</v>
      </c>
      <c r="B6" s="19" t="s">
        <v>609</v>
      </c>
      <c r="C6" s="19" t="s">
        <v>424</v>
      </c>
      <c r="D6" s="29" t="s">
        <v>260</v>
      </c>
      <c r="E6" s="19" t="s">
        <v>827</v>
      </c>
      <c r="F6" s="29" t="s">
        <v>26</v>
      </c>
      <c r="G6" s="19" t="s">
        <v>5448</v>
      </c>
      <c r="H6" s="29" t="s">
        <v>42</v>
      </c>
      <c r="I6" s="212" t="s">
        <v>5449</v>
      </c>
      <c r="J6" s="29" t="s">
        <v>30</v>
      </c>
      <c r="K6" s="29"/>
      <c r="L6" s="29" t="s">
        <v>322</v>
      </c>
      <c r="M6" s="29">
        <v>86080090</v>
      </c>
      <c r="N6" s="29">
        <v>1</v>
      </c>
      <c r="O6" s="29">
        <v>10</v>
      </c>
      <c r="P6" s="29"/>
      <c r="R6" s="9">
        <v>10935.922837066941</v>
      </c>
      <c r="T6" s="29" t="s">
        <v>4607</v>
      </c>
      <c r="U6" s="29"/>
    </row>
    <row r="7" spans="1:21" ht="14.1" customHeight="1">
      <c r="A7" s="29">
        <v>3</v>
      </c>
      <c r="B7" s="19" t="s">
        <v>609</v>
      </c>
      <c r="C7" s="19" t="s">
        <v>424</v>
      </c>
      <c r="D7" s="29" t="s">
        <v>260</v>
      </c>
      <c r="E7" s="19" t="s">
        <v>827</v>
      </c>
      <c r="F7" s="29" t="s">
        <v>26</v>
      </c>
      <c r="G7" s="19" t="s">
        <v>5450</v>
      </c>
      <c r="H7" s="29" t="s">
        <v>42</v>
      </c>
      <c r="I7" s="212" t="s">
        <v>5451</v>
      </c>
      <c r="J7" s="29" t="s">
        <v>30</v>
      </c>
      <c r="K7" s="29"/>
      <c r="L7" s="29" t="s">
        <v>322</v>
      </c>
      <c r="M7" s="29">
        <v>86080090</v>
      </c>
      <c r="N7" s="29">
        <v>1</v>
      </c>
      <c r="O7" s="29">
        <v>15</v>
      </c>
      <c r="P7" s="29"/>
      <c r="R7" s="9">
        <v>20187.275991949551</v>
      </c>
      <c r="T7" s="29" t="s">
        <v>4607</v>
      </c>
      <c r="U7" s="29"/>
    </row>
    <row r="8" spans="1:21" ht="14.1" customHeight="1">
      <c r="A8" s="29">
        <v>4</v>
      </c>
      <c r="B8" s="19" t="s">
        <v>609</v>
      </c>
      <c r="C8" s="19" t="s">
        <v>424</v>
      </c>
      <c r="D8" s="29" t="s">
        <v>260</v>
      </c>
      <c r="E8" s="19" t="s">
        <v>827</v>
      </c>
      <c r="F8" s="29" t="s">
        <v>26</v>
      </c>
      <c r="G8" s="19" t="s">
        <v>5452</v>
      </c>
      <c r="H8" s="29" t="s">
        <v>42</v>
      </c>
      <c r="I8" s="212" t="s">
        <v>5453</v>
      </c>
      <c r="J8" s="29" t="s">
        <v>30</v>
      </c>
      <c r="K8" s="29"/>
      <c r="L8" s="29" t="s">
        <v>322</v>
      </c>
      <c r="M8" s="29">
        <v>86080090</v>
      </c>
      <c r="N8" s="29">
        <v>1</v>
      </c>
      <c r="O8" s="29">
        <v>15</v>
      </c>
      <c r="P8" s="29"/>
      <c r="R8" s="9">
        <v>37765.205646288807</v>
      </c>
      <c r="T8" s="29" t="s">
        <v>4607</v>
      </c>
      <c r="U8" s="29"/>
    </row>
    <row r="9" spans="1:21" ht="14.1" customHeight="1">
      <c r="A9" s="29">
        <v>5</v>
      </c>
      <c r="B9" s="19" t="s">
        <v>609</v>
      </c>
      <c r="C9" s="19" t="s">
        <v>424</v>
      </c>
      <c r="D9" s="29" t="s">
        <v>260</v>
      </c>
      <c r="E9" s="19" t="s">
        <v>827</v>
      </c>
      <c r="F9" s="29" t="s">
        <v>26</v>
      </c>
      <c r="G9" s="19" t="s">
        <v>5454</v>
      </c>
      <c r="H9" s="29" t="s">
        <v>42</v>
      </c>
      <c r="I9" s="66" t="s">
        <v>5455</v>
      </c>
      <c r="J9" s="29" t="s">
        <v>30</v>
      </c>
      <c r="K9" s="29"/>
      <c r="L9" s="29" t="s">
        <v>322</v>
      </c>
      <c r="M9" s="29">
        <v>86080090</v>
      </c>
      <c r="N9" s="29">
        <v>1</v>
      </c>
      <c r="O9" s="29">
        <v>15</v>
      </c>
      <c r="P9" s="29"/>
      <c r="R9" s="9">
        <v>25785.204490960819</v>
      </c>
      <c r="T9" s="29" t="s">
        <v>4607</v>
      </c>
      <c r="U9" s="29"/>
    </row>
    <row r="10" spans="1:21" ht="14.1" customHeight="1">
      <c r="A10" s="29">
        <v>6</v>
      </c>
      <c r="B10" s="19" t="s">
        <v>609</v>
      </c>
      <c r="C10" s="19" t="s">
        <v>424</v>
      </c>
      <c r="D10" s="29" t="s">
        <v>260</v>
      </c>
      <c r="E10" s="19" t="s">
        <v>827</v>
      </c>
      <c r="F10" s="29" t="s">
        <v>26</v>
      </c>
      <c r="G10" s="19" t="s">
        <v>5456</v>
      </c>
      <c r="H10" s="29" t="s">
        <v>42</v>
      </c>
      <c r="I10" s="66" t="s">
        <v>5457</v>
      </c>
      <c r="J10" s="29" t="s">
        <v>30</v>
      </c>
      <c r="K10" s="29"/>
      <c r="L10" s="29" t="s">
        <v>322</v>
      </c>
      <c r="M10" s="29">
        <v>86080090</v>
      </c>
      <c r="N10" s="29">
        <v>1</v>
      </c>
      <c r="O10" s="29">
        <v>15</v>
      </c>
      <c r="P10" s="29"/>
      <c r="R10" s="9">
        <v>42523.114525654142</v>
      </c>
      <c r="T10" s="29" t="s">
        <v>4607</v>
      </c>
      <c r="U10" s="29"/>
    </row>
    <row r="11" spans="1:21" ht="14.1" customHeight="1">
      <c r="A11" s="29">
        <v>7</v>
      </c>
      <c r="B11" s="19" t="s">
        <v>609</v>
      </c>
      <c r="C11" s="19" t="s">
        <v>424</v>
      </c>
      <c r="D11" s="29" t="s">
        <v>260</v>
      </c>
      <c r="E11" s="19" t="s">
        <v>827</v>
      </c>
      <c r="F11" s="29" t="s">
        <v>26</v>
      </c>
      <c r="G11" s="19" t="s">
        <v>5458</v>
      </c>
      <c r="H11" s="29" t="s">
        <v>42</v>
      </c>
      <c r="I11" s="66" t="s">
        <v>5459</v>
      </c>
      <c r="J11" s="29" t="s">
        <v>30</v>
      </c>
      <c r="K11" s="29"/>
      <c r="L11" s="29" t="s">
        <v>322</v>
      </c>
      <c r="M11" s="29">
        <v>86080090</v>
      </c>
      <c r="N11" s="29">
        <v>1</v>
      </c>
      <c r="O11" s="29">
        <v>15</v>
      </c>
      <c r="P11" s="29"/>
      <c r="R11" s="9">
        <v>25785.204490960819</v>
      </c>
      <c r="T11" s="29" t="s">
        <v>4607</v>
      </c>
      <c r="U11" s="29"/>
    </row>
    <row r="12" spans="1:21" ht="14.1" customHeight="1">
      <c r="A12" s="29">
        <v>8</v>
      </c>
      <c r="B12" s="19" t="s">
        <v>609</v>
      </c>
      <c r="C12" s="19" t="s">
        <v>424</v>
      </c>
      <c r="D12" s="29" t="s">
        <v>260</v>
      </c>
      <c r="E12" s="19" t="s">
        <v>827</v>
      </c>
      <c r="F12" s="29" t="s">
        <v>26</v>
      </c>
      <c r="G12" s="19" t="s">
        <v>5460</v>
      </c>
      <c r="H12" s="29" t="s">
        <v>42</v>
      </c>
      <c r="I12" s="66" t="s">
        <v>5461</v>
      </c>
      <c r="J12" s="29" t="s">
        <v>30</v>
      </c>
      <c r="K12" s="29"/>
      <c r="L12" s="29" t="s">
        <v>322</v>
      </c>
      <c r="M12" s="29">
        <v>86080090</v>
      </c>
      <c r="N12" s="29">
        <v>1</v>
      </c>
      <c r="O12" s="29">
        <v>15</v>
      </c>
      <c r="P12" s="29"/>
      <c r="R12" s="9">
        <v>42523.114525654142</v>
      </c>
      <c r="T12" s="29" t="s">
        <v>4607</v>
      </c>
      <c r="U12" s="29"/>
    </row>
    <row r="13" spans="1:21" s="339" customFormat="1" ht="14.1" customHeight="1">
      <c r="A13" s="308">
        <v>9</v>
      </c>
      <c r="B13" s="309" t="s">
        <v>609</v>
      </c>
      <c r="C13" s="309" t="s">
        <v>424</v>
      </c>
      <c r="D13" s="308" t="s">
        <v>260</v>
      </c>
      <c r="E13" s="309" t="s">
        <v>827</v>
      </c>
      <c r="F13" s="308" t="s">
        <v>26</v>
      </c>
      <c r="G13" s="309" t="s">
        <v>5462</v>
      </c>
      <c r="H13" s="308" t="s">
        <v>42</v>
      </c>
      <c r="I13" s="313" t="s">
        <v>5463</v>
      </c>
      <c r="J13" s="308" t="s">
        <v>30</v>
      </c>
      <c r="K13" s="308"/>
      <c r="L13" s="308" t="s">
        <v>322</v>
      </c>
      <c r="M13" s="308">
        <v>86080090</v>
      </c>
      <c r="N13" s="308">
        <v>1</v>
      </c>
      <c r="O13" s="308">
        <v>20</v>
      </c>
      <c r="P13" s="308"/>
      <c r="Q13" s="310"/>
      <c r="R13" s="319">
        <v>25785.204490960819</v>
      </c>
      <c r="S13" s="310"/>
      <c r="T13" s="308" t="s">
        <v>4607</v>
      </c>
      <c r="U13" s="308"/>
    </row>
    <row r="14" spans="1:21" s="339" customFormat="1" ht="14.1" customHeight="1">
      <c r="A14" s="308">
        <v>10</v>
      </c>
      <c r="B14" s="309" t="s">
        <v>609</v>
      </c>
      <c r="C14" s="309" t="s">
        <v>424</v>
      </c>
      <c r="D14" s="308" t="s">
        <v>260</v>
      </c>
      <c r="E14" s="309" t="s">
        <v>827</v>
      </c>
      <c r="F14" s="308" t="s">
        <v>26</v>
      </c>
      <c r="G14" s="309" t="s">
        <v>5464</v>
      </c>
      <c r="H14" s="308" t="s">
        <v>42</v>
      </c>
      <c r="I14" s="313" t="s">
        <v>5465</v>
      </c>
      <c r="J14" s="308" t="s">
        <v>30</v>
      </c>
      <c r="K14" s="308"/>
      <c r="L14" s="308" t="s">
        <v>322</v>
      </c>
      <c r="M14" s="308">
        <v>86080090</v>
      </c>
      <c r="N14" s="308">
        <v>1</v>
      </c>
      <c r="O14" s="308">
        <v>20</v>
      </c>
      <c r="P14" s="308"/>
      <c r="Q14" s="310"/>
      <c r="R14" s="319">
        <v>42523.114525654142</v>
      </c>
      <c r="S14" s="310"/>
      <c r="T14" s="308" t="s">
        <v>4607</v>
      </c>
      <c r="U14" s="308"/>
    </row>
    <row r="15" spans="1:21" ht="14.1" customHeight="1">
      <c r="A15" s="29">
        <v>11</v>
      </c>
      <c r="B15" s="19" t="s">
        <v>609</v>
      </c>
      <c r="C15" s="19" t="s">
        <v>424</v>
      </c>
      <c r="D15" s="29" t="s">
        <v>260</v>
      </c>
      <c r="E15" s="19" t="s">
        <v>827</v>
      </c>
      <c r="F15" s="29" t="s">
        <v>26</v>
      </c>
      <c r="G15" s="19" t="s">
        <v>5466</v>
      </c>
      <c r="H15" s="29" t="s">
        <v>42</v>
      </c>
      <c r="I15" s="66" t="s">
        <v>5467</v>
      </c>
      <c r="J15" s="29" t="s">
        <v>30</v>
      </c>
      <c r="K15" s="29"/>
      <c r="L15" s="29" t="s">
        <v>322</v>
      </c>
      <c r="M15" s="29">
        <v>85256000</v>
      </c>
      <c r="N15" s="29">
        <v>1</v>
      </c>
      <c r="O15" s="29">
        <v>15</v>
      </c>
      <c r="P15" s="29"/>
      <c r="R15" s="9">
        <v>35507.346169752847</v>
      </c>
      <c r="T15" s="29" t="s">
        <v>4607</v>
      </c>
      <c r="U15" s="29"/>
    </row>
    <row r="16" spans="1:21" ht="14.1" customHeight="1">
      <c r="A16" s="29">
        <v>12</v>
      </c>
      <c r="B16" s="19" t="s">
        <v>609</v>
      </c>
      <c r="C16" s="19" t="s">
        <v>424</v>
      </c>
      <c r="D16" s="29" t="s">
        <v>260</v>
      </c>
      <c r="E16" s="19" t="s">
        <v>827</v>
      </c>
      <c r="F16" s="29" t="s">
        <v>26</v>
      </c>
      <c r="G16" s="19" t="s">
        <v>5468</v>
      </c>
      <c r="H16" s="29" t="s">
        <v>42</v>
      </c>
      <c r="I16" s="66" t="s">
        <v>5469</v>
      </c>
      <c r="J16" s="29" t="s">
        <v>30</v>
      </c>
      <c r="K16" s="29"/>
      <c r="L16" s="29" t="s">
        <v>322</v>
      </c>
      <c r="M16" s="29">
        <v>85256000</v>
      </c>
      <c r="N16" s="29">
        <v>1</v>
      </c>
      <c r="O16" s="29">
        <v>15</v>
      </c>
      <c r="P16" s="29"/>
      <c r="R16" s="9">
        <v>45754.641687163981</v>
      </c>
      <c r="T16" s="29" t="s">
        <v>4607</v>
      </c>
      <c r="U16" s="29"/>
    </row>
    <row r="17" spans="1:21" ht="14.1" customHeight="1">
      <c r="A17" s="29">
        <v>13</v>
      </c>
      <c r="B17" s="19" t="s">
        <v>609</v>
      </c>
      <c r="C17" s="19" t="s">
        <v>424</v>
      </c>
      <c r="D17" s="29" t="s">
        <v>260</v>
      </c>
      <c r="E17" s="19" t="s">
        <v>827</v>
      </c>
      <c r="F17" s="29" t="s">
        <v>26</v>
      </c>
      <c r="G17" s="19" t="s">
        <v>5470</v>
      </c>
      <c r="H17" s="29" t="s">
        <v>42</v>
      </c>
      <c r="I17" s="66" t="s">
        <v>5471</v>
      </c>
      <c r="J17" s="29" t="s">
        <v>30</v>
      </c>
      <c r="K17" s="29"/>
      <c r="L17" s="29" t="s">
        <v>322</v>
      </c>
      <c r="M17" s="29">
        <v>85256000</v>
      </c>
      <c r="N17" s="29">
        <v>1</v>
      </c>
      <c r="O17" s="29">
        <v>15</v>
      </c>
      <c r="P17" s="29"/>
      <c r="R17" s="9">
        <v>49487.915399015139</v>
      </c>
      <c r="T17" s="29" t="s">
        <v>4607</v>
      </c>
      <c r="U17" s="29"/>
    </row>
    <row r="18" spans="1:21" ht="14.1" customHeight="1">
      <c r="A18" s="29">
        <v>14</v>
      </c>
      <c r="B18" s="19" t="s">
        <v>609</v>
      </c>
      <c r="C18" s="19" t="s">
        <v>424</v>
      </c>
      <c r="D18" s="29" t="s">
        <v>260</v>
      </c>
      <c r="E18" s="19" t="s">
        <v>827</v>
      </c>
      <c r="F18" s="29" t="s">
        <v>26</v>
      </c>
      <c r="G18" s="19" t="s">
        <v>5472</v>
      </c>
      <c r="H18" s="29" t="s">
        <v>42</v>
      </c>
      <c r="I18" s="66" t="s">
        <v>5473</v>
      </c>
      <c r="J18" s="29" t="s">
        <v>30</v>
      </c>
      <c r="K18" s="29"/>
      <c r="L18" s="29" t="s">
        <v>322</v>
      </c>
      <c r="M18" s="29">
        <v>85256000</v>
      </c>
      <c r="N18" s="29">
        <v>1</v>
      </c>
      <c r="O18" s="29">
        <v>15</v>
      </c>
      <c r="P18" s="29"/>
      <c r="R18" s="9">
        <v>60541.818519740213</v>
      </c>
      <c r="T18" s="29" t="s">
        <v>4607</v>
      </c>
      <c r="U18" s="29"/>
    </row>
    <row r="19" spans="1:21" ht="14.1" customHeight="1">
      <c r="A19" s="29">
        <v>15</v>
      </c>
      <c r="B19" s="19" t="s">
        <v>609</v>
      </c>
      <c r="C19" s="19" t="s">
        <v>424</v>
      </c>
      <c r="D19" s="29" t="s">
        <v>260</v>
      </c>
      <c r="E19" s="19" t="s">
        <v>827</v>
      </c>
      <c r="F19" s="29" t="s">
        <v>26</v>
      </c>
      <c r="G19" s="19" t="s">
        <v>5474</v>
      </c>
      <c r="H19" s="29" t="s">
        <v>42</v>
      </c>
      <c r="I19" s="66" t="s">
        <v>5475</v>
      </c>
      <c r="J19" s="29" t="s">
        <v>30</v>
      </c>
      <c r="K19" s="29"/>
      <c r="L19" s="29" t="s">
        <v>322</v>
      </c>
      <c r="M19" s="29">
        <v>85256000</v>
      </c>
      <c r="N19" s="29">
        <v>1</v>
      </c>
      <c r="O19" s="29">
        <v>15</v>
      </c>
      <c r="P19" s="29"/>
      <c r="R19" s="9">
        <v>59281.222784909769</v>
      </c>
      <c r="T19" s="29" t="s">
        <v>4607</v>
      </c>
      <c r="U19" s="29"/>
    </row>
    <row r="20" spans="1:21" ht="14.1" customHeight="1">
      <c r="A20" s="29">
        <v>16</v>
      </c>
      <c r="B20" s="19" t="s">
        <v>609</v>
      </c>
      <c r="C20" s="19" t="s">
        <v>424</v>
      </c>
      <c r="D20" s="29" t="s">
        <v>260</v>
      </c>
      <c r="E20" s="19" t="s">
        <v>827</v>
      </c>
      <c r="F20" s="29" t="s">
        <v>26</v>
      </c>
      <c r="G20" s="19" t="s">
        <v>5476</v>
      </c>
      <c r="H20" s="29" t="s">
        <v>42</v>
      </c>
      <c r="I20" s="66" t="s">
        <v>5477</v>
      </c>
      <c r="J20" s="29" t="s">
        <v>30</v>
      </c>
      <c r="K20" s="29"/>
      <c r="L20" s="29" t="s">
        <v>322</v>
      </c>
      <c r="M20" s="29">
        <v>85256000</v>
      </c>
      <c r="N20" s="29">
        <v>1</v>
      </c>
      <c r="O20" s="29">
        <v>15</v>
      </c>
      <c r="P20" s="29"/>
      <c r="R20" s="9">
        <v>69528.140765413176</v>
      </c>
      <c r="T20" s="29" t="s">
        <v>4607</v>
      </c>
      <c r="U20" s="29"/>
    </row>
    <row r="21" spans="1:21" ht="14.1" customHeight="1">
      <c r="A21" s="29">
        <v>17</v>
      </c>
      <c r="B21" s="19" t="s">
        <v>609</v>
      </c>
      <c r="C21" s="19" t="s">
        <v>424</v>
      </c>
      <c r="D21" s="29" t="s">
        <v>260</v>
      </c>
      <c r="E21" s="19" t="s">
        <v>827</v>
      </c>
      <c r="F21" s="29" t="s">
        <v>26</v>
      </c>
      <c r="G21" s="19" t="s">
        <v>5478</v>
      </c>
      <c r="H21" s="29" t="s">
        <v>42</v>
      </c>
      <c r="I21" s="66" t="s">
        <v>5479</v>
      </c>
      <c r="J21" s="29" t="s">
        <v>30</v>
      </c>
      <c r="K21" s="29"/>
      <c r="L21" s="29" t="s">
        <v>322</v>
      </c>
      <c r="M21" s="29">
        <v>85256000</v>
      </c>
      <c r="N21" s="29">
        <v>1</v>
      </c>
      <c r="O21" s="29">
        <v>15</v>
      </c>
      <c r="P21" s="29"/>
      <c r="R21" s="9">
        <v>91352.416789176103</v>
      </c>
      <c r="T21" s="29" t="s">
        <v>4607</v>
      </c>
      <c r="U21" s="29"/>
    </row>
    <row r="22" spans="1:21" ht="14.1" customHeight="1">
      <c r="A22" s="29">
        <v>18</v>
      </c>
      <c r="B22" s="19" t="s">
        <v>609</v>
      </c>
      <c r="C22" s="19" t="s">
        <v>424</v>
      </c>
      <c r="D22" s="29" t="s">
        <v>260</v>
      </c>
      <c r="E22" s="19" t="s">
        <v>827</v>
      </c>
      <c r="F22" s="29" t="s">
        <v>26</v>
      </c>
      <c r="G22" s="19" t="s">
        <v>5480</v>
      </c>
      <c r="H22" s="29" t="s">
        <v>42</v>
      </c>
      <c r="I22" s="66" t="s">
        <v>5481</v>
      </c>
      <c r="J22" s="29" t="s">
        <v>30</v>
      </c>
      <c r="K22" s="29"/>
      <c r="L22" s="29" t="s">
        <v>322</v>
      </c>
      <c r="M22" s="29">
        <v>85256000</v>
      </c>
      <c r="N22" s="29">
        <v>1</v>
      </c>
      <c r="O22" s="29">
        <v>15</v>
      </c>
      <c r="P22" s="29"/>
      <c r="R22" s="9">
        <v>119313.177710793</v>
      </c>
      <c r="T22" s="29" t="s">
        <v>4607</v>
      </c>
      <c r="U22" s="29"/>
    </row>
    <row r="23" spans="1:21" ht="14.1" customHeight="1">
      <c r="A23" s="29">
        <v>19</v>
      </c>
      <c r="B23" s="19" t="s">
        <v>609</v>
      </c>
      <c r="C23" s="19" t="s">
        <v>424</v>
      </c>
      <c r="D23" s="29" t="s">
        <v>260</v>
      </c>
      <c r="E23" s="19" t="s">
        <v>827</v>
      </c>
      <c r="F23" s="29" t="s">
        <v>26</v>
      </c>
      <c r="G23" s="19" t="s">
        <v>5482</v>
      </c>
      <c r="H23" s="29" t="s">
        <v>42</v>
      </c>
      <c r="I23" s="66" t="s">
        <v>5483</v>
      </c>
      <c r="J23" s="29" t="s">
        <v>30</v>
      </c>
      <c r="K23" s="29"/>
      <c r="L23" s="29" t="s">
        <v>322</v>
      </c>
      <c r="M23" s="29">
        <v>85256000</v>
      </c>
      <c r="N23" s="29">
        <v>1</v>
      </c>
      <c r="O23" s="29">
        <v>15</v>
      </c>
      <c r="P23" s="29"/>
      <c r="R23" s="9">
        <v>71839.799251297241</v>
      </c>
      <c r="T23" s="29" t="s">
        <v>4607</v>
      </c>
      <c r="U23" s="29"/>
    </row>
    <row r="24" spans="1:21" ht="14.1" customHeight="1">
      <c r="A24" s="29">
        <v>20</v>
      </c>
      <c r="B24" s="19" t="s">
        <v>5484</v>
      </c>
      <c r="C24" s="19" t="s">
        <v>424</v>
      </c>
      <c r="D24" s="29" t="s">
        <v>260</v>
      </c>
      <c r="E24" s="19" t="s">
        <v>827</v>
      </c>
      <c r="F24" s="29" t="s">
        <v>26</v>
      </c>
      <c r="G24" s="19" t="s">
        <v>5485</v>
      </c>
      <c r="H24" s="29" t="s">
        <v>42</v>
      </c>
      <c r="I24" s="66" t="s">
        <v>5486</v>
      </c>
      <c r="J24" s="29" t="s">
        <v>30</v>
      </c>
      <c r="K24" s="29"/>
      <c r="L24" s="29" t="s">
        <v>322</v>
      </c>
      <c r="M24" s="29">
        <v>85256000</v>
      </c>
      <c r="N24" s="29">
        <v>1</v>
      </c>
      <c r="O24" s="29">
        <v>15</v>
      </c>
      <c r="P24" s="29"/>
      <c r="R24" s="9">
        <v>93414.145842158774</v>
      </c>
      <c r="T24" s="29" t="s">
        <v>4607</v>
      </c>
      <c r="U24" s="29"/>
    </row>
    <row r="25" spans="1:21" ht="14.1" customHeight="1">
      <c r="A25" s="29">
        <v>21</v>
      </c>
      <c r="B25" s="19" t="s">
        <v>5484</v>
      </c>
      <c r="C25" s="19" t="s">
        <v>424</v>
      </c>
      <c r="D25" s="29" t="s">
        <v>260</v>
      </c>
      <c r="E25" s="19" t="s">
        <v>827</v>
      </c>
      <c r="F25" s="29" t="s">
        <v>26</v>
      </c>
      <c r="G25" s="19" t="s">
        <v>5487</v>
      </c>
      <c r="H25" s="29" t="s">
        <v>42</v>
      </c>
      <c r="I25" s="66" t="s">
        <v>5488</v>
      </c>
      <c r="J25" s="29" t="s">
        <v>30</v>
      </c>
      <c r="K25" s="29"/>
      <c r="L25" s="29" t="s">
        <v>322</v>
      </c>
      <c r="M25" s="29">
        <v>86080090</v>
      </c>
      <c r="N25" s="29">
        <v>1</v>
      </c>
      <c r="O25" s="29">
        <v>10</v>
      </c>
      <c r="P25" s="29"/>
      <c r="R25" s="9">
        <v>6984.432792561699</v>
      </c>
      <c r="T25" s="29" t="s">
        <v>4607</v>
      </c>
      <c r="U25" s="29"/>
    </row>
    <row r="26" spans="1:21" ht="14.1" customHeight="1">
      <c r="A26" s="29">
        <v>22</v>
      </c>
      <c r="B26" s="19" t="s">
        <v>5484</v>
      </c>
      <c r="C26" s="19" t="s">
        <v>424</v>
      </c>
      <c r="D26" s="29" t="s">
        <v>260</v>
      </c>
      <c r="E26" s="19" t="s">
        <v>827</v>
      </c>
      <c r="F26" s="29" t="s">
        <v>26</v>
      </c>
      <c r="G26" s="19" t="s">
        <v>5489</v>
      </c>
      <c r="H26" s="29" t="s">
        <v>42</v>
      </c>
      <c r="I26" s="66" t="s">
        <v>5490</v>
      </c>
      <c r="J26" s="29" t="s">
        <v>30</v>
      </c>
      <c r="K26" s="29"/>
      <c r="L26" s="29" t="s">
        <v>322</v>
      </c>
      <c r="M26" s="29">
        <v>86080090</v>
      </c>
      <c r="N26" s="29">
        <v>1</v>
      </c>
      <c r="O26" s="29">
        <v>10</v>
      </c>
      <c r="P26" s="29"/>
      <c r="R26" s="9">
        <v>5851.822069443585</v>
      </c>
      <c r="T26" s="29" t="s">
        <v>4607</v>
      </c>
      <c r="U26" s="29"/>
    </row>
    <row r="27" spans="1:21" ht="14.1" customHeight="1">
      <c r="A27" s="29">
        <v>23</v>
      </c>
      <c r="B27" s="19" t="s">
        <v>5484</v>
      </c>
      <c r="C27" s="19" t="s">
        <v>424</v>
      </c>
      <c r="D27" s="29" t="s">
        <v>260</v>
      </c>
      <c r="E27" s="19" t="s">
        <v>827</v>
      </c>
      <c r="F27" s="29" t="s">
        <v>26</v>
      </c>
      <c r="G27" s="19" t="s">
        <v>5491</v>
      </c>
      <c r="H27" s="29" t="s">
        <v>42</v>
      </c>
      <c r="I27" s="66" t="s">
        <v>5492</v>
      </c>
      <c r="J27" s="29" t="s">
        <v>30</v>
      </c>
      <c r="K27" s="29"/>
      <c r="L27" s="29" t="s">
        <v>322</v>
      </c>
      <c r="M27" s="29">
        <v>86080090</v>
      </c>
      <c r="N27" s="29">
        <v>1</v>
      </c>
      <c r="O27" s="29">
        <v>10</v>
      </c>
      <c r="P27" s="29"/>
      <c r="R27" s="9">
        <v>13440.31391433494</v>
      </c>
      <c r="T27" s="29" t="s">
        <v>4607</v>
      </c>
      <c r="U27" s="29"/>
    </row>
    <row r="28" spans="1:21" ht="14.1" customHeight="1">
      <c r="A28" s="29">
        <v>24</v>
      </c>
      <c r="B28" s="19" t="s">
        <v>5484</v>
      </c>
      <c r="C28" s="19" t="s">
        <v>424</v>
      </c>
      <c r="D28" s="29" t="s">
        <v>260</v>
      </c>
      <c r="E28" s="19" t="s">
        <v>827</v>
      </c>
      <c r="F28" s="29" t="s">
        <v>26</v>
      </c>
      <c r="G28" s="19" t="s">
        <v>5493</v>
      </c>
      <c r="H28" s="29" t="s">
        <v>42</v>
      </c>
      <c r="I28" s="66" t="s">
        <v>5494</v>
      </c>
      <c r="J28" s="29" t="s">
        <v>30</v>
      </c>
      <c r="K28" s="29"/>
      <c r="L28" s="29" t="s">
        <v>322</v>
      </c>
      <c r="M28" s="29">
        <v>86080090</v>
      </c>
      <c r="N28" s="29">
        <v>1</v>
      </c>
      <c r="O28" s="29">
        <v>10</v>
      </c>
      <c r="P28" s="29"/>
      <c r="R28" s="9">
        <v>8814.165415759011</v>
      </c>
      <c r="T28" s="29" t="s">
        <v>4607</v>
      </c>
      <c r="U28" s="29"/>
    </row>
    <row r="29" spans="1:21" ht="14.1" customHeight="1">
      <c r="A29" s="29">
        <v>25</v>
      </c>
      <c r="B29" s="19" t="s">
        <v>5484</v>
      </c>
      <c r="C29" s="19" t="s">
        <v>424</v>
      </c>
      <c r="D29" s="29" t="s">
        <v>260</v>
      </c>
      <c r="E29" s="19" t="s">
        <v>827</v>
      </c>
      <c r="F29" s="29" t="s">
        <v>26</v>
      </c>
      <c r="G29" s="19" t="s">
        <v>5495</v>
      </c>
      <c r="H29" s="29" t="s">
        <v>42</v>
      </c>
      <c r="I29" s="66" t="s">
        <v>5496</v>
      </c>
      <c r="J29" s="29" t="s">
        <v>30</v>
      </c>
      <c r="K29" s="29"/>
      <c r="L29" s="29" t="s">
        <v>322</v>
      </c>
      <c r="M29" s="29">
        <v>86080090</v>
      </c>
      <c r="N29" s="29">
        <v>1</v>
      </c>
      <c r="O29" s="29">
        <v>10</v>
      </c>
      <c r="P29" s="29"/>
      <c r="R29" s="9">
        <v>14757.1626484136</v>
      </c>
      <c r="T29" s="29" t="s">
        <v>4607</v>
      </c>
      <c r="U29" s="29"/>
    </row>
    <row r="30" spans="1:21" ht="14.1" customHeight="1">
      <c r="A30" s="29">
        <v>26</v>
      </c>
      <c r="B30" s="19" t="s">
        <v>5484</v>
      </c>
      <c r="C30" s="19" t="s">
        <v>424</v>
      </c>
      <c r="D30" s="29" t="s">
        <v>260</v>
      </c>
      <c r="E30" s="19" t="s">
        <v>827</v>
      </c>
      <c r="F30" s="29" t="s">
        <v>26</v>
      </c>
      <c r="G30" s="19" t="s">
        <v>5497</v>
      </c>
      <c r="H30" s="29" t="s">
        <v>42</v>
      </c>
      <c r="I30" s="66" t="s">
        <v>5498</v>
      </c>
      <c r="J30" s="29" t="s">
        <v>30</v>
      </c>
      <c r="K30" s="29"/>
      <c r="L30" s="29" t="s">
        <v>322</v>
      </c>
      <c r="M30" s="29">
        <v>86080090</v>
      </c>
      <c r="N30" s="29">
        <v>1</v>
      </c>
      <c r="O30" s="29">
        <v>10</v>
      </c>
      <c r="P30" s="29"/>
      <c r="R30" s="9">
        <v>8048.3317984773148</v>
      </c>
      <c r="T30" s="29" t="s">
        <v>4607</v>
      </c>
      <c r="U30" s="29"/>
    </row>
    <row r="31" spans="1:21" ht="14.1" customHeight="1">
      <c r="A31" s="29">
        <v>27</v>
      </c>
      <c r="B31" s="19" t="s">
        <v>5484</v>
      </c>
      <c r="C31" s="19" t="s">
        <v>424</v>
      </c>
      <c r="D31" s="29" t="s">
        <v>260</v>
      </c>
      <c r="E31" s="19" t="s">
        <v>827</v>
      </c>
      <c r="F31" s="29" t="s">
        <v>26</v>
      </c>
      <c r="G31" s="19" t="s">
        <v>5499</v>
      </c>
      <c r="H31" s="29" t="s">
        <v>42</v>
      </c>
      <c r="I31" s="66" t="s">
        <v>5500</v>
      </c>
      <c r="J31" s="29" t="s">
        <v>30</v>
      </c>
      <c r="K31" s="29"/>
      <c r="L31" s="29" t="s">
        <v>322</v>
      </c>
      <c r="M31" s="29">
        <v>86080090</v>
      </c>
      <c r="N31" s="29">
        <v>1</v>
      </c>
      <c r="O31" s="29">
        <v>10</v>
      </c>
      <c r="P31" s="29"/>
      <c r="R31" s="9">
        <v>12495.716571254439</v>
      </c>
      <c r="T31" s="29" t="s">
        <v>4607</v>
      </c>
      <c r="U31" s="29"/>
    </row>
    <row r="32" spans="1:21" ht="14.1" customHeight="1">
      <c r="A32" s="29">
        <v>28</v>
      </c>
      <c r="B32" s="19" t="s">
        <v>5484</v>
      </c>
      <c r="C32" s="19" t="s">
        <v>424</v>
      </c>
      <c r="D32" s="29" t="s">
        <v>260</v>
      </c>
      <c r="E32" s="19" t="s">
        <v>827</v>
      </c>
      <c r="F32" s="29" t="s">
        <v>26</v>
      </c>
      <c r="G32" s="19" t="s">
        <v>5501</v>
      </c>
      <c r="H32" s="29" t="s">
        <v>42</v>
      </c>
      <c r="I32" s="66" t="s">
        <v>5502</v>
      </c>
      <c r="J32" s="29" t="s">
        <v>30</v>
      </c>
      <c r="K32" s="29"/>
      <c r="L32" s="29" t="s">
        <v>322</v>
      </c>
      <c r="M32" s="29">
        <v>86080090</v>
      </c>
      <c r="N32" s="29">
        <v>1</v>
      </c>
      <c r="O32" s="29">
        <v>10</v>
      </c>
      <c r="P32" s="29"/>
      <c r="R32" s="9">
        <v>13348.38367730852</v>
      </c>
      <c r="T32" s="29" t="s">
        <v>4607</v>
      </c>
      <c r="U32" s="29"/>
    </row>
    <row r="33" spans="1:21" ht="14.1" customHeight="1">
      <c r="A33" s="29">
        <v>29</v>
      </c>
      <c r="B33" s="19" t="s">
        <v>5484</v>
      </c>
      <c r="C33" s="19" t="s">
        <v>424</v>
      </c>
      <c r="D33" s="29" t="s">
        <v>260</v>
      </c>
      <c r="E33" s="19" t="s">
        <v>827</v>
      </c>
      <c r="F33" s="29" t="s">
        <v>26</v>
      </c>
      <c r="G33" s="19" t="s">
        <v>5503</v>
      </c>
      <c r="H33" s="29" t="s">
        <v>42</v>
      </c>
      <c r="I33" s="66" t="s">
        <v>5504</v>
      </c>
      <c r="J33" s="29" t="s">
        <v>30</v>
      </c>
      <c r="K33" s="29"/>
      <c r="L33" s="29" t="s">
        <v>322</v>
      </c>
      <c r="M33" s="29">
        <v>86080090</v>
      </c>
      <c r="N33" s="29">
        <v>1</v>
      </c>
      <c r="O33" s="29">
        <v>10</v>
      </c>
      <c r="P33" s="29"/>
      <c r="R33" s="9">
        <v>23055.990185153871</v>
      </c>
      <c r="T33" s="29" t="s">
        <v>4607</v>
      </c>
      <c r="U33" s="29"/>
    </row>
    <row r="34" spans="1:21" ht="14.1" customHeight="1">
      <c r="A34" s="29">
        <v>30</v>
      </c>
      <c r="B34" s="19" t="s">
        <v>609</v>
      </c>
      <c r="C34" s="19" t="s">
        <v>424</v>
      </c>
      <c r="D34" s="29" t="s">
        <v>260</v>
      </c>
      <c r="E34" s="19" t="s">
        <v>827</v>
      </c>
      <c r="F34" s="29" t="s">
        <v>26</v>
      </c>
      <c r="G34" s="19" t="s">
        <v>5505</v>
      </c>
      <c r="H34" s="29" t="s">
        <v>42</v>
      </c>
      <c r="I34" s="66" t="s">
        <v>5506</v>
      </c>
      <c r="J34" s="29" t="s">
        <v>30</v>
      </c>
      <c r="K34" s="29"/>
      <c r="L34" s="29" t="s">
        <v>322</v>
      </c>
      <c r="M34" s="29">
        <v>86080090</v>
      </c>
      <c r="N34" s="29">
        <v>1</v>
      </c>
      <c r="O34" s="29">
        <v>10</v>
      </c>
      <c r="P34" s="29"/>
      <c r="R34" s="9">
        <v>12680.52088757654</v>
      </c>
      <c r="T34" s="29" t="s">
        <v>4607</v>
      </c>
      <c r="U34" s="29"/>
    </row>
    <row r="35" spans="1:21" ht="14.1" customHeight="1">
      <c r="A35" s="29">
        <v>31</v>
      </c>
      <c r="B35" s="19" t="s">
        <v>609</v>
      </c>
      <c r="C35" s="19" t="s">
        <v>424</v>
      </c>
      <c r="D35" s="29" t="s">
        <v>260</v>
      </c>
      <c r="E35" s="19" t="s">
        <v>827</v>
      </c>
      <c r="F35" s="29" t="s">
        <v>26</v>
      </c>
      <c r="G35" s="19" t="s">
        <v>5507</v>
      </c>
      <c r="H35" s="29" t="s">
        <v>42</v>
      </c>
      <c r="I35" s="66" t="s">
        <v>5508</v>
      </c>
      <c r="J35" s="29" t="s">
        <v>30</v>
      </c>
      <c r="K35" s="29"/>
      <c r="L35" s="29" t="s">
        <v>322</v>
      </c>
      <c r="M35" s="29">
        <v>86080090</v>
      </c>
      <c r="N35" s="29">
        <v>1</v>
      </c>
      <c r="O35" s="29">
        <v>10</v>
      </c>
      <c r="P35" s="29"/>
      <c r="R35" s="9">
        <v>12463.43716564557</v>
      </c>
      <c r="T35" s="29" t="s">
        <v>4607</v>
      </c>
      <c r="U35" s="29"/>
    </row>
    <row r="36" spans="1:21" s="339" customFormat="1" ht="14.1" customHeight="1">
      <c r="A36" s="308">
        <v>32</v>
      </c>
      <c r="B36" s="309" t="s">
        <v>609</v>
      </c>
      <c r="C36" s="309" t="s">
        <v>424</v>
      </c>
      <c r="D36" s="308" t="s">
        <v>260</v>
      </c>
      <c r="E36" s="309" t="s">
        <v>827</v>
      </c>
      <c r="F36" s="308" t="s">
        <v>26</v>
      </c>
      <c r="G36" s="309" t="s">
        <v>5509</v>
      </c>
      <c r="H36" s="308" t="s">
        <v>42</v>
      </c>
      <c r="I36" s="340" t="s">
        <v>5510</v>
      </c>
      <c r="J36" s="308" t="s">
        <v>30</v>
      </c>
      <c r="K36" s="308"/>
      <c r="L36" s="308" t="s">
        <v>322</v>
      </c>
      <c r="M36" s="308">
        <v>86080090</v>
      </c>
      <c r="N36" s="308">
        <v>1</v>
      </c>
      <c r="O36" s="308">
        <v>10</v>
      </c>
      <c r="P36" s="308"/>
      <c r="Q36" s="310"/>
      <c r="R36" s="319">
        <v>7322.1395565047515</v>
      </c>
      <c r="S36" s="310"/>
      <c r="T36" s="308" t="s">
        <v>4607</v>
      </c>
      <c r="U36" s="308"/>
    </row>
    <row r="37" spans="1:21" s="339" customFormat="1" ht="14.1" customHeight="1">
      <c r="A37" s="308">
        <v>33</v>
      </c>
      <c r="B37" s="309" t="s">
        <v>609</v>
      </c>
      <c r="C37" s="309" t="s">
        <v>424</v>
      </c>
      <c r="D37" s="308" t="s">
        <v>260</v>
      </c>
      <c r="E37" s="309" t="s">
        <v>827</v>
      </c>
      <c r="F37" s="308" t="s">
        <v>26</v>
      </c>
      <c r="G37" s="309" t="s">
        <v>5511</v>
      </c>
      <c r="H37" s="308" t="s">
        <v>42</v>
      </c>
      <c r="I37" s="340" t="s">
        <v>5512</v>
      </c>
      <c r="J37" s="308" t="s">
        <v>30</v>
      </c>
      <c r="K37" s="308"/>
      <c r="L37" s="308" t="s">
        <v>322</v>
      </c>
      <c r="M37" s="308">
        <v>86080090</v>
      </c>
      <c r="N37" s="308">
        <v>1</v>
      </c>
      <c r="O37" s="308">
        <v>10</v>
      </c>
      <c r="P37" s="308"/>
      <c r="Q37" s="310"/>
      <c r="R37" s="319">
        <v>10935.922837066941</v>
      </c>
      <c r="S37" s="310"/>
      <c r="T37" s="308" t="s">
        <v>4607</v>
      </c>
      <c r="U37" s="308"/>
    </row>
    <row r="38" spans="1:21" ht="14.1" customHeight="1"/>
    <row r="39" spans="1:21" ht="14.1" customHeight="1"/>
    <row r="40" spans="1:21" ht="14.1" customHeight="1"/>
    <row r="41" spans="1:21" ht="14.1" customHeight="1"/>
    <row r="42" spans="1:21" ht="14.1" customHeight="1"/>
    <row r="43" spans="1:21" ht="14.1" customHeight="1"/>
    <row r="44" spans="1:21" ht="14.1" customHeight="1"/>
    <row r="45" spans="1:21" ht="14.1" customHeight="1"/>
    <row r="46" spans="1:21" ht="14.1" customHeight="1"/>
    <row r="47" spans="1:21" ht="14.1" customHeight="1"/>
    <row r="48" spans="1:21" ht="14.1" customHeight="1"/>
    <row r="49" ht="14.1" customHeight="1"/>
    <row r="50" ht="14.1" customHeight="1"/>
    <row r="51" ht="14.1" customHeight="1"/>
    <row r="52" ht="14.1" customHeight="1"/>
    <row r="53" ht="14.1" customHeight="1"/>
    <row r="54" ht="14.1" customHeight="1"/>
    <row r="55" ht="14.1" customHeight="1"/>
    <row r="56" ht="14.1" customHeight="1"/>
    <row r="57" ht="14.1" customHeight="1"/>
    <row r="58" ht="14.1" customHeight="1"/>
    <row r="59" ht="14.1" customHeight="1"/>
    <row r="60" ht="14.1" customHeight="1"/>
    <row r="61" ht="14.1" customHeight="1"/>
    <row r="62" ht="14.1" customHeight="1"/>
    <row r="63" ht="14.1" customHeight="1"/>
    <row r="64" ht="14.1" customHeight="1"/>
    <row r="65" ht="14.1" customHeight="1"/>
    <row r="66" ht="14.1" customHeight="1"/>
    <row r="67" ht="14.1" customHeight="1"/>
    <row r="68" ht="14.1" customHeight="1"/>
    <row r="69" ht="14.1" customHeight="1"/>
    <row r="70" ht="14.1" customHeight="1"/>
    <row r="71" ht="14.1" customHeight="1"/>
    <row r="72" ht="14.1" customHeight="1"/>
    <row r="73" ht="14.1" customHeight="1"/>
    <row r="74" ht="14.1" customHeight="1"/>
    <row r="75" ht="14.1" customHeight="1"/>
    <row r="76" ht="14.1" customHeight="1"/>
    <row r="77" ht="14.1" customHeight="1"/>
    <row r="78" ht="14.1" customHeight="1"/>
    <row r="79" ht="14.1" customHeight="1"/>
    <row r="80" ht="14.1" customHeight="1"/>
    <row r="81" ht="14.1" customHeight="1"/>
    <row r="82" ht="14.1" customHeight="1"/>
    <row r="83" ht="14.1" customHeight="1"/>
    <row r="84" ht="14.1" customHeight="1"/>
    <row r="85" ht="14.1" customHeight="1"/>
    <row r="86" ht="14.1" customHeight="1"/>
    <row r="87" ht="14.1" customHeight="1"/>
    <row r="88" ht="14.1" customHeight="1"/>
    <row r="89" ht="14.1" customHeight="1"/>
    <row r="90" ht="14.1" customHeight="1"/>
    <row r="91" ht="14.1" customHeight="1"/>
    <row r="92" ht="14.1" customHeight="1"/>
    <row r="93" ht="14.1" customHeight="1"/>
    <row r="94" ht="14.1" customHeight="1"/>
    <row r="95" ht="14.1" customHeight="1"/>
    <row r="96" ht="14.1" customHeight="1"/>
    <row r="97" ht="14.1" customHeight="1"/>
    <row r="98" ht="14.1" customHeight="1"/>
    <row r="99" ht="14.1" customHeight="1"/>
    <row r="100" ht="14.1" customHeight="1"/>
    <row r="101" ht="14.1" customHeight="1"/>
    <row r="102" ht="14.1" customHeight="1"/>
    <row r="103" ht="14.1" customHeight="1"/>
    <row r="104" ht="14.1" customHeight="1"/>
    <row r="105" ht="14.1" customHeight="1"/>
    <row r="106" ht="14.1" customHeight="1"/>
    <row r="107" ht="14.1" customHeight="1"/>
    <row r="108" ht="14.1" customHeight="1"/>
    <row r="109" ht="14.1" customHeight="1"/>
    <row r="110" ht="14.1" customHeight="1"/>
    <row r="111" ht="14.1" customHeight="1"/>
    <row r="112" ht="14.1" customHeight="1"/>
    <row r="113" ht="14.1" customHeight="1"/>
    <row r="114" ht="14.1" customHeight="1"/>
    <row r="115" ht="14.1" customHeight="1"/>
    <row r="116" ht="14.1" customHeight="1"/>
    <row r="117" ht="14.1" customHeight="1"/>
    <row r="118" ht="14.1" customHeight="1"/>
    <row r="119" ht="14.1" customHeight="1"/>
    <row r="120" ht="14.1" customHeight="1"/>
    <row r="121" ht="14.1" customHeight="1"/>
    <row r="122" ht="14.1" customHeight="1"/>
    <row r="123" ht="14.1" customHeight="1"/>
    <row r="124" ht="14.1" customHeight="1"/>
    <row r="125" ht="14.1" customHeight="1"/>
    <row r="126" ht="14.1" customHeight="1"/>
    <row r="127" ht="14.1" customHeight="1"/>
    <row r="128" ht="14.1" customHeight="1"/>
    <row r="129" ht="14.1" customHeight="1"/>
    <row r="130" ht="14.1" customHeight="1"/>
    <row r="131" ht="14.1" customHeight="1"/>
    <row r="132" ht="14.1" customHeight="1"/>
    <row r="133" ht="14.1" customHeight="1"/>
    <row r="134" ht="14.1" customHeight="1"/>
    <row r="135" ht="14.1" customHeight="1"/>
    <row r="136" ht="14.1" customHeight="1"/>
    <row r="137" ht="14.1" customHeight="1"/>
    <row r="138" ht="14.1" customHeight="1"/>
    <row r="139" ht="14.1" customHeight="1"/>
    <row r="140" ht="14.1" customHeight="1"/>
    <row r="141" ht="14.1" customHeight="1"/>
    <row r="142" ht="14.1" customHeight="1"/>
    <row r="143" ht="14.1" customHeight="1"/>
    <row r="144" ht="14.1" customHeight="1"/>
    <row r="145" ht="14.1" customHeight="1"/>
    <row r="146" ht="14.1" customHeight="1"/>
    <row r="147" ht="14.1" customHeight="1"/>
    <row r="148" ht="14.1" customHeight="1"/>
    <row r="149" ht="14.1" customHeight="1"/>
    <row r="150" ht="14.1" customHeight="1"/>
    <row r="151" ht="14.1" customHeight="1"/>
    <row r="152" ht="14.1" customHeight="1"/>
    <row r="153" ht="14.1" customHeight="1"/>
    <row r="154" ht="14.1" customHeight="1"/>
    <row r="155" ht="14.1" customHeight="1"/>
    <row r="156" ht="14.1" customHeight="1"/>
    <row r="157" ht="14.1" customHeight="1"/>
    <row r="158" ht="14.1" customHeight="1"/>
    <row r="159" ht="14.1" customHeight="1"/>
    <row r="160" ht="14.1" customHeight="1"/>
    <row r="161" ht="14.1" customHeight="1"/>
    <row r="162" ht="14.1" customHeight="1"/>
    <row r="163" ht="14.1" customHeight="1"/>
    <row r="164" ht="14.1" customHeight="1"/>
    <row r="165" ht="14.1" customHeight="1"/>
    <row r="166" ht="14.1" customHeight="1"/>
    <row r="167" ht="14.1" customHeight="1"/>
    <row r="168" ht="14.1" customHeight="1"/>
    <row r="169" ht="14.1" customHeight="1"/>
    <row r="170" ht="14.1" customHeight="1"/>
    <row r="171" ht="14.1" customHeight="1"/>
    <row r="172" ht="14.1" customHeight="1"/>
    <row r="173" ht="14.1" customHeight="1"/>
    <row r="174" ht="14.1" customHeight="1"/>
    <row r="175" ht="14.1" customHeight="1"/>
    <row r="176" ht="14.1" customHeight="1"/>
    <row r="177" ht="14.1" customHeight="1"/>
    <row r="178" ht="14.1" customHeight="1"/>
    <row r="179" ht="14.1" customHeight="1"/>
    <row r="180" ht="14.1" customHeight="1"/>
    <row r="181" ht="14.1" customHeight="1"/>
    <row r="182" ht="14.1" customHeight="1"/>
    <row r="183" ht="14.1" customHeight="1"/>
    <row r="184" ht="14.1" customHeight="1"/>
    <row r="185" ht="14.1" customHeight="1"/>
    <row r="186" ht="14.1" customHeight="1"/>
    <row r="187" ht="14.1" customHeight="1"/>
    <row r="188" ht="14.1" customHeight="1"/>
    <row r="189" ht="14.1" customHeight="1"/>
    <row r="190" ht="14.1" customHeight="1"/>
    <row r="191" ht="14.1" customHeight="1"/>
    <row r="192" ht="14.1" customHeight="1"/>
    <row r="193" ht="14.1" customHeight="1"/>
    <row r="194" ht="14.1" customHeight="1"/>
    <row r="195" ht="14.1" customHeight="1"/>
    <row r="196" ht="14.1" customHeight="1"/>
    <row r="197" ht="14.1" customHeight="1"/>
    <row r="198" ht="14.1" customHeight="1"/>
    <row r="199" ht="14.1" customHeight="1"/>
    <row r="200" ht="14.1" customHeight="1"/>
    <row r="201" ht="14.1" customHeight="1"/>
    <row r="202" ht="14.1" customHeight="1"/>
    <row r="203" ht="14.1" customHeight="1"/>
    <row r="204" ht="14.1" customHeight="1"/>
    <row r="205" ht="14.1" customHeight="1"/>
    <row r="206" ht="14.1" customHeight="1"/>
    <row r="207" ht="14.1" customHeight="1"/>
    <row r="208" ht="14.1" customHeight="1"/>
    <row r="209" ht="14.1" customHeight="1"/>
    <row r="210" ht="14.1" customHeight="1"/>
    <row r="211" ht="14.1" customHeight="1"/>
    <row r="212" ht="14.1" customHeight="1"/>
    <row r="213" ht="14.1" customHeight="1"/>
    <row r="214" ht="14.1" customHeight="1"/>
    <row r="215" ht="14.1" customHeight="1"/>
    <row r="216" ht="14.1" customHeight="1"/>
    <row r="217" ht="14.1" customHeight="1"/>
    <row r="218" ht="14.1" customHeight="1"/>
    <row r="219" ht="14.1" customHeight="1"/>
    <row r="220" ht="14.1" customHeight="1"/>
    <row r="221" ht="14.1" customHeight="1"/>
    <row r="222" ht="14.1" customHeight="1"/>
    <row r="223" ht="14.1" customHeight="1"/>
    <row r="224" ht="14.1" customHeight="1"/>
    <row r="225" ht="14.1" customHeight="1"/>
    <row r="226" ht="14.1" customHeight="1"/>
    <row r="227" ht="14.1" customHeight="1"/>
    <row r="228" ht="14.1" customHeight="1"/>
    <row r="229" ht="14.1" customHeight="1"/>
    <row r="230" ht="14.1" customHeight="1"/>
    <row r="231" ht="14.1" customHeight="1"/>
    <row r="232" ht="14.1" customHeight="1"/>
    <row r="233" ht="14.1" customHeight="1"/>
    <row r="234" ht="14.1" customHeight="1"/>
    <row r="235" ht="14.1" customHeight="1"/>
    <row r="236" ht="14.1" customHeight="1"/>
    <row r="237" ht="14.1" customHeight="1"/>
    <row r="238" ht="14.1" customHeight="1"/>
    <row r="239" ht="14.1" customHeight="1"/>
    <row r="240" ht="14.1" customHeight="1"/>
    <row r="241" ht="14.1" customHeight="1"/>
    <row r="242" ht="14.1" customHeight="1"/>
    <row r="243" ht="14.1" customHeight="1"/>
    <row r="244" ht="14.1" customHeight="1"/>
    <row r="245" ht="14.1" customHeight="1"/>
    <row r="246" ht="14.1" customHeight="1"/>
    <row r="247" ht="14.1" customHeight="1"/>
    <row r="248" ht="14.1" customHeight="1"/>
    <row r="249" ht="14.1" customHeight="1"/>
    <row r="250" ht="14.1" customHeight="1"/>
    <row r="251" ht="14.1" customHeight="1"/>
    <row r="252" ht="14.1" customHeight="1"/>
    <row r="253" ht="14.1" customHeight="1"/>
    <row r="254" ht="14.1" customHeight="1"/>
    <row r="255" ht="14.1" customHeight="1"/>
    <row r="256" ht="14.1" customHeight="1"/>
    <row r="257" ht="14.1" customHeight="1"/>
    <row r="258" ht="14.1" customHeight="1"/>
    <row r="259" ht="14.1" customHeight="1"/>
    <row r="260" ht="14.1" customHeight="1"/>
    <row r="261" ht="14.1" customHeight="1"/>
    <row r="262" ht="14.1" customHeight="1"/>
    <row r="263" ht="14.1" customHeight="1"/>
    <row r="264" ht="14.1" customHeight="1"/>
    <row r="265" ht="14.1" customHeight="1"/>
    <row r="266" ht="14.1" customHeight="1"/>
    <row r="267" ht="14.1" customHeight="1"/>
    <row r="268" ht="14.1" customHeight="1"/>
    <row r="269" ht="14.1" customHeight="1"/>
    <row r="270" ht="14.1" customHeight="1"/>
    <row r="271" ht="14.1" customHeight="1"/>
    <row r="272" ht="14.1" customHeight="1"/>
    <row r="273" ht="14.1" customHeight="1"/>
    <row r="274" ht="14.1" customHeight="1"/>
    <row r="275" ht="14.1" customHeight="1"/>
    <row r="276" ht="14.1" customHeight="1"/>
    <row r="277" ht="14.1" customHeight="1"/>
    <row r="278" ht="14.1" customHeight="1"/>
    <row r="279" ht="14.1" customHeight="1"/>
    <row r="280" ht="14.1" customHeight="1"/>
    <row r="281" ht="14.1" customHeight="1"/>
    <row r="282" ht="14.1" customHeight="1"/>
    <row r="283" ht="14.1" customHeight="1"/>
    <row r="284" ht="14.1" customHeight="1"/>
    <row r="285" ht="14.1" customHeight="1"/>
    <row r="286" ht="14.1" customHeight="1"/>
    <row r="287" ht="14.1" customHeight="1"/>
    <row r="288" ht="14.1" customHeight="1"/>
    <row r="289" ht="14.1" customHeight="1"/>
    <row r="290" ht="14.1" customHeight="1"/>
    <row r="291" ht="14.1" customHeight="1"/>
    <row r="292" ht="14.1" customHeight="1"/>
    <row r="293" ht="14.1" customHeight="1"/>
    <row r="294" ht="14.1" customHeight="1"/>
    <row r="295" ht="14.1" customHeight="1"/>
    <row r="296" ht="14.1" customHeight="1"/>
    <row r="297" ht="14.1" customHeight="1"/>
    <row r="298" ht="14.1" customHeight="1"/>
    <row r="299" ht="14.1" customHeight="1"/>
    <row r="300" ht="14.1" customHeight="1"/>
    <row r="301" ht="14.1" customHeight="1"/>
    <row r="302" ht="14.1" customHeight="1"/>
    <row r="303" ht="14.1" customHeight="1"/>
    <row r="304" ht="14.1" customHeight="1"/>
    <row r="305" ht="14.1" customHeight="1"/>
    <row r="306" ht="14.1" customHeight="1"/>
    <row r="307" ht="14.1" customHeight="1"/>
    <row r="308" ht="14.1" customHeight="1"/>
    <row r="309" ht="14.1" customHeight="1"/>
    <row r="310" ht="14.1" customHeight="1"/>
    <row r="311" ht="14.1" customHeight="1"/>
    <row r="312" ht="14.1" customHeight="1"/>
    <row r="313" ht="14.1" customHeight="1"/>
    <row r="314" ht="14.1" customHeight="1"/>
    <row r="315" ht="14.1" customHeight="1"/>
    <row r="316" ht="14.1" customHeight="1"/>
    <row r="317" ht="14.1" customHeight="1"/>
    <row r="318" ht="14.1" customHeight="1"/>
    <row r="319" ht="14.1" customHeight="1"/>
    <row r="320" ht="14.1" customHeight="1"/>
    <row r="321" ht="14.1" customHeight="1"/>
    <row r="322" ht="14.1" customHeight="1"/>
    <row r="323" ht="14.1" customHeight="1"/>
    <row r="324" ht="14.1" customHeight="1"/>
    <row r="325" ht="14.1" customHeight="1"/>
    <row r="326" ht="14.1" customHeight="1"/>
    <row r="327" ht="14.1" customHeight="1"/>
    <row r="328" ht="14.1" customHeight="1"/>
    <row r="329" ht="14.1" customHeight="1"/>
    <row r="330" ht="14.1" customHeight="1"/>
    <row r="331" ht="14.1" customHeight="1"/>
    <row r="332" ht="14.1" customHeight="1"/>
    <row r="333" ht="14.1" customHeight="1"/>
    <row r="334" ht="14.1" customHeight="1"/>
    <row r="335" ht="14.1" customHeight="1"/>
    <row r="336" ht="14.1" customHeight="1"/>
    <row r="337" ht="14.1" customHeight="1"/>
    <row r="338" ht="14.1" customHeight="1"/>
    <row r="339" ht="14.1" customHeight="1"/>
    <row r="340" ht="14.1" customHeight="1"/>
    <row r="341" ht="14.1" customHeight="1"/>
    <row r="342" ht="14.1" customHeight="1"/>
    <row r="343" ht="14.1" customHeight="1"/>
    <row r="344" ht="14.1" customHeight="1"/>
    <row r="345" ht="14.1" customHeight="1"/>
    <row r="346" ht="14.1" customHeight="1"/>
    <row r="347" ht="14.1" customHeight="1"/>
    <row r="348" ht="14.1" customHeight="1"/>
    <row r="349" ht="14.1" customHeight="1"/>
    <row r="350" ht="14.1" customHeight="1"/>
    <row r="351" ht="14.1" customHeight="1"/>
    <row r="352" ht="14.1" customHeight="1"/>
    <row r="353" ht="14.1" customHeight="1"/>
    <row r="354" ht="14.1" customHeight="1"/>
    <row r="355" ht="14.1" customHeight="1"/>
    <row r="356" ht="14.1" customHeight="1"/>
    <row r="357" ht="14.1" customHeight="1"/>
    <row r="358" ht="14.1" customHeight="1"/>
    <row r="359" ht="14.1" customHeight="1"/>
    <row r="360" ht="14.1" customHeight="1"/>
    <row r="361" ht="14.1" customHeight="1"/>
    <row r="362" ht="14.1" customHeight="1"/>
    <row r="363" ht="14.1" customHeight="1"/>
    <row r="364" ht="14.1" customHeight="1"/>
    <row r="365" ht="14.1" customHeight="1"/>
    <row r="366" ht="14.1" customHeight="1"/>
    <row r="367" ht="14.1" customHeight="1"/>
    <row r="368" ht="14.1" customHeight="1"/>
    <row r="369" ht="14.1" customHeight="1"/>
    <row r="370" ht="14.1" customHeight="1"/>
    <row r="371" ht="14.1" customHeight="1"/>
    <row r="372" ht="14.1" customHeight="1"/>
    <row r="373" ht="14.1" customHeight="1"/>
    <row r="374" ht="14.1" customHeight="1"/>
    <row r="375" ht="14.1" customHeight="1"/>
    <row r="376" ht="14.1" customHeight="1"/>
    <row r="377" ht="14.1" customHeight="1"/>
    <row r="378" ht="14.1" customHeight="1"/>
    <row r="379" ht="14.1" customHeight="1"/>
    <row r="380" ht="14.1" customHeight="1"/>
    <row r="381" ht="14.1" customHeight="1"/>
    <row r="382" ht="14.1" customHeight="1"/>
    <row r="383" ht="14.1" customHeight="1"/>
    <row r="384" ht="14.1" customHeight="1"/>
    <row r="385" ht="14.1" customHeight="1"/>
    <row r="386" ht="14.1" customHeight="1"/>
    <row r="387" ht="14.1" customHeight="1"/>
    <row r="388" ht="14.1" customHeight="1"/>
    <row r="389" ht="14.1" customHeight="1"/>
    <row r="390" ht="14.1" customHeight="1"/>
    <row r="391" ht="14.1" customHeight="1"/>
    <row r="392" ht="14.1" customHeight="1"/>
    <row r="393" ht="14.1" customHeight="1"/>
    <row r="394" ht="14.1" customHeight="1"/>
    <row r="395" ht="14.1" customHeight="1"/>
    <row r="396" ht="14.1" customHeight="1"/>
    <row r="397" ht="14.1" customHeight="1"/>
    <row r="398" ht="14.1" customHeight="1"/>
    <row r="399" ht="14.1" customHeight="1"/>
    <row r="400" ht="14.1" customHeight="1"/>
    <row r="401" ht="14.1" customHeight="1"/>
    <row r="402" ht="14.1" customHeight="1"/>
    <row r="403" ht="14.1" customHeight="1"/>
    <row r="404" ht="14.1" customHeight="1"/>
    <row r="405" ht="14.1" customHeight="1"/>
    <row r="406" ht="14.1" customHeight="1"/>
    <row r="407" ht="14.1" customHeight="1"/>
    <row r="408" ht="14.1" customHeight="1"/>
    <row r="409" ht="14.1" customHeight="1"/>
    <row r="410" ht="14.1" customHeight="1"/>
    <row r="411" ht="14.1" customHeight="1"/>
    <row r="412" ht="14.1" customHeight="1"/>
    <row r="413" ht="14.1" customHeight="1"/>
    <row r="414" ht="14.1" customHeight="1"/>
    <row r="415" ht="14.1" customHeight="1"/>
    <row r="416" ht="14.1" customHeight="1"/>
    <row r="417" ht="14.1" customHeight="1"/>
    <row r="418" ht="14.1" customHeight="1"/>
    <row r="419" ht="14.1" customHeight="1"/>
    <row r="420" ht="14.1" customHeight="1"/>
    <row r="421" ht="14.1" customHeight="1"/>
    <row r="422" ht="14.1" customHeight="1"/>
    <row r="423" ht="14.1" customHeight="1"/>
    <row r="424" ht="14.1" customHeight="1"/>
    <row r="425" ht="14.1" customHeight="1"/>
    <row r="426" ht="14.1" customHeight="1"/>
    <row r="427" ht="14.1" customHeight="1"/>
    <row r="428" ht="14.1" customHeight="1"/>
    <row r="429" ht="14.1" customHeight="1"/>
    <row r="430" ht="14.1" customHeight="1"/>
    <row r="431" ht="14.1" customHeight="1"/>
    <row r="432" ht="14.1" customHeight="1"/>
    <row r="433" ht="14.1" customHeight="1"/>
    <row r="434" ht="14.1" customHeight="1"/>
    <row r="435" ht="14.1" customHeight="1"/>
    <row r="436" ht="14.1" customHeight="1"/>
    <row r="437" ht="14.1" customHeight="1"/>
    <row r="438" ht="14.1" customHeight="1"/>
    <row r="439" ht="14.1" customHeight="1"/>
    <row r="440" ht="14.1" customHeight="1"/>
    <row r="441" ht="14.1" customHeight="1"/>
    <row r="442" ht="14.1" customHeight="1"/>
    <row r="443" ht="14.1" customHeight="1"/>
    <row r="444" ht="14.1" customHeight="1"/>
    <row r="445" ht="14.1" customHeight="1"/>
    <row r="446" ht="14.1" customHeight="1"/>
    <row r="447" ht="14.1" customHeight="1"/>
    <row r="448" ht="14.1" customHeight="1"/>
    <row r="449" ht="14.1" customHeight="1"/>
    <row r="450" ht="14.1" customHeight="1"/>
    <row r="451" ht="14.1" customHeight="1"/>
    <row r="452" ht="14.1" customHeight="1"/>
    <row r="453" ht="14.1" customHeight="1"/>
    <row r="454" ht="14.1" customHeight="1"/>
    <row r="455" ht="14.1" customHeight="1"/>
    <row r="456" ht="14.1" customHeight="1"/>
    <row r="457" ht="14.1" customHeight="1"/>
    <row r="458" ht="14.1" customHeight="1"/>
    <row r="459" ht="14.1" customHeight="1"/>
    <row r="460" ht="14.1" customHeight="1"/>
    <row r="461" ht="14.1" customHeight="1"/>
    <row r="462" ht="14.1" customHeight="1"/>
    <row r="463" ht="14.1" customHeight="1"/>
    <row r="464" ht="14.1" customHeight="1"/>
    <row r="465" ht="14.1" customHeight="1"/>
    <row r="466" ht="14.1" customHeight="1"/>
    <row r="467" ht="14.1" customHeight="1"/>
    <row r="468" ht="14.1" customHeight="1"/>
    <row r="469" ht="14.1" customHeight="1"/>
    <row r="470" ht="14.1" customHeight="1"/>
    <row r="471" ht="14.1" customHeight="1"/>
    <row r="472" ht="14.1" customHeight="1"/>
    <row r="473" ht="14.1" customHeight="1"/>
    <row r="474" ht="14.1" customHeight="1"/>
    <row r="475" ht="14.1" customHeight="1"/>
    <row r="476" ht="14.1" customHeight="1"/>
    <row r="477" ht="14.1" customHeight="1"/>
    <row r="478" ht="14.1" customHeight="1"/>
    <row r="479" ht="14.1" customHeight="1"/>
    <row r="480" ht="14.1" customHeight="1"/>
    <row r="481" ht="14.1" customHeight="1"/>
    <row r="482" ht="14.1" customHeight="1"/>
    <row r="483" ht="14.1" customHeight="1"/>
    <row r="484" ht="14.1" customHeight="1"/>
    <row r="485" ht="14.1" customHeight="1"/>
    <row r="486" ht="14.1" customHeight="1"/>
    <row r="487" ht="14.1" customHeight="1"/>
    <row r="488" ht="14.1" customHeight="1"/>
    <row r="489" ht="14.1" customHeight="1"/>
    <row r="490" ht="14.1" customHeight="1"/>
    <row r="491" ht="14.1" customHeight="1"/>
    <row r="492" ht="14.1" customHeight="1"/>
    <row r="493" ht="14.1" customHeight="1"/>
    <row r="494" ht="14.1" customHeight="1"/>
    <row r="495" ht="14.1" customHeight="1"/>
    <row r="496" ht="14.1" customHeight="1"/>
    <row r="497" ht="14.1" customHeight="1"/>
    <row r="498" ht="14.1" customHeight="1"/>
    <row r="499" ht="14.1" customHeight="1"/>
    <row r="500" ht="14.1" customHeight="1"/>
    <row r="501" ht="14.1" customHeight="1"/>
    <row r="502" ht="14.1" customHeight="1"/>
    <row r="503" ht="14.1" customHeight="1"/>
    <row r="504" ht="14.1" customHeight="1"/>
    <row r="505" ht="14.1" customHeight="1"/>
    <row r="506" ht="14.1" customHeight="1"/>
    <row r="507" ht="14.1" customHeight="1"/>
    <row r="508" ht="14.1" customHeight="1"/>
    <row r="509" ht="14.1" customHeight="1"/>
    <row r="510" ht="14.1" customHeight="1"/>
    <row r="511" ht="14.1" customHeight="1"/>
    <row r="512" ht="14.1" customHeight="1"/>
    <row r="513" ht="14.1" customHeight="1"/>
    <row r="514" ht="14.1" customHeight="1"/>
    <row r="515" ht="14.1" customHeight="1"/>
    <row r="516" ht="14.1" customHeight="1"/>
    <row r="517" ht="14.1" customHeight="1"/>
    <row r="518" ht="14.1" customHeight="1"/>
    <row r="519" ht="14.1" customHeight="1"/>
    <row r="520" ht="14.1" customHeight="1"/>
    <row r="521" ht="14.1" customHeight="1"/>
    <row r="522" ht="14.1" customHeight="1"/>
    <row r="523" ht="14.1" customHeight="1"/>
    <row r="524" ht="14.1" customHeight="1"/>
    <row r="525" ht="14.1" customHeight="1"/>
    <row r="526" ht="14.1" customHeight="1"/>
    <row r="527" ht="14.1" customHeight="1"/>
    <row r="528" ht="14.1" customHeight="1"/>
    <row r="529" ht="14.1" customHeight="1"/>
    <row r="530" ht="14.1" customHeight="1"/>
    <row r="531" ht="14.1" customHeight="1"/>
    <row r="532" ht="14.1" customHeight="1"/>
    <row r="533" ht="14.1" customHeight="1"/>
    <row r="534" ht="14.1" customHeight="1"/>
    <row r="535" ht="14.1" customHeight="1"/>
    <row r="536" ht="14.1" customHeight="1"/>
    <row r="537" ht="14.1" customHeight="1"/>
    <row r="538" ht="14.1" customHeight="1"/>
    <row r="539" ht="14.1" customHeight="1"/>
    <row r="540" ht="14.1" customHeight="1"/>
    <row r="541" ht="14.1" customHeight="1"/>
    <row r="542" ht="14.1" customHeight="1"/>
    <row r="543" ht="14.1" customHeight="1"/>
    <row r="544" ht="14.1" customHeight="1"/>
    <row r="545" ht="14.1" customHeight="1"/>
    <row r="546" ht="14.1" customHeight="1"/>
    <row r="547" ht="14.1" customHeight="1"/>
    <row r="548" ht="14.1" customHeight="1"/>
    <row r="549" ht="14.1" customHeight="1"/>
    <row r="550" ht="14.1" customHeight="1"/>
    <row r="551" ht="14.1" customHeight="1"/>
    <row r="552" ht="14.1" customHeight="1"/>
    <row r="553" ht="14.1" customHeight="1"/>
    <row r="554" ht="14.1" customHeight="1"/>
    <row r="555" ht="14.1" customHeight="1"/>
    <row r="556" ht="14.1" customHeight="1"/>
    <row r="557" ht="14.1" customHeight="1"/>
    <row r="558" ht="14.1" customHeight="1"/>
    <row r="559" ht="14.1" customHeight="1"/>
    <row r="560" ht="14.1" customHeight="1"/>
    <row r="561" ht="14.1" customHeight="1"/>
    <row r="562" ht="14.1" customHeight="1"/>
    <row r="563" ht="14.1" customHeight="1"/>
    <row r="564" ht="14.1" customHeight="1"/>
    <row r="565" ht="14.1" customHeight="1"/>
    <row r="566" ht="14.1" customHeight="1"/>
    <row r="567" ht="14.1" customHeight="1"/>
    <row r="568" ht="14.1" customHeight="1"/>
    <row r="569" ht="14.1" customHeight="1"/>
    <row r="570" ht="14.1" customHeight="1"/>
    <row r="571" ht="14.1" customHeight="1"/>
    <row r="572" ht="14.1" customHeight="1"/>
    <row r="573" ht="14.1" customHeight="1"/>
    <row r="574" ht="14.1" customHeight="1"/>
    <row r="575" ht="14.1" customHeight="1"/>
    <row r="576" ht="14.1" customHeight="1"/>
    <row r="577" ht="14.1" customHeight="1"/>
    <row r="578" ht="14.1" customHeight="1"/>
    <row r="579" ht="14.1" customHeight="1"/>
    <row r="580" ht="14.1" customHeight="1"/>
    <row r="581" ht="14.1" customHeight="1"/>
    <row r="582" ht="14.1" customHeight="1"/>
    <row r="583" ht="14.1" customHeight="1"/>
    <row r="584" ht="14.1" customHeight="1"/>
    <row r="585" ht="14.1" customHeight="1"/>
    <row r="586" ht="14.1" customHeight="1"/>
    <row r="587" ht="14.1" customHeight="1"/>
    <row r="588" ht="14.1" customHeight="1"/>
    <row r="589" ht="14.1" customHeight="1"/>
    <row r="590" ht="14.1" customHeight="1"/>
    <row r="591" ht="14.1" customHeight="1"/>
    <row r="592" ht="14.1" customHeight="1"/>
    <row r="593" ht="14.1" customHeight="1"/>
    <row r="594" ht="14.1" customHeight="1"/>
    <row r="595" ht="14.1" customHeight="1"/>
    <row r="596" ht="14.1" customHeight="1"/>
    <row r="597" ht="14.1" customHeight="1"/>
    <row r="598" ht="14.1" customHeight="1"/>
    <row r="599" ht="14.1" customHeight="1"/>
    <row r="600" ht="14.1" customHeight="1"/>
    <row r="601" ht="14.1" customHeight="1"/>
    <row r="602" ht="14.1" customHeight="1"/>
    <row r="603" ht="14.1" customHeight="1"/>
    <row r="604" ht="14.1" customHeight="1"/>
    <row r="605" ht="14.1" customHeight="1"/>
    <row r="606" ht="14.1" customHeight="1"/>
    <row r="607" ht="14.1" customHeight="1"/>
    <row r="608" ht="14.1" customHeight="1"/>
    <row r="609" ht="14.1" customHeight="1"/>
    <row r="610" ht="14.1" customHeight="1"/>
    <row r="611" ht="14.1" customHeight="1"/>
    <row r="612" ht="14.1" customHeight="1"/>
    <row r="613" ht="14.1" customHeight="1"/>
    <row r="614" ht="14.1" customHeight="1"/>
    <row r="615" ht="14.1" customHeight="1"/>
    <row r="616" ht="14.1" customHeight="1"/>
    <row r="617" ht="14.1" customHeight="1"/>
    <row r="618" ht="14.1" customHeight="1"/>
    <row r="619" ht="14.1" customHeight="1"/>
    <row r="620" ht="14.1" customHeight="1"/>
    <row r="621" ht="14.1" customHeight="1"/>
    <row r="622" ht="14.1" customHeight="1"/>
    <row r="623" ht="14.1" customHeight="1"/>
    <row r="624" ht="14.1" customHeight="1"/>
    <row r="625" ht="14.1" customHeight="1"/>
    <row r="626" ht="14.1" customHeight="1"/>
    <row r="627" ht="14.1" customHeight="1"/>
    <row r="628" ht="14.1" customHeight="1"/>
    <row r="629" ht="14.1" customHeight="1"/>
    <row r="630" ht="14.1" customHeight="1"/>
    <row r="631" ht="14.1" customHeight="1"/>
    <row r="632" ht="14.1" customHeight="1"/>
    <row r="633" ht="14.1" customHeight="1"/>
    <row r="634" ht="14.1" customHeight="1"/>
    <row r="635" ht="14.1" customHeight="1"/>
    <row r="636" ht="14.1" customHeight="1"/>
    <row r="637" ht="14.1" customHeight="1"/>
    <row r="638" ht="14.1" customHeight="1"/>
    <row r="639" ht="14.1" customHeight="1"/>
    <row r="640" ht="14.1" customHeight="1"/>
    <row r="641" ht="14.1" customHeight="1"/>
    <row r="642" ht="14.1" customHeight="1"/>
    <row r="643" ht="14.1" customHeight="1"/>
    <row r="644" ht="14.1" customHeight="1"/>
    <row r="645" ht="14.1" customHeight="1"/>
    <row r="646" ht="14.1" customHeight="1"/>
    <row r="647" ht="14.1" customHeight="1"/>
    <row r="648" ht="14.1" customHeight="1"/>
    <row r="649" ht="14.1" customHeight="1"/>
    <row r="650" ht="14.1" customHeight="1"/>
    <row r="651" ht="14.1" customHeight="1"/>
    <row r="652" ht="14.1" customHeight="1"/>
    <row r="653" ht="14.1" customHeight="1"/>
    <row r="654" ht="14.1" customHeight="1"/>
    <row r="655" ht="14.1" customHeight="1"/>
    <row r="656" ht="14.1" customHeight="1"/>
    <row r="657" ht="14.1" customHeight="1"/>
    <row r="658" ht="14.1" customHeight="1"/>
    <row r="659" ht="14.1" customHeight="1"/>
    <row r="660" ht="14.1" customHeight="1"/>
    <row r="661" ht="14.1" customHeight="1"/>
    <row r="662" ht="14.1" customHeight="1"/>
    <row r="663" ht="14.1" customHeight="1"/>
    <row r="664" ht="14.1" customHeight="1"/>
    <row r="665" ht="14.1" customHeight="1"/>
    <row r="666" ht="14.1" customHeight="1"/>
    <row r="667" ht="14.1" customHeight="1"/>
    <row r="668" ht="14.1" customHeight="1"/>
    <row r="669" ht="14.1" customHeight="1"/>
    <row r="670" ht="14.1" customHeight="1"/>
    <row r="671" ht="14.1" customHeight="1"/>
    <row r="672" ht="14.1" customHeight="1"/>
    <row r="673" ht="14.1" customHeight="1"/>
    <row r="674" ht="14.1" customHeight="1"/>
    <row r="675" ht="14.1" customHeight="1"/>
    <row r="676" ht="14.1" customHeight="1"/>
    <row r="677" ht="14.1" customHeight="1"/>
    <row r="678" ht="14.1" customHeight="1"/>
    <row r="679" ht="14.1" customHeight="1"/>
    <row r="680" ht="14.1" customHeight="1"/>
    <row r="681" ht="14.1" customHeight="1"/>
    <row r="682" ht="14.1" customHeight="1"/>
    <row r="683" ht="14.1" customHeight="1"/>
    <row r="684" ht="14.1" customHeight="1"/>
    <row r="685" ht="14.1" customHeight="1"/>
    <row r="686" ht="14.1" customHeight="1"/>
    <row r="687" ht="14.1" customHeight="1"/>
    <row r="688" ht="14.1" customHeight="1"/>
    <row r="689" ht="14.1" customHeight="1"/>
    <row r="690" ht="14.1" customHeight="1"/>
    <row r="691" ht="14.1" customHeight="1"/>
    <row r="692" ht="14.1" customHeight="1"/>
    <row r="693" ht="14.1" customHeight="1"/>
    <row r="694" ht="14.1" customHeight="1"/>
    <row r="695" ht="14.1" customHeight="1"/>
    <row r="696" ht="14.1" customHeight="1"/>
    <row r="697" ht="14.1" customHeight="1"/>
    <row r="698" ht="14.1" customHeight="1"/>
    <row r="699" ht="14.1" customHeight="1"/>
    <row r="700" ht="14.1" customHeight="1"/>
    <row r="701" ht="14.1" customHeight="1"/>
    <row r="702" ht="14.1" customHeight="1"/>
    <row r="703" ht="14.1" customHeight="1"/>
    <row r="704" ht="14.1" customHeight="1"/>
    <row r="705" ht="14.1" customHeight="1"/>
    <row r="706" ht="14.1" customHeight="1"/>
    <row r="707" ht="14.1" customHeight="1"/>
    <row r="708" ht="14.1" customHeight="1"/>
    <row r="709" ht="14.1" customHeight="1"/>
    <row r="710" ht="14.1" customHeight="1"/>
    <row r="711" ht="14.1" customHeight="1"/>
    <row r="712" ht="14.1" customHeight="1"/>
    <row r="713" ht="14.1" customHeight="1"/>
    <row r="714" ht="14.1" customHeight="1"/>
    <row r="715" ht="14.1" customHeight="1"/>
    <row r="716" ht="14.1" customHeight="1"/>
    <row r="717" ht="14.1" customHeight="1"/>
    <row r="718" ht="14.1" customHeight="1"/>
    <row r="719" ht="14.1" customHeight="1"/>
    <row r="720" ht="14.1" customHeight="1"/>
    <row r="721" ht="14.1" customHeight="1"/>
    <row r="722" ht="14.1" customHeight="1"/>
    <row r="723" ht="14.1" customHeight="1"/>
    <row r="724" ht="14.1" customHeight="1"/>
    <row r="725" ht="14.1" customHeight="1"/>
    <row r="726" ht="14.1" customHeight="1"/>
    <row r="727" ht="14.1" customHeight="1"/>
    <row r="728" ht="14.1" customHeight="1"/>
    <row r="729" ht="14.1" customHeight="1"/>
    <row r="730" ht="14.1" customHeight="1"/>
    <row r="731" ht="14.1" customHeight="1"/>
    <row r="732" ht="14.1" customHeight="1"/>
    <row r="733" ht="14.1" customHeight="1"/>
    <row r="734" ht="14.1" customHeight="1"/>
    <row r="735" ht="14.1" customHeight="1"/>
    <row r="736" ht="14.1" customHeight="1"/>
    <row r="737" ht="14.1" customHeight="1"/>
    <row r="738" ht="14.1" customHeight="1"/>
    <row r="739" ht="14.1" customHeight="1"/>
    <row r="740" ht="14.1" customHeight="1"/>
    <row r="741" ht="14.1" customHeight="1"/>
    <row r="742" ht="14.1" customHeight="1"/>
    <row r="743" ht="14.1" customHeight="1"/>
    <row r="744" ht="14.1" customHeight="1"/>
    <row r="745" ht="14.1" customHeight="1"/>
    <row r="746" ht="14.1" customHeight="1"/>
    <row r="747" ht="14.1" customHeight="1"/>
    <row r="748" ht="14.1" customHeight="1"/>
    <row r="749" ht="14.1" customHeight="1"/>
    <row r="750" ht="14.1" customHeight="1"/>
    <row r="751" ht="14.1" customHeight="1"/>
    <row r="752" ht="14.1" customHeight="1"/>
    <row r="753" ht="14.1" customHeight="1"/>
    <row r="754" ht="14.1" customHeight="1"/>
    <row r="755" ht="14.1" customHeight="1"/>
    <row r="756" ht="14.1" customHeight="1"/>
    <row r="757" ht="14.1" customHeight="1"/>
    <row r="758" ht="14.1" customHeight="1"/>
    <row r="759" ht="14.1" customHeight="1"/>
    <row r="760" ht="14.1" customHeight="1"/>
    <row r="761" ht="14.1" customHeight="1"/>
    <row r="762" ht="14.1" customHeight="1"/>
    <row r="763" ht="14.1" customHeight="1"/>
    <row r="764" ht="14.1" customHeight="1"/>
    <row r="765" ht="14.1" customHeight="1"/>
    <row r="766" ht="14.1" customHeight="1"/>
    <row r="767" ht="14.1" customHeight="1"/>
    <row r="768" ht="14.1" customHeight="1"/>
    <row r="769" ht="14.1" customHeight="1"/>
    <row r="770" ht="14.1" customHeight="1"/>
    <row r="771" ht="14.1" customHeight="1"/>
    <row r="772" ht="14.1" customHeight="1"/>
    <row r="773" ht="14.1" customHeight="1"/>
    <row r="774" ht="14.1" customHeight="1"/>
    <row r="775" ht="14.1" customHeight="1"/>
    <row r="776" ht="14.1" customHeight="1"/>
    <row r="777" ht="14.1" customHeight="1"/>
    <row r="778" ht="14.1" customHeight="1"/>
    <row r="779" ht="14.1" customHeight="1"/>
    <row r="780" ht="14.1" customHeight="1"/>
    <row r="781" ht="14.1" customHeight="1"/>
    <row r="782" ht="14.1" customHeight="1"/>
    <row r="783" ht="14.1" customHeight="1"/>
    <row r="784" ht="14.1" customHeight="1"/>
    <row r="785" ht="14.1" customHeight="1"/>
    <row r="786" ht="14.1" customHeight="1"/>
    <row r="787" ht="14.1" customHeight="1"/>
    <row r="788" ht="14.1" customHeight="1"/>
    <row r="789" ht="14.1" customHeight="1"/>
    <row r="790" ht="14.1" customHeight="1"/>
    <row r="791" ht="14.1" customHeight="1"/>
    <row r="792" ht="14.1" customHeight="1"/>
    <row r="793" ht="14.1" customHeight="1"/>
  </sheetData>
  <pageMargins left="0.7" right="0.7" top="0.75" bottom="0.75" header="0.3" footer="0.3"/>
  <headerFooter>
    <oddFooter>&amp;L&amp;"Arial"&amp;7 &amp;KDAD4CE_x000D_# Public_x000D_&amp;1#&amp;"Arial"&amp;7&amp;KDAD4CE Public</oddFooter>
  </headerFooter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A00-000000000000}">
  <sheetPr codeName="Sheet45">
    <tabColor rgb="FF0070C0"/>
    <pageSetUpPr fitToPage="1"/>
  </sheetPr>
  <dimension ref="A1:U793"/>
  <sheetViews>
    <sheetView zoomScale="80" zoomScaleNormal="80" workbookViewId="0">
      <pane ySplit="4" topLeftCell="A5" activePane="bottomLeft" state="frozen"/>
      <selection activeCell="A16" sqref="A16"/>
      <selection pane="bottomLeft" activeCell="A16" sqref="A16"/>
    </sheetView>
  </sheetViews>
  <sheetFormatPr defaultColWidth="8.85546875" defaultRowHeight="15" customHeight="1"/>
  <cols>
    <col min="1" max="1" width="4.140625" style="33" customWidth="1"/>
    <col min="2" max="3" width="8.5703125" style="51" customWidth="1"/>
    <col min="4" max="4" width="14.5703125" style="33" customWidth="1"/>
    <col min="5" max="5" width="20.5703125" style="51" customWidth="1"/>
    <col min="6" max="6" width="8.5703125" style="74" customWidth="1"/>
    <col min="7" max="7" width="32.5703125" style="32" customWidth="1"/>
    <col min="8" max="8" width="18.5703125" style="33" customWidth="1"/>
    <col min="9" max="9" width="62.5703125" style="32" customWidth="1"/>
    <col min="10" max="12" width="9.5703125" style="33" customWidth="1"/>
    <col min="13" max="13" width="14.42578125" style="33" bestFit="1" customWidth="1"/>
    <col min="14" max="14" width="8.5703125" style="33" customWidth="1"/>
    <col min="15" max="15" width="10.5703125" style="33" customWidth="1"/>
    <col min="16" max="16" width="5.5703125" style="33" customWidth="1"/>
    <col min="17" max="17" width="1.5703125" style="32" customWidth="1"/>
    <col min="18" max="18" width="10.5703125" style="55" customWidth="1"/>
    <col min="19" max="19" width="1.5703125" style="32" customWidth="1"/>
    <col min="20" max="21" width="10.5703125" style="32" customWidth="1"/>
    <col min="22" max="220" width="8.85546875" style="26" customWidth="1"/>
    <col min="221" max="221" width="8.140625" style="26" customWidth="1"/>
    <col min="222" max="222" width="14.42578125" style="26" customWidth="1"/>
    <col min="223" max="223" width="37.42578125" style="26" customWidth="1"/>
    <col min="224" max="224" width="63.140625" style="26" customWidth="1"/>
    <col min="225" max="225" width="20" style="26" customWidth="1"/>
    <col min="226" max="226" width="11.140625" style="26" customWidth="1"/>
    <col min="227" max="227" width="10.85546875" style="26" customWidth="1"/>
    <col min="228" max="228" width="21" style="26" customWidth="1"/>
    <col min="229" max="229" width="10.85546875" style="26" customWidth="1"/>
    <col min="230" max="230" width="17.42578125" style="26" customWidth="1"/>
    <col min="231" max="231" width="14.85546875" style="26" customWidth="1"/>
    <col min="232" max="232" width="15" style="26" customWidth="1"/>
    <col min="233" max="233" width="14.85546875" style="26" customWidth="1"/>
    <col min="234" max="234" width="7.140625" style="26" customWidth="1"/>
    <col min="235" max="236" width="20.140625" style="26" customWidth="1"/>
    <col min="237" max="237" width="18.42578125" style="26" customWidth="1"/>
    <col min="238" max="238" width="9.140625" style="26" customWidth="1"/>
    <col min="239" max="239" width="12" style="26" customWidth="1"/>
    <col min="240" max="240" width="14.85546875" style="26" customWidth="1"/>
    <col min="241" max="241" width="22.42578125" style="26" customWidth="1"/>
    <col min="242" max="242" width="14.85546875" style="26" customWidth="1"/>
    <col min="243" max="243" width="7.140625" style="26" customWidth="1"/>
    <col min="244" max="244" width="20.140625" style="26" customWidth="1"/>
    <col min="245" max="245" width="8.85546875" style="26" customWidth="1"/>
    <col min="246" max="16384" width="8.85546875" style="26"/>
  </cols>
  <sheetData>
    <row r="1" spans="1:21" ht="14.1" customHeight="1">
      <c r="A1" s="31" t="s">
        <v>5513</v>
      </c>
      <c r="B1" s="32"/>
      <c r="C1" s="32"/>
      <c r="D1" s="32"/>
      <c r="F1" s="73"/>
      <c r="H1" s="32"/>
      <c r="J1" s="32"/>
      <c r="K1" s="32"/>
      <c r="L1" s="32"/>
      <c r="M1" s="32"/>
      <c r="N1" s="32"/>
      <c r="O1" s="32"/>
      <c r="P1" s="32"/>
      <c r="R1" s="58"/>
    </row>
    <row r="2" spans="1:21" s="57" customFormat="1" ht="14.1" customHeight="1">
      <c r="A2" s="56" t="s">
        <v>1694</v>
      </c>
      <c r="B2" s="56"/>
      <c r="C2" s="56"/>
      <c r="D2" s="56"/>
      <c r="E2" s="70"/>
      <c r="F2" s="56"/>
      <c r="G2" s="56"/>
      <c r="H2" s="56"/>
      <c r="I2" s="56"/>
      <c r="J2" s="56"/>
      <c r="K2" s="56"/>
      <c r="L2" s="56"/>
      <c r="M2" s="56"/>
      <c r="N2" s="56"/>
      <c r="O2" s="56"/>
      <c r="P2" s="56"/>
      <c r="Q2" s="56"/>
      <c r="R2" s="336"/>
      <c r="S2" s="56"/>
      <c r="T2" s="56"/>
      <c r="U2" s="56"/>
    </row>
    <row r="3" spans="1:21" s="28" customFormat="1" ht="14.1" customHeight="1">
      <c r="A3" s="33"/>
      <c r="B3" s="44"/>
      <c r="C3" s="44"/>
      <c r="D3" s="45"/>
      <c r="E3" s="44"/>
      <c r="F3" s="33"/>
      <c r="G3" s="46"/>
      <c r="H3" s="47"/>
      <c r="I3" s="46"/>
      <c r="J3" s="47"/>
      <c r="K3" s="47"/>
      <c r="L3" s="47"/>
      <c r="M3" s="47"/>
      <c r="N3" s="47"/>
      <c r="O3" s="47"/>
      <c r="P3" s="47"/>
      <c r="Q3" s="32"/>
      <c r="R3" s="360" t="s">
        <v>2</v>
      </c>
      <c r="S3" s="32"/>
      <c r="T3" s="32"/>
      <c r="U3" s="32"/>
    </row>
    <row r="4" spans="1:21" s="27" customFormat="1" ht="33" customHeight="1">
      <c r="A4" s="48" t="s">
        <v>3</v>
      </c>
      <c r="B4" s="53" t="s">
        <v>4</v>
      </c>
      <c r="C4" s="53" t="s">
        <v>5</v>
      </c>
      <c r="D4" s="48" t="s">
        <v>6</v>
      </c>
      <c r="E4" s="48" t="s">
        <v>7</v>
      </c>
      <c r="F4" s="49" t="s">
        <v>8</v>
      </c>
      <c r="G4" s="48" t="s">
        <v>9</v>
      </c>
      <c r="H4" s="48" t="s">
        <v>10</v>
      </c>
      <c r="I4" s="48" t="s">
        <v>11</v>
      </c>
      <c r="J4" s="48" t="s">
        <v>12</v>
      </c>
      <c r="K4" s="48" t="s">
        <v>13</v>
      </c>
      <c r="L4" s="48" t="s">
        <v>14</v>
      </c>
      <c r="M4" s="48" t="s">
        <v>15</v>
      </c>
      <c r="N4" s="48" t="s">
        <v>16</v>
      </c>
      <c r="O4" s="48" t="s">
        <v>17</v>
      </c>
      <c r="P4" s="48" t="s">
        <v>18</v>
      </c>
      <c r="Q4" s="33"/>
      <c r="R4" s="50" t="s">
        <v>19</v>
      </c>
      <c r="S4" s="51"/>
      <c r="T4" s="42" t="s">
        <v>20</v>
      </c>
      <c r="U4" s="42" t="s">
        <v>21</v>
      </c>
    </row>
    <row r="5" spans="1:21" ht="14.1" customHeight="1">
      <c r="A5" s="34">
        <v>1</v>
      </c>
      <c r="B5" s="54" t="s">
        <v>124</v>
      </c>
      <c r="C5" s="54" t="s">
        <v>428</v>
      </c>
      <c r="D5" s="34" t="s">
        <v>1627</v>
      </c>
      <c r="E5" s="54" t="s">
        <v>327</v>
      </c>
      <c r="F5" s="35" t="s">
        <v>26</v>
      </c>
      <c r="G5" s="246" t="s">
        <v>5514</v>
      </c>
      <c r="H5" s="36" t="s">
        <v>5515</v>
      </c>
      <c r="I5" s="246" t="s">
        <v>5516</v>
      </c>
      <c r="J5" s="34" t="s">
        <v>123</v>
      </c>
      <c r="K5" s="36"/>
      <c r="L5" s="34" t="s">
        <v>322</v>
      </c>
      <c r="M5" s="34">
        <v>8302410000</v>
      </c>
      <c r="N5" s="34">
        <v>500</v>
      </c>
      <c r="O5" s="34">
        <v>20</v>
      </c>
      <c r="P5" s="34"/>
      <c r="R5" s="9">
        <v>322.26993903551892</v>
      </c>
      <c r="S5" s="117"/>
      <c r="T5" s="7" t="s">
        <v>34</v>
      </c>
      <c r="U5" s="7" t="s">
        <v>34</v>
      </c>
    </row>
    <row r="6" spans="1:21" ht="14.1" customHeight="1">
      <c r="A6" s="34">
        <v>2</v>
      </c>
      <c r="B6" s="54" t="s">
        <v>124</v>
      </c>
      <c r="C6" s="54" t="s">
        <v>428</v>
      </c>
      <c r="D6" s="34" t="s">
        <v>1627</v>
      </c>
      <c r="E6" s="54" t="s">
        <v>327</v>
      </c>
      <c r="F6" s="35" t="s">
        <v>26</v>
      </c>
      <c r="G6" s="246" t="s">
        <v>5517</v>
      </c>
      <c r="H6" s="36" t="s">
        <v>5515</v>
      </c>
      <c r="I6" s="246" t="s">
        <v>5518</v>
      </c>
      <c r="J6" s="34" t="s">
        <v>123</v>
      </c>
      <c r="K6" s="36"/>
      <c r="L6" s="34" t="s">
        <v>322</v>
      </c>
      <c r="M6" s="34">
        <v>8302410000</v>
      </c>
      <c r="N6" s="34">
        <v>500</v>
      </c>
      <c r="O6" s="34">
        <v>20</v>
      </c>
      <c r="P6" s="34"/>
      <c r="R6" s="9">
        <v>335.92544492685442</v>
      </c>
      <c r="T6" s="7" t="s">
        <v>34</v>
      </c>
      <c r="U6" s="7" t="s">
        <v>34</v>
      </c>
    </row>
    <row r="7" spans="1:21" ht="14.1" customHeight="1">
      <c r="A7" s="34">
        <v>3</v>
      </c>
      <c r="B7" s="54" t="s">
        <v>124</v>
      </c>
      <c r="C7" s="54" t="s">
        <v>428</v>
      </c>
      <c r="D7" s="34" t="s">
        <v>1627</v>
      </c>
      <c r="E7" s="54" t="s">
        <v>327</v>
      </c>
      <c r="F7" s="35" t="s">
        <v>26</v>
      </c>
      <c r="G7" s="246" t="s">
        <v>5519</v>
      </c>
      <c r="H7" s="36" t="s">
        <v>5515</v>
      </c>
      <c r="I7" s="246" t="s">
        <v>5520</v>
      </c>
      <c r="J7" s="34" t="s">
        <v>123</v>
      </c>
      <c r="K7" s="36"/>
      <c r="L7" s="34" t="s">
        <v>322</v>
      </c>
      <c r="M7" s="34">
        <v>8302410000</v>
      </c>
      <c r="N7" s="34">
        <v>500</v>
      </c>
      <c r="O7" s="34">
        <v>20</v>
      </c>
      <c r="P7" s="34"/>
      <c r="R7" s="9">
        <v>390.54746849219651</v>
      </c>
      <c r="T7" s="7" t="s">
        <v>34</v>
      </c>
      <c r="U7" s="7" t="s">
        <v>34</v>
      </c>
    </row>
    <row r="8" spans="1:21" ht="14.1" customHeight="1">
      <c r="A8" s="34">
        <v>4</v>
      </c>
      <c r="B8" s="54" t="s">
        <v>124</v>
      </c>
      <c r="C8" s="54" t="s">
        <v>428</v>
      </c>
      <c r="D8" s="34" t="s">
        <v>1627</v>
      </c>
      <c r="E8" s="54" t="s">
        <v>327</v>
      </c>
      <c r="F8" s="35" t="s">
        <v>26</v>
      </c>
      <c r="G8" s="246" t="s">
        <v>5521</v>
      </c>
      <c r="H8" s="36" t="s">
        <v>5515</v>
      </c>
      <c r="I8" s="246" t="s">
        <v>5522</v>
      </c>
      <c r="J8" s="34" t="s">
        <v>123</v>
      </c>
      <c r="K8" s="36"/>
      <c r="L8" s="34" t="s">
        <v>322</v>
      </c>
      <c r="M8" s="34">
        <v>8302410000</v>
      </c>
      <c r="N8" s="34">
        <v>500</v>
      </c>
      <c r="O8" s="34">
        <v>20</v>
      </c>
      <c r="P8" s="34"/>
      <c r="R8" s="9">
        <v>423.32068263140189</v>
      </c>
      <c r="T8" s="7" t="s">
        <v>34</v>
      </c>
      <c r="U8" s="7" t="s">
        <v>34</v>
      </c>
    </row>
    <row r="9" spans="1:21" ht="14.1" customHeight="1">
      <c r="A9" s="34">
        <v>5</v>
      </c>
      <c r="B9" s="54" t="s">
        <v>124</v>
      </c>
      <c r="C9" s="54" t="s">
        <v>428</v>
      </c>
      <c r="D9" s="34" t="s">
        <v>1627</v>
      </c>
      <c r="E9" s="54" t="s">
        <v>327</v>
      </c>
      <c r="F9" s="35" t="s">
        <v>26</v>
      </c>
      <c r="G9" s="246" t="s">
        <v>5523</v>
      </c>
      <c r="H9" s="36" t="s">
        <v>5524</v>
      </c>
      <c r="I9" s="246" t="s">
        <v>5525</v>
      </c>
      <c r="J9" s="34" t="s">
        <v>30</v>
      </c>
      <c r="K9" s="36"/>
      <c r="L9" s="34" t="s">
        <v>322</v>
      </c>
      <c r="M9" s="256">
        <v>8302420000</v>
      </c>
      <c r="N9" s="34">
        <v>500</v>
      </c>
      <c r="O9" s="34">
        <v>25</v>
      </c>
      <c r="P9" s="34"/>
      <c r="R9" s="9">
        <v>229.4124989744372</v>
      </c>
      <c r="T9" s="7" t="s">
        <v>34</v>
      </c>
      <c r="U9" s="7" t="s">
        <v>34</v>
      </c>
    </row>
    <row r="10" spans="1:21" ht="14.1" customHeight="1">
      <c r="A10" s="34">
        <v>6</v>
      </c>
      <c r="B10" s="54" t="s">
        <v>124</v>
      </c>
      <c r="C10" s="54" t="s">
        <v>428</v>
      </c>
      <c r="D10" s="34" t="s">
        <v>1627</v>
      </c>
      <c r="E10" s="54" t="s">
        <v>327</v>
      </c>
      <c r="F10" s="35" t="s">
        <v>26</v>
      </c>
      <c r="G10" s="246" t="s">
        <v>5526</v>
      </c>
      <c r="H10" s="36" t="s">
        <v>5524</v>
      </c>
      <c r="I10" s="246" t="s">
        <v>5527</v>
      </c>
      <c r="J10" s="34" t="s">
        <v>30</v>
      </c>
      <c r="K10" s="36"/>
      <c r="L10" s="34" t="s">
        <v>322</v>
      </c>
      <c r="M10" s="256">
        <v>8302420000</v>
      </c>
      <c r="N10" s="34">
        <v>500</v>
      </c>
      <c r="O10" s="34">
        <v>25</v>
      </c>
      <c r="P10" s="34"/>
      <c r="R10" s="9">
        <v>344.1187484616558</v>
      </c>
      <c r="T10" s="7" t="s">
        <v>34</v>
      </c>
      <c r="U10" s="7" t="s">
        <v>34</v>
      </c>
    </row>
    <row r="11" spans="1:21" ht="14.1" customHeight="1"/>
    <row r="12" spans="1:21" ht="14.1" customHeight="1"/>
    <row r="13" spans="1:21" ht="14.1" customHeight="1"/>
    <row r="14" spans="1:21" ht="14.1" customHeight="1"/>
    <row r="15" spans="1:21" ht="14.1" customHeight="1"/>
    <row r="16" spans="1:21" ht="14.1" customHeight="1"/>
    <row r="17" ht="14.1" customHeight="1"/>
    <row r="18" ht="14.1" customHeight="1"/>
    <row r="19" ht="14.1" customHeight="1"/>
    <row r="20" ht="14.1" customHeight="1"/>
    <row r="21" ht="14.1" customHeight="1"/>
    <row r="22" ht="14.1" customHeight="1"/>
    <row r="23" ht="14.1" customHeight="1"/>
    <row r="24" ht="14.1" customHeight="1"/>
    <row r="25" ht="14.1" customHeight="1"/>
    <row r="26" ht="14.1" customHeight="1"/>
    <row r="27" ht="14.1" customHeight="1"/>
    <row r="28" ht="14.1" customHeight="1"/>
    <row r="29" ht="14.1" customHeight="1"/>
    <row r="30" ht="14.1" customHeight="1"/>
    <row r="31" ht="14.1" customHeight="1"/>
    <row r="32" ht="14.1" customHeight="1"/>
    <row r="33" ht="14.1" customHeight="1"/>
    <row r="34" ht="14.1" customHeight="1"/>
    <row r="35" ht="14.1" customHeight="1"/>
    <row r="36" ht="14.1" customHeight="1"/>
    <row r="37" ht="14.1" customHeight="1"/>
    <row r="38" ht="14.1" customHeight="1"/>
    <row r="39" ht="14.1" customHeight="1"/>
    <row r="40" ht="14.1" customHeight="1"/>
    <row r="41" ht="14.1" customHeight="1"/>
    <row r="42" ht="14.1" customHeight="1"/>
    <row r="43" ht="14.1" customHeight="1"/>
    <row r="44" ht="14.1" customHeight="1"/>
    <row r="45" ht="14.1" customHeight="1"/>
    <row r="46" ht="14.1" customHeight="1"/>
    <row r="47" ht="14.1" customHeight="1"/>
    <row r="48" ht="14.1" customHeight="1"/>
    <row r="49" ht="14.1" customHeight="1"/>
    <row r="50" ht="14.1" customHeight="1"/>
    <row r="51" ht="14.1" customHeight="1"/>
    <row r="52" ht="14.1" customHeight="1"/>
    <row r="53" ht="14.1" customHeight="1"/>
    <row r="54" ht="14.1" customHeight="1"/>
    <row r="55" ht="14.1" customHeight="1"/>
    <row r="56" ht="14.1" customHeight="1"/>
    <row r="57" ht="14.1" customHeight="1"/>
    <row r="58" ht="14.1" customHeight="1"/>
    <row r="59" ht="14.1" customHeight="1"/>
    <row r="60" ht="14.1" customHeight="1"/>
    <row r="61" ht="14.1" customHeight="1"/>
    <row r="62" ht="14.1" customHeight="1"/>
    <row r="63" ht="14.1" customHeight="1"/>
    <row r="64" ht="14.1" customHeight="1"/>
    <row r="65" ht="14.1" customHeight="1"/>
    <row r="66" ht="14.1" customHeight="1"/>
    <row r="67" ht="14.1" customHeight="1"/>
    <row r="68" ht="14.1" customHeight="1"/>
    <row r="69" ht="14.1" customHeight="1"/>
    <row r="70" ht="14.1" customHeight="1"/>
    <row r="71" ht="14.1" customHeight="1"/>
    <row r="72" ht="14.1" customHeight="1"/>
    <row r="73" ht="14.1" customHeight="1"/>
    <row r="74" ht="14.1" customHeight="1"/>
    <row r="75" ht="14.1" customHeight="1"/>
    <row r="76" ht="14.1" customHeight="1"/>
    <row r="77" ht="14.1" customHeight="1"/>
    <row r="78" ht="14.1" customHeight="1"/>
    <row r="79" ht="14.1" customHeight="1"/>
    <row r="80" ht="14.1" customHeight="1"/>
    <row r="81" ht="14.1" customHeight="1"/>
    <row r="82" ht="14.1" customHeight="1"/>
    <row r="83" ht="14.1" customHeight="1"/>
    <row r="84" ht="14.1" customHeight="1"/>
    <row r="85" ht="14.1" customHeight="1"/>
    <row r="86" ht="14.1" customHeight="1"/>
    <row r="87" ht="14.1" customHeight="1"/>
    <row r="88" ht="14.1" customHeight="1"/>
    <row r="89" ht="14.1" customHeight="1"/>
    <row r="90" ht="14.1" customHeight="1"/>
    <row r="91" ht="14.1" customHeight="1"/>
    <row r="92" ht="14.1" customHeight="1"/>
    <row r="93" ht="14.1" customHeight="1"/>
    <row r="94" ht="14.1" customHeight="1"/>
    <row r="95" ht="14.1" customHeight="1"/>
    <row r="96" ht="14.1" customHeight="1"/>
    <row r="97" ht="14.1" customHeight="1"/>
    <row r="98" ht="14.1" customHeight="1"/>
    <row r="99" ht="14.1" customHeight="1"/>
    <row r="100" ht="14.1" customHeight="1"/>
    <row r="101" ht="14.1" customHeight="1"/>
    <row r="102" ht="14.1" customHeight="1"/>
    <row r="103" ht="14.1" customHeight="1"/>
    <row r="104" ht="14.1" customHeight="1"/>
    <row r="105" ht="14.1" customHeight="1"/>
    <row r="106" ht="14.1" customHeight="1"/>
    <row r="107" ht="14.1" customHeight="1"/>
    <row r="108" ht="14.1" customHeight="1"/>
    <row r="109" ht="14.1" customHeight="1"/>
    <row r="110" ht="14.1" customHeight="1"/>
    <row r="111" ht="14.1" customHeight="1"/>
    <row r="112" ht="14.1" customHeight="1"/>
    <row r="113" ht="14.1" customHeight="1"/>
    <row r="114" ht="14.1" customHeight="1"/>
    <row r="115" ht="14.1" customHeight="1"/>
    <row r="116" ht="14.1" customHeight="1"/>
    <row r="117" ht="14.1" customHeight="1"/>
    <row r="118" ht="14.1" customHeight="1"/>
    <row r="119" ht="14.1" customHeight="1"/>
    <row r="120" ht="14.1" customHeight="1"/>
    <row r="121" ht="14.1" customHeight="1"/>
    <row r="122" ht="14.1" customHeight="1"/>
    <row r="123" ht="14.1" customHeight="1"/>
    <row r="124" ht="14.1" customHeight="1"/>
    <row r="125" ht="14.1" customHeight="1"/>
    <row r="126" ht="14.1" customHeight="1"/>
    <row r="127" ht="14.1" customHeight="1"/>
    <row r="128" ht="14.1" customHeight="1"/>
    <row r="129" ht="14.1" customHeight="1"/>
    <row r="130" ht="14.1" customHeight="1"/>
    <row r="131" ht="14.1" customHeight="1"/>
    <row r="132" ht="14.1" customHeight="1"/>
    <row r="133" ht="14.1" customHeight="1"/>
    <row r="134" ht="14.1" customHeight="1"/>
    <row r="135" ht="14.1" customHeight="1"/>
    <row r="136" ht="14.1" customHeight="1"/>
    <row r="137" ht="14.1" customHeight="1"/>
    <row r="138" ht="14.1" customHeight="1"/>
    <row r="139" ht="14.1" customHeight="1"/>
    <row r="140" ht="14.1" customHeight="1"/>
    <row r="141" ht="14.1" customHeight="1"/>
    <row r="142" ht="14.1" customHeight="1"/>
    <row r="143" ht="14.1" customHeight="1"/>
    <row r="144" ht="14.1" customHeight="1"/>
    <row r="145" ht="14.1" customHeight="1"/>
    <row r="146" ht="14.1" customHeight="1"/>
    <row r="147" ht="14.1" customHeight="1"/>
    <row r="148" ht="14.1" customHeight="1"/>
    <row r="149" ht="14.1" customHeight="1"/>
    <row r="150" ht="14.1" customHeight="1"/>
    <row r="151" ht="14.1" customHeight="1"/>
    <row r="152" ht="14.1" customHeight="1"/>
    <row r="153" ht="14.1" customHeight="1"/>
    <row r="154" ht="14.1" customHeight="1"/>
    <row r="155" ht="14.1" customHeight="1"/>
    <row r="156" ht="14.1" customHeight="1"/>
    <row r="157" ht="14.1" customHeight="1"/>
    <row r="158" ht="14.1" customHeight="1"/>
    <row r="159" ht="14.1" customHeight="1"/>
    <row r="160" ht="14.1" customHeight="1"/>
    <row r="161" ht="14.1" customHeight="1"/>
    <row r="162" ht="14.1" customHeight="1"/>
    <row r="163" ht="14.1" customHeight="1"/>
    <row r="164" ht="14.1" customHeight="1"/>
    <row r="165" ht="14.1" customHeight="1"/>
    <row r="166" ht="14.1" customHeight="1"/>
    <row r="167" ht="14.1" customHeight="1"/>
    <row r="168" ht="14.1" customHeight="1"/>
    <row r="169" ht="14.1" customHeight="1"/>
    <row r="170" ht="14.1" customHeight="1"/>
    <row r="171" ht="14.1" customHeight="1"/>
    <row r="172" ht="14.1" customHeight="1"/>
    <row r="173" ht="14.1" customHeight="1"/>
    <row r="174" ht="14.1" customHeight="1"/>
    <row r="175" ht="14.1" customHeight="1"/>
    <row r="176" ht="14.1" customHeight="1"/>
    <row r="177" ht="14.1" customHeight="1"/>
    <row r="178" ht="14.1" customHeight="1"/>
    <row r="179" ht="14.1" customHeight="1"/>
    <row r="180" ht="14.1" customHeight="1"/>
    <row r="181" ht="14.1" customHeight="1"/>
    <row r="182" ht="14.1" customHeight="1"/>
    <row r="183" ht="14.1" customHeight="1"/>
    <row r="184" ht="14.1" customHeight="1"/>
    <row r="185" ht="14.1" customHeight="1"/>
    <row r="186" ht="14.1" customHeight="1"/>
    <row r="187" ht="14.1" customHeight="1"/>
    <row r="188" ht="14.1" customHeight="1"/>
    <row r="189" ht="14.1" customHeight="1"/>
    <row r="190" ht="14.1" customHeight="1"/>
    <row r="191" ht="14.1" customHeight="1"/>
    <row r="192" ht="14.1" customHeight="1"/>
    <row r="193" ht="14.1" customHeight="1"/>
    <row r="194" ht="14.1" customHeight="1"/>
    <row r="195" ht="14.1" customHeight="1"/>
    <row r="196" ht="14.1" customHeight="1"/>
    <row r="197" ht="14.1" customHeight="1"/>
    <row r="198" ht="14.1" customHeight="1"/>
    <row r="199" ht="14.1" customHeight="1"/>
    <row r="200" ht="14.1" customHeight="1"/>
    <row r="201" ht="14.1" customHeight="1"/>
    <row r="202" ht="14.1" customHeight="1"/>
    <row r="203" ht="14.1" customHeight="1"/>
    <row r="204" ht="14.1" customHeight="1"/>
    <row r="205" ht="14.1" customHeight="1"/>
    <row r="206" ht="14.1" customHeight="1"/>
    <row r="207" ht="14.1" customHeight="1"/>
    <row r="208" ht="14.1" customHeight="1"/>
    <row r="209" ht="14.1" customHeight="1"/>
    <row r="210" ht="14.1" customHeight="1"/>
    <row r="211" ht="14.1" customHeight="1"/>
    <row r="212" ht="14.1" customHeight="1"/>
    <row r="213" ht="14.1" customHeight="1"/>
    <row r="214" ht="14.1" customHeight="1"/>
    <row r="215" ht="14.1" customHeight="1"/>
    <row r="216" ht="14.1" customHeight="1"/>
    <row r="217" ht="14.1" customHeight="1"/>
    <row r="218" ht="14.1" customHeight="1"/>
    <row r="219" ht="14.1" customHeight="1"/>
    <row r="220" ht="14.1" customHeight="1"/>
    <row r="221" ht="14.1" customHeight="1"/>
    <row r="222" ht="14.1" customHeight="1"/>
    <row r="223" ht="14.1" customHeight="1"/>
    <row r="224" ht="14.1" customHeight="1"/>
    <row r="225" ht="14.1" customHeight="1"/>
    <row r="226" ht="14.1" customHeight="1"/>
    <row r="227" ht="14.1" customHeight="1"/>
    <row r="228" ht="14.1" customHeight="1"/>
    <row r="229" ht="14.1" customHeight="1"/>
    <row r="230" ht="14.1" customHeight="1"/>
    <row r="231" ht="14.1" customHeight="1"/>
    <row r="232" ht="14.1" customHeight="1"/>
    <row r="233" ht="14.1" customHeight="1"/>
    <row r="234" ht="14.1" customHeight="1"/>
    <row r="235" ht="14.1" customHeight="1"/>
    <row r="236" ht="14.1" customHeight="1"/>
    <row r="237" ht="14.1" customHeight="1"/>
    <row r="238" ht="14.1" customHeight="1"/>
    <row r="239" ht="14.1" customHeight="1"/>
    <row r="240" ht="14.1" customHeight="1"/>
    <row r="241" ht="14.1" customHeight="1"/>
    <row r="242" ht="14.1" customHeight="1"/>
    <row r="243" ht="14.1" customHeight="1"/>
    <row r="244" ht="14.1" customHeight="1"/>
    <row r="245" ht="14.1" customHeight="1"/>
    <row r="246" ht="14.1" customHeight="1"/>
    <row r="247" ht="14.1" customHeight="1"/>
    <row r="248" ht="14.1" customHeight="1"/>
    <row r="249" ht="14.1" customHeight="1"/>
    <row r="250" ht="14.1" customHeight="1"/>
    <row r="251" ht="14.1" customHeight="1"/>
    <row r="252" ht="14.1" customHeight="1"/>
    <row r="253" ht="14.1" customHeight="1"/>
    <row r="254" ht="14.1" customHeight="1"/>
    <row r="255" ht="14.1" customHeight="1"/>
    <row r="256" ht="14.1" customHeight="1"/>
    <row r="257" ht="14.1" customHeight="1"/>
    <row r="258" ht="14.1" customHeight="1"/>
    <row r="259" ht="14.1" customHeight="1"/>
    <row r="260" ht="14.1" customHeight="1"/>
    <row r="261" ht="14.1" customHeight="1"/>
    <row r="262" ht="14.1" customHeight="1"/>
    <row r="263" ht="14.1" customHeight="1"/>
    <row r="264" ht="14.1" customHeight="1"/>
    <row r="265" ht="14.1" customHeight="1"/>
    <row r="266" ht="14.1" customHeight="1"/>
    <row r="267" ht="14.1" customHeight="1"/>
    <row r="268" ht="14.1" customHeight="1"/>
    <row r="269" ht="14.1" customHeight="1"/>
    <row r="270" ht="14.1" customHeight="1"/>
    <row r="271" ht="14.1" customHeight="1"/>
    <row r="272" ht="14.1" customHeight="1"/>
    <row r="273" ht="14.1" customHeight="1"/>
    <row r="274" ht="14.1" customHeight="1"/>
    <row r="275" ht="14.1" customHeight="1"/>
    <row r="276" ht="14.1" customHeight="1"/>
    <row r="277" ht="14.1" customHeight="1"/>
    <row r="278" ht="14.1" customHeight="1"/>
    <row r="279" ht="14.1" customHeight="1"/>
    <row r="280" ht="14.1" customHeight="1"/>
    <row r="281" ht="14.1" customHeight="1"/>
    <row r="282" ht="14.1" customHeight="1"/>
    <row r="283" ht="14.1" customHeight="1"/>
    <row r="284" ht="14.1" customHeight="1"/>
    <row r="285" ht="14.1" customHeight="1"/>
    <row r="286" ht="14.1" customHeight="1"/>
    <row r="287" ht="14.1" customHeight="1"/>
    <row r="288" ht="14.1" customHeight="1"/>
    <row r="289" ht="14.1" customHeight="1"/>
    <row r="290" ht="14.1" customHeight="1"/>
    <row r="291" ht="14.1" customHeight="1"/>
    <row r="292" ht="14.1" customHeight="1"/>
    <row r="293" ht="14.1" customHeight="1"/>
    <row r="294" ht="14.1" customHeight="1"/>
    <row r="295" ht="14.1" customHeight="1"/>
    <row r="296" ht="14.1" customHeight="1"/>
    <row r="297" ht="14.1" customHeight="1"/>
    <row r="298" ht="14.1" customHeight="1"/>
    <row r="299" ht="14.1" customHeight="1"/>
    <row r="300" ht="14.1" customHeight="1"/>
    <row r="301" ht="14.1" customHeight="1"/>
    <row r="302" ht="14.1" customHeight="1"/>
    <row r="303" ht="14.1" customHeight="1"/>
    <row r="304" ht="14.1" customHeight="1"/>
    <row r="305" ht="14.1" customHeight="1"/>
    <row r="306" ht="14.1" customHeight="1"/>
    <row r="307" ht="14.1" customHeight="1"/>
    <row r="308" ht="14.1" customHeight="1"/>
    <row r="309" ht="14.1" customHeight="1"/>
    <row r="310" ht="14.1" customHeight="1"/>
    <row r="311" ht="14.1" customHeight="1"/>
    <row r="312" ht="14.1" customHeight="1"/>
    <row r="313" ht="14.1" customHeight="1"/>
    <row r="314" ht="14.1" customHeight="1"/>
    <row r="315" ht="14.1" customHeight="1"/>
    <row r="316" ht="14.1" customHeight="1"/>
    <row r="317" ht="14.1" customHeight="1"/>
    <row r="318" ht="14.1" customHeight="1"/>
    <row r="319" ht="14.1" customHeight="1"/>
    <row r="320" ht="14.1" customHeight="1"/>
    <row r="321" ht="14.1" customHeight="1"/>
    <row r="322" ht="14.1" customHeight="1"/>
    <row r="323" ht="14.1" customHeight="1"/>
    <row r="324" ht="14.1" customHeight="1"/>
    <row r="325" ht="14.1" customHeight="1"/>
    <row r="326" ht="14.1" customHeight="1"/>
    <row r="327" ht="14.1" customHeight="1"/>
    <row r="328" ht="14.1" customHeight="1"/>
    <row r="329" ht="14.1" customHeight="1"/>
    <row r="330" ht="14.1" customHeight="1"/>
    <row r="331" ht="14.1" customHeight="1"/>
    <row r="332" ht="14.1" customHeight="1"/>
    <row r="333" ht="14.1" customHeight="1"/>
    <row r="334" ht="14.1" customHeight="1"/>
    <row r="335" ht="14.1" customHeight="1"/>
    <row r="336" ht="14.1" customHeight="1"/>
    <row r="337" ht="14.1" customHeight="1"/>
    <row r="338" ht="14.1" customHeight="1"/>
    <row r="339" ht="14.1" customHeight="1"/>
    <row r="340" ht="14.1" customHeight="1"/>
    <row r="341" ht="14.1" customHeight="1"/>
    <row r="342" ht="14.1" customHeight="1"/>
    <row r="343" ht="14.1" customHeight="1"/>
    <row r="344" ht="14.1" customHeight="1"/>
    <row r="345" ht="14.1" customHeight="1"/>
    <row r="346" ht="14.1" customHeight="1"/>
    <row r="347" ht="14.1" customHeight="1"/>
    <row r="348" ht="14.1" customHeight="1"/>
    <row r="349" ht="14.1" customHeight="1"/>
    <row r="350" ht="14.1" customHeight="1"/>
    <row r="351" ht="14.1" customHeight="1"/>
    <row r="352" ht="14.1" customHeight="1"/>
    <row r="353" ht="14.1" customHeight="1"/>
    <row r="354" ht="14.1" customHeight="1"/>
    <row r="355" ht="14.1" customHeight="1"/>
    <row r="356" ht="14.1" customHeight="1"/>
    <row r="357" ht="14.1" customHeight="1"/>
    <row r="358" ht="14.1" customHeight="1"/>
    <row r="359" ht="14.1" customHeight="1"/>
    <row r="360" ht="14.1" customHeight="1"/>
    <row r="361" ht="14.1" customHeight="1"/>
    <row r="362" ht="14.1" customHeight="1"/>
    <row r="363" ht="14.1" customHeight="1"/>
    <row r="364" ht="14.1" customHeight="1"/>
    <row r="365" ht="14.1" customHeight="1"/>
    <row r="366" ht="14.1" customHeight="1"/>
    <row r="367" ht="14.1" customHeight="1"/>
    <row r="368" ht="14.1" customHeight="1"/>
    <row r="369" ht="14.1" customHeight="1"/>
    <row r="370" ht="14.1" customHeight="1"/>
    <row r="371" ht="14.1" customHeight="1"/>
    <row r="372" ht="14.1" customHeight="1"/>
    <row r="373" ht="14.1" customHeight="1"/>
    <row r="374" ht="14.1" customHeight="1"/>
    <row r="375" ht="14.1" customHeight="1"/>
    <row r="376" ht="14.1" customHeight="1"/>
    <row r="377" ht="14.1" customHeight="1"/>
    <row r="378" ht="14.1" customHeight="1"/>
    <row r="379" ht="14.1" customHeight="1"/>
    <row r="380" ht="14.1" customHeight="1"/>
    <row r="381" ht="14.1" customHeight="1"/>
    <row r="382" ht="14.1" customHeight="1"/>
    <row r="383" ht="14.1" customHeight="1"/>
    <row r="384" ht="14.1" customHeight="1"/>
    <row r="385" ht="14.1" customHeight="1"/>
    <row r="386" ht="14.1" customHeight="1"/>
    <row r="387" ht="14.1" customHeight="1"/>
    <row r="388" ht="14.1" customHeight="1"/>
    <row r="389" ht="14.1" customHeight="1"/>
    <row r="390" ht="14.1" customHeight="1"/>
    <row r="391" ht="14.1" customHeight="1"/>
    <row r="392" ht="14.1" customHeight="1"/>
    <row r="393" ht="14.1" customHeight="1"/>
    <row r="394" ht="14.1" customHeight="1"/>
    <row r="395" ht="14.1" customHeight="1"/>
    <row r="396" ht="14.1" customHeight="1"/>
    <row r="397" ht="14.1" customHeight="1"/>
    <row r="398" ht="14.1" customHeight="1"/>
    <row r="399" ht="14.1" customHeight="1"/>
    <row r="400" ht="14.1" customHeight="1"/>
    <row r="401" ht="14.1" customHeight="1"/>
    <row r="402" ht="14.1" customHeight="1"/>
    <row r="403" ht="14.1" customHeight="1"/>
    <row r="404" ht="14.1" customHeight="1"/>
    <row r="405" ht="14.1" customHeight="1"/>
    <row r="406" ht="14.1" customHeight="1"/>
    <row r="407" ht="14.1" customHeight="1"/>
    <row r="408" ht="14.1" customHeight="1"/>
    <row r="409" ht="14.1" customHeight="1"/>
    <row r="410" ht="14.1" customHeight="1"/>
    <row r="411" ht="14.1" customHeight="1"/>
    <row r="412" ht="14.1" customHeight="1"/>
    <row r="413" ht="14.1" customHeight="1"/>
    <row r="414" ht="14.1" customHeight="1"/>
    <row r="415" ht="14.1" customHeight="1"/>
    <row r="416" ht="14.1" customHeight="1"/>
    <row r="417" ht="14.1" customHeight="1"/>
    <row r="418" ht="14.1" customHeight="1"/>
    <row r="419" ht="14.1" customHeight="1"/>
    <row r="420" ht="14.1" customHeight="1"/>
    <row r="421" ht="14.1" customHeight="1"/>
    <row r="422" ht="14.1" customHeight="1"/>
    <row r="423" ht="14.1" customHeight="1"/>
    <row r="424" ht="14.1" customHeight="1"/>
    <row r="425" ht="14.1" customHeight="1"/>
    <row r="426" ht="14.1" customHeight="1"/>
    <row r="427" ht="14.1" customHeight="1"/>
    <row r="428" ht="14.1" customHeight="1"/>
    <row r="429" ht="14.1" customHeight="1"/>
    <row r="430" ht="14.1" customHeight="1"/>
    <row r="431" ht="14.1" customHeight="1"/>
    <row r="432" ht="14.1" customHeight="1"/>
    <row r="433" ht="14.1" customHeight="1"/>
    <row r="434" ht="14.1" customHeight="1"/>
    <row r="435" ht="14.1" customHeight="1"/>
    <row r="436" ht="14.1" customHeight="1"/>
    <row r="437" ht="14.1" customHeight="1"/>
    <row r="438" ht="14.1" customHeight="1"/>
    <row r="439" ht="14.1" customHeight="1"/>
    <row r="440" ht="14.1" customHeight="1"/>
    <row r="441" ht="14.1" customHeight="1"/>
    <row r="442" ht="14.1" customHeight="1"/>
    <row r="443" ht="14.1" customHeight="1"/>
    <row r="444" ht="14.1" customHeight="1"/>
    <row r="445" ht="14.1" customHeight="1"/>
    <row r="446" ht="14.1" customHeight="1"/>
    <row r="447" ht="14.1" customHeight="1"/>
    <row r="448" ht="14.1" customHeight="1"/>
    <row r="449" ht="14.1" customHeight="1"/>
    <row r="450" ht="14.1" customHeight="1"/>
    <row r="451" ht="14.1" customHeight="1"/>
    <row r="452" ht="14.1" customHeight="1"/>
    <row r="453" ht="14.1" customHeight="1"/>
    <row r="454" ht="14.1" customHeight="1"/>
    <row r="455" ht="14.1" customHeight="1"/>
    <row r="456" ht="14.1" customHeight="1"/>
    <row r="457" ht="14.1" customHeight="1"/>
    <row r="458" ht="14.1" customHeight="1"/>
    <row r="459" ht="14.1" customHeight="1"/>
    <row r="460" ht="14.1" customHeight="1"/>
    <row r="461" ht="14.1" customHeight="1"/>
    <row r="462" ht="14.1" customHeight="1"/>
    <row r="463" ht="14.1" customHeight="1"/>
    <row r="464" ht="14.1" customHeight="1"/>
    <row r="465" ht="14.1" customHeight="1"/>
    <row r="466" ht="14.1" customHeight="1"/>
    <row r="467" ht="14.1" customHeight="1"/>
    <row r="468" ht="14.1" customHeight="1"/>
    <row r="469" ht="14.1" customHeight="1"/>
    <row r="470" ht="14.1" customHeight="1"/>
    <row r="471" ht="14.1" customHeight="1"/>
    <row r="472" ht="14.1" customHeight="1"/>
    <row r="473" ht="14.1" customHeight="1"/>
    <row r="474" ht="14.1" customHeight="1"/>
    <row r="475" ht="14.1" customHeight="1"/>
    <row r="476" ht="14.1" customHeight="1"/>
    <row r="477" ht="14.1" customHeight="1"/>
    <row r="478" ht="14.1" customHeight="1"/>
    <row r="479" ht="14.1" customHeight="1"/>
    <row r="480" ht="14.1" customHeight="1"/>
    <row r="481" ht="14.1" customHeight="1"/>
    <row r="482" ht="14.1" customHeight="1"/>
    <row r="483" ht="14.1" customHeight="1"/>
    <row r="484" ht="14.1" customHeight="1"/>
    <row r="485" ht="14.1" customHeight="1"/>
    <row r="486" ht="14.1" customHeight="1"/>
    <row r="487" ht="14.1" customHeight="1"/>
    <row r="488" ht="14.1" customHeight="1"/>
    <row r="489" ht="14.1" customHeight="1"/>
    <row r="490" ht="14.1" customHeight="1"/>
    <row r="491" ht="14.1" customHeight="1"/>
    <row r="492" ht="14.1" customHeight="1"/>
    <row r="493" ht="14.1" customHeight="1"/>
    <row r="494" ht="14.1" customHeight="1"/>
    <row r="495" ht="14.1" customHeight="1"/>
    <row r="496" ht="14.1" customHeight="1"/>
    <row r="497" ht="14.1" customHeight="1"/>
    <row r="498" ht="14.1" customHeight="1"/>
    <row r="499" ht="14.1" customHeight="1"/>
    <row r="500" ht="14.1" customHeight="1"/>
    <row r="501" ht="14.1" customHeight="1"/>
    <row r="502" ht="14.1" customHeight="1"/>
    <row r="503" ht="14.1" customHeight="1"/>
    <row r="504" ht="14.1" customHeight="1"/>
    <row r="505" ht="14.1" customHeight="1"/>
    <row r="506" ht="14.1" customHeight="1"/>
    <row r="507" ht="14.1" customHeight="1"/>
    <row r="508" ht="14.1" customHeight="1"/>
    <row r="509" ht="14.1" customHeight="1"/>
    <row r="510" ht="14.1" customHeight="1"/>
    <row r="511" ht="14.1" customHeight="1"/>
    <row r="512" ht="14.1" customHeight="1"/>
    <row r="513" ht="14.1" customHeight="1"/>
    <row r="514" ht="14.1" customHeight="1"/>
    <row r="515" ht="14.1" customHeight="1"/>
    <row r="516" ht="14.1" customHeight="1"/>
    <row r="517" ht="14.1" customHeight="1"/>
    <row r="518" ht="14.1" customHeight="1"/>
    <row r="519" ht="14.1" customHeight="1"/>
    <row r="520" ht="14.1" customHeight="1"/>
    <row r="521" ht="14.1" customHeight="1"/>
    <row r="522" ht="14.1" customHeight="1"/>
    <row r="523" ht="14.1" customHeight="1"/>
    <row r="524" ht="14.1" customHeight="1"/>
    <row r="525" ht="14.1" customHeight="1"/>
    <row r="526" ht="14.1" customHeight="1"/>
    <row r="527" ht="14.1" customHeight="1"/>
    <row r="528" ht="14.1" customHeight="1"/>
    <row r="529" ht="14.1" customHeight="1"/>
    <row r="530" ht="14.1" customHeight="1"/>
    <row r="531" ht="14.1" customHeight="1"/>
    <row r="532" ht="14.1" customHeight="1"/>
    <row r="533" ht="14.1" customHeight="1"/>
    <row r="534" ht="14.1" customHeight="1"/>
    <row r="535" ht="14.1" customHeight="1"/>
    <row r="536" ht="14.1" customHeight="1"/>
    <row r="537" ht="14.1" customHeight="1"/>
    <row r="538" ht="14.1" customHeight="1"/>
    <row r="539" ht="14.1" customHeight="1"/>
    <row r="540" ht="14.1" customHeight="1"/>
    <row r="541" ht="14.1" customHeight="1"/>
    <row r="542" ht="14.1" customHeight="1"/>
    <row r="543" ht="14.1" customHeight="1"/>
    <row r="544" ht="14.1" customHeight="1"/>
    <row r="545" ht="14.1" customHeight="1"/>
    <row r="546" ht="14.1" customHeight="1"/>
    <row r="547" ht="14.1" customHeight="1"/>
    <row r="548" ht="14.1" customHeight="1"/>
    <row r="549" ht="14.1" customHeight="1"/>
    <row r="550" ht="14.1" customHeight="1"/>
    <row r="551" ht="14.1" customHeight="1"/>
    <row r="552" ht="14.1" customHeight="1"/>
    <row r="553" ht="14.1" customHeight="1"/>
    <row r="554" ht="14.1" customHeight="1"/>
    <row r="555" ht="14.1" customHeight="1"/>
    <row r="556" ht="14.1" customHeight="1"/>
    <row r="557" ht="14.1" customHeight="1"/>
    <row r="558" ht="14.1" customHeight="1"/>
    <row r="559" ht="14.1" customHeight="1"/>
    <row r="560" ht="14.1" customHeight="1"/>
    <row r="561" ht="14.1" customHeight="1"/>
    <row r="562" ht="14.1" customHeight="1"/>
    <row r="563" ht="14.1" customHeight="1"/>
    <row r="564" ht="14.1" customHeight="1"/>
    <row r="565" ht="14.1" customHeight="1"/>
    <row r="566" ht="14.1" customHeight="1"/>
    <row r="567" ht="14.1" customHeight="1"/>
    <row r="568" ht="14.1" customHeight="1"/>
    <row r="569" ht="14.1" customHeight="1"/>
    <row r="570" ht="14.1" customHeight="1"/>
    <row r="571" ht="14.1" customHeight="1"/>
    <row r="572" ht="14.1" customHeight="1"/>
    <row r="573" ht="14.1" customHeight="1"/>
    <row r="574" ht="14.1" customHeight="1"/>
    <row r="575" ht="14.1" customHeight="1"/>
    <row r="576" ht="14.1" customHeight="1"/>
    <row r="577" ht="14.1" customHeight="1"/>
    <row r="578" ht="14.1" customHeight="1"/>
    <row r="579" ht="14.1" customHeight="1"/>
    <row r="580" ht="14.1" customHeight="1"/>
    <row r="581" ht="14.1" customHeight="1"/>
    <row r="582" ht="14.1" customHeight="1"/>
    <row r="583" ht="14.1" customHeight="1"/>
    <row r="584" ht="14.1" customHeight="1"/>
    <row r="585" ht="14.1" customHeight="1"/>
    <row r="586" ht="14.1" customHeight="1"/>
    <row r="587" ht="14.1" customHeight="1"/>
    <row r="588" ht="14.1" customHeight="1"/>
    <row r="589" ht="14.1" customHeight="1"/>
    <row r="590" ht="14.1" customHeight="1"/>
    <row r="591" ht="14.1" customHeight="1"/>
    <row r="592" ht="14.1" customHeight="1"/>
    <row r="593" ht="14.1" customHeight="1"/>
    <row r="594" ht="14.1" customHeight="1"/>
    <row r="595" ht="14.1" customHeight="1"/>
    <row r="596" ht="14.1" customHeight="1"/>
    <row r="597" ht="14.1" customHeight="1"/>
    <row r="598" ht="14.1" customHeight="1"/>
    <row r="599" ht="14.1" customHeight="1"/>
    <row r="600" ht="14.1" customHeight="1"/>
    <row r="601" ht="14.1" customHeight="1"/>
    <row r="602" ht="14.1" customHeight="1"/>
    <row r="603" ht="14.1" customHeight="1"/>
    <row r="604" ht="14.1" customHeight="1"/>
    <row r="605" ht="14.1" customHeight="1"/>
    <row r="606" ht="14.1" customHeight="1"/>
    <row r="607" ht="14.1" customHeight="1"/>
    <row r="608" ht="14.1" customHeight="1"/>
    <row r="609" ht="14.1" customHeight="1"/>
    <row r="610" ht="14.1" customHeight="1"/>
    <row r="611" ht="14.1" customHeight="1"/>
    <row r="612" ht="14.1" customHeight="1"/>
    <row r="613" ht="14.1" customHeight="1"/>
    <row r="614" ht="14.1" customHeight="1"/>
    <row r="615" ht="14.1" customHeight="1"/>
    <row r="616" ht="14.1" customHeight="1"/>
    <row r="617" ht="14.1" customHeight="1"/>
    <row r="618" ht="14.1" customHeight="1"/>
    <row r="619" ht="14.1" customHeight="1"/>
    <row r="620" ht="14.1" customHeight="1"/>
    <row r="621" ht="14.1" customHeight="1"/>
    <row r="622" ht="14.1" customHeight="1"/>
    <row r="623" ht="14.1" customHeight="1"/>
    <row r="624" ht="14.1" customHeight="1"/>
    <row r="625" ht="14.1" customHeight="1"/>
    <row r="626" ht="14.1" customHeight="1"/>
    <row r="627" ht="14.1" customHeight="1"/>
    <row r="628" ht="14.1" customHeight="1"/>
    <row r="629" ht="14.1" customHeight="1"/>
    <row r="630" ht="14.1" customHeight="1"/>
    <row r="631" ht="14.1" customHeight="1"/>
    <row r="632" ht="14.1" customHeight="1"/>
    <row r="633" ht="14.1" customHeight="1"/>
    <row r="634" ht="14.1" customHeight="1"/>
    <row r="635" ht="14.1" customHeight="1"/>
    <row r="636" ht="14.1" customHeight="1"/>
    <row r="637" ht="14.1" customHeight="1"/>
    <row r="638" ht="14.1" customHeight="1"/>
    <row r="639" ht="14.1" customHeight="1"/>
    <row r="640" ht="14.1" customHeight="1"/>
    <row r="641" ht="14.1" customHeight="1"/>
    <row r="642" ht="14.1" customHeight="1"/>
    <row r="643" ht="14.1" customHeight="1"/>
    <row r="644" ht="14.1" customHeight="1"/>
    <row r="645" ht="14.1" customHeight="1"/>
    <row r="646" ht="14.1" customHeight="1"/>
    <row r="647" ht="14.1" customHeight="1"/>
    <row r="648" ht="14.1" customHeight="1"/>
    <row r="649" ht="14.1" customHeight="1"/>
    <row r="650" ht="14.1" customHeight="1"/>
    <row r="651" ht="14.1" customHeight="1"/>
    <row r="652" ht="14.1" customHeight="1"/>
    <row r="653" ht="14.1" customHeight="1"/>
    <row r="654" ht="14.1" customHeight="1"/>
    <row r="655" ht="14.1" customHeight="1"/>
    <row r="656" ht="14.1" customHeight="1"/>
    <row r="657" ht="14.1" customHeight="1"/>
    <row r="658" ht="14.1" customHeight="1"/>
    <row r="659" ht="14.1" customHeight="1"/>
    <row r="660" ht="14.1" customHeight="1"/>
    <row r="661" ht="14.1" customHeight="1"/>
    <row r="662" ht="14.1" customHeight="1"/>
    <row r="663" ht="14.1" customHeight="1"/>
    <row r="664" ht="14.1" customHeight="1"/>
    <row r="665" ht="14.1" customHeight="1"/>
    <row r="666" ht="14.1" customHeight="1"/>
    <row r="667" ht="14.1" customHeight="1"/>
    <row r="668" ht="14.1" customHeight="1"/>
    <row r="669" ht="14.1" customHeight="1"/>
    <row r="670" ht="14.1" customHeight="1"/>
    <row r="671" ht="14.1" customHeight="1"/>
    <row r="672" ht="14.1" customHeight="1"/>
    <row r="673" ht="14.1" customHeight="1"/>
    <row r="674" ht="14.1" customHeight="1"/>
    <row r="675" ht="14.1" customHeight="1"/>
    <row r="676" ht="14.1" customHeight="1"/>
    <row r="677" ht="14.1" customHeight="1"/>
    <row r="678" ht="14.1" customHeight="1"/>
    <row r="679" ht="14.1" customHeight="1"/>
    <row r="680" ht="14.1" customHeight="1"/>
    <row r="681" ht="14.1" customHeight="1"/>
    <row r="682" ht="14.1" customHeight="1"/>
    <row r="683" ht="14.1" customHeight="1"/>
    <row r="684" ht="14.1" customHeight="1"/>
    <row r="685" ht="14.1" customHeight="1"/>
    <row r="686" ht="14.1" customHeight="1"/>
    <row r="687" ht="14.1" customHeight="1"/>
    <row r="688" ht="14.1" customHeight="1"/>
    <row r="689" ht="14.1" customHeight="1"/>
    <row r="690" ht="14.1" customHeight="1"/>
    <row r="691" ht="14.1" customHeight="1"/>
    <row r="692" ht="14.1" customHeight="1"/>
    <row r="693" ht="14.1" customHeight="1"/>
    <row r="694" ht="14.1" customHeight="1"/>
    <row r="695" ht="14.1" customHeight="1"/>
    <row r="696" ht="14.1" customHeight="1"/>
    <row r="697" ht="14.1" customHeight="1"/>
    <row r="698" ht="14.1" customHeight="1"/>
    <row r="699" ht="14.1" customHeight="1"/>
    <row r="700" ht="14.1" customHeight="1"/>
    <row r="701" ht="14.1" customHeight="1"/>
    <row r="702" ht="14.1" customHeight="1"/>
    <row r="703" ht="14.1" customHeight="1"/>
    <row r="704" ht="14.1" customHeight="1"/>
    <row r="705" ht="14.1" customHeight="1"/>
    <row r="706" ht="14.1" customHeight="1"/>
    <row r="707" ht="14.1" customHeight="1"/>
    <row r="708" ht="14.1" customHeight="1"/>
    <row r="709" ht="14.1" customHeight="1"/>
    <row r="710" ht="14.1" customHeight="1"/>
    <row r="711" ht="14.1" customHeight="1"/>
    <row r="712" ht="14.1" customHeight="1"/>
    <row r="713" ht="14.1" customHeight="1"/>
    <row r="714" ht="14.1" customHeight="1"/>
    <row r="715" ht="14.1" customHeight="1"/>
    <row r="716" ht="14.1" customHeight="1"/>
    <row r="717" ht="14.1" customHeight="1"/>
    <row r="718" ht="14.1" customHeight="1"/>
    <row r="719" ht="14.1" customHeight="1"/>
    <row r="720" ht="14.1" customHeight="1"/>
    <row r="721" ht="14.1" customHeight="1"/>
    <row r="722" ht="14.1" customHeight="1"/>
    <row r="723" ht="14.1" customHeight="1"/>
    <row r="724" ht="14.1" customHeight="1"/>
    <row r="725" ht="14.1" customHeight="1"/>
    <row r="726" ht="14.1" customHeight="1"/>
    <row r="727" ht="14.1" customHeight="1"/>
    <row r="728" ht="14.1" customHeight="1"/>
    <row r="729" ht="14.1" customHeight="1"/>
    <row r="730" ht="14.1" customHeight="1"/>
    <row r="731" ht="14.1" customHeight="1"/>
    <row r="732" ht="14.1" customHeight="1"/>
    <row r="733" ht="14.1" customHeight="1"/>
    <row r="734" ht="14.1" customHeight="1"/>
    <row r="735" ht="14.1" customHeight="1"/>
    <row r="736" ht="14.1" customHeight="1"/>
    <row r="737" ht="14.1" customHeight="1"/>
    <row r="738" ht="14.1" customHeight="1"/>
    <row r="739" ht="14.1" customHeight="1"/>
    <row r="740" ht="14.1" customHeight="1"/>
    <row r="741" ht="14.1" customHeight="1"/>
    <row r="742" ht="14.1" customHeight="1"/>
    <row r="743" ht="14.1" customHeight="1"/>
    <row r="744" ht="14.1" customHeight="1"/>
    <row r="745" ht="14.1" customHeight="1"/>
    <row r="746" ht="14.1" customHeight="1"/>
    <row r="747" ht="14.1" customHeight="1"/>
    <row r="748" ht="14.1" customHeight="1"/>
    <row r="749" ht="14.1" customHeight="1"/>
    <row r="750" ht="14.1" customHeight="1"/>
    <row r="751" ht="14.1" customHeight="1"/>
    <row r="752" ht="14.1" customHeight="1"/>
    <row r="753" ht="14.1" customHeight="1"/>
    <row r="754" ht="14.1" customHeight="1"/>
    <row r="755" ht="14.1" customHeight="1"/>
    <row r="756" ht="14.1" customHeight="1"/>
    <row r="757" ht="14.1" customHeight="1"/>
    <row r="758" ht="14.1" customHeight="1"/>
    <row r="759" ht="14.1" customHeight="1"/>
    <row r="760" ht="14.1" customHeight="1"/>
    <row r="761" ht="14.1" customHeight="1"/>
    <row r="762" ht="14.1" customHeight="1"/>
    <row r="763" ht="14.1" customHeight="1"/>
    <row r="764" ht="14.1" customHeight="1"/>
    <row r="765" ht="14.1" customHeight="1"/>
    <row r="766" ht="14.1" customHeight="1"/>
    <row r="767" ht="14.1" customHeight="1"/>
    <row r="768" ht="14.1" customHeight="1"/>
    <row r="769" ht="14.1" customHeight="1"/>
    <row r="770" ht="14.1" customHeight="1"/>
    <row r="771" ht="14.1" customHeight="1"/>
    <row r="772" ht="14.1" customHeight="1"/>
    <row r="773" ht="14.1" customHeight="1"/>
    <row r="774" ht="14.1" customHeight="1"/>
    <row r="775" ht="14.1" customHeight="1"/>
    <row r="776" ht="14.1" customHeight="1"/>
    <row r="777" ht="14.1" customHeight="1"/>
    <row r="778" ht="14.1" customHeight="1"/>
    <row r="779" ht="14.1" customHeight="1"/>
    <row r="780" ht="14.1" customHeight="1"/>
    <row r="781" ht="14.1" customHeight="1"/>
    <row r="782" ht="14.1" customHeight="1"/>
    <row r="783" ht="14.1" customHeight="1"/>
    <row r="784" ht="14.1" customHeight="1"/>
    <row r="785" ht="14.1" customHeight="1"/>
    <row r="786" ht="14.1" customHeight="1"/>
    <row r="787" ht="14.1" customHeight="1"/>
    <row r="788" ht="14.1" customHeight="1"/>
    <row r="789" ht="14.1" customHeight="1"/>
    <row r="790" ht="14.1" customHeight="1"/>
    <row r="791" ht="14.1" customHeight="1"/>
    <row r="792" ht="14.1" customHeight="1"/>
    <row r="793" ht="14.1" customHeight="1"/>
  </sheetData>
  <pageMargins left="0.61" right="0.16" top="0.87" bottom="0.21" header="0.16" footer="0.16"/>
  <pageSetup paperSize="8" scale="51" orientation="portrait"/>
  <headerFooter alignWithMargins="0">
    <oddFooter>&amp;L_x000D_&amp;1#&amp;"Arial"&amp;7&amp;KDAD4CE Public&amp;C&amp;"Verdana"&amp;10 &amp;KC1C1C1_x000D_# Restricted</oddFooter>
  </headerFooter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B00-000000000000}">
  <sheetPr codeName="Sheet27">
    <tabColor rgb="FF0070C0"/>
    <pageSetUpPr fitToPage="1"/>
  </sheetPr>
  <dimension ref="A1:U793"/>
  <sheetViews>
    <sheetView zoomScale="80" zoomScaleNormal="80" workbookViewId="0">
      <pane ySplit="4" topLeftCell="A26" activePane="bottomLeft" state="frozen"/>
      <selection activeCell="A16" sqref="A16"/>
      <selection pane="bottomLeft" activeCell="G59" sqref="G59"/>
    </sheetView>
  </sheetViews>
  <sheetFormatPr defaultColWidth="8.5703125" defaultRowHeight="15" customHeight="1"/>
  <cols>
    <col min="1" max="1" width="4.140625" style="3" customWidth="1"/>
    <col min="2" max="3" width="8.5703125" style="20" customWidth="1"/>
    <col min="4" max="4" width="14.5703125" style="3" customWidth="1"/>
    <col min="5" max="5" width="20.5703125" style="20" customWidth="1"/>
    <col min="6" max="6" width="8.5703125" style="3" customWidth="1"/>
    <col min="7" max="7" width="32.5703125" style="2" customWidth="1"/>
    <col min="8" max="8" width="18.5703125" style="3" customWidth="1"/>
    <col min="9" max="9" width="62.5703125" style="2" customWidth="1"/>
    <col min="10" max="12" width="9.5703125" style="3" customWidth="1"/>
    <col min="13" max="13" width="10.5703125" style="3" customWidth="1"/>
    <col min="14" max="14" width="8.5703125" style="3" customWidth="1"/>
    <col min="15" max="15" width="10.5703125" style="3" customWidth="1"/>
    <col min="16" max="16" width="5.5703125" style="3" customWidth="1"/>
    <col min="17" max="17" width="1.5703125" style="2" customWidth="1"/>
    <col min="18" max="18" width="10.5703125" style="30" customWidth="1"/>
    <col min="19" max="19" width="1.5703125" style="213" customWidth="1"/>
    <col min="20" max="21" width="10.5703125" style="2" customWidth="1"/>
    <col min="22" max="220" width="8.5703125" style="2" customWidth="1"/>
    <col min="221" max="221" width="8.140625" style="2" customWidth="1"/>
    <col min="222" max="222" width="14.42578125" style="2" customWidth="1"/>
    <col min="223" max="223" width="37.42578125" style="2" customWidth="1"/>
    <col min="224" max="224" width="63.140625" style="2" customWidth="1"/>
    <col min="225" max="225" width="20" style="2" customWidth="1"/>
    <col min="226" max="226" width="11.140625" style="2" customWidth="1"/>
    <col min="227" max="227" width="10.85546875" style="2" customWidth="1"/>
    <col min="228" max="228" width="21" style="2" customWidth="1"/>
    <col min="229" max="229" width="10.85546875" style="2" customWidth="1"/>
    <col min="230" max="230" width="17.42578125" style="2" customWidth="1"/>
    <col min="231" max="231" width="14.85546875" style="2" customWidth="1"/>
    <col min="232" max="232" width="15" style="2" customWidth="1"/>
    <col min="233" max="233" width="14.85546875" style="2" customWidth="1"/>
    <col min="234" max="234" width="7.140625" style="2" customWidth="1"/>
    <col min="235" max="236" width="20.140625" style="2" customWidth="1"/>
    <col min="237" max="237" width="18.42578125" style="2" customWidth="1"/>
    <col min="238" max="238" width="9.140625" style="2" customWidth="1"/>
    <col min="239" max="239" width="12" style="2" customWidth="1"/>
    <col min="240" max="240" width="14.85546875" style="2" customWidth="1"/>
    <col min="241" max="241" width="22.42578125" style="2" customWidth="1"/>
    <col min="242" max="242" width="14.85546875" style="2" customWidth="1"/>
    <col min="243" max="243" width="7.140625" style="2" customWidth="1"/>
    <col min="244" max="244" width="20.140625" style="2" customWidth="1"/>
    <col min="245" max="476" width="8.5703125" style="2" customWidth="1"/>
    <col min="477" max="477" width="8.140625" style="2" customWidth="1"/>
    <col min="478" max="478" width="14.42578125" style="2" customWidth="1"/>
    <col min="479" max="479" width="37.42578125" style="2" customWidth="1"/>
    <col min="480" max="480" width="63.140625" style="2" customWidth="1"/>
    <col min="481" max="481" width="20" style="2" customWidth="1"/>
    <col min="482" max="482" width="11.140625" style="2" customWidth="1"/>
    <col min="483" max="483" width="10.85546875" style="2" customWidth="1"/>
    <col min="484" max="484" width="21" style="2" customWidth="1"/>
    <col min="485" max="485" width="10.85546875" style="2" customWidth="1"/>
    <col min="486" max="486" width="17.42578125" style="2" customWidth="1"/>
    <col min="487" max="487" width="14.85546875" style="2" customWidth="1"/>
    <col min="488" max="488" width="15" style="2" customWidth="1"/>
    <col min="489" max="489" width="14.85546875" style="2" customWidth="1"/>
    <col min="490" max="490" width="7.140625" style="2" customWidth="1"/>
    <col min="491" max="492" width="20.140625" style="2" customWidth="1"/>
    <col min="493" max="493" width="18.42578125" style="2" customWidth="1"/>
    <col min="494" max="494" width="9.140625" style="2" customWidth="1"/>
    <col min="495" max="495" width="12" style="2" customWidth="1"/>
    <col min="496" max="496" width="14.85546875" style="2" customWidth="1"/>
    <col min="497" max="497" width="22.42578125" style="2" customWidth="1"/>
    <col min="498" max="498" width="14.85546875" style="2" customWidth="1"/>
    <col min="499" max="499" width="7.140625" style="2" customWidth="1"/>
    <col min="500" max="500" width="20.140625" style="2" customWidth="1"/>
    <col min="501" max="732" width="8.5703125" style="2" customWidth="1"/>
    <col min="733" max="733" width="8.140625" style="2" customWidth="1"/>
    <col min="734" max="734" width="14.42578125" style="2" customWidth="1"/>
    <col min="735" max="735" width="37.42578125" style="2" customWidth="1"/>
    <col min="736" max="736" width="63.140625" style="2" customWidth="1"/>
    <col min="737" max="737" width="20" style="2" customWidth="1"/>
    <col min="738" max="738" width="11.140625" style="2" customWidth="1"/>
    <col min="739" max="739" width="10.85546875" style="2" customWidth="1"/>
    <col min="740" max="740" width="21" style="2" customWidth="1"/>
    <col min="741" max="741" width="10.85546875" style="2" customWidth="1"/>
    <col min="742" max="742" width="17.42578125" style="2" customWidth="1"/>
    <col min="743" max="743" width="14.85546875" style="2" customWidth="1"/>
    <col min="744" max="744" width="15" style="2" customWidth="1"/>
    <col min="745" max="745" width="14.85546875" style="2" customWidth="1"/>
    <col min="746" max="746" width="7.140625" style="2" customWidth="1"/>
    <col min="747" max="748" width="20.140625" style="2" customWidth="1"/>
    <col min="749" max="749" width="18.42578125" style="2" customWidth="1"/>
    <col min="750" max="750" width="9.140625" style="2" customWidth="1"/>
    <col min="751" max="751" width="12" style="2" customWidth="1"/>
    <col min="752" max="752" width="14.85546875" style="2" customWidth="1"/>
    <col min="753" max="753" width="22.42578125" style="2" customWidth="1"/>
    <col min="754" max="754" width="14.85546875" style="2" customWidth="1"/>
    <col min="755" max="755" width="7.140625" style="2" customWidth="1"/>
    <col min="756" max="756" width="20.140625" style="2" customWidth="1"/>
    <col min="757" max="988" width="8.5703125" style="2" customWidth="1"/>
    <col min="989" max="989" width="8.140625" style="2" customWidth="1"/>
    <col min="990" max="990" width="14.42578125" style="2" customWidth="1"/>
    <col min="991" max="991" width="37.42578125" style="2" customWidth="1"/>
    <col min="992" max="992" width="63.140625" style="2" customWidth="1"/>
    <col min="993" max="993" width="20" style="2" customWidth="1"/>
    <col min="994" max="994" width="11.140625" style="2" customWidth="1"/>
    <col min="995" max="995" width="10.85546875" style="2" customWidth="1"/>
    <col min="996" max="996" width="21" style="2" customWidth="1"/>
    <col min="997" max="997" width="10.85546875" style="2" customWidth="1"/>
    <col min="998" max="998" width="17.42578125" style="2" customWidth="1"/>
    <col min="999" max="999" width="14.85546875" style="2" customWidth="1"/>
    <col min="1000" max="1000" width="15" style="2" customWidth="1"/>
    <col min="1001" max="1001" width="14.85546875" style="2" customWidth="1"/>
    <col min="1002" max="1002" width="7.140625" style="2" customWidth="1"/>
    <col min="1003" max="1004" width="20.140625" style="2" customWidth="1"/>
    <col min="1005" max="1005" width="18.42578125" style="2" customWidth="1"/>
    <col min="1006" max="1006" width="9.140625" style="2" customWidth="1"/>
    <col min="1007" max="1007" width="12" style="2" customWidth="1"/>
    <col min="1008" max="1008" width="14.85546875" style="2" customWidth="1"/>
    <col min="1009" max="1009" width="22.42578125" style="2" customWidth="1"/>
    <col min="1010" max="1010" width="14.85546875" style="2" customWidth="1"/>
    <col min="1011" max="1011" width="7.140625" style="2" customWidth="1"/>
    <col min="1012" max="1012" width="20.140625" style="2" customWidth="1"/>
    <col min="1013" max="1244" width="8.5703125" style="2" customWidth="1"/>
    <col min="1245" max="1245" width="8.140625" style="2" customWidth="1"/>
    <col min="1246" max="1246" width="14.42578125" style="2" customWidth="1"/>
    <col min="1247" max="1247" width="37.42578125" style="2" customWidth="1"/>
    <col min="1248" max="1248" width="63.140625" style="2" customWidth="1"/>
    <col min="1249" max="1249" width="20" style="2" customWidth="1"/>
    <col min="1250" max="1250" width="11.140625" style="2" customWidth="1"/>
    <col min="1251" max="1251" width="10.85546875" style="2" customWidth="1"/>
    <col min="1252" max="1252" width="21" style="2" customWidth="1"/>
    <col min="1253" max="1253" width="10.85546875" style="2" customWidth="1"/>
    <col min="1254" max="1254" width="17.42578125" style="2" customWidth="1"/>
    <col min="1255" max="1255" width="14.85546875" style="2" customWidth="1"/>
    <col min="1256" max="1256" width="15" style="2" customWidth="1"/>
    <col min="1257" max="1257" width="14.85546875" style="2" customWidth="1"/>
    <col min="1258" max="1258" width="7.140625" style="2" customWidth="1"/>
    <col min="1259" max="1260" width="20.140625" style="2" customWidth="1"/>
    <col min="1261" max="1261" width="18.42578125" style="2" customWidth="1"/>
    <col min="1262" max="1262" width="9.140625" style="2" customWidth="1"/>
    <col min="1263" max="1263" width="12" style="2" customWidth="1"/>
    <col min="1264" max="1264" width="14.85546875" style="2" customWidth="1"/>
    <col min="1265" max="1265" width="22.42578125" style="2" customWidth="1"/>
    <col min="1266" max="1266" width="14.85546875" style="2" customWidth="1"/>
    <col min="1267" max="1267" width="7.140625" style="2" customWidth="1"/>
    <col min="1268" max="1268" width="20.140625" style="2" customWidth="1"/>
    <col min="1269" max="1500" width="8.5703125" style="2" customWidth="1"/>
    <col min="1501" max="1501" width="8.140625" style="2" customWidth="1"/>
    <col min="1502" max="1502" width="14.42578125" style="2" customWidth="1"/>
    <col min="1503" max="1503" width="37.42578125" style="2" customWidth="1"/>
    <col min="1504" max="1504" width="63.140625" style="2" customWidth="1"/>
    <col min="1505" max="1505" width="20" style="2" customWidth="1"/>
    <col min="1506" max="1506" width="11.140625" style="2" customWidth="1"/>
    <col min="1507" max="1507" width="10.85546875" style="2" customWidth="1"/>
    <col min="1508" max="1508" width="21" style="2" customWidth="1"/>
    <col min="1509" max="1509" width="10.85546875" style="2" customWidth="1"/>
    <col min="1510" max="1510" width="17.42578125" style="2" customWidth="1"/>
    <col min="1511" max="1511" width="14.85546875" style="2" customWidth="1"/>
    <col min="1512" max="1512" width="15" style="2" customWidth="1"/>
    <col min="1513" max="1513" width="14.85546875" style="2" customWidth="1"/>
    <col min="1514" max="1514" width="7.140625" style="2" customWidth="1"/>
    <col min="1515" max="1516" width="20.140625" style="2" customWidth="1"/>
    <col min="1517" max="1517" width="18.42578125" style="2" customWidth="1"/>
    <col min="1518" max="1518" width="9.140625" style="2" customWidth="1"/>
    <col min="1519" max="1519" width="12" style="2" customWidth="1"/>
    <col min="1520" max="1520" width="14.85546875" style="2" customWidth="1"/>
    <col min="1521" max="1521" width="22.42578125" style="2" customWidth="1"/>
    <col min="1522" max="1522" width="14.85546875" style="2" customWidth="1"/>
    <col min="1523" max="1523" width="7.140625" style="2" customWidth="1"/>
    <col min="1524" max="1524" width="20.140625" style="2" customWidth="1"/>
    <col min="1525" max="1756" width="8.5703125" style="2" customWidth="1"/>
    <col min="1757" max="1757" width="8.140625" style="2" customWidth="1"/>
    <col min="1758" max="1758" width="14.42578125" style="2" customWidth="1"/>
    <col min="1759" max="1759" width="37.42578125" style="2" customWidth="1"/>
    <col min="1760" max="1760" width="63.140625" style="2" customWidth="1"/>
    <col min="1761" max="1761" width="20" style="2" customWidth="1"/>
    <col min="1762" max="1762" width="11.140625" style="2" customWidth="1"/>
    <col min="1763" max="1763" width="10.85546875" style="2" customWidth="1"/>
    <col min="1764" max="1764" width="21" style="2" customWidth="1"/>
    <col min="1765" max="1765" width="10.85546875" style="2" customWidth="1"/>
    <col min="1766" max="1766" width="17.42578125" style="2" customWidth="1"/>
    <col min="1767" max="1767" width="14.85546875" style="2" customWidth="1"/>
    <col min="1768" max="1768" width="15" style="2" customWidth="1"/>
    <col min="1769" max="1769" width="14.85546875" style="2" customWidth="1"/>
    <col min="1770" max="1770" width="7.140625" style="2" customWidth="1"/>
    <col min="1771" max="1772" width="20.140625" style="2" customWidth="1"/>
    <col min="1773" max="1773" width="18.42578125" style="2" customWidth="1"/>
    <col min="1774" max="1774" width="9.140625" style="2" customWidth="1"/>
    <col min="1775" max="1775" width="12" style="2" customWidth="1"/>
    <col min="1776" max="1776" width="14.85546875" style="2" customWidth="1"/>
    <col min="1777" max="1777" width="22.42578125" style="2" customWidth="1"/>
    <col min="1778" max="1778" width="14.85546875" style="2" customWidth="1"/>
    <col min="1779" max="1779" width="7.140625" style="2" customWidth="1"/>
    <col min="1780" max="1780" width="20.140625" style="2" customWidth="1"/>
    <col min="1781" max="2012" width="8.5703125" style="2" customWidth="1"/>
    <col min="2013" max="2013" width="8.140625" style="2" customWidth="1"/>
    <col min="2014" max="2014" width="14.42578125" style="2" customWidth="1"/>
    <col min="2015" max="2015" width="37.42578125" style="2" customWidth="1"/>
    <col min="2016" max="2016" width="63.140625" style="2" customWidth="1"/>
    <col min="2017" max="2017" width="20" style="2" customWidth="1"/>
    <col min="2018" max="2018" width="11.140625" style="2" customWidth="1"/>
    <col min="2019" max="2019" width="10.85546875" style="2" customWidth="1"/>
    <col min="2020" max="2020" width="21" style="2" customWidth="1"/>
    <col min="2021" max="2021" width="10.85546875" style="2" customWidth="1"/>
    <col min="2022" max="2022" width="17.42578125" style="2" customWidth="1"/>
    <col min="2023" max="2023" width="14.85546875" style="2" customWidth="1"/>
    <col min="2024" max="2024" width="15" style="2" customWidth="1"/>
    <col min="2025" max="2025" width="14.85546875" style="2" customWidth="1"/>
    <col min="2026" max="2026" width="7.140625" style="2" customWidth="1"/>
    <col min="2027" max="2028" width="20.140625" style="2" customWidth="1"/>
    <col min="2029" max="2029" width="18.42578125" style="2" customWidth="1"/>
    <col min="2030" max="2030" width="9.140625" style="2" customWidth="1"/>
    <col min="2031" max="2031" width="12" style="2" customWidth="1"/>
    <col min="2032" max="2032" width="14.85546875" style="2" customWidth="1"/>
    <col min="2033" max="2033" width="22.42578125" style="2" customWidth="1"/>
    <col min="2034" max="2034" width="14.85546875" style="2" customWidth="1"/>
    <col min="2035" max="2035" width="7.140625" style="2" customWidth="1"/>
    <col min="2036" max="2036" width="20.140625" style="2" customWidth="1"/>
    <col min="2037" max="2268" width="8.5703125" style="2" customWidth="1"/>
    <col min="2269" max="2269" width="8.140625" style="2" customWidth="1"/>
    <col min="2270" max="2270" width="14.42578125" style="2" customWidth="1"/>
    <col min="2271" max="2271" width="37.42578125" style="2" customWidth="1"/>
    <col min="2272" max="2272" width="63.140625" style="2" customWidth="1"/>
    <col min="2273" max="2273" width="20" style="2" customWidth="1"/>
    <col min="2274" max="2274" width="11.140625" style="2" customWidth="1"/>
    <col min="2275" max="2275" width="10.85546875" style="2" customWidth="1"/>
    <col min="2276" max="2276" width="21" style="2" customWidth="1"/>
    <col min="2277" max="2277" width="10.85546875" style="2" customWidth="1"/>
    <col min="2278" max="2278" width="17.42578125" style="2" customWidth="1"/>
    <col min="2279" max="2279" width="14.85546875" style="2" customWidth="1"/>
    <col min="2280" max="2280" width="15" style="2" customWidth="1"/>
    <col min="2281" max="2281" width="14.85546875" style="2" customWidth="1"/>
    <col min="2282" max="2282" width="7.140625" style="2" customWidth="1"/>
    <col min="2283" max="2284" width="20.140625" style="2" customWidth="1"/>
    <col min="2285" max="2285" width="18.42578125" style="2" customWidth="1"/>
    <col min="2286" max="2286" width="9.140625" style="2" customWidth="1"/>
    <col min="2287" max="2287" width="12" style="2" customWidth="1"/>
    <col min="2288" max="2288" width="14.85546875" style="2" customWidth="1"/>
    <col min="2289" max="2289" width="22.42578125" style="2" customWidth="1"/>
    <col min="2290" max="2290" width="14.85546875" style="2" customWidth="1"/>
    <col min="2291" max="2291" width="7.140625" style="2" customWidth="1"/>
    <col min="2292" max="2292" width="20.140625" style="2" customWidth="1"/>
    <col min="2293" max="2524" width="8.5703125" style="2" customWidth="1"/>
    <col min="2525" max="2525" width="8.140625" style="2" customWidth="1"/>
    <col min="2526" max="2526" width="14.42578125" style="2" customWidth="1"/>
    <col min="2527" max="2527" width="37.42578125" style="2" customWidth="1"/>
    <col min="2528" max="2528" width="63.140625" style="2" customWidth="1"/>
    <col min="2529" max="2529" width="20" style="2" customWidth="1"/>
    <col min="2530" max="2530" width="11.140625" style="2" customWidth="1"/>
    <col min="2531" max="2531" width="10.85546875" style="2" customWidth="1"/>
    <col min="2532" max="2532" width="21" style="2" customWidth="1"/>
    <col min="2533" max="2533" width="10.85546875" style="2" customWidth="1"/>
    <col min="2534" max="2534" width="17.42578125" style="2" customWidth="1"/>
    <col min="2535" max="2535" width="14.85546875" style="2" customWidth="1"/>
    <col min="2536" max="2536" width="15" style="2" customWidth="1"/>
    <col min="2537" max="2537" width="14.85546875" style="2" customWidth="1"/>
    <col min="2538" max="2538" width="7.140625" style="2" customWidth="1"/>
    <col min="2539" max="2540" width="20.140625" style="2" customWidth="1"/>
    <col min="2541" max="2541" width="18.42578125" style="2" customWidth="1"/>
    <col min="2542" max="2542" width="9.140625" style="2" customWidth="1"/>
    <col min="2543" max="2543" width="12" style="2" customWidth="1"/>
    <col min="2544" max="2544" width="14.85546875" style="2" customWidth="1"/>
    <col min="2545" max="2545" width="22.42578125" style="2" customWidth="1"/>
    <col min="2546" max="2546" width="14.85546875" style="2" customWidth="1"/>
    <col min="2547" max="2547" width="7.140625" style="2" customWidth="1"/>
    <col min="2548" max="2548" width="20.140625" style="2" customWidth="1"/>
    <col min="2549" max="2780" width="8.5703125" style="2" customWidth="1"/>
    <col min="2781" max="2781" width="8.140625" style="2" customWidth="1"/>
    <col min="2782" max="2782" width="14.42578125" style="2" customWidth="1"/>
    <col min="2783" max="2783" width="37.42578125" style="2" customWidth="1"/>
    <col min="2784" max="2784" width="63.140625" style="2" customWidth="1"/>
    <col min="2785" max="2785" width="20" style="2" customWidth="1"/>
    <col min="2786" max="2786" width="11.140625" style="2" customWidth="1"/>
    <col min="2787" max="2787" width="10.85546875" style="2" customWidth="1"/>
    <col min="2788" max="2788" width="21" style="2" customWidth="1"/>
    <col min="2789" max="2789" width="10.85546875" style="2" customWidth="1"/>
    <col min="2790" max="2790" width="17.42578125" style="2" customWidth="1"/>
    <col min="2791" max="2791" width="14.85546875" style="2" customWidth="1"/>
    <col min="2792" max="2792" width="15" style="2" customWidth="1"/>
    <col min="2793" max="2793" width="14.85546875" style="2" customWidth="1"/>
    <col min="2794" max="2794" width="7.140625" style="2" customWidth="1"/>
    <col min="2795" max="2796" width="20.140625" style="2" customWidth="1"/>
    <col min="2797" max="2797" width="18.42578125" style="2" customWidth="1"/>
    <col min="2798" max="2798" width="9.140625" style="2" customWidth="1"/>
    <col min="2799" max="2799" width="12" style="2" customWidth="1"/>
    <col min="2800" max="2800" width="14.85546875" style="2" customWidth="1"/>
    <col min="2801" max="2801" width="22.42578125" style="2" customWidth="1"/>
    <col min="2802" max="2802" width="14.85546875" style="2" customWidth="1"/>
    <col min="2803" max="2803" width="7.140625" style="2" customWidth="1"/>
    <col min="2804" max="2804" width="20.140625" style="2" customWidth="1"/>
    <col min="2805" max="3036" width="8.5703125" style="2" customWidth="1"/>
    <col min="3037" max="3037" width="8.140625" style="2" customWidth="1"/>
    <col min="3038" max="3038" width="14.42578125" style="2" customWidth="1"/>
    <col min="3039" max="3039" width="37.42578125" style="2" customWidth="1"/>
    <col min="3040" max="3040" width="63.140625" style="2" customWidth="1"/>
    <col min="3041" max="3041" width="20" style="2" customWidth="1"/>
    <col min="3042" max="3042" width="11.140625" style="2" customWidth="1"/>
    <col min="3043" max="3043" width="10.85546875" style="2" customWidth="1"/>
    <col min="3044" max="3044" width="21" style="2" customWidth="1"/>
    <col min="3045" max="3045" width="10.85546875" style="2" customWidth="1"/>
    <col min="3046" max="3046" width="17.42578125" style="2" customWidth="1"/>
    <col min="3047" max="3047" width="14.85546875" style="2" customWidth="1"/>
    <col min="3048" max="3048" width="15" style="2" customWidth="1"/>
    <col min="3049" max="3049" width="14.85546875" style="2" customWidth="1"/>
    <col min="3050" max="3050" width="7.140625" style="2" customWidth="1"/>
    <col min="3051" max="3052" width="20.140625" style="2" customWidth="1"/>
    <col min="3053" max="3053" width="18.42578125" style="2" customWidth="1"/>
    <col min="3054" max="3054" width="9.140625" style="2" customWidth="1"/>
    <col min="3055" max="3055" width="12" style="2" customWidth="1"/>
    <col min="3056" max="3056" width="14.85546875" style="2" customWidth="1"/>
    <col min="3057" max="3057" width="22.42578125" style="2" customWidth="1"/>
    <col min="3058" max="3058" width="14.85546875" style="2" customWidth="1"/>
    <col min="3059" max="3059" width="7.140625" style="2" customWidth="1"/>
    <col min="3060" max="3060" width="20.140625" style="2" customWidth="1"/>
    <col min="3061" max="3292" width="8.5703125" style="2" customWidth="1"/>
    <col min="3293" max="3293" width="8.140625" style="2" customWidth="1"/>
    <col min="3294" max="3294" width="14.42578125" style="2" customWidth="1"/>
    <col min="3295" max="3295" width="37.42578125" style="2" customWidth="1"/>
    <col min="3296" max="3296" width="63.140625" style="2" customWidth="1"/>
    <col min="3297" max="3297" width="20" style="2" customWidth="1"/>
    <col min="3298" max="3298" width="11.140625" style="2" customWidth="1"/>
    <col min="3299" max="3299" width="10.85546875" style="2" customWidth="1"/>
    <col min="3300" max="3300" width="21" style="2" customWidth="1"/>
    <col min="3301" max="3301" width="10.85546875" style="2" customWidth="1"/>
    <col min="3302" max="3302" width="17.42578125" style="2" customWidth="1"/>
    <col min="3303" max="3303" width="14.85546875" style="2" customWidth="1"/>
    <col min="3304" max="3304" width="15" style="2" customWidth="1"/>
    <col min="3305" max="3305" width="14.85546875" style="2" customWidth="1"/>
    <col min="3306" max="3306" width="7.140625" style="2" customWidth="1"/>
    <col min="3307" max="3308" width="20.140625" style="2" customWidth="1"/>
    <col min="3309" max="3309" width="18.42578125" style="2" customWidth="1"/>
    <col min="3310" max="3310" width="9.140625" style="2" customWidth="1"/>
    <col min="3311" max="3311" width="12" style="2" customWidth="1"/>
    <col min="3312" max="3312" width="14.85546875" style="2" customWidth="1"/>
    <col min="3313" max="3313" width="22.42578125" style="2" customWidth="1"/>
    <col min="3314" max="3314" width="14.85546875" style="2" customWidth="1"/>
    <col min="3315" max="3315" width="7.140625" style="2" customWidth="1"/>
    <col min="3316" max="3316" width="20.140625" style="2" customWidth="1"/>
    <col min="3317" max="3548" width="8.5703125" style="2" customWidth="1"/>
    <col min="3549" max="3549" width="8.140625" style="2" customWidth="1"/>
    <col min="3550" max="3550" width="14.42578125" style="2" customWidth="1"/>
    <col min="3551" max="3551" width="37.42578125" style="2" customWidth="1"/>
    <col min="3552" max="3552" width="63.140625" style="2" customWidth="1"/>
    <col min="3553" max="3553" width="20" style="2" customWidth="1"/>
    <col min="3554" max="3554" width="11.140625" style="2" customWidth="1"/>
    <col min="3555" max="3555" width="10.85546875" style="2" customWidth="1"/>
    <col min="3556" max="3556" width="21" style="2" customWidth="1"/>
    <col min="3557" max="3557" width="10.85546875" style="2" customWidth="1"/>
    <col min="3558" max="3558" width="17.42578125" style="2" customWidth="1"/>
    <col min="3559" max="3559" width="14.85546875" style="2" customWidth="1"/>
    <col min="3560" max="3560" width="15" style="2" customWidth="1"/>
    <col min="3561" max="3561" width="14.85546875" style="2" customWidth="1"/>
    <col min="3562" max="3562" width="7.140625" style="2" customWidth="1"/>
    <col min="3563" max="3564" width="20.140625" style="2" customWidth="1"/>
    <col min="3565" max="3565" width="18.42578125" style="2" customWidth="1"/>
    <col min="3566" max="3566" width="9.140625" style="2" customWidth="1"/>
    <col min="3567" max="3567" width="12" style="2" customWidth="1"/>
    <col min="3568" max="3568" width="14.85546875" style="2" customWidth="1"/>
    <col min="3569" max="3569" width="22.42578125" style="2" customWidth="1"/>
    <col min="3570" max="3570" width="14.85546875" style="2" customWidth="1"/>
    <col min="3571" max="3571" width="7.140625" style="2" customWidth="1"/>
    <col min="3572" max="3572" width="20.140625" style="2" customWidth="1"/>
    <col min="3573" max="3804" width="8.5703125" style="2" customWidth="1"/>
    <col min="3805" max="3805" width="8.140625" style="2" customWidth="1"/>
    <col min="3806" max="3806" width="14.42578125" style="2" customWidth="1"/>
    <col min="3807" max="3807" width="37.42578125" style="2" customWidth="1"/>
    <col min="3808" max="3808" width="63.140625" style="2" customWidth="1"/>
    <col min="3809" max="3809" width="20" style="2" customWidth="1"/>
    <col min="3810" max="3810" width="11.140625" style="2" customWidth="1"/>
    <col min="3811" max="3811" width="10.85546875" style="2" customWidth="1"/>
    <col min="3812" max="3812" width="21" style="2" customWidth="1"/>
    <col min="3813" max="3813" width="10.85546875" style="2" customWidth="1"/>
    <col min="3814" max="3814" width="17.42578125" style="2" customWidth="1"/>
    <col min="3815" max="3815" width="14.85546875" style="2" customWidth="1"/>
    <col min="3816" max="3816" width="15" style="2" customWidth="1"/>
    <col min="3817" max="3817" width="14.85546875" style="2" customWidth="1"/>
    <col min="3818" max="3818" width="7.140625" style="2" customWidth="1"/>
    <col min="3819" max="3820" width="20.140625" style="2" customWidth="1"/>
    <col min="3821" max="3821" width="18.42578125" style="2" customWidth="1"/>
    <col min="3822" max="3822" width="9.140625" style="2" customWidth="1"/>
    <col min="3823" max="3823" width="12" style="2" customWidth="1"/>
    <col min="3824" max="3824" width="14.85546875" style="2" customWidth="1"/>
    <col min="3825" max="3825" width="22.42578125" style="2" customWidth="1"/>
    <col min="3826" max="3826" width="14.85546875" style="2" customWidth="1"/>
    <col min="3827" max="3827" width="7.140625" style="2" customWidth="1"/>
    <col min="3828" max="3828" width="20.140625" style="2" customWidth="1"/>
    <col min="3829" max="4060" width="8.5703125" style="2" customWidth="1"/>
    <col min="4061" max="4061" width="8.140625" style="2" customWidth="1"/>
    <col min="4062" max="4062" width="14.42578125" style="2" customWidth="1"/>
    <col min="4063" max="4063" width="37.42578125" style="2" customWidth="1"/>
    <col min="4064" max="4064" width="63.140625" style="2" customWidth="1"/>
    <col min="4065" max="4065" width="20" style="2" customWidth="1"/>
    <col min="4066" max="4066" width="11.140625" style="2" customWidth="1"/>
    <col min="4067" max="4067" width="10.85546875" style="2" customWidth="1"/>
    <col min="4068" max="4068" width="21" style="2" customWidth="1"/>
    <col min="4069" max="4069" width="10.85546875" style="2" customWidth="1"/>
    <col min="4070" max="4070" width="17.42578125" style="2" customWidth="1"/>
    <col min="4071" max="4071" width="14.85546875" style="2" customWidth="1"/>
    <col min="4072" max="4072" width="15" style="2" customWidth="1"/>
    <col min="4073" max="4073" width="14.85546875" style="2" customWidth="1"/>
    <col min="4074" max="4074" width="7.140625" style="2" customWidth="1"/>
    <col min="4075" max="4076" width="20.140625" style="2" customWidth="1"/>
    <col min="4077" max="4077" width="18.42578125" style="2" customWidth="1"/>
    <col min="4078" max="4078" width="9.140625" style="2" customWidth="1"/>
    <col min="4079" max="4079" width="12" style="2" customWidth="1"/>
    <col min="4080" max="4080" width="14.85546875" style="2" customWidth="1"/>
    <col min="4081" max="4081" width="22.42578125" style="2" customWidth="1"/>
    <col min="4082" max="4082" width="14.85546875" style="2" customWidth="1"/>
    <col min="4083" max="4083" width="7.140625" style="2" customWidth="1"/>
    <col min="4084" max="4084" width="20.140625" style="2" customWidth="1"/>
    <col min="4085" max="4316" width="8.5703125" style="2" customWidth="1"/>
    <col min="4317" max="4317" width="8.140625" style="2" customWidth="1"/>
    <col min="4318" max="4318" width="14.42578125" style="2" customWidth="1"/>
    <col min="4319" max="4319" width="37.42578125" style="2" customWidth="1"/>
    <col min="4320" max="4320" width="63.140625" style="2" customWidth="1"/>
    <col min="4321" max="4321" width="20" style="2" customWidth="1"/>
    <col min="4322" max="4322" width="11.140625" style="2" customWidth="1"/>
    <col min="4323" max="4323" width="10.85546875" style="2" customWidth="1"/>
    <col min="4324" max="4324" width="21" style="2" customWidth="1"/>
    <col min="4325" max="4325" width="10.85546875" style="2" customWidth="1"/>
    <col min="4326" max="4326" width="17.42578125" style="2" customWidth="1"/>
    <col min="4327" max="4327" width="14.85546875" style="2" customWidth="1"/>
    <col min="4328" max="4328" width="15" style="2" customWidth="1"/>
    <col min="4329" max="4329" width="14.85546875" style="2" customWidth="1"/>
    <col min="4330" max="4330" width="7.140625" style="2" customWidth="1"/>
    <col min="4331" max="4332" width="20.140625" style="2" customWidth="1"/>
    <col min="4333" max="4333" width="18.42578125" style="2" customWidth="1"/>
    <col min="4334" max="4334" width="9.140625" style="2" customWidth="1"/>
    <col min="4335" max="4335" width="12" style="2" customWidth="1"/>
    <col min="4336" max="4336" width="14.85546875" style="2" customWidth="1"/>
    <col min="4337" max="4337" width="22.42578125" style="2" customWidth="1"/>
    <col min="4338" max="4338" width="14.85546875" style="2" customWidth="1"/>
    <col min="4339" max="4339" width="7.140625" style="2" customWidth="1"/>
    <col min="4340" max="4340" width="20.140625" style="2" customWidth="1"/>
    <col min="4341" max="4572" width="8.5703125" style="2" customWidth="1"/>
    <col min="4573" max="4573" width="8.140625" style="2" customWidth="1"/>
    <col min="4574" max="4574" width="14.42578125" style="2" customWidth="1"/>
    <col min="4575" max="4575" width="37.42578125" style="2" customWidth="1"/>
    <col min="4576" max="4576" width="63.140625" style="2" customWidth="1"/>
    <col min="4577" max="4577" width="20" style="2" customWidth="1"/>
    <col min="4578" max="4578" width="11.140625" style="2" customWidth="1"/>
    <col min="4579" max="4579" width="10.85546875" style="2" customWidth="1"/>
    <col min="4580" max="4580" width="21" style="2" customWidth="1"/>
    <col min="4581" max="4581" width="10.85546875" style="2" customWidth="1"/>
    <col min="4582" max="4582" width="17.42578125" style="2" customWidth="1"/>
    <col min="4583" max="4583" width="14.85546875" style="2" customWidth="1"/>
    <col min="4584" max="4584" width="15" style="2" customWidth="1"/>
    <col min="4585" max="4585" width="14.85546875" style="2" customWidth="1"/>
    <col min="4586" max="4586" width="7.140625" style="2" customWidth="1"/>
    <col min="4587" max="4588" width="20.140625" style="2" customWidth="1"/>
    <col min="4589" max="4589" width="18.42578125" style="2" customWidth="1"/>
    <col min="4590" max="4590" width="9.140625" style="2" customWidth="1"/>
    <col min="4591" max="4591" width="12" style="2" customWidth="1"/>
    <col min="4592" max="4592" width="14.85546875" style="2" customWidth="1"/>
    <col min="4593" max="4593" width="22.42578125" style="2" customWidth="1"/>
    <col min="4594" max="4594" width="14.85546875" style="2" customWidth="1"/>
    <col min="4595" max="4595" width="7.140625" style="2" customWidth="1"/>
    <col min="4596" max="4596" width="20.140625" style="2" customWidth="1"/>
    <col min="4597" max="4828" width="8.5703125" style="2" customWidth="1"/>
    <col min="4829" max="4829" width="8.140625" style="2" customWidth="1"/>
    <col min="4830" max="4830" width="14.42578125" style="2" customWidth="1"/>
    <col min="4831" max="4831" width="37.42578125" style="2" customWidth="1"/>
    <col min="4832" max="4832" width="63.140625" style="2" customWidth="1"/>
    <col min="4833" max="4833" width="20" style="2" customWidth="1"/>
    <col min="4834" max="4834" width="11.140625" style="2" customWidth="1"/>
    <col min="4835" max="4835" width="10.85546875" style="2" customWidth="1"/>
    <col min="4836" max="4836" width="21" style="2" customWidth="1"/>
    <col min="4837" max="4837" width="10.85546875" style="2" customWidth="1"/>
    <col min="4838" max="4838" width="17.42578125" style="2" customWidth="1"/>
    <col min="4839" max="4839" width="14.85546875" style="2" customWidth="1"/>
    <col min="4840" max="4840" width="15" style="2" customWidth="1"/>
    <col min="4841" max="4841" width="14.85546875" style="2" customWidth="1"/>
    <col min="4842" max="4842" width="7.140625" style="2" customWidth="1"/>
    <col min="4843" max="4844" width="20.140625" style="2" customWidth="1"/>
    <col min="4845" max="4845" width="18.42578125" style="2" customWidth="1"/>
    <col min="4846" max="4846" width="9.140625" style="2" customWidth="1"/>
    <col min="4847" max="4847" width="12" style="2" customWidth="1"/>
    <col min="4848" max="4848" width="14.85546875" style="2" customWidth="1"/>
    <col min="4849" max="4849" width="22.42578125" style="2" customWidth="1"/>
    <col min="4850" max="4850" width="14.85546875" style="2" customWidth="1"/>
    <col min="4851" max="4851" width="7.140625" style="2" customWidth="1"/>
    <col min="4852" max="4852" width="20.140625" style="2" customWidth="1"/>
    <col min="4853" max="5084" width="8.5703125" style="2" customWidth="1"/>
    <col min="5085" max="5085" width="8.140625" style="2" customWidth="1"/>
    <col min="5086" max="5086" width="14.42578125" style="2" customWidth="1"/>
    <col min="5087" max="5087" width="37.42578125" style="2" customWidth="1"/>
    <col min="5088" max="5088" width="63.140625" style="2" customWidth="1"/>
    <col min="5089" max="5089" width="20" style="2" customWidth="1"/>
    <col min="5090" max="5090" width="11.140625" style="2" customWidth="1"/>
    <col min="5091" max="5091" width="10.85546875" style="2" customWidth="1"/>
    <col min="5092" max="5092" width="21" style="2" customWidth="1"/>
    <col min="5093" max="5093" width="10.85546875" style="2" customWidth="1"/>
    <col min="5094" max="5094" width="17.42578125" style="2" customWidth="1"/>
    <col min="5095" max="5095" width="14.85546875" style="2" customWidth="1"/>
    <col min="5096" max="5096" width="15" style="2" customWidth="1"/>
    <col min="5097" max="5097" width="14.85546875" style="2" customWidth="1"/>
    <col min="5098" max="5098" width="7.140625" style="2" customWidth="1"/>
    <col min="5099" max="5100" width="20.140625" style="2" customWidth="1"/>
    <col min="5101" max="5101" width="18.42578125" style="2" customWidth="1"/>
    <col min="5102" max="5102" width="9.140625" style="2" customWidth="1"/>
    <col min="5103" max="5103" width="12" style="2" customWidth="1"/>
    <col min="5104" max="5104" width="14.85546875" style="2" customWidth="1"/>
    <col min="5105" max="5105" width="22.42578125" style="2" customWidth="1"/>
    <col min="5106" max="5106" width="14.85546875" style="2" customWidth="1"/>
    <col min="5107" max="5107" width="7.140625" style="2" customWidth="1"/>
    <col min="5108" max="5108" width="20.140625" style="2" customWidth="1"/>
    <col min="5109" max="5340" width="8.5703125" style="2" customWidth="1"/>
    <col min="5341" max="5341" width="8.140625" style="2" customWidth="1"/>
    <col min="5342" max="5342" width="14.42578125" style="2" customWidth="1"/>
    <col min="5343" max="5343" width="37.42578125" style="2" customWidth="1"/>
    <col min="5344" max="5344" width="63.140625" style="2" customWidth="1"/>
    <col min="5345" max="5345" width="20" style="2" customWidth="1"/>
    <col min="5346" max="5346" width="11.140625" style="2" customWidth="1"/>
    <col min="5347" max="5347" width="10.85546875" style="2" customWidth="1"/>
    <col min="5348" max="5348" width="21" style="2" customWidth="1"/>
    <col min="5349" max="5349" width="10.85546875" style="2" customWidth="1"/>
    <col min="5350" max="5350" width="17.42578125" style="2" customWidth="1"/>
    <col min="5351" max="5351" width="14.85546875" style="2" customWidth="1"/>
    <col min="5352" max="5352" width="15" style="2" customWidth="1"/>
    <col min="5353" max="5353" width="14.85546875" style="2" customWidth="1"/>
    <col min="5354" max="5354" width="7.140625" style="2" customWidth="1"/>
    <col min="5355" max="5356" width="20.140625" style="2" customWidth="1"/>
    <col min="5357" max="5357" width="18.42578125" style="2" customWidth="1"/>
    <col min="5358" max="5358" width="9.140625" style="2" customWidth="1"/>
    <col min="5359" max="5359" width="12" style="2" customWidth="1"/>
    <col min="5360" max="5360" width="14.85546875" style="2" customWidth="1"/>
    <col min="5361" max="5361" width="22.42578125" style="2" customWidth="1"/>
    <col min="5362" max="5362" width="14.85546875" style="2" customWidth="1"/>
    <col min="5363" max="5363" width="7.140625" style="2" customWidth="1"/>
    <col min="5364" max="5364" width="20.140625" style="2" customWidth="1"/>
    <col min="5365" max="5596" width="8.5703125" style="2" customWidth="1"/>
    <col min="5597" max="5597" width="8.140625" style="2" customWidth="1"/>
    <col min="5598" max="5598" width="14.42578125" style="2" customWidth="1"/>
    <col min="5599" max="5599" width="37.42578125" style="2" customWidth="1"/>
    <col min="5600" max="5600" width="63.140625" style="2" customWidth="1"/>
    <col min="5601" max="5601" width="20" style="2" customWidth="1"/>
    <col min="5602" max="5602" width="11.140625" style="2" customWidth="1"/>
    <col min="5603" max="5603" width="10.85546875" style="2" customWidth="1"/>
    <col min="5604" max="5604" width="21" style="2" customWidth="1"/>
    <col min="5605" max="5605" width="10.85546875" style="2" customWidth="1"/>
    <col min="5606" max="5606" width="17.42578125" style="2" customWidth="1"/>
    <col min="5607" max="5607" width="14.85546875" style="2" customWidth="1"/>
    <col min="5608" max="5608" width="15" style="2" customWidth="1"/>
    <col min="5609" max="5609" width="14.85546875" style="2" customWidth="1"/>
    <col min="5610" max="5610" width="7.140625" style="2" customWidth="1"/>
    <col min="5611" max="5612" width="20.140625" style="2" customWidth="1"/>
    <col min="5613" max="5613" width="18.42578125" style="2" customWidth="1"/>
    <col min="5614" max="5614" width="9.140625" style="2" customWidth="1"/>
    <col min="5615" max="5615" width="12" style="2" customWidth="1"/>
    <col min="5616" max="5616" width="14.85546875" style="2" customWidth="1"/>
    <col min="5617" max="5617" width="22.42578125" style="2" customWidth="1"/>
    <col min="5618" max="5618" width="14.85546875" style="2" customWidth="1"/>
    <col min="5619" max="5619" width="7.140625" style="2" customWidth="1"/>
    <col min="5620" max="5620" width="20.140625" style="2" customWidth="1"/>
    <col min="5621" max="5852" width="8.5703125" style="2" customWidth="1"/>
    <col min="5853" max="5853" width="8.140625" style="2" customWidth="1"/>
    <col min="5854" max="5854" width="14.42578125" style="2" customWidth="1"/>
    <col min="5855" max="5855" width="37.42578125" style="2" customWidth="1"/>
    <col min="5856" max="5856" width="63.140625" style="2" customWidth="1"/>
    <col min="5857" max="5857" width="20" style="2" customWidth="1"/>
    <col min="5858" max="5858" width="11.140625" style="2" customWidth="1"/>
    <col min="5859" max="5859" width="10.85546875" style="2" customWidth="1"/>
    <col min="5860" max="5860" width="21" style="2" customWidth="1"/>
    <col min="5861" max="5861" width="10.85546875" style="2" customWidth="1"/>
    <col min="5862" max="5862" width="17.42578125" style="2" customWidth="1"/>
    <col min="5863" max="5863" width="14.85546875" style="2" customWidth="1"/>
    <col min="5864" max="5864" width="15" style="2" customWidth="1"/>
    <col min="5865" max="5865" width="14.85546875" style="2" customWidth="1"/>
    <col min="5866" max="5866" width="7.140625" style="2" customWidth="1"/>
    <col min="5867" max="5868" width="20.140625" style="2" customWidth="1"/>
    <col min="5869" max="5869" width="18.42578125" style="2" customWidth="1"/>
    <col min="5870" max="5870" width="9.140625" style="2" customWidth="1"/>
    <col min="5871" max="5871" width="12" style="2" customWidth="1"/>
    <col min="5872" max="5872" width="14.85546875" style="2" customWidth="1"/>
    <col min="5873" max="5873" width="22.42578125" style="2" customWidth="1"/>
    <col min="5874" max="5874" width="14.85546875" style="2" customWidth="1"/>
    <col min="5875" max="5875" width="7.140625" style="2" customWidth="1"/>
    <col min="5876" max="5876" width="20.140625" style="2" customWidth="1"/>
    <col min="5877" max="6108" width="8.5703125" style="2" customWidth="1"/>
    <col min="6109" max="6109" width="8.140625" style="2" customWidth="1"/>
    <col min="6110" max="6110" width="14.42578125" style="2" customWidth="1"/>
    <col min="6111" max="6111" width="37.42578125" style="2" customWidth="1"/>
    <col min="6112" max="6112" width="63.140625" style="2" customWidth="1"/>
    <col min="6113" max="6113" width="20" style="2" customWidth="1"/>
    <col min="6114" max="6114" width="11.140625" style="2" customWidth="1"/>
    <col min="6115" max="6115" width="10.85546875" style="2" customWidth="1"/>
    <col min="6116" max="6116" width="21" style="2" customWidth="1"/>
    <col min="6117" max="6117" width="10.85546875" style="2" customWidth="1"/>
    <col min="6118" max="6118" width="17.42578125" style="2" customWidth="1"/>
    <col min="6119" max="6119" width="14.85546875" style="2" customWidth="1"/>
    <col min="6120" max="6120" width="15" style="2" customWidth="1"/>
    <col min="6121" max="6121" width="14.85546875" style="2" customWidth="1"/>
    <col min="6122" max="6122" width="7.140625" style="2" customWidth="1"/>
    <col min="6123" max="6124" width="20.140625" style="2" customWidth="1"/>
    <col min="6125" max="6125" width="18.42578125" style="2" customWidth="1"/>
    <col min="6126" max="6126" width="9.140625" style="2" customWidth="1"/>
    <col min="6127" max="6127" width="12" style="2" customWidth="1"/>
    <col min="6128" max="6128" width="14.85546875" style="2" customWidth="1"/>
    <col min="6129" max="6129" width="22.42578125" style="2" customWidth="1"/>
    <col min="6130" max="6130" width="14.85546875" style="2" customWidth="1"/>
    <col min="6131" max="6131" width="7.140625" style="2" customWidth="1"/>
    <col min="6132" max="6132" width="20.140625" style="2" customWidth="1"/>
    <col min="6133" max="6364" width="8.5703125" style="2" customWidth="1"/>
    <col min="6365" max="6365" width="8.140625" style="2" customWidth="1"/>
    <col min="6366" max="6366" width="14.42578125" style="2" customWidth="1"/>
    <col min="6367" max="6367" width="37.42578125" style="2" customWidth="1"/>
    <col min="6368" max="6368" width="63.140625" style="2" customWidth="1"/>
    <col min="6369" max="6369" width="20" style="2" customWidth="1"/>
    <col min="6370" max="6370" width="11.140625" style="2" customWidth="1"/>
    <col min="6371" max="6371" width="10.85546875" style="2" customWidth="1"/>
    <col min="6372" max="6372" width="21" style="2" customWidth="1"/>
    <col min="6373" max="6373" width="10.85546875" style="2" customWidth="1"/>
    <col min="6374" max="6374" width="17.42578125" style="2" customWidth="1"/>
    <col min="6375" max="6375" width="14.85546875" style="2" customWidth="1"/>
    <col min="6376" max="6376" width="15" style="2" customWidth="1"/>
    <col min="6377" max="6377" width="14.85546875" style="2" customWidth="1"/>
    <col min="6378" max="6378" width="7.140625" style="2" customWidth="1"/>
    <col min="6379" max="6380" width="20.140625" style="2" customWidth="1"/>
    <col min="6381" max="6381" width="18.42578125" style="2" customWidth="1"/>
    <col min="6382" max="6382" width="9.140625" style="2" customWidth="1"/>
    <col min="6383" max="6383" width="12" style="2" customWidth="1"/>
    <col min="6384" max="6384" width="14.85546875" style="2" customWidth="1"/>
    <col min="6385" max="6385" width="22.42578125" style="2" customWidth="1"/>
    <col min="6386" max="6386" width="14.85546875" style="2" customWidth="1"/>
    <col min="6387" max="6387" width="7.140625" style="2" customWidth="1"/>
    <col min="6388" max="6388" width="20.140625" style="2" customWidth="1"/>
    <col min="6389" max="6620" width="8.5703125" style="2" customWidth="1"/>
    <col min="6621" max="6621" width="8.140625" style="2" customWidth="1"/>
    <col min="6622" max="6622" width="14.42578125" style="2" customWidth="1"/>
    <col min="6623" max="6623" width="37.42578125" style="2" customWidth="1"/>
    <col min="6624" max="6624" width="63.140625" style="2" customWidth="1"/>
    <col min="6625" max="6625" width="20" style="2" customWidth="1"/>
    <col min="6626" max="6626" width="11.140625" style="2" customWidth="1"/>
    <col min="6627" max="6627" width="10.85546875" style="2" customWidth="1"/>
    <col min="6628" max="6628" width="21" style="2" customWidth="1"/>
    <col min="6629" max="6629" width="10.85546875" style="2" customWidth="1"/>
    <col min="6630" max="6630" width="17.42578125" style="2" customWidth="1"/>
    <col min="6631" max="6631" width="14.85546875" style="2" customWidth="1"/>
    <col min="6632" max="6632" width="15" style="2" customWidth="1"/>
    <col min="6633" max="6633" width="14.85546875" style="2" customWidth="1"/>
    <col min="6634" max="6634" width="7.140625" style="2" customWidth="1"/>
    <col min="6635" max="6636" width="20.140625" style="2" customWidth="1"/>
    <col min="6637" max="6637" width="18.42578125" style="2" customWidth="1"/>
    <col min="6638" max="6638" width="9.140625" style="2" customWidth="1"/>
    <col min="6639" max="6639" width="12" style="2" customWidth="1"/>
    <col min="6640" max="6640" width="14.85546875" style="2" customWidth="1"/>
    <col min="6641" max="6641" width="22.42578125" style="2" customWidth="1"/>
    <col min="6642" max="6642" width="14.85546875" style="2" customWidth="1"/>
    <col min="6643" max="6643" width="7.140625" style="2" customWidth="1"/>
    <col min="6644" max="6644" width="20.140625" style="2" customWidth="1"/>
    <col min="6645" max="6876" width="8.5703125" style="2" customWidth="1"/>
    <col min="6877" max="6877" width="8.140625" style="2" customWidth="1"/>
    <col min="6878" max="6878" width="14.42578125" style="2" customWidth="1"/>
    <col min="6879" max="6879" width="37.42578125" style="2" customWidth="1"/>
    <col min="6880" max="6880" width="63.140625" style="2" customWidth="1"/>
    <col min="6881" max="6881" width="20" style="2" customWidth="1"/>
    <col min="6882" max="6882" width="11.140625" style="2" customWidth="1"/>
    <col min="6883" max="6883" width="10.85546875" style="2" customWidth="1"/>
    <col min="6884" max="6884" width="21" style="2" customWidth="1"/>
    <col min="6885" max="6885" width="10.85546875" style="2" customWidth="1"/>
    <col min="6886" max="6886" width="17.42578125" style="2" customWidth="1"/>
    <col min="6887" max="6887" width="14.85546875" style="2" customWidth="1"/>
    <col min="6888" max="6888" width="15" style="2" customWidth="1"/>
    <col min="6889" max="6889" width="14.85546875" style="2" customWidth="1"/>
    <col min="6890" max="6890" width="7.140625" style="2" customWidth="1"/>
    <col min="6891" max="6892" width="20.140625" style="2" customWidth="1"/>
    <col min="6893" max="6893" width="18.42578125" style="2" customWidth="1"/>
    <col min="6894" max="6894" width="9.140625" style="2" customWidth="1"/>
    <col min="6895" max="6895" width="12" style="2" customWidth="1"/>
    <col min="6896" max="6896" width="14.85546875" style="2" customWidth="1"/>
    <col min="6897" max="6897" width="22.42578125" style="2" customWidth="1"/>
    <col min="6898" max="6898" width="14.85546875" style="2" customWidth="1"/>
    <col min="6899" max="6899" width="7.140625" style="2" customWidth="1"/>
    <col min="6900" max="6900" width="20.140625" style="2" customWidth="1"/>
    <col min="6901" max="7132" width="8.5703125" style="2" customWidth="1"/>
    <col min="7133" max="7133" width="8.140625" style="2" customWidth="1"/>
    <col min="7134" max="7134" width="14.42578125" style="2" customWidth="1"/>
    <col min="7135" max="7135" width="37.42578125" style="2" customWidth="1"/>
    <col min="7136" max="7136" width="63.140625" style="2" customWidth="1"/>
    <col min="7137" max="7137" width="20" style="2" customWidth="1"/>
    <col min="7138" max="7138" width="11.140625" style="2" customWidth="1"/>
    <col min="7139" max="7139" width="10.85546875" style="2" customWidth="1"/>
    <col min="7140" max="7140" width="21" style="2" customWidth="1"/>
    <col min="7141" max="7141" width="10.85546875" style="2" customWidth="1"/>
    <col min="7142" max="7142" width="17.42578125" style="2" customWidth="1"/>
    <col min="7143" max="7143" width="14.85546875" style="2" customWidth="1"/>
    <col min="7144" max="7144" width="15" style="2" customWidth="1"/>
    <col min="7145" max="7145" width="14.85546875" style="2" customWidth="1"/>
    <col min="7146" max="7146" width="7.140625" style="2" customWidth="1"/>
    <col min="7147" max="7148" width="20.140625" style="2" customWidth="1"/>
    <col min="7149" max="7149" width="18.42578125" style="2" customWidth="1"/>
    <col min="7150" max="7150" width="9.140625" style="2" customWidth="1"/>
    <col min="7151" max="7151" width="12" style="2" customWidth="1"/>
    <col min="7152" max="7152" width="14.85546875" style="2" customWidth="1"/>
    <col min="7153" max="7153" width="22.42578125" style="2" customWidth="1"/>
    <col min="7154" max="7154" width="14.85546875" style="2" customWidth="1"/>
    <col min="7155" max="7155" width="7.140625" style="2" customWidth="1"/>
    <col min="7156" max="7156" width="20.140625" style="2" customWidth="1"/>
    <col min="7157" max="7388" width="8.5703125" style="2" customWidth="1"/>
    <col min="7389" max="7389" width="8.140625" style="2" customWidth="1"/>
    <col min="7390" max="7390" width="14.42578125" style="2" customWidth="1"/>
    <col min="7391" max="7391" width="37.42578125" style="2" customWidth="1"/>
    <col min="7392" max="7392" width="63.140625" style="2" customWidth="1"/>
    <col min="7393" max="7393" width="20" style="2" customWidth="1"/>
    <col min="7394" max="7394" width="11.140625" style="2" customWidth="1"/>
    <col min="7395" max="7395" width="10.85546875" style="2" customWidth="1"/>
    <col min="7396" max="7396" width="21" style="2" customWidth="1"/>
    <col min="7397" max="7397" width="10.85546875" style="2" customWidth="1"/>
    <col min="7398" max="7398" width="17.42578125" style="2" customWidth="1"/>
    <col min="7399" max="7399" width="14.85546875" style="2" customWidth="1"/>
    <col min="7400" max="7400" width="15" style="2" customWidth="1"/>
    <col min="7401" max="7401" width="14.85546875" style="2" customWidth="1"/>
    <col min="7402" max="7402" width="7.140625" style="2" customWidth="1"/>
    <col min="7403" max="7404" width="20.140625" style="2" customWidth="1"/>
    <col min="7405" max="7405" width="18.42578125" style="2" customWidth="1"/>
    <col min="7406" max="7406" width="9.140625" style="2" customWidth="1"/>
    <col min="7407" max="7407" width="12" style="2" customWidth="1"/>
    <col min="7408" max="7408" width="14.85546875" style="2" customWidth="1"/>
    <col min="7409" max="7409" width="22.42578125" style="2" customWidth="1"/>
    <col min="7410" max="7410" width="14.85546875" style="2" customWidth="1"/>
    <col min="7411" max="7411" width="7.140625" style="2" customWidth="1"/>
    <col min="7412" max="7412" width="20.140625" style="2" customWidth="1"/>
    <col min="7413" max="7644" width="8.5703125" style="2" customWidth="1"/>
    <col min="7645" max="7645" width="8.140625" style="2" customWidth="1"/>
    <col min="7646" max="7646" width="14.42578125" style="2" customWidth="1"/>
    <col min="7647" max="7647" width="37.42578125" style="2" customWidth="1"/>
    <col min="7648" max="7648" width="63.140625" style="2" customWidth="1"/>
    <col min="7649" max="7649" width="20" style="2" customWidth="1"/>
    <col min="7650" max="7650" width="11.140625" style="2" customWidth="1"/>
    <col min="7651" max="7651" width="10.85546875" style="2" customWidth="1"/>
    <col min="7652" max="7652" width="21" style="2" customWidth="1"/>
    <col min="7653" max="7653" width="10.85546875" style="2" customWidth="1"/>
    <col min="7654" max="7654" width="17.42578125" style="2" customWidth="1"/>
    <col min="7655" max="7655" width="14.85546875" style="2" customWidth="1"/>
    <col min="7656" max="7656" width="15" style="2" customWidth="1"/>
    <col min="7657" max="7657" width="14.85546875" style="2" customWidth="1"/>
    <col min="7658" max="7658" width="7.140625" style="2" customWidth="1"/>
    <col min="7659" max="7660" width="20.140625" style="2" customWidth="1"/>
    <col min="7661" max="7661" width="18.42578125" style="2" customWidth="1"/>
    <col min="7662" max="7662" width="9.140625" style="2" customWidth="1"/>
    <col min="7663" max="7663" width="12" style="2" customWidth="1"/>
    <col min="7664" max="7664" width="14.85546875" style="2" customWidth="1"/>
    <col min="7665" max="7665" width="22.42578125" style="2" customWidth="1"/>
    <col min="7666" max="7666" width="14.85546875" style="2" customWidth="1"/>
    <col min="7667" max="7667" width="7.140625" style="2" customWidth="1"/>
    <col min="7668" max="7668" width="20.140625" style="2" customWidth="1"/>
    <col min="7669" max="7900" width="8.5703125" style="2" customWidth="1"/>
    <col min="7901" max="7901" width="8.140625" style="2" customWidth="1"/>
    <col min="7902" max="7902" width="14.42578125" style="2" customWidth="1"/>
    <col min="7903" max="7903" width="37.42578125" style="2" customWidth="1"/>
    <col min="7904" max="7904" width="63.140625" style="2" customWidth="1"/>
    <col min="7905" max="7905" width="20" style="2" customWidth="1"/>
    <col min="7906" max="7906" width="11.140625" style="2" customWidth="1"/>
    <col min="7907" max="7907" width="10.85546875" style="2" customWidth="1"/>
    <col min="7908" max="7908" width="21" style="2" customWidth="1"/>
    <col min="7909" max="7909" width="10.85546875" style="2" customWidth="1"/>
    <col min="7910" max="7910" width="17.42578125" style="2" customWidth="1"/>
    <col min="7911" max="7911" width="14.85546875" style="2" customWidth="1"/>
    <col min="7912" max="7912" width="15" style="2" customWidth="1"/>
    <col min="7913" max="7913" width="14.85546875" style="2" customWidth="1"/>
    <col min="7914" max="7914" width="7.140625" style="2" customWidth="1"/>
    <col min="7915" max="7916" width="20.140625" style="2" customWidth="1"/>
    <col min="7917" max="7917" width="18.42578125" style="2" customWidth="1"/>
    <col min="7918" max="7918" width="9.140625" style="2" customWidth="1"/>
    <col min="7919" max="7919" width="12" style="2" customWidth="1"/>
    <col min="7920" max="7920" width="14.85546875" style="2" customWidth="1"/>
    <col min="7921" max="7921" width="22.42578125" style="2" customWidth="1"/>
    <col min="7922" max="7922" width="14.85546875" style="2" customWidth="1"/>
    <col min="7923" max="7923" width="7.140625" style="2" customWidth="1"/>
    <col min="7924" max="7924" width="20.140625" style="2" customWidth="1"/>
    <col min="7925" max="8156" width="8.5703125" style="2" customWidth="1"/>
    <col min="8157" max="8157" width="8.140625" style="2" customWidth="1"/>
    <col min="8158" max="8158" width="14.42578125" style="2" customWidth="1"/>
    <col min="8159" max="8159" width="37.42578125" style="2" customWidth="1"/>
    <col min="8160" max="8160" width="63.140625" style="2" customWidth="1"/>
    <col min="8161" max="8161" width="20" style="2" customWidth="1"/>
    <col min="8162" max="8162" width="11.140625" style="2" customWidth="1"/>
    <col min="8163" max="8163" width="10.85546875" style="2" customWidth="1"/>
    <col min="8164" max="8164" width="21" style="2" customWidth="1"/>
    <col min="8165" max="8165" width="10.85546875" style="2" customWidth="1"/>
    <col min="8166" max="8166" width="17.42578125" style="2" customWidth="1"/>
    <col min="8167" max="8167" width="14.85546875" style="2" customWidth="1"/>
    <col min="8168" max="8168" width="15" style="2" customWidth="1"/>
    <col min="8169" max="8169" width="14.85546875" style="2" customWidth="1"/>
    <col min="8170" max="8170" width="7.140625" style="2" customWidth="1"/>
    <col min="8171" max="8172" width="20.140625" style="2" customWidth="1"/>
    <col min="8173" max="8173" width="18.42578125" style="2" customWidth="1"/>
    <col min="8174" max="8174" width="9.140625" style="2" customWidth="1"/>
    <col min="8175" max="8175" width="12" style="2" customWidth="1"/>
    <col min="8176" max="8176" width="14.85546875" style="2" customWidth="1"/>
    <col min="8177" max="8177" width="22.42578125" style="2" customWidth="1"/>
    <col min="8178" max="8178" width="14.85546875" style="2" customWidth="1"/>
    <col min="8179" max="8179" width="7.140625" style="2" customWidth="1"/>
    <col min="8180" max="8180" width="20.140625" style="2" customWidth="1"/>
    <col min="8181" max="8412" width="8.5703125" style="2" customWidth="1"/>
    <col min="8413" max="8413" width="8.140625" style="2" customWidth="1"/>
    <col min="8414" max="8414" width="14.42578125" style="2" customWidth="1"/>
    <col min="8415" max="8415" width="37.42578125" style="2" customWidth="1"/>
    <col min="8416" max="8416" width="63.140625" style="2" customWidth="1"/>
    <col min="8417" max="8417" width="20" style="2" customWidth="1"/>
    <col min="8418" max="8418" width="11.140625" style="2" customWidth="1"/>
    <col min="8419" max="8419" width="10.85546875" style="2" customWidth="1"/>
    <col min="8420" max="8420" width="21" style="2" customWidth="1"/>
    <col min="8421" max="8421" width="10.85546875" style="2" customWidth="1"/>
    <col min="8422" max="8422" width="17.42578125" style="2" customWidth="1"/>
    <col min="8423" max="8423" width="14.85546875" style="2" customWidth="1"/>
    <col min="8424" max="8424" width="15" style="2" customWidth="1"/>
    <col min="8425" max="8425" width="14.85546875" style="2" customWidth="1"/>
    <col min="8426" max="8426" width="7.140625" style="2" customWidth="1"/>
    <col min="8427" max="8428" width="20.140625" style="2" customWidth="1"/>
    <col min="8429" max="8429" width="18.42578125" style="2" customWidth="1"/>
    <col min="8430" max="8430" width="9.140625" style="2" customWidth="1"/>
    <col min="8431" max="8431" width="12" style="2" customWidth="1"/>
    <col min="8432" max="8432" width="14.85546875" style="2" customWidth="1"/>
    <col min="8433" max="8433" width="22.42578125" style="2" customWidth="1"/>
    <col min="8434" max="8434" width="14.85546875" style="2" customWidth="1"/>
    <col min="8435" max="8435" width="7.140625" style="2" customWidth="1"/>
    <col min="8436" max="8436" width="20.140625" style="2" customWidth="1"/>
    <col min="8437" max="8668" width="8.5703125" style="2" customWidth="1"/>
    <col min="8669" max="8669" width="8.140625" style="2" customWidth="1"/>
    <col min="8670" max="8670" width="14.42578125" style="2" customWidth="1"/>
    <col min="8671" max="8671" width="37.42578125" style="2" customWidth="1"/>
    <col min="8672" max="8672" width="63.140625" style="2" customWidth="1"/>
    <col min="8673" max="8673" width="20" style="2" customWidth="1"/>
    <col min="8674" max="8674" width="11.140625" style="2" customWidth="1"/>
    <col min="8675" max="8675" width="10.85546875" style="2" customWidth="1"/>
    <col min="8676" max="8676" width="21" style="2" customWidth="1"/>
    <col min="8677" max="8677" width="10.85546875" style="2" customWidth="1"/>
    <col min="8678" max="8678" width="17.42578125" style="2" customWidth="1"/>
    <col min="8679" max="8679" width="14.85546875" style="2" customWidth="1"/>
    <col min="8680" max="8680" width="15" style="2" customWidth="1"/>
    <col min="8681" max="8681" width="14.85546875" style="2" customWidth="1"/>
    <col min="8682" max="8682" width="7.140625" style="2" customWidth="1"/>
    <col min="8683" max="8684" width="20.140625" style="2" customWidth="1"/>
    <col min="8685" max="8685" width="18.42578125" style="2" customWidth="1"/>
    <col min="8686" max="8686" width="9.140625" style="2" customWidth="1"/>
    <col min="8687" max="8687" width="12" style="2" customWidth="1"/>
    <col min="8688" max="8688" width="14.85546875" style="2" customWidth="1"/>
    <col min="8689" max="8689" width="22.42578125" style="2" customWidth="1"/>
    <col min="8690" max="8690" width="14.85546875" style="2" customWidth="1"/>
    <col min="8691" max="8691" width="7.140625" style="2" customWidth="1"/>
    <col min="8692" max="8692" width="20.140625" style="2" customWidth="1"/>
    <col min="8693" max="8924" width="8.5703125" style="2" customWidth="1"/>
    <col min="8925" max="8925" width="8.140625" style="2" customWidth="1"/>
    <col min="8926" max="8926" width="14.42578125" style="2" customWidth="1"/>
    <col min="8927" max="8927" width="37.42578125" style="2" customWidth="1"/>
    <col min="8928" max="8928" width="63.140625" style="2" customWidth="1"/>
    <col min="8929" max="8929" width="20" style="2" customWidth="1"/>
    <col min="8930" max="8930" width="11.140625" style="2" customWidth="1"/>
    <col min="8931" max="8931" width="10.85546875" style="2" customWidth="1"/>
    <col min="8932" max="8932" width="21" style="2" customWidth="1"/>
    <col min="8933" max="8933" width="10.85546875" style="2" customWidth="1"/>
    <col min="8934" max="8934" width="17.42578125" style="2" customWidth="1"/>
    <col min="8935" max="8935" width="14.85546875" style="2" customWidth="1"/>
    <col min="8936" max="8936" width="15" style="2" customWidth="1"/>
    <col min="8937" max="8937" width="14.85546875" style="2" customWidth="1"/>
    <col min="8938" max="8938" width="7.140625" style="2" customWidth="1"/>
    <col min="8939" max="8940" width="20.140625" style="2" customWidth="1"/>
    <col min="8941" max="8941" width="18.42578125" style="2" customWidth="1"/>
    <col min="8942" max="8942" width="9.140625" style="2" customWidth="1"/>
    <col min="8943" max="8943" width="12" style="2" customWidth="1"/>
    <col min="8944" max="8944" width="14.85546875" style="2" customWidth="1"/>
    <col min="8945" max="8945" width="22.42578125" style="2" customWidth="1"/>
    <col min="8946" max="8946" width="14.85546875" style="2" customWidth="1"/>
    <col min="8947" max="8947" width="7.140625" style="2" customWidth="1"/>
    <col min="8948" max="8948" width="20.140625" style="2" customWidth="1"/>
    <col min="8949" max="9180" width="8.5703125" style="2" customWidth="1"/>
    <col min="9181" max="9181" width="8.140625" style="2" customWidth="1"/>
    <col min="9182" max="9182" width="14.42578125" style="2" customWidth="1"/>
    <col min="9183" max="9183" width="37.42578125" style="2" customWidth="1"/>
    <col min="9184" max="9184" width="63.140625" style="2" customWidth="1"/>
    <col min="9185" max="9185" width="20" style="2" customWidth="1"/>
    <col min="9186" max="9186" width="11.140625" style="2" customWidth="1"/>
    <col min="9187" max="9187" width="10.85546875" style="2" customWidth="1"/>
    <col min="9188" max="9188" width="21" style="2" customWidth="1"/>
    <col min="9189" max="9189" width="10.85546875" style="2" customWidth="1"/>
    <col min="9190" max="9190" width="17.42578125" style="2" customWidth="1"/>
    <col min="9191" max="9191" width="14.85546875" style="2" customWidth="1"/>
    <col min="9192" max="9192" width="15" style="2" customWidth="1"/>
    <col min="9193" max="9193" width="14.85546875" style="2" customWidth="1"/>
    <col min="9194" max="9194" width="7.140625" style="2" customWidth="1"/>
    <col min="9195" max="9196" width="20.140625" style="2" customWidth="1"/>
    <col min="9197" max="9197" width="18.42578125" style="2" customWidth="1"/>
    <col min="9198" max="9198" width="9.140625" style="2" customWidth="1"/>
    <col min="9199" max="9199" width="12" style="2" customWidth="1"/>
    <col min="9200" max="9200" width="14.85546875" style="2" customWidth="1"/>
    <col min="9201" max="9201" width="22.42578125" style="2" customWidth="1"/>
    <col min="9202" max="9202" width="14.85546875" style="2" customWidth="1"/>
    <col min="9203" max="9203" width="7.140625" style="2" customWidth="1"/>
    <col min="9204" max="9204" width="20.140625" style="2" customWidth="1"/>
    <col min="9205" max="9436" width="8.5703125" style="2" customWidth="1"/>
    <col min="9437" max="9437" width="8.140625" style="2" customWidth="1"/>
    <col min="9438" max="9438" width="14.42578125" style="2" customWidth="1"/>
    <col min="9439" max="9439" width="37.42578125" style="2" customWidth="1"/>
    <col min="9440" max="9440" width="63.140625" style="2" customWidth="1"/>
    <col min="9441" max="9441" width="20" style="2" customWidth="1"/>
    <col min="9442" max="9442" width="11.140625" style="2" customWidth="1"/>
    <col min="9443" max="9443" width="10.85546875" style="2" customWidth="1"/>
    <col min="9444" max="9444" width="21" style="2" customWidth="1"/>
    <col min="9445" max="9445" width="10.85546875" style="2" customWidth="1"/>
    <col min="9446" max="9446" width="17.42578125" style="2" customWidth="1"/>
    <col min="9447" max="9447" width="14.85546875" style="2" customWidth="1"/>
    <col min="9448" max="9448" width="15" style="2" customWidth="1"/>
    <col min="9449" max="9449" width="14.85546875" style="2" customWidth="1"/>
    <col min="9450" max="9450" width="7.140625" style="2" customWidth="1"/>
    <col min="9451" max="9452" width="20.140625" style="2" customWidth="1"/>
    <col min="9453" max="9453" width="18.42578125" style="2" customWidth="1"/>
    <col min="9454" max="9454" width="9.140625" style="2" customWidth="1"/>
    <col min="9455" max="9455" width="12" style="2" customWidth="1"/>
    <col min="9456" max="9456" width="14.85546875" style="2" customWidth="1"/>
    <col min="9457" max="9457" width="22.42578125" style="2" customWidth="1"/>
    <col min="9458" max="9458" width="14.85546875" style="2" customWidth="1"/>
    <col min="9459" max="9459" width="7.140625" style="2" customWidth="1"/>
    <col min="9460" max="9460" width="20.140625" style="2" customWidth="1"/>
    <col min="9461" max="9692" width="8.5703125" style="2" customWidth="1"/>
    <col min="9693" max="9693" width="8.140625" style="2" customWidth="1"/>
    <col min="9694" max="9694" width="14.42578125" style="2" customWidth="1"/>
    <col min="9695" max="9695" width="37.42578125" style="2" customWidth="1"/>
    <col min="9696" max="9696" width="63.140625" style="2" customWidth="1"/>
    <col min="9697" max="9697" width="20" style="2" customWidth="1"/>
    <col min="9698" max="9698" width="11.140625" style="2" customWidth="1"/>
    <col min="9699" max="9699" width="10.85546875" style="2" customWidth="1"/>
    <col min="9700" max="9700" width="21" style="2" customWidth="1"/>
    <col min="9701" max="9701" width="10.85546875" style="2" customWidth="1"/>
    <col min="9702" max="9702" width="17.42578125" style="2" customWidth="1"/>
    <col min="9703" max="9703" width="14.85546875" style="2" customWidth="1"/>
    <col min="9704" max="9704" width="15" style="2" customWidth="1"/>
    <col min="9705" max="9705" width="14.85546875" style="2" customWidth="1"/>
    <col min="9706" max="9706" width="7.140625" style="2" customWidth="1"/>
    <col min="9707" max="9708" width="20.140625" style="2" customWidth="1"/>
    <col min="9709" max="9709" width="18.42578125" style="2" customWidth="1"/>
    <col min="9710" max="9710" width="9.140625" style="2" customWidth="1"/>
    <col min="9711" max="9711" width="12" style="2" customWidth="1"/>
    <col min="9712" max="9712" width="14.85546875" style="2" customWidth="1"/>
    <col min="9713" max="9713" width="22.42578125" style="2" customWidth="1"/>
    <col min="9714" max="9714" width="14.85546875" style="2" customWidth="1"/>
    <col min="9715" max="9715" width="7.140625" style="2" customWidth="1"/>
    <col min="9716" max="9716" width="20.140625" style="2" customWidth="1"/>
    <col min="9717" max="9948" width="8.5703125" style="2" customWidth="1"/>
    <col min="9949" max="9949" width="8.140625" style="2" customWidth="1"/>
    <col min="9950" max="9950" width="14.42578125" style="2" customWidth="1"/>
    <col min="9951" max="9951" width="37.42578125" style="2" customWidth="1"/>
    <col min="9952" max="9952" width="63.140625" style="2" customWidth="1"/>
    <col min="9953" max="9953" width="20" style="2" customWidth="1"/>
    <col min="9954" max="9954" width="11.140625" style="2" customWidth="1"/>
    <col min="9955" max="9955" width="10.85546875" style="2" customWidth="1"/>
    <col min="9956" max="9956" width="21" style="2" customWidth="1"/>
    <col min="9957" max="9957" width="10.85546875" style="2" customWidth="1"/>
    <col min="9958" max="9958" width="17.42578125" style="2" customWidth="1"/>
    <col min="9959" max="9959" width="14.85546875" style="2" customWidth="1"/>
    <col min="9960" max="9960" width="15" style="2" customWidth="1"/>
    <col min="9961" max="9961" width="14.85546875" style="2" customWidth="1"/>
    <col min="9962" max="9962" width="7.140625" style="2" customWidth="1"/>
    <col min="9963" max="9964" width="20.140625" style="2" customWidth="1"/>
    <col min="9965" max="9965" width="18.42578125" style="2" customWidth="1"/>
    <col min="9966" max="9966" width="9.140625" style="2" customWidth="1"/>
    <col min="9967" max="9967" width="12" style="2" customWidth="1"/>
    <col min="9968" max="9968" width="14.85546875" style="2" customWidth="1"/>
    <col min="9969" max="9969" width="22.42578125" style="2" customWidth="1"/>
    <col min="9970" max="9970" width="14.85546875" style="2" customWidth="1"/>
    <col min="9971" max="9971" width="7.140625" style="2" customWidth="1"/>
    <col min="9972" max="9972" width="20.140625" style="2" customWidth="1"/>
    <col min="9973" max="10204" width="8.5703125" style="2" customWidth="1"/>
    <col min="10205" max="10205" width="8.140625" style="2" customWidth="1"/>
    <col min="10206" max="10206" width="14.42578125" style="2" customWidth="1"/>
    <col min="10207" max="10207" width="37.42578125" style="2" customWidth="1"/>
    <col min="10208" max="10208" width="63.140625" style="2" customWidth="1"/>
    <col min="10209" max="10209" width="20" style="2" customWidth="1"/>
    <col min="10210" max="10210" width="11.140625" style="2" customWidth="1"/>
    <col min="10211" max="10211" width="10.85546875" style="2" customWidth="1"/>
    <col min="10212" max="10212" width="21" style="2" customWidth="1"/>
    <col min="10213" max="10213" width="10.85546875" style="2" customWidth="1"/>
    <col min="10214" max="10214" width="17.42578125" style="2" customWidth="1"/>
    <col min="10215" max="10215" width="14.85546875" style="2" customWidth="1"/>
    <col min="10216" max="10216" width="15" style="2" customWidth="1"/>
    <col min="10217" max="10217" width="14.85546875" style="2" customWidth="1"/>
    <col min="10218" max="10218" width="7.140625" style="2" customWidth="1"/>
    <col min="10219" max="10220" width="20.140625" style="2" customWidth="1"/>
    <col min="10221" max="10221" width="18.42578125" style="2" customWidth="1"/>
    <col min="10222" max="10222" width="9.140625" style="2" customWidth="1"/>
    <col min="10223" max="10223" width="12" style="2" customWidth="1"/>
    <col min="10224" max="10224" width="14.85546875" style="2" customWidth="1"/>
    <col min="10225" max="10225" width="22.42578125" style="2" customWidth="1"/>
    <col min="10226" max="10226" width="14.85546875" style="2" customWidth="1"/>
    <col min="10227" max="10227" width="7.140625" style="2" customWidth="1"/>
    <col min="10228" max="10228" width="20.140625" style="2" customWidth="1"/>
    <col min="10229" max="10460" width="8.5703125" style="2" customWidth="1"/>
    <col min="10461" max="10461" width="8.140625" style="2" customWidth="1"/>
    <col min="10462" max="10462" width="14.42578125" style="2" customWidth="1"/>
    <col min="10463" max="10463" width="37.42578125" style="2" customWidth="1"/>
    <col min="10464" max="10464" width="63.140625" style="2" customWidth="1"/>
    <col min="10465" max="10465" width="20" style="2" customWidth="1"/>
    <col min="10466" max="10466" width="11.140625" style="2" customWidth="1"/>
    <col min="10467" max="10467" width="10.85546875" style="2" customWidth="1"/>
    <col min="10468" max="10468" width="21" style="2" customWidth="1"/>
    <col min="10469" max="10469" width="10.85546875" style="2" customWidth="1"/>
    <col min="10470" max="10470" width="17.42578125" style="2" customWidth="1"/>
    <col min="10471" max="10471" width="14.85546875" style="2" customWidth="1"/>
    <col min="10472" max="10472" width="15" style="2" customWidth="1"/>
    <col min="10473" max="10473" width="14.85546875" style="2" customWidth="1"/>
    <col min="10474" max="10474" width="7.140625" style="2" customWidth="1"/>
    <col min="10475" max="10476" width="20.140625" style="2" customWidth="1"/>
    <col min="10477" max="10477" width="18.42578125" style="2" customWidth="1"/>
    <col min="10478" max="10478" width="9.140625" style="2" customWidth="1"/>
    <col min="10479" max="10479" width="12" style="2" customWidth="1"/>
    <col min="10480" max="10480" width="14.85546875" style="2" customWidth="1"/>
    <col min="10481" max="10481" width="22.42578125" style="2" customWidth="1"/>
    <col min="10482" max="10482" width="14.85546875" style="2" customWidth="1"/>
    <col min="10483" max="10483" width="7.140625" style="2" customWidth="1"/>
    <col min="10484" max="10484" width="20.140625" style="2" customWidth="1"/>
    <col min="10485" max="10716" width="8.5703125" style="2" customWidth="1"/>
    <col min="10717" max="10717" width="8.140625" style="2" customWidth="1"/>
    <col min="10718" max="10718" width="14.42578125" style="2" customWidth="1"/>
    <col min="10719" max="10719" width="37.42578125" style="2" customWidth="1"/>
    <col min="10720" max="10720" width="63.140625" style="2" customWidth="1"/>
    <col min="10721" max="10721" width="20" style="2" customWidth="1"/>
    <col min="10722" max="10722" width="11.140625" style="2" customWidth="1"/>
    <col min="10723" max="10723" width="10.85546875" style="2" customWidth="1"/>
    <col min="10724" max="10724" width="21" style="2" customWidth="1"/>
    <col min="10725" max="10725" width="10.85546875" style="2" customWidth="1"/>
    <col min="10726" max="10726" width="17.42578125" style="2" customWidth="1"/>
    <col min="10727" max="10727" width="14.85546875" style="2" customWidth="1"/>
    <col min="10728" max="10728" width="15" style="2" customWidth="1"/>
    <col min="10729" max="10729" width="14.85546875" style="2" customWidth="1"/>
    <col min="10730" max="10730" width="7.140625" style="2" customWidth="1"/>
    <col min="10731" max="10732" width="20.140625" style="2" customWidth="1"/>
    <col min="10733" max="10733" width="18.42578125" style="2" customWidth="1"/>
    <col min="10734" max="10734" width="9.140625" style="2" customWidth="1"/>
    <col min="10735" max="10735" width="12" style="2" customWidth="1"/>
    <col min="10736" max="10736" width="14.85546875" style="2" customWidth="1"/>
    <col min="10737" max="10737" width="22.42578125" style="2" customWidth="1"/>
    <col min="10738" max="10738" width="14.85546875" style="2" customWidth="1"/>
    <col min="10739" max="10739" width="7.140625" style="2" customWidth="1"/>
    <col min="10740" max="10740" width="20.140625" style="2" customWidth="1"/>
    <col min="10741" max="10972" width="8.5703125" style="2" customWidth="1"/>
    <col min="10973" max="10973" width="8.140625" style="2" customWidth="1"/>
    <col min="10974" max="10974" width="14.42578125" style="2" customWidth="1"/>
    <col min="10975" max="10975" width="37.42578125" style="2" customWidth="1"/>
    <col min="10976" max="10976" width="63.140625" style="2" customWidth="1"/>
    <col min="10977" max="10977" width="20" style="2" customWidth="1"/>
    <col min="10978" max="10978" width="11.140625" style="2" customWidth="1"/>
    <col min="10979" max="10979" width="10.85546875" style="2" customWidth="1"/>
    <col min="10980" max="10980" width="21" style="2" customWidth="1"/>
    <col min="10981" max="10981" width="10.85546875" style="2" customWidth="1"/>
    <col min="10982" max="10982" width="17.42578125" style="2" customWidth="1"/>
    <col min="10983" max="10983" width="14.85546875" style="2" customWidth="1"/>
    <col min="10984" max="10984" width="15" style="2" customWidth="1"/>
    <col min="10985" max="10985" width="14.85546875" style="2" customWidth="1"/>
    <col min="10986" max="10986" width="7.140625" style="2" customWidth="1"/>
    <col min="10987" max="10988" width="20.140625" style="2" customWidth="1"/>
    <col min="10989" max="10989" width="18.42578125" style="2" customWidth="1"/>
    <col min="10990" max="10990" width="9.140625" style="2" customWidth="1"/>
    <col min="10991" max="10991" width="12" style="2" customWidth="1"/>
    <col min="10992" max="10992" width="14.85546875" style="2" customWidth="1"/>
    <col min="10993" max="10993" width="22.42578125" style="2" customWidth="1"/>
    <col min="10994" max="10994" width="14.85546875" style="2" customWidth="1"/>
    <col min="10995" max="10995" width="7.140625" style="2" customWidth="1"/>
    <col min="10996" max="10996" width="20.140625" style="2" customWidth="1"/>
    <col min="10997" max="11228" width="8.5703125" style="2" customWidth="1"/>
    <col min="11229" max="11229" width="8.140625" style="2" customWidth="1"/>
    <col min="11230" max="11230" width="14.42578125" style="2" customWidth="1"/>
    <col min="11231" max="11231" width="37.42578125" style="2" customWidth="1"/>
    <col min="11232" max="11232" width="63.140625" style="2" customWidth="1"/>
    <col min="11233" max="11233" width="20" style="2" customWidth="1"/>
    <col min="11234" max="11234" width="11.140625" style="2" customWidth="1"/>
    <col min="11235" max="11235" width="10.85546875" style="2" customWidth="1"/>
    <col min="11236" max="11236" width="21" style="2" customWidth="1"/>
    <col min="11237" max="11237" width="10.85546875" style="2" customWidth="1"/>
    <col min="11238" max="11238" width="17.42578125" style="2" customWidth="1"/>
    <col min="11239" max="11239" width="14.85546875" style="2" customWidth="1"/>
    <col min="11240" max="11240" width="15" style="2" customWidth="1"/>
    <col min="11241" max="11241" width="14.85546875" style="2" customWidth="1"/>
    <col min="11242" max="11242" width="7.140625" style="2" customWidth="1"/>
    <col min="11243" max="11244" width="20.140625" style="2" customWidth="1"/>
    <col min="11245" max="11245" width="18.42578125" style="2" customWidth="1"/>
    <col min="11246" max="11246" width="9.140625" style="2" customWidth="1"/>
    <col min="11247" max="11247" width="12" style="2" customWidth="1"/>
    <col min="11248" max="11248" width="14.85546875" style="2" customWidth="1"/>
    <col min="11249" max="11249" width="22.42578125" style="2" customWidth="1"/>
    <col min="11250" max="11250" width="14.85546875" style="2" customWidth="1"/>
    <col min="11251" max="11251" width="7.140625" style="2" customWidth="1"/>
    <col min="11252" max="11252" width="20.140625" style="2" customWidth="1"/>
    <col min="11253" max="11484" width="8.5703125" style="2" customWidth="1"/>
    <col min="11485" max="11485" width="8.140625" style="2" customWidth="1"/>
    <col min="11486" max="11486" width="14.42578125" style="2" customWidth="1"/>
    <col min="11487" max="11487" width="37.42578125" style="2" customWidth="1"/>
    <col min="11488" max="11488" width="63.140625" style="2" customWidth="1"/>
    <col min="11489" max="11489" width="20" style="2" customWidth="1"/>
    <col min="11490" max="11490" width="11.140625" style="2" customWidth="1"/>
    <col min="11491" max="11491" width="10.85546875" style="2" customWidth="1"/>
    <col min="11492" max="11492" width="21" style="2" customWidth="1"/>
    <col min="11493" max="11493" width="10.85546875" style="2" customWidth="1"/>
    <col min="11494" max="11494" width="17.42578125" style="2" customWidth="1"/>
    <col min="11495" max="11495" width="14.85546875" style="2" customWidth="1"/>
    <col min="11496" max="11496" width="15" style="2" customWidth="1"/>
    <col min="11497" max="11497" width="14.85546875" style="2" customWidth="1"/>
    <col min="11498" max="11498" width="7.140625" style="2" customWidth="1"/>
    <col min="11499" max="11500" width="20.140625" style="2" customWidth="1"/>
    <col min="11501" max="11501" width="18.42578125" style="2" customWidth="1"/>
    <col min="11502" max="11502" width="9.140625" style="2" customWidth="1"/>
    <col min="11503" max="11503" width="12" style="2" customWidth="1"/>
    <col min="11504" max="11504" width="14.85546875" style="2" customWidth="1"/>
    <col min="11505" max="11505" width="22.42578125" style="2" customWidth="1"/>
    <col min="11506" max="11506" width="14.85546875" style="2" customWidth="1"/>
    <col min="11507" max="11507" width="7.140625" style="2" customWidth="1"/>
    <col min="11508" max="11508" width="20.140625" style="2" customWidth="1"/>
    <col min="11509" max="11740" width="8.5703125" style="2" customWidth="1"/>
    <col min="11741" max="11741" width="8.140625" style="2" customWidth="1"/>
    <col min="11742" max="11742" width="14.42578125" style="2" customWidth="1"/>
    <col min="11743" max="11743" width="37.42578125" style="2" customWidth="1"/>
    <col min="11744" max="11744" width="63.140625" style="2" customWidth="1"/>
    <col min="11745" max="11745" width="20" style="2" customWidth="1"/>
    <col min="11746" max="11746" width="11.140625" style="2" customWidth="1"/>
    <col min="11747" max="11747" width="10.85546875" style="2" customWidth="1"/>
    <col min="11748" max="11748" width="21" style="2" customWidth="1"/>
    <col min="11749" max="11749" width="10.85546875" style="2" customWidth="1"/>
    <col min="11750" max="11750" width="17.42578125" style="2" customWidth="1"/>
    <col min="11751" max="11751" width="14.85546875" style="2" customWidth="1"/>
    <col min="11752" max="11752" width="15" style="2" customWidth="1"/>
    <col min="11753" max="11753" width="14.85546875" style="2" customWidth="1"/>
    <col min="11754" max="11754" width="7.140625" style="2" customWidth="1"/>
    <col min="11755" max="11756" width="20.140625" style="2" customWidth="1"/>
    <col min="11757" max="11757" width="18.42578125" style="2" customWidth="1"/>
    <col min="11758" max="11758" width="9.140625" style="2" customWidth="1"/>
    <col min="11759" max="11759" width="12" style="2" customWidth="1"/>
    <col min="11760" max="11760" width="14.85546875" style="2" customWidth="1"/>
    <col min="11761" max="11761" width="22.42578125" style="2" customWidth="1"/>
    <col min="11762" max="11762" width="14.85546875" style="2" customWidth="1"/>
    <col min="11763" max="11763" width="7.140625" style="2" customWidth="1"/>
    <col min="11764" max="11764" width="20.140625" style="2" customWidth="1"/>
    <col min="11765" max="11996" width="8.5703125" style="2" customWidth="1"/>
    <col min="11997" max="11997" width="8.140625" style="2" customWidth="1"/>
    <col min="11998" max="11998" width="14.42578125" style="2" customWidth="1"/>
    <col min="11999" max="11999" width="37.42578125" style="2" customWidth="1"/>
    <col min="12000" max="12000" width="63.140625" style="2" customWidth="1"/>
    <col min="12001" max="12001" width="20" style="2" customWidth="1"/>
    <col min="12002" max="12002" width="11.140625" style="2" customWidth="1"/>
    <col min="12003" max="12003" width="10.85546875" style="2" customWidth="1"/>
    <col min="12004" max="12004" width="21" style="2" customWidth="1"/>
    <col min="12005" max="12005" width="10.85546875" style="2" customWidth="1"/>
    <col min="12006" max="12006" width="17.42578125" style="2" customWidth="1"/>
    <col min="12007" max="12007" width="14.85546875" style="2" customWidth="1"/>
    <col min="12008" max="12008" width="15" style="2" customWidth="1"/>
    <col min="12009" max="12009" width="14.85546875" style="2" customWidth="1"/>
    <col min="12010" max="12010" width="7.140625" style="2" customWidth="1"/>
    <col min="12011" max="12012" width="20.140625" style="2" customWidth="1"/>
    <col min="12013" max="12013" width="18.42578125" style="2" customWidth="1"/>
    <col min="12014" max="12014" width="9.140625" style="2" customWidth="1"/>
    <col min="12015" max="12015" width="12" style="2" customWidth="1"/>
    <col min="12016" max="12016" width="14.85546875" style="2" customWidth="1"/>
    <col min="12017" max="12017" width="22.42578125" style="2" customWidth="1"/>
    <col min="12018" max="12018" width="14.85546875" style="2" customWidth="1"/>
    <col min="12019" max="12019" width="7.140625" style="2" customWidth="1"/>
    <col min="12020" max="12020" width="20.140625" style="2" customWidth="1"/>
    <col min="12021" max="12252" width="8.5703125" style="2" customWidth="1"/>
    <col min="12253" max="12253" width="8.140625" style="2" customWidth="1"/>
    <col min="12254" max="12254" width="14.42578125" style="2" customWidth="1"/>
    <col min="12255" max="12255" width="37.42578125" style="2" customWidth="1"/>
    <col min="12256" max="12256" width="63.140625" style="2" customWidth="1"/>
    <col min="12257" max="12257" width="20" style="2" customWidth="1"/>
    <col min="12258" max="12258" width="11.140625" style="2" customWidth="1"/>
    <col min="12259" max="12259" width="10.85546875" style="2" customWidth="1"/>
    <col min="12260" max="12260" width="21" style="2" customWidth="1"/>
    <col min="12261" max="12261" width="10.85546875" style="2" customWidth="1"/>
    <col min="12262" max="12262" width="17.42578125" style="2" customWidth="1"/>
    <col min="12263" max="12263" width="14.85546875" style="2" customWidth="1"/>
    <col min="12264" max="12264" width="15" style="2" customWidth="1"/>
    <col min="12265" max="12265" width="14.85546875" style="2" customWidth="1"/>
    <col min="12266" max="12266" width="7.140625" style="2" customWidth="1"/>
    <col min="12267" max="12268" width="20.140625" style="2" customWidth="1"/>
    <col min="12269" max="12269" width="18.42578125" style="2" customWidth="1"/>
    <col min="12270" max="12270" width="9.140625" style="2" customWidth="1"/>
    <col min="12271" max="12271" width="12" style="2" customWidth="1"/>
    <col min="12272" max="12272" width="14.85546875" style="2" customWidth="1"/>
    <col min="12273" max="12273" width="22.42578125" style="2" customWidth="1"/>
    <col min="12274" max="12274" width="14.85546875" style="2" customWidth="1"/>
    <col min="12275" max="12275" width="7.140625" style="2" customWidth="1"/>
    <col min="12276" max="12276" width="20.140625" style="2" customWidth="1"/>
    <col min="12277" max="12508" width="8.5703125" style="2" customWidth="1"/>
    <col min="12509" max="12509" width="8.140625" style="2" customWidth="1"/>
    <col min="12510" max="12510" width="14.42578125" style="2" customWidth="1"/>
    <col min="12511" max="12511" width="37.42578125" style="2" customWidth="1"/>
    <col min="12512" max="12512" width="63.140625" style="2" customWidth="1"/>
    <col min="12513" max="12513" width="20" style="2" customWidth="1"/>
    <col min="12514" max="12514" width="11.140625" style="2" customWidth="1"/>
    <col min="12515" max="12515" width="10.85546875" style="2" customWidth="1"/>
    <col min="12516" max="12516" width="21" style="2" customWidth="1"/>
    <col min="12517" max="12517" width="10.85546875" style="2" customWidth="1"/>
    <col min="12518" max="12518" width="17.42578125" style="2" customWidth="1"/>
    <col min="12519" max="12519" width="14.85546875" style="2" customWidth="1"/>
    <col min="12520" max="12520" width="15" style="2" customWidth="1"/>
    <col min="12521" max="12521" width="14.85546875" style="2" customWidth="1"/>
    <col min="12522" max="12522" width="7.140625" style="2" customWidth="1"/>
    <col min="12523" max="12524" width="20.140625" style="2" customWidth="1"/>
    <col min="12525" max="12525" width="18.42578125" style="2" customWidth="1"/>
    <col min="12526" max="12526" width="9.140625" style="2" customWidth="1"/>
    <col min="12527" max="12527" width="12" style="2" customWidth="1"/>
    <col min="12528" max="12528" width="14.85546875" style="2" customWidth="1"/>
    <col min="12529" max="12529" width="22.42578125" style="2" customWidth="1"/>
    <col min="12530" max="12530" width="14.85546875" style="2" customWidth="1"/>
    <col min="12531" max="12531" width="7.140625" style="2" customWidth="1"/>
    <col min="12532" max="12532" width="20.140625" style="2" customWidth="1"/>
    <col min="12533" max="12764" width="8.5703125" style="2" customWidth="1"/>
    <col min="12765" max="12765" width="8.140625" style="2" customWidth="1"/>
    <col min="12766" max="12766" width="14.42578125" style="2" customWidth="1"/>
    <col min="12767" max="12767" width="37.42578125" style="2" customWidth="1"/>
    <col min="12768" max="12768" width="63.140625" style="2" customWidth="1"/>
    <col min="12769" max="12769" width="20" style="2" customWidth="1"/>
    <col min="12770" max="12770" width="11.140625" style="2" customWidth="1"/>
    <col min="12771" max="12771" width="10.85546875" style="2" customWidth="1"/>
    <col min="12772" max="12772" width="21" style="2" customWidth="1"/>
    <col min="12773" max="12773" width="10.85546875" style="2" customWidth="1"/>
    <col min="12774" max="12774" width="17.42578125" style="2" customWidth="1"/>
    <col min="12775" max="12775" width="14.85546875" style="2" customWidth="1"/>
    <col min="12776" max="12776" width="15" style="2" customWidth="1"/>
    <col min="12777" max="12777" width="14.85546875" style="2" customWidth="1"/>
    <col min="12778" max="12778" width="7.140625" style="2" customWidth="1"/>
    <col min="12779" max="12780" width="20.140625" style="2" customWidth="1"/>
    <col min="12781" max="12781" width="18.42578125" style="2" customWidth="1"/>
    <col min="12782" max="12782" width="9.140625" style="2" customWidth="1"/>
    <col min="12783" max="12783" width="12" style="2" customWidth="1"/>
    <col min="12784" max="12784" width="14.85546875" style="2" customWidth="1"/>
    <col min="12785" max="12785" width="22.42578125" style="2" customWidth="1"/>
    <col min="12786" max="12786" width="14.85546875" style="2" customWidth="1"/>
    <col min="12787" max="12787" width="7.140625" style="2" customWidth="1"/>
    <col min="12788" max="12788" width="20.140625" style="2" customWidth="1"/>
    <col min="12789" max="13020" width="8.5703125" style="2" customWidth="1"/>
    <col min="13021" max="13021" width="8.140625" style="2" customWidth="1"/>
    <col min="13022" max="13022" width="14.42578125" style="2" customWidth="1"/>
    <col min="13023" max="13023" width="37.42578125" style="2" customWidth="1"/>
    <col min="13024" max="13024" width="63.140625" style="2" customWidth="1"/>
    <col min="13025" max="13025" width="20" style="2" customWidth="1"/>
    <col min="13026" max="13026" width="11.140625" style="2" customWidth="1"/>
    <col min="13027" max="13027" width="10.85546875" style="2" customWidth="1"/>
    <col min="13028" max="13028" width="21" style="2" customWidth="1"/>
    <col min="13029" max="13029" width="10.85546875" style="2" customWidth="1"/>
    <col min="13030" max="13030" width="17.42578125" style="2" customWidth="1"/>
    <col min="13031" max="13031" width="14.85546875" style="2" customWidth="1"/>
    <col min="13032" max="13032" width="15" style="2" customWidth="1"/>
    <col min="13033" max="13033" width="14.85546875" style="2" customWidth="1"/>
    <col min="13034" max="13034" width="7.140625" style="2" customWidth="1"/>
    <col min="13035" max="13036" width="20.140625" style="2" customWidth="1"/>
    <col min="13037" max="13037" width="18.42578125" style="2" customWidth="1"/>
    <col min="13038" max="13038" width="9.140625" style="2" customWidth="1"/>
    <col min="13039" max="13039" width="12" style="2" customWidth="1"/>
    <col min="13040" max="13040" width="14.85546875" style="2" customWidth="1"/>
    <col min="13041" max="13041" width="22.42578125" style="2" customWidth="1"/>
    <col min="13042" max="13042" width="14.85546875" style="2" customWidth="1"/>
    <col min="13043" max="13043" width="7.140625" style="2" customWidth="1"/>
    <col min="13044" max="13044" width="20.140625" style="2" customWidth="1"/>
    <col min="13045" max="13276" width="8.5703125" style="2" customWidth="1"/>
    <col min="13277" max="13277" width="8.140625" style="2" customWidth="1"/>
    <col min="13278" max="13278" width="14.42578125" style="2" customWidth="1"/>
    <col min="13279" max="13279" width="37.42578125" style="2" customWidth="1"/>
    <col min="13280" max="13280" width="63.140625" style="2" customWidth="1"/>
    <col min="13281" max="13281" width="20" style="2" customWidth="1"/>
    <col min="13282" max="13282" width="11.140625" style="2" customWidth="1"/>
    <col min="13283" max="13283" width="10.85546875" style="2" customWidth="1"/>
    <col min="13284" max="13284" width="21" style="2" customWidth="1"/>
    <col min="13285" max="13285" width="10.85546875" style="2" customWidth="1"/>
    <col min="13286" max="13286" width="17.42578125" style="2" customWidth="1"/>
    <col min="13287" max="13287" width="14.85546875" style="2" customWidth="1"/>
    <col min="13288" max="13288" width="15" style="2" customWidth="1"/>
    <col min="13289" max="13289" width="14.85546875" style="2" customWidth="1"/>
    <col min="13290" max="13290" width="7.140625" style="2" customWidth="1"/>
    <col min="13291" max="13292" width="20.140625" style="2" customWidth="1"/>
    <col min="13293" max="13293" width="18.42578125" style="2" customWidth="1"/>
    <col min="13294" max="13294" width="9.140625" style="2" customWidth="1"/>
    <col min="13295" max="13295" width="12" style="2" customWidth="1"/>
    <col min="13296" max="13296" width="14.85546875" style="2" customWidth="1"/>
    <col min="13297" max="13297" width="22.42578125" style="2" customWidth="1"/>
    <col min="13298" max="13298" width="14.85546875" style="2" customWidth="1"/>
    <col min="13299" max="13299" width="7.140625" style="2" customWidth="1"/>
    <col min="13300" max="13300" width="20.140625" style="2" customWidth="1"/>
    <col min="13301" max="13532" width="8.5703125" style="2" customWidth="1"/>
    <col min="13533" max="13533" width="8.140625" style="2" customWidth="1"/>
    <col min="13534" max="13534" width="14.42578125" style="2" customWidth="1"/>
    <col min="13535" max="13535" width="37.42578125" style="2" customWidth="1"/>
    <col min="13536" max="13536" width="63.140625" style="2" customWidth="1"/>
    <col min="13537" max="13537" width="20" style="2" customWidth="1"/>
    <col min="13538" max="13538" width="11.140625" style="2" customWidth="1"/>
    <col min="13539" max="13539" width="10.85546875" style="2" customWidth="1"/>
    <col min="13540" max="13540" width="21" style="2" customWidth="1"/>
    <col min="13541" max="13541" width="10.85546875" style="2" customWidth="1"/>
    <col min="13542" max="13542" width="17.42578125" style="2" customWidth="1"/>
    <col min="13543" max="13543" width="14.85546875" style="2" customWidth="1"/>
    <col min="13544" max="13544" width="15" style="2" customWidth="1"/>
    <col min="13545" max="13545" width="14.85546875" style="2" customWidth="1"/>
    <col min="13546" max="13546" width="7.140625" style="2" customWidth="1"/>
    <col min="13547" max="13548" width="20.140625" style="2" customWidth="1"/>
    <col min="13549" max="13549" width="18.42578125" style="2" customWidth="1"/>
    <col min="13550" max="13550" width="9.140625" style="2" customWidth="1"/>
    <col min="13551" max="13551" width="12" style="2" customWidth="1"/>
    <col min="13552" max="13552" width="14.85546875" style="2" customWidth="1"/>
    <col min="13553" max="13553" width="22.42578125" style="2" customWidth="1"/>
    <col min="13554" max="13554" width="14.85546875" style="2" customWidth="1"/>
    <col min="13555" max="13555" width="7.140625" style="2" customWidth="1"/>
    <col min="13556" max="13556" width="20.140625" style="2" customWidth="1"/>
    <col min="13557" max="13788" width="8.5703125" style="2" customWidth="1"/>
    <col min="13789" max="13789" width="8.140625" style="2" customWidth="1"/>
    <col min="13790" max="13790" width="14.42578125" style="2" customWidth="1"/>
    <col min="13791" max="13791" width="37.42578125" style="2" customWidth="1"/>
    <col min="13792" max="13792" width="63.140625" style="2" customWidth="1"/>
    <col min="13793" max="13793" width="20" style="2" customWidth="1"/>
    <col min="13794" max="13794" width="11.140625" style="2" customWidth="1"/>
    <col min="13795" max="13795" width="10.85546875" style="2" customWidth="1"/>
    <col min="13796" max="13796" width="21" style="2" customWidth="1"/>
    <col min="13797" max="13797" width="10.85546875" style="2" customWidth="1"/>
    <col min="13798" max="13798" width="17.42578125" style="2" customWidth="1"/>
    <col min="13799" max="13799" width="14.85546875" style="2" customWidth="1"/>
    <col min="13800" max="13800" width="15" style="2" customWidth="1"/>
    <col min="13801" max="13801" width="14.85546875" style="2" customWidth="1"/>
    <col min="13802" max="13802" width="7.140625" style="2" customWidth="1"/>
    <col min="13803" max="13804" width="20.140625" style="2" customWidth="1"/>
    <col min="13805" max="13805" width="18.42578125" style="2" customWidth="1"/>
    <col min="13806" max="13806" width="9.140625" style="2" customWidth="1"/>
    <col min="13807" max="13807" width="12" style="2" customWidth="1"/>
    <col min="13808" max="13808" width="14.85546875" style="2" customWidth="1"/>
    <col min="13809" max="13809" width="22.42578125" style="2" customWidth="1"/>
    <col min="13810" max="13810" width="14.85546875" style="2" customWidth="1"/>
    <col min="13811" max="13811" width="7.140625" style="2" customWidth="1"/>
    <col min="13812" max="13812" width="20.140625" style="2" customWidth="1"/>
    <col min="13813" max="14044" width="8.5703125" style="2" customWidth="1"/>
    <col min="14045" max="14045" width="8.140625" style="2" customWidth="1"/>
    <col min="14046" max="14046" width="14.42578125" style="2" customWidth="1"/>
    <col min="14047" max="14047" width="37.42578125" style="2" customWidth="1"/>
    <col min="14048" max="14048" width="63.140625" style="2" customWidth="1"/>
    <col min="14049" max="14049" width="20" style="2" customWidth="1"/>
    <col min="14050" max="14050" width="11.140625" style="2" customWidth="1"/>
    <col min="14051" max="14051" width="10.85546875" style="2" customWidth="1"/>
    <col min="14052" max="14052" width="21" style="2" customWidth="1"/>
    <col min="14053" max="14053" width="10.85546875" style="2" customWidth="1"/>
    <col min="14054" max="14054" width="17.42578125" style="2" customWidth="1"/>
    <col min="14055" max="14055" width="14.85546875" style="2" customWidth="1"/>
    <col min="14056" max="14056" width="15" style="2" customWidth="1"/>
    <col min="14057" max="14057" width="14.85546875" style="2" customWidth="1"/>
    <col min="14058" max="14058" width="7.140625" style="2" customWidth="1"/>
    <col min="14059" max="14060" width="20.140625" style="2" customWidth="1"/>
    <col min="14061" max="14061" width="18.42578125" style="2" customWidth="1"/>
    <col min="14062" max="14062" width="9.140625" style="2" customWidth="1"/>
    <col min="14063" max="14063" width="12" style="2" customWidth="1"/>
    <col min="14064" max="14064" width="14.85546875" style="2" customWidth="1"/>
    <col min="14065" max="14065" width="22.42578125" style="2" customWidth="1"/>
    <col min="14066" max="14066" width="14.85546875" style="2" customWidth="1"/>
    <col min="14067" max="14067" width="7.140625" style="2" customWidth="1"/>
    <col min="14068" max="14068" width="20.140625" style="2" customWidth="1"/>
    <col min="14069" max="14300" width="8.5703125" style="2" customWidth="1"/>
    <col min="14301" max="14301" width="8.140625" style="2" customWidth="1"/>
    <col min="14302" max="14302" width="14.42578125" style="2" customWidth="1"/>
    <col min="14303" max="14303" width="37.42578125" style="2" customWidth="1"/>
    <col min="14304" max="14304" width="63.140625" style="2" customWidth="1"/>
    <col min="14305" max="14305" width="20" style="2" customWidth="1"/>
    <col min="14306" max="14306" width="11.140625" style="2" customWidth="1"/>
    <col min="14307" max="14307" width="10.85546875" style="2" customWidth="1"/>
    <col min="14308" max="14308" width="21" style="2" customWidth="1"/>
    <col min="14309" max="14309" width="10.85546875" style="2" customWidth="1"/>
    <col min="14310" max="14310" width="17.42578125" style="2" customWidth="1"/>
    <col min="14311" max="14311" width="14.85546875" style="2" customWidth="1"/>
    <col min="14312" max="14312" width="15" style="2" customWidth="1"/>
    <col min="14313" max="14313" width="14.85546875" style="2" customWidth="1"/>
    <col min="14314" max="14314" width="7.140625" style="2" customWidth="1"/>
    <col min="14315" max="14316" width="20.140625" style="2" customWidth="1"/>
    <col min="14317" max="14317" width="18.42578125" style="2" customWidth="1"/>
    <col min="14318" max="14318" width="9.140625" style="2" customWidth="1"/>
    <col min="14319" max="14319" width="12" style="2" customWidth="1"/>
    <col min="14320" max="14320" width="14.85546875" style="2" customWidth="1"/>
    <col min="14321" max="14321" width="22.42578125" style="2" customWidth="1"/>
    <col min="14322" max="14322" width="14.85546875" style="2" customWidth="1"/>
    <col min="14323" max="14323" width="7.140625" style="2" customWidth="1"/>
    <col min="14324" max="14324" width="20.140625" style="2" customWidth="1"/>
    <col min="14325" max="14556" width="8.5703125" style="2" customWidth="1"/>
    <col min="14557" max="14557" width="8.140625" style="2" customWidth="1"/>
    <col min="14558" max="14558" width="14.42578125" style="2" customWidth="1"/>
    <col min="14559" max="14559" width="37.42578125" style="2" customWidth="1"/>
    <col min="14560" max="14560" width="63.140625" style="2" customWidth="1"/>
    <col min="14561" max="14561" width="20" style="2" customWidth="1"/>
    <col min="14562" max="14562" width="11.140625" style="2" customWidth="1"/>
    <col min="14563" max="14563" width="10.85546875" style="2" customWidth="1"/>
    <col min="14564" max="14564" width="21" style="2" customWidth="1"/>
    <col min="14565" max="14565" width="10.85546875" style="2" customWidth="1"/>
    <col min="14566" max="14566" width="17.42578125" style="2" customWidth="1"/>
    <col min="14567" max="14567" width="14.85546875" style="2" customWidth="1"/>
    <col min="14568" max="14568" width="15" style="2" customWidth="1"/>
    <col min="14569" max="14569" width="14.85546875" style="2" customWidth="1"/>
    <col min="14570" max="14570" width="7.140625" style="2" customWidth="1"/>
    <col min="14571" max="14572" width="20.140625" style="2" customWidth="1"/>
    <col min="14573" max="14573" width="18.42578125" style="2" customWidth="1"/>
    <col min="14574" max="14574" width="9.140625" style="2" customWidth="1"/>
    <col min="14575" max="14575" width="12" style="2" customWidth="1"/>
    <col min="14576" max="14576" width="14.85546875" style="2" customWidth="1"/>
    <col min="14577" max="14577" width="22.42578125" style="2" customWidth="1"/>
    <col min="14578" max="14578" width="14.85546875" style="2" customWidth="1"/>
    <col min="14579" max="14579" width="7.140625" style="2" customWidth="1"/>
    <col min="14580" max="14580" width="20.140625" style="2" customWidth="1"/>
    <col min="14581" max="14812" width="8.5703125" style="2" customWidth="1"/>
    <col min="14813" max="14813" width="8.140625" style="2" customWidth="1"/>
    <col min="14814" max="14814" width="14.42578125" style="2" customWidth="1"/>
    <col min="14815" max="14815" width="37.42578125" style="2" customWidth="1"/>
    <col min="14816" max="14816" width="63.140625" style="2" customWidth="1"/>
    <col min="14817" max="14817" width="20" style="2" customWidth="1"/>
    <col min="14818" max="14818" width="11.140625" style="2" customWidth="1"/>
    <col min="14819" max="14819" width="10.85546875" style="2" customWidth="1"/>
    <col min="14820" max="14820" width="21" style="2" customWidth="1"/>
    <col min="14821" max="14821" width="10.85546875" style="2" customWidth="1"/>
    <col min="14822" max="14822" width="17.42578125" style="2" customWidth="1"/>
    <col min="14823" max="14823" width="14.85546875" style="2" customWidth="1"/>
    <col min="14824" max="14824" width="15" style="2" customWidth="1"/>
    <col min="14825" max="14825" width="14.85546875" style="2" customWidth="1"/>
    <col min="14826" max="14826" width="7.140625" style="2" customWidth="1"/>
    <col min="14827" max="14828" width="20.140625" style="2" customWidth="1"/>
    <col min="14829" max="14829" width="18.42578125" style="2" customWidth="1"/>
    <col min="14830" max="14830" width="9.140625" style="2" customWidth="1"/>
    <col min="14831" max="14831" width="12" style="2" customWidth="1"/>
    <col min="14832" max="14832" width="14.85546875" style="2" customWidth="1"/>
    <col min="14833" max="14833" width="22.42578125" style="2" customWidth="1"/>
    <col min="14834" max="14834" width="14.85546875" style="2" customWidth="1"/>
    <col min="14835" max="14835" width="7.140625" style="2" customWidth="1"/>
    <col min="14836" max="14836" width="20.140625" style="2" customWidth="1"/>
    <col min="14837" max="15068" width="8.5703125" style="2" customWidth="1"/>
    <col min="15069" max="15069" width="8.140625" style="2" customWidth="1"/>
    <col min="15070" max="15070" width="14.42578125" style="2" customWidth="1"/>
    <col min="15071" max="15071" width="37.42578125" style="2" customWidth="1"/>
    <col min="15072" max="15072" width="63.140625" style="2" customWidth="1"/>
    <col min="15073" max="15073" width="20" style="2" customWidth="1"/>
    <col min="15074" max="15074" width="11.140625" style="2" customWidth="1"/>
    <col min="15075" max="15075" width="10.85546875" style="2" customWidth="1"/>
    <col min="15076" max="15076" width="21" style="2" customWidth="1"/>
    <col min="15077" max="15077" width="10.85546875" style="2" customWidth="1"/>
    <col min="15078" max="15078" width="17.42578125" style="2" customWidth="1"/>
    <col min="15079" max="15079" width="14.85546875" style="2" customWidth="1"/>
    <col min="15080" max="15080" width="15" style="2" customWidth="1"/>
    <col min="15081" max="15081" width="14.85546875" style="2" customWidth="1"/>
    <col min="15082" max="15082" width="7.140625" style="2" customWidth="1"/>
    <col min="15083" max="15084" width="20.140625" style="2" customWidth="1"/>
    <col min="15085" max="15085" width="18.42578125" style="2" customWidth="1"/>
    <col min="15086" max="15086" width="9.140625" style="2" customWidth="1"/>
    <col min="15087" max="15087" width="12" style="2" customWidth="1"/>
    <col min="15088" max="15088" width="14.85546875" style="2" customWidth="1"/>
    <col min="15089" max="15089" width="22.42578125" style="2" customWidth="1"/>
    <col min="15090" max="15090" width="14.85546875" style="2" customWidth="1"/>
    <col min="15091" max="15091" width="7.140625" style="2" customWidth="1"/>
    <col min="15092" max="15092" width="20.140625" style="2" customWidth="1"/>
    <col min="15093" max="15324" width="8.5703125" style="2" customWidth="1"/>
    <col min="15325" max="15325" width="8.140625" style="2" customWidth="1"/>
    <col min="15326" max="15326" width="14.42578125" style="2" customWidth="1"/>
    <col min="15327" max="15327" width="37.42578125" style="2" customWidth="1"/>
    <col min="15328" max="15328" width="63.140625" style="2" customWidth="1"/>
    <col min="15329" max="15329" width="20" style="2" customWidth="1"/>
    <col min="15330" max="15330" width="11.140625" style="2" customWidth="1"/>
    <col min="15331" max="15331" width="10.85546875" style="2" customWidth="1"/>
    <col min="15332" max="15332" width="21" style="2" customWidth="1"/>
    <col min="15333" max="15333" width="10.85546875" style="2" customWidth="1"/>
    <col min="15334" max="15334" width="17.42578125" style="2" customWidth="1"/>
    <col min="15335" max="15335" width="14.85546875" style="2" customWidth="1"/>
    <col min="15336" max="15336" width="15" style="2" customWidth="1"/>
    <col min="15337" max="15337" width="14.85546875" style="2" customWidth="1"/>
    <col min="15338" max="15338" width="7.140625" style="2" customWidth="1"/>
    <col min="15339" max="15340" width="20.140625" style="2" customWidth="1"/>
    <col min="15341" max="15341" width="18.42578125" style="2" customWidth="1"/>
    <col min="15342" max="15342" width="9.140625" style="2" customWidth="1"/>
    <col min="15343" max="15343" width="12" style="2" customWidth="1"/>
    <col min="15344" max="15344" width="14.85546875" style="2" customWidth="1"/>
    <col min="15345" max="15345" width="22.42578125" style="2" customWidth="1"/>
    <col min="15346" max="15346" width="14.85546875" style="2" customWidth="1"/>
    <col min="15347" max="15347" width="7.140625" style="2" customWidth="1"/>
    <col min="15348" max="15348" width="20.140625" style="2" customWidth="1"/>
    <col min="15349" max="15580" width="8.5703125" style="2" customWidth="1"/>
    <col min="15581" max="15581" width="8.140625" style="2" customWidth="1"/>
    <col min="15582" max="15582" width="14.42578125" style="2" customWidth="1"/>
    <col min="15583" max="15583" width="37.42578125" style="2" customWidth="1"/>
    <col min="15584" max="15584" width="63.140625" style="2" customWidth="1"/>
    <col min="15585" max="15585" width="20" style="2" customWidth="1"/>
    <col min="15586" max="15586" width="11.140625" style="2" customWidth="1"/>
    <col min="15587" max="15587" width="10.85546875" style="2" customWidth="1"/>
    <col min="15588" max="15588" width="21" style="2" customWidth="1"/>
    <col min="15589" max="15589" width="10.85546875" style="2" customWidth="1"/>
    <col min="15590" max="15590" width="17.42578125" style="2" customWidth="1"/>
    <col min="15591" max="15591" width="14.85546875" style="2" customWidth="1"/>
    <col min="15592" max="15592" width="15" style="2" customWidth="1"/>
    <col min="15593" max="15593" width="14.85546875" style="2" customWidth="1"/>
    <col min="15594" max="15594" width="7.140625" style="2" customWidth="1"/>
    <col min="15595" max="15596" width="20.140625" style="2" customWidth="1"/>
    <col min="15597" max="15597" width="18.42578125" style="2" customWidth="1"/>
    <col min="15598" max="15598" width="9.140625" style="2" customWidth="1"/>
    <col min="15599" max="15599" width="12" style="2" customWidth="1"/>
    <col min="15600" max="15600" width="14.85546875" style="2" customWidth="1"/>
    <col min="15601" max="15601" width="22.42578125" style="2" customWidth="1"/>
    <col min="15602" max="15602" width="14.85546875" style="2" customWidth="1"/>
    <col min="15603" max="15603" width="7.140625" style="2" customWidth="1"/>
    <col min="15604" max="15604" width="20.140625" style="2" customWidth="1"/>
    <col min="15605" max="15836" width="8.5703125" style="2" customWidth="1"/>
    <col min="15837" max="15837" width="8.140625" style="2" customWidth="1"/>
    <col min="15838" max="15838" width="14.42578125" style="2" customWidth="1"/>
    <col min="15839" max="15839" width="37.42578125" style="2" customWidth="1"/>
    <col min="15840" max="15840" width="63.140625" style="2" customWidth="1"/>
    <col min="15841" max="15841" width="20" style="2" customWidth="1"/>
    <col min="15842" max="15842" width="11.140625" style="2" customWidth="1"/>
    <col min="15843" max="15843" width="10.85546875" style="2" customWidth="1"/>
    <col min="15844" max="15844" width="21" style="2" customWidth="1"/>
    <col min="15845" max="15845" width="10.85546875" style="2" customWidth="1"/>
    <col min="15846" max="15846" width="17.42578125" style="2" customWidth="1"/>
    <col min="15847" max="15847" width="14.85546875" style="2" customWidth="1"/>
    <col min="15848" max="15848" width="15" style="2" customWidth="1"/>
    <col min="15849" max="15849" width="14.85546875" style="2" customWidth="1"/>
    <col min="15850" max="15850" width="7.140625" style="2" customWidth="1"/>
    <col min="15851" max="15852" width="20.140625" style="2" customWidth="1"/>
    <col min="15853" max="15853" width="18.42578125" style="2" customWidth="1"/>
    <col min="15854" max="15854" width="9.140625" style="2" customWidth="1"/>
    <col min="15855" max="15855" width="12" style="2" customWidth="1"/>
    <col min="15856" max="15856" width="14.85546875" style="2" customWidth="1"/>
    <col min="15857" max="15857" width="22.42578125" style="2" customWidth="1"/>
    <col min="15858" max="15858" width="14.85546875" style="2" customWidth="1"/>
    <col min="15859" max="15859" width="7.140625" style="2" customWidth="1"/>
    <col min="15860" max="15860" width="20.140625" style="2" customWidth="1"/>
    <col min="15861" max="16092" width="8.5703125" style="2" customWidth="1"/>
    <col min="16093" max="16093" width="8.140625" style="2" customWidth="1"/>
    <col min="16094" max="16094" width="14.42578125" style="2" customWidth="1"/>
    <col min="16095" max="16095" width="37.42578125" style="2" customWidth="1"/>
    <col min="16096" max="16096" width="63.140625" style="2" customWidth="1"/>
    <col min="16097" max="16097" width="20" style="2" customWidth="1"/>
    <col min="16098" max="16098" width="11.140625" style="2" customWidth="1"/>
    <col min="16099" max="16099" width="10.85546875" style="2" customWidth="1"/>
    <col min="16100" max="16100" width="21" style="2" customWidth="1"/>
    <col min="16101" max="16101" width="10.85546875" style="2" customWidth="1"/>
    <col min="16102" max="16102" width="17.42578125" style="2" customWidth="1"/>
    <col min="16103" max="16103" width="14.85546875" style="2" customWidth="1"/>
    <col min="16104" max="16104" width="15" style="2" customWidth="1"/>
    <col min="16105" max="16105" width="14.85546875" style="2" customWidth="1"/>
    <col min="16106" max="16106" width="7.140625" style="2" customWidth="1"/>
    <col min="16107" max="16108" width="20.140625" style="2" customWidth="1"/>
    <col min="16109" max="16109" width="18.42578125" style="2" customWidth="1"/>
    <col min="16110" max="16110" width="9.140625" style="2" customWidth="1"/>
    <col min="16111" max="16111" width="12" style="2" customWidth="1"/>
    <col min="16112" max="16112" width="14.85546875" style="2" customWidth="1"/>
    <col min="16113" max="16113" width="22.42578125" style="2" customWidth="1"/>
    <col min="16114" max="16114" width="14.85546875" style="2" customWidth="1"/>
    <col min="16115" max="16115" width="7.140625" style="2" customWidth="1"/>
    <col min="16116" max="16116" width="20.140625" style="2" customWidth="1"/>
    <col min="16117" max="16384" width="8.5703125" style="2" customWidth="1"/>
  </cols>
  <sheetData>
    <row r="1" spans="1:21" ht="14.1" customHeight="1">
      <c r="A1" s="1" t="s">
        <v>5528</v>
      </c>
      <c r="B1" s="2"/>
      <c r="C1" s="2"/>
      <c r="D1" s="2"/>
      <c r="F1" s="2"/>
      <c r="H1" s="2"/>
      <c r="J1" s="2"/>
      <c r="K1" s="2"/>
      <c r="L1" s="2"/>
      <c r="M1" s="2"/>
      <c r="N1" s="2"/>
      <c r="O1" s="2"/>
      <c r="P1" s="2"/>
      <c r="R1" s="10"/>
    </row>
    <row r="2" spans="1:21" s="4" customFormat="1" ht="14.1" customHeight="1">
      <c r="A2" s="4" t="s">
        <v>5529</v>
      </c>
      <c r="E2" s="69"/>
      <c r="R2" s="336"/>
    </row>
    <row r="3" spans="1:21" s="6" customFormat="1" ht="14.1" customHeight="1">
      <c r="A3" s="3"/>
      <c r="B3" s="16"/>
      <c r="C3" s="16"/>
      <c r="D3" s="23"/>
      <c r="E3" s="16"/>
      <c r="F3" s="23"/>
      <c r="G3" s="15"/>
      <c r="H3" s="25"/>
      <c r="I3" s="15"/>
      <c r="J3" s="25"/>
      <c r="K3" s="25"/>
      <c r="L3" s="25"/>
      <c r="M3" s="25"/>
      <c r="N3" s="25"/>
      <c r="O3" s="25"/>
      <c r="P3" s="25"/>
      <c r="Q3" s="2"/>
      <c r="R3" s="355" t="s">
        <v>2</v>
      </c>
      <c r="S3" s="213"/>
      <c r="T3" s="2"/>
      <c r="U3" s="2"/>
    </row>
    <row r="4" spans="1:21" s="5" customFormat="1" ht="33" customHeight="1">
      <c r="A4" s="21" t="s">
        <v>3</v>
      </c>
      <c r="B4" s="52" t="s">
        <v>4</v>
      </c>
      <c r="C4" s="52" t="s">
        <v>5</v>
      </c>
      <c r="D4" s="21" t="s">
        <v>6</v>
      </c>
      <c r="E4" s="21" t="s">
        <v>7</v>
      </c>
      <c r="F4" s="21" t="s">
        <v>8</v>
      </c>
      <c r="G4" s="21" t="s">
        <v>9</v>
      </c>
      <c r="H4" s="21" t="s">
        <v>10</v>
      </c>
      <c r="I4" s="21" t="s">
        <v>11</v>
      </c>
      <c r="J4" s="21" t="s">
        <v>12</v>
      </c>
      <c r="K4" s="21" t="s">
        <v>13</v>
      </c>
      <c r="L4" s="21" t="s">
        <v>14</v>
      </c>
      <c r="M4" s="21" t="s">
        <v>15</v>
      </c>
      <c r="N4" s="21" t="s">
        <v>16</v>
      </c>
      <c r="O4" s="21" t="s">
        <v>17</v>
      </c>
      <c r="P4" s="21" t="s">
        <v>18</v>
      </c>
      <c r="Q4" s="3"/>
      <c r="R4" s="41" t="s">
        <v>19</v>
      </c>
      <c r="S4" s="214"/>
      <c r="T4" s="42" t="s">
        <v>20</v>
      </c>
      <c r="U4" s="42" t="s">
        <v>21</v>
      </c>
    </row>
    <row r="5" spans="1:21" ht="14.1" customHeight="1">
      <c r="A5" s="7">
        <v>5</v>
      </c>
      <c r="B5" s="14" t="s">
        <v>124</v>
      </c>
      <c r="C5" s="14" t="s">
        <v>431</v>
      </c>
      <c r="D5" s="7" t="s">
        <v>1601</v>
      </c>
      <c r="E5" s="14" t="s">
        <v>3621</v>
      </c>
      <c r="F5" s="7" t="s">
        <v>26</v>
      </c>
      <c r="G5" s="8" t="s">
        <v>5530</v>
      </c>
      <c r="H5" s="7" t="s">
        <v>1424</v>
      </c>
      <c r="I5" s="8" t="s">
        <v>4954</v>
      </c>
      <c r="J5" s="7" t="s">
        <v>3611</v>
      </c>
      <c r="K5" s="7" t="s">
        <v>1426</v>
      </c>
      <c r="L5" s="7" t="s">
        <v>322</v>
      </c>
      <c r="M5" s="7">
        <v>83024100</v>
      </c>
      <c r="N5" s="7">
        <v>1000</v>
      </c>
      <c r="O5" s="7" t="s">
        <v>5531</v>
      </c>
      <c r="P5" s="7"/>
      <c r="R5" s="9">
        <v>177.50086484253211</v>
      </c>
      <c r="T5" s="7" t="s">
        <v>34</v>
      </c>
      <c r="U5" s="7" t="s">
        <v>34</v>
      </c>
    </row>
    <row r="6" spans="1:21" ht="14.1" customHeight="1">
      <c r="A6" s="7">
        <v>10</v>
      </c>
      <c r="B6" s="14" t="s">
        <v>124</v>
      </c>
      <c r="C6" s="14" t="s">
        <v>431</v>
      </c>
      <c r="D6" s="7" t="s">
        <v>1601</v>
      </c>
      <c r="E6" s="14" t="s">
        <v>3621</v>
      </c>
      <c r="F6" s="7" t="s">
        <v>26</v>
      </c>
      <c r="G6" s="8" t="s">
        <v>5532</v>
      </c>
      <c r="H6" s="7" t="s">
        <v>1424</v>
      </c>
      <c r="I6" s="8" t="s">
        <v>4963</v>
      </c>
      <c r="J6" s="7" t="s">
        <v>3611</v>
      </c>
      <c r="K6" s="7" t="s">
        <v>1426</v>
      </c>
      <c r="L6" s="7" t="s">
        <v>322</v>
      </c>
      <c r="M6" s="7">
        <v>83024100</v>
      </c>
      <c r="N6" s="7">
        <v>1000</v>
      </c>
      <c r="O6" s="7" t="s">
        <v>5531</v>
      </c>
      <c r="P6" s="7"/>
      <c r="R6" s="9">
        <v>75.736168907277417</v>
      </c>
      <c r="T6" s="7" t="s">
        <v>34</v>
      </c>
      <c r="U6" s="7" t="s">
        <v>34</v>
      </c>
    </row>
    <row r="7" spans="1:21" ht="14.1" customHeight="1">
      <c r="A7" s="7">
        <v>11</v>
      </c>
      <c r="B7" s="14" t="s">
        <v>124</v>
      </c>
      <c r="C7" s="14" t="s">
        <v>431</v>
      </c>
      <c r="D7" s="7" t="s">
        <v>1601</v>
      </c>
      <c r="E7" s="14" t="s">
        <v>3621</v>
      </c>
      <c r="F7" s="7" t="s">
        <v>26</v>
      </c>
      <c r="G7" s="8" t="s">
        <v>5533</v>
      </c>
      <c r="H7" s="7" t="s">
        <v>1424</v>
      </c>
      <c r="I7" s="8" t="s">
        <v>4963</v>
      </c>
      <c r="J7" s="7" t="s">
        <v>3611</v>
      </c>
      <c r="K7" s="7" t="s">
        <v>1426</v>
      </c>
      <c r="L7" s="7" t="s">
        <v>322</v>
      </c>
      <c r="M7" s="7">
        <v>83024100</v>
      </c>
      <c r="N7" s="7">
        <v>1000</v>
      </c>
      <c r="O7" s="7" t="s">
        <v>5531</v>
      </c>
      <c r="P7" s="7"/>
      <c r="R7" s="9">
        <v>75.736168907277417</v>
      </c>
      <c r="T7" s="7" t="s">
        <v>34</v>
      </c>
      <c r="U7" s="7" t="s">
        <v>34</v>
      </c>
    </row>
    <row r="8" spans="1:21" ht="14.1" customHeight="1">
      <c r="A8" s="7">
        <v>12</v>
      </c>
      <c r="B8" s="14" t="s">
        <v>124</v>
      </c>
      <c r="C8" s="14" t="s">
        <v>431</v>
      </c>
      <c r="D8" s="7" t="s">
        <v>1601</v>
      </c>
      <c r="E8" s="14" t="s">
        <v>3621</v>
      </c>
      <c r="F8" s="7" t="s">
        <v>26</v>
      </c>
      <c r="G8" s="8" t="s">
        <v>5534</v>
      </c>
      <c r="H8" s="7" t="s">
        <v>1424</v>
      </c>
      <c r="I8" s="8" t="s">
        <v>4963</v>
      </c>
      <c r="J8" s="7" t="s">
        <v>3611</v>
      </c>
      <c r="K8" s="7" t="s">
        <v>1426</v>
      </c>
      <c r="L8" s="7" t="s">
        <v>322</v>
      </c>
      <c r="M8" s="7">
        <v>83024100</v>
      </c>
      <c r="N8" s="7">
        <v>1000</v>
      </c>
      <c r="O8" s="7" t="s">
        <v>5531</v>
      </c>
      <c r="P8" s="7"/>
      <c r="R8" s="9">
        <v>77.512102521126621</v>
      </c>
      <c r="T8" s="7" t="s">
        <v>34</v>
      </c>
      <c r="U8" s="7" t="s">
        <v>34</v>
      </c>
    </row>
    <row r="9" spans="1:21" ht="14.1" customHeight="1">
      <c r="A9" s="7">
        <v>13</v>
      </c>
      <c r="B9" s="14" t="s">
        <v>124</v>
      </c>
      <c r="C9" s="14" t="s">
        <v>431</v>
      </c>
      <c r="D9" s="7" t="s">
        <v>1601</v>
      </c>
      <c r="E9" s="14" t="s">
        <v>3621</v>
      </c>
      <c r="F9" s="7" t="s">
        <v>26</v>
      </c>
      <c r="G9" s="8" t="s">
        <v>5535</v>
      </c>
      <c r="H9" s="7" t="s">
        <v>1424</v>
      </c>
      <c r="I9" s="8" t="s">
        <v>4963</v>
      </c>
      <c r="J9" s="7" t="s">
        <v>3611</v>
      </c>
      <c r="K9" s="7" t="s">
        <v>1426</v>
      </c>
      <c r="L9" s="7" t="s">
        <v>322</v>
      </c>
      <c r="M9" s="7">
        <v>83024100</v>
      </c>
      <c r="N9" s="7">
        <v>1000</v>
      </c>
      <c r="O9" s="7" t="s">
        <v>5531</v>
      </c>
      <c r="P9" s="7"/>
      <c r="R9" s="9">
        <v>77.512102521126621</v>
      </c>
      <c r="T9" s="7" t="s">
        <v>34</v>
      </c>
      <c r="U9" s="7" t="s">
        <v>34</v>
      </c>
    </row>
    <row r="10" spans="1:21" ht="14.1" customHeight="1">
      <c r="A10" s="7">
        <v>14</v>
      </c>
      <c r="B10" s="14" t="s">
        <v>124</v>
      </c>
      <c r="C10" s="14" t="s">
        <v>431</v>
      </c>
      <c r="D10" s="7" t="s">
        <v>1601</v>
      </c>
      <c r="E10" s="14" t="s">
        <v>3621</v>
      </c>
      <c r="F10" s="7" t="s">
        <v>26</v>
      </c>
      <c r="G10" s="8" t="s">
        <v>5536</v>
      </c>
      <c r="H10" s="7" t="s">
        <v>1424</v>
      </c>
      <c r="I10" s="8" t="s">
        <v>4963</v>
      </c>
      <c r="J10" s="7" t="s">
        <v>3611</v>
      </c>
      <c r="K10" s="7" t="s">
        <v>1426</v>
      </c>
      <c r="L10" s="7" t="s">
        <v>322</v>
      </c>
      <c r="M10" s="7">
        <v>83024100</v>
      </c>
      <c r="N10" s="7">
        <v>1000</v>
      </c>
      <c r="O10" s="7" t="s">
        <v>5531</v>
      </c>
      <c r="P10" s="7"/>
      <c r="R10" s="9">
        <v>122.84465794547521</v>
      </c>
      <c r="T10" s="7" t="s">
        <v>34</v>
      </c>
      <c r="U10" s="7" t="s">
        <v>34</v>
      </c>
    </row>
    <row r="11" spans="1:21" ht="14.1" customHeight="1">
      <c r="A11" s="7">
        <v>15</v>
      </c>
      <c r="B11" s="14" t="s">
        <v>124</v>
      </c>
      <c r="C11" s="14" t="s">
        <v>431</v>
      </c>
      <c r="D11" s="7" t="s">
        <v>1601</v>
      </c>
      <c r="E11" s="14" t="s">
        <v>3621</v>
      </c>
      <c r="F11" s="7" t="s">
        <v>26</v>
      </c>
      <c r="G11" s="8" t="s">
        <v>5537</v>
      </c>
      <c r="H11" s="7" t="s">
        <v>1424</v>
      </c>
      <c r="I11" s="8" t="s">
        <v>4963</v>
      </c>
      <c r="J11" s="7" t="s">
        <v>3611</v>
      </c>
      <c r="K11" s="7" t="s">
        <v>1426</v>
      </c>
      <c r="L11" s="7" t="s">
        <v>322</v>
      </c>
      <c r="M11" s="7">
        <v>83024100</v>
      </c>
      <c r="N11" s="7">
        <v>1000</v>
      </c>
      <c r="O11" s="7" t="s">
        <v>5531</v>
      </c>
      <c r="P11" s="7"/>
      <c r="R11" s="9">
        <v>75.736168907277417</v>
      </c>
      <c r="T11" s="7" t="s">
        <v>34</v>
      </c>
      <c r="U11" s="7" t="s">
        <v>34</v>
      </c>
    </row>
    <row r="12" spans="1:21" ht="14.1" customHeight="1">
      <c r="A12" s="7">
        <v>16</v>
      </c>
      <c r="B12" s="14" t="s">
        <v>124</v>
      </c>
      <c r="C12" s="14" t="s">
        <v>431</v>
      </c>
      <c r="D12" s="7" t="s">
        <v>1601</v>
      </c>
      <c r="E12" s="14" t="s">
        <v>3621</v>
      </c>
      <c r="F12" s="7" t="s">
        <v>26</v>
      </c>
      <c r="G12" s="8" t="s">
        <v>5538</v>
      </c>
      <c r="H12" s="7" t="s">
        <v>1424</v>
      </c>
      <c r="I12" s="8" t="s">
        <v>4963</v>
      </c>
      <c r="J12" s="7" t="s">
        <v>3611</v>
      </c>
      <c r="K12" s="7" t="s">
        <v>1426</v>
      </c>
      <c r="L12" s="7" t="s">
        <v>322</v>
      </c>
      <c r="M12" s="7">
        <v>83024100</v>
      </c>
      <c r="N12" s="7">
        <v>1000</v>
      </c>
      <c r="O12" s="7" t="s">
        <v>5531</v>
      </c>
      <c r="P12" s="7"/>
      <c r="R12" s="9">
        <v>76.587137097246838</v>
      </c>
      <c r="T12" s="7" t="s">
        <v>34</v>
      </c>
      <c r="U12" s="7" t="s">
        <v>34</v>
      </c>
    </row>
    <row r="13" spans="1:21" ht="14.1" customHeight="1">
      <c r="A13" s="7">
        <v>17</v>
      </c>
      <c r="B13" s="14" t="s">
        <v>124</v>
      </c>
      <c r="C13" s="14" t="s">
        <v>431</v>
      </c>
      <c r="D13" s="7" t="s">
        <v>1601</v>
      </c>
      <c r="E13" s="14" t="s">
        <v>3621</v>
      </c>
      <c r="F13" s="7" t="s">
        <v>26</v>
      </c>
      <c r="G13" s="8" t="s">
        <v>5539</v>
      </c>
      <c r="H13" s="7" t="s">
        <v>1424</v>
      </c>
      <c r="I13" s="8" t="s">
        <v>4963</v>
      </c>
      <c r="J13" s="7" t="s">
        <v>3611</v>
      </c>
      <c r="K13" s="7" t="s">
        <v>1426</v>
      </c>
      <c r="L13" s="7" t="s">
        <v>322</v>
      </c>
      <c r="M13" s="7">
        <v>83024100</v>
      </c>
      <c r="N13" s="7">
        <v>1000</v>
      </c>
      <c r="O13" s="7" t="s">
        <v>5531</v>
      </c>
      <c r="P13" s="7"/>
      <c r="R13" s="9">
        <v>79.362033368886202</v>
      </c>
      <c r="T13" s="7" t="s">
        <v>34</v>
      </c>
      <c r="U13" s="7" t="s">
        <v>34</v>
      </c>
    </row>
    <row r="14" spans="1:21" ht="14.1" customHeight="1">
      <c r="A14" s="7">
        <v>18</v>
      </c>
      <c r="B14" s="14" t="s">
        <v>124</v>
      </c>
      <c r="C14" s="14" t="s">
        <v>431</v>
      </c>
      <c r="D14" s="7" t="s">
        <v>1601</v>
      </c>
      <c r="E14" s="14" t="s">
        <v>3621</v>
      </c>
      <c r="F14" s="7" t="s">
        <v>26</v>
      </c>
      <c r="G14" s="8" t="s">
        <v>5540</v>
      </c>
      <c r="H14" s="7" t="s">
        <v>1424</v>
      </c>
      <c r="I14" s="8" t="s">
        <v>4963</v>
      </c>
      <c r="J14" s="7" t="s">
        <v>3611</v>
      </c>
      <c r="K14" s="7" t="s">
        <v>1426</v>
      </c>
      <c r="L14" s="7" t="s">
        <v>322</v>
      </c>
      <c r="M14" s="7">
        <v>83024100</v>
      </c>
      <c r="N14" s="7">
        <v>1000</v>
      </c>
      <c r="O14" s="7" t="s">
        <v>5531</v>
      </c>
      <c r="P14" s="7"/>
      <c r="R14" s="9">
        <v>79.362033368886202</v>
      </c>
      <c r="T14" s="7" t="s">
        <v>34</v>
      </c>
      <c r="U14" s="7" t="s">
        <v>34</v>
      </c>
    </row>
    <row r="15" spans="1:21" ht="14.1" customHeight="1">
      <c r="A15" s="7">
        <v>20</v>
      </c>
      <c r="B15" s="14" t="s">
        <v>124</v>
      </c>
      <c r="C15" s="14" t="s">
        <v>431</v>
      </c>
      <c r="D15" s="7" t="s">
        <v>1601</v>
      </c>
      <c r="E15" s="14" t="s">
        <v>3621</v>
      </c>
      <c r="F15" s="7" t="s">
        <v>26</v>
      </c>
      <c r="G15" s="8" t="s">
        <v>5541</v>
      </c>
      <c r="H15" s="7" t="s">
        <v>1424</v>
      </c>
      <c r="I15" s="8" t="s">
        <v>5542</v>
      </c>
      <c r="J15" s="7" t="s">
        <v>3611</v>
      </c>
      <c r="K15" s="7" t="s">
        <v>1426</v>
      </c>
      <c r="L15" s="7" t="s">
        <v>322</v>
      </c>
      <c r="M15" s="7">
        <v>83024100</v>
      </c>
      <c r="N15" s="7">
        <v>1000</v>
      </c>
      <c r="O15" s="7" t="s">
        <v>5531</v>
      </c>
      <c r="P15" s="7"/>
      <c r="R15" s="9">
        <v>13.319502103869009</v>
      </c>
      <c r="T15" s="7" t="s">
        <v>34</v>
      </c>
      <c r="U15" s="7" t="s">
        <v>34</v>
      </c>
    </row>
    <row r="16" spans="1:21" ht="14.1" customHeight="1">
      <c r="A16" s="7">
        <v>21</v>
      </c>
      <c r="B16" s="14" t="s">
        <v>124</v>
      </c>
      <c r="C16" s="14" t="s">
        <v>431</v>
      </c>
      <c r="D16" s="7" t="s">
        <v>1601</v>
      </c>
      <c r="E16" s="14" t="s">
        <v>3621</v>
      </c>
      <c r="F16" s="7" t="s">
        <v>26</v>
      </c>
      <c r="G16" s="8" t="s">
        <v>5543</v>
      </c>
      <c r="H16" s="7" t="s">
        <v>1424</v>
      </c>
      <c r="I16" s="8" t="s">
        <v>5544</v>
      </c>
      <c r="J16" s="7" t="s">
        <v>3611</v>
      </c>
      <c r="K16" s="7" t="s">
        <v>1426</v>
      </c>
      <c r="L16" s="7" t="s">
        <v>322</v>
      </c>
      <c r="M16" s="7">
        <v>83024100</v>
      </c>
      <c r="N16" s="7">
        <v>1000</v>
      </c>
      <c r="O16" s="7" t="s">
        <v>5531</v>
      </c>
      <c r="P16" s="7"/>
      <c r="R16" s="9">
        <v>87.520228407505968</v>
      </c>
      <c r="T16" s="7" t="s">
        <v>34</v>
      </c>
      <c r="U16" s="7" t="s">
        <v>34</v>
      </c>
    </row>
    <row r="17" spans="1:21" ht="14.1" customHeight="1">
      <c r="A17" s="7">
        <v>22</v>
      </c>
      <c r="B17" s="14" t="s">
        <v>124</v>
      </c>
      <c r="C17" s="14" t="s">
        <v>431</v>
      </c>
      <c r="D17" s="7" t="s">
        <v>1601</v>
      </c>
      <c r="E17" s="14" t="s">
        <v>3621</v>
      </c>
      <c r="F17" s="7" t="s">
        <v>26</v>
      </c>
      <c r="G17" s="8" t="s">
        <v>5545</v>
      </c>
      <c r="H17" s="7" t="s">
        <v>1424</v>
      </c>
      <c r="I17" s="8" t="s">
        <v>5544</v>
      </c>
      <c r="J17" s="7" t="s">
        <v>3611</v>
      </c>
      <c r="K17" s="7" t="s">
        <v>1426</v>
      </c>
      <c r="L17" s="7" t="s">
        <v>322</v>
      </c>
      <c r="M17" s="7">
        <v>83024100</v>
      </c>
      <c r="N17" s="7">
        <v>1000</v>
      </c>
      <c r="O17" s="7" t="s">
        <v>5531</v>
      </c>
      <c r="P17" s="7"/>
      <c r="R17" s="9">
        <v>87.520228407505968</v>
      </c>
      <c r="T17" s="7" t="s">
        <v>34</v>
      </c>
      <c r="U17" s="7" t="s">
        <v>34</v>
      </c>
    </row>
    <row r="18" spans="1:21" ht="14.1" customHeight="1">
      <c r="A18" s="7">
        <v>23</v>
      </c>
      <c r="B18" s="14" t="s">
        <v>124</v>
      </c>
      <c r="C18" s="14" t="s">
        <v>431</v>
      </c>
      <c r="D18" s="7" t="s">
        <v>1601</v>
      </c>
      <c r="E18" s="14" t="s">
        <v>3621</v>
      </c>
      <c r="F18" s="7" t="s">
        <v>26</v>
      </c>
      <c r="G18" s="8" t="s">
        <v>5546</v>
      </c>
      <c r="H18" s="7" t="s">
        <v>1424</v>
      </c>
      <c r="I18" s="8" t="s">
        <v>5544</v>
      </c>
      <c r="J18" s="7" t="s">
        <v>3611</v>
      </c>
      <c r="K18" s="7" t="s">
        <v>1426</v>
      </c>
      <c r="L18" s="7" t="s">
        <v>322</v>
      </c>
      <c r="M18" s="7">
        <v>83024100</v>
      </c>
      <c r="N18" s="7">
        <v>1000</v>
      </c>
      <c r="O18" s="7" t="s">
        <v>5531</v>
      </c>
      <c r="P18" s="7"/>
      <c r="R18" s="9">
        <v>87.520228407505968</v>
      </c>
      <c r="T18" s="7" t="s">
        <v>34</v>
      </c>
      <c r="U18" s="7" t="s">
        <v>34</v>
      </c>
    </row>
    <row r="19" spans="1:21" ht="14.1" customHeight="1">
      <c r="A19" s="7">
        <v>25</v>
      </c>
      <c r="B19" s="14" t="s">
        <v>124</v>
      </c>
      <c r="C19" s="14" t="s">
        <v>431</v>
      </c>
      <c r="D19" s="7" t="s">
        <v>35</v>
      </c>
      <c r="E19" s="14" t="s">
        <v>864</v>
      </c>
      <c r="F19" s="7" t="s">
        <v>26</v>
      </c>
      <c r="G19" s="8" t="s">
        <v>5547</v>
      </c>
      <c r="H19" s="7" t="s">
        <v>1424</v>
      </c>
      <c r="I19" s="8" t="s">
        <v>5548</v>
      </c>
      <c r="J19" s="7" t="s">
        <v>30</v>
      </c>
      <c r="K19" s="7" t="s">
        <v>1426</v>
      </c>
      <c r="L19" s="7" t="s">
        <v>322</v>
      </c>
      <c r="M19" s="7">
        <v>83014000</v>
      </c>
      <c r="N19" s="7">
        <v>1000</v>
      </c>
      <c r="O19" s="7" t="s">
        <v>5531</v>
      </c>
      <c r="P19" s="7"/>
      <c r="R19" s="9">
        <v>73.627247740831493</v>
      </c>
      <c r="T19" s="7" t="s">
        <v>34</v>
      </c>
      <c r="U19" s="7" t="s">
        <v>34</v>
      </c>
    </row>
    <row r="20" spans="1:21" ht="14.1" customHeight="1">
      <c r="A20" s="7">
        <v>26</v>
      </c>
      <c r="B20" s="14" t="s">
        <v>124</v>
      </c>
      <c r="C20" s="14" t="s">
        <v>431</v>
      </c>
      <c r="D20" s="7" t="s">
        <v>35</v>
      </c>
      <c r="E20" s="14" t="s">
        <v>864</v>
      </c>
      <c r="F20" s="7" t="s">
        <v>26</v>
      </c>
      <c r="G20" s="8" t="s">
        <v>5549</v>
      </c>
      <c r="H20" s="7" t="s">
        <v>1424</v>
      </c>
      <c r="I20" s="8" t="s">
        <v>5550</v>
      </c>
      <c r="J20" s="7" t="s">
        <v>30</v>
      </c>
      <c r="K20" s="7" t="s">
        <v>1426</v>
      </c>
      <c r="L20" s="7" t="s">
        <v>322</v>
      </c>
      <c r="M20" s="7">
        <v>83014000</v>
      </c>
      <c r="N20" s="7">
        <v>1000</v>
      </c>
      <c r="O20" s="7" t="s">
        <v>5531</v>
      </c>
      <c r="P20" s="7"/>
      <c r="R20" s="9">
        <v>78.622061029782373</v>
      </c>
      <c r="T20" s="7" t="s">
        <v>34</v>
      </c>
      <c r="U20" s="7" t="s">
        <v>34</v>
      </c>
    </row>
    <row r="21" spans="1:21" ht="14.1" customHeight="1">
      <c r="A21" s="7">
        <v>27</v>
      </c>
      <c r="B21" s="14" t="s">
        <v>124</v>
      </c>
      <c r="C21" s="14" t="s">
        <v>431</v>
      </c>
      <c r="D21" s="7" t="s">
        <v>35</v>
      </c>
      <c r="E21" s="14" t="s">
        <v>864</v>
      </c>
      <c r="F21" s="7" t="s">
        <v>26</v>
      </c>
      <c r="G21" s="8" t="s">
        <v>5551</v>
      </c>
      <c r="H21" s="7" t="s">
        <v>1424</v>
      </c>
      <c r="I21" s="8" t="s">
        <v>5552</v>
      </c>
      <c r="J21" s="7" t="s">
        <v>30</v>
      </c>
      <c r="K21" s="7" t="s">
        <v>1426</v>
      </c>
      <c r="L21" s="7" t="s">
        <v>322</v>
      </c>
      <c r="M21" s="7">
        <v>83014000</v>
      </c>
      <c r="N21" s="7">
        <v>1000</v>
      </c>
      <c r="O21" s="7" t="s">
        <v>5531</v>
      </c>
      <c r="P21" s="7"/>
      <c r="R21" s="9">
        <v>94.161480150962888</v>
      </c>
      <c r="T21" s="7" t="s">
        <v>34</v>
      </c>
      <c r="U21" s="7" t="s">
        <v>34</v>
      </c>
    </row>
    <row r="22" spans="1:21" ht="14.1" customHeight="1">
      <c r="A22" s="7">
        <v>28</v>
      </c>
      <c r="B22" s="14" t="s">
        <v>124</v>
      </c>
      <c r="C22" s="14" t="s">
        <v>431</v>
      </c>
      <c r="D22" s="7" t="s">
        <v>35</v>
      </c>
      <c r="E22" s="14" t="s">
        <v>864</v>
      </c>
      <c r="F22" s="7" t="s">
        <v>26</v>
      </c>
      <c r="G22" s="8" t="s">
        <v>5553</v>
      </c>
      <c r="H22" s="7" t="s">
        <v>1424</v>
      </c>
      <c r="I22" s="8" t="s">
        <v>5554</v>
      </c>
      <c r="J22" s="7" t="s">
        <v>30</v>
      </c>
      <c r="K22" s="7" t="s">
        <v>1426</v>
      </c>
      <c r="L22" s="7" t="s">
        <v>322</v>
      </c>
      <c r="M22" s="7">
        <v>83014000</v>
      </c>
      <c r="N22" s="7">
        <v>1000</v>
      </c>
      <c r="O22" s="7" t="s">
        <v>5531</v>
      </c>
      <c r="P22" s="7"/>
      <c r="R22" s="9">
        <v>182.2181885043191</v>
      </c>
      <c r="T22" s="7" t="s">
        <v>34</v>
      </c>
      <c r="U22" s="7" t="s">
        <v>34</v>
      </c>
    </row>
    <row r="23" spans="1:21" ht="14.1" customHeight="1">
      <c r="A23" s="7">
        <v>29</v>
      </c>
      <c r="B23" s="14" t="s">
        <v>124</v>
      </c>
      <c r="C23" s="14" t="s">
        <v>431</v>
      </c>
      <c r="D23" s="7" t="s">
        <v>35</v>
      </c>
      <c r="E23" s="14" t="s">
        <v>864</v>
      </c>
      <c r="F23" s="7" t="s">
        <v>26</v>
      </c>
      <c r="G23" s="8" t="s">
        <v>5555</v>
      </c>
      <c r="H23" s="7" t="s">
        <v>1424</v>
      </c>
      <c r="I23" s="8" t="s">
        <v>5556</v>
      </c>
      <c r="J23" s="7" t="s">
        <v>30</v>
      </c>
      <c r="K23" s="7" t="s">
        <v>1426</v>
      </c>
      <c r="L23" s="7" t="s">
        <v>322</v>
      </c>
      <c r="M23" s="7">
        <v>83014000</v>
      </c>
      <c r="N23" s="7">
        <v>1000</v>
      </c>
      <c r="O23" s="7" t="s">
        <v>5531</v>
      </c>
      <c r="P23" s="7"/>
      <c r="R23" s="9">
        <v>91.571576964099464</v>
      </c>
      <c r="T23" s="7" t="s">
        <v>34</v>
      </c>
      <c r="U23" s="7" t="s">
        <v>34</v>
      </c>
    </row>
    <row r="24" spans="1:21" ht="14.1" customHeight="1">
      <c r="A24" s="7">
        <v>30</v>
      </c>
      <c r="B24" s="14" t="s">
        <v>124</v>
      </c>
      <c r="C24" s="14" t="s">
        <v>431</v>
      </c>
      <c r="D24" s="7" t="s">
        <v>35</v>
      </c>
      <c r="E24" s="14" t="s">
        <v>864</v>
      </c>
      <c r="F24" s="7" t="s">
        <v>26</v>
      </c>
      <c r="G24" s="8" t="s">
        <v>5557</v>
      </c>
      <c r="H24" s="7" t="s">
        <v>1424</v>
      </c>
      <c r="I24" s="8" t="s">
        <v>5558</v>
      </c>
      <c r="J24" s="7" t="s">
        <v>30</v>
      </c>
      <c r="K24" s="7" t="s">
        <v>1426</v>
      </c>
      <c r="L24" s="7" t="s">
        <v>322</v>
      </c>
      <c r="M24" s="7">
        <v>83014000</v>
      </c>
      <c r="N24" s="7">
        <v>1000</v>
      </c>
      <c r="O24" s="7" t="s">
        <v>5531</v>
      </c>
      <c r="P24" s="7"/>
      <c r="R24" s="9">
        <v>121.3554636130288</v>
      </c>
      <c r="T24" s="7" t="s">
        <v>34</v>
      </c>
      <c r="U24" s="7" t="s">
        <v>34</v>
      </c>
    </row>
    <row r="25" spans="1:21" ht="14.1" customHeight="1">
      <c r="A25" s="7">
        <v>31</v>
      </c>
      <c r="B25" s="14" t="s">
        <v>124</v>
      </c>
      <c r="C25" s="14" t="s">
        <v>431</v>
      </c>
      <c r="D25" s="7" t="s">
        <v>35</v>
      </c>
      <c r="E25" s="14" t="s">
        <v>864</v>
      </c>
      <c r="F25" s="7" t="s">
        <v>26</v>
      </c>
      <c r="G25" s="8" t="s">
        <v>5559</v>
      </c>
      <c r="H25" s="7" t="s">
        <v>1424</v>
      </c>
      <c r="I25" s="8" t="s">
        <v>5560</v>
      </c>
      <c r="J25" s="7" t="s">
        <v>30</v>
      </c>
      <c r="K25" s="7" t="s">
        <v>1426</v>
      </c>
      <c r="L25" s="7" t="s">
        <v>322</v>
      </c>
      <c r="M25" s="7">
        <v>83014000</v>
      </c>
      <c r="N25" s="7">
        <v>1000</v>
      </c>
      <c r="O25" s="7" t="s">
        <v>5531</v>
      </c>
      <c r="P25" s="7"/>
      <c r="R25" s="9">
        <v>103.4111343897608</v>
      </c>
      <c r="T25" s="7" t="s">
        <v>34</v>
      </c>
      <c r="U25" s="7" t="s">
        <v>34</v>
      </c>
    </row>
    <row r="26" spans="1:21" ht="14.1" customHeight="1">
      <c r="A26" s="7">
        <v>32</v>
      </c>
      <c r="B26" s="14" t="s">
        <v>124</v>
      </c>
      <c r="C26" s="14" t="s">
        <v>431</v>
      </c>
      <c r="D26" s="7" t="s">
        <v>35</v>
      </c>
      <c r="E26" s="14" t="s">
        <v>864</v>
      </c>
      <c r="F26" s="7" t="s">
        <v>26</v>
      </c>
      <c r="G26" s="8" t="s">
        <v>5561</v>
      </c>
      <c r="H26" s="7" t="s">
        <v>1424</v>
      </c>
      <c r="I26" s="8" t="s">
        <v>5562</v>
      </c>
      <c r="J26" s="7" t="s">
        <v>30</v>
      </c>
      <c r="K26" s="7" t="s">
        <v>1426</v>
      </c>
      <c r="L26" s="7" t="s">
        <v>322</v>
      </c>
      <c r="M26" s="7">
        <v>83014000</v>
      </c>
      <c r="N26" s="7">
        <v>1000</v>
      </c>
      <c r="O26" s="7" t="s">
        <v>5531</v>
      </c>
      <c r="P26" s="7"/>
      <c r="R26" s="9">
        <v>202.3824347448986</v>
      </c>
      <c r="T26" s="7" t="s">
        <v>34</v>
      </c>
      <c r="U26" s="7" t="s">
        <v>34</v>
      </c>
    </row>
    <row r="27" spans="1:21" ht="14.1" customHeight="1">
      <c r="A27" s="7">
        <v>33</v>
      </c>
      <c r="B27" s="14" t="s">
        <v>124</v>
      </c>
      <c r="C27" s="14" t="s">
        <v>431</v>
      </c>
      <c r="D27" s="7" t="s">
        <v>35</v>
      </c>
      <c r="E27" s="14" t="s">
        <v>864</v>
      </c>
      <c r="F27" s="7" t="s">
        <v>26</v>
      </c>
      <c r="G27" s="8" t="s">
        <v>5563</v>
      </c>
      <c r="H27" s="7" t="s">
        <v>1424</v>
      </c>
      <c r="I27" s="8" t="s">
        <v>5564</v>
      </c>
      <c r="J27" s="7" t="s">
        <v>30</v>
      </c>
      <c r="K27" s="7" t="s">
        <v>1426</v>
      </c>
      <c r="L27" s="7" t="s">
        <v>322</v>
      </c>
      <c r="M27" s="7">
        <v>83014000</v>
      </c>
      <c r="N27" s="7">
        <v>1000</v>
      </c>
      <c r="O27" s="7" t="s">
        <v>5531</v>
      </c>
      <c r="P27" s="7"/>
      <c r="R27" s="9">
        <v>66.412517434569097</v>
      </c>
      <c r="T27" s="7" t="s">
        <v>34</v>
      </c>
      <c r="U27" s="7" t="s">
        <v>34</v>
      </c>
    </row>
    <row r="28" spans="1:21" ht="14.1" customHeight="1">
      <c r="A28" s="7">
        <v>34</v>
      </c>
      <c r="B28" s="14" t="s">
        <v>124</v>
      </c>
      <c r="C28" s="14" t="s">
        <v>431</v>
      </c>
      <c r="D28" s="7" t="s">
        <v>35</v>
      </c>
      <c r="E28" s="14" t="s">
        <v>864</v>
      </c>
      <c r="F28" s="7" t="s">
        <v>26</v>
      </c>
      <c r="G28" s="8" t="s">
        <v>5565</v>
      </c>
      <c r="H28" s="7" t="s">
        <v>1424</v>
      </c>
      <c r="I28" s="8" t="s">
        <v>5566</v>
      </c>
      <c r="J28" s="7" t="s">
        <v>30</v>
      </c>
      <c r="K28" s="7" t="s">
        <v>1426</v>
      </c>
      <c r="L28" s="7" t="s">
        <v>322</v>
      </c>
      <c r="M28" s="7">
        <v>83014000</v>
      </c>
      <c r="N28" s="7">
        <v>1000</v>
      </c>
      <c r="O28" s="7" t="s">
        <v>5531</v>
      </c>
      <c r="P28" s="7"/>
      <c r="R28" s="9">
        <v>68.077455197552737</v>
      </c>
      <c r="T28" s="7" t="s">
        <v>34</v>
      </c>
      <c r="U28" s="7" t="s">
        <v>34</v>
      </c>
    </row>
    <row r="29" spans="1:21" ht="14.1" customHeight="1">
      <c r="A29" s="7">
        <v>41</v>
      </c>
      <c r="B29" s="14" t="s">
        <v>124</v>
      </c>
      <c r="C29" s="14" t="s">
        <v>431</v>
      </c>
      <c r="D29" s="7" t="s">
        <v>35</v>
      </c>
      <c r="E29" s="14" t="s">
        <v>864</v>
      </c>
      <c r="F29" s="7" t="s">
        <v>26</v>
      </c>
      <c r="G29" s="8" t="s">
        <v>5567</v>
      </c>
      <c r="H29" s="7" t="s">
        <v>1424</v>
      </c>
      <c r="I29" s="8" t="s">
        <v>5568</v>
      </c>
      <c r="J29" s="7" t="s">
        <v>30</v>
      </c>
      <c r="K29" s="7" t="s">
        <v>1426</v>
      </c>
      <c r="L29" s="7" t="s">
        <v>322</v>
      </c>
      <c r="M29" s="7">
        <v>83014000</v>
      </c>
      <c r="N29" s="7">
        <v>1000</v>
      </c>
      <c r="O29" s="7" t="s">
        <v>5531</v>
      </c>
      <c r="P29" s="7"/>
      <c r="R29" s="9">
        <v>82.691908894853441</v>
      </c>
      <c r="T29" s="7" t="s">
        <v>34</v>
      </c>
      <c r="U29" s="7" t="s">
        <v>34</v>
      </c>
    </row>
    <row r="30" spans="1:21" ht="14.1" customHeight="1">
      <c r="A30" s="7">
        <v>42</v>
      </c>
      <c r="B30" s="14" t="s">
        <v>124</v>
      </c>
      <c r="C30" s="14" t="s">
        <v>431</v>
      </c>
      <c r="D30" s="7" t="s">
        <v>35</v>
      </c>
      <c r="E30" s="14" t="s">
        <v>864</v>
      </c>
      <c r="F30" s="7" t="s">
        <v>26</v>
      </c>
      <c r="G30" s="8" t="s">
        <v>5569</v>
      </c>
      <c r="H30" s="7" t="s">
        <v>1424</v>
      </c>
      <c r="I30" s="8" t="s">
        <v>5570</v>
      </c>
      <c r="J30" s="7" t="s">
        <v>30</v>
      </c>
      <c r="K30" s="7" t="s">
        <v>1426</v>
      </c>
      <c r="L30" s="7" t="s">
        <v>322</v>
      </c>
      <c r="M30" s="7">
        <v>83014000</v>
      </c>
      <c r="N30" s="7">
        <v>1000</v>
      </c>
      <c r="O30" s="7" t="s">
        <v>5531</v>
      </c>
      <c r="P30" s="7"/>
      <c r="R30" s="9">
        <v>84.356846657837067</v>
      </c>
      <c r="T30" s="7" t="s">
        <v>34</v>
      </c>
      <c r="U30" s="7" t="s">
        <v>34</v>
      </c>
    </row>
    <row r="31" spans="1:21" ht="14.1" customHeight="1">
      <c r="A31" s="7">
        <v>45</v>
      </c>
      <c r="B31" s="14" t="s">
        <v>124</v>
      </c>
      <c r="C31" s="14" t="s">
        <v>431</v>
      </c>
      <c r="D31" s="7" t="s">
        <v>35</v>
      </c>
      <c r="E31" s="14" t="s">
        <v>864</v>
      </c>
      <c r="F31" s="7" t="s">
        <v>26</v>
      </c>
      <c r="G31" s="8" t="s">
        <v>5571</v>
      </c>
      <c r="H31" s="7" t="s">
        <v>1424</v>
      </c>
      <c r="I31" s="8" t="s">
        <v>5572</v>
      </c>
      <c r="J31" s="7" t="s">
        <v>30</v>
      </c>
      <c r="K31" s="7" t="s">
        <v>1426</v>
      </c>
      <c r="L31" s="7" t="s">
        <v>322</v>
      </c>
      <c r="M31" s="7">
        <v>83014000</v>
      </c>
      <c r="N31" s="7">
        <v>1000</v>
      </c>
      <c r="O31" s="7" t="s">
        <v>5531</v>
      </c>
      <c r="P31" s="7"/>
      <c r="R31" s="9">
        <v>75.847164758142981</v>
      </c>
      <c r="T31" s="7" t="s">
        <v>34</v>
      </c>
      <c r="U31" s="7" t="s">
        <v>34</v>
      </c>
    </row>
    <row r="32" spans="1:21" ht="14.1" customHeight="1">
      <c r="A32" s="7">
        <v>46</v>
      </c>
      <c r="B32" s="14" t="s">
        <v>124</v>
      </c>
      <c r="C32" s="14" t="s">
        <v>431</v>
      </c>
      <c r="D32" s="7" t="s">
        <v>35</v>
      </c>
      <c r="E32" s="14" t="s">
        <v>864</v>
      </c>
      <c r="F32" s="7" t="s">
        <v>26</v>
      </c>
      <c r="G32" s="8" t="s">
        <v>5573</v>
      </c>
      <c r="H32" s="7" t="s">
        <v>1424</v>
      </c>
      <c r="I32" s="8" t="s">
        <v>5574</v>
      </c>
      <c r="J32" s="7" t="s">
        <v>30</v>
      </c>
      <c r="K32" s="7" t="s">
        <v>1426</v>
      </c>
      <c r="L32" s="7" t="s">
        <v>322</v>
      </c>
      <c r="M32" s="7">
        <v>83014000</v>
      </c>
      <c r="N32" s="7">
        <v>1000</v>
      </c>
      <c r="O32" s="7" t="s">
        <v>5531</v>
      </c>
      <c r="P32" s="7"/>
      <c r="R32" s="9">
        <v>78.067081775454483</v>
      </c>
      <c r="T32" s="7" t="s">
        <v>34</v>
      </c>
      <c r="U32" s="7" t="s">
        <v>34</v>
      </c>
    </row>
    <row r="33" spans="1:21" ht="14.1" customHeight="1">
      <c r="A33" s="7">
        <v>49</v>
      </c>
      <c r="B33" s="14" t="s">
        <v>124</v>
      </c>
      <c r="C33" s="14" t="s">
        <v>431</v>
      </c>
      <c r="D33" s="7" t="s">
        <v>773</v>
      </c>
      <c r="E33" s="14" t="s">
        <v>5575</v>
      </c>
      <c r="F33" s="7" t="s">
        <v>26</v>
      </c>
      <c r="G33" s="8" t="s">
        <v>5576</v>
      </c>
      <c r="H33" s="7" t="s">
        <v>1424</v>
      </c>
      <c r="I33" s="8" t="s">
        <v>5577</v>
      </c>
      <c r="J33" s="7" t="s">
        <v>30</v>
      </c>
      <c r="K33" s="7" t="s">
        <v>1426</v>
      </c>
      <c r="L33" s="7" t="s">
        <v>322</v>
      </c>
      <c r="M33" s="7">
        <v>83014000</v>
      </c>
      <c r="N33" s="7">
        <v>1000</v>
      </c>
      <c r="O33" s="7" t="s">
        <v>5531</v>
      </c>
      <c r="P33" s="7"/>
      <c r="R33" s="9">
        <v>26.97199176033476</v>
      </c>
      <c r="T33" s="7" t="s">
        <v>34</v>
      </c>
      <c r="U33" s="7" t="s">
        <v>34</v>
      </c>
    </row>
    <row r="34" spans="1:21" ht="14.1" customHeight="1">
      <c r="A34" s="7">
        <v>50</v>
      </c>
      <c r="B34" s="14" t="s">
        <v>124</v>
      </c>
      <c r="C34" s="14" t="s">
        <v>431</v>
      </c>
      <c r="D34" s="7" t="s">
        <v>773</v>
      </c>
      <c r="E34" s="14" t="s">
        <v>5575</v>
      </c>
      <c r="F34" s="7" t="s">
        <v>26</v>
      </c>
      <c r="G34" s="8" t="s">
        <v>4615</v>
      </c>
      <c r="H34" s="7" t="s">
        <v>1424</v>
      </c>
      <c r="I34" s="8" t="s">
        <v>5578</v>
      </c>
      <c r="J34" s="7" t="s">
        <v>30</v>
      </c>
      <c r="K34" s="7" t="s">
        <v>1426</v>
      </c>
      <c r="L34" s="7" t="s">
        <v>322</v>
      </c>
      <c r="M34" s="7">
        <v>83014000</v>
      </c>
      <c r="N34" s="7">
        <v>1000</v>
      </c>
      <c r="O34" s="7" t="s">
        <v>5531</v>
      </c>
      <c r="P34" s="7"/>
      <c r="R34" s="9">
        <v>29.4139004793774</v>
      </c>
      <c r="T34" s="7" t="s">
        <v>34</v>
      </c>
      <c r="U34" s="7" t="s">
        <v>34</v>
      </c>
    </row>
    <row r="35" spans="1:21" ht="14.1" customHeight="1">
      <c r="A35" s="7">
        <v>51</v>
      </c>
      <c r="B35" s="14" t="s">
        <v>124</v>
      </c>
      <c r="C35" s="14" t="s">
        <v>431</v>
      </c>
      <c r="D35" s="7" t="s">
        <v>773</v>
      </c>
      <c r="E35" s="14" t="s">
        <v>5575</v>
      </c>
      <c r="F35" s="7" t="s">
        <v>26</v>
      </c>
      <c r="G35" s="8" t="s">
        <v>5579</v>
      </c>
      <c r="H35" s="7" t="s">
        <v>1424</v>
      </c>
      <c r="I35" s="8" t="s">
        <v>5580</v>
      </c>
      <c r="J35" s="7" t="s">
        <v>30</v>
      </c>
      <c r="K35" s="7" t="s">
        <v>1426</v>
      </c>
      <c r="L35" s="7" t="s">
        <v>322</v>
      </c>
      <c r="M35" s="7">
        <v>83014000</v>
      </c>
      <c r="N35" s="7">
        <v>1000</v>
      </c>
      <c r="O35" s="7" t="s">
        <v>5581</v>
      </c>
      <c r="P35" s="7"/>
      <c r="R35" s="9">
        <v>35.629668127849612</v>
      </c>
      <c r="T35" s="7" t="s">
        <v>34</v>
      </c>
      <c r="U35" s="7" t="s">
        <v>34</v>
      </c>
    </row>
    <row r="36" spans="1:21" ht="14.1" customHeight="1">
      <c r="A36" s="7">
        <v>52</v>
      </c>
      <c r="B36" s="14" t="s">
        <v>124</v>
      </c>
      <c r="C36" s="14" t="s">
        <v>431</v>
      </c>
      <c r="D36" s="7" t="s">
        <v>773</v>
      </c>
      <c r="E36" s="14" t="s">
        <v>5575</v>
      </c>
      <c r="F36" s="7" t="s">
        <v>26</v>
      </c>
      <c r="G36" s="8" t="s">
        <v>4617</v>
      </c>
      <c r="H36" s="7" t="s">
        <v>1424</v>
      </c>
      <c r="I36" s="8" t="s">
        <v>5582</v>
      </c>
      <c r="J36" s="7" t="s">
        <v>30</v>
      </c>
      <c r="K36" s="7" t="s">
        <v>1426</v>
      </c>
      <c r="L36" s="7" t="s">
        <v>322</v>
      </c>
      <c r="M36" s="7">
        <v>83014000</v>
      </c>
      <c r="N36" s="7">
        <v>1000</v>
      </c>
      <c r="O36" s="7" t="s">
        <v>5581</v>
      </c>
      <c r="P36" s="7"/>
      <c r="R36" s="9">
        <v>38.626556101220132</v>
      </c>
      <c r="T36" s="7" t="s">
        <v>34</v>
      </c>
      <c r="U36" s="7" t="s">
        <v>34</v>
      </c>
    </row>
    <row r="37" spans="1:21" ht="14.1" customHeight="1">
      <c r="A37" s="7">
        <v>54</v>
      </c>
      <c r="B37" s="14" t="s">
        <v>124</v>
      </c>
      <c r="C37" s="14" t="s">
        <v>431</v>
      </c>
      <c r="D37" s="7" t="s">
        <v>773</v>
      </c>
      <c r="E37" s="14" t="s">
        <v>5575</v>
      </c>
      <c r="F37" s="7" t="s">
        <v>26</v>
      </c>
      <c r="G37" s="8" t="s">
        <v>5583</v>
      </c>
      <c r="H37" s="7" t="s">
        <v>1424</v>
      </c>
      <c r="I37" s="8" t="s">
        <v>5584</v>
      </c>
      <c r="J37" s="7" t="s">
        <v>30</v>
      </c>
      <c r="K37" s="7" t="s">
        <v>1426</v>
      </c>
      <c r="L37" s="7" t="s">
        <v>322</v>
      </c>
      <c r="M37" s="7">
        <v>83014000</v>
      </c>
      <c r="N37" s="7">
        <v>1000</v>
      </c>
      <c r="O37" s="7" t="s">
        <v>5581</v>
      </c>
      <c r="P37" s="7"/>
      <c r="R37" s="9">
        <v>34.797199246357792</v>
      </c>
      <c r="T37" s="7" t="s">
        <v>34</v>
      </c>
      <c r="U37" s="7" t="s">
        <v>34</v>
      </c>
    </row>
    <row r="38" spans="1:21" ht="14.1" customHeight="1">
      <c r="A38" s="7">
        <v>55</v>
      </c>
      <c r="B38" s="14" t="s">
        <v>124</v>
      </c>
      <c r="C38" s="14" t="s">
        <v>431</v>
      </c>
      <c r="D38" s="7" t="s">
        <v>684</v>
      </c>
      <c r="E38" s="14" t="s">
        <v>5585</v>
      </c>
      <c r="F38" s="7" t="s">
        <v>26</v>
      </c>
      <c r="G38" s="8" t="s">
        <v>5586</v>
      </c>
      <c r="H38" s="7" t="s">
        <v>1846</v>
      </c>
      <c r="I38" s="8" t="s">
        <v>5587</v>
      </c>
      <c r="J38" s="7" t="s">
        <v>30</v>
      </c>
      <c r="K38" s="7" t="s">
        <v>1848</v>
      </c>
      <c r="L38" s="7" t="s">
        <v>322</v>
      </c>
      <c r="M38" s="7">
        <v>8301600000</v>
      </c>
      <c r="N38" s="7">
        <v>1000</v>
      </c>
      <c r="O38" s="7" t="s">
        <v>5581</v>
      </c>
      <c r="P38" s="7"/>
      <c r="R38" s="9">
        <v>75.007804884243299</v>
      </c>
      <c r="T38" s="7" t="s">
        <v>34</v>
      </c>
      <c r="U38" s="7" t="s">
        <v>34</v>
      </c>
    </row>
    <row r="39" spans="1:21" ht="14.1" customHeight="1">
      <c r="A39" s="7">
        <v>56</v>
      </c>
      <c r="B39" s="14" t="s">
        <v>124</v>
      </c>
      <c r="C39" s="14" t="s">
        <v>431</v>
      </c>
      <c r="D39" s="7" t="s">
        <v>684</v>
      </c>
      <c r="E39" s="14" t="s">
        <v>5585</v>
      </c>
      <c r="F39" s="7" t="s">
        <v>26</v>
      </c>
      <c r="G39" s="8" t="s">
        <v>5588</v>
      </c>
      <c r="H39" s="7" t="s">
        <v>1846</v>
      </c>
      <c r="I39" s="8" t="s">
        <v>5589</v>
      </c>
      <c r="J39" s="7" t="s">
        <v>30</v>
      </c>
      <c r="K39" s="7" t="s">
        <v>1848</v>
      </c>
      <c r="L39" s="7" t="s">
        <v>322</v>
      </c>
      <c r="M39" s="7">
        <v>8301600000</v>
      </c>
      <c r="N39" s="7">
        <v>1000</v>
      </c>
      <c r="O39" s="7" t="s">
        <v>5581</v>
      </c>
      <c r="P39" s="7"/>
      <c r="R39" s="9">
        <v>80.242646700690983</v>
      </c>
      <c r="T39" s="7" t="s">
        <v>34</v>
      </c>
      <c r="U39" s="7" t="s">
        <v>34</v>
      </c>
    </row>
    <row r="40" spans="1:21" ht="14.1" customHeight="1">
      <c r="A40" s="7">
        <v>57</v>
      </c>
      <c r="B40" s="14" t="s">
        <v>124</v>
      </c>
      <c r="C40" s="14" t="s">
        <v>431</v>
      </c>
      <c r="D40" s="7" t="s">
        <v>684</v>
      </c>
      <c r="E40" s="14" t="s">
        <v>5585</v>
      </c>
      <c r="F40" s="7" t="s">
        <v>26</v>
      </c>
      <c r="G40" s="8" t="s">
        <v>5590</v>
      </c>
      <c r="H40" s="7" t="s">
        <v>1846</v>
      </c>
      <c r="I40" s="8" t="s">
        <v>5591</v>
      </c>
      <c r="J40" s="7" t="s">
        <v>30</v>
      </c>
      <c r="K40" s="7" t="s">
        <v>1848</v>
      </c>
      <c r="L40" s="7" t="s">
        <v>322</v>
      </c>
      <c r="M40" s="7">
        <v>8301600000</v>
      </c>
      <c r="N40" s="7">
        <v>1000</v>
      </c>
      <c r="O40" s="7" t="s">
        <v>5581</v>
      </c>
      <c r="P40" s="7"/>
      <c r="R40" s="9">
        <v>85.477488517138667</v>
      </c>
      <c r="T40" s="7" t="s">
        <v>34</v>
      </c>
      <c r="U40" s="7" t="s">
        <v>34</v>
      </c>
    </row>
    <row r="41" spans="1:21" ht="14.1" customHeight="1">
      <c r="A41" s="7">
        <v>58</v>
      </c>
      <c r="B41" s="14" t="s">
        <v>124</v>
      </c>
      <c r="C41" s="14" t="s">
        <v>431</v>
      </c>
      <c r="D41" s="7" t="s">
        <v>684</v>
      </c>
      <c r="E41" s="14" t="s">
        <v>5585</v>
      </c>
      <c r="F41" s="7" t="s">
        <v>26</v>
      </c>
      <c r="G41" s="8" t="s">
        <v>5592</v>
      </c>
      <c r="H41" s="7" t="s">
        <v>1846</v>
      </c>
      <c r="I41" s="8" t="s">
        <v>5593</v>
      </c>
      <c r="J41" s="7" t="s">
        <v>30</v>
      </c>
      <c r="K41" s="7" t="s">
        <v>1848</v>
      </c>
      <c r="L41" s="7" t="s">
        <v>322</v>
      </c>
      <c r="M41" s="7">
        <v>8301600000</v>
      </c>
      <c r="N41" s="7">
        <v>1000</v>
      </c>
      <c r="O41" s="7" t="s">
        <v>5581</v>
      </c>
      <c r="P41" s="7"/>
      <c r="R41" s="9">
        <v>90.712330333586351</v>
      </c>
      <c r="T41" s="7" t="s">
        <v>34</v>
      </c>
      <c r="U41" s="7" t="s">
        <v>34</v>
      </c>
    </row>
    <row r="42" spans="1:21" ht="14.1" customHeight="1">
      <c r="A42" s="7">
        <v>59</v>
      </c>
      <c r="B42" s="14" t="s">
        <v>124</v>
      </c>
      <c r="C42" s="14" t="s">
        <v>431</v>
      </c>
      <c r="D42" s="7" t="s">
        <v>684</v>
      </c>
      <c r="E42" s="14" t="s">
        <v>5585</v>
      </c>
      <c r="F42" s="7" t="s">
        <v>26</v>
      </c>
      <c r="G42" s="8" t="s">
        <v>5594</v>
      </c>
      <c r="H42" s="7" t="s">
        <v>1846</v>
      </c>
      <c r="I42" s="8" t="s">
        <v>5595</v>
      </c>
      <c r="J42" s="7" t="s">
        <v>30</v>
      </c>
      <c r="K42" s="7" t="s">
        <v>1848</v>
      </c>
      <c r="L42" s="7" t="s">
        <v>322</v>
      </c>
      <c r="M42" s="7">
        <v>8301600000</v>
      </c>
      <c r="N42" s="7">
        <v>1000</v>
      </c>
      <c r="O42" s="7" t="s">
        <v>5581</v>
      </c>
      <c r="P42" s="7"/>
      <c r="R42" s="9">
        <v>95.947172150034035</v>
      </c>
      <c r="T42" s="7" t="s">
        <v>34</v>
      </c>
      <c r="U42" s="7" t="s">
        <v>34</v>
      </c>
    </row>
    <row r="43" spans="1:21" ht="14.1" customHeight="1">
      <c r="A43" s="7">
        <v>60</v>
      </c>
      <c r="B43" s="14" t="s">
        <v>124</v>
      </c>
      <c r="C43" s="14" t="s">
        <v>431</v>
      </c>
      <c r="D43" s="7" t="s">
        <v>684</v>
      </c>
      <c r="E43" s="14" t="s">
        <v>5585</v>
      </c>
      <c r="F43" s="7" t="s">
        <v>26</v>
      </c>
      <c r="G43" s="8" t="s">
        <v>5596</v>
      </c>
      <c r="H43" s="7" t="s">
        <v>1846</v>
      </c>
      <c r="I43" s="8" t="s">
        <v>5597</v>
      </c>
      <c r="J43" s="7" t="s">
        <v>30</v>
      </c>
      <c r="K43" s="7" t="s">
        <v>1848</v>
      </c>
      <c r="L43" s="7" t="s">
        <v>322</v>
      </c>
      <c r="M43" s="7">
        <v>8301600000</v>
      </c>
      <c r="N43" s="7">
        <v>1000</v>
      </c>
      <c r="O43" s="7" t="s">
        <v>5581</v>
      </c>
      <c r="P43" s="7"/>
      <c r="R43" s="9">
        <v>67.30510906861312</v>
      </c>
      <c r="T43" s="7" t="s">
        <v>34</v>
      </c>
      <c r="U43" s="7" t="s">
        <v>34</v>
      </c>
    </row>
    <row r="44" spans="1:21" ht="14.1" customHeight="1">
      <c r="A44" s="7">
        <v>61</v>
      </c>
      <c r="B44" s="14" t="s">
        <v>124</v>
      </c>
      <c r="C44" s="14" t="s">
        <v>431</v>
      </c>
      <c r="D44" s="7" t="s">
        <v>684</v>
      </c>
      <c r="E44" s="14" t="s">
        <v>5585</v>
      </c>
      <c r="F44" s="7" t="s">
        <v>26</v>
      </c>
      <c r="G44" s="8" t="s">
        <v>5598</v>
      </c>
      <c r="H44" s="7" t="s">
        <v>1846</v>
      </c>
      <c r="I44" s="8" t="s">
        <v>5599</v>
      </c>
      <c r="J44" s="7" t="s">
        <v>30</v>
      </c>
      <c r="K44" s="7" t="s">
        <v>1848</v>
      </c>
      <c r="L44" s="7" t="s">
        <v>322</v>
      </c>
      <c r="M44" s="7">
        <v>8301600000</v>
      </c>
      <c r="N44" s="7">
        <v>1000</v>
      </c>
      <c r="O44" s="7" t="s">
        <v>5581</v>
      </c>
      <c r="P44" s="7"/>
      <c r="R44" s="9">
        <v>72.764301248622871</v>
      </c>
      <c r="T44" s="7" t="s">
        <v>34</v>
      </c>
      <c r="U44" s="7" t="s">
        <v>34</v>
      </c>
    </row>
    <row r="45" spans="1:21" ht="14.1" customHeight="1">
      <c r="A45" s="7">
        <v>62</v>
      </c>
      <c r="B45" s="14" t="s">
        <v>124</v>
      </c>
      <c r="C45" s="14" t="s">
        <v>431</v>
      </c>
      <c r="D45" s="7" t="s">
        <v>684</v>
      </c>
      <c r="E45" s="14" t="s">
        <v>5585</v>
      </c>
      <c r="F45" s="7" t="s">
        <v>26</v>
      </c>
      <c r="G45" s="8" t="s">
        <v>5600</v>
      </c>
      <c r="H45" s="7" t="s">
        <v>1846</v>
      </c>
      <c r="I45" s="8" t="s">
        <v>5601</v>
      </c>
      <c r="J45" s="7" t="s">
        <v>30</v>
      </c>
      <c r="K45" s="7" t="s">
        <v>1848</v>
      </c>
      <c r="L45" s="7" t="s">
        <v>322</v>
      </c>
      <c r="M45" s="7">
        <v>8301600000</v>
      </c>
      <c r="N45" s="7">
        <v>1000</v>
      </c>
      <c r="O45" s="7" t="s">
        <v>5581</v>
      </c>
      <c r="P45" s="7"/>
      <c r="R45" s="9">
        <v>61.920700343124082</v>
      </c>
      <c r="T45" s="7" t="s">
        <v>34</v>
      </c>
      <c r="U45" s="7" t="s">
        <v>34</v>
      </c>
    </row>
    <row r="46" spans="1:21" ht="14.1" customHeight="1">
      <c r="A46" s="7">
        <v>63</v>
      </c>
      <c r="B46" s="14" t="s">
        <v>124</v>
      </c>
      <c r="C46" s="14" t="s">
        <v>431</v>
      </c>
      <c r="D46" s="7" t="s">
        <v>684</v>
      </c>
      <c r="E46" s="14" t="s">
        <v>5585</v>
      </c>
      <c r="F46" s="7" t="s">
        <v>26</v>
      </c>
      <c r="G46" s="8" t="s">
        <v>5602</v>
      </c>
      <c r="H46" s="7" t="s">
        <v>1846</v>
      </c>
      <c r="I46" s="8" t="s">
        <v>5603</v>
      </c>
      <c r="J46" s="7" t="s">
        <v>30</v>
      </c>
      <c r="K46" s="7" t="s">
        <v>1848</v>
      </c>
      <c r="L46" s="7" t="s">
        <v>322</v>
      </c>
      <c r="M46" s="7">
        <v>8301600000</v>
      </c>
      <c r="N46" s="7">
        <v>1000</v>
      </c>
      <c r="O46" s="7" t="s">
        <v>5581</v>
      </c>
      <c r="P46" s="7"/>
      <c r="R46" s="9">
        <v>67.155542159571752</v>
      </c>
      <c r="T46" s="7" t="s">
        <v>34</v>
      </c>
      <c r="U46" s="7" t="s">
        <v>34</v>
      </c>
    </row>
    <row r="47" spans="1:21" ht="14.1" customHeight="1">
      <c r="A47" s="7">
        <v>64</v>
      </c>
      <c r="B47" s="14" t="s">
        <v>124</v>
      </c>
      <c r="C47" s="14" t="s">
        <v>431</v>
      </c>
      <c r="D47" s="7" t="s">
        <v>684</v>
      </c>
      <c r="E47" s="14" t="s">
        <v>5585</v>
      </c>
      <c r="F47" s="7" t="s">
        <v>26</v>
      </c>
      <c r="G47" s="8" t="s">
        <v>5604</v>
      </c>
      <c r="H47" s="7" t="s">
        <v>1846</v>
      </c>
      <c r="I47" s="8" t="s">
        <v>5605</v>
      </c>
      <c r="J47" s="7" t="s">
        <v>30</v>
      </c>
      <c r="K47" s="7" t="s">
        <v>1848</v>
      </c>
      <c r="L47" s="7" t="s">
        <v>322</v>
      </c>
      <c r="M47" s="7">
        <v>8301600000</v>
      </c>
      <c r="N47" s="7">
        <v>1000</v>
      </c>
      <c r="O47" s="7" t="s">
        <v>5581</v>
      </c>
      <c r="P47" s="7"/>
      <c r="R47" s="9">
        <v>72.390383976019436</v>
      </c>
      <c r="T47" s="7" t="s">
        <v>34</v>
      </c>
      <c r="U47" s="7" t="s">
        <v>34</v>
      </c>
    </row>
    <row r="48" spans="1:21" ht="14.1" customHeight="1">
      <c r="A48" s="7">
        <v>65</v>
      </c>
      <c r="B48" s="14" t="s">
        <v>124</v>
      </c>
      <c r="C48" s="14" t="s">
        <v>431</v>
      </c>
      <c r="D48" s="7" t="s">
        <v>684</v>
      </c>
      <c r="E48" s="14" t="s">
        <v>5585</v>
      </c>
      <c r="F48" s="7" t="s">
        <v>26</v>
      </c>
      <c r="G48" s="8" t="s">
        <v>5606</v>
      </c>
      <c r="H48" s="7" t="s">
        <v>1846</v>
      </c>
      <c r="I48" s="8" t="s">
        <v>5607</v>
      </c>
      <c r="J48" s="7" t="s">
        <v>30</v>
      </c>
      <c r="K48" s="7" t="s">
        <v>1848</v>
      </c>
      <c r="L48" s="7" t="s">
        <v>322</v>
      </c>
      <c r="M48" s="7">
        <v>8301600000</v>
      </c>
      <c r="N48" s="7">
        <v>1000</v>
      </c>
      <c r="O48" s="7" t="s">
        <v>5581</v>
      </c>
      <c r="P48" s="7"/>
      <c r="R48" s="9">
        <v>77.62522579246712</v>
      </c>
      <c r="T48" s="7" t="s">
        <v>34</v>
      </c>
      <c r="U48" s="7" t="s">
        <v>34</v>
      </c>
    </row>
    <row r="49" spans="1:21" ht="14.1" customHeight="1">
      <c r="A49" s="7">
        <v>66</v>
      </c>
      <c r="B49" s="14" t="s">
        <v>124</v>
      </c>
      <c r="C49" s="14" t="s">
        <v>431</v>
      </c>
      <c r="D49" s="7" t="s">
        <v>684</v>
      </c>
      <c r="E49" s="14" t="s">
        <v>5585</v>
      </c>
      <c r="F49" s="7" t="s">
        <v>26</v>
      </c>
      <c r="G49" s="8" t="s">
        <v>5608</v>
      </c>
      <c r="H49" s="7" t="s">
        <v>1846</v>
      </c>
      <c r="I49" s="8" t="s">
        <v>5609</v>
      </c>
      <c r="J49" s="7" t="s">
        <v>30</v>
      </c>
      <c r="K49" s="7" t="s">
        <v>1848</v>
      </c>
      <c r="L49" s="7" t="s">
        <v>322</v>
      </c>
      <c r="M49" s="7">
        <v>8301600000</v>
      </c>
      <c r="N49" s="7">
        <v>1000</v>
      </c>
      <c r="O49" s="7" t="s">
        <v>5581</v>
      </c>
      <c r="P49" s="7"/>
      <c r="R49" s="9">
        <v>82.860067608914832</v>
      </c>
      <c r="T49" s="7" t="s">
        <v>34</v>
      </c>
      <c r="U49" s="7" t="s">
        <v>34</v>
      </c>
    </row>
    <row r="50" spans="1:21" ht="14.1" customHeight="1">
      <c r="A50" s="7">
        <v>67</v>
      </c>
      <c r="B50" s="14" t="s">
        <v>124</v>
      </c>
      <c r="C50" s="14" t="s">
        <v>431</v>
      </c>
      <c r="D50" s="7" t="s">
        <v>684</v>
      </c>
      <c r="E50" s="14" t="s">
        <v>5585</v>
      </c>
      <c r="F50" s="7" t="s">
        <v>26</v>
      </c>
      <c r="G50" s="8" t="s">
        <v>1522</v>
      </c>
      <c r="H50" s="7" t="s">
        <v>1846</v>
      </c>
      <c r="I50" s="8" t="s">
        <v>5610</v>
      </c>
      <c r="J50" s="7" t="s">
        <v>30</v>
      </c>
      <c r="K50" s="7" t="s">
        <v>1848</v>
      </c>
      <c r="L50" s="7" t="s">
        <v>322</v>
      </c>
      <c r="M50" s="7">
        <v>8301600000</v>
      </c>
      <c r="N50" s="7">
        <v>1000</v>
      </c>
      <c r="O50" s="7" t="s">
        <v>5581</v>
      </c>
      <c r="P50" s="7"/>
      <c r="R50" s="9">
        <v>51.451016710228707</v>
      </c>
      <c r="T50" s="7" t="s">
        <v>34</v>
      </c>
      <c r="U50" s="7" t="s">
        <v>34</v>
      </c>
    </row>
    <row r="51" spans="1:21" ht="14.1" customHeight="1">
      <c r="A51" s="7">
        <v>68</v>
      </c>
      <c r="B51" s="14" t="s">
        <v>124</v>
      </c>
      <c r="C51" s="14" t="s">
        <v>431</v>
      </c>
      <c r="D51" s="7" t="s">
        <v>684</v>
      </c>
      <c r="E51" s="14" t="s">
        <v>5585</v>
      </c>
      <c r="F51" s="7" t="s">
        <v>26</v>
      </c>
      <c r="G51" s="8" t="s">
        <v>1524</v>
      </c>
      <c r="H51" s="7" t="s">
        <v>1846</v>
      </c>
      <c r="I51" s="8" t="s">
        <v>5611</v>
      </c>
      <c r="J51" s="7" t="s">
        <v>30</v>
      </c>
      <c r="K51" s="7" t="s">
        <v>1848</v>
      </c>
      <c r="L51" s="7" t="s">
        <v>322</v>
      </c>
      <c r="M51" s="7">
        <v>8301600000</v>
      </c>
      <c r="N51" s="7">
        <v>1000</v>
      </c>
      <c r="O51" s="7" t="s">
        <v>5581</v>
      </c>
      <c r="P51" s="7"/>
      <c r="R51" s="9">
        <v>54.068437618452542</v>
      </c>
      <c r="T51" s="7" t="s">
        <v>34</v>
      </c>
      <c r="U51" s="7" t="s">
        <v>34</v>
      </c>
    </row>
    <row r="52" spans="1:21" ht="14.1" customHeight="1">
      <c r="A52" s="7">
        <v>79</v>
      </c>
      <c r="B52" s="14" t="s">
        <v>124</v>
      </c>
      <c r="C52" s="14" t="s">
        <v>431</v>
      </c>
      <c r="D52" s="7" t="s">
        <v>2194</v>
      </c>
      <c r="E52" s="14" t="s">
        <v>2195</v>
      </c>
      <c r="F52" s="7" t="s">
        <v>26</v>
      </c>
      <c r="G52" s="8" t="s">
        <v>5612</v>
      </c>
      <c r="H52" s="7" t="s">
        <v>1424</v>
      </c>
      <c r="I52" s="11" t="s">
        <v>5613</v>
      </c>
      <c r="J52" s="7" t="s">
        <v>30</v>
      </c>
      <c r="K52" s="7" t="s">
        <v>1426</v>
      </c>
      <c r="L52" s="7" t="s">
        <v>322</v>
      </c>
      <c r="M52" s="7">
        <v>8302410000</v>
      </c>
      <c r="N52" s="7">
        <v>1000</v>
      </c>
      <c r="O52" s="7" t="s">
        <v>5581</v>
      </c>
      <c r="P52" s="7"/>
      <c r="Q52" s="115"/>
      <c r="R52" s="9">
        <v>42.222824250713707</v>
      </c>
      <c r="T52" s="7" t="s">
        <v>34</v>
      </c>
      <c r="U52" s="7" t="s">
        <v>34</v>
      </c>
    </row>
    <row r="53" spans="1:21" s="213" customFormat="1" ht="14.1" customHeight="1">
      <c r="A53" s="7">
        <v>80</v>
      </c>
      <c r="B53" s="14" t="s">
        <v>124</v>
      </c>
      <c r="C53" s="14" t="s">
        <v>431</v>
      </c>
      <c r="D53" s="7" t="s">
        <v>2194</v>
      </c>
      <c r="E53" s="14" t="s">
        <v>2195</v>
      </c>
      <c r="F53" s="7" t="s">
        <v>26</v>
      </c>
      <c r="G53" s="8" t="s">
        <v>5614</v>
      </c>
      <c r="H53" s="7" t="s">
        <v>1424</v>
      </c>
      <c r="I53" s="11" t="s">
        <v>5613</v>
      </c>
      <c r="J53" s="7" t="s">
        <v>30</v>
      </c>
      <c r="K53" s="7" t="s">
        <v>1426</v>
      </c>
      <c r="L53" s="7" t="s">
        <v>322</v>
      </c>
      <c r="M53" s="7">
        <v>8302410000</v>
      </c>
      <c r="N53" s="7">
        <v>1000</v>
      </c>
      <c r="O53" s="7" t="s">
        <v>5581</v>
      </c>
      <c r="P53" s="7"/>
      <c r="Q53" s="115"/>
      <c r="R53" s="9">
        <v>42.222824250713707</v>
      </c>
      <c r="T53" s="7" t="s">
        <v>34</v>
      </c>
      <c r="U53" s="7" t="s">
        <v>34</v>
      </c>
    </row>
    <row r="54" spans="1:21" s="213" customFormat="1" ht="14.1" customHeight="1">
      <c r="A54" s="7">
        <v>81</v>
      </c>
      <c r="B54" s="14" t="s">
        <v>124</v>
      </c>
      <c r="C54" s="14" t="s">
        <v>431</v>
      </c>
      <c r="D54" s="7" t="s">
        <v>2194</v>
      </c>
      <c r="E54" s="14" t="s">
        <v>2195</v>
      </c>
      <c r="F54" s="7" t="s">
        <v>26</v>
      </c>
      <c r="G54" s="8" t="s">
        <v>5615</v>
      </c>
      <c r="H54" s="7" t="s">
        <v>1424</v>
      </c>
      <c r="I54" s="11" t="s">
        <v>5613</v>
      </c>
      <c r="J54" s="7" t="s">
        <v>30</v>
      </c>
      <c r="K54" s="7" t="s">
        <v>1426</v>
      </c>
      <c r="L54" s="7" t="s">
        <v>322</v>
      </c>
      <c r="M54" s="7">
        <v>8302410000</v>
      </c>
      <c r="N54" s="7">
        <v>1000</v>
      </c>
      <c r="O54" s="7" t="s">
        <v>5581</v>
      </c>
      <c r="P54" s="7"/>
      <c r="Q54" s="115"/>
      <c r="R54" s="9">
        <v>42.222824250713707</v>
      </c>
      <c r="T54" s="7" t="s">
        <v>34</v>
      </c>
      <c r="U54" s="7" t="s">
        <v>34</v>
      </c>
    </row>
    <row r="55" spans="1:21" s="213" customFormat="1" ht="14.1" customHeight="1">
      <c r="A55" s="7">
        <v>84</v>
      </c>
      <c r="B55" s="14" t="s">
        <v>124</v>
      </c>
      <c r="C55" s="14" t="s">
        <v>431</v>
      </c>
      <c r="D55" s="7" t="s">
        <v>260</v>
      </c>
      <c r="E55" s="14" t="s">
        <v>827</v>
      </c>
      <c r="F55" s="7" t="s">
        <v>26</v>
      </c>
      <c r="G55" s="8" t="s">
        <v>5258</v>
      </c>
      <c r="H55" s="7" t="s">
        <v>995</v>
      </c>
      <c r="I55" s="8" t="s">
        <v>5616</v>
      </c>
      <c r="J55" s="7" t="s">
        <v>30</v>
      </c>
      <c r="K55" s="7" t="s">
        <v>997</v>
      </c>
      <c r="L55" s="7" t="s">
        <v>322</v>
      </c>
      <c r="M55" s="7">
        <v>8302410000</v>
      </c>
      <c r="N55" s="7">
        <v>1000</v>
      </c>
      <c r="O55" s="7" t="s">
        <v>5581</v>
      </c>
      <c r="P55" s="7"/>
      <c r="Q55" s="2"/>
      <c r="R55" s="9">
        <v>73.635290918430442</v>
      </c>
      <c r="T55" s="7" t="s">
        <v>34</v>
      </c>
      <c r="U55" s="7" t="s">
        <v>34</v>
      </c>
    </row>
    <row r="56" spans="1:21" s="213" customFormat="1" ht="14.1" customHeight="1">
      <c r="A56" s="7">
        <v>85</v>
      </c>
      <c r="B56" s="14" t="s">
        <v>124</v>
      </c>
      <c r="C56" s="14" t="s">
        <v>431</v>
      </c>
      <c r="D56" s="7" t="s">
        <v>260</v>
      </c>
      <c r="E56" s="14" t="s">
        <v>827</v>
      </c>
      <c r="F56" s="7" t="s">
        <v>26</v>
      </c>
      <c r="G56" s="8" t="s">
        <v>5262</v>
      </c>
      <c r="H56" s="7" t="s">
        <v>995</v>
      </c>
      <c r="I56" s="11" t="s">
        <v>5617</v>
      </c>
      <c r="J56" s="7" t="s">
        <v>30</v>
      </c>
      <c r="K56" s="7" t="s">
        <v>997</v>
      </c>
      <c r="L56" s="7" t="s">
        <v>322</v>
      </c>
      <c r="M56" s="7">
        <v>8302410000</v>
      </c>
      <c r="N56" s="7">
        <v>1000</v>
      </c>
      <c r="O56" s="7" t="s">
        <v>5581</v>
      </c>
      <c r="P56" s="7"/>
      <c r="Q56" s="115"/>
      <c r="R56" s="9">
        <v>37.376153862897738</v>
      </c>
      <c r="T56" s="7" t="s">
        <v>34</v>
      </c>
      <c r="U56" s="7" t="s">
        <v>34</v>
      </c>
    </row>
    <row r="57" spans="1:21" s="213" customFormat="1" ht="14.1" customHeight="1">
      <c r="A57" s="7">
        <v>86</v>
      </c>
      <c r="B57" s="14" t="s">
        <v>124</v>
      </c>
      <c r="C57" s="14" t="s">
        <v>431</v>
      </c>
      <c r="D57" s="7" t="s">
        <v>39</v>
      </c>
      <c r="E57" s="14" t="s">
        <v>3703</v>
      </c>
      <c r="F57" s="7" t="s">
        <v>26</v>
      </c>
      <c r="G57" s="8" t="s">
        <v>5618</v>
      </c>
      <c r="H57" s="7" t="s">
        <v>1424</v>
      </c>
      <c r="I57" s="8" t="s">
        <v>5619</v>
      </c>
      <c r="J57" s="7" t="s">
        <v>30</v>
      </c>
      <c r="K57" s="7" t="s">
        <v>1426</v>
      </c>
      <c r="L57" s="7" t="s">
        <v>322</v>
      </c>
      <c r="M57" s="7">
        <v>8302410000</v>
      </c>
      <c r="N57" s="7">
        <v>1000</v>
      </c>
      <c r="O57" s="7" t="s">
        <v>5581</v>
      </c>
      <c r="P57" s="7"/>
      <c r="Q57" s="2"/>
      <c r="R57" s="9">
        <v>34.790026045111382</v>
      </c>
      <c r="T57" s="7" t="s">
        <v>34</v>
      </c>
      <c r="U57" s="7" t="s">
        <v>34</v>
      </c>
    </row>
    <row r="58" spans="1:21" s="213" customFormat="1" ht="14.1" customHeight="1">
      <c r="A58" s="7">
        <v>87</v>
      </c>
      <c r="B58" s="14" t="s">
        <v>124</v>
      </c>
      <c r="C58" s="14" t="s">
        <v>431</v>
      </c>
      <c r="D58" s="7" t="s">
        <v>39</v>
      </c>
      <c r="E58" s="14" t="s">
        <v>3703</v>
      </c>
      <c r="F58" s="7" t="s">
        <v>26</v>
      </c>
      <c r="G58" s="8" t="s">
        <v>5620</v>
      </c>
      <c r="H58" s="7" t="s">
        <v>1424</v>
      </c>
      <c r="I58" s="8" t="s">
        <v>5621</v>
      </c>
      <c r="J58" s="7" t="s">
        <v>30</v>
      </c>
      <c r="K58" s="7" t="s">
        <v>1426</v>
      </c>
      <c r="L58" s="7" t="s">
        <v>322</v>
      </c>
      <c r="M58" s="7">
        <v>8302410000</v>
      </c>
      <c r="N58" s="7">
        <v>1000</v>
      </c>
      <c r="O58" s="7" t="s">
        <v>5581</v>
      </c>
      <c r="P58" s="7"/>
      <c r="Q58" s="2"/>
      <c r="R58" s="9">
        <v>64.379481186572093</v>
      </c>
      <c r="T58" s="7" t="s">
        <v>34</v>
      </c>
      <c r="U58" s="7" t="s">
        <v>34</v>
      </c>
    </row>
    <row r="59" spans="1:21" s="213" customFormat="1" ht="14.1" customHeight="1">
      <c r="A59" s="7">
        <v>89</v>
      </c>
      <c r="B59" s="14" t="s">
        <v>124</v>
      </c>
      <c r="C59" s="14" t="s">
        <v>431</v>
      </c>
      <c r="D59" s="7" t="s">
        <v>39</v>
      </c>
      <c r="E59" s="14" t="s">
        <v>3703</v>
      </c>
      <c r="F59" s="7" t="s">
        <v>26</v>
      </c>
      <c r="G59" s="8" t="s">
        <v>5622</v>
      </c>
      <c r="H59" s="7" t="s">
        <v>1424</v>
      </c>
      <c r="I59" s="8" t="s">
        <v>5623</v>
      </c>
      <c r="J59" s="7" t="s">
        <v>30</v>
      </c>
      <c r="K59" s="7" t="s">
        <v>1426</v>
      </c>
      <c r="L59" s="7" t="s">
        <v>322</v>
      </c>
      <c r="M59" s="7">
        <v>8302410000</v>
      </c>
      <c r="N59" s="7">
        <v>1000</v>
      </c>
      <c r="O59" s="7" t="s">
        <v>5581</v>
      </c>
      <c r="P59" s="7"/>
      <c r="Q59" s="2"/>
      <c r="R59" s="9">
        <v>49.136428537940823</v>
      </c>
      <c r="T59" s="7" t="s">
        <v>34</v>
      </c>
      <c r="U59" s="7" t="s">
        <v>34</v>
      </c>
    </row>
    <row r="60" spans="1:21" s="213" customFormat="1" ht="14.1" customHeight="1">
      <c r="A60" s="7">
        <v>91</v>
      </c>
      <c r="B60" s="14" t="s">
        <v>124</v>
      </c>
      <c r="C60" s="14" t="s">
        <v>431</v>
      </c>
      <c r="D60" s="7" t="s">
        <v>39</v>
      </c>
      <c r="E60" s="14" t="s">
        <v>3703</v>
      </c>
      <c r="F60" s="7" t="s">
        <v>26</v>
      </c>
      <c r="G60" s="8" t="s">
        <v>5624</v>
      </c>
      <c r="H60" s="7" t="s">
        <v>1424</v>
      </c>
      <c r="I60" s="8" t="s">
        <v>5625</v>
      </c>
      <c r="J60" s="7" t="s">
        <v>30</v>
      </c>
      <c r="K60" s="7" t="s">
        <v>1426</v>
      </c>
      <c r="L60" s="7" t="s">
        <v>322</v>
      </c>
      <c r="M60" s="7">
        <v>8302410000</v>
      </c>
      <c r="N60" s="7">
        <v>1000</v>
      </c>
      <c r="O60" s="7" t="s">
        <v>5581</v>
      </c>
      <c r="P60" s="7"/>
      <c r="Q60" s="2"/>
      <c r="R60" s="9">
        <v>72.807992651109373</v>
      </c>
      <c r="T60" s="7" t="s">
        <v>34</v>
      </c>
      <c r="U60" s="7" t="s">
        <v>34</v>
      </c>
    </row>
    <row r="61" spans="1:21" s="213" customFormat="1" ht="14.1" customHeight="1">
      <c r="A61" s="7">
        <v>93</v>
      </c>
      <c r="B61" s="14" t="s">
        <v>124</v>
      </c>
      <c r="C61" s="14" t="s">
        <v>431</v>
      </c>
      <c r="D61" s="7" t="s">
        <v>39</v>
      </c>
      <c r="E61" s="14" t="s">
        <v>3703</v>
      </c>
      <c r="F61" s="7" t="s">
        <v>26</v>
      </c>
      <c r="G61" s="8" t="s">
        <v>5280</v>
      </c>
      <c r="H61" s="7" t="s">
        <v>995</v>
      </c>
      <c r="I61" s="8" t="s">
        <v>5626</v>
      </c>
      <c r="J61" s="7" t="s">
        <v>30</v>
      </c>
      <c r="K61" s="7" t="s">
        <v>997</v>
      </c>
      <c r="L61" s="7" t="s">
        <v>322</v>
      </c>
      <c r="M61" s="7">
        <v>8302410000</v>
      </c>
      <c r="N61" s="7">
        <v>1000</v>
      </c>
      <c r="O61" s="7" t="s">
        <v>5581</v>
      </c>
      <c r="P61" s="7"/>
      <c r="Q61" s="2"/>
      <c r="R61" s="9">
        <v>31.382755453064391</v>
      </c>
      <c r="T61" s="7" t="s">
        <v>34</v>
      </c>
      <c r="U61" s="7" t="s">
        <v>34</v>
      </c>
    </row>
    <row r="62" spans="1:21" s="213" customFormat="1" ht="14.1" customHeight="1"/>
    <row r="63" spans="1:21" s="213" customFormat="1" ht="14.1" customHeight="1"/>
    <row r="64" spans="1:21" s="213" customFormat="1" ht="14.1" customHeight="1"/>
    <row r="65" s="213" customFormat="1" ht="14.1" customHeight="1"/>
    <row r="66" s="213" customFormat="1" ht="14.1" customHeight="1"/>
    <row r="67" s="213" customFormat="1" ht="14.1" customHeight="1"/>
    <row r="68" s="213" customFormat="1" ht="14.1" customHeight="1"/>
    <row r="69" s="213" customFormat="1" ht="14.1" customHeight="1"/>
    <row r="70" s="213" customFormat="1" ht="14.1" customHeight="1"/>
    <row r="71" s="213" customFormat="1" ht="14.1" customHeight="1"/>
    <row r="72" s="213" customFormat="1" ht="14.1" customHeight="1"/>
    <row r="73" s="213" customFormat="1" ht="14.1" customHeight="1"/>
    <row r="74" s="213" customFormat="1" ht="14.1" customHeight="1"/>
    <row r="75" s="213" customFormat="1" ht="14.1" customHeight="1"/>
    <row r="76" s="213" customFormat="1" ht="14.1" customHeight="1"/>
    <row r="77" s="213" customFormat="1" ht="14.1" customHeight="1"/>
    <row r="78" s="213" customFormat="1" ht="14.1" customHeight="1"/>
    <row r="79" s="213" customFormat="1" ht="14.1" customHeight="1"/>
    <row r="80" s="213" customFormat="1" ht="14.1" customHeight="1"/>
    <row r="81" s="213" customFormat="1" ht="14.1" customHeight="1"/>
    <row r="82" s="213" customFormat="1" ht="14.1" customHeight="1"/>
    <row r="83" s="213" customFormat="1" ht="14.1" customHeight="1"/>
    <row r="84" s="213" customFormat="1" ht="14.1" customHeight="1"/>
    <row r="85" s="213" customFormat="1" ht="14.1" customHeight="1"/>
    <row r="86" s="213" customFormat="1" ht="14.1" customHeight="1"/>
    <row r="87" s="213" customFormat="1" ht="14.1" customHeight="1"/>
    <row r="88" s="213" customFormat="1" ht="14.1" customHeight="1"/>
    <row r="89" s="213" customFormat="1" ht="14.1" customHeight="1"/>
    <row r="90" s="213" customFormat="1" ht="14.1" customHeight="1"/>
    <row r="91" s="213" customFormat="1" ht="14.1" customHeight="1"/>
    <row r="92" s="213" customFormat="1" ht="14.1" customHeight="1"/>
    <row r="93" s="213" customFormat="1" ht="14.1" customHeight="1"/>
    <row r="94" s="213" customFormat="1" ht="14.1" customHeight="1"/>
    <row r="95" s="213" customFormat="1" ht="14.1" customHeight="1"/>
    <row r="96" s="213" customFormat="1" ht="14.1" customHeight="1"/>
    <row r="97" s="213" customFormat="1" ht="14.1" customHeight="1"/>
    <row r="98" ht="14.1" customHeight="1"/>
    <row r="99" ht="14.1" customHeight="1"/>
    <row r="100" ht="14.1" customHeight="1"/>
    <row r="101" ht="14.1" customHeight="1"/>
    <row r="102" ht="14.1" customHeight="1"/>
    <row r="103" ht="14.1" customHeight="1"/>
    <row r="104" ht="14.1" customHeight="1"/>
    <row r="105" ht="14.1" customHeight="1"/>
    <row r="106" ht="14.1" customHeight="1"/>
    <row r="107" ht="14.1" customHeight="1"/>
    <row r="108" ht="14.1" customHeight="1"/>
    <row r="109" ht="14.1" customHeight="1"/>
    <row r="110" ht="14.1" customHeight="1"/>
    <row r="111" ht="14.1" customHeight="1"/>
    <row r="112" ht="14.1" customHeight="1"/>
    <row r="113" ht="14.1" customHeight="1"/>
    <row r="114" ht="14.1" customHeight="1"/>
    <row r="115" ht="14.1" customHeight="1"/>
    <row r="116" ht="14.1" customHeight="1"/>
    <row r="117" ht="14.1" customHeight="1"/>
    <row r="118" ht="14.1" customHeight="1"/>
    <row r="119" ht="14.1" customHeight="1"/>
    <row r="120" ht="14.1" customHeight="1"/>
    <row r="121" ht="14.1" customHeight="1"/>
    <row r="122" ht="14.1" customHeight="1"/>
    <row r="123" ht="14.1" customHeight="1"/>
    <row r="124" ht="14.1" customHeight="1"/>
    <row r="125" ht="14.1" customHeight="1"/>
    <row r="126" ht="14.1" customHeight="1"/>
    <row r="127" ht="14.1" customHeight="1"/>
    <row r="128" ht="14.1" customHeight="1"/>
    <row r="129" ht="14.1" customHeight="1"/>
    <row r="130" ht="14.1" customHeight="1"/>
    <row r="131" ht="14.1" customHeight="1"/>
    <row r="132" ht="14.1" customHeight="1"/>
    <row r="133" ht="14.1" customHeight="1"/>
    <row r="134" ht="14.1" customHeight="1"/>
    <row r="135" ht="14.1" customHeight="1"/>
    <row r="136" ht="14.1" customHeight="1"/>
    <row r="137" ht="14.1" customHeight="1"/>
    <row r="138" ht="14.1" customHeight="1"/>
    <row r="139" ht="14.1" customHeight="1"/>
    <row r="140" ht="14.1" customHeight="1"/>
    <row r="141" ht="14.1" customHeight="1"/>
    <row r="142" ht="14.1" customHeight="1"/>
    <row r="143" ht="14.1" customHeight="1"/>
    <row r="144" ht="14.1" customHeight="1"/>
    <row r="145" ht="14.1" customHeight="1"/>
    <row r="146" ht="14.1" customHeight="1"/>
    <row r="147" ht="14.1" customHeight="1"/>
    <row r="148" ht="14.1" customHeight="1"/>
    <row r="149" ht="14.1" customHeight="1"/>
    <row r="150" ht="14.1" customHeight="1"/>
    <row r="151" ht="14.1" customHeight="1"/>
    <row r="152" ht="14.1" customHeight="1"/>
    <row r="153" ht="14.1" customHeight="1"/>
    <row r="154" ht="14.1" customHeight="1"/>
    <row r="155" ht="14.1" customHeight="1"/>
    <row r="156" ht="14.1" customHeight="1"/>
    <row r="157" ht="14.1" customHeight="1"/>
    <row r="158" ht="14.1" customHeight="1"/>
    <row r="159" ht="14.1" customHeight="1"/>
    <row r="160" ht="14.1" customHeight="1"/>
    <row r="161" ht="14.1" customHeight="1"/>
    <row r="162" ht="14.1" customHeight="1"/>
    <row r="163" ht="14.1" customHeight="1"/>
    <row r="164" ht="14.1" customHeight="1"/>
    <row r="165" ht="14.1" customHeight="1"/>
    <row r="166" ht="14.1" customHeight="1"/>
    <row r="167" ht="14.1" customHeight="1"/>
    <row r="168" ht="14.1" customHeight="1"/>
    <row r="169" ht="14.1" customHeight="1"/>
    <row r="170" ht="14.1" customHeight="1"/>
    <row r="171" ht="14.1" customHeight="1"/>
    <row r="172" ht="14.1" customHeight="1"/>
    <row r="173" ht="14.1" customHeight="1"/>
    <row r="174" ht="14.1" customHeight="1"/>
    <row r="175" ht="14.1" customHeight="1"/>
    <row r="176" ht="14.1" customHeight="1"/>
    <row r="177" ht="14.1" customHeight="1"/>
    <row r="178" ht="14.1" customHeight="1"/>
    <row r="179" ht="14.1" customHeight="1"/>
    <row r="180" ht="14.1" customHeight="1"/>
    <row r="181" ht="14.1" customHeight="1"/>
    <row r="182" ht="14.1" customHeight="1"/>
    <row r="183" ht="14.1" customHeight="1"/>
    <row r="184" ht="14.1" customHeight="1"/>
    <row r="185" ht="14.1" customHeight="1"/>
    <row r="186" ht="14.1" customHeight="1"/>
    <row r="187" ht="14.1" customHeight="1"/>
    <row r="188" ht="14.1" customHeight="1"/>
    <row r="189" ht="14.1" customHeight="1"/>
    <row r="190" ht="14.1" customHeight="1"/>
    <row r="191" ht="14.1" customHeight="1"/>
    <row r="192" ht="14.1" customHeight="1"/>
    <row r="193" ht="14.1" customHeight="1"/>
    <row r="194" ht="14.1" customHeight="1"/>
    <row r="195" ht="14.1" customHeight="1"/>
    <row r="196" ht="14.1" customHeight="1"/>
    <row r="197" ht="14.1" customHeight="1"/>
    <row r="198" ht="14.1" customHeight="1"/>
    <row r="199" ht="14.1" customHeight="1"/>
    <row r="200" ht="14.1" customHeight="1"/>
    <row r="201" ht="14.1" customHeight="1"/>
    <row r="202" ht="14.1" customHeight="1"/>
    <row r="203" ht="14.1" customHeight="1"/>
    <row r="204" ht="14.1" customHeight="1"/>
    <row r="205" ht="14.1" customHeight="1"/>
    <row r="206" ht="14.1" customHeight="1"/>
    <row r="207" ht="14.1" customHeight="1"/>
    <row r="208" ht="14.1" customHeight="1"/>
    <row r="209" ht="14.1" customHeight="1"/>
    <row r="210" ht="14.1" customHeight="1"/>
    <row r="211" ht="14.1" customHeight="1"/>
    <row r="212" ht="14.1" customHeight="1"/>
    <row r="213" ht="14.1" customHeight="1"/>
    <row r="214" ht="14.1" customHeight="1"/>
    <row r="215" ht="14.1" customHeight="1"/>
    <row r="216" ht="14.1" customHeight="1"/>
    <row r="217" ht="14.1" customHeight="1"/>
    <row r="218" ht="14.1" customHeight="1"/>
    <row r="219" ht="14.1" customHeight="1"/>
    <row r="220" ht="14.1" customHeight="1"/>
    <row r="221" ht="14.1" customHeight="1"/>
    <row r="222" ht="14.1" customHeight="1"/>
    <row r="223" ht="14.1" customHeight="1"/>
    <row r="224" ht="14.1" customHeight="1"/>
    <row r="225" ht="14.1" customHeight="1"/>
    <row r="226" ht="14.1" customHeight="1"/>
    <row r="227" ht="14.1" customHeight="1"/>
    <row r="228" ht="14.1" customHeight="1"/>
    <row r="229" ht="14.1" customHeight="1"/>
    <row r="230" ht="14.1" customHeight="1"/>
    <row r="231" ht="14.1" customHeight="1"/>
    <row r="232" ht="14.1" customHeight="1"/>
    <row r="233" ht="14.1" customHeight="1"/>
    <row r="234" ht="14.1" customHeight="1"/>
    <row r="235" ht="14.1" customHeight="1"/>
    <row r="236" ht="14.1" customHeight="1"/>
    <row r="237" ht="14.1" customHeight="1"/>
    <row r="238" ht="14.1" customHeight="1"/>
    <row r="239" ht="14.1" customHeight="1"/>
    <row r="240" ht="14.1" customHeight="1"/>
    <row r="241" ht="14.1" customHeight="1"/>
    <row r="242" ht="14.1" customHeight="1"/>
    <row r="243" ht="14.1" customHeight="1"/>
    <row r="244" ht="14.1" customHeight="1"/>
    <row r="245" ht="14.1" customHeight="1"/>
    <row r="246" ht="14.1" customHeight="1"/>
    <row r="247" ht="14.1" customHeight="1"/>
    <row r="248" ht="14.1" customHeight="1"/>
    <row r="249" ht="14.1" customHeight="1"/>
    <row r="250" ht="14.1" customHeight="1"/>
    <row r="251" ht="14.1" customHeight="1"/>
    <row r="252" ht="14.1" customHeight="1"/>
    <row r="253" ht="14.1" customHeight="1"/>
    <row r="254" ht="14.1" customHeight="1"/>
    <row r="255" ht="14.1" customHeight="1"/>
    <row r="256" ht="14.1" customHeight="1"/>
    <row r="257" ht="14.1" customHeight="1"/>
    <row r="258" ht="14.1" customHeight="1"/>
    <row r="259" ht="14.1" customHeight="1"/>
    <row r="260" ht="14.1" customHeight="1"/>
    <row r="261" ht="14.1" customHeight="1"/>
    <row r="262" ht="14.1" customHeight="1"/>
    <row r="263" ht="14.1" customHeight="1"/>
    <row r="264" ht="14.1" customHeight="1"/>
    <row r="265" ht="14.1" customHeight="1"/>
    <row r="266" ht="14.1" customHeight="1"/>
    <row r="267" ht="14.1" customHeight="1"/>
    <row r="268" ht="14.1" customHeight="1"/>
    <row r="269" ht="14.1" customHeight="1"/>
    <row r="270" ht="14.1" customHeight="1"/>
    <row r="271" ht="14.1" customHeight="1"/>
    <row r="272" ht="14.1" customHeight="1"/>
    <row r="273" ht="14.1" customHeight="1"/>
    <row r="274" ht="14.1" customHeight="1"/>
    <row r="275" ht="14.1" customHeight="1"/>
    <row r="276" ht="14.1" customHeight="1"/>
    <row r="277" ht="14.1" customHeight="1"/>
    <row r="278" ht="14.1" customHeight="1"/>
    <row r="279" ht="14.1" customHeight="1"/>
    <row r="280" ht="14.1" customHeight="1"/>
    <row r="281" ht="14.1" customHeight="1"/>
    <row r="282" ht="14.1" customHeight="1"/>
    <row r="283" ht="14.1" customHeight="1"/>
    <row r="284" ht="14.1" customHeight="1"/>
    <row r="285" ht="14.1" customHeight="1"/>
    <row r="286" ht="14.1" customHeight="1"/>
    <row r="287" ht="14.1" customHeight="1"/>
    <row r="288" ht="14.1" customHeight="1"/>
    <row r="289" ht="14.1" customHeight="1"/>
    <row r="290" ht="14.1" customHeight="1"/>
    <row r="291" ht="14.1" customHeight="1"/>
    <row r="292" ht="14.1" customHeight="1"/>
    <row r="293" ht="14.1" customHeight="1"/>
    <row r="294" ht="14.1" customHeight="1"/>
    <row r="295" ht="14.1" customHeight="1"/>
    <row r="296" ht="14.1" customHeight="1"/>
    <row r="297" ht="14.1" customHeight="1"/>
    <row r="298" ht="14.1" customHeight="1"/>
    <row r="299" ht="14.1" customHeight="1"/>
    <row r="300" ht="14.1" customHeight="1"/>
    <row r="301" ht="14.1" customHeight="1"/>
    <row r="302" ht="14.1" customHeight="1"/>
    <row r="303" ht="14.1" customHeight="1"/>
    <row r="304" ht="14.1" customHeight="1"/>
    <row r="305" ht="14.1" customHeight="1"/>
    <row r="306" ht="14.1" customHeight="1"/>
    <row r="307" ht="14.1" customHeight="1"/>
    <row r="308" ht="14.1" customHeight="1"/>
    <row r="309" ht="14.1" customHeight="1"/>
    <row r="310" ht="14.1" customHeight="1"/>
    <row r="311" ht="14.1" customHeight="1"/>
    <row r="312" ht="14.1" customHeight="1"/>
    <row r="313" ht="14.1" customHeight="1"/>
    <row r="314" ht="14.1" customHeight="1"/>
    <row r="315" ht="14.1" customHeight="1"/>
    <row r="316" ht="14.1" customHeight="1"/>
    <row r="317" ht="14.1" customHeight="1"/>
    <row r="318" ht="14.1" customHeight="1"/>
    <row r="319" ht="14.1" customHeight="1"/>
    <row r="320" ht="14.1" customHeight="1"/>
    <row r="321" ht="14.1" customHeight="1"/>
    <row r="322" ht="14.1" customHeight="1"/>
    <row r="323" ht="14.1" customHeight="1"/>
    <row r="324" ht="14.1" customHeight="1"/>
    <row r="325" ht="14.1" customHeight="1"/>
    <row r="326" ht="14.1" customHeight="1"/>
    <row r="327" ht="14.1" customHeight="1"/>
    <row r="328" ht="14.1" customHeight="1"/>
    <row r="329" ht="14.1" customHeight="1"/>
    <row r="330" ht="14.1" customHeight="1"/>
    <row r="331" ht="14.1" customHeight="1"/>
    <row r="332" ht="14.1" customHeight="1"/>
    <row r="333" ht="14.1" customHeight="1"/>
    <row r="334" ht="14.1" customHeight="1"/>
    <row r="335" ht="14.1" customHeight="1"/>
    <row r="336" ht="14.1" customHeight="1"/>
    <row r="337" ht="14.1" customHeight="1"/>
    <row r="338" ht="14.1" customHeight="1"/>
    <row r="339" ht="14.1" customHeight="1"/>
    <row r="340" ht="14.1" customHeight="1"/>
    <row r="341" ht="14.1" customHeight="1"/>
    <row r="342" ht="14.1" customHeight="1"/>
    <row r="343" ht="14.1" customHeight="1"/>
    <row r="344" ht="14.1" customHeight="1"/>
    <row r="345" ht="14.1" customHeight="1"/>
    <row r="346" ht="14.1" customHeight="1"/>
    <row r="347" ht="14.1" customHeight="1"/>
    <row r="348" ht="14.1" customHeight="1"/>
    <row r="349" ht="14.1" customHeight="1"/>
    <row r="350" ht="14.1" customHeight="1"/>
    <row r="351" ht="14.1" customHeight="1"/>
    <row r="352" ht="14.1" customHeight="1"/>
    <row r="353" ht="14.1" customHeight="1"/>
    <row r="354" ht="14.1" customHeight="1"/>
    <row r="355" ht="14.1" customHeight="1"/>
    <row r="356" ht="14.1" customHeight="1"/>
    <row r="357" ht="14.1" customHeight="1"/>
    <row r="358" ht="14.1" customHeight="1"/>
    <row r="359" ht="14.1" customHeight="1"/>
    <row r="360" ht="14.1" customHeight="1"/>
    <row r="361" ht="14.1" customHeight="1"/>
    <row r="362" ht="14.1" customHeight="1"/>
    <row r="363" ht="14.1" customHeight="1"/>
    <row r="364" ht="14.1" customHeight="1"/>
    <row r="365" ht="14.1" customHeight="1"/>
    <row r="366" ht="14.1" customHeight="1"/>
    <row r="367" ht="14.1" customHeight="1"/>
    <row r="368" ht="14.1" customHeight="1"/>
    <row r="369" ht="14.1" customHeight="1"/>
    <row r="370" ht="14.1" customHeight="1"/>
    <row r="371" ht="14.1" customHeight="1"/>
    <row r="372" ht="14.1" customHeight="1"/>
    <row r="373" ht="14.1" customHeight="1"/>
    <row r="374" ht="14.1" customHeight="1"/>
    <row r="375" ht="14.1" customHeight="1"/>
    <row r="376" ht="14.1" customHeight="1"/>
    <row r="377" ht="14.1" customHeight="1"/>
    <row r="378" ht="14.1" customHeight="1"/>
    <row r="379" ht="14.1" customHeight="1"/>
    <row r="380" ht="14.1" customHeight="1"/>
    <row r="381" ht="14.1" customHeight="1"/>
    <row r="382" ht="14.1" customHeight="1"/>
    <row r="383" ht="14.1" customHeight="1"/>
    <row r="384" ht="14.1" customHeight="1"/>
    <row r="385" ht="14.1" customHeight="1"/>
    <row r="386" ht="14.1" customHeight="1"/>
    <row r="387" ht="14.1" customHeight="1"/>
    <row r="388" ht="14.1" customHeight="1"/>
    <row r="389" ht="14.1" customHeight="1"/>
    <row r="390" ht="14.1" customHeight="1"/>
    <row r="391" ht="14.1" customHeight="1"/>
    <row r="392" ht="14.1" customHeight="1"/>
    <row r="393" ht="14.1" customHeight="1"/>
    <row r="394" ht="14.1" customHeight="1"/>
    <row r="395" ht="14.1" customHeight="1"/>
    <row r="396" ht="14.1" customHeight="1"/>
    <row r="397" ht="14.1" customHeight="1"/>
    <row r="398" ht="14.1" customHeight="1"/>
    <row r="399" ht="14.1" customHeight="1"/>
    <row r="400" ht="14.1" customHeight="1"/>
    <row r="401" ht="14.1" customHeight="1"/>
    <row r="402" ht="14.1" customHeight="1"/>
    <row r="403" ht="14.1" customHeight="1"/>
    <row r="404" ht="14.1" customHeight="1"/>
    <row r="405" ht="14.1" customHeight="1"/>
    <row r="406" ht="14.1" customHeight="1"/>
    <row r="407" ht="14.1" customHeight="1"/>
    <row r="408" ht="14.1" customHeight="1"/>
    <row r="409" ht="14.1" customHeight="1"/>
    <row r="410" ht="14.1" customHeight="1"/>
    <row r="411" ht="14.1" customHeight="1"/>
    <row r="412" ht="14.1" customHeight="1"/>
    <row r="413" ht="14.1" customHeight="1"/>
    <row r="414" ht="14.1" customHeight="1"/>
    <row r="415" ht="14.1" customHeight="1"/>
    <row r="416" ht="14.1" customHeight="1"/>
    <row r="417" ht="14.1" customHeight="1"/>
    <row r="418" ht="14.1" customHeight="1"/>
    <row r="419" ht="14.1" customHeight="1"/>
    <row r="420" ht="14.1" customHeight="1"/>
    <row r="421" ht="14.1" customHeight="1"/>
    <row r="422" ht="14.1" customHeight="1"/>
    <row r="423" ht="14.1" customHeight="1"/>
    <row r="424" ht="14.1" customHeight="1"/>
    <row r="425" ht="14.1" customHeight="1"/>
    <row r="426" ht="14.1" customHeight="1"/>
    <row r="427" ht="14.1" customHeight="1"/>
    <row r="428" ht="14.1" customHeight="1"/>
    <row r="429" ht="14.1" customHeight="1"/>
    <row r="430" ht="14.1" customHeight="1"/>
    <row r="431" ht="14.1" customHeight="1"/>
    <row r="432" ht="14.1" customHeight="1"/>
    <row r="433" ht="14.1" customHeight="1"/>
    <row r="434" ht="14.1" customHeight="1"/>
    <row r="435" ht="14.1" customHeight="1"/>
    <row r="436" ht="14.1" customHeight="1"/>
    <row r="437" ht="14.1" customHeight="1"/>
    <row r="438" ht="14.1" customHeight="1"/>
    <row r="439" ht="14.1" customHeight="1"/>
    <row r="440" ht="14.1" customHeight="1"/>
    <row r="441" ht="14.1" customHeight="1"/>
    <row r="442" ht="14.1" customHeight="1"/>
    <row r="443" ht="14.1" customHeight="1"/>
    <row r="444" ht="14.1" customHeight="1"/>
    <row r="445" ht="14.1" customHeight="1"/>
    <row r="446" ht="14.1" customHeight="1"/>
    <row r="447" ht="14.1" customHeight="1"/>
    <row r="448" ht="14.1" customHeight="1"/>
    <row r="449" ht="14.1" customHeight="1"/>
    <row r="450" ht="14.1" customHeight="1"/>
    <row r="451" ht="14.1" customHeight="1"/>
    <row r="452" ht="14.1" customHeight="1"/>
    <row r="453" ht="14.1" customHeight="1"/>
    <row r="454" ht="14.1" customHeight="1"/>
    <row r="455" ht="14.1" customHeight="1"/>
    <row r="456" ht="14.1" customHeight="1"/>
    <row r="457" ht="14.1" customHeight="1"/>
    <row r="458" ht="14.1" customHeight="1"/>
    <row r="459" ht="14.1" customHeight="1"/>
    <row r="460" ht="14.1" customHeight="1"/>
    <row r="461" ht="14.1" customHeight="1"/>
    <row r="462" ht="14.1" customHeight="1"/>
    <row r="463" ht="14.1" customHeight="1"/>
    <row r="464" ht="14.1" customHeight="1"/>
    <row r="465" ht="14.1" customHeight="1"/>
    <row r="466" ht="14.1" customHeight="1"/>
    <row r="467" ht="14.1" customHeight="1"/>
    <row r="468" ht="14.1" customHeight="1"/>
    <row r="469" ht="14.1" customHeight="1"/>
    <row r="470" ht="14.1" customHeight="1"/>
    <row r="471" ht="14.1" customHeight="1"/>
    <row r="472" ht="14.1" customHeight="1"/>
    <row r="473" ht="14.1" customHeight="1"/>
    <row r="474" ht="14.1" customHeight="1"/>
    <row r="475" ht="14.1" customHeight="1"/>
    <row r="476" ht="14.1" customHeight="1"/>
    <row r="477" ht="14.1" customHeight="1"/>
    <row r="478" ht="14.1" customHeight="1"/>
    <row r="479" ht="14.1" customHeight="1"/>
    <row r="480" ht="14.1" customHeight="1"/>
    <row r="481" ht="14.1" customHeight="1"/>
    <row r="482" ht="14.1" customHeight="1"/>
    <row r="483" ht="14.1" customHeight="1"/>
    <row r="484" ht="14.1" customHeight="1"/>
    <row r="485" ht="14.1" customHeight="1"/>
    <row r="486" ht="14.1" customHeight="1"/>
    <row r="487" ht="14.1" customHeight="1"/>
    <row r="488" ht="14.1" customHeight="1"/>
    <row r="489" ht="14.1" customHeight="1"/>
    <row r="490" ht="14.1" customHeight="1"/>
    <row r="491" ht="14.1" customHeight="1"/>
    <row r="492" ht="14.1" customHeight="1"/>
    <row r="493" ht="14.1" customHeight="1"/>
    <row r="494" ht="14.1" customHeight="1"/>
    <row r="495" ht="14.1" customHeight="1"/>
    <row r="496" ht="14.1" customHeight="1"/>
    <row r="497" ht="14.1" customHeight="1"/>
    <row r="498" ht="14.1" customHeight="1"/>
    <row r="499" ht="14.1" customHeight="1"/>
    <row r="500" ht="14.1" customHeight="1"/>
    <row r="501" ht="14.1" customHeight="1"/>
    <row r="502" ht="14.1" customHeight="1"/>
    <row r="503" ht="14.1" customHeight="1"/>
    <row r="504" ht="14.1" customHeight="1"/>
    <row r="505" ht="14.1" customHeight="1"/>
    <row r="506" ht="14.1" customHeight="1"/>
    <row r="507" ht="14.1" customHeight="1"/>
    <row r="508" ht="14.1" customHeight="1"/>
    <row r="509" ht="14.1" customHeight="1"/>
    <row r="510" ht="14.1" customHeight="1"/>
    <row r="511" ht="14.1" customHeight="1"/>
    <row r="512" ht="14.1" customHeight="1"/>
    <row r="513" ht="14.1" customHeight="1"/>
    <row r="514" ht="14.1" customHeight="1"/>
    <row r="515" ht="14.1" customHeight="1"/>
    <row r="516" ht="14.1" customHeight="1"/>
    <row r="517" ht="14.1" customHeight="1"/>
    <row r="518" ht="14.1" customHeight="1"/>
    <row r="519" ht="14.1" customHeight="1"/>
    <row r="520" ht="14.1" customHeight="1"/>
    <row r="521" ht="14.1" customHeight="1"/>
    <row r="522" ht="14.1" customHeight="1"/>
    <row r="523" ht="14.1" customHeight="1"/>
    <row r="524" ht="14.1" customHeight="1"/>
    <row r="525" ht="14.1" customHeight="1"/>
    <row r="526" ht="14.1" customHeight="1"/>
    <row r="527" ht="14.1" customHeight="1"/>
    <row r="528" ht="14.1" customHeight="1"/>
    <row r="529" ht="14.1" customHeight="1"/>
    <row r="530" ht="14.1" customHeight="1"/>
    <row r="531" ht="14.1" customHeight="1"/>
    <row r="532" ht="14.1" customHeight="1"/>
    <row r="533" ht="14.1" customHeight="1"/>
    <row r="534" ht="14.1" customHeight="1"/>
    <row r="535" ht="14.1" customHeight="1"/>
    <row r="536" ht="14.1" customHeight="1"/>
    <row r="537" ht="14.1" customHeight="1"/>
    <row r="538" ht="14.1" customHeight="1"/>
    <row r="539" ht="14.1" customHeight="1"/>
    <row r="540" ht="14.1" customHeight="1"/>
    <row r="541" ht="14.1" customHeight="1"/>
    <row r="542" ht="14.1" customHeight="1"/>
    <row r="543" ht="14.1" customHeight="1"/>
    <row r="544" ht="14.1" customHeight="1"/>
    <row r="545" ht="14.1" customHeight="1"/>
    <row r="546" ht="14.1" customHeight="1"/>
    <row r="547" ht="14.1" customHeight="1"/>
    <row r="548" ht="14.1" customHeight="1"/>
    <row r="549" ht="14.1" customHeight="1"/>
    <row r="550" ht="14.1" customHeight="1"/>
    <row r="551" ht="14.1" customHeight="1"/>
    <row r="552" ht="14.1" customHeight="1"/>
    <row r="553" ht="14.1" customHeight="1"/>
    <row r="554" ht="14.1" customHeight="1"/>
    <row r="555" ht="14.1" customHeight="1"/>
    <row r="556" ht="14.1" customHeight="1"/>
    <row r="557" ht="14.1" customHeight="1"/>
    <row r="558" ht="14.1" customHeight="1"/>
    <row r="559" ht="14.1" customHeight="1"/>
    <row r="560" ht="14.1" customHeight="1"/>
    <row r="561" ht="14.1" customHeight="1"/>
    <row r="562" ht="14.1" customHeight="1"/>
    <row r="563" ht="14.1" customHeight="1"/>
    <row r="564" ht="14.1" customHeight="1"/>
    <row r="565" ht="14.1" customHeight="1"/>
    <row r="566" ht="14.1" customHeight="1"/>
    <row r="567" ht="14.1" customHeight="1"/>
    <row r="568" ht="14.1" customHeight="1"/>
    <row r="569" ht="14.1" customHeight="1"/>
    <row r="570" ht="14.1" customHeight="1"/>
    <row r="571" ht="14.1" customHeight="1"/>
    <row r="572" ht="14.1" customHeight="1"/>
    <row r="573" ht="14.1" customHeight="1"/>
    <row r="574" ht="14.1" customHeight="1"/>
    <row r="575" ht="14.1" customHeight="1"/>
    <row r="576" ht="14.1" customHeight="1"/>
    <row r="577" ht="14.1" customHeight="1"/>
    <row r="578" ht="14.1" customHeight="1"/>
    <row r="579" ht="14.1" customHeight="1"/>
    <row r="580" ht="14.1" customHeight="1"/>
    <row r="581" ht="14.1" customHeight="1"/>
    <row r="582" ht="14.1" customHeight="1"/>
    <row r="583" ht="14.1" customHeight="1"/>
    <row r="584" ht="14.1" customHeight="1"/>
    <row r="585" ht="14.1" customHeight="1"/>
    <row r="586" ht="14.1" customHeight="1"/>
    <row r="587" ht="14.1" customHeight="1"/>
    <row r="588" ht="14.1" customHeight="1"/>
    <row r="589" ht="14.1" customHeight="1"/>
    <row r="590" ht="14.1" customHeight="1"/>
    <row r="591" ht="14.1" customHeight="1"/>
    <row r="592" ht="14.1" customHeight="1"/>
    <row r="593" ht="14.1" customHeight="1"/>
    <row r="594" ht="14.1" customHeight="1"/>
    <row r="595" ht="14.1" customHeight="1"/>
    <row r="596" ht="14.1" customHeight="1"/>
    <row r="597" ht="14.1" customHeight="1"/>
    <row r="598" ht="14.1" customHeight="1"/>
    <row r="599" ht="14.1" customHeight="1"/>
    <row r="600" ht="14.1" customHeight="1"/>
    <row r="601" ht="14.1" customHeight="1"/>
    <row r="602" ht="14.1" customHeight="1"/>
    <row r="603" ht="14.1" customHeight="1"/>
    <row r="604" ht="14.1" customHeight="1"/>
    <row r="605" ht="14.1" customHeight="1"/>
    <row r="606" ht="14.1" customHeight="1"/>
    <row r="607" ht="14.1" customHeight="1"/>
    <row r="608" ht="14.1" customHeight="1"/>
    <row r="609" ht="14.1" customHeight="1"/>
    <row r="610" ht="14.1" customHeight="1"/>
    <row r="611" ht="14.1" customHeight="1"/>
    <row r="612" ht="14.1" customHeight="1"/>
    <row r="613" ht="14.1" customHeight="1"/>
    <row r="614" ht="14.1" customHeight="1"/>
    <row r="615" ht="14.1" customHeight="1"/>
    <row r="616" ht="14.1" customHeight="1"/>
    <row r="617" ht="14.1" customHeight="1"/>
    <row r="618" ht="14.1" customHeight="1"/>
    <row r="619" ht="14.1" customHeight="1"/>
    <row r="620" ht="14.1" customHeight="1"/>
    <row r="621" ht="14.1" customHeight="1"/>
    <row r="622" ht="14.1" customHeight="1"/>
    <row r="623" ht="14.1" customHeight="1"/>
    <row r="624" ht="14.1" customHeight="1"/>
    <row r="625" ht="14.1" customHeight="1"/>
    <row r="626" ht="14.1" customHeight="1"/>
    <row r="627" ht="14.1" customHeight="1"/>
    <row r="628" ht="14.1" customHeight="1"/>
    <row r="629" ht="14.1" customHeight="1"/>
    <row r="630" ht="14.1" customHeight="1"/>
    <row r="631" ht="14.1" customHeight="1"/>
    <row r="632" ht="14.1" customHeight="1"/>
    <row r="633" ht="14.1" customHeight="1"/>
    <row r="634" ht="14.1" customHeight="1"/>
    <row r="635" ht="14.1" customHeight="1"/>
    <row r="636" ht="14.1" customHeight="1"/>
    <row r="637" ht="14.1" customHeight="1"/>
    <row r="638" ht="14.1" customHeight="1"/>
    <row r="639" ht="14.1" customHeight="1"/>
    <row r="640" ht="14.1" customHeight="1"/>
    <row r="641" ht="14.1" customHeight="1"/>
    <row r="642" ht="14.1" customHeight="1"/>
    <row r="643" ht="14.1" customHeight="1"/>
    <row r="644" ht="14.1" customHeight="1"/>
    <row r="645" ht="14.1" customHeight="1"/>
    <row r="646" ht="14.1" customHeight="1"/>
    <row r="647" ht="14.1" customHeight="1"/>
    <row r="648" ht="14.1" customHeight="1"/>
    <row r="649" ht="14.1" customHeight="1"/>
    <row r="650" ht="14.1" customHeight="1"/>
    <row r="651" ht="14.1" customHeight="1"/>
    <row r="652" ht="14.1" customHeight="1"/>
    <row r="653" ht="14.1" customHeight="1"/>
    <row r="654" ht="14.1" customHeight="1"/>
    <row r="655" ht="14.1" customHeight="1"/>
    <row r="656" ht="14.1" customHeight="1"/>
    <row r="657" ht="14.1" customHeight="1"/>
    <row r="658" ht="14.1" customHeight="1"/>
    <row r="659" ht="14.1" customHeight="1"/>
    <row r="660" ht="14.1" customHeight="1"/>
    <row r="661" ht="14.1" customHeight="1"/>
    <row r="662" ht="14.1" customHeight="1"/>
    <row r="663" ht="14.1" customHeight="1"/>
    <row r="664" ht="14.1" customHeight="1"/>
    <row r="665" ht="14.1" customHeight="1"/>
    <row r="666" ht="14.1" customHeight="1"/>
    <row r="667" ht="14.1" customHeight="1"/>
    <row r="668" ht="14.1" customHeight="1"/>
    <row r="669" ht="14.1" customHeight="1"/>
    <row r="670" ht="14.1" customHeight="1"/>
    <row r="671" ht="14.1" customHeight="1"/>
    <row r="672" ht="14.1" customHeight="1"/>
    <row r="673" ht="14.1" customHeight="1"/>
    <row r="674" ht="14.1" customHeight="1"/>
    <row r="675" ht="14.1" customHeight="1"/>
    <row r="676" ht="14.1" customHeight="1"/>
    <row r="677" ht="14.1" customHeight="1"/>
    <row r="678" ht="14.1" customHeight="1"/>
    <row r="679" ht="14.1" customHeight="1"/>
    <row r="680" ht="14.1" customHeight="1"/>
    <row r="681" ht="14.1" customHeight="1"/>
    <row r="682" ht="14.1" customHeight="1"/>
    <row r="683" ht="14.1" customHeight="1"/>
    <row r="684" ht="14.1" customHeight="1"/>
    <row r="685" ht="14.1" customHeight="1"/>
    <row r="686" ht="14.1" customHeight="1"/>
    <row r="687" ht="14.1" customHeight="1"/>
    <row r="688" ht="14.1" customHeight="1"/>
    <row r="689" ht="14.1" customHeight="1"/>
    <row r="690" ht="14.1" customHeight="1"/>
    <row r="691" ht="14.1" customHeight="1"/>
    <row r="692" ht="14.1" customHeight="1"/>
    <row r="693" ht="14.1" customHeight="1"/>
    <row r="694" ht="14.1" customHeight="1"/>
    <row r="695" ht="14.1" customHeight="1"/>
    <row r="696" ht="14.1" customHeight="1"/>
    <row r="697" ht="14.1" customHeight="1"/>
    <row r="698" ht="14.1" customHeight="1"/>
    <row r="699" ht="14.1" customHeight="1"/>
    <row r="700" ht="14.1" customHeight="1"/>
    <row r="701" ht="14.1" customHeight="1"/>
    <row r="702" ht="14.1" customHeight="1"/>
    <row r="703" ht="14.1" customHeight="1"/>
    <row r="704" ht="14.1" customHeight="1"/>
    <row r="705" ht="14.1" customHeight="1"/>
    <row r="706" ht="14.1" customHeight="1"/>
    <row r="707" ht="14.1" customHeight="1"/>
    <row r="708" ht="14.1" customHeight="1"/>
    <row r="709" ht="14.1" customHeight="1"/>
    <row r="710" ht="14.1" customHeight="1"/>
    <row r="711" ht="14.1" customHeight="1"/>
    <row r="712" ht="14.1" customHeight="1"/>
    <row r="713" ht="14.1" customHeight="1"/>
    <row r="714" ht="14.1" customHeight="1"/>
    <row r="715" ht="14.1" customHeight="1"/>
    <row r="716" ht="14.1" customHeight="1"/>
    <row r="717" ht="14.1" customHeight="1"/>
    <row r="718" ht="14.1" customHeight="1"/>
    <row r="719" ht="14.1" customHeight="1"/>
    <row r="720" ht="14.1" customHeight="1"/>
    <row r="721" ht="14.1" customHeight="1"/>
    <row r="722" ht="14.1" customHeight="1"/>
    <row r="723" ht="14.1" customHeight="1"/>
    <row r="724" ht="14.1" customHeight="1"/>
    <row r="725" ht="14.1" customHeight="1"/>
    <row r="726" ht="14.1" customHeight="1"/>
    <row r="727" ht="14.1" customHeight="1"/>
    <row r="728" ht="14.1" customHeight="1"/>
    <row r="729" ht="14.1" customHeight="1"/>
    <row r="730" ht="14.1" customHeight="1"/>
    <row r="731" ht="14.1" customHeight="1"/>
    <row r="732" ht="14.1" customHeight="1"/>
    <row r="733" ht="14.1" customHeight="1"/>
    <row r="734" ht="14.1" customHeight="1"/>
    <row r="735" ht="14.1" customHeight="1"/>
    <row r="736" ht="14.1" customHeight="1"/>
    <row r="737" ht="14.1" customHeight="1"/>
    <row r="738" ht="14.1" customHeight="1"/>
    <row r="739" ht="14.1" customHeight="1"/>
    <row r="740" ht="14.1" customHeight="1"/>
    <row r="741" ht="14.1" customHeight="1"/>
    <row r="742" ht="14.1" customHeight="1"/>
    <row r="743" ht="14.1" customHeight="1"/>
    <row r="744" ht="14.1" customHeight="1"/>
    <row r="745" ht="14.1" customHeight="1"/>
    <row r="746" ht="14.1" customHeight="1"/>
    <row r="747" ht="14.1" customHeight="1"/>
    <row r="748" ht="14.1" customHeight="1"/>
    <row r="749" ht="14.1" customHeight="1"/>
    <row r="750" ht="14.1" customHeight="1"/>
    <row r="751" ht="14.1" customHeight="1"/>
    <row r="752" ht="14.1" customHeight="1"/>
    <row r="753" ht="14.1" customHeight="1"/>
    <row r="754" ht="14.1" customHeight="1"/>
    <row r="755" ht="14.1" customHeight="1"/>
    <row r="756" ht="14.1" customHeight="1"/>
    <row r="757" ht="14.1" customHeight="1"/>
    <row r="758" ht="14.1" customHeight="1"/>
    <row r="759" ht="14.1" customHeight="1"/>
    <row r="760" ht="14.1" customHeight="1"/>
    <row r="761" ht="14.1" customHeight="1"/>
    <row r="762" ht="14.1" customHeight="1"/>
    <row r="763" ht="14.1" customHeight="1"/>
    <row r="764" ht="14.1" customHeight="1"/>
    <row r="765" ht="14.1" customHeight="1"/>
    <row r="766" ht="14.1" customHeight="1"/>
    <row r="767" ht="14.1" customHeight="1"/>
    <row r="768" ht="14.1" customHeight="1"/>
    <row r="769" ht="14.1" customHeight="1"/>
    <row r="770" ht="14.1" customHeight="1"/>
    <row r="771" ht="14.1" customHeight="1"/>
    <row r="772" ht="14.1" customHeight="1"/>
    <row r="773" ht="14.1" customHeight="1"/>
    <row r="774" ht="14.1" customHeight="1"/>
    <row r="775" ht="14.1" customHeight="1"/>
    <row r="776" ht="14.1" customHeight="1"/>
    <row r="777" ht="14.1" customHeight="1"/>
    <row r="778" ht="14.1" customHeight="1"/>
    <row r="779" ht="14.1" customHeight="1"/>
    <row r="780" ht="14.1" customHeight="1"/>
    <row r="781" ht="14.1" customHeight="1"/>
    <row r="782" ht="14.1" customHeight="1"/>
    <row r="783" ht="14.1" customHeight="1"/>
    <row r="784" ht="14.1" customHeight="1"/>
    <row r="785" ht="14.1" customHeight="1"/>
    <row r="786" ht="14.1" customHeight="1"/>
    <row r="787" ht="14.1" customHeight="1"/>
    <row r="788" ht="14.1" customHeight="1"/>
    <row r="789" ht="14.1" customHeight="1"/>
    <row r="790" ht="14.1" customHeight="1"/>
    <row r="791" ht="14.1" customHeight="1"/>
    <row r="792" ht="14.1" customHeight="1"/>
    <row r="793" ht="14.1" customHeight="1"/>
  </sheetData>
  <pageMargins left="0.61" right="0.16" top="0.87" bottom="0.21" header="0.16" footer="0.16"/>
  <pageSetup paperSize="8" scale="51" orientation="portrait"/>
  <headerFooter alignWithMargins="0">
    <oddFooter>&amp;L_x000D_&amp;1#&amp;"Arial"&amp;7&amp;KDAD4CE Public&amp;C&amp;"Verdana"&amp;10 &amp;KC1C1C1_x000D_# Restricted</oddFooter>
  </headerFooter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C00-000000000000}">
  <sheetPr codeName="Sheet32">
    <tabColor rgb="FF0070C0"/>
    <pageSetUpPr fitToPage="1"/>
  </sheetPr>
  <dimension ref="A1:U793"/>
  <sheetViews>
    <sheetView zoomScale="80" zoomScaleNormal="80" workbookViewId="0">
      <pane ySplit="4" topLeftCell="A5" activePane="bottomLeft" state="frozen"/>
      <selection activeCell="A16" sqref="A16"/>
      <selection pane="bottomLeft" activeCell="A16" sqref="A16"/>
    </sheetView>
  </sheetViews>
  <sheetFormatPr defaultColWidth="8.85546875" defaultRowHeight="15" customHeight="1"/>
  <cols>
    <col min="1" max="1" width="4.140625" style="221" customWidth="1"/>
    <col min="2" max="3" width="8.5703125" style="217" customWidth="1"/>
    <col min="4" max="4" width="14.5703125" style="221" customWidth="1"/>
    <col min="5" max="5" width="20.5703125" style="217" customWidth="1"/>
    <col min="6" max="6" width="8.5703125" style="221" customWidth="1"/>
    <col min="7" max="7" width="32.5703125" style="216" customWidth="1"/>
    <col min="8" max="8" width="18.5703125" style="221" customWidth="1"/>
    <col min="9" max="9" width="62.5703125" style="216" customWidth="1"/>
    <col min="10" max="12" width="9.5703125" style="221" customWidth="1"/>
    <col min="13" max="13" width="10.5703125" style="221" customWidth="1"/>
    <col min="14" max="14" width="8.5703125" style="221" customWidth="1"/>
    <col min="15" max="15" width="10.5703125" style="221" customWidth="1"/>
    <col min="16" max="16" width="5.5703125" style="221" customWidth="1"/>
    <col min="17" max="17" width="1.5703125" style="216" customWidth="1"/>
    <col min="18" max="18" width="10.5703125" style="233" customWidth="1"/>
    <col min="19" max="19" width="1.5703125" style="216" customWidth="1"/>
    <col min="20" max="21" width="10.5703125" style="216" customWidth="1"/>
    <col min="22" max="220" width="8.85546875" style="216" customWidth="1"/>
    <col min="221" max="221" width="8.140625" style="216" customWidth="1"/>
    <col min="222" max="222" width="14.5703125" style="216" customWidth="1"/>
    <col min="223" max="223" width="37.42578125" style="216" customWidth="1"/>
    <col min="224" max="224" width="63.140625" style="216" customWidth="1"/>
    <col min="225" max="225" width="20" style="216" customWidth="1"/>
    <col min="226" max="226" width="11.140625" style="216" customWidth="1"/>
    <col min="227" max="227" width="10.85546875" style="216" customWidth="1"/>
    <col min="228" max="228" width="21" style="216" customWidth="1"/>
    <col min="229" max="229" width="10.85546875" style="216" customWidth="1"/>
    <col min="230" max="230" width="17.42578125" style="216" customWidth="1"/>
    <col min="231" max="231" width="14.85546875" style="216" customWidth="1"/>
    <col min="232" max="232" width="15" style="216" customWidth="1"/>
    <col min="233" max="233" width="14.85546875" style="216" customWidth="1"/>
    <col min="234" max="234" width="7.140625" style="216" customWidth="1"/>
    <col min="235" max="236" width="20.140625" style="216" customWidth="1"/>
    <col min="237" max="237" width="18.42578125" style="216" customWidth="1"/>
    <col min="238" max="238" width="9.140625" style="216" customWidth="1"/>
    <col min="239" max="239" width="12" style="216" customWidth="1"/>
    <col min="240" max="240" width="14.85546875" style="216" customWidth="1"/>
    <col min="241" max="241" width="22.42578125" style="216" customWidth="1"/>
    <col min="242" max="242" width="14.85546875" style="216" customWidth="1"/>
    <col min="243" max="243" width="7.140625" style="216" customWidth="1"/>
    <col min="244" max="244" width="20.140625" style="216" customWidth="1"/>
    <col min="245" max="476" width="8.85546875" style="216" customWidth="1"/>
    <col min="477" max="477" width="8.140625" style="216" customWidth="1"/>
    <col min="478" max="478" width="14.5703125" style="216" customWidth="1"/>
    <col min="479" max="479" width="37.42578125" style="216" customWidth="1"/>
    <col min="480" max="480" width="63.140625" style="216" customWidth="1"/>
    <col min="481" max="481" width="20" style="216" customWidth="1"/>
    <col min="482" max="482" width="11.140625" style="216" customWidth="1"/>
    <col min="483" max="483" width="10.85546875" style="216" customWidth="1"/>
    <col min="484" max="484" width="21" style="216" customWidth="1"/>
    <col min="485" max="485" width="10.85546875" style="216" customWidth="1"/>
    <col min="486" max="486" width="17.42578125" style="216" customWidth="1"/>
    <col min="487" max="487" width="14.85546875" style="216" customWidth="1"/>
    <col min="488" max="488" width="15" style="216" customWidth="1"/>
    <col min="489" max="489" width="14.85546875" style="216" customWidth="1"/>
    <col min="490" max="490" width="7.140625" style="216" customWidth="1"/>
    <col min="491" max="492" width="20.140625" style="216" customWidth="1"/>
    <col min="493" max="493" width="18.42578125" style="216" customWidth="1"/>
    <col min="494" max="494" width="9.140625" style="216" customWidth="1"/>
    <col min="495" max="495" width="12" style="216" customWidth="1"/>
    <col min="496" max="496" width="14.85546875" style="216" customWidth="1"/>
    <col min="497" max="497" width="22.42578125" style="216" customWidth="1"/>
    <col min="498" max="498" width="14.85546875" style="216" customWidth="1"/>
    <col min="499" max="499" width="7.140625" style="216" customWidth="1"/>
    <col min="500" max="500" width="20.140625" style="216" customWidth="1"/>
    <col min="501" max="732" width="8.85546875" style="216" customWidth="1"/>
    <col min="733" max="733" width="8.140625" style="216" customWidth="1"/>
    <col min="734" max="734" width="14.5703125" style="216" customWidth="1"/>
    <col min="735" max="735" width="37.42578125" style="216" customWidth="1"/>
    <col min="736" max="736" width="63.140625" style="216" customWidth="1"/>
    <col min="737" max="737" width="20" style="216" customWidth="1"/>
    <col min="738" max="738" width="11.140625" style="216" customWidth="1"/>
    <col min="739" max="739" width="10.85546875" style="216" customWidth="1"/>
    <col min="740" max="740" width="21" style="216" customWidth="1"/>
    <col min="741" max="741" width="10.85546875" style="216" customWidth="1"/>
    <col min="742" max="742" width="17.42578125" style="216" customWidth="1"/>
    <col min="743" max="743" width="14.85546875" style="216" customWidth="1"/>
    <col min="744" max="744" width="15" style="216" customWidth="1"/>
    <col min="745" max="745" width="14.85546875" style="216" customWidth="1"/>
    <col min="746" max="746" width="7.140625" style="216" customWidth="1"/>
    <col min="747" max="748" width="20.140625" style="216" customWidth="1"/>
    <col min="749" max="749" width="18.42578125" style="216" customWidth="1"/>
    <col min="750" max="750" width="9.140625" style="216" customWidth="1"/>
    <col min="751" max="751" width="12" style="216" customWidth="1"/>
    <col min="752" max="752" width="14.85546875" style="216" customWidth="1"/>
    <col min="753" max="753" width="22.42578125" style="216" customWidth="1"/>
    <col min="754" max="754" width="14.85546875" style="216" customWidth="1"/>
    <col min="755" max="755" width="7.140625" style="216" customWidth="1"/>
    <col min="756" max="756" width="20.140625" style="216" customWidth="1"/>
    <col min="757" max="988" width="8.85546875" style="216" customWidth="1"/>
    <col min="989" max="989" width="8.140625" style="216" customWidth="1"/>
    <col min="990" max="990" width="14.5703125" style="216" customWidth="1"/>
    <col min="991" max="991" width="37.42578125" style="216" customWidth="1"/>
    <col min="992" max="992" width="63.140625" style="216" customWidth="1"/>
    <col min="993" max="993" width="20" style="216" customWidth="1"/>
    <col min="994" max="994" width="11.140625" style="216" customWidth="1"/>
    <col min="995" max="995" width="10.85546875" style="216" customWidth="1"/>
    <col min="996" max="996" width="21" style="216" customWidth="1"/>
    <col min="997" max="997" width="10.85546875" style="216" customWidth="1"/>
    <col min="998" max="998" width="17.42578125" style="216" customWidth="1"/>
    <col min="999" max="999" width="14.85546875" style="216" customWidth="1"/>
    <col min="1000" max="1000" width="15" style="216" customWidth="1"/>
    <col min="1001" max="1001" width="14.85546875" style="216" customWidth="1"/>
    <col min="1002" max="1002" width="7.140625" style="216" customWidth="1"/>
    <col min="1003" max="1004" width="20.140625" style="216" customWidth="1"/>
    <col min="1005" max="1005" width="18.42578125" style="216" customWidth="1"/>
    <col min="1006" max="1006" width="9.140625" style="216" customWidth="1"/>
    <col min="1007" max="1007" width="12" style="216" customWidth="1"/>
    <col min="1008" max="1008" width="14.85546875" style="216" customWidth="1"/>
    <col min="1009" max="1009" width="22.42578125" style="216" customWidth="1"/>
    <col min="1010" max="1010" width="14.85546875" style="216" customWidth="1"/>
    <col min="1011" max="1011" width="7.140625" style="216" customWidth="1"/>
    <col min="1012" max="1012" width="20.140625" style="216" customWidth="1"/>
    <col min="1013" max="1244" width="8.85546875" style="216" customWidth="1"/>
    <col min="1245" max="1245" width="8.140625" style="216" customWidth="1"/>
    <col min="1246" max="1246" width="14.5703125" style="216" customWidth="1"/>
    <col min="1247" max="1247" width="37.42578125" style="216" customWidth="1"/>
    <col min="1248" max="1248" width="63.140625" style="216" customWidth="1"/>
    <col min="1249" max="1249" width="20" style="216" customWidth="1"/>
    <col min="1250" max="1250" width="11.140625" style="216" customWidth="1"/>
    <col min="1251" max="1251" width="10.85546875" style="216" customWidth="1"/>
    <col min="1252" max="1252" width="21" style="216" customWidth="1"/>
    <col min="1253" max="1253" width="10.85546875" style="216" customWidth="1"/>
    <col min="1254" max="1254" width="17.42578125" style="216" customWidth="1"/>
    <col min="1255" max="1255" width="14.85546875" style="216" customWidth="1"/>
    <col min="1256" max="1256" width="15" style="216" customWidth="1"/>
    <col min="1257" max="1257" width="14.85546875" style="216" customWidth="1"/>
    <col min="1258" max="1258" width="7.140625" style="216" customWidth="1"/>
    <col min="1259" max="1260" width="20.140625" style="216" customWidth="1"/>
    <col min="1261" max="1261" width="18.42578125" style="216" customWidth="1"/>
    <col min="1262" max="1262" width="9.140625" style="216" customWidth="1"/>
    <col min="1263" max="1263" width="12" style="216" customWidth="1"/>
    <col min="1264" max="1264" width="14.85546875" style="216" customWidth="1"/>
    <col min="1265" max="1265" width="22.42578125" style="216" customWidth="1"/>
    <col min="1266" max="1266" width="14.85546875" style="216" customWidth="1"/>
    <col min="1267" max="1267" width="7.140625" style="216" customWidth="1"/>
    <col min="1268" max="1268" width="20.140625" style="216" customWidth="1"/>
    <col min="1269" max="1500" width="8.85546875" style="216" customWidth="1"/>
    <col min="1501" max="1501" width="8.140625" style="216" customWidth="1"/>
    <col min="1502" max="1502" width="14.5703125" style="216" customWidth="1"/>
    <col min="1503" max="1503" width="37.42578125" style="216" customWidth="1"/>
    <col min="1504" max="1504" width="63.140625" style="216" customWidth="1"/>
    <col min="1505" max="1505" width="20" style="216" customWidth="1"/>
    <col min="1506" max="1506" width="11.140625" style="216" customWidth="1"/>
    <col min="1507" max="1507" width="10.85546875" style="216" customWidth="1"/>
    <col min="1508" max="1508" width="21" style="216" customWidth="1"/>
    <col min="1509" max="1509" width="10.85546875" style="216" customWidth="1"/>
    <col min="1510" max="1510" width="17.42578125" style="216" customWidth="1"/>
    <col min="1511" max="1511" width="14.85546875" style="216" customWidth="1"/>
    <col min="1512" max="1512" width="15" style="216" customWidth="1"/>
    <col min="1513" max="1513" width="14.85546875" style="216" customWidth="1"/>
    <col min="1514" max="1514" width="7.140625" style="216" customWidth="1"/>
    <col min="1515" max="1516" width="20.140625" style="216" customWidth="1"/>
    <col min="1517" max="1517" width="18.42578125" style="216" customWidth="1"/>
    <col min="1518" max="1518" width="9.140625" style="216" customWidth="1"/>
    <col min="1519" max="1519" width="12" style="216" customWidth="1"/>
    <col min="1520" max="1520" width="14.85546875" style="216" customWidth="1"/>
    <col min="1521" max="1521" width="22.42578125" style="216" customWidth="1"/>
    <col min="1522" max="1522" width="14.85546875" style="216" customWidth="1"/>
    <col min="1523" max="1523" width="7.140625" style="216" customWidth="1"/>
    <col min="1524" max="1524" width="20.140625" style="216" customWidth="1"/>
    <col min="1525" max="1756" width="8.85546875" style="216" customWidth="1"/>
    <col min="1757" max="1757" width="8.140625" style="216" customWidth="1"/>
    <col min="1758" max="1758" width="14.5703125" style="216" customWidth="1"/>
    <col min="1759" max="1759" width="37.42578125" style="216" customWidth="1"/>
    <col min="1760" max="1760" width="63.140625" style="216" customWidth="1"/>
    <col min="1761" max="1761" width="20" style="216" customWidth="1"/>
    <col min="1762" max="1762" width="11.140625" style="216" customWidth="1"/>
    <col min="1763" max="1763" width="10.85546875" style="216" customWidth="1"/>
    <col min="1764" max="1764" width="21" style="216" customWidth="1"/>
    <col min="1765" max="1765" width="10.85546875" style="216" customWidth="1"/>
    <col min="1766" max="1766" width="17.42578125" style="216" customWidth="1"/>
    <col min="1767" max="1767" width="14.85546875" style="216" customWidth="1"/>
    <col min="1768" max="1768" width="15" style="216" customWidth="1"/>
    <col min="1769" max="1769" width="14.85546875" style="216" customWidth="1"/>
    <col min="1770" max="1770" width="7.140625" style="216" customWidth="1"/>
    <col min="1771" max="1772" width="20.140625" style="216" customWidth="1"/>
    <col min="1773" max="1773" width="18.42578125" style="216" customWidth="1"/>
    <col min="1774" max="1774" width="9.140625" style="216" customWidth="1"/>
    <col min="1775" max="1775" width="12" style="216" customWidth="1"/>
    <col min="1776" max="1776" width="14.85546875" style="216" customWidth="1"/>
    <col min="1777" max="1777" width="22.42578125" style="216" customWidth="1"/>
    <col min="1778" max="1778" width="14.85546875" style="216" customWidth="1"/>
    <col min="1779" max="1779" width="7.140625" style="216" customWidth="1"/>
    <col min="1780" max="1780" width="20.140625" style="216" customWidth="1"/>
    <col min="1781" max="2012" width="8.85546875" style="216" customWidth="1"/>
    <col min="2013" max="2013" width="8.140625" style="216" customWidth="1"/>
    <col min="2014" max="2014" width="14.5703125" style="216" customWidth="1"/>
    <col min="2015" max="2015" width="37.42578125" style="216" customWidth="1"/>
    <col min="2016" max="2016" width="63.140625" style="216" customWidth="1"/>
    <col min="2017" max="2017" width="20" style="216" customWidth="1"/>
    <col min="2018" max="2018" width="11.140625" style="216" customWidth="1"/>
    <col min="2019" max="2019" width="10.85546875" style="216" customWidth="1"/>
    <col min="2020" max="2020" width="21" style="216" customWidth="1"/>
    <col min="2021" max="2021" width="10.85546875" style="216" customWidth="1"/>
    <col min="2022" max="2022" width="17.42578125" style="216" customWidth="1"/>
    <col min="2023" max="2023" width="14.85546875" style="216" customWidth="1"/>
    <col min="2024" max="2024" width="15" style="216" customWidth="1"/>
    <col min="2025" max="2025" width="14.85546875" style="216" customWidth="1"/>
    <col min="2026" max="2026" width="7.140625" style="216" customWidth="1"/>
    <col min="2027" max="2028" width="20.140625" style="216" customWidth="1"/>
    <col min="2029" max="2029" width="18.42578125" style="216" customWidth="1"/>
    <col min="2030" max="2030" width="9.140625" style="216" customWidth="1"/>
    <col min="2031" max="2031" width="12" style="216" customWidth="1"/>
    <col min="2032" max="2032" width="14.85546875" style="216" customWidth="1"/>
    <col min="2033" max="2033" width="22.42578125" style="216" customWidth="1"/>
    <col min="2034" max="2034" width="14.85546875" style="216" customWidth="1"/>
    <col min="2035" max="2035" width="7.140625" style="216" customWidth="1"/>
    <col min="2036" max="2036" width="20.140625" style="216" customWidth="1"/>
    <col min="2037" max="2268" width="8.85546875" style="216" customWidth="1"/>
    <col min="2269" max="2269" width="8.140625" style="216" customWidth="1"/>
    <col min="2270" max="2270" width="14.5703125" style="216" customWidth="1"/>
    <col min="2271" max="2271" width="37.42578125" style="216" customWidth="1"/>
    <col min="2272" max="2272" width="63.140625" style="216" customWidth="1"/>
    <col min="2273" max="2273" width="20" style="216" customWidth="1"/>
    <col min="2274" max="2274" width="11.140625" style="216" customWidth="1"/>
    <col min="2275" max="2275" width="10.85546875" style="216" customWidth="1"/>
    <col min="2276" max="2276" width="21" style="216" customWidth="1"/>
    <col min="2277" max="2277" width="10.85546875" style="216" customWidth="1"/>
    <col min="2278" max="2278" width="17.42578125" style="216" customWidth="1"/>
    <col min="2279" max="2279" width="14.85546875" style="216" customWidth="1"/>
    <col min="2280" max="2280" width="15" style="216" customWidth="1"/>
    <col min="2281" max="2281" width="14.85546875" style="216" customWidth="1"/>
    <col min="2282" max="2282" width="7.140625" style="216" customWidth="1"/>
    <col min="2283" max="2284" width="20.140625" style="216" customWidth="1"/>
    <col min="2285" max="2285" width="18.42578125" style="216" customWidth="1"/>
    <col min="2286" max="2286" width="9.140625" style="216" customWidth="1"/>
    <col min="2287" max="2287" width="12" style="216" customWidth="1"/>
    <col min="2288" max="2288" width="14.85546875" style="216" customWidth="1"/>
    <col min="2289" max="2289" width="22.42578125" style="216" customWidth="1"/>
    <col min="2290" max="2290" width="14.85546875" style="216" customWidth="1"/>
    <col min="2291" max="2291" width="7.140625" style="216" customWidth="1"/>
    <col min="2292" max="2292" width="20.140625" style="216" customWidth="1"/>
    <col min="2293" max="2524" width="8.85546875" style="216" customWidth="1"/>
    <col min="2525" max="2525" width="8.140625" style="216" customWidth="1"/>
    <col min="2526" max="2526" width="14.5703125" style="216" customWidth="1"/>
    <col min="2527" max="2527" width="37.42578125" style="216" customWidth="1"/>
    <col min="2528" max="2528" width="63.140625" style="216" customWidth="1"/>
    <col min="2529" max="2529" width="20" style="216" customWidth="1"/>
    <col min="2530" max="2530" width="11.140625" style="216" customWidth="1"/>
    <col min="2531" max="2531" width="10.85546875" style="216" customWidth="1"/>
    <col min="2532" max="2532" width="21" style="216" customWidth="1"/>
    <col min="2533" max="2533" width="10.85546875" style="216" customWidth="1"/>
    <col min="2534" max="2534" width="17.42578125" style="216" customWidth="1"/>
    <col min="2535" max="2535" width="14.85546875" style="216" customWidth="1"/>
    <col min="2536" max="2536" width="15" style="216" customWidth="1"/>
    <col min="2537" max="2537" width="14.85546875" style="216" customWidth="1"/>
    <col min="2538" max="2538" width="7.140625" style="216" customWidth="1"/>
    <col min="2539" max="2540" width="20.140625" style="216" customWidth="1"/>
    <col min="2541" max="2541" width="18.42578125" style="216" customWidth="1"/>
    <col min="2542" max="2542" width="9.140625" style="216" customWidth="1"/>
    <col min="2543" max="2543" width="12" style="216" customWidth="1"/>
    <col min="2544" max="2544" width="14.85546875" style="216" customWidth="1"/>
    <col min="2545" max="2545" width="22.42578125" style="216" customWidth="1"/>
    <col min="2546" max="2546" width="14.85546875" style="216" customWidth="1"/>
    <col min="2547" max="2547" width="7.140625" style="216" customWidth="1"/>
    <col min="2548" max="2548" width="20.140625" style="216" customWidth="1"/>
    <col min="2549" max="2780" width="8.85546875" style="216" customWidth="1"/>
    <col min="2781" max="2781" width="8.140625" style="216" customWidth="1"/>
    <col min="2782" max="2782" width="14.5703125" style="216" customWidth="1"/>
    <col min="2783" max="2783" width="37.42578125" style="216" customWidth="1"/>
    <col min="2784" max="2784" width="63.140625" style="216" customWidth="1"/>
    <col min="2785" max="2785" width="20" style="216" customWidth="1"/>
    <col min="2786" max="2786" width="11.140625" style="216" customWidth="1"/>
    <col min="2787" max="2787" width="10.85546875" style="216" customWidth="1"/>
    <col min="2788" max="2788" width="21" style="216" customWidth="1"/>
    <col min="2789" max="2789" width="10.85546875" style="216" customWidth="1"/>
    <col min="2790" max="2790" width="17.42578125" style="216" customWidth="1"/>
    <col min="2791" max="2791" width="14.85546875" style="216" customWidth="1"/>
    <col min="2792" max="2792" width="15" style="216" customWidth="1"/>
    <col min="2793" max="2793" width="14.85546875" style="216" customWidth="1"/>
    <col min="2794" max="2794" width="7.140625" style="216" customWidth="1"/>
    <col min="2795" max="2796" width="20.140625" style="216" customWidth="1"/>
    <col min="2797" max="2797" width="18.42578125" style="216" customWidth="1"/>
    <col min="2798" max="2798" width="9.140625" style="216" customWidth="1"/>
    <col min="2799" max="2799" width="12" style="216" customWidth="1"/>
    <col min="2800" max="2800" width="14.85546875" style="216" customWidth="1"/>
    <col min="2801" max="2801" width="22.42578125" style="216" customWidth="1"/>
    <col min="2802" max="2802" width="14.85546875" style="216" customWidth="1"/>
    <col min="2803" max="2803" width="7.140625" style="216" customWidth="1"/>
    <col min="2804" max="2804" width="20.140625" style="216" customWidth="1"/>
    <col min="2805" max="3036" width="8.85546875" style="216" customWidth="1"/>
    <col min="3037" max="3037" width="8.140625" style="216" customWidth="1"/>
    <col min="3038" max="3038" width="14.5703125" style="216" customWidth="1"/>
    <col min="3039" max="3039" width="37.42578125" style="216" customWidth="1"/>
    <col min="3040" max="3040" width="63.140625" style="216" customWidth="1"/>
    <col min="3041" max="3041" width="20" style="216" customWidth="1"/>
    <col min="3042" max="3042" width="11.140625" style="216" customWidth="1"/>
    <col min="3043" max="3043" width="10.85546875" style="216" customWidth="1"/>
    <col min="3044" max="3044" width="21" style="216" customWidth="1"/>
    <col min="3045" max="3045" width="10.85546875" style="216" customWidth="1"/>
    <col min="3046" max="3046" width="17.42578125" style="216" customWidth="1"/>
    <col min="3047" max="3047" width="14.85546875" style="216" customWidth="1"/>
    <col min="3048" max="3048" width="15" style="216" customWidth="1"/>
    <col min="3049" max="3049" width="14.85546875" style="216" customWidth="1"/>
    <col min="3050" max="3050" width="7.140625" style="216" customWidth="1"/>
    <col min="3051" max="3052" width="20.140625" style="216" customWidth="1"/>
    <col min="3053" max="3053" width="18.42578125" style="216" customWidth="1"/>
    <col min="3054" max="3054" width="9.140625" style="216" customWidth="1"/>
    <col min="3055" max="3055" width="12" style="216" customWidth="1"/>
    <col min="3056" max="3056" width="14.85546875" style="216" customWidth="1"/>
    <col min="3057" max="3057" width="22.42578125" style="216" customWidth="1"/>
    <col min="3058" max="3058" width="14.85546875" style="216" customWidth="1"/>
    <col min="3059" max="3059" width="7.140625" style="216" customWidth="1"/>
    <col min="3060" max="3060" width="20.140625" style="216" customWidth="1"/>
    <col min="3061" max="3292" width="8.85546875" style="216" customWidth="1"/>
    <col min="3293" max="3293" width="8.140625" style="216" customWidth="1"/>
    <col min="3294" max="3294" width="14.5703125" style="216" customWidth="1"/>
    <col min="3295" max="3295" width="37.42578125" style="216" customWidth="1"/>
    <col min="3296" max="3296" width="63.140625" style="216" customWidth="1"/>
    <col min="3297" max="3297" width="20" style="216" customWidth="1"/>
    <col min="3298" max="3298" width="11.140625" style="216" customWidth="1"/>
    <col min="3299" max="3299" width="10.85546875" style="216" customWidth="1"/>
    <col min="3300" max="3300" width="21" style="216" customWidth="1"/>
    <col min="3301" max="3301" width="10.85546875" style="216" customWidth="1"/>
    <col min="3302" max="3302" width="17.42578125" style="216" customWidth="1"/>
    <col min="3303" max="3303" width="14.85546875" style="216" customWidth="1"/>
    <col min="3304" max="3304" width="15" style="216" customWidth="1"/>
    <col min="3305" max="3305" width="14.85546875" style="216" customWidth="1"/>
    <col min="3306" max="3306" width="7.140625" style="216" customWidth="1"/>
    <col min="3307" max="3308" width="20.140625" style="216" customWidth="1"/>
    <col min="3309" max="3309" width="18.42578125" style="216" customWidth="1"/>
    <col min="3310" max="3310" width="9.140625" style="216" customWidth="1"/>
    <col min="3311" max="3311" width="12" style="216" customWidth="1"/>
    <col min="3312" max="3312" width="14.85546875" style="216" customWidth="1"/>
    <col min="3313" max="3313" width="22.42578125" style="216" customWidth="1"/>
    <col min="3314" max="3314" width="14.85546875" style="216" customWidth="1"/>
    <col min="3315" max="3315" width="7.140625" style="216" customWidth="1"/>
    <col min="3316" max="3316" width="20.140625" style="216" customWidth="1"/>
    <col min="3317" max="3548" width="8.85546875" style="216" customWidth="1"/>
    <col min="3549" max="3549" width="8.140625" style="216" customWidth="1"/>
    <col min="3550" max="3550" width="14.5703125" style="216" customWidth="1"/>
    <col min="3551" max="3551" width="37.42578125" style="216" customWidth="1"/>
    <col min="3552" max="3552" width="63.140625" style="216" customWidth="1"/>
    <col min="3553" max="3553" width="20" style="216" customWidth="1"/>
    <col min="3554" max="3554" width="11.140625" style="216" customWidth="1"/>
    <col min="3555" max="3555" width="10.85546875" style="216" customWidth="1"/>
    <col min="3556" max="3556" width="21" style="216" customWidth="1"/>
    <col min="3557" max="3557" width="10.85546875" style="216" customWidth="1"/>
    <col min="3558" max="3558" width="17.42578125" style="216" customWidth="1"/>
    <col min="3559" max="3559" width="14.85546875" style="216" customWidth="1"/>
    <col min="3560" max="3560" width="15" style="216" customWidth="1"/>
    <col min="3561" max="3561" width="14.85546875" style="216" customWidth="1"/>
    <col min="3562" max="3562" width="7.140625" style="216" customWidth="1"/>
    <col min="3563" max="3564" width="20.140625" style="216" customWidth="1"/>
    <col min="3565" max="3565" width="18.42578125" style="216" customWidth="1"/>
    <col min="3566" max="3566" width="9.140625" style="216" customWidth="1"/>
    <col min="3567" max="3567" width="12" style="216" customWidth="1"/>
    <col min="3568" max="3568" width="14.85546875" style="216" customWidth="1"/>
    <col min="3569" max="3569" width="22.42578125" style="216" customWidth="1"/>
    <col min="3570" max="3570" width="14.85546875" style="216" customWidth="1"/>
    <col min="3571" max="3571" width="7.140625" style="216" customWidth="1"/>
    <col min="3572" max="3572" width="20.140625" style="216" customWidth="1"/>
    <col min="3573" max="3804" width="8.85546875" style="216" customWidth="1"/>
    <col min="3805" max="3805" width="8.140625" style="216" customWidth="1"/>
    <col min="3806" max="3806" width="14.5703125" style="216" customWidth="1"/>
    <col min="3807" max="3807" width="37.42578125" style="216" customWidth="1"/>
    <col min="3808" max="3808" width="63.140625" style="216" customWidth="1"/>
    <col min="3809" max="3809" width="20" style="216" customWidth="1"/>
    <col min="3810" max="3810" width="11.140625" style="216" customWidth="1"/>
    <col min="3811" max="3811" width="10.85546875" style="216" customWidth="1"/>
    <col min="3812" max="3812" width="21" style="216" customWidth="1"/>
    <col min="3813" max="3813" width="10.85546875" style="216" customWidth="1"/>
    <col min="3814" max="3814" width="17.42578125" style="216" customWidth="1"/>
    <col min="3815" max="3815" width="14.85546875" style="216" customWidth="1"/>
    <col min="3816" max="3816" width="15" style="216" customWidth="1"/>
    <col min="3817" max="3817" width="14.85546875" style="216" customWidth="1"/>
    <col min="3818" max="3818" width="7.140625" style="216" customWidth="1"/>
    <col min="3819" max="3820" width="20.140625" style="216" customWidth="1"/>
    <col min="3821" max="3821" width="18.42578125" style="216" customWidth="1"/>
    <col min="3822" max="3822" width="9.140625" style="216" customWidth="1"/>
    <col min="3823" max="3823" width="12" style="216" customWidth="1"/>
    <col min="3824" max="3824" width="14.85546875" style="216" customWidth="1"/>
    <col min="3825" max="3825" width="22.42578125" style="216" customWidth="1"/>
    <col min="3826" max="3826" width="14.85546875" style="216" customWidth="1"/>
    <col min="3827" max="3827" width="7.140625" style="216" customWidth="1"/>
    <col min="3828" max="3828" width="20.140625" style="216" customWidth="1"/>
    <col min="3829" max="4060" width="8.85546875" style="216" customWidth="1"/>
    <col min="4061" max="4061" width="8.140625" style="216" customWidth="1"/>
    <col min="4062" max="4062" width="14.5703125" style="216" customWidth="1"/>
    <col min="4063" max="4063" width="37.42578125" style="216" customWidth="1"/>
    <col min="4064" max="4064" width="63.140625" style="216" customWidth="1"/>
    <col min="4065" max="4065" width="20" style="216" customWidth="1"/>
    <col min="4066" max="4066" width="11.140625" style="216" customWidth="1"/>
    <col min="4067" max="4067" width="10.85546875" style="216" customWidth="1"/>
    <col min="4068" max="4068" width="21" style="216" customWidth="1"/>
    <col min="4069" max="4069" width="10.85546875" style="216" customWidth="1"/>
    <col min="4070" max="4070" width="17.42578125" style="216" customWidth="1"/>
    <col min="4071" max="4071" width="14.85546875" style="216" customWidth="1"/>
    <col min="4072" max="4072" width="15" style="216" customWidth="1"/>
    <col min="4073" max="4073" width="14.85546875" style="216" customWidth="1"/>
    <col min="4074" max="4074" width="7.140625" style="216" customWidth="1"/>
    <col min="4075" max="4076" width="20.140625" style="216" customWidth="1"/>
    <col min="4077" max="4077" width="18.42578125" style="216" customWidth="1"/>
    <col min="4078" max="4078" width="9.140625" style="216" customWidth="1"/>
    <col min="4079" max="4079" width="12" style="216" customWidth="1"/>
    <col min="4080" max="4080" width="14.85546875" style="216" customWidth="1"/>
    <col min="4081" max="4081" width="22.42578125" style="216" customWidth="1"/>
    <col min="4082" max="4082" width="14.85546875" style="216" customWidth="1"/>
    <col min="4083" max="4083" width="7.140625" style="216" customWidth="1"/>
    <col min="4084" max="4084" width="20.140625" style="216" customWidth="1"/>
    <col min="4085" max="4316" width="8.85546875" style="216" customWidth="1"/>
    <col min="4317" max="4317" width="8.140625" style="216" customWidth="1"/>
    <col min="4318" max="4318" width="14.5703125" style="216" customWidth="1"/>
    <col min="4319" max="4319" width="37.42578125" style="216" customWidth="1"/>
    <col min="4320" max="4320" width="63.140625" style="216" customWidth="1"/>
    <col min="4321" max="4321" width="20" style="216" customWidth="1"/>
    <col min="4322" max="4322" width="11.140625" style="216" customWidth="1"/>
    <col min="4323" max="4323" width="10.85546875" style="216" customWidth="1"/>
    <col min="4324" max="4324" width="21" style="216" customWidth="1"/>
    <col min="4325" max="4325" width="10.85546875" style="216" customWidth="1"/>
    <col min="4326" max="4326" width="17.42578125" style="216" customWidth="1"/>
    <col min="4327" max="4327" width="14.85546875" style="216" customWidth="1"/>
    <col min="4328" max="4328" width="15" style="216" customWidth="1"/>
    <col min="4329" max="4329" width="14.85546875" style="216" customWidth="1"/>
    <col min="4330" max="4330" width="7.140625" style="216" customWidth="1"/>
    <col min="4331" max="4332" width="20.140625" style="216" customWidth="1"/>
    <col min="4333" max="4333" width="18.42578125" style="216" customWidth="1"/>
    <col min="4334" max="4334" width="9.140625" style="216" customWidth="1"/>
    <col min="4335" max="4335" width="12" style="216" customWidth="1"/>
    <col min="4336" max="4336" width="14.85546875" style="216" customWidth="1"/>
    <col min="4337" max="4337" width="22.42578125" style="216" customWidth="1"/>
    <col min="4338" max="4338" width="14.85546875" style="216" customWidth="1"/>
    <col min="4339" max="4339" width="7.140625" style="216" customWidth="1"/>
    <col min="4340" max="4340" width="20.140625" style="216" customWidth="1"/>
    <col min="4341" max="4572" width="8.85546875" style="216" customWidth="1"/>
    <col min="4573" max="4573" width="8.140625" style="216" customWidth="1"/>
    <col min="4574" max="4574" width="14.5703125" style="216" customWidth="1"/>
    <col min="4575" max="4575" width="37.42578125" style="216" customWidth="1"/>
    <col min="4576" max="4576" width="63.140625" style="216" customWidth="1"/>
    <col min="4577" max="4577" width="20" style="216" customWidth="1"/>
    <col min="4578" max="4578" width="11.140625" style="216" customWidth="1"/>
    <col min="4579" max="4579" width="10.85546875" style="216" customWidth="1"/>
    <col min="4580" max="4580" width="21" style="216" customWidth="1"/>
    <col min="4581" max="4581" width="10.85546875" style="216" customWidth="1"/>
    <col min="4582" max="4582" width="17.42578125" style="216" customWidth="1"/>
    <col min="4583" max="4583" width="14.85546875" style="216" customWidth="1"/>
    <col min="4584" max="4584" width="15" style="216" customWidth="1"/>
    <col min="4585" max="4585" width="14.85546875" style="216" customWidth="1"/>
    <col min="4586" max="4586" width="7.140625" style="216" customWidth="1"/>
    <col min="4587" max="4588" width="20.140625" style="216" customWidth="1"/>
    <col min="4589" max="4589" width="18.42578125" style="216" customWidth="1"/>
    <col min="4590" max="4590" width="9.140625" style="216" customWidth="1"/>
    <col min="4591" max="4591" width="12" style="216" customWidth="1"/>
    <col min="4592" max="4592" width="14.85546875" style="216" customWidth="1"/>
    <col min="4593" max="4593" width="22.42578125" style="216" customWidth="1"/>
    <col min="4594" max="4594" width="14.85546875" style="216" customWidth="1"/>
    <col min="4595" max="4595" width="7.140625" style="216" customWidth="1"/>
    <col min="4596" max="4596" width="20.140625" style="216" customWidth="1"/>
    <col min="4597" max="4828" width="8.85546875" style="216" customWidth="1"/>
    <col min="4829" max="4829" width="8.140625" style="216" customWidth="1"/>
    <col min="4830" max="4830" width="14.5703125" style="216" customWidth="1"/>
    <col min="4831" max="4831" width="37.42578125" style="216" customWidth="1"/>
    <col min="4832" max="4832" width="63.140625" style="216" customWidth="1"/>
    <col min="4833" max="4833" width="20" style="216" customWidth="1"/>
    <col min="4834" max="4834" width="11.140625" style="216" customWidth="1"/>
    <col min="4835" max="4835" width="10.85546875" style="216" customWidth="1"/>
    <col min="4836" max="4836" width="21" style="216" customWidth="1"/>
    <col min="4837" max="4837" width="10.85546875" style="216" customWidth="1"/>
    <col min="4838" max="4838" width="17.42578125" style="216" customWidth="1"/>
    <col min="4839" max="4839" width="14.85546875" style="216" customWidth="1"/>
    <col min="4840" max="4840" width="15" style="216" customWidth="1"/>
    <col min="4841" max="4841" width="14.85546875" style="216" customWidth="1"/>
    <col min="4842" max="4842" width="7.140625" style="216" customWidth="1"/>
    <col min="4843" max="4844" width="20.140625" style="216" customWidth="1"/>
    <col min="4845" max="4845" width="18.42578125" style="216" customWidth="1"/>
    <col min="4846" max="4846" width="9.140625" style="216" customWidth="1"/>
    <col min="4847" max="4847" width="12" style="216" customWidth="1"/>
    <col min="4848" max="4848" width="14.85546875" style="216" customWidth="1"/>
    <col min="4849" max="4849" width="22.42578125" style="216" customWidth="1"/>
    <col min="4850" max="4850" width="14.85546875" style="216" customWidth="1"/>
    <col min="4851" max="4851" width="7.140625" style="216" customWidth="1"/>
    <col min="4852" max="4852" width="20.140625" style="216" customWidth="1"/>
    <col min="4853" max="5084" width="8.85546875" style="216" customWidth="1"/>
    <col min="5085" max="5085" width="8.140625" style="216" customWidth="1"/>
    <col min="5086" max="5086" width="14.5703125" style="216" customWidth="1"/>
    <col min="5087" max="5087" width="37.42578125" style="216" customWidth="1"/>
    <col min="5088" max="5088" width="63.140625" style="216" customWidth="1"/>
    <col min="5089" max="5089" width="20" style="216" customWidth="1"/>
    <col min="5090" max="5090" width="11.140625" style="216" customWidth="1"/>
    <col min="5091" max="5091" width="10.85546875" style="216" customWidth="1"/>
    <col min="5092" max="5092" width="21" style="216" customWidth="1"/>
    <col min="5093" max="5093" width="10.85546875" style="216" customWidth="1"/>
    <col min="5094" max="5094" width="17.42578125" style="216" customWidth="1"/>
    <col min="5095" max="5095" width="14.85546875" style="216" customWidth="1"/>
    <col min="5096" max="5096" width="15" style="216" customWidth="1"/>
    <col min="5097" max="5097" width="14.85546875" style="216" customWidth="1"/>
    <col min="5098" max="5098" width="7.140625" style="216" customWidth="1"/>
    <col min="5099" max="5100" width="20.140625" style="216" customWidth="1"/>
    <col min="5101" max="5101" width="18.42578125" style="216" customWidth="1"/>
    <col min="5102" max="5102" width="9.140625" style="216" customWidth="1"/>
    <col min="5103" max="5103" width="12" style="216" customWidth="1"/>
    <col min="5104" max="5104" width="14.85546875" style="216" customWidth="1"/>
    <col min="5105" max="5105" width="22.42578125" style="216" customWidth="1"/>
    <col min="5106" max="5106" width="14.85546875" style="216" customWidth="1"/>
    <col min="5107" max="5107" width="7.140625" style="216" customWidth="1"/>
    <col min="5108" max="5108" width="20.140625" style="216" customWidth="1"/>
    <col min="5109" max="5340" width="8.85546875" style="216" customWidth="1"/>
    <col min="5341" max="5341" width="8.140625" style="216" customWidth="1"/>
    <col min="5342" max="5342" width="14.5703125" style="216" customWidth="1"/>
    <col min="5343" max="5343" width="37.42578125" style="216" customWidth="1"/>
    <col min="5344" max="5344" width="63.140625" style="216" customWidth="1"/>
    <col min="5345" max="5345" width="20" style="216" customWidth="1"/>
    <col min="5346" max="5346" width="11.140625" style="216" customWidth="1"/>
    <col min="5347" max="5347" width="10.85546875" style="216" customWidth="1"/>
    <col min="5348" max="5348" width="21" style="216" customWidth="1"/>
    <col min="5349" max="5349" width="10.85546875" style="216" customWidth="1"/>
    <col min="5350" max="5350" width="17.42578125" style="216" customWidth="1"/>
    <col min="5351" max="5351" width="14.85546875" style="216" customWidth="1"/>
    <col min="5352" max="5352" width="15" style="216" customWidth="1"/>
    <col min="5353" max="5353" width="14.85546875" style="216" customWidth="1"/>
    <col min="5354" max="5354" width="7.140625" style="216" customWidth="1"/>
    <col min="5355" max="5356" width="20.140625" style="216" customWidth="1"/>
    <col min="5357" max="5357" width="18.42578125" style="216" customWidth="1"/>
    <col min="5358" max="5358" width="9.140625" style="216" customWidth="1"/>
    <col min="5359" max="5359" width="12" style="216" customWidth="1"/>
    <col min="5360" max="5360" width="14.85546875" style="216" customWidth="1"/>
    <col min="5361" max="5361" width="22.42578125" style="216" customWidth="1"/>
    <col min="5362" max="5362" width="14.85546875" style="216" customWidth="1"/>
    <col min="5363" max="5363" width="7.140625" style="216" customWidth="1"/>
    <col min="5364" max="5364" width="20.140625" style="216" customWidth="1"/>
    <col min="5365" max="5596" width="8.85546875" style="216" customWidth="1"/>
    <col min="5597" max="5597" width="8.140625" style="216" customWidth="1"/>
    <col min="5598" max="5598" width="14.5703125" style="216" customWidth="1"/>
    <col min="5599" max="5599" width="37.42578125" style="216" customWidth="1"/>
    <col min="5600" max="5600" width="63.140625" style="216" customWidth="1"/>
    <col min="5601" max="5601" width="20" style="216" customWidth="1"/>
    <col min="5602" max="5602" width="11.140625" style="216" customWidth="1"/>
    <col min="5603" max="5603" width="10.85546875" style="216" customWidth="1"/>
    <col min="5604" max="5604" width="21" style="216" customWidth="1"/>
    <col min="5605" max="5605" width="10.85546875" style="216" customWidth="1"/>
    <col min="5606" max="5606" width="17.42578125" style="216" customWidth="1"/>
    <col min="5607" max="5607" width="14.85546875" style="216" customWidth="1"/>
    <col min="5608" max="5608" width="15" style="216" customWidth="1"/>
    <col min="5609" max="5609" width="14.85546875" style="216" customWidth="1"/>
    <col min="5610" max="5610" width="7.140625" style="216" customWidth="1"/>
    <col min="5611" max="5612" width="20.140625" style="216" customWidth="1"/>
    <col min="5613" max="5613" width="18.42578125" style="216" customWidth="1"/>
    <col min="5614" max="5614" width="9.140625" style="216" customWidth="1"/>
    <col min="5615" max="5615" width="12" style="216" customWidth="1"/>
    <col min="5616" max="5616" width="14.85546875" style="216" customWidth="1"/>
    <col min="5617" max="5617" width="22.42578125" style="216" customWidth="1"/>
    <col min="5618" max="5618" width="14.85546875" style="216" customWidth="1"/>
    <col min="5619" max="5619" width="7.140625" style="216" customWidth="1"/>
    <col min="5620" max="5620" width="20.140625" style="216" customWidth="1"/>
    <col min="5621" max="5852" width="8.85546875" style="216" customWidth="1"/>
    <col min="5853" max="5853" width="8.140625" style="216" customWidth="1"/>
    <col min="5854" max="5854" width="14.5703125" style="216" customWidth="1"/>
    <col min="5855" max="5855" width="37.42578125" style="216" customWidth="1"/>
    <col min="5856" max="5856" width="63.140625" style="216" customWidth="1"/>
    <col min="5857" max="5857" width="20" style="216" customWidth="1"/>
    <col min="5858" max="5858" width="11.140625" style="216" customWidth="1"/>
    <col min="5859" max="5859" width="10.85546875" style="216" customWidth="1"/>
    <col min="5860" max="5860" width="21" style="216" customWidth="1"/>
    <col min="5861" max="5861" width="10.85546875" style="216" customWidth="1"/>
    <col min="5862" max="5862" width="17.42578125" style="216" customWidth="1"/>
    <col min="5863" max="5863" width="14.85546875" style="216" customWidth="1"/>
    <col min="5864" max="5864" width="15" style="216" customWidth="1"/>
    <col min="5865" max="5865" width="14.85546875" style="216" customWidth="1"/>
    <col min="5866" max="5866" width="7.140625" style="216" customWidth="1"/>
    <col min="5867" max="5868" width="20.140625" style="216" customWidth="1"/>
    <col min="5869" max="5869" width="18.42578125" style="216" customWidth="1"/>
    <col min="5870" max="5870" width="9.140625" style="216" customWidth="1"/>
    <col min="5871" max="5871" width="12" style="216" customWidth="1"/>
    <col min="5872" max="5872" width="14.85546875" style="216" customWidth="1"/>
    <col min="5873" max="5873" width="22.42578125" style="216" customWidth="1"/>
    <col min="5874" max="5874" width="14.85546875" style="216" customWidth="1"/>
    <col min="5875" max="5875" width="7.140625" style="216" customWidth="1"/>
    <col min="5876" max="5876" width="20.140625" style="216" customWidth="1"/>
    <col min="5877" max="6108" width="8.85546875" style="216" customWidth="1"/>
    <col min="6109" max="6109" width="8.140625" style="216" customWidth="1"/>
    <col min="6110" max="6110" width="14.5703125" style="216" customWidth="1"/>
    <col min="6111" max="6111" width="37.42578125" style="216" customWidth="1"/>
    <col min="6112" max="6112" width="63.140625" style="216" customWidth="1"/>
    <col min="6113" max="6113" width="20" style="216" customWidth="1"/>
    <col min="6114" max="6114" width="11.140625" style="216" customWidth="1"/>
    <col min="6115" max="6115" width="10.85546875" style="216" customWidth="1"/>
    <col min="6116" max="6116" width="21" style="216" customWidth="1"/>
    <col min="6117" max="6117" width="10.85546875" style="216" customWidth="1"/>
    <col min="6118" max="6118" width="17.42578125" style="216" customWidth="1"/>
    <col min="6119" max="6119" width="14.85546875" style="216" customWidth="1"/>
    <col min="6120" max="6120" width="15" style="216" customWidth="1"/>
    <col min="6121" max="6121" width="14.85546875" style="216" customWidth="1"/>
    <col min="6122" max="6122" width="7.140625" style="216" customWidth="1"/>
    <col min="6123" max="6124" width="20.140625" style="216" customWidth="1"/>
    <col min="6125" max="6125" width="18.42578125" style="216" customWidth="1"/>
    <col min="6126" max="6126" width="9.140625" style="216" customWidth="1"/>
    <col min="6127" max="6127" width="12" style="216" customWidth="1"/>
    <col min="6128" max="6128" width="14.85546875" style="216" customWidth="1"/>
    <col min="6129" max="6129" width="22.42578125" style="216" customWidth="1"/>
    <col min="6130" max="6130" width="14.85546875" style="216" customWidth="1"/>
    <col min="6131" max="6131" width="7.140625" style="216" customWidth="1"/>
    <col min="6132" max="6132" width="20.140625" style="216" customWidth="1"/>
    <col min="6133" max="6364" width="8.85546875" style="216" customWidth="1"/>
    <col min="6365" max="6365" width="8.140625" style="216" customWidth="1"/>
    <col min="6366" max="6366" width="14.5703125" style="216" customWidth="1"/>
    <col min="6367" max="6367" width="37.42578125" style="216" customWidth="1"/>
    <col min="6368" max="6368" width="63.140625" style="216" customWidth="1"/>
    <col min="6369" max="6369" width="20" style="216" customWidth="1"/>
    <col min="6370" max="6370" width="11.140625" style="216" customWidth="1"/>
    <col min="6371" max="6371" width="10.85546875" style="216" customWidth="1"/>
    <col min="6372" max="6372" width="21" style="216" customWidth="1"/>
    <col min="6373" max="6373" width="10.85546875" style="216" customWidth="1"/>
    <col min="6374" max="6374" width="17.42578125" style="216" customWidth="1"/>
    <col min="6375" max="6375" width="14.85546875" style="216" customWidth="1"/>
    <col min="6376" max="6376" width="15" style="216" customWidth="1"/>
    <col min="6377" max="6377" width="14.85546875" style="216" customWidth="1"/>
    <col min="6378" max="6378" width="7.140625" style="216" customWidth="1"/>
    <col min="6379" max="6380" width="20.140625" style="216" customWidth="1"/>
    <col min="6381" max="6381" width="18.42578125" style="216" customWidth="1"/>
    <col min="6382" max="6382" width="9.140625" style="216" customWidth="1"/>
    <col min="6383" max="6383" width="12" style="216" customWidth="1"/>
    <col min="6384" max="6384" width="14.85546875" style="216" customWidth="1"/>
    <col min="6385" max="6385" width="22.42578125" style="216" customWidth="1"/>
    <col min="6386" max="6386" width="14.85546875" style="216" customWidth="1"/>
    <col min="6387" max="6387" width="7.140625" style="216" customWidth="1"/>
    <col min="6388" max="6388" width="20.140625" style="216" customWidth="1"/>
    <col min="6389" max="6620" width="8.85546875" style="216" customWidth="1"/>
    <col min="6621" max="6621" width="8.140625" style="216" customWidth="1"/>
    <col min="6622" max="6622" width="14.5703125" style="216" customWidth="1"/>
    <col min="6623" max="6623" width="37.42578125" style="216" customWidth="1"/>
    <col min="6624" max="6624" width="63.140625" style="216" customWidth="1"/>
    <col min="6625" max="6625" width="20" style="216" customWidth="1"/>
    <col min="6626" max="6626" width="11.140625" style="216" customWidth="1"/>
    <col min="6627" max="6627" width="10.85546875" style="216" customWidth="1"/>
    <col min="6628" max="6628" width="21" style="216" customWidth="1"/>
    <col min="6629" max="6629" width="10.85546875" style="216" customWidth="1"/>
    <col min="6630" max="6630" width="17.42578125" style="216" customWidth="1"/>
    <col min="6631" max="6631" width="14.85546875" style="216" customWidth="1"/>
    <col min="6632" max="6632" width="15" style="216" customWidth="1"/>
    <col min="6633" max="6633" width="14.85546875" style="216" customWidth="1"/>
    <col min="6634" max="6634" width="7.140625" style="216" customWidth="1"/>
    <col min="6635" max="6636" width="20.140625" style="216" customWidth="1"/>
    <col min="6637" max="6637" width="18.42578125" style="216" customWidth="1"/>
    <col min="6638" max="6638" width="9.140625" style="216" customWidth="1"/>
    <col min="6639" max="6639" width="12" style="216" customWidth="1"/>
    <col min="6640" max="6640" width="14.85546875" style="216" customWidth="1"/>
    <col min="6641" max="6641" width="22.42578125" style="216" customWidth="1"/>
    <col min="6642" max="6642" width="14.85546875" style="216" customWidth="1"/>
    <col min="6643" max="6643" width="7.140625" style="216" customWidth="1"/>
    <col min="6644" max="6644" width="20.140625" style="216" customWidth="1"/>
    <col min="6645" max="6876" width="8.85546875" style="216" customWidth="1"/>
    <col min="6877" max="6877" width="8.140625" style="216" customWidth="1"/>
    <col min="6878" max="6878" width="14.5703125" style="216" customWidth="1"/>
    <col min="6879" max="6879" width="37.42578125" style="216" customWidth="1"/>
    <col min="6880" max="6880" width="63.140625" style="216" customWidth="1"/>
    <col min="6881" max="6881" width="20" style="216" customWidth="1"/>
    <col min="6882" max="6882" width="11.140625" style="216" customWidth="1"/>
    <col min="6883" max="6883" width="10.85546875" style="216" customWidth="1"/>
    <col min="6884" max="6884" width="21" style="216" customWidth="1"/>
    <col min="6885" max="6885" width="10.85546875" style="216" customWidth="1"/>
    <col min="6886" max="6886" width="17.42578125" style="216" customWidth="1"/>
    <col min="6887" max="6887" width="14.85546875" style="216" customWidth="1"/>
    <col min="6888" max="6888" width="15" style="216" customWidth="1"/>
    <col min="6889" max="6889" width="14.85546875" style="216" customWidth="1"/>
    <col min="6890" max="6890" width="7.140625" style="216" customWidth="1"/>
    <col min="6891" max="6892" width="20.140625" style="216" customWidth="1"/>
    <col min="6893" max="6893" width="18.42578125" style="216" customWidth="1"/>
    <col min="6894" max="6894" width="9.140625" style="216" customWidth="1"/>
    <col min="6895" max="6895" width="12" style="216" customWidth="1"/>
    <col min="6896" max="6896" width="14.85546875" style="216" customWidth="1"/>
    <col min="6897" max="6897" width="22.42578125" style="216" customWidth="1"/>
    <col min="6898" max="6898" width="14.85546875" style="216" customWidth="1"/>
    <col min="6899" max="6899" width="7.140625" style="216" customWidth="1"/>
    <col min="6900" max="6900" width="20.140625" style="216" customWidth="1"/>
    <col min="6901" max="7132" width="8.85546875" style="216" customWidth="1"/>
    <col min="7133" max="7133" width="8.140625" style="216" customWidth="1"/>
    <col min="7134" max="7134" width="14.5703125" style="216" customWidth="1"/>
    <col min="7135" max="7135" width="37.42578125" style="216" customWidth="1"/>
    <col min="7136" max="7136" width="63.140625" style="216" customWidth="1"/>
    <col min="7137" max="7137" width="20" style="216" customWidth="1"/>
    <col min="7138" max="7138" width="11.140625" style="216" customWidth="1"/>
    <col min="7139" max="7139" width="10.85546875" style="216" customWidth="1"/>
    <col min="7140" max="7140" width="21" style="216" customWidth="1"/>
    <col min="7141" max="7141" width="10.85546875" style="216" customWidth="1"/>
    <col min="7142" max="7142" width="17.42578125" style="216" customWidth="1"/>
    <col min="7143" max="7143" width="14.85546875" style="216" customWidth="1"/>
    <col min="7144" max="7144" width="15" style="216" customWidth="1"/>
    <col min="7145" max="7145" width="14.85546875" style="216" customWidth="1"/>
    <col min="7146" max="7146" width="7.140625" style="216" customWidth="1"/>
    <col min="7147" max="7148" width="20.140625" style="216" customWidth="1"/>
    <col min="7149" max="7149" width="18.42578125" style="216" customWidth="1"/>
    <col min="7150" max="7150" width="9.140625" style="216" customWidth="1"/>
    <col min="7151" max="7151" width="12" style="216" customWidth="1"/>
    <col min="7152" max="7152" width="14.85546875" style="216" customWidth="1"/>
    <col min="7153" max="7153" width="22.42578125" style="216" customWidth="1"/>
    <col min="7154" max="7154" width="14.85546875" style="216" customWidth="1"/>
    <col min="7155" max="7155" width="7.140625" style="216" customWidth="1"/>
    <col min="7156" max="7156" width="20.140625" style="216" customWidth="1"/>
    <col min="7157" max="7388" width="8.85546875" style="216" customWidth="1"/>
    <col min="7389" max="7389" width="8.140625" style="216" customWidth="1"/>
    <col min="7390" max="7390" width="14.5703125" style="216" customWidth="1"/>
    <col min="7391" max="7391" width="37.42578125" style="216" customWidth="1"/>
    <col min="7392" max="7392" width="63.140625" style="216" customWidth="1"/>
    <col min="7393" max="7393" width="20" style="216" customWidth="1"/>
    <col min="7394" max="7394" width="11.140625" style="216" customWidth="1"/>
    <col min="7395" max="7395" width="10.85546875" style="216" customWidth="1"/>
    <col min="7396" max="7396" width="21" style="216" customWidth="1"/>
    <col min="7397" max="7397" width="10.85546875" style="216" customWidth="1"/>
    <col min="7398" max="7398" width="17.42578125" style="216" customWidth="1"/>
    <col min="7399" max="7399" width="14.85546875" style="216" customWidth="1"/>
    <col min="7400" max="7400" width="15" style="216" customWidth="1"/>
    <col min="7401" max="7401" width="14.85546875" style="216" customWidth="1"/>
    <col min="7402" max="7402" width="7.140625" style="216" customWidth="1"/>
    <col min="7403" max="7404" width="20.140625" style="216" customWidth="1"/>
    <col min="7405" max="7405" width="18.42578125" style="216" customWidth="1"/>
    <col min="7406" max="7406" width="9.140625" style="216" customWidth="1"/>
    <col min="7407" max="7407" width="12" style="216" customWidth="1"/>
    <col min="7408" max="7408" width="14.85546875" style="216" customWidth="1"/>
    <col min="7409" max="7409" width="22.42578125" style="216" customWidth="1"/>
    <col min="7410" max="7410" width="14.85546875" style="216" customWidth="1"/>
    <col min="7411" max="7411" width="7.140625" style="216" customWidth="1"/>
    <col min="7412" max="7412" width="20.140625" style="216" customWidth="1"/>
    <col min="7413" max="7644" width="8.85546875" style="216" customWidth="1"/>
    <col min="7645" max="7645" width="8.140625" style="216" customWidth="1"/>
    <col min="7646" max="7646" width="14.5703125" style="216" customWidth="1"/>
    <col min="7647" max="7647" width="37.42578125" style="216" customWidth="1"/>
    <col min="7648" max="7648" width="63.140625" style="216" customWidth="1"/>
    <col min="7649" max="7649" width="20" style="216" customWidth="1"/>
    <col min="7650" max="7650" width="11.140625" style="216" customWidth="1"/>
    <col min="7651" max="7651" width="10.85546875" style="216" customWidth="1"/>
    <col min="7652" max="7652" width="21" style="216" customWidth="1"/>
    <col min="7653" max="7653" width="10.85546875" style="216" customWidth="1"/>
    <col min="7654" max="7654" width="17.42578125" style="216" customWidth="1"/>
    <col min="7655" max="7655" width="14.85546875" style="216" customWidth="1"/>
    <col min="7656" max="7656" width="15" style="216" customWidth="1"/>
    <col min="7657" max="7657" width="14.85546875" style="216" customWidth="1"/>
    <col min="7658" max="7658" width="7.140625" style="216" customWidth="1"/>
    <col min="7659" max="7660" width="20.140625" style="216" customWidth="1"/>
    <col min="7661" max="7661" width="18.42578125" style="216" customWidth="1"/>
    <col min="7662" max="7662" width="9.140625" style="216" customWidth="1"/>
    <col min="7663" max="7663" width="12" style="216" customWidth="1"/>
    <col min="7664" max="7664" width="14.85546875" style="216" customWidth="1"/>
    <col min="7665" max="7665" width="22.42578125" style="216" customWidth="1"/>
    <col min="7666" max="7666" width="14.85546875" style="216" customWidth="1"/>
    <col min="7667" max="7667" width="7.140625" style="216" customWidth="1"/>
    <col min="7668" max="7668" width="20.140625" style="216" customWidth="1"/>
    <col min="7669" max="7900" width="8.85546875" style="216" customWidth="1"/>
    <col min="7901" max="7901" width="8.140625" style="216" customWidth="1"/>
    <col min="7902" max="7902" width="14.5703125" style="216" customWidth="1"/>
    <col min="7903" max="7903" width="37.42578125" style="216" customWidth="1"/>
    <col min="7904" max="7904" width="63.140625" style="216" customWidth="1"/>
    <col min="7905" max="7905" width="20" style="216" customWidth="1"/>
    <col min="7906" max="7906" width="11.140625" style="216" customWidth="1"/>
    <col min="7907" max="7907" width="10.85546875" style="216" customWidth="1"/>
    <col min="7908" max="7908" width="21" style="216" customWidth="1"/>
    <col min="7909" max="7909" width="10.85546875" style="216" customWidth="1"/>
    <col min="7910" max="7910" width="17.42578125" style="216" customWidth="1"/>
    <col min="7911" max="7911" width="14.85546875" style="216" customWidth="1"/>
    <col min="7912" max="7912" width="15" style="216" customWidth="1"/>
    <col min="7913" max="7913" width="14.85546875" style="216" customWidth="1"/>
    <col min="7914" max="7914" width="7.140625" style="216" customWidth="1"/>
    <col min="7915" max="7916" width="20.140625" style="216" customWidth="1"/>
    <col min="7917" max="7917" width="18.42578125" style="216" customWidth="1"/>
    <col min="7918" max="7918" width="9.140625" style="216" customWidth="1"/>
    <col min="7919" max="7919" width="12" style="216" customWidth="1"/>
    <col min="7920" max="7920" width="14.85546875" style="216" customWidth="1"/>
    <col min="7921" max="7921" width="22.42578125" style="216" customWidth="1"/>
    <col min="7922" max="7922" width="14.85546875" style="216" customWidth="1"/>
    <col min="7923" max="7923" width="7.140625" style="216" customWidth="1"/>
    <col min="7924" max="7924" width="20.140625" style="216" customWidth="1"/>
    <col min="7925" max="8156" width="8.85546875" style="216" customWidth="1"/>
    <col min="8157" max="8157" width="8.140625" style="216" customWidth="1"/>
    <col min="8158" max="8158" width="14.5703125" style="216" customWidth="1"/>
    <col min="8159" max="8159" width="37.42578125" style="216" customWidth="1"/>
    <col min="8160" max="8160" width="63.140625" style="216" customWidth="1"/>
    <col min="8161" max="8161" width="20" style="216" customWidth="1"/>
    <col min="8162" max="8162" width="11.140625" style="216" customWidth="1"/>
    <col min="8163" max="8163" width="10.85546875" style="216" customWidth="1"/>
    <col min="8164" max="8164" width="21" style="216" customWidth="1"/>
    <col min="8165" max="8165" width="10.85546875" style="216" customWidth="1"/>
    <col min="8166" max="8166" width="17.42578125" style="216" customWidth="1"/>
    <col min="8167" max="8167" width="14.85546875" style="216" customWidth="1"/>
    <col min="8168" max="8168" width="15" style="216" customWidth="1"/>
    <col min="8169" max="8169" width="14.85546875" style="216" customWidth="1"/>
    <col min="8170" max="8170" width="7.140625" style="216" customWidth="1"/>
    <col min="8171" max="8172" width="20.140625" style="216" customWidth="1"/>
    <col min="8173" max="8173" width="18.42578125" style="216" customWidth="1"/>
    <col min="8174" max="8174" width="9.140625" style="216" customWidth="1"/>
    <col min="8175" max="8175" width="12" style="216" customWidth="1"/>
    <col min="8176" max="8176" width="14.85546875" style="216" customWidth="1"/>
    <col min="8177" max="8177" width="22.42578125" style="216" customWidth="1"/>
    <col min="8178" max="8178" width="14.85546875" style="216" customWidth="1"/>
    <col min="8179" max="8179" width="7.140625" style="216" customWidth="1"/>
    <col min="8180" max="8180" width="20.140625" style="216" customWidth="1"/>
    <col min="8181" max="8412" width="8.85546875" style="216" customWidth="1"/>
    <col min="8413" max="8413" width="8.140625" style="216" customWidth="1"/>
    <col min="8414" max="8414" width="14.5703125" style="216" customWidth="1"/>
    <col min="8415" max="8415" width="37.42578125" style="216" customWidth="1"/>
    <col min="8416" max="8416" width="63.140625" style="216" customWidth="1"/>
    <col min="8417" max="8417" width="20" style="216" customWidth="1"/>
    <col min="8418" max="8418" width="11.140625" style="216" customWidth="1"/>
    <col min="8419" max="8419" width="10.85546875" style="216" customWidth="1"/>
    <col min="8420" max="8420" width="21" style="216" customWidth="1"/>
    <col min="8421" max="8421" width="10.85546875" style="216" customWidth="1"/>
    <col min="8422" max="8422" width="17.42578125" style="216" customWidth="1"/>
    <col min="8423" max="8423" width="14.85546875" style="216" customWidth="1"/>
    <col min="8424" max="8424" width="15" style="216" customWidth="1"/>
    <col min="8425" max="8425" width="14.85546875" style="216" customWidth="1"/>
    <col min="8426" max="8426" width="7.140625" style="216" customWidth="1"/>
    <col min="8427" max="8428" width="20.140625" style="216" customWidth="1"/>
    <col min="8429" max="8429" width="18.42578125" style="216" customWidth="1"/>
    <col min="8430" max="8430" width="9.140625" style="216" customWidth="1"/>
    <col min="8431" max="8431" width="12" style="216" customWidth="1"/>
    <col min="8432" max="8432" width="14.85546875" style="216" customWidth="1"/>
    <col min="8433" max="8433" width="22.42578125" style="216" customWidth="1"/>
    <col min="8434" max="8434" width="14.85546875" style="216" customWidth="1"/>
    <col min="8435" max="8435" width="7.140625" style="216" customWidth="1"/>
    <col min="8436" max="8436" width="20.140625" style="216" customWidth="1"/>
    <col min="8437" max="8668" width="8.85546875" style="216" customWidth="1"/>
    <col min="8669" max="8669" width="8.140625" style="216" customWidth="1"/>
    <col min="8670" max="8670" width="14.5703125" style="216" customWidth="1"/>
    <col min="8671" max="8671" width="37.42578125" style="216" customWidth="1"/>
    <col min="8672" max="8672" width="63.140625" style="216" customWidth="1"/>
    <col min="8673" max="8673" width="20" style="216" customWidth="1"/>
    <col min="8674" max="8674" width="11.140625" style="216" customWidth="1"/>
    <col min="8675" max="8675" width="10.85546875" style="216" customWidth="1"/>
    <col min="8676" max="8676" width="21" style="216" customWidth="1"/>
    <col min="8677" max="8677" width="10.85546875" style="216" customWidth="1"/>
    <col min="8678" max="8678" width="17.42578125" style="216" customWidth="1"/>
    <col min="8679" max="8679" width="14.85546875" style="216" customWidth="1"/>
    <col min="8680" max="8680" width="15" style="216" customWidth="1"/>
    <col min="8681" max="8681" width="14.85546875" style="216" customWidth="1"/>
    <col min="8682" max="8682" width="7.140625" style="216" customWidth="1"/>
    <col min="8683" max="8684" width="20.140625" style="216" customWidth="1"/>
    <col min="8685" max="8685" width="18.42578125" style="216" customWidth="1"/>
    <col min="8686" max="8686" width="9.140625" style="216" customWidth="1"/>
    <col min="8687" max="8687" width="12" style="216" customWidth="1"/>
    <col min="8688" max="8688" width="14.85546875" style="216" customWidth="1"/>
    <col min="8689" max="8689" width="22.42578125" style="216" customWidth="1"/>
    <col min="8690" max="8690" width="14.85546875" style="216" customWidth="1"/>
    <col min="8691" max="8691" width="7.140625" style="216" customWidth="1"/>
    <col min="8692" max="8692" width="20.140625" style="216" customWidth="1"/>
    <col min="8693" max="8924" width="8.85546875" style="216" customWidth="1"/>
    <col min="8925" max="8925" width="8.140625" style="216" customWidth="1"/>
    <col min="8926" max="8926" width="14.5703125" style="216" customWidth="1"/>
    <col min="8927" max="8927" width="37.42578125" style="216" customWidth="1"/>
    <col min="8928" max="8928" width="63.140625" style="216" customWidth="1"/>
    <col min="8929" max="8929" width="20" style="216" customWidth="1"/>
    <col min="8930" max="8930" width="11.140625" style="216" customWidth="1"/>
    <col min="8931" max="8931" width="10.85546875" style="216" customWidth="1"/>
    <col min="8932" max="8932" width="21" style="216" customWidth="1"/>
    <col min="8933" max="8933" width="10.85546875" style="216" customWidth="1"/>
    <col min="8934" max="8934" width="17.42578125" style="216" customWidth="1"/>
    <col min="8935" max="8935" width="14.85546875" style="216" customWidth="1"/>
    <col min="8936" max="8936" width="15" style="216" customWidth="1"/>
    <col min="8937" max="8937" width="14.85546875" style="216" customWidth="1"/>
    <col min="8938" max="8938" width="7.140625" style="216" customWidth="1"/>
    <col min="8939" max="8940" width="20.140625" style="216" customWidth="1"/>
    <col min="8941" max="8941" width="18.42578125" style="216" customWidth="1"/>
    <col min="8942" max="8942" width="9.140625" style="216" customWidth="1"/>
    <col min="8943" max="8943" width="12" style="216" customWidth="1"/>
    <col min="8944" max="8944" width="14.85546875" style="216" customWidth="1"/>
    <col min="8945" max="8945" width="22.42578125" style="216" customWidth="1"/>
    <col min="8946" max="8946" width="14.85546875" style="216" customWidth="1"/>
    <col min="8947" max="8947" width="7.140625" style="216" customWidth="1"/>
    <col min="8948" max="8948" width="20.140625" style="216" customWidth="1"/>
    <col min="8949" max="9180" width="8.85546875" style="216" customWidth="1"/>
    <col min="9181" max="9181" width="8.140625" style="216" customWidth="1"/>
    <col min="9182" max="9182" width="14.5703125" style="216" customWidth="1"/>
    <col min="9183" max="9183" width="37.42578125" style="216" customWidth="1"/>
    <col min="9184" max="9184" width="63.140625" style="216" customWidth="1"/>
    <col min="9185" max="9185" width="20" style="216" customWidth="1"/>
    <col min="9186" max="9186" width="11.140625" style="216" customWidth="1"/>
    <col min="9187" max="9187" width="10.85546875" style="216" customWidth="1"/>
    <col min="9188" max="9188" width="21" style="216" customWidth="1"/>
    <col min="9189" max="9189" width="10.85546875" style="216" customWidth="1"/>
    <col min="9190" max="9190" width="17.42578125" style="216" customWidth="1"/>
    <col min="9191" max="9191" width="14.85546875" style="216" customWidth="1"/>
    <col min="9192" max="9192" width="15" style="216" customWidth="1"/>
    <col min="9193" max="9193" width="14.85546875" style="216" customWidth="1"/>
    <col min="9194" max="9194" width="7.140625" style="216" customWidth="1"/>
    <col min="9195" max="9196" width="20.140625" style="216" customWidth="1"/>
    <col min="9197" max="9197" width="18.42578125" style="216" customWidth="1"/>
    <col min="9198" max="9198" width="9.140625" style="216" customWidth="1"/>
    <col min="9199" max="9199" width="12" style="216" customWidth="1"/>
    <col min="9200" max="9200" width="14.85546875" style="216" customWidth="1"/>
    <col min="9201" max="9201" width="22.42578125" style="216" customWidth="1"/>
    <col min="9202" max="9202" width="14.85546875" style="216" customWidth="1"/>
    <col min="9203" max="9203" width="7.140625" style="216" customWidth="1"/>
    <col min="9204" max="9204" width="20.140625" style="216" customWidth="1"/>
    <col min="9205" max="9436" width="8.85546875" style="216" customWidth="1"/>
    <col min="9437" max="9437" width="8.140625" style="216" customWidth="1"/>
    <col min="9438" max="9438" width="14.5703125" style="216" customWidth="1"/>
    <col min="9439" max="9439" width="37.42578125" style="216" customWidth="1"/>
    <col min="9440" max="9440" width="63.140625" style="216" customWidth="1"/>
    <col min="9441" max="9441" width="20" style="216" customWidth="1"/>
    <col min="9442" max="9442" width="11.140625" style="216" customWidth="1"/>
    <col min="9443" max="9443" width="10.85546875" style="216" customWidth="1"/>
    <col min="9444" max="9444" width="21" style="216" customWidth="1"/>
    <col min="9445" max="9445" width="10.85546875" style="216" customWidth="1"/>
    <col min="9446" max="9446" width="17.42578125" style="216" customWidth="1"/>
    <col min="9447" max="9447" width="14.85546875" style="216" customWidth="1"/>
    <col min="9448" max="9448" width="15" style="216" customWidth="1"/>
    <col min="9449" max="9449" width="14.85546875" style="216" customWidth="1"/>
    <col min="9450" max="9450" width="7.140625" style="216" customWidth="1"/>
    <col min="9451" max="9452" width="20.140625" style="216" customWidth="1"/>
    <col min="9453" max="9453" width="18.42578125" style="216" customWidth="1"/>
    <col min="9454" max="9454" width="9.140625" style="216" customWidth="1"/>
    <col min="9455" max="9455" width="12" style="216" customWidth="1"/>
    <col min="9456" max="9456" width="14.85546875" style="216" customWidth="1"/>
    <col min="9457" max="9457" width="22.42578125" style="216" customWidth="1"/>
    <col min="9458" max="9458" width="14.85546875" style="216" customWidth="1"/>
    <col min="9459" max="9459" width="7.140625" style="216" customWidth="1"/>
    <col min="9460" max="9460" width="20.140625" style="216" customWidth="1"/>
    <col min="9461" max="9692" width="8.85546875" style="216" customWidth="1"/>
    <col min="9693" max="9693" width="8.140625" style="216" customWidth="1"/>
    <col min="9694" max="9694" width="14.5703125" style="216" customWidth="1"/>
    <col min="9695" max="9695" width="37.42578125" style="216" customWidth="1"/>
    <col min="9696" max="9696" width="63.140625" style="216" customWidth="1"/>
    <col min="9697" max="9697" width="20" style="216" customWidth="1"/>
    <col min="9698" max="9698" width="11.140625" style="216" customWidth="1"/>
    <col min="9699" max="9699" width="10.85546875" style="216" customWidth="1"/>
    <col min="9700" max="9700" width="21" style="216" customWidth="1"/>
    <col min="9701" max="9701" width="10.85546875" style="216" customWidth="1"/>
    <col min="9702" max="9702" width="17.42578125" style="216" customWidth="1"/>
    <col min="9703" max="9703" width="14.85546875" style="216" customWidth="1"/>
    <col min="9704" max="9704" width="15" style="216" customWidth="1"/>
    <col min="9705" max="9705" width="14.85546875" style="216" customWidth="1"/>
    <col min="9706" max="9706" width="7.140625" style="216" customWidth="1"/>
    <col min="9707" max="9708" width="20.140625" style="216" customWidth="1"/>
    <col min="9709" max="9709" width="18.42578125" style="216" customWidth="1"/>
    <col min="9710" max="9710" width="9.140625" style="216" customWidth="1"/>
    <col min="9711" max="9711" width="12" style="216" customWidth="1"/>
    <col min="9712" max="9712" width="14.85546875" style="216" customWidth="1"/>
    <col min="9713" max="9713" width="22.42578125" style="216" customWidth="1"/>
    <col min="9714" max="9714" width="14.85546875" style="216" customWidth="1"/>
    <col min="9715" max="9715" width="7.140625" style="216" customWidth="1"/>
    <col min="9716" max="9716" width="20.140625" style="216" customWidth="1"/>
    <col min="9717" max="9948" width="8.85546875" style="216" customWidth="1"/>
    <col min="9949" max="9949" width="8.140625" style="216" customWidth="1"/>
    <col min="9950" max="9950" width="14.5703125" style="216" customWidth="1"/>
    <col min="9951" max="9951" width="37.42578125" style="216" customWidth="1"/>
    <col min="9952" max="9952" width="63.140625" style="216" customWidth="1"/>
    <col min="9953" max="9953" width="20" style="216" customWidth="1"/>
    <col min="9954" max="9954" width="11.140625" style="216" customWidth="1"/>
    <col min="9955" max="9955" width="10.85546875" style="216" customWidth="1"/>
    <col min="9956" max="9956" width="21" style="216" customWidth="1"/>
    <col min="9957" max="9957" width="10.85546875" style="216" customWidth="1"/>
    <col min="9958" max="9958" width="17.42578125" style="216" customWidth="1"/>
    <col min="9959" max="9959" width="14.85546875" style="216" customWidth="1"/>
    <col min="9960" max="9960" width="15" style="216" customWidth="1"/>
    <col min="9961" max="9961" width="14.85546875" style="216" customWidth="1"/>
    <col min="9962" max="9962" width="7.140625" style="216" customWidth="1"/>
    <col min="9963" max="9964" width="20.140625" style="216" customWidth="1"/>
    <col min="9965" max="9965" width="18.42578125" style="216" customWidth="1"/>
    <col min="9966" max="9966" width="9.140625" style="216" customWidth="1"/>
    <col min="9967" max="9967" width="12" style="216" customWidth="1"/>
    <col min="9968" max="9968" width="14.85546875" style="216" customWidth="1"/>
    <col min="9969" max="9969" width="22.42578125" style="216" customWidth="1"/>
    <col min="9970" max="9970" width="14.85546875" style="216" customWidth="1"/>
    <col min="9971" max="9971" width="7.140625" style="216" customWidth="1"/>
    <col min="9972" max="9972" width="20.140625" style="216" customWidth="1"/>
    <col min="9973" max="10204" width="8.85546875" style="216" customWidth="1"/>
    <col min="10205" max="10205" width="8.140625" style="216" customWidth="1"/>
    <col min="10206" max="10206" width="14.5703125" style="216" customWidth="1"/>
    <col min="10207" max="10207" width="37.42578125" style="216" customWidth="1"/>
    <col min="10208" max="10208" width="63.140625" style="216" customWidth="1"/>
    <col min="10209" max="10209" width="20" style="216" customWidth="1"/>
    <col min="10210" max="10210" width="11.140625" style="216" customWidth="1"/>
    <col min="10211" max="10211" width="10.85546875" style="216" customWidth="1"/>
    <col min="10212" max="10212" width="21" style="216" customWidth="1"/>
    <col min="10213" max="10213" width="10.85546875" style="216" customWidth="1"/>
    <col min="10214" max="10214" width="17.42578125" style="216" customWidth="1"/>
    <col min="10215" max="10215" width="14.85546875" style="216" customWidth="1"/>
    <col min="10216" max="10216" width="15" style="216" customWidth="1"/>
    <col min="10217" max="10217" width="14.85546875" style="216" customWidth="1"/>
    <col min="10218" max="10218" width="7.140625" style="216" customWidth="1"/>
    <col min="10219" max="10220" width="20.140625" style="216" customWidth="1"/>
    <col min="10221" max="10221" width="18.42578125" style="216" customWidth="1"/>
    <col min="10222" max="10222" width="9.140625" style="216" customWidth="1"/>
    <col min="10223" max="10223" width="12" style="216" customWidth="1"/>
    <col min="10224" max="10224" width="14.85546875" style="216" customWidth="1"/>
    <col min="10225" max="10225" width="22.42578125" style="216" customWidth="1"/>
    <col min="10226" max="10226" width="14.85546875" style="216" customWidth="1"/>
    <col min="10227" max="10227" width="7.140625" style="216" customWidth="1"/>
    <col min="10228" max="10228" width="20.140625" style="216" customWidth="1"/>
    <col min="10229" max="10460" width="8.85546875" style="216" customWidth="1"/>
    <col min="10461" max="10461" width="8.140625" style="216" customWidth="1"/>
    <col min="10462" max="10462" width="14.5703125" style="216" customWidth="1"/>
    <col min="10463" max="10463" width="37.42578125" style="216" customWidth="1"/>
    <col min="10464" max="10464" width="63.140625" style="216" customWidth="1"/>
    <col min="10465" max="10465" width="20" style="216" customWidth="1"/>
    <col min="10466" max="10466" width="11.140625" style="216" customWidth="1"/>
    <col min="10467" max="10467" width="10.85546875" style="216" customWidth="1"/>
    <col min="10468" max="10468" width="21" style="216" customWidth="1"/>
    <col min="10469" max="10469" width="10.85546875" style="216" customWidth="1"/>
    <col min="10470" max="10470" width="17.42578125" style="216" customWidth="1"/>
    <col min="10471" max="10471" width="14.85546875" style="216" customWidth="1"/>
    <col min="10472" max="10472" width="15" style="216" customWidth="1"/>
    <col min="10473" max="10473" width="14.85546875" style="216" customWidth="1"/>
    <col min="10474" max="10474" width="7.140625" style="216" customWidth="1"/>
    <col min="10475" max="10476" width="20.140625" style="216" customWidth="1"/>
    <col min="10477" max="10477" width="18.42578125" style="216" customWidth="1"/>
    <col min="10478" max="10478" width="9.140625" style="216" customWidth="1"/>
    <col min="10479" max="10479" width="12" style="216" customWidth="1"/>
    <col min="10480" max="10480" width="14.85546875" style="216" customWidth="1"/>
    <col min="10481" max="10481" width="22.42578125" style="216" customWidth="1"/>
    <col min="10482" max="10482" width="14.85546875" style="216" customWidth="1"/>
    <col min="10483" max="10483" width="7.140625" style="216" customWidth="1"/>
    <col min="10484" max="10484" width="20.140625" style="216" customWidth="1"/>
    <col min="10485" max="10716" width="8.85546875" style="216" customWidth="1"/>
    <col min="10717" max="10717" width="8.140625" style="216" customWidth="1"/>
    <col min="10718" max="10718" width="14.5703125" style="216" customWidth="1"/>
    <col min="10719" max="10719" width="37.42578125" style="216" customWidth="1"/>
    <col min="10720" max="10720" width="63.140625" style="216" customWidth="1"/>
    <col min="10721" max="10721" width="20" style="216" customWidth="1"/>
    <col min="10722" max="10722" width="11.140625" style="216" customWidth="1"/>
    <col min="10723" max="10723" width="10.85546875" style="216" customWidth="1"/>
    <col min="10724" max="10724" width="21" style="216" customWidth="1"/>
    <col min="10725" max="10725" width="10.85546875" style="216" customWidth="1"/>
    <col min="10726" max="10726" width="17.42578125" style="216" customWidth="1"/>
    <col min="10727" max="10727" width="14.85546875" style="216" customWidth="1"/>
    <col min="10728" max="10728" width="15" style="216" customWidth="1"/>
    <col min="10729" max="10729" width="14.85546875" style="216" customWidth="1"/>
    <col min="10730" max="10730" width="7.140625" style="216" customWidth="1"/>
    <col min="10731" max="10732" width="20.140625" style="216" customWidth="1"/>
    <col min="10733" max="10733" width="18.42578125" style="216" customWidth="1"/>
    <col min="10734" max="10734" width="9.140625" style="216" customWidth="1"/>
    <col min="10735" max="10735" width="12" style="216" customWidth="1"/>
    <col min="10736" max="10736" width="14.85546875" style="216" customWidth="1"/>
    <col min="10737" max="10737" width="22.42578125" style="216" customWidth="1"/>
    <col min="10738" max="10738" width="14.85546875" style="216" customWidth="1"/>
    <col min="10739" max="10739" width="7.140625" style="216" customWidth="1"/>
    <col min="10740" max="10740" width="20.140625" style="216" customWidth="1"/>
    <col min="10741" max="10972" width="8.85546875" style="216" customWidth="1"/>
    <col min="10973" max="10973" width="8.140625" style="216" customWidth="1"/>
    <col min="10974" max="10974" width="14.5703125" style="216" customWidth="1"/>
    <col min="10975" max="10975" width="37.42578125" style="216" customWidth="1"/>
    <col min="10976" max="10976" width="63.140625" style="216" customWidth="1"/>
    <col min="10977" max="10977" width="20" style="216" customWidth="1"/>
    <col min="10978" max="10978" width="11.140625" style="216" customWidth="1"/>
    <col min="10979" max="10979" width="10.85546875" style="216" customWidth="1"/>
    <col min="10980" max="10980" width="21" style="216" customWidth="1"/>
    <col min="10981" max="10981" width="10.85546875" style="216" customWidth="1"/>
    <col min="10982" max="10982" width="17.42578125" style="216" customWidth="1"/>
    <col min="10983" max="10983" width="14.85546875" style="216" customWidth="1"/>
    <col min="10984" max="10984" width="15" style="216" customWidth="1"/>
    <col min="10985" max="10985" width="14.85546875" style="216" customWidth="1"/>
    <col min="10986" max="10986" width="7.140625" style="216" customWidth="1"/>
    <col min="10987" max="10988" width="20.140625" style="216" customWidth="1"/>
    <col min="10989" max="10989" width="18.42578125" style="216" customWidth="1"/>
    <col min="10990" max="10990" width="9.140625" style="216" customWidth="1"/>
    <col min="10991" max="10991" width="12" style="216" customWidth="1"/>
    <col min="10992" max="10992" width="14.85546875" style="216" customWidth="1"/>
    <col min="10993" max="10993" width="22.42578125" style="216" customWidth="1"/>
    <col min="10994" max="10994" width="14.85546875" style="216" customWidth="1"/>
    <col min="10995" max="10995" width="7.140625" style="216" customWidth="1"/>
    <col min="10996" max="10996" width="20.140625" style="216" customWidth="1"/>
    <col min="10997" max="11228" width="8.85546875" style="216" customWidth="1"/>
    <col min="11229" max="11229" width="8.140625" style="216" customWidth="1"/>
    <col min="11230" max="11230" width="14.5703125" style="216" customWidth="1"/>
    <col min="11231" max="11231" width="37.42578125" style="216" customWidth="1"/>
    <col min="11232" max="11232" width="63.140625" style="216" customWidth="1"/>
    <col min="11233" max="11233" width="20" style="216" customWidth="1"/>
    <col min="11234" max="11234" width="11.140625" style="216" customWidth="1"/>
    <col min="11235" max="11235" width="10.85546875" style="216" customWidth="1"/>
    <col min="11236" max="11236" width="21" style="216" customWidth="1"/>
    <col min="11237" max="11237" width="10.85546875" style="216" customWidth="1"/>
    <col min="11238" max="11238" width="17.42578125" style="216" customWidth="1"/>
    <col min="11239" max="11239" width="14.85546875" style="216" customWidth="1"/>
    <col min="11240" max="11240" width="15" style="216" customWidth="1"/>
    <col min="11241" max="11241" width="14.85546875" style="216" customWidth="1"/>
    <col min="11242" max="11242" width="7.140625" style="216" customWidth="1"/>
    <col min="11243" max="11244" width="20.140625" style="216" customWidth="1"/>
    <col min="11245" max="11245" width="18.42578125" style="216" customWidth="1"/>
    <col min="11246" max="11246" width="9.140625" style="216" customWidth="1"/>
    <col min="11247" max="11247" width="12" style="216" customWidth="1"/>
    <col min="11248" max="11248" width="14.85546875" style="216" customWidth="1"/>
    <col min="11249" max="11249" width="22.42578125" style="216" customWidth="1"/>
    <col min="11250" max="11250" width="14.85546875" style="216" customWidth="1"/>
    <col min="11251" max="11251" width="7.140625" style="216" customWidth="1"/>
    <col min="11252" max="11252" width="20.140625" style="216" customWidth="1"/>
    <col min="11253" max="11484" width="8.85546875" style="216" customWidth="1"/>
    <col min="11485" max="11485" width="8.140625" style="216" customWidth="1"/>
    <col min="11486" max="11486" width="14.5703125" style="216" customWidth="1"/>
    <col min="11487" max="11487" width="37.42578125" style="216" customWidth="1"/>
    <col min="11488" max="11488" width="63.140625" style="216" customWidth="1"/>
    <col min="11489" max="11489" width="20" style="216" customWidth="1"/>
    <col min="11490" max="11490" width="11.140625" style="216" customWidth="1"/>
    <col min="11491" max="11491" width="10.85546875" style="216" customWidth="1"/>
    <col min="11492" max="11492" width="21" style="216" customWidth="1"/>
    <col min="11493" max="11493" width="10.85546875" style="216" customWidth="1"/>
    <col min="11494" max="11494" width="17.42578125" style="216" customWidth="1"/>
    <col min="11495" max="11495" width="14.85546875" style="216" customWidth="1"/>
    <col min="11496" max="11496" width="15" style="216" customWidth="1"/>
    <col min="11497" max="11497" width="14.85546875" style="216" customWidth="1"/>
    <col min="11498" max="11498" width="7.140625" style="216" customWidth="1"/>
    <col min="11499" max="11500" width="20.140625" style="216" customWidth="1"/>
    <col min="11501" max="11501" width="18.42578125" style="216" customWidth="1"/>
    <col min="11502" max="11502" width="9.140625" style="216" customWidth="1"/>
    <col min="11503" max="11503" width="12" style="216" customWidth="1"/>
    <col min="11504" max="11504" width="14.85546875" style="216" customWidth="1"/>
    <col min="11505" max="11505" width="22.42578125" style="216" customWidth="1"/>
    <col min="11506" max="11506" width="14.85546875" style="216" customWidth="1"/>
    <col min="11507" max="11507" width="7.140625" style="216" customWidth="1"/>
    <col min="11508" max="11508" width="20.140625" style="216" customWidth="1"/>
    <col min="11509" max="11740" width="8.85546875" style="216" customWidth="1"/>
    <col min="11741" max="11741" width="8.140625" style="216" customWidth="1"/>
    <col min="11742" max="11742" width="14.5703125" style="216" customWidth="1"/>
    <col min="11743" max="11743" width="37.42578125" style="216" customWidth="1"/>
    <col min="11744" max="11744" width="63.140625" style="216" customWidth="1"/>
    <col min="11745" max="11745" width="20" style="216" customWidth="1"/>
    <col min="11746" max="11746" width="11.140625" style="216" customWidth="1"/>
    <col min="11747" max="11747" width="10.85546875" style="216" customWidth="1"/>
    <col min="11748" max="11748" width="21" style="216" customWidth="1"/>
    <col min="11749" max="11749" width="10.85546875" style="216" customWidth="1"/>
    <col min="11750" max="11750" width="17.42578125" style="216" customWidth="1"/>
    <col min="11751" max="11751" width="14.85546875" style="216" customWidth="1"/>
    <col min="11752" max="11752" width="15" style="216" customWidth="1"/>
    <col min="11753" max="11753" width="14.85546875" style="216" customWidth="1"/>
    <col min="11754" max="11754" width="7.140625" style="216" customWidth="1"/>
    <col min="11755" max="11756" width="20.140625" style="216" customWidth="1"/>
    <col min="11757" max="11757" width="18.42578125" style="216" customWidth="1"/>
    <col min="11758" max="11758" width="9.140625" style="216" customWidth="1"/>
    <col min="11759" max="11759" width="12" style="216" customWidth="1"/>
    <col min="11760" max="11760" width="14.85546875" style="216" customWidth="1"/>
    <col min="11761" max="11761" width="22.42578125" style="216" customWidth="1"/>
    <col min="11762" max="11762" width="14.85546875" style="216" customWidth="1"/>
    <col min="11763" max="11763" width="7.140625" style="216" customWidth="1"/>
    <col min="11764" max="11764" width="20.140625" style="216" customWidth="1"/>
    <col min="11765" max="11996" width="8.85546875" style="216" customWidth="1"/>
    <col min="11997" max="11997" width="8.140625" style="216" customWidth="1"/>
    <col min="11998" max="11998" width="14.5703125" style="216" customWidth="1"/>
    <col min="11999" max="11999" width="37.42578125" style="216" customWidth="1"/>
    <col min="12000" max="12000" width="63.140625" style="216" customWidth="1"/>
    <col min="12001" max="12001" width="20" style="216" customWidth="1"/>
    <col min="12002" max="12002" width="11.140625" style="216" customWidth="1"/>
    <col min="12003" max="12003" width="10.85546875" style="216" customWidth="1"/>
    <col min="12004" max="12004" width="21" style="216" customWidth="1"/>
    <col min="12005" max="12005" width="10.85546875" style="216" customWidth="1"/>
    <col min="12006" max="12006" width="17.42578125" style="216" customWidth="1"/>
    <col min="12007" max="12007" width="14.85546875" style="216" customWidth="1"/>
    <col min="12008" max="12008" width="15" style="216" customWidth="1"/>
    <col min="12009" max="12009" width="14.85546875" style="216" customWidth="1"/>
    <col min="12010" max="12010" width="7.140625" style="216" customWidth="1"/>
    <col min="12011" max="12012" width="20.140625" style="216" customWidth="1"/>
    <col min="12013" max="12013" width="18.42578125" style="216" customWidth="1"/>
    <col min="12014" max="12014" width="9.140625" style="216" customWidth="1"/>
    <col min="12015" max="12015" width="12" style="216" customWidth="1"/>
    <col min="12016" max="12016" width="14.85546875" style="216" customWidth="1"/>
    <col min="12017" max="12017" width="22.42578125" style="216" customWidth="1"/>
    <col min="12018" max="12018" width="14.85546875" style="216" customWidth="1"/>
    <col min="12019" max="12019" width="7.140625" style="216" customWidth="1"/>
    <col min="12020" max="12020" width="20.140625" style="216" customWidth="1"/>
    <col min="12021" max="12252" width="8.85546875" style="216" customWidth="1"/>
    <col min="12253" max="12253" width="8.140625" style="216" customWidth="1"/>
    <col min="12254" max="12254" width="14.5703125" style="216" customWidth="1"/>
    <col min="12255" max="12255" width="37.42578125" style="216" customWidth="1"/>
    <col min="12256" max="12256" width="63.140625" style="216" customWidth="1"/>
    <col min="12257" max="12257" width="20" style="216" customWidth="1"/>
    <col min="12258" max="12258" width="11.140625" style="216" customWidth="1"/>
    <col min="12259" max="12259" width="10.85546875" style="216" customWidth="1"/>
    <col min="12260" max="12260" width="21" style="216" customWidth="1"/>
    <col min="12261" max="12261" width="10.85546875" style="216" customWidth="1"/>
    <col min="12262" max="12262" width="17.42578125" style="216" customWidth="1"/>
    <col min="12263" max="12263" width="14.85546875" style="216" customWidth="1"/>
    <col min="12264" max="12264" width="15" style="216" customWidth="1"/>
    <col min="12265" max="12265" width="14.85546875" style="216" customWidth="1"/>
    <col min="12266" max="12266" width="7.140625" style="216" customWidth="1"/>
    <col min="12267" max="12268" width="20.140625" style="216" customWidth="1"/>
    <col min="12269" max="12269" width="18.42578125" style="216" customWidth="1"/>
    <col min="12270" max="12270" width="9.140625" style="216" customWidth="1"/>
    <col min="12271" max="12271" width="12" style="216" customWidth="1"/>
    <col min="12272" max="12272" width="14.85546875" style="216" customWidth="1"/>
    <col min="12273" max="12273" width="22.42578125" style="216" customWidth="1"/>
    <col min="12274" max="12274" width="14.85546875" style="216" customWidth="1"/>
    <col min="12275" max="12275" width="7.140625" style="216" customWidth="1"/>
    <col min="12276" max="12276" width="20.140625" style="216" customWidth="1"/>
    <col min="12277" max="12508" width="8.85546875" style="216" customWidth="1"/>
    <col min="12509" max="12509" width="8.140625" style="216" customWidth="1"/>
    <col min="12510" max="12510" width="14.5703125" style="216" customWidth="1"/>
    <col min="12511" max="12511" width="37.42578125" style="216" customWidth="1"/>
    <col min="12512" max="12512" width="63.140625" style="216" customWidth="1"/>
    <col min="12513" max="12513" width="20" style="216" customWidth="1"/>
    <col min="12514" max="12514" width="11.140625" style="216" customWidth="1"/>
    <col min="12515" max="12515" width="10.85546875" style="216" customWidth="1"/>
    <col min="12516" max="12516" width="21" style="216" customWidth="1"/>
    <col min="12517" max="12517" width="10.85546875" style="216" customWidth="1"/>
    <col min="12518" max="12518" width="17.42578125" style="216" customWidth="1"/>
    <col min="12519" max="12519" width="14.85546875" style="216" customWidth="1"/>
    <col min="12520" max="12520" width="15" style="216" customWidth="1"/>
    <col min="12521" max="12521" width="14.85546875" style="216" customWidth="1"/>
    <col min="12522" max="12522" width="7.140625" style="216" customWidth="1"/>
    <col min="12523" max="12524" width="20.140625" style="216" customWidth="1"/>
    <col min="12525" max="12525" width="18.42578125" style="216" customWidth="1"/>
    <col min="12526" max="12526" width="9.140625" style="216" customWidth="1"/>
    <col min="12527" max="12527" width="12" style="216" customWidth="1"/>
    <col min="12528" max="12528" width="14.85546875" style="216" customWidth="1"/>
    <col min="12529" max="12529" width="22.42578125" style="216" customWidth="1"/>
    <col min="12530" max="12530" width="14.85546875" style="216" customWidth="1"/>
    <col min="12531" max="12531" width="7.140625" style="216" customWidth="1"/>
    <col min="12532" max="12532" width="20.140625" style="216" customWidth="1"/>
    <col min="12533" max="12764" width="8.85546875" style="216" customWidth="1"/>
    <col min="12765" max="12765" width="8.140625" style="216" customWidth="1"/>
    <col min="12766" max="12766" width="14.5703125" style="216" customWidth="1"/>
    <col min="12767" max="12767" width="37.42578125" style="216" customWidth="1"/>
    <col min="12768" max="12768" width="63.140625" style="216" customWidth="1"/>
    <col min="12769" max="12769" width="20" style="216" customWidth="1"/>
    <col min="12770" max="12770" width="11.140625" style="216" customWidth="1"/>
    <col min="12771" max="12771" width="10.85546875" style="216" customWidth="1"/>
    <col min="12772" max="12772" width="21" style="216" customWidth="1"/>
    <col min="12773" max="12773" width="10.85546875" style="216" customWidth="1"/>
    <col min="12774" max="12774" width="17.42578125" style="216" customWidth="1"/>
    <col min="12775" max="12775" width="14.85546875" style="216" customWidth="1"/>
    <col min="12776" max="12776" width="15" style="216" customWidth="1"/>
    <col min="12777" max="12777" width="14.85546875" style="216" customWidth="1"/>
    <col min="12778" max="12778" width="7.140625" style="216" customWidth="1"/>
    <col min="12779" max="12780" width="20.140625" style="216" customWidth="1"/>
    <col min="12781" max="12781" width="18.42578125" style="216" customWidth="1"/>
    <col min="12782" max="12782" width="9.140625" style="216" customWidth="1"/>
    <col min="12783" max="12783" width="12" style="216" customWidth="1"/>
    <col min="12784" max="12784" width="14.85546875" style="216" customWidth="1"/>
    <col min="12785" max="12785" width="22.42578125" style="216" customWidth="1"/>
    <col min="12786" max="12786" width="14.85546875" style="216" customWidth="1"/>
    <col min="12787" max="12787" width="7.140625" style="216" customWidth="1"/>
    <col min="12788" max="12788" width="20.140625" style="216" customWidth="1"/>
    <col min="12789" max="13020" width="8.85546875" style="216" customWidth="1"/>
    <col min="13021" max="13021" width="8.140625" style="216" customWidth="1"/>
    <col min="13022" max="13022" width="14.5703125" style="216" customWidth="1"/>
    <col min="13023" max="13023" width="37.42578125" style="216" customWidth="1"/>
    <col min="13024" max="13024" width="63.140625" style="216" customWidth="1"/>
    <col min="13025" max="13025" width="20" style="216" customWidth="1"/>
    <col min="13026" max="13026" width="11.140625" style="216" customWidth="1"/>
    <col min="13027" max="13027" width="10.85546875" style="216" customWidth="1"/>
    <col min="13028" max="13028" width="21" style="216" customWidth="1"/>
    <col min="13029" max="13029" width="10.85546875" style="216" customWidth="1"/>
    <col min="13030" max="13030" width="17.42578125" style="216" customWidth="1"/>
    <col min="13031" max="13031" width="14.85546875" style="216" customWidth="1"/>
    <col min="13032" max="13032" width="15" style="216" customWidth="1"/>
    <col min="13033" max="13033" width="14.85546875" style="216" customWidth="1"/>
    <col min="13034" max="13034" width="7.140625" style="216" customWidth="1"/>
    <col min="13035" max="13036" width="20.140625" style="216" customWidth="1"/>
    <col min="13037" max="13037" width="18.42578125" style="216" customWidth="1"/>
    <col min="13038" max="13038" width="9.140625" style="216" customWidth="1"/>
    <col min="13039" max="13039" width="12" style="216" customWidth="1"/>
    <col min="13040" max="13040" width="14.85546875" style="216" customWidth="1"/>
    <col min="13041" max="13041" width="22.42578125" style="216" customWidth="1"/>
    <col min="13042" max="13042" width="14.85546875" style="216" customWidth="1"/>
    <col min="13043" max="13043" width="7.140625" style="216" customWidth="1"/>
    <col min="13044" max="13044" width="20.140625" style="216" customWidth="1"/>
    <col min="13045" max="13276" width="8.85546875" style="216" customWidth="1"/>
    <col min="13277" max="13277" width="8.140625" style="216" customWidth="1"/>
    <col min="13278" max="13278" width="14.5703125" style="216" customWidth="1"/>
    <col min="13279" max="13279" width="37.42578125" style="216" customWidth="1"/>
    <col min="13280" max="13280" width="63.140625" style="216" customWidth="1"/>
    <col min="13281" max="13281" width="20" style="216" customWidth="1"/>
    <col min="13282" max="13282" width="11.140625" style="216" customWidth="1"/>
    <col min="13283" max="13283" width="10.85546875" style="216" customWidth="1"/>
    <col min="13284" max="13284" width="21" style="216" customWidth="1"/>
    <col min="13285" max="13285" width="10.85546875" style="216" customWidth="1"/>
    <col min="13286" max="13286" width="17.42578125" style="216" customWidth="1"/>
    <col min="13287" max="13287" width="14.85546875" style="216" customWidth="1"/>
    <col min="13288" max="13288" width="15" style="216" customWidth="1"/>
    <col min="13289" max="13289" width="14.85546875" style="216" customWidth="1"/>
    <col min="13290" max="13290" width="7.140625" style="216" customWidth="1"/>
    <col min="13291" max="13292" width="20.140625" style="216" customWidth="1"/>
    <col min="13293" max="13293" width="18.42578125" style="216" customWidth="1"/>
    <col min="13294" max="13294" width="9.140625" style="216" customWidth="1"/>
    <col min="13295" max="13295" width="12" style="216" customWidth="1"/>
    <col min="13296" max="13296" width="14.85546875" style="216" customWidth="1"/>
    <col min="13297" max="13297" width="22.42578125" style="216" customWidth="1"/>
    <col min="13298" max="13298" width="14.85546875" style="216" customWidth="1"/>
    <col min="13299" max="13299" width="7.140625" style="216" customWidth="1"/>
    <col min="13300" max="13300" width="20.140625" style="216" customWidth="1"/>
    <col min="13301" max="13532" width="8.85546875" style="216" customWidth="1"/>
    <col min="13533" max="13533" width="8.140625" style="216" customWidth="1"/>
    <col min="13534" max="13534" width="14.5703125" style="216" customWidth="1"/>
    <col min="13535" max="13535" width="37.42578125" style="216" customWidth="1"/>
    <col min="13536" max="13536" width="63.140625" style="216" customWidth="1"/>
    <col min="13537" max="13537" width="20" style="216" customWidth="1"/>
    <col min="13538" max="13538" width="11.140625" style="216" customWidth="1"/>
    <col min="13539" max="13539" width="10.85546875" style="216" customWidth="1"/>
    <col min="13540" max="13540" width="21" style="216" customWidth="1"/>
    <col min="13541" max="13541" width="10.85546875" style="216" customWidth="1"/>
    <col min="13542" max="13542" width="17.42578125" style="216" customWidth="1"/>
    <col min="13543" max="13543" width="14.85546875" style="216" customWidth="1"/>
    <col min="13544" max="13544" width="15" style="216" customWidth="1"/>
    <col min="13545" max="13545" width="14.85546875" style="216" customWidth="1"/>
    <col min="13546" max="13546" width="7.140625" style="216" customWidth="1"/>
    <col min="13547" max="13548" width="20.140625" style="216" customWidth="1"/>
    <col min="13549" max="13549" width="18.42578125" style="216" customWidth="1"/>
    <col min="13550" max="13550" width="9.140625" style="216" customWidth="1"/>
    <col min="13551" max="13551" width="12" style="216" customWidth="1"/>
    <col min="13552" max="13552" width="14.85546875" style="216" customWidth="1"/>
    <col min="13553" max="13553" width="22.42578125" style="216" customWidth="1"/>
    <col min="13554" max="13554" width="14.85546875" style="216" customWidth="1"/>
    <col min="13555" max="13555" width="7.140625" style="216" customWidth="1"/>
    <col min="13556" max="13556" width="20.140625" style="216" customWidth="1"/>
    <col min="13557" max="13788" width="8.85546875" style="216" customWidth="1"/>
    <col min="13789" max="13789" width="8.140625" style="216" customWidth="1"/>
    <col min="13790" max="13790" width="14.5703125" style="216" customWidth="1"/>
    <col min="13791" max="13791" width="37.42578125" style="216" customWidth="1"/>
    <col min="13792" max="13792" width="63.140625" style="216" customWidth="1"/>
    <col min="13793" max="13793" width="20" style="216" customWidth="1"/>
    <col min="13794" max="13794" width="11.140625" style="216" customWidth="1"/>
    <col min="13795" max="13795" width="10.85546875" style="216" customWidth="1"/>
    <col min="13796" max="13796" width="21" style="216" customWidth="1"/>
    <col min="13797" max="13797" width="10.85546875" style="216" customWidth="1"/>
    <col min="13798" max="13798" width="17.42578125" style="216" customWidth="1"/>
    <col min="13799" max="13799" width="14.85546875" style="216" customWidth="1"/>
    <col min="13800" max="13800" width="15" style="216" customWidth="1"/>
    <col min="13801" max="13801" width="14.85546875" style="216" customWidth="1"/>
    <col min="13802" max="13802" width="7.140625" style="216" customWidth="1"/>
    <col min="13803" max="13804" width="20.140625" style="216" customWidth="1"/>
    <col min="13805" max="13805" width="18.42578125" style="216" customWidth="1"/>
    <col min="13806" max="13806" width="9.140625" style="216" customWidth="1"/>
    <col min="13807" max="13807" width="12" style="216" customWidth="1"/>
    <col min="13808" max="13808" width="14.85546875" style="216" customWidth="1"/>
    <col min="13809" max="13809" width="22.42578125" style="216" customWidth="1"/>
    <col min="13810" max="13810" width="14.85546875" style="216" customWidth="1"/>
    <col min="13811" max="13811" width="7.140625" style="216" customWidth="1"/>
    <col min="13812" max="13812" width="20.140625" style="216" customWidth="1"/>
    <col min="13813" max="14044" width="8.85546875" style="216" customWidth="1"/>
    <col min="14045" max="14045" width="8.140625" style="216" customWidth="1"/>
    <col min="14046" max="14046" width="14.5703125" style="216" customWidth="1"/>
    <col min="14047" max="14047" width="37.42578125" style="216" customWidth="1"/>
    <col min="14048" max="14048" width="63.140625" style="216" customWidth="1"/>
    <col min="14049" max="14049" width="20" style="216" customWidth="1"/>
    <col min="14050" max="14050" width="11.140625" style="216" customWidth="1"/>
    <col min="14051" max="14051" width="10.85546875" style="216" customWidth="1"/>
    <col min="14052" max="14052" width="21" style="216" customWidth="1"/>
    <col min="14053" max="14053" width="10.85546875" style="216" customWidth="1"/>
    <col min="14054" max="14054" width="17.42578125" style="216" customWidth="1"/>
    <col min="14055" max="14055" width="14.85546875" style="216" customWidth="1"/>
    <col min="14056" max="14056" width="15" style="216" customWidth="1"/>
    <col min="14057" max="14057" width="14.85546875" style="216" customWidth="1"/>
    <col min="14058" max="14058" width="7.140625" style="216" customWidth="1"/>
    <col min="14059" max="14060" width="20.140625" style="216" customWidth="1"/>
    <col min="14061" max="14061" width="18.42578125" style="216" customWidth="1"/>
    <col min="14062" max="14062" width="9.140625" style="216" customWidth="1"/>
    <col min="14063" max="14063" width="12" style="216" customWidth="1"/>
    <col min="14064" max="14064" width="14.85546875" style="216" customWidth="1"/>
    <col min="14065" max="14065" width="22.42578125" style="216" customWidth="1"/>
    <col min="14066" max="14066" width="14.85546875" style="216" customWidth="1"/>
    <col min="14067" max="14067" width="7.140625" style="216" customWidth="1"/>
    <col min="14068" max="14068" width="20.140625" style="216" customWidth="1"/>
    <col min="14069" max="14300" width="8.85546875" style="216" customWidth="1"/>
    <col min="14301" max="14301" width="8.140625" style="216" customWidth="1"/>
    <col min="14302" max="14302" width="14.5703125" style="216" customWidth="1"/>
    <col min="14303" max="14303" width="37.42578125" style="216" customWidth="1"/>
    <col min="14304" max="14304" width="63.140625" style="216" customWidth="1"/>
    <col min="14305" max="14305" width="20" style="216" customWidth="1"/>
    <col min="14306" max="14306" width="11.140625" style="216" customWidth="1"/>
    <col min="14307" max="14307" width="10.85546875" style="216" customWidth="1"/>
    <col min="14308" max="14308" width="21" style="216" customWidth="1"/>
    <col min="14309" max="14309" width="10.85546875" style="216" customWidth="1"/>
    <col min="14310" max="14310" width="17.42578125" style="216" customWidth="1"/>
    <col min="14311" max="14311" width="14.85546875" style="216" customWidth="1"/>
    <col min="14312" max="14312" width="15" style="216" customWidth="1"/>
    <col min="14313" max="14313" width="14.85546875" style="216" customWidth="1"/>
    <col min="14314" max="14314" width="7.140625" style="216" customWidth="1"/>
    <col min="14315" max="14316" width="20.140625" style="216" customWidth="1"/>
    <col min="14317" max="14317" width="18.42578125" style="216" customWidth="1"/>
    <col min="14318" max="14318" width="9.140625" style="216" customWidth="1"/>
    <col min="14319" max="14319" width="12" style="216" customWidth="1"/>
    <col min="14320" max="14320" width="14.85546875" style="216" customWidth="1"/>
    <col min="14321" max="14321" width="22.42578125" style="216" customWidth="1"/>
    <col min="14322" max="14322" width="14.85546875" style="216" customWidth="1"/>
    <col min="14323" max="14323" width="7.140625" style="216" customWidth="1"/>
    <col min="14324" max="14324" width="20.140625" style="216" customWidth="1"/>
    <col min="14325" max="14556" width="8.85546875" style="216" customWidth="1"/>
    <col min="14557" max="14557" width="8.140625" style="216" customWidth="1"/>
    <col min="14558" max="14558" width="14.5703125" style="216" customWidth="1"/>
    <col min="14559" max="14559" width="37.42578125" style="216" customWidth="1"/>
    <col min="14560" max="14560" width="63.140625" style="216" customWidth="1"/>
    <col min="14561" max="14561" width="20" style="216" customWidth="1"/>
    <col min="14562" max="14562" width="11.140625" style="216" customWidth="1"/>
    <col min="14563" max="14563" width="10.85546875" style="216" customWidth="1"/>
    <col min="14564" max="14564" width="21" style="216" customWidth="1"/>
    <col min="14565" max="14565" width="10.85546875" style="216" customWidth="1"/>
    <col min="14566" max="14566" width="17.42578125" style="216" customWidth="1"/>
    <col min="14567" max="14567" width="14.85546875" style="216" customWidth="1"/>
    <col min="14568" max="14568" width="15" style="216" customWidth="1"/>
    <col min="14569" max="14569" width="14.85546875" style="216" customWidth="1"/>
    <col min="14570" max="14570" width="7.140625" style="216" customWidth="1"/>
    <col min="14571" max="14572" width="20.140625" style="216" customWidth="1"/>
    <col min="14573" max="14573" width="18.42578125" style="216" customWidth="1"/>
    <col min="14574" max="14574" width="9.140625" style="216" customWidth="1"/>
    <col min="14575" max="14575" width="12" style="216" customWidth="1"/>
    <col min="14576" max="14576" width="14.85546875" style="216" customWidth="1"/>
    <col min="14577" max="14577" width="22.42578125" style="216" customWidth="1"/>
    <col min="14578" max="14578" width="14.85546875" style="216" customWidth="1"/>
    <col min="14579" max="14579" width="7.140625" style="216" customWidth="1"/>
    <col min="14580" max="14580" width="20.140625" style="216" customWidth="1"/>
    <col min="14581" max="14812" width="8.85546875" style="216" customWidth="1"/>
    <col min="14813" max="14813" width="8.140625" style="216" customWidth="1"/>
    <col min="14814" max="14814" width="14.5703125" style="216" customWidth="1"/>
    <col min="14815" max="14815" width="37.42578125" style="216" customWidth="1"/>
    <col min="14816" max="14816" width="63.140625" style="216" customWidth="1"/>
    <col min="14817" max="14817" width="20" style="216" customWidth="1"/>
    <col min="14818" max="14818" width="11.140625" style="216" customWidth="1"/>
    <col min="14819" max="14819" width="10.85546875" style="216" customWidth="1"/>
    <col min="14820" max="14820" width="21" style="216" customWidth="1"/>
    <col min="14821" max="14821" width="10.85546875" style="216" customWidth="1"/>
    <col min="14822" max="14822" width="17.42578125" style="216" customWidth="1"/>
    <col min="14823" max="14823" width="14.85546875" style="216" customWidth="1"/>
    <col min="14824" max="14824" width="15" style="216" customWidth="1"/>
    <col min="14825" max="14825" width="14.85546875" style="216" customWidth="1"/>
    <col min="14826" max="14826" width="7.140625" style="216" customWidth="1"/>
    <col min="14827" max="14828" width="20.140625" style="216" customWidth="1"/>
    <col min="14829" max="14829" width="18.42578125" style="216" customWidth="1"/>
    <col min="14830" max="14830" width="9.140625" style="216" customWidth="1"/>
    <col min="14831" max="14831" width="12" style="216" customWidth="1"/>
    <col min="14832" max="14832" width="14.85546875" style="216" customWidth="1"/>
    <col min="14833" max="14833" width="22.42578125" style="216" customWidth="1"/>
    <col min="14834" max="14834" width="14.85546875" style="216" customWidth="1"/>
    <col min="14835" max="14835" width="7.140625" style="216" customWidth="1"/>
    <col min="14836" max="14836" width="20.140625" style="216" customWidth="1"/>
    <col min="14837" max="15068" width="8.85546875" style="216" customWidth="1"/>
    <col min="15069" max="15069" width="8.140625" style="216" customWidth="1"/>
    <col min="15070" max="15070" width="14.5703125" style="216" customWidth="1"/>
    <col min="15071" max="15071" width="37.42578125" style="216" customWidth="1"/>
    <col min="15072" max="15072" width="63.140625" style="216" customWidth="1"/>
    <col min="15073" max="15073" width="20" style="216" customWidth="1"/>
    <col min="15074" max="15074" width="11.140625" style="216" customWidth="1"/>
    <col min="15075" max="15075" width="10.85546875" style="216" customWidth="1"/>
    <col min="15076" max="15076" width="21" style="216" customWidth="1"/>
    <col min="15077" max="15077" width="10.85546875" style="216" customWidth="1"/>
    <col min="15078" max="15078" width="17.42578125" style="216" customWidth="1"/>
    <col min="15079" max="15079" width="14.85546875" style="216" customWidth="1"/>
    <col min="15080" max="15080" width="15" style="216" customWidth="1"/>
    <col min="15081" max="15081" width="14.85546875" style="216" customWidth="1"/>
    <col min="15082" max="15082" width="7.140625" style="216" customWidth="1"/>
    <col min="15083" max="15084" width="20.140625" style="216" customWidth="1"/>
    <col min="15085" max="15085" width="18.42578125" style="216" customWidth="1"/>
    <col min="15086" max="15086" width="9.140625" style="216" customWidth="1"/>
    <col min="15087" max="15087" width="12" style="216" customWidth="1"/>
    <col min="15088" max="15088" width="14.85546875" style="216" customWidth="1"/>
    <col min="15089" max="15089" width="22.42578125" style="216" customWidth="1"/>
    <col min="15090" max="15090" width="14.85546875" style="216" customWidth="1"/>
    <col min="15091" max="15091" width="7.140625" style="216" customWidth="1"/>
    <col min="15092" max="15092" width="20.140625" style="216" customWidth="1"/>
    <col min="15093" max="15324" width="8.85546875" style="216" customWidth="1"/>
    <col min="15325" max="15325" width="8.140625" style="216" customWidth="1"/>
    <col min="15326" max="15326" width="14.5703125" style="216" customWidth="1"/>
    <col min="15327" max="15327" width="37.42578125" style="216" customWidth="1"/>
    <col min="15328" max="15328" width="63.140625" style="216" customWidth="1"/>
    <col min="15329" max="15329" width="20" style="216" customWidth="1"/>
    <col min="15330" max="15330" width="11.140625" style="216" customWidth="1"/>
    <col min="15331" max="15331" width="10.85546875" style="216" customWidth="1"/>
    <col min="15332" max="15332" width="21" style="216" customWidth="1"/>
    <col min="15333" max="15333" width="10.85546875" style="216" customWidth="1"/>
    <col min="15334" max="15334" width="17.42578125" style="216" customWidth="1"/>
    <col min="15335" max="15335" width="14.85546875" style="216" customWidth="1"/>
    <col min="15336" max="15336" width="15" style="216" customWidth="1"/>
    <col min="15337" max="15337" width="14.85546875" style="216" customWidth="1"/>
    <col min="15338" max="15338" width="7.140625" style="216" customWidth="1"/>
    <col min="15339" max="15340" width="20.140625" style="216" customWidth="1"/>
    <col min="15341" max="15341" width="18.42578125" style="216" customWidth="1"/>
    <col min="15342" max="15342" width="9.140625" style="216" customWidth="1"/>
    <col min="15343" max="15343" width="12" style="216" customWidth="1"/>
    <col min="15344" max="15344" width="14.85546875" style="216" customWidth="1"/>
    <col min="15345" max="15345" width="22.42578125" style="216" customWidth="1"/>
    <col min="15346" max="15346" width="14.85546875" style="216" customWidth="1"/>
    <col min="15347" max="15347" width="7.140625" style="216" customWidth="1"/>
    <col min="15348" max="15348" width="20.140625" style="216" customWidth="1"/>
    <col min="15349" max="15580" width="8.85546875" style="216" customWidth="1"/>
    <col min="15581" max="15581" width="8.140625" style="216" customWidth="1"/>
    <col min="15582" max="15582" width="14.5703125" style="216" customWidth="1"/>
    <col min="15583" max="15583" width="37.42578125" style="216" customWidth="1"/>
    <col min="15584" max="15584" width="63.140625" style="216" customWidth="1"/>
    <col min="15585" max="15585" width="20" style="216" customWidth="1"/>
    <col min="15586" max="15586" width="11.140625" style="216" customWidth="1"/>
    <col min="15587" max="15587" width="10.85546875" style="216" customWidth="1"/>
    <col min="15588" max="15588" width="21" style="216" customWidth="1"/>
    <col min="15589" max="15589" width="10.85546875" style="216" customWidth="1"/>
    <col min="15590" max="15590" width="17.42578125" style="216" customWidth="1"/>
    <col min="15591" max="15591" width="14.85546875" style="216" customWidth="1"/>
    <col min="15592" max="15592" width="15" style="216" customWidth="1"/>
    <col min="15593" max="15593" width="14.85546875" style="216" customWidth="1"/>
    <col min="15594" max="15594" width="7.140625" style="216" customWidth="1"/>
    <col min="15595" max="15596" width="20.140625" style="216" customWidth="1"/>
    <col min="15597" max="15597" width="18.42578125" style="216" customWidth="1"/>
    <col min="15598" max="15598" width="9.140625" style="216" customWidth="1"/>
    <col min="15599" max="15599" width="12" style="216" customWidth="1"/>
    <col min="15600" max="15600" width="14.85546875" style="216" customWidth="1"/>
    <col min="15601" max="15601" width="22.42578125" style="216" customWidth="1"/>
    <col min="15602" max="15602" width="14.85546875" style="216" customWidth="1"/>
    <col min="15603" max="15603" width="7.140625" style="216" customWidth="1"/>
    <col min="15604" max="15604" width="20.140625" style="216" customWidth="1"/>
    <col min="15605" max="15836" width="8.85546875" style="216" customWidth="1"/>
    <col min="15837" max="15837" width="8.140625" style="216" customWidth="1"/>
    <col min="15838" max="15838" width="14.5703125" style="216" customWidth="1"/>
    <col min="15839" max="15839" width="37.42578125" style="216" customWidth="1"/>
    <col min="15840" max="15840" width="63.140625" style="216" customWidth="1"/>
    <col min="15841" max="15841" width="20" style="216" customWidth="1"/>
    <col min="15842" max="15842" width="11.140625" style="216" customWidth="1"/>
    <col min="15843" max="15843" width="10.85546875" style="216" customWidth="1"/>
    <col min="15844" max="15844" width="21" style="216" customWidth="1"/>
    <col min="15845" max="15845" width="10.85546875" style="216" customWidth="1"/>
    <col min="15846" max="15846" width="17.42578125" style="216" customWidth="1"/>
    <col min="15847" max="15847" width="14.85546875" style="216" customWidth="1"/>
    <col min="15848" max="15848" width="15" style="216" customWidth="1"/>
    <col min="15849" max="15849" width="14.85546875" style="216" customWidth="1"/>
    <col min="15850" max="15850" width="7.140625" style="216" customWidth="1"/>
    <col min="15851" max="15852" width="20.140625" style="216" customWidth="1"/>
    <col min="15853" max="15853" width="18.42578125" style="216" customWidth="1"/>
    <col min="15854" max="15854" width="9.140625" style="216" customWidth="1"/>
    <col min="15855" max="15855" width="12" style="216" customWidth="1"/>
    <col min="15856" max="15856" width="14.85546875" style="216" customWidth="1"/>
    <col min="15857" max="15857" width="22.42578125" style="216" customWidth="1"/>
    <col min="15858" max="15858" width="14.85546875" style="216" customWidth="1"/>
    <col min="15859" max="15859" width="7.140625" style="216" customWidth="1"/>
    <col min="15860" max="15860" width="20.140625" style="216" customWidth="1"/>
    <col min="15861" max="16092" width="8.85546875" style="216" customWidth="1"/>
    <col min="16093" max="16093" width="8.140625" style="216" customWidth="1"/>
    <col min="16094" max="16094" width="14.5703125" style="216" customWidth="1"/>
    <col min="16095" max="16095" width="37.42578125" style="216" customWidth="1"/>
    <col min="16096" max="16096" width="63.140625" style="216" customWidth="1"/>
    <col min="16097" max="16097" width="20" style="216" customWidth="1"/>
    <col min="16098" max="16098" width="11.140625" style="216" customWidth="1"/>
    <col min="16099" max="16099" width="10.85546875" style="216" customWidth="1"/>
    <col min="16100" max="16100" width="21" style="216" customWidth="1"/>
    <col min="16101" max="16101" width="10.85546875" style="216" customWidth="1"/>
    <col min="16102" max="16102" width="17.42578125" style="216" customWidth="1"/>
    <col min="16103" max="16103" width="14.85546875" style="216" customWidth="1"/>
    <col min="16104" max="16104" width="15" style="216" customWidth="1"/>
    <col min="16105" max="16105" width="14.85546875" style="216" customWidth="1"/>
    <col min="16106" max="16106" width="7.140625" style="216" customWidth="1"/>
    <col min="16107" max="16108" width="20.140625" style="216" customWidth="1"/>
    <col min="16109" max="16109" width="18.42578125" style="216" customWidth="1"/>
    <col min="16110" max="16110" width="9.140625" style="216" customWidth="1"/>
    <col min="16111" max="16111" width="12" style="216" customWidth="1"/>
    <col min="16112" max="16112" width="14.85546875" style="216" customWidth="1"/>
    <col min="16113" max="16113" width="22.42578125" style="216" customWidth="1"/>
    <col min="16114" max="16114" width="14.85546875" style="216" customWidth="1"/>
    <col min="16115" max="16115" width="7.140625" style="216" customWidth="1"/>
    <col min="16116" max="16116" width="20.140625" style="216" customWidth="1"/>
    <col min="16117" max="16384" width="8.85546875" style="216" customWidth="1"/>
  </cols>
  <sheetData>
    <row r="1" spans="1:21" ht="14.1" customHeight="1">
      <c r="A1" s="215" t="s">
        <v>5627</v>
      </c>
      <c r="B1" s="216"/>
      <c r="C1" s="216"/>
      <c r="D1" s="216"/>
      <c r="F1" s="216"/>
      <c r="H1" s="216"/>
      <c r="J1" s="216"/>
      <c r="K1" s="216"/>
      <c r="L1" s="216"/>
      <c r="M1" s="216"/>
      <c r="N1" s="216"/>
      <c r="O1" s="216"/>
      <c r="P1" s="216"/>
      <c r="R1" s="218"/>
    </row>
    <row r="2" spans="1:21" s="219" customFormat="1" ht="14.1" customHeight="1">
      <c r="A2" s="219" t="s">
        <v>5628</v>
      </c>
      <c r="E2" s="220"/>
      <c r="R2" s="336"/>
      <c r="S2" s="216"/>
      <c r="T2" s="216"/>
      <c r="U2" s="216"/>
    </row>
    <row r="3" spans="1:21" s="226" customFormat="1" ht="14.1" customHeight="1">
      <c r="A3" s="221"/>
      <c r="B3" s="222"/>
      <c r="C3" s="222"/>
      <c r="D3" s="223"/>
      <c r="E3" s="222"/>
      <c r="F3" s="223"/>
      <c r="G3" s="224"/>
      <c r="H3" s="225"/>
      <c r="I3" s="224"/>
      <c r="J3" s="225"/>
      <c r="K3" s="225"/>
      <c r="L3" s="225"/>
      <c r="M3" s="225"/>
      <c r="N3" s="225"/>
      <c r="O3" s="225"/>
      <c r="P3" s="225"/>
      <c r="Q3" s="216"/>
      <c r="R3" s="361" t="s">
        <v>2</v>
      </c>
      <c r="S3" s="216"/>
      <c r="T3" s="216"/>
      <c r="U3" s="216"/>
    </row>
    <row r="4" spans="1:21" s="229" customFormat="1" ht="33" customHeight="1">
      <c r="A4" s="59" t="s">
        <v>3</v>
      </c>
      <c r="B4" s="227" t="s">
        <v>4</v>
      </c>
      <c r="C4" s="227" t="s">
        <v>5</v>
      </c>
      <c r="D4" s="59" t="s">
        <v>6</v>
      </c>
      <c r="E4" s="59" t="s">
        <v>7</v>
      </c>
      <c r="F4" s="59" t="s">
        <v>8</v>
      </c>
      <c r="G4" s="59" t="s">
        <v>9</v>
      </c>
      <c r="H4" s="59" t="s">
        <v>10</v>
      </c>
      <c r="I4" s="59" t="s">
        <v>11</v>
      </c>
      <c r="J4" s="59" t="s">
        <v>12</v>
      </c>
      <c r="K4" s="59" t="s">
        <v>13</v>
      </c>
      <c r="L4" s="59" t="s">
        <v>14</v>
      </c>
      <c r="M4" s="59" t="s">
        <v>15</v>
      </c>
      <c r="N4" s="59" t="s">
        <v>4753</v>
      </c>
      <c r="O4" s="59" t="s">
        <v>682</v>
      </c>
      <c r="P4" s="59" t="s">
        <v>18</v>
      </c>
      <c r="Q4" s="221"/>
      <c r="R4" s="228" t="s">
        <v>19</v>
      </c>
      <c r="S4" s="217"/>
      <c r="T4" s="42" t="s">
        <v>20</v>
      </c>
      <c r="U4" s="42" t="s">
        <v>21</v>
      </c>
    </row>
    <row r="5" spans="1:21" ht="14.1" customHeight="1">
      <c r="A5" s="60">
        <v>2</v>
      </c>
      <c r="B5" s="230" t="s">
        <v>124</v>
      </c>
      <c r="C5" s="230" t="s">
        <v>5629</v>
      </c>
      <c r="D5" s="60" t="s">
        <v>804</v>
      </c>
      <c r="E5" s="230" t="s">
        <v>436</v>
      </c>
      <c r="F5" s="60" t="s">
        <v>26</v>
      </c>
      <c r="G5" s="231" t="s">
        <v>5630</v>
      </c>
      <c r="H5" s="231" t="s">
        <v>1081</v>
      </c>
      <c r="I5" s="231" t="s">
        <v>5015</v>
      </c>
      <c r="J5" s="60" t="s">
        <v>30</v>
      </c>
      <c r="K5" s="60" t="s">
        <v>1083</v>
      </c>
      <c r="L5" s="60" t="s">
        <v>322</v>
      </c>
      <c r="M5" s="60">
        <v>83024200</v>
      </c>
      <c r="N5" s="297">
        <v>100</v>
      </c>
      <c r="O5" s="60"/>
      <c r="P5" s="60"/>
      <c r="R5" s="9">
        <v>76.07086946315691</v>
      </c>
      <c r="T5" s="7" t="s">
        <v>34</v>
      </c>
      <c r="U5" s="7" t="s">
        <v>34</v>
      </c>
    </row>
    <row r="6" spans="1:21" ht="14.1" customHeight="1">
      <c r="A6" s="60">
        <v>4</v>
      </c>
      <c r="B6" s="230" t="s">
        <v>124</v>
      </c>
      <c r="C6" s="230" t="s">
        <v>5629</v>
      </c>
      <c r="D6" s="60" t="s">
        <v>804</v>
      </c>
      <c r="E6" s="230" t="s">
        <v>436</v>
      </c>
      <c r="F6" s="60" t="s">
        <v>26</v>
      </c>
      <c r="G6" s="231" t="s">
        <v>5631</v>
      </c>
      <c r="H6" s="231" t="s">
        <v>1081</v>
      </c>
      <c r="I6" s="231" t="s">
        <v>5017</v>
      </c>
      <c r="J6" s="60" t="s">
        <v>30</v>
      </c>
      <c r="K6" s="60" t="s">
        <v>1083</v>
      </c>
      <c r="L6" s="60" t="s">
        <v>322</v>
      </c>
      <c r="M6" s="60">
        <v>83024200</v>
      </c>
      <c r="N6" s="297">
        <v>100</v>
      </c>
      <c r="O6" s="60"/>
      <c r="P6" s="60"/>
      <c r="R6" s="9">
        <v>76.07086946315691</v>
      </c>
      <c r="T6" s="7" t="s">
        <v>34</v>
      </c>
      <c r="U6" s="7" t="s">
        <v>34</v>
      </c>
    </row>
    <row r="7" spans="1:21" ht="14.1" customHeight="1">
      <c r="A7" s="60">
        <v>8</v>
      </c>
      <c r="B7" s="230" t="s">
        <v>124</v>
      </c>
      <c r="C7" s="230" t="s">
        <v>5629</v>
      </c>
      <c r="D7" s="60" t="s">
        <v>804</v>
      </c>
      <c r="E7" s="230" t="s">
        <v>436</v>
      </c>
      <c r="F7" s="60" t="s">
        <v>26</v>
      </c>
      <c r="G7" s="231" t="s">
        <v>5632</v>
      </c>
      <c r="H7" s="231" t="s">
        <v>1081</v>
      </c>
      <c r="I7" s="231" t="s">
        <v>5021</v>
      </c>
      <c r="J7" s="60" t="s">
        <v>30</v>
      </c>
      <c r="K7" s="60" t="s">
        <v>1083</v>
      </c>
      <c r="L7" s="60" t="s">
        <v>322</v>
      </c>
      <c r="M7" s="60">
        <v>83024200</v>
      </c>
      <c r="N7" s="297">
        <v>100</v>
      </c>
      <c r="O7" s="60"/>
      <c r="P7" s="60"/>
      <c r="R7" s="9">
        <v>76.07086946315691</v>
      </c>
      <c r="T7" s="7" t="s">
        <v>34</v>
      </c>
      <c r="U7" s="7" t="s">
        <v>34</v>
      </c>
    </row>
    <row r="8" spans="1:21" ht="14.1" customHeight="1">
      <c r="A8" s="60">
        <v>14</v>
      </c>
      <c r="B8" s="230" t="s">
        <v>124</v>
      </c>
      <c r="C8" s="230" t="s">
        <v>5629</v>
      </c>
      <c r="D8" s="60" t="s">
        <v>804</v>
      </c>
      <c r="E8" s="230" t="s">
        <v>436</v>
      </c>
      <c r="F8" s="60" t="s">
        <v>26</v>
      </c>
      <c r="G8" s="231" t="s">
        <v>5633</v>
      </c>
      <c r="H8" s="231" t="s">
        <v>1081</v>
      </c>
      <c r="I8" s="231" t="s">
        <v>5026</v>
      </c>
      <c r="J8" s="60" t="s">
        <v>30</v>
      </c>
      <c r="K8" s="60" t="s">
        <v>1083</v>
      </c>
      <c r="L8" s="60" t="s">
        <v>322</v>
      </c>
      <c r="M8" s="60">
        <v>83024200</v>
      </c>
      <c r="N8" s="297">
        <v>100</v>
      </c>
      <c r="O8" s="60"/>
      <c r="P8" s="60"/>
      <c r="R8" s="9">
        <v>129.60222204834119</v>
      </c>
      <c r="T8" s="7" t="s">
        <v>34</v>
      </c>
      <c r="U8" s="7" t="s">
        <v>34</v>
      </c>
    </row>
    <row r="9" spans="1:21" ht="14.1" customHeight="1">
      <c r="A9" s="60">
        <v>33</v>
      </c>
      <c r="B9" s="230" t="s">
        <v>124</v>
      </c>
      <c r="C9" s="230" t="s">
        <v>5629</v>
      </c>
      <c r="D9" s="60" t="s">
        <v>804</v>
      </c>
      <c r="E9" s="230" t="s">
        <v>5634</v>
      </c>
      <c r="F9" s="60" t="s">
        <v>26</v>
      </c>
      <c r="G9" s="19" t="s">
        <v>5635</v>
      </c>
      <c r="H9" s="29" t="s">
        <v>4019</v>
      </c>
      <c r="I9" s="19" t="s">
        <v>5636</v>
      </c>
      <c r="J9" s="60" t="s">
        <v>30</v>
      </c>
      <c r="K9" s="60" t="s">
        <v>1426</v>
      </c>
      <c r="L9" s="60" t="s">
        <v>322</v>
      </c>
      <c r="M9" s="60">
        <v>83026000</v>
      </c>
      <c r="N9" s="297">
        <v>100</v>
      </c>
      <c r="O9" s="60"/>
      <c r="P9" s="60"/>
      <c r="R9" s="9">
        <v>52.12263278031125</v>
      </c>
      <c r="T9" s="7" t="s">
        <v>34</v>
      </c>
      <c r="U9" s="7" t="s">
        <v>34</v>
      </c>
    </row>
    <row r="10" spans="1:21" ht="14.1" customHeight="1">
      <c r="A10" s="60">
        <v>34</v>
      </c>
      <c r="B10" s="231" t="s">
        <v>124</v>
      </c>
      <c r="C10" s="231" t="s">
        <v>5629</v>
      </c>
      <c r="D10" s="60" t="s">
        <v>804</v>
      </c>
      <c r="E10" s="230" t="s">
        <v>5634</v>
      </c>
      <c r="F10" s="60" t="s">
        <v>26</v>
      </c>
      <c r="G10" s="231" t="s">
        <v>5637</v>
      </c>
      <c r="H10" s="231" t="s">
        <v>1424</v>
      </c>
      <c r="I10" s="231" t="s">
        <v>5638</v>
      </c>
      <c r="J10" s="60" t="s">
        <v>30</v>
      </c>
      <c r="K10" s="60" t="s">
        <v>1426</v>
      </c>
      <c r="L10" s="60" t="s">
        <v>322</v>
      </c>
      <c r="M10" s="60">
        <v>83026000</v>
      </c>
      <c r="N10" s="297">
        <v>100</v>
      </c>
      <c r="O10" s="29"/>
      <c r="P10" s="29"/>
      <c r="Q10" s="22"/>
      <c r="R10" s="9">
        <v>411.34618302299629</v>
      </c>
      <c r="S10" s="22"/>
      <c r="T10" s="19"/>
      <c r="U10" s="7" t="s">
        <v>34</v>
      </c>
    </row>
    <row r="11" spans="1:21" ht="14.1" customHeight="1">
      <c r="A11" s="60">
        <v>35</v>
      </c>
      <c r="B11" s="19" t="s">
        <v>456</v>
      </c>
      <c r="C11" s="230" t="s">
        <v>5629</v>
      </c>
      <c r="D11" s="29" t="s">
        <v>804</v>
      </c>
      <c r="E11" s="19" t="s">
        <v>4213</v>
      </c>
      <c r="F11" s="29" t="s">
        <v>457</v>
      </c>
      <c r="G11" s="19" t="s">
        <v>5639</v>
      </c>
      <c r="H11" s="29" t="s">
        <v>4019</v>
      </c>
      <c r="I11" s="19" t="s">
        <v>5640</v>
      </c>
      <c r="J11" s="29" t="s">
        <v>30</v>
      </c>
      <c r="K11" s="29" t="s">
        <v>1426</v>
      </c>
      <c r="L11" s="29" t="s">
        <v>322</v>
      </c>
      <c r="M11" s="29">
        <v>83024600</v>
      </c>
      <c r="N11" s="297">
        <v>100</v>
      </c>
      <c r="O11" s="29"/>
      <c r="P11" s="29"/>
      <c r="Q11" s="22"/>
      <c r="R11" s="9">
        <v>81.705748682649897</v>
      </c>
      <c r="S11" s="22"/>
      <c r="T11" s="19"/>
      <c r="U11" s="7" t="s">
        <v>34</v>
      </c>
    </row>
    <row r="12" spans="1:21" ht="14.1" customHeight="1">
      <c r="A12" s="60">
        <v>36</v>
      </c>
      <c r="B12" s="19" t="s">
        <v>456</v>
      </c>
      <c r="C12" s="230" t="s">
        <v>5629</v>
      </c>
      <c r="D12" s="29" t="s">
        <v>804</v>
      </c>
      <c r="E12" s="19" t="s">
        <v>4213</v>
      </c>
      <c r="F12" s="29" t="s">
        <v>457</v>
      </c>
      <c r="G12" s="19" t="s">
        <v>5641</v>
      </c>
      <c r="H12" s="29" t="s">
        <v>5642</v>
      </c>
      <c r="I12" s="19" t="s">
        <v>5643</v>
      </c>
      <c r="J12" s="29" t="s">
        <v>30</v>
      </c>
      <c r="K12" s="29" t="s">
        <v>1426</v>
      </c>
      <c r="L12" s="29" t="s">
        <v>322</v>
      </c>
      <c r="M12" s="29">
        <v>83024100</v>
      </c>
      <c r="N12" s="297">
        <v>100</v>
      </c>
      <c r="O12" s="29"/>
      <c r="P12" s="29"/>
      <c r="Q12" s="22"/>
      <c r="R12" s="9">
        <v>92.975507121636213</v>
      </c>
      <c r="S12" s="22"/>
      <c r="T12" s="19"/>
      <c r="U12" s="7" t="s">
        <v>34</v>
      </c>
    </row>
    <row r="13" spans="1:21" ht="14.1" customHeight="1">
      <c r="A13" s="60">
        <v>37</v>
      </c>
      <c r="B13" s="19" t="s">
        <v>456</v>
      </c>
      <c r="C13" s="230" t="s">
        <v>5629</v>
      </c>
      <c r="D13" s="29" t="s">
        <v>2194</v>
      </c>
      <c r="E13" s="19" t="s">
        <v>2195</v>
      </c>
      <c r="F13" s="29" t="s">
        <v>457</v>
      </c>
      <c r="G13" s="19" t="s">
        <v>5644</v>
      </c>
      <c r="H13" s="29" t="s">
        <v>4019</v>
      </c>
      <c r="I13" s="19" t="s">
        <v>5645</v>
      </c>
      <c r="J13" s="29" t="s">
        <v>123</v>
      </c>
      <c r="K13" s="29" t="s">
        <v>1083</v>
      </c>
      <c r="L13" s="29" t="s">
        <v>322</v>
      </c>
      <c r="M13" s="29">
        <v>83024100</v>
      </c>
      <c r="N13" s="297">
        <v>100</v>
      </c>
      <c r="O13" s="29"/>
      <c r="P13" s="29"/>
      <c r="Q13" s="22"/>
      <c r="R13" s="9">
        <v>284.56140058440087</v>
      </c>
      <c r="S13" s="22"/>
      <c r="T13" s="19"/>
      <c r="U13" s="7" t="s">
        <v>34</v>
      </c>
    </row>
    <row r="14" spans="1:21" ht="14.1" customHeight="1">
      <c r="A14" s="60">
        <v>38</v>
      </c>
      <c r="B14" s="19" t="s">
        <v>456</v>
      </c>
      <c r="C14" s="230" t="s">
        <v>5629</v>
      </c>
      <c r="D14" s="29" t="s">
        <v>838</v>
      </c>
      <c r="E14" s="19" t="s">
        <v>4030</v>
      </c>
      <c r="F14" s="29" t="s">
        <v>457</v>
      </c>
      <c r="G14" s="19" t="s">
        <v>5646</v>
      </c>
      <c r="H14" s="29" t="s">
        <v>4019</v>
      </c>
      <c r="I14" s="19" t="s">
        <v>5647</v>
      </c>
      <c r="J14" s="29" t="s">
        <v>3611</v>
      </c>
      <c r="K14" s="29" t="s">
        <v>1426</v>
      </c>
      <c r="L14" s="29" t="s">
        <v>322</v>
      </c>
      <c r="M14" s="29">
        <v>83024100</v>
      </c>
      <c r="N14" s="297">
        <v>100</v>
      </c>
      <c r="O14" s="29"/>
      <c r="P14" s="29"/>
      <c r="Q14" s="22"/>
      <c r="R14" s="9">
        <v>152.14173892631359</v>
      </c>
      <c r="S14" s="22"/>
      <c r="T14" s="19"/>
      <c r="U14" s="7" t="s">
        <v>34</v>
      </c>
    </row>
    <row r="15" spans="1:21" ht="14.1" customHeight="1">
      <c r="A15" s="60">
        <v>39</v>
      </c>
      <c r="B15" s="19" t="s">
        <v>456</v>
      </c>
      <c r="C15" s="230" t="s">
        <v>5629</v>
      </c>
      <c r="D15" s="29" t="s">
        <v>838</v>
      </c>
      <c r="E15" s="19" t="s">
        <v>4030</v>
      </c>
      <c r="F15" s="29" t="s">
        <v>457</v>
      </c>
      <c r="G15" s="19" t="s">
        <v>5648</v>
      </c>
      <c r="H15" s="29" t="s">
        <v>4019</v>
      </c>
      <c r="I15" s="19" t="s">
        <v>5649</v>
      </c>
      <c r="J15" s="29" t="s">
        <v>3611</v>
      </c>
      <c r="K15" s="29" t="s">
        <v>1426</v>
      </c>
      <c r="L15" s="29" t="s">
        <v>322</v>
      </c>
      <c r="M15" s="29">
        <v>83024100</v>
      </c>
      <c r="N15" s="297">
        <v>100</v>
      </c>
      <c r="O15" s="29"/>
      <c r="P15" s="29"/>
      <c r="Q15" s="22"/>
      <c r="R15" s="9">
        <v>293.01371941364141</v>
      </c>
      <c r="S15" s="22"/>
      <c r="T15" s="19"/>
      <c r="U15" s="7" t="s">
        <v>34</v>
      </c>
    </row>
    <row r="16" spans="1:21" ht="14.1" customHeight="1">
      <c r="A16" s="60">
        <v>40</v>
      </c>
      <c r="B16" s="19" t="s">
        <v>456</v>
      </c>
      <c r="C16" s="230" t="s">
        <v>5629</v>
      </c>
      <c r="D16" s="29" t="s">
        <v>838</v>
      </c>
      <c r="E16" s="19" t="s">
        <v>4030</v>
      </c>
      <c r="F16" s="29" t="s">
        <v>457</v>
      </c>
      <c r="G16" s="19" t="s">
        <v>5650</v>
      </c>
      <c r="H16" s="29" t="s">
        <v>5642</v>
      </c>
      <c r="I16" s="19" t="s">
        <v>5651</v>
      </c>
      <c r="J16" s="29" t="s">
        <v>3611</v>
      </c>
      <c r="K16" s="29" t="s">
        <v>1426</v>
      </c>
      <c r="L16" s="29" t="s">
        <v>322</v>
      </c>
      <c r="M16" s="29">
        <v>83024100</v>
      </c>
      <c r="N16" s="297">
        <v>100</v>
      </c>
      <c r="O16" s="29"/>
      <c r="P16" s="29"/>
      <c r="Q16" s="22"/>
      <c r="R16" s="9">
        <v>321.18811551110622</v>
      </c>
      <c r="S16" s="22"/>
      <c r="T16" s="19"/>
      <c r="U16" s="7" t="s">
        <v>34</v>
      </c>
    </row>
    <row r="17" spans="1:21" ht="14.1" customHeight="1">
      <c r="A17" s="60">
        <v>41</v>
      </c>
      <c r="B17" s="19" t="s">
        <v>456</v>
      </c>
      <c r="C17" s="230" t="s">
        <v>5629</v>
      </c>
      <c r="D17" s="29" t="s">
        <v>804</v>
      </c>
      <c r="E17" s="19" t="s">
        <v>4213</v>
      </c>
      <c r="F17" s="29" t="s">
        <v>457</v>
      </c>
      <c r="G17" s="19" t="s">
        <v>5652</v>
      </c>
      <c r="H17" s="29" t="s">
        <v>5642</v>
      </c>
      <c r="I17" s="19" t="s">
        <v>5653</v>
      </c>
      <c r="J17" s="29" t="s">
        <v>30</v>
      </c>
      <c r="K17" s="29" t="s">
        <v>1083</v>
      </c>
      <c r="L17" s="29" t="s">
        <v>322</v>
      </c>
      <c r="M17" s="29">
        <v>83026000</v>
      </c>
      <c r="N17" s="297">
        <v>100</v>
      </c>
      <c r="O17" s="29"/>
      <c r="P17" s="29"/>
      <c r="Q17" s="22"/>
      <c r="R17" s="9">
        <v>73.253429853410253</v>
      </c>
      <c r="S17" s="22"/>
      <c r="T17" s="19"/>
      <c r="U17" s="7" t="s">
        <v>34</v>
      </c>
    </row>
    <row r="18" spans="1:21" ht="14.1" customHeight="1">
      <c r="A18" s="60">
        <v>42</v>
      </c>
      <c r="B18" s="19" t="s">
        <v>456</v>
      </c>
      <c r="C18" s="230" t="s">
        <v>5629</v>
      </c>
      <c r="D18" s="29" t="s">
        <v>804</v>
      </c>
      <c r="E18" s="19" t="s">
        <v>4213</v>
      </c>
      <c r="F18" s="29" t="s">
        <v>457</v>
      </c>
      <c r="G18" s="19" t="s">
        <v>5654</v>
      </c>
      <c r="H18" s="29" t="s">
        <v>4019</v>
      </c>
      <c r="I18" s="19" t="s">
        <v>5655</v>
      </c>
      <c r="J18" s="29" t="s">
        <v>30</v>
      </c>
      <c r="K18" s="29" t="s">
        <v>1083</v>
      </c>
      <c r="L18" s="29" t="s">
        <v>322</v>
      </c>
      <c r="M18" s="29">
        <v>83024100</v>
      </c>
      <c r="N18" s="297">
        <v>100</v>
      </c>
      <c r="O18" s="29"/>
      <c r="P18" s="29"/>
      <c r="Q18" s="22"/>
      <c r="R18" s="9">
        <v>75.507381541207565</v>
      </c>
      <c r="S18" s="22"/>
      <c r="T18" s="19"/>
      <c r="U18" s="7" t="s">
        <v>34</v>
      </c>
    </row>
    <row r="19" spans="1:21" ht="14.1" customHeight="1">
      <c r="A19" s="60">
        <v>43</v>
      </c>
      <c r="B19" s="19" t="s">
        <v>456</v>
      </c>
      <c r="C19" s="230" t="s">
        <v>5629</v>
      </c>
      <c r="D19" s="29" t="s">
        <v>804</v>
      </c>
      <c r="E19" s="19" t="s">
        <v>4213</v>
      </c>
      <c r="F19" s="29" t="s">
        <v>457</v>
      </c>
      <c r="G19" s="19" t="s">
        <v>5656</v>
      </c>
      <c r="H19" s="29" t="s">
        <v>5642</v>
      </c>
      <c r="I19" s="19" t="s">
        <v>5657</v>
      </c>
      <c r="J19" s="29" t="s">
        <v>30</v>
      </c>
      <c r="K19" s="29" t="s">
        <v>1426</v>
      </c>
      <c r="L19" s="29" t="s">
        <v>322</v>
      </c>
      <c r="M19" s="29">
        <v>83024100</v>
      </c>
      <c r="N19" s="297">
        <v>100</v>
      </c>
      <c r="O19" s="29"/>
      <c r="P19" s="29"/>
      <c r="Q19" s="22"/>
      <c r="R19" s="9">
        <v>71.844710048537024</v>
      </c>
      <c r="S19" s="22"/>
      <c r="T19" s="19"/>
      <c r="U19" s="7" t="s">
        <v>34</v>
      </c>
    </row>
    <row r="20" spans="1:21" ht="14.1" customHeight="1">
      <c r="A20" s="60">
        <v>44</v>
      </c>
      <c r="B20" s="19" t="s">
        <v>456</v>
      </c>
      <c r="C20" s="230" t="s">
        <v>5629</v>
      </c>
      <c r="D20" s="29" t="s">
        <v>804</v>
      </c>
      <c r="E20" s="19" t="s">
        <v>4213</v>
      </c>
      <c r="F20" s="29" t="s">
        <v>457</v>
      </c>
      <c r="G20" s="19" t="s">
        <v>5658</v>
      </c>
      <c r="H20" s="29" t="s">
        <v>4019</v>
      </c>
      <c r="I20" s="19" t="s">
        <v>5659</v>
      </c>
      <c r="J20" s="29" t="s">
        <v>30</v>
      </c>
      <c r="K20" s="29" t="s">
        <v>1083</v>
      </c>
      <c r="L20" s="29" t="s">
        <v>322</v>
      </c>
      <c r="M20" s="29">
        <v>83024100</v>
      </c>
      <c r="N20" s="297">
        <v>100</v>
      </c>
      <c r="O20" s="29"/>
      <c r="P20" s="29"/>
      <c r="Q20" s="22"/>
      <c r="R20" s="9">
        <v>75.507381541207565</v>
      </c>
      <c r="S20" s="22"/>
      <c r="T20" s="19"/>
      <c r="U20" s="7" t="s">
        <v>34</v>
      </c>
    </row>
    <row r="21" spans="1:21" ht="14.1" customHeight="1">
      <c r="A21" s="60">
        <v>45</v>
      </c>
      <c r="B21" s="19" t="s">
        <v>456</v>
      </c>
      <c r="C21" s="230" t="s">
        <v>5629</v>
      </c>
      <c r="D21" s="29" t="s">
        <v>804</v>
      </c>
      <c r="E21" s="19" t="s">
        <v>4213</v>
      </c>
      <c r="F21" s="29" t="s">
        <v>457</v>
      </c>
      <c r="G21" s="19" t="s">
        <v>5660</v>
      </c>
      <c r="H21" s="29" t="s">
        <v>42</v>
      </c>
      <c r="I21" s="19" t="s">
        <v>5661</v>
      </c>
      <c r="J21" s="29" t="s">
        <v>30</v>
      </c>
      <c r="K21" s="29" t="s">
        <v>1426</v>
      </c>
      <c r="L21" s="29" t="s">
        <v>322</v>
      </c>
      <c r="M21" s="29">
        <v>83024100</v>
      </c>
      <c r="N21" s="297">
        <v>100</v>
      </c>
      <c r="O21" s="29"/>
      <c r="P21" s="29"/>
      <c r="Q21" s="22"/>
      <c r="R21" s="9">
        <v>76.07086946315691</v>
      </c>
      <c r="S21" s="22"/>
      <c r="T21" s="19"/>
      <c r="U21" s="7" t="s">
        <v>34</v>
      </c>
    </row>
    <row r="22" spans="1:21" ht="14.1" customHeight="1">
      <c r="A22" s="60">
        <v>46</v>
      </c>
      <c r="B22" s="19" t="s">
        <v>456</v>
      </c>
      <c r="C22" s="230" t="s">
        <v>5629</v>
      </c>
      <c r="D22" s="29" t="s">
        <v>804</v>
      </c>
      <c r="E22" s="19" t="s">
        <v>4213</v>
      </c>
      <c r="F22" s="29" t="s">
        <v>457</v>
      </c>
      <c r="G22" s="19" t="s">
        <v>5662</v>
      </c>
      <c r="H22" s="29" t="s">
        <v>4019</v>
      </c>
      <c r="I22" s="19" t="s">
        <v>5663</v>
      </c>
      <c r="J22" s="29" t="s">
        <v>30</v>
      </c>
      <c r="K22" s="29" t="s">
        <v>1083</v>
      </c>
      <c r="L22" s="29" t="s">
        <v>322</v>
      </c>
      <c r="M22" s="29">
        <v>83024100</v>
      </c>
      <c r="N22" s="297">
        <v>100</v>
      </c>
      <c r="O22" s="29"/>
      <c r="P22" s="29"/>
      <c r="Q22" s="22"/>
      <c r="R22" s="9">
        <v>122.558623023975</v>
      </c>
      <c r="S22" s="22"/>
      <c r="T22" s="19"/>
      <c r="U22" s="7" t="s">
        <v>34</v>
      </c>
    </row>
    <row r="23" spans="1:21" ht="14.1" customHeight="1">
      <c r="A23" s="60">
        <v>47</v>
      </c>
      <c r="B23" s="19" t="s">
        <v>456</v>
      </c>
      <c r="C23" s="230" t="s">
        <v>5629</v>
      </c>
      <c r="D23" s="29" t="s">
        <v>804</v>
      </c>
      <c r="E23" s="19" t="s">
        <v>4213</v>
      </c>
      <c r="F23" s="29" t="s">
        <v>457</v>
      </c>
      <c r="G23" s="19" t="s">
        <v>5664</v>
      </c>
      <c r="H23" s="29" t="s">
        <v>42</v>
      </c>
      <c r="I23" s="19" t="s">
        <v>5665</v>
      </c>
      <c r="J23" s="29" t="s">
        <v>30</v>
      </c>
      <c r="K23" s="29" t="s">
        <v>1426</v>
      </c>
      <c r="L23" s="29" t="s">
        <v>322</v>
      </c>
      <c r="M23" s="29">
        <v>83024100</v>
      </c>
      <c r="N23" s="297">
        <v>100</v>
      </c>
      <c r="O23" s="29"/>
      <c r="P23" s="29"/>
      <c r="Q23" s="22"/>
      <c r="R23" s="9">
        <v>131.01094185321469</v>
      </c>
      <c r="S23" s="22"/>
      <c r="T23" s="19"/>
      <c r="U23" s="7" t="s">
        <v>34</v>
      </c>
    </row>
    <row r="24" spans="1:21" ht="14.1" customHeight="1">
      <c r="A24" s="60">
        <v>48</v>
      </c>
      <c r="B24" s="19" t="s">
        <v>456</v>
      </c>
      <c r="C24" s="230" t="s">
        <v>5629</v>
      </c>
      <c r="D24" s="29" t="s">
        <v>35</v>
      </c>
      <c r="E24" s="19" t="s">
        <v>4263</v>
      </c>
      <c r="F24" s="29" t="s">
        <v>457</v>
      </c>
      <c r="G24" s="19" t="s">
        <v>5666</v>
      </c>
      <c r="H24" s="29" t="s">
        <v>5642</v>
      </c>
      <c r="I24" s="19" t="s">
        <v>5667</v>
      </c>
      <c r="J24" s="29" t="s">
        <v>30</v>
      </c>
      <c r="K24" s="29" t="s">
        <v>1083</v>
      </c>
      <c r="L24" s="29" t="s">
        <v>322</v>
      </c>
      <c r="M24" s="29">
        <v>83024100</v>
      </c>
      <c r="N24" s="297">
        <v>100</v>
      </c>
      <c r="O24" s="29"/>
      <c r="P24" s="29"/>
      <c r="Q24" s="22"/>
      <c r="R24" s="9">
        <v>151.0147630824151</v>
      </c>
      <c r="S24" s="22"/>
      <c r="T24" s="19"/>
      <c r="U24" s="7" t="s">
        <v>34</v>
      </c>
    </row>
    <row r="25" spans="1:21" ht="14.1" customHeight="1">
      <c r="A25" s="60">
        <v>49</v>
      </c>
      <c r="B25" s="19" t="s">
        <v>456</v>
      </c>
      <c r="C25" s="230" t="s">
        <v>5629</v>
      </c>
      <c r="D25" s="29" t="s">
        <v>35</v>
      </c>
      <c r="E25" s="19" t="s">
        <v>4263</v>
      </c>
      <c r="F25" s="29" t="s">
        <v>457</v>
      </c>
      <c r="G25" s="19" t="s">
        <v>5668</v>
      </c>
      <c r="H25" s="29" t="s">
        <v>4019</v>
      </c>
      <c r="I25" s="19" t="s">
        <v>5669</v>
      </c>
      <c r="J25" s="29" t="s">
        <v>30</v>
      </c>
      <c r="K25" s="29" t="s">
        <v>1083</v>
      </c>
      <c r="L25" s="29" t="s">
        <v>322</v>
      </c>
      <c r="M25" s="29">
        <v>83024100</v>
      </c>
      <c r="N25" s="297">
        <v>100</v>
      </c>
      <c r="O25" s="29"/>
      <c r="P25" s="29"/>
      <c r="Q25" s="22"/>
      <c r="R25" s="9">
        <v>153.71145528031531</v>
      </c>
      <c r="S25" s="22"/>
      <c r="T25" s="19"/>
      <c r="U25" s="7" t="s">
        <v>34</v>
      </c>
    </row>
    <row r="26" spans="1:21" ht="14.1" customHeight="1">
      <c r="A26" s="60">
        <v>50</v>
      </c>
      <c r="B26" s="19" t="s">
        <v>456</v>
      </c>
      <c r="C26" s="230" t="s">
        <v>5629</v>
      </c>
      <c r="D26" s="29" t="s">
        <v>804</v>
      </c>
      <c r="E26" s="19" t="s">
        <v>4213</v>
      </c>
      <c r="F26" s="29" t="s">
        <v>457</v>
      </c>
      <c r="G26" s="19" t="s">
        <v>5670</v>
      </c>
      <c r="H26" s="29" t="s">
        <v>5642</v>
      </c>
      <c r="I26" s="19" t="s">
        <v>5671</v>
      </c>
      <c r="J26" s="29" t="s">
        <v>30</v>
      </c>
      <c r="K26" s="29" t="s">
        <v>1426</v>
      </c>
      <c r="L26" s="29" t="s">
        <v>322</v>
      </c>
      <c r="M26" s="29">
        <v>83024100</v>
      </c>
      <c r="N26" s="297">
        <v>100</v>
      </c>
      <c r="O26" s="29"/>
      <c r="P26" s="29"/>
      <c r="Q26" s="22"/>
      <c r="R26" s="9">
        <v>28.57728996165935</v>
      </c>
      <c r="S26" s="22"/>
      <c r="T26" s="19"/>
      <c r="U26" s="7" t="s">
        <v>34</v>
      </c>
    </row>
    <row r="27" spans="1:21" ht="14.1" customHeight="1">
      <c r="A27" s="60">
        <v>51</v>
      </c>
      <c r="B27" s="19" t="s">
        <v>456</v>
      </c>
      <c r="C27" s="230" t="s">
        <v>5629</v>
      </c>
      <c r="D27" s="29" t="s">
        <v>804</v>
      </c>
      <c r="E27" s="19" t="s">
        <v>4213</v>
      </c>
      <c r="F27" s="29" t="s">
        <v>457</v>
      </c>
      <c r="G27" s="19" t="s">
        <v>5635</v>
      </c>
      <c r="H27" s="231" t="s">
        <v>1424</v>
      </c>
      <c r="I27" s="19" t="s">
        <v>5063</v>
      </c>
      <c r="J27" s="29" t="s">
        <v>30</v>
      </c>
      <c r="K27" s="29" t="s">
        <v>1083</v>
      </c>
      <c r="L27" s="29" t="s">
        <v>322</v>
      </c>
      <c r="M27" s="29">
        <v>83024100</v>
      </c>
      <c r="N27" s="297">
        <v>100</v>
      </c>
      <c r="O27" s="29"/>
      <c r="P27" s="29"/>
      <c r="Q27" s="22"/>
      <c r="R27" s="9">
        <v>53.531352585184493</v>
      </c>
      <c r="S27" s="22"/>
      <c r="T27" s="19"/>
      <c r="U27" s="7" t="s">
        <v>34</v>
      </c>
    </row>
    <row r="28" spans="1:21" ht="14.1" customHeight="1">
      <c r="A28" s="60">
        <v>52</v>
      </c>
      <c r="B28" s="19" t="s">
        <v>609</v>
      </c>
      <c r="C28" s="230" t="s">
        <v>5629</v>
      </c>
      <c r="D28" s="29" t="s">
        <v>804</v>
      </c>
      <c r="E28" s="19" t="s">
        <v>4213</v>
      </c>
      <c r="F28" s="29" t="s">
        <v>26</v>
      </c>
      <c r="G28" s="19" t="s">
        <v>5672</v>
      </c>
      <c r="H28" s="231" t="s">
        <v>1424</v>
      </c>
      <c r="I28" s="19" t="s">
        <v>5015</v>
      </c>
      <c r="J28" s="29" t="s">
        <v>30</v>
      </c>
      <c r="K28" s="29" t="s">
        <v>1426</v>
      </c>
      <c r="L28" s="29" t="s">
        <v>322</v>
      </c>
      <c r="M28" s="29">
        <v>83024100</v>
      </c>
      <c r="N28" s="297">
        <v>100</v>
      </c>
      <c r="O28" s="29"/>
      <c r="P28" s="29"/>
      <c r="Q28" s="22"/>
      <c r="R28" s="9">
        <v>73.253429853410253</v>
      </c>
      <c r="S28" s="22"/>
      <c r="T28" s="19"/>
      <c r="U28" s="7" t="s">
        <v>34</v>
      </c>
    </row>
    <row r="29" spans="1:21" ht="14.1" customHeight="1">
      <c r="A29" s="60">
        <v>53</v>
      </c>
      <c r="B29" s="19" t="s">
        <v>609</v>
      </c>
      <c r="C29" s="230" t="s">
        <v>5629</v>
      </c>
      <c r="D29" s="29" t="s">
        <v>804</v>
      </c>
      <c r="E29" s="19" t="s">
        <v>4213</v>
      </c>
      <c r="F29" s="29" t="s">
        <v>26</v>
      </c>
      <c r="G29" s="19" t="s">
        <v>5673</v>
      </c>
      <c r="H29" s="29" t="s">
        <v>4019</v>
      </c>
      <c r="I29" s="19" t="s">
        <v>5674</v>
      </c>
      <c r="J29" s="29" t="s">
        <v>30</v>
      </c>
      <c r="K29" s="29" t="s">
        <v>1426</v>
      </c>
      <c r="L29" s="29" t="s">
        <v>322</v>
      </c>
      <c r="M29" s="29">
        <v>83024100</v>
      </c>
      <c r="N29" s="297">
        <v>100</v>
      </c>
      <c r="O29" s="29"/>
      <c r="P29" s="29"/>
      <c r="Q29" s="22"/>
      <c r="R29" s="9">
        <v>81.705748682649897</v>
      </c>
      <c r="S29" s="22"/>
      <c r="T29" s="19"/>
      <c r="U29" s="7" t="s">
        <v>34</v>
      </c>
    </row>
    <row r="30" spans="1:21" ht="14.1" customHeight="1">
      <c r="A30" s="60">
        <v>54</v>
      </c>
      <c r="B30" s="19" t="s">
        <v>609</v>
      </c>
      <c r="C30" s="230" t="s">
        <v>5629</v>
      </c>
      <c r="D30" s="29" t="s">
        <v>35</v>
      </c>
      <c r="E30" s="19" t="s">
        <v>4263</v>
      </c>
      <c r="F30" s="29" t="s">
        <v>26</v>
      </c>
      <c r="G30" s="19" t="s">
        <v>5675</v>
      </c>
      <c r="H30" s="29" t="s">
        <v>4019</v>
      </c>
      <c r="I30" s="19" t="s">
        <v>5043</v>
      </c>
      <c r="J30" s="29" t="s">
        <v>30</v>
      </c>
      <c r="K30" s="29" t="s">
        <v>1426</v>
      </c>
      <c r="L30" s="29" t="s">
        <v>322</v>
      </c>
      <c r="M30" s="29">
        <v>83026000</v>
      </c>
      <c r="N30" s="297">
        <v>100</v>
      </c>
      <c r="O30" s="29"/>
      <c r="P30" s="29"/>
      <c r="Q30" s="22"/>
      <c r="R30" s="9">
        <v>160.59405775555331</v>
      </c>
      <c r="S30" s="22"/>
      <c r="T30" s="19"/>
      <c r="U30" s="7" t="s">
        <v>34</v>
      </c>
    </row>
    <row r="31" spans="1:21" ht="14.1" customHeight="1">
      <c r="A31" s="60">
        <v>55</v>
      </c>
      <c r="B31" s="19" t="s">
        <v>609</v>
      </c>
      <c r="C31" s="230" t="s">
        <v>5629</v>
      </c>
      <c r="D31" s="29" t="s">
        <v>804</v>
      </c>
      <c r="E31" s="19" t="s">
        <v>4213</v>
      </c>
      <c r="F31" s="29" t="s">
        <v>26</v>
      </c>
      <c r="G31" s="19" t="s">
        <v>5676</v>
      </c>
      <c r="H31" s="29" t="s">
        <v>4019</v>
      </c>
      <c r="I31" s="19" t="s">
        <v>5061</v>
      </c>
      <c r="J31" s="29" t="s">
        <v>30</v>
      </c>
      <c r="K31" s="29" t="s">
        <v>1426</v>
      </c>
      <c r="L31" s="29" t="s">
        <v>322</v>
      </c>
      <c r="M31" s="29">
        <v>83024100</v>
      </c>
      <c r="N31" s="297">
        <v>100</v>
      </c>
      <c r="O31" s="29"/>
      <c r="P31" s="29"/>
      <c r="Q31" s="22"/>
      <c r="R31" s="9">
        <v>28.57728996165935</v>
      </c>
      <c r="S31" s="22"/>
      <c r="T31" s="19"/>
      <c r="U31" s="7" t="s">
        <v>34</v>
      </c>
    </row>
    <row r="32" spans="1:21" ht="14.1" customHeight="1">
      <c r="A32" s="60">
        <v>56</v>
      </c>
      <c r="B32" s="19" t="s">
        <v>609</v>
      </c>
      <c r="C32" s="230" t="s">
        <v>5629</v>
      </c>
      <c r="D32" s="29" t="s">
        <v>804</v>
      </c>
      <c r="E32" s="19" t="s">
        <v>4213</v>
      </c>
      <c r="F32" s="29" t="s">
        <v>26</v>
      </c>
      <c r="G32" s="19" t="s">
        <v>5677</v>
      </c>
      <c r="H32" s="29" t="s">
        <v>4019</v>
      </c>
      <c r="I32" s="19" t="s">
        <v>5017</v>
      </c>
      <c r="J32" s="29" t="s">
        <v>30</v>
      </c>
      <c r="K32" s="29" t="s">
        <v>1426</v>
      </c>
      <c r="L32" s="29" t="s">
        <v>322</v>
      </c>
      <c r="M32" s="29">
        <v>83024100</v>
      </c>
      <c r="N32" s="297">
        <v>100</v>
      </c>
      <c r="O32" s="29"/>
      <c r="P32" s="29"/>
      <c r="Q32" s="22"/>
      <c r="R32" s="9">
        <v>73.253429853410253</v>
      </c>
      <c r="S32" s="22"/>
      <c r="T32" s="19"/>
      <c r="U32" s="7" t="s">
        <v>34</v>
      </c>
    </row>
    <row r="33" spans="1:21" ht="14.1" customHeight="1">
      <c r="A33" s="216"/>
      <c r="B33" s="22"/>
      <c r="D33" s="43"/>
      <c r="E33" s="22"/>
      <c r="F33" s="43"/>
      <c r="G33" s="22"/>
      <c r="H33" s="43" t="s">
        <v>42</v>
      </c>
      <c r="I33" s="22"/>
      <c r="J33" s="43"/>
      <c r="K33" s="43"/>
      <c r="L33" s="43"/>
      <c r="M33" s="43"/>
      <c r="N33" s="43"/>
      <c r="O33" s="43"/>
      <c r="P33" s="43"/>
      <c r="Q33" s="22"/>
      <c r="R33" s="68"/>
      <c r="S33" s="22"/>
      <c r="T33" s="22"/>
      <c r="U33" s="3"/>
    </row>
    <row r="34" spans="1:21" ht="14.1" customHeight="1">
      <c r="A34" s="216" t="s">
        <v>5678</v>
      </c>
      <c r="C34" s="216"/>
      <c r="D34" s="216"/>
      <c r="F34" s="216"/>
      <c r="H34" s="216" t="s">
        <v>42</v>
      </c>
      <c r="J34" s="216"/>
      <c r="K34" s="216"/>
      <c r="L34" s="216"/>
      <c r="M34" s="216"/>
      <c r="N34" s="216"/>
      <c r="O34" s="216"/>
      <c r="P34" s="216"/>
      <c r="R34" s="218"/>
    </row>
    <row r="35" spans="1:21" ht="14.1" customHeight="1">
      <c r="A35" s="216" t="s">
        <v>5679</v>
      </c>
      <c r="H35" t="s">
        <v>42</v>
      </c>
    </row>
    <row r="36" spans="1:21" ht="14.1" customHeight="1">
      <c r="A36" s="216" t="s">
        <v>5680</v>
      </c>
      <c r="H36" t="s">
        <v>42</v>
      </c>
    </row>
    <row r="37" spans="1:21" ht="14.1" customHeight="1"/>
    <row r="38" spans="1:21" s="232" customFormat="1" ht="14.1" customHeight="1"/>
    <row r="39" spans="1:21" s="232" customFormat="1" ht="14.1" customHeight="1"/>
    <row r="40" spans="1:21" s="232" customFormat="1" ht="14.1" customHeight="1"/>
    <row r="41" spans="1:21" s="232" customFormat="1" ht="14.1" customHeight="1"/>
    <row r="42" spans="1:21" s="232" customFormat="1" ht="14.1" customHeight="1"/>
    <row r="43" spans="1:21" s="232" customFormat="1" ht="14.1" customHeight="1"/>
    <row r="44" spans="1:21" s="232" customFormat="1" ht="14.1" customHeight="1"/>
    <row r="45" spans="1:21" s="232" customFormat="1" ht="14.1" customHeight="1"/>
    <row r="46" spans="1:21" s="232" customFormat="1" ht="14.1" customHeight="1"/>
    <row r="47" spans="1:21" s="232" customFormat="1" ht="14.1" customHeight="1"/>
    <row r="48" spans="1:21" s="232" customFormat="1" ht="14.1" customHeight="1"/>
    <row r="49" s="232" customFormat="1" ht="14.1" customHeight="1"/>
    <row r="50" s="232" customFormat="1" ht="14.1" customHeight="1"/>
    <row r="51" s="232" customFormat="1" ht="14.1" customHeight="1"/>
    <row r="52" s="232" customFormat="1" ht="14.1" customHeight="1"/>
    <row r="53" s="232" customFormat="1" ht="14.1" customHeight="1"/>
    <row r="54" s="232" customFormat="1" ht="14.1" customHeight="1"/>
    <row r="55" s="232" customFormat="1" ht="14.1" customHeight="1"/>
    <row r="56" s="232" customFormat="1" ht="14.1" customHeight="1"/>
    <row r="57" s="232" customFormat="1" ht="14.1" customHeight="1"/>
    <row r="58" s="232" customFormat="1" ht="14.1" customHeight="1"/>
    <row r="59" s="232" customFormat="1" ht="14.1" customHeight="1"/>
    <row r="60" s="232" customFormat="1" ht="14.1" customHeight="1"/>
    <row r="61" ht="14.1" customHeight="1"/>
    <row r="62" s="232" customFormat="1" ht="14.1" customHeight="1"/>
    <row r="63" ht="14.1" customHeight="1"/>
    <row r="64" ht="14.1" customHeight="1"/>
    <row r="65" ht="14.1" customHeight="1"/>
    <row r="66" ht="14.1" customHeight="1"/>
    <row r="67" ht="14.1" customHeight="1"/>
    <row r="68" ht="14.1" customHeight="1"/>
    <row r="69" ht="14.1" customHeight="1"/>
    <row r="70" ht="14.1" customHeight="1"/>
    <row r="71" ht="14.1" customHeight="1"/>
    <row r="72" ht="14.1" customHeight="1"/>
    <row r="73" ht="14.1" customHeight="1"/>
    <row r="74" ht="14.1" customHeight="1"/>
    <row r="75" ht="14.1" customHeight="1"/>
    <row r="76" ht="14.1" customHeight="1"/>
    <row r="77" ht="14.1" customHeight="1"/>
    <row r="78" ht="14.1" customHeight="1"/>
    <row r="79" ht="14.1" customHeight="1"/>
    <row r="80" ht="14.1" customHeight="1"/>
    <row r="81" ht="14.1" customHeight="1"/>
    <row r="82" ht="14.1" customHeight="1"/>
    <row r="83" ht="14.1" customHeight="1"/>
    <row r="84" ht="14.1" customHeight="1"/>
    <row r="85" ht="14.1" customHeight="1"/>
    <row r="86" ht="14.1" customHeight="1"/>
    <row r="87" ht="14.1" customHeight="1"/>
    <row r="88" ht="14.1" customHeight="1"/>
    <row r="89" ht="14.1" customHeight="1"/>
    <row r="90" ht="14.1" customHeight="1"/>
    <row r="91" ht="14.1" customHeight="1"/>
    <row r="92" ht="14.1" customHeight="1"/>
    <row r="93" ht="14.1" customHeight="1"/>
    <row r="94" ht="14.1" customHeight="1"/>
    <row r="95" ht="14.1" customHeight="1"/>
    <row r="96" ht="14.1" customHeight="1"/>
    <row r="97" ht="14.1" customHeight="1"/>
    <row r="98" ht="14.1" customHeight="1"/>
    <row r="99" ht="14.1" customHeight="1"/>
    <row r="100" ht="14.1" customHeight="1"/>
    <row r="101" ht="14.1" customHeight="1"/>
    <row r="102" ht="14.1" customHeight="1"/>
    <row r="103" ht="14.1" customHeight="1"/>
    <row r="104" ht="14.1" customHeight="1"/>
    <row r="105" ht="14.1" customHeight="1"/>
    <row r="106" ht="14.1" customHeight="1"/>
    <row r="107" ht="14.1" customHeight="1"/>
    <row r="108" ht="14.1" customHeight="1"/>
    <row r="109" ht="14.1" customHeight="1"/>
    <row r="110" ht="14.1" customHeight="1"/>
    <row r="111" ht="14.1" customHeight="1"/>
    <row r="112" ht="14.1" customHeight="1"/>
    <row r="113" ht="14.1" customHeight="1"/>
    <row r="114" ht="14.1" customHeight="1"/>
    <row r="115" ht="14.1" customHeight="1"/>
    <row r="116" ht="14.1" customHeight="1"/>
    <row r="117" ht="14.1" customHeight="1"/>
    <row r="118" ht="14.1" customHeight="1"/>
    <row r="119" ht="14.1" customHeight="1"/>
    <row r="120" ht="14.1" customHeight="1"/>
    <row r="121" ht="14.1" customHeight="1"/>
    <row r="122" ht="14.1" customHeight="1"/>
    <row r="123" ht="14.1" customHeight="1"/>
    <row r="124" ht="14.1" customHeight="1"/>
    <row r="125" ht="14.1" customHeight="1"/>
    <row r="126" ht="14.1" customHeight="1"/>
    <row r="127" ht="14.1" customHeight="1"/>
    <row r="128" ht="14.1" customHeight="1"/>
    <row r="129" ht="14.1" customHeight="1"/>
    <row r="130" ht="14.1" customHeight="1"/>
    <row r="131" ht="14.1" customHeight="1"/>
    <row r="132" ht="14.1" customHeight="1"/>
    <row r="133" ht="14.1" customHeight="1"/>
    <row r="134" ht="14.1" customHeight="1"/>
    <row r="135" ht="14.1" customHeight="1"/>
    <row r="136" ht="14.1" customHeight="1"/>
    <row r="137" ht="14.1" customHeight="1"/>
    <row r="138" ht="14.1" customHeight="1"/>
    <row r="139" ht="14.1" customHeight="1"/>
    <row r="140" ht="14.1" customHeight="1"/>
    <row r="141" ht="14.1" customHeight="1"/>
    <row r="142" ht="14.1" customHeight="1"/>
    <row r="143" ht="14.1" customHeight="1"/>
    <row r="144" ht="14.1" customHeight="1"/>
    <row r="145" ht="14.1" customHeight="1"/>
    <row r="146" ht="14.1" customHeight="1"/>
    <row r="147" ht="14.1" customHeight="1"/>
    <row r="148" ht="14.1" customHeight="1"/>
    <row r="149" ht="14.1" customHeight="1"/>
    <row r="150" ht="14.1" customHeight="1"/>
    <row r="151" ht="14.1" customHeight="1"/>
    <row r="152" ht="14.1" customHeight="1"/>
    <row r="153" ht="14.1" customHeight="1"/>
    <row r="154" ht="14.1" customHeight="1"/>
    <row r="155" ht="14.1" customHeight="1"/>
    <row r="156" ht="14.1" customHeight="1"/>
    <row r="157" ht="14.1" customHeight="1"/>
    <row r="158" ht="14.1" customHeight="1"/>
    <row r="159" ht="14.1" customHeight="1"/>
    <row r="160" ht="14.1" customHeight="1"/>
    <row r="161" ht="14.1" customHeight="1"/>
    <row r="162" ht="14.1" customHeight="1"/>
    <row r="163" ht="14.1" customHeight="1"/>
    <row r="164" ht="14.1" customHeight="1"/>
    <row r="165" ht="14.1" customHeight="1"/>
    <row r="166" ht="14.1" customHeight="1"/>
    <row r="167" ht="14.1" customHeight="1"/>
    <row r="168" ht="14.1" customHeight="1"/>
    <row r="169" ht="14.1" customHeight="1"/>
    <row r="170" ht="14.1" customHeight="1"/>
    <row r="171" ht="14.1" customHeight="1"/>
    <row r="172" ht="14.1" customHeight="1"/>
    <row r="173" ht="14.1" customHeight="1"/>
    <row r="174" ht="14.1" customHeight="1"/>
    <row r="175" ht="14.1" customHeight="1"/>
    <row r="176" ht="14.1" customHeight="1"/>
    <row r="177" ht="14.1" customHeight="1"/>
    <row r="178" ht="14.1" customHeight="1"/>
    <row r="179" ht="14.1" customHeight="1"/>
    <row r="180" ht="14.1" customHeight="1"/>
    <row r="181" ht="14.1" customHeight="1"/>
    <row r="182" ht="14.1" customHeight="1"/>
    <row r="183" ht="14.1" customHeight="1"/>
    <row r="184" ht="14.1" customHeight="1"/>
    <row r="185" ht="14.1" customHeight="1"/>
    <row r="186" ht="14.1" customHeight="1"/>
    <row r="187" ht="14.1" customHeight="1"/>
    <row r="188" ht="14.1" customHeight="1"/>
    <row r="189" ht="14.1" customHeight="1"/>
    <row r="190" ht="14.1" customHeight="1"/>
    <row r="191" ht="14.1" customHeight="1"/>
    <row r="192" ht="14.1" customHeight="1"/>
    <row r="193" ht="14.1" customHeight="1"/>
    <row r="194" ht="14.1" customHeight="1"/>
    <row r="195" ht="14.1" customHeight="1"/>
    <row r="196" ht="14.1" customHeight="1"/>
    <row r="197" ht="14.1" customHeight="1"/>
    <row r="198" ht="14.1" customHeight="1"/>
    <row r="199" ht="14.1" customHeight="1"/>
    <row r="200" ht="14.1" customHeight="1"/>
    <row r="201" ht="14.1" customHeight="1"/>
    <row r="202" ht="14.1" customHeight="1"/>
    <row r="203" ht="14.1" customHeight="1"/>
    <row r="204" ht="14.1" customHeight="1"/>
    <row r="205" ht="14.1" customHeight="1"/>
    <row r="206" ht="14.1" customHeight="1"/>
    <row r="207" ht="14.1" customHeight="1"/>
    <row r="208" ht="14.1" customHeight="1"/>
    <row r="209" ht="14.1" customHeight="1"/>
    <row r="210" ht="14.1" customHeight="1"/>
    <row r="211" ht="14.1" customHeight="1"/>
    <row r="212" ht="14.1" customHeight="1"/>
    <row r="213" ht="14.1" customHeight="1"/>
    <row r="214" ht="14.1" customHeight="1"/>
    <row r="215" ht="14.1" customHeight="1"/>
    <row r="216" ht="14.1" customHeight="1"/>
    <row r="217" ht="14.1" customHeight="1"/>
    <row r="218" ht="14.1" customHeight="1"/>
    <row r="219" ht="14.1" customHeight="1"/>
    <row r="220" ht="14.1" customHeight="1"/>
    <row r="221" ht="14.1" customHeight="1"/>
    <row r="222" ht="14.1" customHeight="1"/>
    <row r="223" ht="14.1" customHeight="1"/>
    <row r="224" ht="14.1" customHeight="1"/>
    <row r="225" ht="14.1" customHeight="1"/>
    <row r="226" ht="14.1" customHeight="1"/>
    <row r="227" ht="14.1" customHeight="1"/>
    <row r="228" ht="14.1" customHeight="1"/>
    <row r="229" ht="14.1" customHeight="1"/>
    <row r="230" ht="14.1" customHeight="1"/>
    <row r="231" ht="14.1" customHeight="1"/>
    <row r="232" ht="14.1" customHeight="1"/>
    <row r="233" ht="14.1" customHeight="1"/>
    <row r="234" ht="14.1" customHeight="1"/>
    <row r="235" ht="14.1" customHeight="1"/>
    <row r="236" ht="14.1" customHeight="1"/>
    <row r="237" ht="14.1" customHeight="1"/>
    <row r="238" ht="14.1" customHeight="1"/>
    <row r="239" ht="14.1" customHeight="1"/>
    <row r="240" ht="14.1" customHeight="1"/>
    <row r="241" ht="14.1" customHeight="1"/>
    <row r="242" ht="14.1" customHeight="1"/>
    <row r="243" ht="14.1" customHeight="1"/>
    <row r="244" ht="14.1" customHeight="1"/>
    <row r="245" ht="14.1" customHeight="1"/>
    <row r="246" ht="14.1" customHeight="1"/>
    <row r="247" ht="14.1" customHeight="1"/>
    <row r="248" ht="14.1" customHeight="1"/>
    <row r="249" ht="14.1" customHeight="1"/>
    <row r="250" ht="14.1" customHeight="1"/>
    <row r="251" ht="14.1" customHeight="1"/>
    <row r="252" ht="14.1" customHeight="1"/>
    <row r="253" ht="14.1" customHeight="1"/>
    <row r="254" ht="14.1" customHeight="1"/>
    <row r="255" ht="14.1" customHeight="1"/>
    <row r="256" ht="14.1" customHeight="1"/>
    <row r="257" ht="14.1" customHeight="1"/>
    <row r="258" ht="14.1" customHeight="1"/>
    <row r="259" ht="14.1" customHeight="1"/>
    <row r="260" ht="14.1" customHeight="1"/>
    <row r="261" ht="14.1" customHeight="1"/>
    <row r="262" ht="14.1" customHeight="1"/>
    <row r="263" ht="14.1" customHeight="1"/>
    <row r="264" ht="14.1" customHeight="1"/>
    <row r="265" ht="14.1" customHeight="1"/>
    <row r="266" ht="14.1" customHeight="1"/>
    <row r="267" ht="14.1" customHeight="1"/>
    <row r="268" ht="14.1" customHeight="1"/>
    <row r="269" ht="14.1" customHeight="1"/>
    <row r="270" ht="14.1" customHeight="1"/>
    <row r="271" ht="14.1" customHeight="1"/>
    <row r="272" ht="14.1" customHeight="1"/>
    <row r="273" ht="14.1" customHeight="1"/>
    <row r="274" ht="14.1" customHeight="1"/>
    <row r="275" ht="14.1" customHeight="1"/>
    <row r="276" ht="14.1" customHeight="1"/>
    <row r="277" ht="14.1" customHeight="1"/>
    <row r="278" ht="14.1" customHeight="1"/>
    <row r="279" ht="14.1" customHeight="1"/>
    <row r="280" ht="14.1" customHeight="1"/>
    <row r="281" ht="14.1" customHeight="1"/>
    <row r="282" ht="14.1" customHeight="1"/>
    <row r="283" ht="14.1" customHeight="1"/>
    <row r="284" ht="14.1" customHeight="1"/>
    <row r="285" ht="14.1" customHeight="1"/>
    <row r="286" ht="14.1" customHeight="1"/>
    <row r="287" ht="14.1" customHeight="1"/>
    <row r="288" ht="14.1" customHeight="1"/>
    <row r="289" ht="14.1" customHeight="1"/>
    <row r="290" ht="14.1" customHeight="1"/>
    <row r="291" ht="14.1" customHeight="1"/>
    <row r="292" ht="14.1" customHeight="1"/>
    <row r="293" ht="14.1" customHeight="1"/>
    <row r="294" ht="14.1" customHeight="1"/>
    <row r="295" ht="14.1" customHeight="1"/>
    <row r="296" ht="14.1" customHeight="1"/>
    <row r="297" ht="14.1" customHeight="1"/>
    <row r="298" ht="14.1" customHeight="1"/>
    <row r="299" ht="14.1" customHeight="1"/>
    <row r="300" ht="14.1" customHeight="1"/>
    <row r="301" ht="14.1" customHeight="1"/>
    <row r="302" ht="14.1" customHeight="1"/>
    <row r="303" ht="14.1" customHeight="1"/>
    <row r="304" ht="14.1" customHeight="1"/>
    <row r="305" ht="14.1" customHeight="1"/>
    <row r="306" ht="14.1" customHeight="1"/>
    <row r="307" ht="14.1" customHeight="1"/>
    <row r="308" ht="14.1" customHeight="1"/>
    <row r="309" ht="14.1" customHeight="1"/>
    <row r="310" ht="14.1" customHeight="1"/>
    <row r="311" ht="14.1" customHeight="1"/>
    <row r="312" ht="14.1" customHeight="1"/>
    <row r="313" ht="14.1" customHeight="1"/>
    <row r="314" ht="14.1" customHeight="1"/>
    <row r="315" ht="14.1" customHeight="1"/>
    <row r="316" ht="14.1" customHeight="1"/>
    <row r="317" ht="14.1" customHeight="1"/>
    <row r="318" ht="14.1" customHeight="1"/>
    <row r="319" ht="14.1" customHeight="1"/>
    <row r="320" ht="14.1" customHeight="1"/>
    <row r="321" ht="14.1" customHeight="1"/>
    <row r="322" ht="14.1" customHeight="1"/>
    <row r="323" ht="14.1" customHeight="1"/>
    <row r="324" ht="14.1" customHeight="1"/>
    <row r="325" ht="14.1" customHeight="1"/>
    <row r="326" ht="14.1" customHeight="1"/>
    <row r="327" ht="14.1" customHeight="1"/>
    <row r="328" ht="14.1" customHeight="1"/>
    <row r="329" ht="14.1" customHeight="1"/>
    <row r="330" ht="14.1" customHeight="1"/>
    <row r="331" ht="14.1" customHeight="1"/>
    <row r="332" ht="14.1" customHeight="1"/>
    <row r="333" ht="14.1" customHeight="1"/>
    <row r="334" ht="14.1" customHeight="1"/>
    <row r="335" ht="14.1" customHeight="1"/>
    <row r="336" ht="14.1" customHeight="1"/>
    <row r="337" ht="14.1" customHeight="1"/>
    <row r="338" ht="14.1" customHeight="1"/>
    <row r="339" ht="14.1" customHeight="1"/>
    <row r="340" ht="14.1" customHeight="1"/>
    <row r="341" ht="14.1" customHeight="1"/>
    <row r="342" ht="14.1" customHeight="1"/>
    <row r="343" ht="14.1" customHeight="1"/>
    <row r="344" ht="14.1" customHeight="1"/>
    <row r="345" ht="14.1" customHeight="1"/>
    <row r="346" ht="14.1" customHeight="1"/>
    <row r="347" ht="14.1" customHeight="1"/>
    <row r="348" ht="14.1" customHeight="1"/>
    <row r="349" ht="14.1" customHeight="1"/>
    <row r="350" ht="14.1" customHeight="1"/>
    <row r="351" ht="14.1" customHeight="1"/>
    <row r="352" ht="14.1" customHeight="1"/>
    <row r="353" ht="14.1" customHeight="1"/>
    <row r="354" ht="14.1" customHeight="1"/>
    <row r="355" ht="14.1" customHeight="1"/>
    <row r="356" ht="14.1" customHeight="1"/>
    <row r="357" ht="14.1" customHeight="1"/>
    <row r="358" ht="14.1" customHeight="1"/>
    <row r="359" ht="14.1" customHeight="1"/>
    <row r="360" ht="14.1" customHeight="1"/>
    <row r="361" ht="14.1" customHeight="1"/>
    <row r="362" ht="14.1" customHeight="1"/>
    <row r="363" ht="14.1" customHeight="1"/>
    <row r="364" ht="14.1" customHeight="1"/>
    <row r="365" ht="14.1" customHeight="1"/>
    <row r="366" ht="14.1" customHeight="1"/>
    <row r="367" ht="14.1" customHeight="1"/>
    <row r="368" ht="14.1" customHeight="1"/>
    <row r="369" ht="14.1" customHeight="1"/>
    <row r="370" ht="14.1" customHeight="1"/>
    <row r="371" ht="14.1" customHeight="1"/>
    <row r="372" ht="14.1" customHeight="1"/>
    <row r="373" ht="14.1" customHeight="1"/>
    <row r="374" ht="14.1" customHeight="1"/>
    <row r="375" ht="14.1" customHeight="1"/>
    <row r="376" ht="14.1" customHeight="1"/>
    <row r="377" ht="14.1" customHeight="1"/>
    <row r="378" ht="14.1" customHeight="1"/>
    <row r="379" ht="14.1" customHeight="1"/>
    <row r="380" ht="14.1" customHeight="1"/>
    <row r="381" ht="14.1" customHeight="1"/>
    <row r="382" ht="14.1" customHeight="1"/>
    <row r="383" ht="14.1" customHeight="1"/>
    <row r="384" ht="14.1" customHeight="1"/>
    <row r="385" ht="14.1" customHeight="1"/>
    <row r="386" ht="14.1" customHeight="1"/>
    <row r="387" ht="14.1" customHeight="1"/>
    <row r="388" ht="14.1" customHeight="1"/>
    <row r="389" ht="14.1" customHeight="1"/>
    <row r="390" ht="14.1" customHeight="1"/>
    <row r="391" ht="14.1" customHeight="1"/>
    <row r="392" ht="14.1" customHeight="1"/>
    <row r="393" ht="14.1" customHeight="1"/>
    <row r="394" ht="14.1" customHeight="1"/>
    <row r="395" ht="14.1" customHeight="1"/>
    <row r="396" ht="14.1" customHeight="1"/>
    <row r="397" ht="14.1" customHeight="1"/>
    <row r="398" ht="14.1" customHeight="1"/>
    <row r="399" ht="14.1" customHeight="1"/>
    <row r="400" ht="14.1" customHeight="1"/>
    <row r="401" ht="14.1" customHeight="1"/>
    <row r="402" ht="14.1" customHeight="1"/>
    <row r="403" ht="14.1" customHeight="1"/>
    <row r="404" ht="14.1" customHeight="1"/>
    <row r="405" ht="14.1" customHeight="1"/>
    <row r="406" ht="14.1" customHeight="1"/>
    <row r="407" ht="14.1" customHeight="1"/>
    <row r="408" ht="14.1" customHeight="1"/>
    <row r="409" ht="14.1" customHeight="1"/>
    <row r="410" ht="14.1" customHeight="1"/>
    <row r="411" ht="14.1" customHeight="1"/>
    <row r="412" ht="14.1" customHeight="1"/>
    <row r="413" ht="14.1" customHeight="1"/>
    <row r="414" ht="14.1" customHeight="1"/>
    <row r="415" ht="14.1" customHeight="1"/>
    <row r="416" ht="14.1" customHeight="1"/>
    <row r="417" ht="14.1" customHeight="1"/>
    <row r="418" ht="14.1" customHeight="1"/>
    <row r="419" ht="14.1" customHeight="1"/>
    <row r="420" ht="14.1" customHeight="1"/>
    <row r="421" ht="14.1" customHeight="1"/>
    <row r="422" ht="14.1" customHeight="1"/>
    <row r="423" ht="14.1" customHeight="1"/>
    <row r="424" ht="14.1" customHeight="1"/>
    <row r="425" ht="14.1" customHeight="1"/>
    <row r="426" ht="14.1" customHeight="1"/>
    <row r="427" ht="14.1" customHeight="1"/>
    <row r="428" ht="14.1" customHeight="1"/>
    <row r="429" ht="14.1" customHeight="1"/>
    <row r="430" ht="14.1" customHeight="1"/>
    <row r="431" ht="14.1" customHeight="1"/>
    <row r="432" ht="14.1" customHeight="1"/>
    <row r="433" ht="14.1" customHeight="1"/>
    <row r="434" ht="14.1" customHeight="1"/>
    <row r="435" ht="14.1" customHeight="1"/>
    <row r="436" ht="14.1" customHeight="1"/>
    <row r="437" ht="14.1" customHeight="1"/>
    <row r="438" ht="14.1" customHeight="1"/>
    <row r="439" ht="14.1" customHeight="1"/>
    <row r="440" ht="14.1" customHeight="1"/>
    <row r="441" ht="14.1" customHeight="1"/>
    <row r="442" ht="14.1" customHeight="1"/>
    <row r="443" ht="14.1" customHeight="1"/>
    <row r="444" ht="14.1" customHeight="1"/>
    <row r="445" ht="14.1" customHeight="1"/>
    <row r="446" ht="14.1" customHeight="1"/>
    <row r="447" ht="14.1" customHeight="1"/>
    <row r="448" ht="14.1" customHeight="1"/>
    <row r="449" ht="14.1" customHeight="1"/>
    <row r="450" ht="14.1" customHeight="1"/>
    <row r="451" ht="14.1" customHeight="1"/>
    <row r="452" ht="14.1" customHeight="1"/>
    <row r="453" ht="14.1" customHeight="1"/>
    <row r="454" ht="14.1" customHeight="1"/>
    <row r="455" ht="14.1" customHeight="1"/>
    <row r="456" ht="14.1" customHeight="1"/>
    <row r="457" ht="14.1" customHeight="1"/>
    <row r="458" ht="14.1" customHeight="1"/>
    <row r="459" ht="14.1" customHeight="1"/>
    <row r="460" ht="14.1" customHeight="1"/>
    <row r="461" ht="14.1" customHeight="1"/>
    <row r="462" ht="14.1" customHeight="1"/>
    <row r="463" ht="14.1" customHeight="1"/>
    <row r="464" ht="14.1" customHeight="1"/>
    <row r="465" ht="14.1" customHeight="1"/>
    <row r="466" ht="14.1" customHeight="1"/>
    <row r="467" ht="14.1" customHeight="1"/>
    <row r="468" ht="14.1" customHeight="1"/>
    <row r="469" ht="14.1" customHeight="1"/>
    <row r="470" ht="14.1" customHeight="1"/>
    <row r="471" ht="14.1" customHeight="1"/>
    <row r="472" ht="14.1" customHeight="1"/>
    <row r="473" ht="14.1" customHeight="1"/>
    <row r="474" ht="14.1" customHeight="1"/>
    <row r="475" ht="14.1" customHeight="1"/>
    <row r="476" ht="14.1" customHeight="1"/>
    <row r="477" ht="14.1" customHeight="1"/>
    <row r="478" ht="14.1" customHeight="1"/>
    <row r="479" ht="14.1" customHeight="1"/>
    <row r="480" ht="14.1" customHeight="1"/>
    <row r="481" ht="14.1" customHeight="1"/>
    <row r="482" ht="14.1" customHeight="1"/>
    <row r="483" ht="14.1" customHeight="1"/>
    <row r="484" ht="14.1" customHeight="1"/>
    <row r="485" ht="14.1" customHeight="1"/>
    <row r="486" ht="14.1" customHeight="1"/>
    <row r="487" ht="14.1" customHeight="1"/>
    <row r="488" ht="14.1" customHeight="1"/>
    <row r="489" ht="14.1" customHeight="1"/>
    <row r="490" ht="14.1" customHeight="1"/>
    <row r="491" ht="14.1" customHeight="1"/>
    <row r="492" ht="14.1" customHeight="1"/>
    <row r="493" ht="14.1" customHeight="1"/>
    <row r="494" ht="14.1" customHeight="1"/>
    <row r="495" ht="14.1" customHeight="1"/>
    <row r="496" ht="14.1" customHeight="1"/>
    <row r="497" ht="14.1" customHeight="1"/>
    <row r="498" ht="14.1" customHeight="1"/>
    <row r="499" ht="14.1" customHeight="1"/>
    <row r="500" ht="14.1" customHeight="1"/>
    <row r="501" ht="14.1" customHeight="1"/>
    <row r="502" ht="14.1" customHeight="1"/>
    <row r="503" ht="14.1" customHeight="1"/>
    <row r="504" ht="14.1" customHeight="1"/>
    <row r="505" ht="14.1" customHeight="1"/>
    <row r="506" ht="14.1" customHeight="1"/>
    <row r="507" ht="14.1" customHeight="1"/>
    <row r="508" ht="14.1" customHeight="1"/>
    <row r="509" ht="14.1" customHeight="1"/>
    <row r="510" ht="14.1" customHeight="1"/>
    <row r="511" ht="14.1" customHeight="1"/>
    <row r="512" ht="14.1" customHeight="1"/>
    <row r="513" ht="14.1" customHeight="1"/>
    <row r="514" ht="14.1" customHeight="1"/>
    <row r="515" ht="14.1" customHeight="1"/>
    <row r="516" ht="14.1" customHeight="1"/>
    <row r="517" ht="14.1" customHeight="1"/>
    <row r="518" ht="14.1" customHeight="1"/>
    <row r="519" ht="14.1" customHeight="1"/>
    <row r="520" ht="14.1" customHeight="1"/>
    <row r="521" ht="14.1" customHeight="1"/>
    <row r="522" ht="14.1" customHeight="1"/>
    <row r="523" ht="14.1" customHeight="1"/>
    <row r="524" ht="14.1" customHeight="1"/>
    <row r="525" ht="14.1" customHeight="1"/>
    <row r="526" ht="14.1" customHeight="1"/>
    <row r="527" ht="14.1" customHeight="1"/>
    <row r="528" ht="14.1" customHeight="1"/>
    <row r="529" ht="14.1" customHeight="1"/>
    <row r="530" ht="14.1" customHeight="1"/>
    <row r="531" ht="14.1" customHeight="1"/>
    <row r="532" ht="14.1" customHeight="1"/>
    <row r="533" ht="14.1" customHeight="1"/>
    <row r="534" ht="14.1" customHeight="1"/>
    <row r="535" ht="14.1" customHeight="1"/>
    <row r="536" ht="14.1" customHeight="1"/>
    <row r="537" ht="14.1" customHeight="1"/>
    <row r="538" ht="14.1" customHeight="1"/>
    <row r="539" ht="14.1" customHeight="1"/>
    <row r="540" ht="14.1" customHeight="1"/>
    <row r="541" ht="14.1" customHeight="1"/>
    <row r="542" ht="14.1" customHeight="1"/>
    <row r="543" ht="14.1" customHeight="1"/>
    <row r="544" ht="14.1" customHeight="1"/>
    <row r="545" ht="14.1" customHeight="1"/>
    <row r="546" ht="14.1" customHeight="1"/>
    <row r="547" ht="14.1" customHeight="1"/>
    <row r="548" ht="14.1" customHeight="1"/>
    <row r="549" ht="14.1" customHeight="1"/>
    <row r="550" ht="14.1" customHeight="1"/>
    <row r="551" ht="14.1" customHeight="1"/>
    <row r="552" ht="14.1" customHeight="1"/>
    <row r="553" ht="14.1" customHeight="1"/>
    <row r="554" ht="14.1" customHeight="1"/>
    <row r="555" ht="14.1" customHeight="1"/>
    <row r="556" ht="14.1" customHeight="1"/>
    <row r="557" ht="14.1" customHeight="1"/>
    <row r="558" ht="14.1" customHeight="1"/>
    <row r="559" ht="14.1" customHeight="1"/>
    <row r="560" ht="14.1" customHeight="1"/>
    <row r="561" ht="14.1" customHeight="1"/>
    <row r="562" ht="14.1" customHeight="1"/>
    <row r="563" ht="14.1" customHeight="1"/>
    <row r="564" ht="14.1" customHeight="1"/>
    <row r="565" ht="14.1" customHeight="1"/>
    <row r="566" ht="14.1" customHeight="1"/>
    <row r="567" ht="14.1" customHeight="1"/>
    <row r="568" ht="14.1" customHeight="1"/>
    <row r="569" ht="14.1" customHeight="1"/>
    <row r="570" ht="14.1" customHeight="1"/>
    <row r="571" ht="14.1" customHeight="1"/>
    <row r="572" ht="14.1" customHeight="1"/>
    <row r="573" ht="14.1" customHeight="1"/>
    <row r="574" ht="14.1" customHeight="1"/>
    <row r="575" ht="14.1" customHeight="1"/>
    <row r="576" ht="14.1" customHeight="1"/>
    <row r="577" ht="14.1" customHeight="1"/>
    <row r="578" ht="14.1" customHeight="1"/>
    <row r="579" ht="14.1" customHeight="1"/>
    <row r="580" ht="14.1" customHeight="1"/>
    <row r="581" ht="14.1" customHeight="1"/>
    <row r="582" ht="14.1" customHeight="1"/>
    <row r="583" ht="14.1" customHeight="1"/>
    <row r="584" ht="14.1" customHeight="1"/>
    <row r="585" ht="14.1" customHeight="1"/>
    <row r="586" ht="14.1" customHeight="1"/>
    <row r="587" ht="14.1" customHeight="1"/>
    <row r="588" ht="14.1" customHeight="1"/>
    <row r="589" ht="14.1" customHeight="1"/>
    <row r="590" ht="14.1" customHeight="1"/>
    <row r="591" ht="14.1" customHeight="1"/>
    <row r="592" ht="14.1" customHeight="1"/>
    <row r="593" ht="14.1" customHeight="1"/>
    <row r="594" ht="14.1" customHeight="1"/>
    <row r="595" ht="14.1" customHeight="1"/>
    <row r="596" ht="14.1" customHeight="1"/>
    <row r="597" ht="14.1" customHeight="1"/>
    <row r="598" ht="14.1" customHeight="1"/>
    <row r="599" ht="14.1" customHeight="1"/>
    <row r="600" ht="14.1" customHeight="1"/>
    <row r="601" ht="14.1" customHeight="1"/>
    <row r="602" ht="14.1" customHeight="1"/>
    <row r="603" ht="14.1" customHeight="1"/>
    <row r="604" ht="14.1" customHeight="1"/>
    <row r="605" ht="14.1" customHeight="1"/>
    <row r="606" ht="14.1" customHeight="1"/>
    <row r="607" ht="14.1" customHeight="1"/>
    <row r="608" ht="14.1" customHeight="1"/>
    <row r="609" ht="14.1" customHeight="1"/>
    <row r="610" ht="14.1" customHeight="1"/>
    <row r="611" ht="14.1" customHeight="1"/>
    <row r="612" ht="14.1" customHeight="1"/>
    <row r="613" ht="14.1" customHeight="1"/>
    <row r="614" ht="14.1" customHeight="1"/>
    <row r="615" ht="14.1" customHeight="1"/>
    <row r="616" ht="14.1" customHeight="1"/>
    <row r="617" ht="14.1" customHeight="1"/>
    <row r="618" ht="14.1" customHeight="1"/>
    <row r="619" ht="14.1" customHeight="1"/>
    <row r="620" ht="14.1" customHeight="1"/>
    <row r="621" ht="14.1" customHeight="1"/>
    <row r="622" ht="14.1" customHeight="1"/>
    <row r="623" ht="14.1" customHeight="1"/>
    <row r="624" ht="14.1" customHeight="1"/>
    <row r="625" ht="14.1" customHeight="1"/>
    <row r="626" ht="14.1" customHeight="1"/>
    <row r="627" ht="14.1" customHeight="1"/>
    <row r="628" ht="14.1" customHeight="1"/>
    <row r="629" ht="14.1" customHeight="1"/>
    <row r="630" ht="14.1" customHeight="1"/>
    <row r="631" ht="14.1" customHeight="1"/>
    <row r="632" ht="14.1" customHeight="1"/>
    <row r="633" ht="14.1" customHeight="1"/>
    <row r="634" ht="14.1" customHeight="1"/>
    <row r="635" ht="14.1" customHeight="1"/>
    <row r="636" ht="14.1" customHeight="1"/>
    <row r="637" ht="14.1" customHeight="1"/>
    <row r="638" ht="14.1" customHeight="1"/>
    <row r="639" ht="14.1" customHeight="1"/>
    <row r="640" ht="14.1" customHeight="1"/>
    <row r="641" ht="14.1" customHeight="1"/>
    <row r="642" ht="14.1" customHeight="1"/>
    <row r="643" ht="14.1" customHeight="1"/>
    <row r="644" ht="14.1" customHeight="1"/>
    <row r="645" ht="14.1" customHeight="1"/>
    <row r="646" ht="14.1" customHeight="1"/>
    <row r="647" ht="14.1" customHeight="1"/>
    <row r="648" ht="14.1" customHeight="1"/>
    <row r="649" ht="14.1" customHeight="1"/>
    <row r="650" ht="14.1" customHeight="1"/>
    <row r="651" ht="14.1" customHeight="1"/>
    <row r="652" ht="14.1" customHeight="1"/>
    <row r="653" ht="14.1" customHeight="1"/>
    <row r="654" ht="14.1" customHeight="1"/>
    <row r="655" ht="14.1" customHeight="1"/>
    <row r="656" ht="14.1" customHeight="1"/>
    <row r="657" ht="14.1" customHeight="1"/>
    <row r="658" ht="14.1" customHeight="1"/>
    <row r="659" ht="14.1" customHeight="1"/>
    <row r="660" ht="14.1" customHeight="1"/>
    <row r="661" ht="14.1" customHeight="1"/>
    <row r="662" ht="14.1" customHeight="1"/>
    <row r="663" ht="14.1" customHeight="1"/>
    <row r="664" ht="14.1" customHeight="1"/>
    <row r="665" ht="14.1" customHeight="1"/>
    <row r="666" ht="14.1" customHeight="1"/>
    <row r="667" ht="14.1" customHeight="1"/>
    <row r="668" ht="14.1" customHeight="1"/>
    <row r="669" ht="14.1" customHeight="1"/>
    <row r="670" ht="14.1" customHeight="1"/>
    <row r="671" ht="14.1" customHeight="1"/>
    <row r="672" ht="14.1" customHeight="1"/>
    <row r="673" ht="14.1" customHeight="1"/>
    <row r="674" ht="14.1" customHeight="1"/>
    <row r="675" ht="14.1" customHeight="1"/>
    <row r="676" ht="14.1" customHeight="1"/>
    <row r="677" ht="14.1" customHeight="1"/>
    <row r="678" ht="14.1" customHeight="1"/>
    <row r="679" ht="14.1" customHeight="1"/>
    <row r="680" ht="14.1" customHeight="1"/>
    <row r="681" ht="14.1" customHeight="1"/>
    <row r="682" ht="14.1" customHeight="1"/>
    <row r="683" ht="14.1" customHeight="1"/>
    <row r="684" ht="14.1" customHeight="1"/>
    <row r="685" ht="14.1" customHeight="1"/>
    <row r="686" ht="14.1" customHeight="1"/>
    <row r="687" ht="14.1" customHeight="1"/>
    <row r="688" ht="14.1" customHeight="1"/>
    <row r="689" ht="14.1" customHeight="1"/>
    <row r="690" ht="14.1" customHeight="1"/>
    <row r="691" ht="14.1" customHeight="1"/>
    <row r="692" ht="14.1" customHeight="1"/>
    <row r="693" ht="14.1" customHeight="1"/>
    <row r="694" ht="14.1" customHeight="1"/>
    <row r="695" ht="14.1" customHeight="1"/>
    <row r="696" ht="14.1" customHeight="1"/>
    <row r="697" ht="14.1" customHeight="1"/>
    <row r="698" ht="14.1" customHeight="1"/>
    <row r="699" ht="14.1" customHeight="1"/>
    <row r="700" ht="14.1" customHeight="1"/>
    <row r="701" ht="14.1" customHeight="1"/>
    <row r="702" ht="14.1" customHeight="1"/>
    <row r="703" ht="14.1" customHeight="1"/>
    <row r="704" ht="14.1" customHeight="1"/>
    <row r="705" ht="14.1" customHeight="1"/>
    <row r="706" ht="14.1" customHeight="1"/>
    <row r="707" ht="14.1" customHeight="1"/>
    <row r="708" ht="14.1" customHeight="1"/>
    <row r="709" ht="14.1" customHeight="1"/>
    <row r="710" ht="14.1" customHeight="1"/>
    <row r="711" ht="14.1" customHeight="1"/>
    <row r="712" ht="14.1" customHeight="1"/>
    <row r="713" ht="14.1" customHeight="1"/>
    <row r="714" ht="14.1" customHeight="1"/>
    <row r="715" ht="14.1" customHeight="1"/>
    <row r="716" ht="14.1" customHeight="1"/>
    <row r="717" ht="14.1" customHeight="1"/>
    <row r="718" ht="14.1" customHeight="1"/>
    <row r="719" ht="14.1" customHeight="1"/>
    <row r="720" ht="14.1" customHeight="1"/>
    <row r="721" ht="14.1" customHeight="1"/>
    <row r="722" ht="14.1" customHeight="1"/>
    <row r="723" ht="14.1" customHeight="1"/>
    <row r="724" ht="14.1" customHeight="1"/>
    <row r="725" ht="14.1" customHeight="1"/>
    <row r="726" ht="14.1" customHeight="1"/>
    <row r="727" ht="14.1" customHeight="1"/>
    <row r="728" ht="14.1" customHeight="1"/>
    <row r="729" ht="14.1" customHeight="1"/>
    <row r="730" ht="14.1" customHeight="1"/>
    <row r="731" ht="14.1" customHeight="1"/>
    <row r="732" ht="14.1" customHeight="1"/>
    <row r="733" ht="14.1" customHeight="1"/>
    <row r="734" ht="14.1" customHeight="1"/>
    <row r="735" ht="14.1" customHeight="1"/>
    <row r="736" ht="14.1" customHeight="1"/>
    <row r="737" ht="14.1" customHeight="1"/>
    <row r="738" ht="14.1" customHeight="1"/>
    <row r="739" ht="14.1" customHeight="1"/>
    <row r="740" ht="14.1" customHeight="1"/>
    <row r="741" ht="14.1" customHeight="1"/>
    <row r="742" ht="14.1" customHeight="1"/>
    <row r="743" ht="14.1" customHeight="1"/>
    <row r="744" ht="14.1" customHeight="1"/>
    <row r="745" ht="14.1" customHeight="1"/>
    <row r="746" ht="14.1" customHeight="1"/>
    <row r="747" ht="14.1" customHeight="1"/>
    <row r="748" ht="14.1" customHeight="1"/>
    <row r="749" ht="14.1" customHeight="1"/>
    <row r="750" ht="14.1" customHeight="1"/>
    <row r="751" ht="14.1" customHeight="1"/>
    <row r="752" ht="14.1" customHeight="1"/>
    <row r="753" ht="14.1" customHeight="1"/>
    <row r="754" ht="14.1" customHeight="1"/>
    <row r="755" ht="14.1" customHeight="1"/>
    <row r="756" ht="14.1" customHeight="1"/>
    <row r="757" ht="14.1" customHeight="1"/>
    <row r="758" ht="14.1" customHeight="1"/>
    <row r="759" ht="14.1" customHeight="1"/>
    <row r="760" ht="14.1" customHeight="1"/>
    <row r="761" ht="14.1" customHeight="1"/>
    <row r="762" ht="14.1" customHeight="1"/>
    <row r="763" ht="14.1" customHeight="1"/>
    <row r="764" ht="14.1" customHeight="1"/>
    <row r="765" ht="14.1" customHeight="1"/>
    <row r="766" ht="14.1" customHeight="1"/>
    <row r="767" ht="14.1" customHeight="1"/>
    <row r="768" ht="14.1" customHeight="1"/>
    <row r="769" ht="14.1" customHeight="1"/>
    <row r="770" ht="14.1" customHeight="1"/>
    <row r="771" ht="14.1" customHeight="1"/>
    <row r="772" ht="14.1" customHeight="1"/>
    <row r="773" ht="14.1" customHeight="1"/>
    <row r="774" ht="14.1" customHeight="1"/>
    <row r="775" ht="14.1" customHeight="1"/>
    <row r="776" ht="14.1" customHeight="1"/>
    <row r="777" ht="14.1" customHeight="1"/>
    <row r="778" ht="14.1" customHeight="1"/>
    <row r="779" ht="14.1" customHeight="1"/>
    <row r="780" ht="14.1" customHeight="1"/>
    <row r="781" ht="14.1" customHeight="1"/>
    <row r="782" ht="14.1" customHeight="1"/>
    <row r="783" ht="14.1" customHeight="1"/>
    <row r="784" ht="14.1" customHeight="1"/>
    <row r="785" ht="14.1" customHeight="1"/>
    <row r="786" ht="14.1" customHeight="1"/>
    <row r="787" ht="14.1" customHeight="1"/>
    <row r="788" ht="14.1" customHeight="1"/>
    <row r="789" ht="14.1" customHeight="1"/>
    <row r="790" ht="14.1" customHeight="1"/>
    <row r="791" ht="14.1" customHeight="1"/>
    <row r="792" ht="14.1" customHeight="1"/>
    <row r="793" ht="14.1" customHeight="1"/>
  </sheetData>
  <pageMargins left="0.61" right="0.16" top="0.87" bottom="0.21" header="0.16" footer="0.16"/>
  <pageSetup paperSize="8" scale="51" orientation="portrait"/>
  <headerFooter alignWithMargins="0">
    <oddFooter>&amp;L_x000D_&amp;1#&amp;"Arial"&amp;7&amp;KDAD4CE Public&amp;C&amp;"Verdana"&amp;10 &amp;KC1C1C1_x000D_# Restricted</oddFooter>
  </headerFooter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D00-000000000000}">
  <sheetPr codeName="Sheet29">
    <tabColor rgb="FF0070C0"/>
    <pageSetUpPr fitToPage="1"/>
  </sheetPr>
  <dimension ref="A1:U793"/>
  <sheetViews>
    <sheetView zoomScale="80" zoomScaleNormal="80" workbookViewId="0">
      <pane ySplit="4" topLeftCell="A5" activePane="bottomLeft" state="frozen"/>
      <selection activeCell="A16" sqref="A16"/>
      <selection pane="bottomLeft" activeCell="A16" sqref="A16"/>
    </sheetView>
  </sheetViews>
  <sheetFormatPr defaultColWidth="8.85546875" defaultRowHeight="15" customHeight="1"/>
  <cols>
    <col min="1" max="1" width="4.140625" style="3" customWidth="1"/>
    <col min="2" max="3" width="8.5703125" style="20" customWidth="1"/>
    <col min="4" max="4" width="14.5703125" style="3" customWidth="1"/>
    <col min="5" max="5" width="20.5703125" style="20" customWidth="1"/>
    <col min="6" max="6" width="8.5703125" style="3" customWidth="1"/>
    <col min="7" max="7" width="32.5703125" style="2" customWidth="1"/>
    <col min="8" max="8" width="18.5703125" style="3" customWidth="1"/>
    <col min="9" max="9" width="62.5703125" style="2" customWidth="1"/>
    <col min="10" max="12" width="9.5703125" style="3" customWidth="1"/>
    <col min="13" max="13" width="10.5703125" style="3" customWidth="1"/>
    <col min="14" max="14" width="8.5703125" style="3" customWidth="1"/>
    <col min="15" max="15" width="10.5703125" style="3" customWidth="1"/>
    <col min="16" max="16" width="5.5703125" style="3" customWidth="1"/>
    <col min="17" max="17" width="1.5703125" style="2" customWidth="1"/>
    <col min="18" max="18" width="10.5703125" style="30" customWidth="1"/>
    <col min="19" max="19" width="1.5703125" style="2" customWidth="1"/>
    <col min="20" max="21" width="10.5703125" style="2" customWidth="1"/>
    <col min="22" max="219" width="8.85546875" style="2" customWidth="1"/>
    <col min="220" max="220" width="8.140625" style="2" customWidth="1"/>
    <col min="221" max="221" width="14.5703125" style="2" customWidth="1"/>
    <col min="222" max="222" width="37.42578125" style="2" customWidth="1"/>
    <col min="223" max="223" width="63.140625" style="2" customWidth="1"/>
    <col min="224" max="224" width="20" style="2" customWidth="1"/>
    <col min="225" max="225" width="11.140625" style="2" customWidth="1"/>
    <col min="226" max="226" width="10.85546875" style="2" customWidth="1"/>
    <col min="227" max="227" width="21" style="2" customWidth="1"/>
    <col min="228" max="228" width="10.85546875" style="2" customWidth="1"/>
    <col min="229" max="229" width="17.42578125" style="2" customWidth="1"/>
    <col min="230" max="230" width="14.85546875" style="2" customWidth="1"/>
    <col min="231" max="231" width="15" style="2" customWidth="1"/>
    <col min="232" max="232" width="14.85546875" style="2" customWidth="1"/>
    <col min="233" max="233" width="7.140625" style="2" customWidth="1"/>
    <col min="234" max="235" width="20.140625" style="2" customWidth="1"/>
    <col min="236" max="236" width="18.42578125" style="2" customWidth="1"/>
    <col min="237" max="237" width="9.140625" style="2" customWidth="1"/>
    <col min="238" max="238" width="12" style="2" customWidth="1"/>
    <col min="239" max="239" width="14.85546875" style="2" customWidth="1"/>
    <col min="240" max="240" width="22.42578125" style="2" customWidth="1"/>
    <col min="241" max="241" width="14.85546875" style="2" customWidth="1"/>
    <col min="242" max="242" width="7.140625" style="2" customWidth="1"/>
    <col min="243" max="243" width="20.140625" style="2" customWidth="1"/>
    <col min="244" max="475" width="8.85546875" style="2" customWidth="1"/>
    <col min="476" max="476" width="8.140625" style="2" customWidth="1"/>
    <col min="477" max="477" width="14.5703125" style="2" customWidth="1"/>
    <col min="478" max="478" width="37.42578125" style="2" customWidth="1"/>
    <col min="479" max="479" width="63.140625" style="2" customWidth="1"/>
    <col min="480" max="480" width="20" style="2" customWidth="1"/>
    <col min="481" max="481" width="11.140625" style="2" customWidth="1"/>
    <col min="482" max="482" width="10.85546875" style="2" customWidth="1"/>
    <col min="483" max="483" width="21" style="2" customWidth="1"/>
    <col min="484" max="484" width="10.85546875" style="2" customWidth="1"/>
    <col min="485" max="485" width="17.42578125" style="2" customWidth="1"/>
    <col min="486" max="486" width="14.85546875" style="2" customWidth="1"/>
    <col min="487" max="487" width="15" style="2" customWidth="1"/>
    <col min="488" max="488" width="14.85546875" style="2" customWidth="1"/>
    <col min="489" max="489" width="7.140625" style="2" customWidth="1"/>
    <col min="490" max="491" width="20.140625" style="2" customWidth="1"/>
    <col min="492" max="492" width="18.42578125" style="2" customWidth="1"/>
    <col min="493" max="493" width="9.140625" style="2" customWidth="1"/>
    <col min="494" max="494" width="12" style="2" customWidth="1"/>
    <col min="495" max="495" width="14.85546875" style="2" customWidth="1"/>
    <col min="496" max="496" width="22.42578125" style="2" customWidth="1"/>
    <col min="497" max="497" width="14.85546875" style="2" customWidth="1"/>
    <col min="498" max="498" width="7.140625" style="2" customWidth="1"/>
    <col min="499" max="499" width="20.140625" style="2" customWidth="1"/>
    <col min="500" max="731" width="8.85546875" style="2" customWidth="1"/>
    <col min="732" max="732" width="8.140625" style="2" customWidth="1"/>
    <col min="733" max="733" width="14.5703125" style="2" customWidth="1"/>
    <col min="734" max="734" width="37.42578125" style="2" customWidth="1"/>
    <col min="735" max="735" width="63.140625" style="2" customWidth="1"/>
    <col min="736" max="736" width="20" style="2" customWidth="1"/>
    <col min="737" max="737" width="11.140625" style="2" customWidth="1"/>
    <col min="738" max="738" width="10.85546875" style="2" customWidth="1"/>
    <col min="739" max="739" width="21" style="2" customWidth="1"/>
    <col min="740" max="740" width="10.85546875" style="2" customWidth="1"/>
    <col min="741" max="741" width="17.42578125" style="2" customWidth="1"/>
    <col min="742" max="742" width="14.85546875" style="2" customWidth="1"/>
    <col min="743" max="743" width="15" style="2" customWidth="1"/>
    <col min="744" max="744" width="14.85546875" style="2" customWidth="1"/>
    <col min="745" max="745" width="7.140625" style="2" customWidth="1"/>
    <col min="746" max="747" width="20.140625" style="2" customWidth="1"/>
    <col min="748" max="748" width="18.42578125" style="2" customWidth="1"/>
    <col min="749" max="749" width="9.140625" style="2" customWidth="1"/>
    <col min="750" max="750" width="12" style="2" customWidth="1"/>
    <col min="751" max="751" width="14.85546875" style="2" customWidth="1"/>
    <col min="752" max="752" width="22.42578125" style="2" customWidth="1"/>
    <col min="753" max="753" width="14.85546875" style="2" customWidth="1"/>
    <col min="754" max="754" width="7.140625" style="2" customWidth="1"/>
    <col min="755" max="755" width="20.140625" style="2" customWidth="1"/>
    <col min="756" max="987" width="8.85546875" style="2" customWidth="1"/>
    <col min="988" max="988" width="8.140625" style="2" customWidth="1"/>
    <col min="989" max="989" width="14.5703125" style="2" customWidth="1"/>
    <col min="990" max="990" width="37.42578125" style="2" customWidth="1"/>
    <col min="991" max="991" width="63.140625" style="2" customWidth="1"/>
    <col min="992" max="992" width="20" style="2" customWidth="1"/>
    <col min="993" max="993" width="11.140625" style="2" customWidth="1"/>
    <col min="994" max="994" width="10.85546875" style="2" customWidth="1"/>
    <col min="995" max="995" width="21" style="2" customWidth="1"/>
    <col min="996" max="996" width="10.85546875" style="2" customWidth="1"/>
    <col min="997" max="997" width="17.42578125" style="2" customWidth="1"/>
    <col min="998" max="998" width="14.85546875" style="2" customWidth="1"/>
    <col min="999" max="999" width="15" style="2" customWidth="1"/>
    <col min="1000" max="1000" width="14.85546875" style="2" customWidth="1"/>
    <col min="1001" max="1001" width="7.140625" style="2" customWidth="1"/>
    <col min="1002" max="1003" width="20.140625" style="2" customWidth="1"/>
    <col min="1004" max="1004" width="18.42578125" style="2" customWidth="1"/>
    <col min="1005" max="1005" width="9.140625" style="2" customWidth="1"/>
    <col min="1006" max="1006" width="12" style="2" customWidth="1"/>
    <col min="1007" max="1007" width="14.85546875" style="2" customWidth="1"/>
    <col min="1008" max="1008" width="22.42578125" style="2" customWidth="1"/>
    <col min="1009" max="1009" width="14.85546875" style="2" customWidth="1"/>
    <col min="1010" max="1010" width="7.140625" style="2" customWidth="1"/>
    <col min="1011" max="1011" width="20.140625" style="2" customWidth="1"/>
    <col min="1012" max="1243" width="8.85546875" style="2" customWidth="1"/>
    <col min="1244" max="1244" width="8.140625" style="2" customWidth="1"/>
    <col min="1245" max="1245" width="14.5703125" style="2" customWidth="1"/>
    <col min="1246" max="1246" width="37.42578125" style="2" customWidth="1"/>
    <col min="1247" max="1247" width="63.140625" style="2" customWidth="1"/>
    <col min="1248" max="1248" width="20" style="2" customWidth="1"/>
    <col min="1249" max="1249" width="11.140625" style="2" customWidth="1"/>
    <col min="1250" max="1250" width="10.85546875" style="2" customWidth="1"/>
    <col min="1251" max="1251" width="21" style="2" customWidth="1"/>
    <col min="1252" max="1252" width="10.85546875" style="2" customWidth="1"/>
    <col min="1253" max="1253" width="17.42578125" style="2" customWidth="1"/>
    <col min="1254" max="1254" width="14.85546875" style="2" customWidth="1"/>
    <col min="1255" max="1255" width="15" style="2" customWidth="1"/>
    <col min="1256" max="1256" width="14.85546875" style="2" customWidth="1"/>
    <col min="1257" max="1257" width="7.140625" style="2" customWidth="1"/>
    <col min="1258" max="1259" width="20.140625" style="2" customWidth="1"/>
    <col min="1260" max="1260" width="18.42578125" style="2" customWidth="1"/>
    <col min="1261" max="1261" width="9.140625" style="2" customWidth="1"/>
    <col min="1262" max="1262" width="12" style="2" customWidth="1"/>
    <col min="1263" max="1263" width="14.85546875" style="2" customWidth="1"/>
    <col min="1264" max="1264" width="22.42578125" style="2" customWidth="1"/>
    <col min="1265" max="1265" width="14.85546875" style="2" customWidth="1"/>
    <col min="1266" max="1266" width="7.140625" style="2" customWidth="1"/>
    <col min="1267" max="1267" width="20.140625" style="2" customWidth="1"/>
    <col min="1268" max="1499" width="8.85546875" style="2" customWidth="1"/>
    <col min="1500" max="1500" width="8.140625" style="2" customWidth="1"/>
    <col min="1501" max="1501" width="14.5703125" style="2" customWidth="1"/>
    <col min="1502" max="1502" width="37.42578125" style="2" customWidth="1"/>
    <col min="1503" max="1503" width="63.140625" style="2" customWidth="1"/>
    <col min="1504" max="1504" width="20" style="2" customWidth="1"/>
    <col min="1505" max="1505" width="11.140625" style="2" customWidth="1"/>
    <col min="1506" max="1506" width="10.85546875" style="2" customWidth="1"/>
    <col min="1507" max="1507" width="21" style="2" customWidth="1"/>
    <col min="1508" max="1508" width="10.85546875" style="2" customWidth="1"/>
    <col min="1509" max="1509" width="17.42578125" style="2" customWidth="1"/>
    <col min="1510" max="1510" width="14.85546875" style="2" customWidth="1"/>
    <col min="1511" max="1511" width="15" style="2" customWidth="1"/>
    <col min="1512" max="1512" width="14.85546875" style="2" customWidth="1"/>
    <col min="1513" max="1513" width="7.140625" style="2" customWidth="1"/>
    <col min="1514" max="1515" width="20.140625" style="2" customWidth="1"/>
    <col min="1516" max="1516" width="18.42578125" style="2" customWidth="1"/>
    <col min="1517" max="1517" width="9.140625" style="2" customWidth="1"/>
    <col min="1518" max="1518" width="12" style="2" customWidth="1"/>
    <col min="1519" max="1519" width="14.85546875" style="2" customWidth="1"/>
    <col min="1520" max="1520" width="22.42578125" style="2" customWidth="1"/>
    <col min="1521" max="1521" width="14.85546875" style="2" customWidth="1"/>
    <col min="1522" max="1522" width="7.140625" style="2" customWidth="1"/>
    <col min="1523" max="1523" width="20.140625" style="2" customWidth="1"/>
    <col min="1524" max="1755" width="8.85546875" style="2" customWidth="1"/>
    <col min="1756" max="1756" width="8.140625" style="2" customWidth="1"/>
    <col min="1757" max="1757" width="14.5703125" style="2" customWidth="1"/>
    <col min="1758" max="1758" width="37.42578125" style="2" customWidth="1"/>
    <col min="1759" max="1759" width="63.140625" style="2" customWidth="1"/>
    <col min="1760" max="1760" width="20" style="2" customWidth="1"/>
    <col min="1761" max="1761" width="11.140625" style="2" customWidth="1"/>
    <col min="1762" max="1762" width="10.85546875" style="2" customWidth="1"/>
    <col min="1763" max="1763" width="21" style="2" customWidth="1"/>
    <col min="1764" max="1764" width="10.85546875" style="2" customWidth="1"/>
    <col min="1765" max="1765" width="17.42578125" style="2" customWidth="1"/>
    <col min="1766" max="1766" width="14.85546875" style="2" customWidth="1"/>
    <col min="1767" max="1767" width="15" style="2" customWidth="1"/>
    <col min="1768" max="1768" width="14.85546875" style="2" customWidth="1"/>
    <col min="1769" max="1769" width="7.140625" style="2" customWidth="1"/>
    <col min="1770" max="1771" width="20.140625" style="2" customWidth="1"/>
    <col min="1772" max="1772" width="18.42578125" style="2" customWidth="1"/>
    <col min="1773" max="1773" width="9.140625" style="2" customWidth="1"/>
    <col min="1774" max="1774" width="12" style="2" customWidth="1"/>
    <col min="1775" max="1775" width="14.85546875" style="2" customWidth="1"/>
    <col min="1776" max="1776" width="22.42578125" style="2" customWidth="1"/>
    <col min="1777" max="1777" width="14.85546875" style="2" customWidth="1"/>
    <col min="1778" max="1778" width="7.140625" style="2" customWidth="1"/>
    <col min="1779" max="1779" width="20.140625" style="2" customWidth="1"/>
    <col min="1780" max="2011" width="8.85546875" style="2" customWidth="1"/>
    <col min="2012" max="2012" width="8.140625" style="2" customWidth="1"/>
    <col min="2013" max="2013" width="14.5703125" style="2" customWidth="1"/>
    <col min="2014" max="2014" width="37.42578125" style="2" customWidth="1"/>
    <col min="2015" max="2015" width="63.140625" style="2" customWidth="1"/>
    <col min="2016" max="2016" width="20" style="2" customWidth="1"/>
    <col min="2017" max="2017" width="11.140625" style="2" customWidth="1"/>
    <col min="2018" max="2018" width="10.85546875" style="2" customWidth="1"/>
    <col min="2019" max="2019" width="21" style="2" customWidth="1"/>
    <col min="2020" max="2020" width="10.85546875" style="2" customWidth="1"/>
    <col min="2021" max="2021" width="17.42578125" style="2" customWidth="1"/>
    <col min="2022" max="2022" width="14.85546875" style="2" customWidth="1"/>
    <col min="2023" max="2023" width="15" style="2" customWidth="1"/>
    <col min="2024" max="2024" width="14.85546875" style="2" customWidth="1"/>
    <col min="2025" max="2025" width="7.140625" style="2" customWidth="1"/>
    <col min="2026" max="2027" width="20.140625" style="2" customWidth="1"/>
    <col min="2028" max="2028" width="18.42578125" style="2" customWidth="1"/>
    <col min="2029" max="2029" width="9.140625" style="2" customWidth="1"/>
    <col min="2030" max="2030" width="12" style="2" customWidth="1"/>
    <col min="2031" max="2031" width="14.85546875" style="2" customWidth="1"/>
    <col min="2032" max="2032" width="22.42578125" style="2" customWidth="1"/>
    <col min="2033" max="2033" width="14.85546875" style="2" customWidth="1"/>
    <col min="2034" max="2034" width="7.140625" style="2" customWidth="1"/>
    <col min="2035" max="2035" width="20.140625" style="2" customWidth="1"/>
    <col min="2036" max="2267" width="8.85546875" style="2" customWidth="1"/>
    <col min="2268" max="2268" width="8.140625" style="2" customWidth="1"/>
    <col min="2269" max="2269" width="14.5703125" style="2" customWidth="1"/>
    <col min="2270" max="2270" width="37.42578125" style="2" customWidth="1"/>
    <col min="2271" max="2271" width="63.140625" style="2" customWidth="1"/>
    <col min="2272" max="2272" width="20" style="2" customWidth="1"/>
    <col min="2273" max="2273" width="11.140625" style="2" customWidth="1"/>
    <col min="2274" max="2274" width="10.85546875" style="2" customWidth="1"/>
    <col min="2275" max="2275" width="21" style="2" customWidth="1"/>
    <col min="2276" max="2276" width="10.85546875" style="2" customWidth="1"/>
    <col min="2277" max="2277" width="17.42578125" style="2" customWidth="1"/>
    <col min="2278" max="2278" width="14.85546875" style="2" customWidth="1"/>
    <col min="2279" max="2279" width="15" style="2" customWidth="1"/>
    <col min="2280" max="2280" width="14.85546875" style="2" customWidth="1"/>
    <col min="2281" max="2281" width="7.140625" style="2" customWidth="1"/>
    <col min="2282" max="2283" width="20.140625" style="2" customWidth="1"/>
    <col min="2284" max="2284" width="18.42578125" style="2" customWidth="1"/>
    <col min="2285" max="2285" width="9.140625" style="2" customWidth="1"/>
    <col min="2286" max="2286" width="12" style="2" customWidth="1"/>
    <col min="2287" max="2287" width="14.85546875" style="2" customWidth="1"/>
    <col min="2288" max="2288" width="22.42578125" style="2" customWidth="1"/>
    <col min="2289" max="2289" width="14.85546875" style="2" customWidth="1"/>
    <col min="2290" max="2290" width="7.140625" style="2" customWidth="1"/>
    <col min="2291" max="2291" width="20.140625" style="2" customWidth="1"/>
    <col min="2292" max="2523" width="8.85546875" style="2" customWidth="1"/>
    <col min="2524" max="2524" width="8.140625" style="2" customWidth="1"/>
    <col min="2525" max="2525" width="14.5703125" style="2" customWidth="1"/>
    <col min="2526" max="2526" width="37.42578125" style="2" customWidth="1"/>
    <col min="2527" max="2527" width="63.140625" style="2" customWidth="1"/>
    <col min="2528" max="2528" width="20" style="2" customWidth="1"/>
    <col min="2529" max="2529" width="11.140625" style="2" customWidth="1"/>
    <col min="2530" max="2530" width="10.85546875" style="2" customWidth="1"/>
    <col min="2531" max="2531" width="21" style="2" customWidth="1"/>
    <col min="2532" max="2532" width="10.85546875" style="2" customWidth="1"/>
    <col min="2533" max="2533" width="17.42578125" style="2" customWidth="1"/>
    <col min="2534" max="2534" width="14.85546875" style="2" customWidth="1"/>
    <col min="2535" max="2535" width="15" style="2" customWidth="1"/>
    <col min="2536" max="2536" width="14.85546875" style="2" customWidth="1"/>
    <col min="2537" max="2537" width="7.140625" style="2" customWidth="1"/>
    <col min="2538" max="2539" width="20.140625" style="2" customWidth="1"/>
    <col min="2540" max="2540" width="18.42578125" style="2" customWidth="1"/>
    <col min="2541" max="2541" width="9.140625" style="2" customWidth="1"/>
    <col min="2542" max="2542" width="12" style="2" customWidth="1"/>
    <col min="2543" max="2543" width="14.85546875" style="2" customWidth="1"/>
    <col min="2544" max="2544" width="22.42578125" style="2" customWidth="1"/>
    <col min="2545" max="2545" width="14.85546875" style="2" customWidth="1"/>
    <col min="2546" max="2546" width="7.140625" style="2" customWidth="1"/>
    <col min="2547" max="2547" width="20.140625" style="2" customWidth="1"/>
    <col min="2548" max="2779" width="8.85546875" style="2" customWidth="1"/>
    <col min="2780" max="2780" width="8.140625" style="2" customWidth="1"/>
    <col min="2781" max="2781" width="14.5703125" style="2" customWidth="1"/>
    <col min="2782" max="2782" width="37.42578125" style="2" customWidth="1"/>
    <col min="2783" max="2783" width="63.140625" style="2" customWidth="1"/>
    <col min="2784" max="2784" width="20" style="2" customWidth="1"/>
    <col min="2785" max="2785" width="11.140625" style="2" customWidth="1"/>
    <col min="2786" max="2786" width="10.85546875" style="2" customWidth="1"/>
    <col min="2787" max="2787" width="21" style="2" customWidth="1"/>
    <col min="2788" max="2788" width="10.85546875" style="2" customWidth="1"/>
    <col min="2789" max="2789" width="17.42578125" style="2" customWidth="1"/>
    <col min="2790" max="2790" width="14.85546875" style="2" customWidth="1"/>
    <col min="2791" max="2791" width="15" style="2" customWidth="1"/>
    <col min="2792" max="2792" width="14.85546875" style="2" customWidth="1"/>
    <col min="2793" max="2793" width="7.140625" style="2" customWidth="1"/>
    <col min="2794" max="2795" width="20.140625" style="2" customWidth="1"/>
    <col min="2796" max="2796" width="18.42578125" style="2" customWidth="1"/>
    <col min="2797" max="2797" width="9.140625" style="2" customWidth="1"/>
    <col min="2798" max="2798" width="12" style="2" customWidth="1"/>
    <col min="2799" max="2799" width="14.85546875" style="2" customWidth="1"/>
    <col min="2800" max="2800" width="22.42578125" style="2" customWidth="1"/>
    <col min="2801" max="2801" width="14.85546875" style="2" customWidth="1"/>
    <col min="2802" max="2802" width="7.140625" style="2" customWidth="1"/>
    <col min="2803" max="2803" width="20.140625" style="2" customWidth="1"/>
    <col min="2804" max="3035" width="8.85546875" style="2" customWidth="1"/>
    <col min="3036" max="3036" width="8.140625" style="2" customWidth="1"/>
    <col min="3037" max="3037" width="14.5703125" style="2" customWidth="1"/>
    <col min="3038" max="3038" width="37.42578125" style="2" customWidth="1"/>
    <col min="3039" max="3039" width="63.140625" style="2" customWidth="1"/>
    <col min="3040" max="3040" width="20" style="2" customWidth="1"/>
    <col min="3041" max="3041" width="11.140625" style="2" customWidth="1"/>
    <col min="3042" max="3042" width="10.85546875" style="2" customWidth="1"/>
    <col min="3043" max="3043" width="21" style="2" customWidth="1"/>
    <col min="3044" max="3044" width="10.85546875" style="2" customWidth="1"/>
    <col min="3045" max="3045" width="17.42578125" style="2" customWidth="1"/>
    <col min="3046" max="3046" width="14.85546875" style="2" customWidth="1"/>
    <col min="3047" max="3047" width="15" style="2" customWidth="1"/>
    <col min="3048" max="3048" width="14.85546875" style="2" customWidth="1"/>
    <col min="3049" max="3049" width="7.140625" style="2" customWidth="1"/>
    <col min="3050" max="3051" width="20.140625" style="2" customWidth="1"/>
    <col min="3052" max="3052" width="18.42578125" style="2" customWidth="1"/>
    <col min="3053" max="3053" width="9.140625" style="2" customWidth="1"/>
    <col min="3054" max="3054" width="12" style="2" customWidth="1"/>
    <col min="3055" max="3055" width="14.85546875" style="2" customWidth="1"/>
    <col min="3056" max="3056" width="22.42578125" style="2" customWidth="1"/>
    <col min="3057" max="3057" width="14.85546875" style="2" customWidth="1"/>
    <col min="3058" max="3058" width="7.140625" style="2" customWidth="1"/>
    <col min="3059" max="3059" width="20.140625" style="2" customWidth="1"/>
    <col min="3060" max="3291" width="8.85546875" style="2" customWidth="1"/>
    <col min="3292" max="3292" width="8.140625" style="2" customWidth="1"/>
    <col min="3293" max="3293" width="14.5703125" style="2" customWidth="1"/>
    <col min="3294" max="3294" width="37.42578125" style="2" customWidth="1"/>
    <col min="3295" max="3295" width="63.140625" style="2" customWidth="1"/>
    <col min="3296" max="3296" width="20" style="2" customWidth="1"/>
    <col min="3297" max="3297" width="11.140625" style="2" customWidth="1"/>
    <col min="3298" max="3298" width="10.85546875" style="2" customWidth="1"/>
    <col min="3299" max="3299" width="21" style="2" customWidth="1"/>
    <col min="3300" max="3300" width="10.85546875" style="2" customWidth="1"/>
    <col min="3301" max="3301" width="17.42578125" style="2" customWidth="1"/>
    <col min="3302" max="3302" width="14.85546875" style="2" customWidth="1"/>
    <col min="3303" max="3303" width="15" style="2" customWidth="1"/>
    <col min="3304" max="3304" width="14.85546875" style="2" customWidth="1"/>
    <col min="3305" max="3305" width="7.140625" style="2" customWidth="1"/>
    <col min="3306" max="3307" width="20.140625" style="2" customWidth="1"/>
    <col min="3308" max="3308" width="18.42578125" style="2" customWidth="1"/>
    <col min="3309" max="3309" width="9.140625" style="2" customWidth="1"/>
    <col min="3310" max="3310" width="12" style="2" customWidth="1"/>
    <col min="3311" max="3311" width="14.85546875" style="2" customWidth="1"/>
    <col min="3312" max="3312" width="22.42578125" style="2" customWidth="1"/>
    <col min="3313" max="3313" width="14.85546875" style="2" customWidth="1"/>
    <col min="3314" max="3314" width="7.140625" style="2" customWidth="1"/>
    <col min="3315" max="3315" width="20.140625" style="2" customWidth="1"/>
    <col min="3316" max="3547" width="8.85546875" style="2" customWidth="1"/>
    <col min="3548" max="3548" width="8.140625" style="2" customWidth="1"/>
    <col min="3549" max="3549" width="14.5703125" style="2" customWidth="1"/>
    <col min="3550" max="3550" width="37.42578125" style="2" customWidth="1"/>
    <col min="3551" max="3551" width="63.140625" style="2" customWidth="1"/>
    <col min="3552" max="3552" width="20" style="2" customWidth="1"/>
    <col min="3553" max="3553" width="11.140625" style="2" customWidth="1"/>
    <col min="3554" max="3554" width="10.85546875" style="2" customWidth="1"/>
    <col min="3555" max="3555" width="21" style="2" customWidth="1"/>
    <col min="3556" max="3556" width="10.85546875" style="2" customWidth="1"/>
    <col min="3557" max="3557" width="17.42578125" style="2" customWidth="1"/>
    <col min="3558" max="3558" width="14.85546875" style="2" customWidth="1"/>
    <col min="3559" max="3559" width="15" style="2" customWidth="1"/>
    <col min="3560" max="3560" width="14.85546875" style="2" customWidth="1"/>
    <col min="3561" max="3561" width="7.140625" style="2" customWidth="1"/>
    <col min="3562" max="3563" width="20.140625" style="2" customWidth="1"/>
    <col min="3564" max="3564" width="18.42578125" style="2" customWidth="1"/>
    <col min="3565" max="3565" width="9.140625" style="2" customWidth="1"/>
    <col min="3566" max="3566" width="12" style="2" customWidth="1"/>
    <col min="3567" max="3567" width="14.85546875" style="2" customWidth="1"/>
    <col min="3568" max="3568" width="22.42578125" style="2" customWidth="1"/>
    <col min="3569" max="3569" width="14.85546875" style="2" customWidth="1"/>
    <col min="3570" max="3570" width="7.140625" style="2" customWidth="1"/>
    <col min="3571" max="3571" width="20.140625" style="2" customWidth="1"/>
    <col min="3572" max="3803" width="8.85546875" style="2" customWidth="1"/>
    <col min="3804" max="3804" width="8.140625" style="2" customWidth="1"/>
    <col min="3805" max="3805" width="14.5703125" style="2" customWidth="1"/>
    <col min="3806" max="3806" width="37.42578125" style="2" customWidth="1"/>
    <col min="3807" max="3807" width="63.140625" style="2" customWidth="1"/>
    <col min="3808" max="3808" width="20" style="2" customWidth="1"/>
    <col min="3809" max="3809" width="11.140625" style="2" customWidth="1"/>
    <col min="3810" max="3810" width="10.85546875" style="2" customWidth="1"/>
    <col min="3811" max="3811" width="21" style="2" customWidth="1"/>
    <col min="3812" max="3812" width="10.85546875" style="2" customWidth="1"/>
    <col min="3813" max="3813" width="17.42578125" style="2" customWidth="1"/>
    <col min="3814" max="3814" width="14.85546875" style="2" customWidth="1"/>
    <col min="3815" max="3815" width="15" style="2" customWidth="1"/>
    <col min="3816" max="3816" width="14.85546875" style="2" customWidth="1"/>
    <col min="3817" max="3817" width="7.140625" style="2" customWidth="1"/>
    <col min="3818" max="3819" width="20.140625" style="2" customWidth="1"/>
    <col min="3820" max="3820" width="18.42578125" style="2" customWidth="1"/>
    <col min="3821" max="3821" width="9.140625" style="2" customWidth="1"/>
    <col min="3822" max="3822" width="12" style="2" customWidth="1"/>
    <col min="3823" max="3823" width="14.85546875" style="2" customWidth="1"/>
    <col min="3824" max="3824" width="22.42578125" style="2" customWidth="1"/>
    <col min="3825" max="3825" width="14.85546875" style="2" customWidth="1"/>
    <col min="3826" max="3826" width="7.140625" style="2" customWidth="1"/>
    <col min="3827" max="3827" width="20.140625" style="2" customWidth="1"/>
    <col min="3828" max="4059" width="8.85546875" style="2" customWidth="1"/>
    <col min="4060" max="4060" width="8.140625" style="2" customWidth="1"/>
    <col min="4061" max="4061" width="14.5703125" style="2" customWidth="1"/>
    <col min="4062" max="4062" width="37.42578125" style="2" customWidth="1"/>
    <col min="4063" max="4063" width="63.140625" style="2" customWidth="1"/>
    <col min="4064" max="4064" width="20" style="2" customWidth="1"/>
    <col min="4065" max="4065" width="11.140625" style="2" customWidth="1"/>
    <col min="4066" max="4066" width="10.85546875" style="2" customWidth="1"/>
    <col min="4067" max="4067" width="21" style="2" customWidth="1"/>
    <col min="4068" max="4068" width="10.85546875" style="2" customWidth="1"/>
    <col min="4069" max="4069" width="17.42578125" style="2" customWidth="1"/>
    <col min="4070" max="4070" width="14.85546875" style="2" customWidth="1"/>
    <col min="4071" max="4071" width="15" style="2" customWidth="1"/>
    <col min="4072" max="4072" width="14.85546875" style="2" customWidth="1"/>
    <col min="4073" max="4073" width="7.140625" style="2" customWidth="1"/>
    <col min="4074" max="4075" width="20.140625" style="2" customWidth="1"/>
    <col min="4076" max="4076" width="18.42578125" style="2" customWidth="1"/>
    <col min="4077" max="4077" width="9.140625" style="2" customWidth="1"/>
    <col min="4078" max="4078" width="12" style="2" customWidth="1"/>
    <col min="4079" max="4079" width="14.85546875" style="2" customWidth="1"/>
    <col min="4080" max="4080" width="22.42578125" style="2" customWidth="1"/>
    <col min="4081" max="4081" width="14.85546875" style="2" customWidth="1"/>
    <col min="4082" max="4082" width="7.140625" style="2" customWidth="1"/>
    <col min="4083" max="4083" width="20.140625" style="2" customWidth="1"/>
    <col min="4084" max="4315" width="8.85546875" style="2" customWidth="1"/>
    <col min="4316" max="4316" width="8.140625" style="2" customWidth="1"/>
    <col min="4317" max="4317" width="14.5703125" style="2" customWidth="1"/>
    <col min="4318" max="4318" width="37.42578125" style="2" customWidth="1"/>
    <col min="4319" max="4319" width="63.140625" style="2" customWidth="1"/>
    <col min="4320" max="4320" width="20" style="2" customWidth="1"/>
    <col min="4321" max="4321" width="11.140625" style="2" customWidth="1"/>
    <col min="4322" max="4322" width="10.85546875" style="2" customWidth="1"/>
    <col min="4323" max="4323" width="21" style="2" customWidth="1"/>
    <col min="4324" max="4324" width="10.85546875" style="2" customWidth="1"/>
    <col min="4325" max="4325" width="17.42578125" style="2" customWidth="1"/>
    <col min="4326" max="4326" width="14.85546875" style="2" customWidth="1"/>
    <col min="4327" max="4327" width="15" style="2" customWidth="1"/>
    <col min="4328" max="4328" width="14.85546875" style="2" customWidth="1"/>
    <col min="4329" max="4329" width="7.140625" style="2" customWidth="1"/>
    <col min="4330" max="4331" width="20.140625" style="2" customWidth="1"/>
    <col min="4332" max="4332" width="18.42578125" style="2" customWidth="1"/>
    <col min="4333" max="4333" width="9.140625" style="2" customWidth="1"/>
    <col min="4334" max="4334" width="12" style="2" customWidth="1"/>
    <col min="4335" max="4335" width="14.85546875" style="2" customWidth="1"/>
    <col min="4336" max="4336" width="22.42578125" style="2" customWidth="1"/>
    <col min="4337" max="4337" width="14.85546875" style="2" customWidth="1"/>
    <col min="4338" max="4338" width="7.140625" style="2" customWidth="1"/>
    <col min="4339" max="4339" width="20.140625" style="2" customWidth="1"/>
    <col min="4340" max="4571" width="8.85546875" style="2" customWidth="1"/>
    <col min="4572" max="4572" width="8.140625" style="2" customWidth="1"/>
    <col min="4573" max="4573" width="14.5703125" style="2" customWidth="1"/>
    <col min="4574" max="4574" width="37.42578125" style="2" customWidth="1"/>
    <col min="4575" max="4575" width="63.140625" style="2" customWidth="1"/>
    <col min="4576" max="4576" width="20" style="2" customWidth="1"/>
    <col min="4577" max="4577" width="11.140625" style="2" customWidth="1"/>
    <col min="4578" max="4578" width="10.85546875" style="2" customWidth="1"/>
    <col min="4579" max="4579" width="21" style="2" customWidth="1"/>
    <col min="4580" max="4580" width="10.85546875" style="2" customWidth="1"/>
    <col min="4581" max="4581" width="17.42578125" style="2" customWidth="1"/>
    <col min="4582" max="4582" width="14.85546875" style="2" customWidth="1"/>
    <col min="4583" max="4583" width="15" style="2" customWidth="1"/>
    <col min="4584" max="4584" width="14.85546875" style="2" customWidth="1"/>
    <col min="4585" max="4585" width="7.140625" style="2" customWidth="1"/>
    <col min="4586" max="4587" width="20.140625" style="2" customWidth="1"/>
    <col min="4588" max="4588" width="18.42578125" style="2" customWidth="1"/>
    <col min="4589" max="4589" width="9.140625" style="2" customWidth="1"/>
    <col min="4590" max="4590" width="12" style="2" customWidth="1"/>
    <col min="4591" max="4591" width="14.85546875" style="2" customWidth="1"/>
    <col min="4592" max="4592" width="22.42578125" style="2" customWidth="1"/>
    <col min="4593" max="4593" width="14.85546875" style="2" customWidth="1"/>
    <col min="4594" max="4594" width="7.140625" style="2" customWidth="1"/>
    <col min="4595" max="4595" width="20.140625" style="2" customWidth="1"/>
    <col min="4596" max="4827" width="8.85546875" style="2" customWidth="1"/>
    <col min="4828" max="4828" width="8.140625" style="2" customWidth="1"/>
    <col min="4829" max="4829" width="14.5703125" style="2" customWidth="1"/>
    <col min="4830" max="4830" width="37.42578125" style="2" customWidth="1"/>
    <col min="4831" max="4831" width="63.140625" style="2" customWidth="1"/>
    <col min="4832" max="4832" width="20" style="2" customWidth="1"/>
    <col min="4833" max="4833" width="11.140625" style="2" customWidth="1"/>
    <col min="4834" max="4834" width="10.85546875" style="2" customWidth="1"/>
    <col min="4835" max="4835" width="21" style="2" customWidth="1"/>
    <col min="4836" max="4836" width="10.85546875" style="2" customWidth="1"/>
    <col min="4837" max="4837" width="17.42578125" style="2" customWidth="1"/>
    <col min="4838" max="4838" width="14.85546875" style="2" customWidth="1"/>
    <col min="4839" max="4839" width="15" style="2" customWidth="1"/>
    <col min="4840" max="4840" width="14.85546875" style="2" customWidth="1"/>
    <col min="4841" max="4841" width="7.140625" style="2" customWidth="1"/>
    <col min="4842" max="4843" width="20.140625" style="2" customWidth="1"/>
    <col min="4844" max="4844" width="18.42578125" style="2" customWidth="1"/>
    <col min="4845" max="4845" width="9.140625" style="2" customWidth="1"/>
    <col min="4846" max="4846" width="12" style="2" customWidth="1"/>
    <col min="4847" max="4847" width="14.85546875" style="2" customWidth="1"/>
    <col min="4848" max="4848" width="22.42578125" style="2" customWidth="1"/>
    <col min="4849" max="4849" width="14.85546875" style="2" customWidth="1"/>
    <col min="4850" max="4850" width="7.140625" style="2" customWidth="1"/>
    <col min="4851" max="4851" width="20.140625" style="2" customWidth="1"/>
    <col min="4852" max="5083" width="8.85546875" style="2" customWidth="1"/>
    <col min="5084" max="5084" width="8.140625" style="2" customWidth="1"/>
    <col min="5085" max="5085" width="14.5703125" style="2" customWidth="1"/>
    <col min="5086" max="5086" width="37.42578125" style="2" customWidth="1"/>
    <col min="5087" max="5087" width="63.140625" style="2" customWidth="1"/>
    <col min="5088" max="5088" width="20" style="2" customWidth="1"/>
    <col min="5089" max="5089" width="11.140625" style="2" customWidth="1"/>
    <col min="5090" max="5090" width="10.85546875" style="2" customWidth="1"/>
    <col min="5091" max="5091" width="21" style="2" customWidth="1"/>
    <col min="5092" max="5092" width="10.85546875" style="2" customWidth="1"/>
    <col min="5093" max="5093" width="17.42578125" style="2" customWidth="1"/>
    <col min="5094" max="5094" width="14.85546875" style="2" customWidth="1"/>
    <col min="5095" max="5095" width="15" style="2" customWidth="1"/>
    <col min="5096" max="5096" width="14.85546875" style="2" customWidth="1"/>
    <col min="5097" max="5097" width="7.140625" style="2" customWidth="1"/>
    <col min="5098" max="5099" width="20.140625" style="2" customWidth="1"/>
    <col min="5100" max="5100" width="18.42578125" style="2" customWidth="1"/>
    <col min="5101" max="5101" width="9.140625" style="2" customWidth="1"/>
    <col min="5102" max="5102" width="12" style="2" customWidth="1"/>
    <col min="5103" max="5103" width="14.85546875" style="2" customWidth="1"/>
    <col min="5104" max="5104" width="22.42578125" style="2" customWidth="1"/>
    <col min="5105" max="5105" width="14.85546875" style="2" customWidth="1"/>
    <col min="5106" max="5106" width="7.140625" style="2" customWidth="1"/>
    <col min="5107" max="5107" width="20.140625" style="2" customWidth="1"/>
    <col min="5108" max="5339" width="8.85546875" style="2" customWidth="1"/>
    <col min="5340" max="5340" width="8.140625" style="2" customWidth="1"/>
    <col min="5341" max="5341" width="14.5703125" style="2" customWidth="1"/>
    <col min="5342" max="5342" width="37.42578125" style="2" customWidth="1"/>
    <col min="5343" max="5343" width="63.140625" style="2" customWidth="1"/>
    <col min="5344" max="5344" width="20" style="2" customWidth="1"/>
    <col min="5345" max="5345" width="11.140625" style="2" customWidth="1"/>
    <col min="5346" max="5346" width="10.85546875" style="2" customWidth="1"/>
    <col min="5347" max="5347" width="21" style="2" customWidth="1"/>
    <col min="5348" max="5348" width="10.85546875" style="2" customWidth="1"/>
    <col min="5349" max="5349" width="17.42578125" style="2" customWidth="1"/>
    <col min="5350" max="5350" width="14.85546875" style="2" customWidth="1"/>
    <col min="5351" max="5351" width="15" style="2" customWidth="1"/>
    <col min="5352" max="5352" width="14.85546875" style="2" customWidth="1"/>
    <col min="5353" max="5353" width="7.140625" style="2" customWidth="1"/>
    <col min="5354" max="5355" width="20.140625" style="2" customWidth="1"/>
    <col min="5356" max="5356" width="18.42578125" style="2" customWidth="1"/>
    <col min="5357" max="5357" width="9.140625" style="2" customWidth="1"/>
    <col min="5358" max="5358" width="12" style="2" customWidth="1"/>
    <col min="5359" max="5359" width="14.85546875" style="2" customWidth="1"/>
    <col min="5360" max="5360" width="22.42578125" style="2" customWidth="1"/>
    <col min="5361" max="5361" width="14.85546875" style="2" customWidth="1"/>
    <col min="5362" max="5362" width="7.140625" style="2" customWidth="1"/>
    <col min="5363" max="5363" width="20.140625" style="2" customWidth="1"/>
    <col min="5364" max="5595" width="8.85546875" style="2" customWidth="1"/>
    <col min="5596" max="5596" width="8.140625" style="2" customWidth="1"/>
    <col min="5597" max="5597" width="14.5703125" style="2" customWidth="1"/>
    <col min="5598" max="5598" width="37.42578125" style="2" customWidth="1"/>
    <col min="5599" max="5599" width="63.140625" style="2" customWidth="1"/>
    <col min="5600" max="5600" width="20" style="2" customWidth="1"/>
    <col min="5601" max="5601" width="11.140625" style="2" customWidth="1"/>
    <col min="5602" max="5602" width="10.85546875" style="2" customWidth="1"/>
    <col min="5603" max="5603" width="21" style="2" customWidth="1"/>
    <col min="5604" max="5604" width="10.85546875" style="2" customWidth="1"/>
    <col min="5605" max="5605" width="17.42578125" style="2" customWidth="1"/>
    <col min="5606" max="5606" width="14.85546875" style="2" customWidth="1"/>
    <col min="5607" max="5607" width="15" style="2" customWidth="1"/>
    <col min="5608" max="5608" width="14.85546875" style="2" customWidth="1"/>
    <col min="5609" max="5609" width="7.140625" style="2" customWidth="1"/>
    <col min="5610" max="5611" width="20.140625" style="2" customWidth="1"/>
    <col min="5612" max="5612" width="18.42578125" style="2" customWidth="1"/>
    <col min="5613" max="5613" width="9.140625" style="2" customWidth="1"/>
    <col min="5614" max="5614" width="12" style="2" customWidth="1"/>
    <col min="5615" max="5615" width="14.85546875" style="2" customWidth="1"/>
    <col min="5616" max="5616" width="22.42578125" style="2" customWidth="1"/>
    <col min="5617" max="5617" width="14.85546875" style="2" customWidth="1"/>
    <col min="5618" max="5618" width="7.140625" style="2" customWidth="1"/>
    <col min="5619" max="5619" width="20.140625" style="2" customWidth="1"/>
    <col min="5620" max="5851" width="8.85546875" style="2" customWidth="1"/>
    <col min="5852" max="5852" width="8.140625" style="2" customWidth="1"/>
    <col min="5853" max="5853" width="14.5703125" style="2" customWidth="1"/>
    <col min="5854" max="5854" width="37.42578125" style="2" customWidth="1"/>
    <col min="5855" max="5855" width="63.140625" style="2" customWidth="1"/>
    <col min="5856" max="5856" width="20" style="2" customWidth="1"/>
    <col min="5857" max="5857" width="11.140625" style="2" customWidth="1"/>
    <col min="5858" max="5858" width="10.85546875" style="2" customWidth="1"/>
    <col min="5859" max="5859" width="21" style="2" customWidth="1"/>
    <col min="5860" max="5860" width="10.85546875" style="2" customWidth="1"/>
    <col min="5861" max="5861" width="17.42578125" style="2" customWidth="1"/>
    <col min="5862" max="5862" width="14.85546875" style="2" customWidth="1"/>
    <col min="5863" max="5863" width="15" style="2" customWidth="1"/>
    <col min="5864" max="5864" width="14.85546875" style="2" customWidth="1"/>
    <col min="5865" max="5865" width="7.140625" style="2" customWidth="1"/>
    <col min="5866" max="5867" width="20.140625" style="2" customWidth="1"/>
    <col min="5868" max="5868" width="18.42578125" style="2" customWidth="1"/>
    <col min="5869" max="5869" width="9.140625" style="2" customWidth="1"/>
    <col min="5870" max="5870" width="12" style="2" customWidth="1"/>
    <col min="5871" max="5871" width="14.85546875" style="2" customWidth="1"/>
    <col min="5872" max="5872" width="22.42578125" style="2" customWidth="1"/>
    <col min="5873" max="5873" width="14.85546875" style="2" customWidth="1"/>
    <col min="5874" max="5874" width="7.140625" style="2" customWidth="1"/>
    <col min="5875" max="5875" width="20.140625" style="2" customWidth="1"/>
    <col min="5876" max="6107" width="8.85546875" style="2" customWidth="1"/>
    <col min="6108" max="6108" width="8.140625" style="2" customWidth="1"/>
    <col min="6109" max="6109" width="14.5703125" style="2" customWidth="1"/>
    <col min="6110" max="6110" width="37.42578125" style="2" customWidth="1"/>
    <col min="6111" max="6111" width="63.140625" style="2" customWidth="1"/>
    <col min="6112" max="6112" width="20" style="2" customWidth="1"/>
    <col min="6113" max="6113" width="11.140625" style="2" customWidth="1"/>
    <col min="6114" max="6114" width="10.85546875" style="2" customWidth="1"/>
    <col min="6115" max="6115" width="21" style="2" customWidth="1"/>
    <col min="6116" max="6116" width="10.85546875" style="2" customWidth="1"/>
    <col min="6117" max="6117" width="17.42578125" style="2" customWidth="1"/>
    <col min="6118" max="6118" width="14.85546875" style="2" customWidth="1"/>
    <col min="6119" max="6119" width="15" style="2" customWidth="1"/>
    <col min="6120" max="6120" width="14.85546875" style="2" customWidth="1"/>
    <col min="6121" max="6121" width="7.140625" style="2" customWidth="1"/>
    <col min="6122" max="6123" width="20.140625" style="2" customWidth="1"/>
    <col min="6124" max="6124" width="18.42578125" style="2" customWidth="1"/>
    <col min="6125" max="6125" width="9.140625" style="2" customWidth="1"/>
    <col min="6126" max="6126" width="12" style="2" customWidth="1"/>
    <col min="6127" max="6127" width="14.85546875" style="2" customWidth="1"/>
    <col min="6128" max="6128" width="22.42578125" style="2" customWidth="1"/>
    <col min="6129" max="6129" width="14.85546875" style="2" customWidth="1"/>
    <col min="6130" max="6130" width="7.140625" style="2" customWidth="1"/>
    <col min="6131" max="6131" width="20.140625" style="2" customWidth="1"/>
    <col min="6132" max="6363" width="8.85546875" style="2" customWidth="1"/>
    <col min="6364" max="6364" width="8.140625" style="2" customWidth="1"/>
    <col min="6365" max="6365" width="14.5703125" style="2" customWidth="1"/>
    <col min="6366" max="6366" width="37.42578125" style="2" customWidth="1"/>
    <col min="6367" max="6367" width="63.140625" style="2" customWidth="1"/>
    <col min="6368" max="6368" width="20" style="2" customWidth="1"/>
    <col min="6369" max="6369" width="11.140625" style="2" customWidth="1"/>
    <col min="6370" max="6370" width="10.85546875" style="2" customWidth="1"/>
    <col min="6371" max="6371" width="21" style="2" customWidth="1"/>
    <col min="6372" max="6372" width="10.85546875" style="2" customWidth="1"/>
    <col min="6373" max="6373" width="17.42578125" style="2" customWidth="1"/>
    <col min="6374" max="6374" width="14.85546875" style="2" customWidth="1"/>
    <col min="6375" max="6375" width="15" style="2" customWidth="1"/>
    <col min="6376" max="6376" width="14.85546875" style="2" customWidth="1"/>
    <col min="6377" max="6377" width="7.140625" style="2" customWidth="1"/>
    <col min="6378" max="6379" width="20.140625" style="2" customWidth="1"/>
    <col min="6380" max="6380" width="18.42578125" style="2" customWidth="1"/>
    <col min="6381" max="6381" width="9.140625" style="2" customWidth="1"/>
    <col min="6382" max="6382" width="12" style="2" customWidth="1"/>
    <col min="6383" max="6383" width="14.85546875" style="2" customWidth="1"/>
    <col min="6384" max="6384" width="22.42578125" style="2" customWidth="1"/>
    <col min="6385" max="6385" width="14.85546875" style="2" customWidth="1"/>
    <col min="6386" max="6386" width="7.140625" style="2" customWidth="1"/>
    <col min="6387" max="6387" width="20.140625" style="2" customWidth="1"/>
    <col min="6388" max="6619" width="8.85546875" style="2" customWidth="1"/>
    <col min="6620" max="6620" width="8.140625" style="2" customWidth="1"/>
    <col min="6621" max="6621" width="14.5703125" style="2" customWidth="1"/>
    <col min="6622" max="6622" width="37.42578125" style="2" customWidth="1"/>
    <col min="6623" max="6623" width="63.140625" style="2" customWidth="1"/>
    <col min="6624" max="6624" width="20" style="2" customWidth="1"/>
    <col min="6625" max="6625" width="11.140625" style="2" customWidth="1"/>
    <col min="6626" max="6626" width="10.85546875" style="2" customWidth="1"/>
    <col min="6627" max="6627" width="21" style="2" customWidth="1"/>
    <col min="6628" max="6628" width="10.85546875" style="2" customWidth="1"/>
    <col min="6629" max="6629" width="17.42578125" style="2" customWidth="1"/>
    <col min="6630" max="6630" width="14.85546875" style="2" customWidth="1"/>
    <col min="6631" max="6631" width="15" style="2" customWidth="1"/>
    <col min="6632" max="6632" width="14.85546875" style="2" customWidth="1"/>
    <col min="6633" max="6633" width="7.140625" style="2" customWidth="1"/>
    <col min="6634" max="6635" width="20.140625" style="2" customWidth="1"/>
    <col min="6636" max="6636" width="18.42578125" style="2" customWidth="1"/>
    <col min="6637" max="6637" width="9.140625" style="2" customWidth="1"/>
    <col min="6638" max="6638" width="12" style="2" customWidth="1"/>
    <col min="6639" max="6639" width="14.85546875" style="2" customWidth="1"/>
    <col min="6640" max="6640" width="22.42578125" style="2" customWidth="1"/>
    <col min="6641" max="6641" width="14.85546875" style="2" customWidth="1"/>
    <col min="6642" max="6642" width="7.140625" style="2" customWidth="1"/>
    <col min="6643" max="6643" width="20.140625" style="2" customWidth="1"/>
    <col min="6644" max="6875" width="8.85546875" style="2" customWidth="1"/>
    <col min="6876" max="6876" width="8.140625" style="2" customWidth="1"/>
    <col min="6877" max="6877" width="14.5703125" style="2" customWidth="1"/>
    <col min="6878" max="6878" width="37.42578125" style="2" customWidth="1"/>
    <col min="6879" max="6879" width="63.140625" style="2" customWidth="1"/>
    <col min="6880" max="6880" width="20" style="2" customWidth="1"/>
    <col min="6881" max="6881" width="11.140625" style="2" customWidth="1"/>
    <col min="6882" max="6882" width="10.85546875" style="2" customWidth="1"/>
    <col min="6883" max="6883" width="21" style="2" customWidth="1"/>
    <col min="6884" max="6884" width="10.85546875" style="2" customWidth="1"/>
    <col min="6885" max="6885" width="17.42578125" style="2" customWidth="1"/>
    <col min="6886" max="6886" width="14.85546875" style="2" customWidth="1"/>
    <col min="6887" max="6887" width="15" style="2" customWidth="1"/>
    <col min="6888" max="6888" width="14.85546875" style="2" customWidth="1"/>
    <col min="6889" max="6889" width="7.140625" style="2" customWidth="1"/>
    <col min="6890" max="6891" width="20.140625" style="2" customWidth="1"/>
    <col min="6892" max="6892" width="18.42578125" style="2" customWidth="1"/>
    <col min="6893" max="6893" width="9.140625" style="2" customWidth="1"/>
    <col min="6894" max="6894" width="12" style="2" customWidth="1"/>
    <col min="6895" max="6895" width="14.85546875" style="2" customWidth="1"/>
    <col min="6896" max="6896" width="22.42578125" style="2" customWidth="1"/>
    <col min="6897" max="6897" width="14.85546875" style="2" customWidth="1"/>
    <col min="6898" max="6898" width="7.140625" style="2" customWidth="1"/>
    <col min="6899" max="6899" width="20.140625" style="2" customWidth="1"/>
    <col min="6900" max="7131" width="8.85546875" style="2" customWidth="1"/>
    <col min="7132" max="7132" width="8.140625" style="2" customWidth="1"/>
    <col min="7133" max="7133" width="14.5703125" style="2" customWidth="1"/>
    <col min="7134" max="7134" width="37.42578125" style="2" customWidth="1"/>
    <col min="7135" max="7135" width="63.140625" style="2" customWidth="1"/>
    <col min="7136" max="7136" width="20" style="2" customWidth="1"/>
    <col min="7137" max="7137" width="11.140625" style="2" customWidth="1"/>
    <col min="7138" max="7138" width="10.85546875" style="2" customWidth="1"/>
    <col min="7139" max="7139" width="21" style="2" customWidth="1"/>
    <col min="7140" max="7140" width="10.85546875" style="2" customWidth="1"/>
    <col min="7141" max="7141" width="17.42578125" style="2" customWidth="1"/>
    <col min="7142" max="7142" width="14.85546875" style="2" customWidth="1"/>
    <col min="7143" max="7143" width="15" style="2" customWidth="1"/>
    <col min="7144" max="7144" width="14.85546875" style="2" customWidth="1"/>
    <col min="7145" max="7145" width="7.140625" style="2" customWidth="1"/>
    <col min="7146" max="7147" width="20.140625" style="2" customWidth="1"/>
    <col min="7148" max="7148" width="18.42578125" style="2" customWidth="1"/>
    <col min="7149" max="7149" width="9.140625" style="2" customWidth="1"/>
    <col min="7150" max="7150" width="12" style="2" customWidth="1"/>
    <col min="7151" max="7151" width="14.85546875" style="2" customWidth="1"/>
    <col min="7152" max="7152" width="22.42578125" style="2" customWidth="1"/>
    <col min="7153" max="7153" width="14.85546875" style="2" customWidth="1"/>
    <col min="7154" max="7154" width="7.140625" style="2" customWidth="1"/>
    <col min="7155" max="7155" width="20.140625" style="2" customWidth="1"/>
    <col min="7156" max="7387" width="8.85546875" style="2" customWidth="1"/>
    <col min="7388" max="7388" width="8.140625" style="2" customWidth="1"/>
    <col min="7389" max="7389" width="14.5703125" style="2" customWidth="1"/>
    <col min="7390" max="7390" width="37.42578125" style="2" customWidth="1"/>
    <col min="7391" max="7391" width="63.140625" style="2" customWidth="1"/>
    <col min="7392" max="7392" width="20" style="2" customWidth="1"/>
    <col min="7393" max="7393" width="11.140625" style="2" customWidth="1"/>
    <col min="7394" max="7394" width="10.85546875" style="2" customWidth="1"/>
    <col min="7395" max="7395" width="21" style="2" customWidth="1"/>
    <col min="7396" max="7396" width="10.85546875" style="2" customWidth="1"/>
    <col min="7397" max="7397" width="17.42578125" style="2" customWidth="1"/>
    <col min="7398" max="7398" width="14.85546875" style="2" customWidth="1"/>
    <col min="7399" max="7399" width="15" style="2" customWidth="1"/>
    <col min="7400" max="7400" width="14.85546875" style="2" customWidth="1"/>
    <col min="7401" max="7401" width="7.140625" style="2" customWidth="1"/>
    <col min="7402" max="7403" width="20.140625" style="2" customWidth="1"/>
    <col min="7404" max="7404" width="18.42578125" style="2" customWidth="1"/>
    <col min="7405" max="7405" width="9.140625" style="2" customWidth="1"/>
    <col min="7406" max="7406" width="12" style="2" customWidth="1"/>
    <col min="7407" max="7407" width="14.85546875" style="2" customWidth="1"/>
    <col min="7408" max="7408" width="22.42578125" style="2" customWidth="1"/>
    <col min="7409" max="7409" width="14.85546875" style="2" customWidth="1"/>
    <col min="7410" max="7410" width="7.140625" style="2" customWidth="1"/>
    <col min="7411" max="7411" width="20.140625" style="2" customWidth="1"/>
    <col min="7412" max="7643" width="8.85546875" style="2" customWidth="1"/>
    <col min="7644" max="7644" width="8.140625" style="2" customWidth="1"/>
    <col min="7645" max="7645" width="14.5703125" style="2" customWidth="1"/>
    <col min="7646" max="7646" width="37.42578125" style="2" customWidth="1"/>
    <col min="7647" max="7647" width="63.140625" style="2" customWidth="1"/>
    <col min="7648" max="7648" width="20" style="2" customWidth="1"/>
    <col min="7649" max="7649" width="11.140625" style="2" customWidth="1"/>
    <col min="7650" max="7650" width="10.85546875" style="2" customWidth="1"/>
    <col min="7651" max="7651" width="21" style="2" customWidth="1"/>
    <col min="7652" max="7652" width="10.85546875" style="2" customWidth="1"/>
    <col min="7653" max="7653" width="17.42578125" style="2" customWidth="1"/>
    <col min="7654" max="7654" width="14.85546875" style="2" customWidth="1"/>
    <col min="7655" max="7655" width="15" style="2" customWidth="1"/>
    <col min="7656" max="7656" width="14.85546875" style="2" customWidth="1"/>
    <col min="7657" max="7657" width="7.140625" style="2" customWidth="1"/>
    <col min="7658" max="7659" width="20.140625" style="2" customWidth="1"/>
    <col min="7660" max="7660" width="18.42578125" style="2" customWidth="1"/>
    <col min="7661" max="7661" width="9.140625" style="2" customWidth="1"/>
    <col min="7662" max="7662" width="12" style="2" customWidth="1"/>
    <col min="7663" max="7663" width="14.85546875" style="2" customWidth="1"/>
    <col min="7664" max="7664" width="22.42578125" style="2" customWidth="1"/>
    <col min="7665" max="7665" width="14.85546875" style="2" customWidth="1"/>
    <col min="7666" max="7666" width="7.140625" style="2" customWidth="1"/>
    <col min="7667" max="7667" width="20.140625" style="2" customWidth="1"/>
    <col min="7668" max="7899" width="8.85546875" style="2" customWidth="1"/>
    <col min="7900" max="7900" width="8.140625" style="2" customWidth="1"/>
    <col min="7901" max="7901" width="14.5703125" style="2" customWidth="1"/>
    <col min="7902" max="7902" width="37.42578125" style="2" customWidth="1"/>
    <col min="7903" max="7903" width="63.140625" style="2" customWidth="1"/>
    <col min="7904" max="7904" width="20" style="2" customWidth="1"/>
    <col min="7905" max="7905" width="11.140625" style="2" customWidth="1"/>
    <col min="7906" max="7906" width="10.85546875" style="2" customWidth="1"/>
    <col min="7907" max="7907" width="21" style="2" customWidth="1"/>
    <col min="7908" max="7908" width="10.85546875" style="2" customWidth="1"/>
    <col min="7909" max="7909" width="17.42578125" style="2" customWidth="1"/>
    <col min="7910" max="7910" width="14.85546875" style="2" customWidth="1"/>
    <col min="7911" max="7911" width="15" style="2" customWidth="1"/>
    <col min="7912" max="7912" width="14.85546875" style="2" customWidth="1"/>
    <col min="7913" max="7913" width="7.140625" style="2" customWidth="1"/>
    <col min="7914" max="7915" width="20.140625" style="2" customWidth="1"/>
    <col min="7916" max="7916" width="18.42578125" style="2" customWidth="1"/>
    <col min="7917" max="7917" width="9.140625" style="2" customWidth="1"/>
    <col min="7918" max="7918" width="12" style="2" customWidth="1"/>
    <col min="7919" max="7919" width="14.85546875" style="2" customWidth="1"/>
    <col min="7920" max="7920" width="22.42578125" style="2" customWidth="1"/>
    <col min="7921" max="7921" width="14.85546875" style="2" customWidth="1"/>
    <col min="7922" max="7922" width="7.140625" style="2" customWidth="1"/>
    <col min="7923" max="7923" width="20.140625" style="2" customWidth="1"/>
    <col min="7924" max="8155" width="8.85546875" style="2" customWidth="1"/>
    <col min="8156" max="8156" width="8.140625" style="2" customWidth="1"/>
    <col min="8157" max="8157" width="14.5703125" style="2" customWidth="1"/>
    <col min="8158" max="8158" width="37.42578125" style="2" customWidth="1"/>
    <col min="8159" max="8159" width="63.140625" style="2" customWidth="1"/>
    <col min="8160" max="8160" width="20" style="2" customWidth="1"/>
    <col min="8161" max="8161" width="11.140625" style="2" customWidth="1"/>
    <col min="8162" max="8162" width="10.85546875" style="2" customWidth="1"/>
    <col min="8163" max="8163" width="21" style="2" customWidth="1"/>
    <col min="8164" max="8164" width="10.85546875" style="2" customWidth="1"/>
    <col min="8165" max="8165" width="17.42578125" style="2" customWidth="1"/>
    <col min="8166" max="8166" width="14.85546875" style="2" customWidth="1"/>
    <col min="8167" max="8167" width="15" style="2" customWidth="1"/>
    <col min="8168" max="8168" width="14.85546875" style="2" customWidth="1"/>
    <col min="8169" max="8169" width="7.140625" style="2" customWidth="1"/>
    <col min="8170" max="8171" width="20.140625" style="2" customWidth="1"/>
    <col min="8172" max="8172" width="18.42578125" style="2" customWidth="1"/>
    <col min="8173" max="8173" width="9.140625" style="2" customWidth="1"/>
    <col min="8174" max="8174" width="12" style="2" customWidth="1"/>
    <col min="8175" max="8175" width="14.85546875" style="2" customWidth="1"/>
    <col min="8176" max="8176" width="22.42578125" style="2" customWidth="1"/>
    <col min="8177" max="8177" width="14.85546875" style="2" customWidth="1"/>
    <col min="8178" max="8178" width="7.140625" style="2" customWidth="1"/>
    <col min="8179" max="8179" width="20.140625" style="2" customWidth="1"/>
    <col min="8180" max="8411" width="8.85546875" style="2" customWidth="1"/>
    <col min="8412" max="8412" width="8.140625" style="2" customWidth="1"/>
    <col min="8413" max="8413" width="14.5703125" style="2" customWidth="1"/>
    <col min="8414" max="8414" width="37.42578125" style="2" customWidth="1"/>
    <col min="8415" max="8415" width="63.140625" style="2" customWidth="1"/>
    <col min="8416" max="8416" width="20" style="2" customWidth="1"/>
    <col min="8417" max="8417" width="11.140625" style="2" customWidth="1"/>
    <col min="8418" max="8418" width="10.85546875" style="2" customWidth="1"/>
    <col min="8419" max="8419" width="21" style="2" customWidth="1"/>
    <col min="8420" max="8420" width="10.85546875" style="2" customWidth="1"/>
    <col min="8421" max="8421" width="17.42578125" style="2" customWidth="1"/>
    <col min="8422" max="8422" width="14.85546875" style="2" customWidth="1"/>
    <col min="8423" max="8423" width="15" style="2" customWidth="1"/>
    <col min="8424" max="8424" width="14.85546875" style="2" customWidth="1"/>
    <col min="8425" max="8425" width="7.140625" style="2" customWidth="1"/>
    <col min="8426" max="8427" width="20.140625" style="2" customWidth="1"/>
    <col min="8428" max="8428" width="18.42578125" style="2" customWidth="1"/>
    <col min="8429" max="8429" width="9.140625" style="2" customWidth="1"/>
    <col min="8430" max="8430" width="12" style="2" customWidth="1"/>
    <col min="8431" max="8431" width="14.85546875" style="2" customWidth="1"/>
    <col min="8432" max="8432" width="22.42578125" style="2" customWidth="1"/>
    <col min="8433" max="8433" width="14.85546875" style="2" customWidth="1"/>
    <col min="8434" max="8434" width="7.140625" style="2" customWidth="1"/>
    <col min="8435" max="8435" width="20.140625" style="2" customWidth="1"/>
    <col min="8436" max="8667" width="8.85546875" style="2" customWidth="1"/>
    <col min="8668" max="8668" width="8.140625" style="2" customWidth="1"/>
    <col min="8669" max="8669" width="14.5703125" style="2" customWidth="1"/>
    <col min="8670" max="8670" width="37.42578125" style="2" customWidth="1"/>
    <col min="8671" max="8671" width="63.140625" style="2" customWidth="1"/>
    <col min="8672" max="8672" width="20" style="2" customWidth="1"/>
    <col min="8673" max="8673" width="11.140625" style="2" customWidth="1"/>
    <col min="8674" max="8674" width="10.85546875" style="2" customWidth="1"/>
    <col min="8675" max="8675" width="21" style="2" customWidth="1"/>
    <col min="8676" max="8676" width="10.85546875" style="2" customWidth="1"/>
    <col min="8677" max="8677" width="17.42578125" style="2" customWidth="1"/>
    <col min="8678" max="8678" width="14.85546875" style="2" customWidth="1"/>
    <col min="8679" max="8679" width="15" style="2" customWidth="1"/>
    <col min="8680" max="8680" width="14.85546875" style="2" customWidth="1"/>
    <col min="8681" max="8681" width="7.140625" style="2" customWidth="1"/>
    <col min="8682" max="8683" width="20.140625" style="2" customWidth="1"/>
    <col min="8684" max="8684" width="18.42578125" style="2" customWidth="1"/>
    <col min="8685" max="8685" width="9.140625" style="2" customWidth="1"/>
    <col min="8686" max="8686" width="12" style="2" customWidth="1"/>
    <col min="8687" max="8687" width="14.85546875" style="2" customWidth="1"/>
    <col min="8688" max="8688" width="22.42578125" style="2" customWidth="1"/>
    <col min="8689" max="8689" width="14.85546875" style="2" customWidth="1"/>
    <col min="8690" max="8690" width="7.140625" style="2" customWidth="1"/>
    <col min="8691" max="8691" width="20.140625" style="2" customWidth="1"/>
    <col min="8692" max="8923" width="8.85546875" style="2" customWidth="1"/>
    <col min="8924" max="8924" width="8.140625" style="2" customWidth="1"/>
    <col min="8925" max="8925" width="14.5703125" style="2" customWidth="1"/>
    <col min="8926" max="8926" width="37.42578125" style="2" customWidth="1"/>
    <col min="8927" max="8927" width="63.140625" style="2" customWidth="1"/>
    <col min="8928" max="8928" width="20" style="2" customWidth="1"/>
    <col min="8929" max="8929" width="11.140625" style="2" customWidth="1"/>
    <col min="8930" max="8930" width="10.85546875" style="2" customWidth="1"/>
    <col min="8931" max="8931" width="21" style="2" customWidth="1"/>
    <col min="8932" max="8932" width="10.85546875" style="2" customWidth="1"/>
    <col min="8933" max="8933" width="17.42578125" style="2" customWidth="1"/>
    <col min="8934" max="8934" width="14.85546875" style="2" customWidth="1"/>
    <col min="8935" max="8935" width="15" style="2" customWidth="1"/>
    <col min="8936" max="8936" width="14.85546875" style="2" customWidth="1"/>
    <col min="8937" max="8937" width="7.140625" style="2" customWidth="1"/>
    <col min="8938" max="8939" width="20.140625" style="2" customWidth="1"/>
    <col min="8940" max="8940" width="18.42578125" style="2" customWidth="1"/>
    <col min="8941" max="8941" width="9.140625" style="2" customWidth="1"/>
    <col min="8942" max="8942" width="12" style="2" customWidth="1"/>
    <col min="8943" max="8943" width="14.85546875" style="2" customWidth="1"/>
    <col min="8944" max="8944" width="22.42578125" style="2" customWidth="1"/>
    <col min="8945" max="8945" width="14.85546875" style="2" customWidth="1"/>
    <col min="8946" max="8946" width="7.140625" style="2" customWidth="1"/>
    <col min="8947" max="8947" width="20.140625" style="2" customWidth="1"/>
    <col min="8948" max="9179" width="8.85546875" style="2" customWidth="1"/>
    <col min="9180" max="9180" width="8.140625" style="2" customWidth="1"/>
    <col min="9181" max="9181" width="14.5703125" style="2" customWidth="1"/>
    <col min="9182" max="9182" width="37.42578125" style="2" customWidth="1"/>
    <col min="9183" max="9183" width="63.140625" style="2" customWidth="1"/>
    <col min="9184" max="9184" width="20" style="2" customWidth="1"/>
    <col min="9185" max="9185" width="11.140625" style="2" customWidth="1"/>
    <col min="9186" max="9186" width="10.85546875" style="2" customWidth="1"/>
    <col min="9187" max="9187" width="21" style="2" customWidth="1"/>
    <col min="9188" max="9188" width="10.85546875" style="2" customWidth="1"/>
    <col min="9189" max="9189" width="17.42578125" style="2" customWidth="1"/>
    <col min="9190" max="9190" width="14.85546875" style="2" customWidth="1"/>
    <col min="9191" max="9191" width="15" style="2" customWidth="1"/>
    <col min="9192" max="9192" width="14.85546875" style="2" customWidth="1"/>
    <col min="9193" max="9193" width="7.140625" style="2" customWidth="1"/>
    <col min="9194" max="9195" width="20.140625" style="2" customWidth="1"/>
    <col min="9196" max="9196" width="18.42578125" style="2" customWidth="1"/>
    <col min="9197" max="9197" width="9.140625" style="2" customWidth="1"/>
    <col min="9198" max="9198" width="12" style="2" customWidth="1"/>
    <col min="9199" max="9199" width="14.85546875" style="2" customWidth="1"/>
    <col min="9200" max="9200" width="22.42578125" style="2" customWidth="1"/>
    <col min="9201" max="9201" width="14.85546875" style="2" customWidth="1"/>
    <col min="9202" max="9202" width="7.140625" style="2" customWidth="1"/>
    <col min="9203" max="9203" width="20.140625" style="2" customWidth="1"/>
    <col min="9204" max="9435" width="8.85546875" style="2" customWidth="1"/>
    <col min="9436" max="9436" width="8.140625" style="2" customWidth="1"/>
    <col min="9437" max="9437" width="14.5703125" style="2" customWidth="1"/>
    <col min="9438" max="9438" width="37.42578125" style="2" customWidth="1"/>
    <col min="9439" max="9439" width="63.140625" style="2" customWidth="1"/>
    <col min="9440" max="9440" width="20" style="2" customWidth="1"/>
    <col min="9441" max="9441" width="11.140625" style="2" customWidth="1"/>
    <col min="9442" max="9442" width="10.85546875" style="2" customWidth="1"/>
    <col min="9443" max="9443" width="21" style="2" customWidth="1"/>
    <col min="9444" max="9444" width="10.85546875" style="2" customWidth="1"/>
    <col min="9445" max="9445" width="17.42578125" style="2" customWidth="1"/>
    <col min="9446" max="9446" width="14.85546875" style="2" customWidth="1"/>
    <col min="9447" max="9447" width="15" style="2" customWidth="1"/>
    <col min="9448" max="9448" width="14.85546875" style="2" customWidth="1"/>
    <col min="9449" max="9449" width="7.140625" style="2" customWidth="1"/>
    <col min="9450" max="9451" width="20.140625" style="2" customWidth="1"/>
    <col min="9452" max="9452" width="18.42578125" style="2" customWidth="1"/>
    <col min="9453" max="9453" width="9.140625" style="2" customWidth="1"/>
    <col min="9454" max="9454" width="12" style="2" customWidth="1"/>
    <col min="9455" max="9455" width="14.85546875" style="2" customWidth="1"/>
    <col min="9456" max="9456" width="22.42578125" style="2" customWidth="1"/>
    <col min="9457" max="9457" width="14.85546875" style="2" customWidth="1"/>
    <col min="9458" max="9458" width="7.140625" style="2" customWidth="1"/>
    <col min="9459" max="9459" width="20.140625" style="2" customWidth="1"/>
    <col min="9460" max="9691" width="8.85546875" style="2" customWidth="1"/>
    <col min="9692" max="9692" width="8.140625" style="2" customWidth="1"/>
    <col min="9693" max="9693" width="14.5703125" style="2" customWidth="1"/>
    <col min="9694" max="9694" width="37.42578125" style="2" customWidth="1"/>
    <col min="9695" max="9695" width="63.140625" style="2" customWidth="1"/>
    <col min="9696" max="9696" width="20" style="2" customWidth="1"/>
    <col min="9697" max="9697" width="11.140625" style="2" customWidth="1"/>
    <col min="9698" max="9698" width="10.85546875" style="2" customWidth="1"/>
    <col min="9699" max="9699" width="21" style="2" customWidth="1"/>
    <col min="9700" max="9700" width="10.85546875" style="2" customWidth="1"/>
    <col min="9701" max="9701" width="17.42578125" style="2" customWidth="1"/>
    <col min="9702" max="9702" width="14.85546875" style="2" customWidth="1"/>
    <col min="9703" max="9703" width="15" style="2" customWidth="1"/>
    <col min="9704" max="9704" width="14.85546875" style="2" customWidth="1"/>
    <col min="9705" max="9705" width="7.140625" style="2" customWidth="1"/>
    <col min="9706" max="9707" width="20.140625" style="2" customWidth="1"/>
    <col min="9708" max="9708" width="18.42578125" style="2" customWidth="1"/>
    <col min="9709" max="9709" width="9.140625" style="2" customWidth="1"/>
    <col min="9710" max="9710" width="12" style="2" customWidth="1"/>
    <col min="9711" max="9711" width="14.85546875" style="2" customWidth="1"/>
    <col min="9712" max="9712" width="22.42578125" style="2" customWidth="1"/>
    <col min="9713" max="9713" width="14.85546875" style="2" customWidth="1"/>
    <col min="9714" max="9714" width="7.140625" style="2" customWidth="1"/>
    <col min="9715" max="9715" width="20.140625" style="2" customWidth="1"/>
    <col min="9716" max="9947" width="8.85546875" style="2" customWidth="1"/>
    <col min="9948" max="9948" width="8.140625" style="2" customWidth="1"/>
    <col min="9949" max="9949" width="14.5703125" style="2" customWidth="1"/>
    <col min="9950" max="9950" width="37.42578125" style="2" customWidth="1"/>
    <col min="9951" max="9951" width="63.140625" style="2" customWidth="1"/>
    <col min="9952" max="9952" width="20" style="2" customWidth="1"/>
    <col min="9953" max="9953" width="11.140625" style="2" customWidth="1"/>
    <col min="9954" max="9954" width="10.85546875" style="2" customWidth="1"/>
    <col min="9955" max="9955" width="21" style="2" customWidth="1"/>
    <col min="9956" max="9956" width="10.85546875" style="2" customWidth="1"/>
    <col min="9957" max="9957" width="17.42578125" style="2" customWidth="1"/>
    <col min="9958" max="9958" width="14.85546875" style="2" customWidth="1"/>
    <col min="9959" max="9959" width="15" style="2" customWidth="1"/>
    <col min="9960" max="9960" width="14.85546875" style="2" customWidth="1"/>
    <col min="9961" max="9961" width="7.140625" style="2" customWidth="1"/>
    <col min="9962" max="9963" width="20.140625" style="2" customWidth="1"/>
    <col min="9964" max="9964" width="18.42578125" style="2" customWidth="1"/>
    <col min="9965" max="9965" width="9.140625" style="2" customWidth="1"/>
    <col min="9966" max="9966" width="12" style="2" customWidth="1"/>
    <col min="9967" max="9967" width="14.85546875" style="2" customWidth="1"/>
    <col min="9968" max="9968" width="22.42578125" style="2" customWidth="1"/>
    <col min="9969" max="9969" width="14.85546875" style="2" customWidth="1"/>
    <col min="9970" max="9970" width="7.140625" style="2" customWidth="1"/>
    <col min="9971" max="9971" width="20.140625" style="2" customWidth="1"/>
    <col min="9972" max="10203" width="8.85546875" style="2" customWidth="1"/>
    <col min="10204" max="10204" width="8.140625" style="2" customWidth="1"/>
    <col min="10205" max="10205" width="14.5703125" style="2" customWidth="1"/>
    <col min="10206" max="10206" width="37.42578125" style="2" customWidth="1"/>
    <col min="10207" max="10207" width="63.140625" style="2" customWidth="1"/>
    <col min="10208" max="10208" width="20" style="2" customWidth="1"/>
    <col min="10209" max="10209" width="11.140625" style="2" customWidth="1"/>
    <col min="10210" max="10210" width="10.85546875" style="2" customWidth="1"/>
    <col min="10211" max="10211" width="21" style="2" customWidth="1"/>
    <col min="10212" max="10212" width="10.85546875" style="2" customWidth="1"/>
    <col min="10213" max="10213" width="17.42578125" style="2" customWidth="1"/>
    <col min="10214" max="10214" width="14.85546875" style="2" customWidth="1"/>
    <col min="10215" max="10215" width="15" style="2" customWidth="1"/>
    <col min="10216" max="10216" width="14.85546875" style="2" customWidth="1"/>
    <col min="10217" max="10217" width="7.140625" style="2" customWidth="1"/>
    <col min="10218" max="10219" width="20.140625" style="2" customWidth="1"/>
    <col min="10220" max="10220" width="18.42578125" style="2" customWidth="1"/>
    <col min="10221" max="10221" width="9.140625" style="2" customWidth="1"/>
    <col min="10222" max="10222" width="12" style="2" customWidth="1"/>
    <col min="10223" max="10223" width="14.85546875" style="2" customWidth="1"/>
    <col min="10224" max="10224" width="22.42578125" style="2" customWidth="1"/>
    <col min="10225" max="10225" width="14.85546875" style="2" customWidth="1"/>
    <col min="10226" max="10226" width="7.140625" style="2" customWidth="1"/>
    <col min="10227" max="10227" width="20.140625" style="2" customWidth="1"/>
    <col min="10228" max="10459" width="8.85546875" style="2" customWidth="1"/>
    <col min="10460" max="10460" width="8.140625" style="2" customWidth="1"/>
    <col min="10461" max="10461" width="14.5703125" style="2" customWidth="1"/>
    <col min="10462" max="10462" width="37.42578125" style="2" customWidth="1"/>
    <col min="10463" max="10463" width="63.140625" style="2" customWidth="1"/>
    <col min="10464" max="10464" width="20" style="2" customWidth="1"/>
    <col min="10465" max="10465" width="11.140625" style="2" customWidth="1"/>
    <col min="10466" max="10466" width="10.85546875" style="2" customWidth="1"/>
    <col min="10467" max="10467" width="21" style="2" customWidth="1"/>
    <col min="10468" max="10468" width="10.85546875" style="2" customWidth="1"/>
    <col min="10469" max="10469" width="17.42578125" style="2" customWidth="1"/>
    <col min="10470" max="10470" width="14.85546875" style="2" customWidth="1"/>
    <col min="10471" max="10471" width="15" style="2" customWidth="1"/>
    <col min="10472" max="10472" width="14.85546875" style="2" customWidth="1"/>
    <col min="10473" max="10473" width="7.140625" style="2" customWidth="1"/>
    <col min="10474" max="10475" width="20.140625" style="2" customWidth="1"/>
    <col min="10476" max="10476" width="18.42578125" style="2" customWidth="1"/>
    <col min="10477" max="10477" width="9.140625" style="2" customWidth="1"/>
    <col min="10478" max="10478" width="12" style="2" customWidth="1"/>
    <col min="10479" max="10479" width="14.85546875" style="2" customWidth="1"/>
    <col min="10480" max="10480" width="22.42578125" style="2" customWidth="1"/>
    <col min="10481" max="10481" width="14.85546875" style="2" customWidth="1"/>
    <col min="10482" max="10482" width="7.140625" style="2" customWidth="1"/>
    <col min="10483" max="10483" width="20.140625" style="2" customWidth="1"/>
    <col min="10484" max="10715" width="8.85546875" style="2" customWidth="1"/>
    <col min="10716" max="10716" width="8.140625" style="2" customWidth="1"/>
    <col min="10717" max="10717" width="14.5703125" style="2" customWidth="1"/>
    <col min="10718" max="10718" width="37.42578125" style="2" customWidth="1"/>
    <col min="10719" max="10719" width="63.140625" style="2" customWidth="1"/>
    <col min="10720" max="10720" width="20" style="2" customWidth="1"/>
    <col min="10721" max="10721" width="11.140625" style="2" customWidth="1"/>
    <col min="10722" max="10722" width="10.85546875" style="2" customWidth="1"/>
    <col min="10723" max="10723" width="21" style="2" customWidth="1"/>
    <col min="10724" max="10724" width="10.85546875" style="2" customWidth="1"/>
    <col min="10725" max="10725" width="17.42578125" style="2" customWidth="1"/>
    <col min="10726" max="10726" width="14.85546875" style="2" customWidth="1"/>
    <col min="10727" max="10727" width="15" style="2" customWidth="1"/>
    <col min="10728" max="10728" width="14.85546875" style="2" customWidth="1"/>
    <col min="10729" max="10729" width="7.140625" style="2" customWidth="1"/>
    <col min="10730" max="10731" width="20.140625" style="2" customWidth="1"/>
    <col min="10732" max="10732" width="18.42578125" style="2" customWidth="1"/>
    <col min="10733" max="10733" width="9.140625" style="2" customWidth="1"/>
    <col min="10734" max="10734" width="12" style="2" customWidth="1"/>
    <col min="10735" max="10735" width="14.85546875" style="2" customWidth="1"/>
    <col min="10736" max="10736" width="22.42578125" style="2" customWidth="1"/>
    <col min="10737" max="10737" width="14.85546875" style="2" customWidth="1"/>
    <col min="10738" max="10738" width="7.140625" style="2" customWidth="1"/>
    <col min="10739" max="10739" width="20.140625" style="2" customWidth="1"/>
    <col min="10740" max="10971" width="8.85546875" style="2" customWidth="1"/>
    <col min="10972" max="10972" width="8.140625" style="2" customWidth="1"/>
    <col min="10973" max="10973" width="14.5703125" style="2" customWidth="1"/>
    <col min="10974" max="10974" width="37.42578125" style="2" customWidth="1"/>
    <col min="10975" max="10975" width="63.140625" style="2" customWidth="1"/>
    <col min="10976" max="10976" width="20" style="2" customWidth="1"/>
    <col min="10977" max="10977" width="11.140625" style="2" customWidth="1"/>
    <col min="10978" max="10978" width="10.85546875" style="2" customWidth="1"/>
    <col min="10979" max="10979" width="21" style="2" customWidth="1"/>
    <col min="10980" max="10980" width="10.85546875" style="2" customWidth="1"/>
    <col min="10981" max="10981" width="17.42578125" style="2" customWidth="1"/>
    <col min="10982" max="10982" width="14.85546875" style="2" customWidth="1"/>
    <col min="10983" max="10983" width="15" style="2" customWidth="1"/>
    <col min="10984" max="10984" width="14.85546875" style="2" customWidth="1"/>
    <col min="10985" max="10985" width="7.140625" style="2" customWidth="1"/>
    <col min="10986" max="10987" width="20.140625" style="2" customWidth="1"/>
    <col min="10988" max="10988" width="18.42578125" style="2" customWidth="1"/>
    <col min="10989" max="10989" width="9.140625" style="2" customWidth="1"/>
    <col min="10990" max="10990" width="12" style="2" customWidth="1"/>
    <col min="10991" max="10991" width="14.85546875" style="2" customWidth="1"/>
    <col min="10992" max="10992" width="22.42578125" style="2" customWidth="1"/>
    <col min="10993" max="10993" width="14.85546875" style="2" customWidth="1"/>
    <col min="10994" max="10994" width="7.140625" style="2" customWidth="1"/>
    <col min="10995" max="10995" width="20.140625" style="2" customWidth="1"/>
    <col min="10996" max="11227" width="8.85546875" style="2" customWidth="1"/>
    <col min="11228" max="11228" width="8.140625" style="2" customWidth="1"/>
    <col min="11229" max="11229" width="14.5703125" style="2" customWidth="1"/>
    <col min="11230" max="11230" width="37.42578125" style="2" customWidth="1"/>
    <col min="11231" max="11231" width="63.140625" style="2" customWidth="1"/>
    <col min="11232" max="11232" width="20" style="2" customWidth="1"/>
    <col min="11233" max="11233" width="11.140625" style="2" customWidth="1"/>
    <col min="11234" max="11234" width="10.85546875" style="2" customWidth="1"/>
    <col min="11235" max="11235" width="21" style="2" customWidth="1"/>
    <col min="11236" max="11236" width="10.85546875" style="2" customWidth="1"/>
    <col min="11237" max="11237" width="17.42578125" style="2" customWidth="1"/>
    <col min="11238" max="11238" width="14.85546875" style="2" customWidth="1"/>
    <col min="11239" max="11239" width="15" style="2" customWidth="1"/>
    <col min="11240" max="11240" width="14.85546875" style="2" customWidth="1"/>
    <col min="11241" max="11241" width="7.140625" style="2" customWidth="1"/>
    <col min="11242" max="11243" width="20.140625" style="2" customWidth="1"/>
    <col min="11244" max="11244" width="18.42578125" style="2" customWidth="1"/>
    <col min="11245" max="11245" width="9.140625" style="2" customWidth="1"/>
    <col min="11246" max="11246" width="12" style="2" customWidth="1"/>
    <col min="11247" max="11247" width="14.85546875" style="2" customWidth="1"/>
    <col min="11248" max="11248" width="22.42578125" style="2" customWidth="1"/>
    <col min="11249" max="11249" width="14.85546875" style="2" customWidth="1"/>
    <col min="11250" max="11250" width="7.140625" style="2" customWidth="1"/>
    <col min="11251" max="11251" width="20.140625" style="2" customWidth="1"/>
    <col min="11252" max="11483" width="8.85546875" style="2" customWidth="1"/>
    <col min="11484" max="11484" width="8.140625" style="2" customWidth="1"/>
    <col min="11485" max="11485" width="14.5703125" style="2" customWidth="1"/>
    <col min="11486" max="11486" width="37.42578125" style="2" customWidth="1"/>
    <col min="11487" max="11487" width="63.140625" style="2" customWidth="1"/>
    <col min="11488" max="11488" width="20" style="2" customWidth="1"/>
    <col min="11489" max="11489" width="11.140625" style="2" customWidth="1"/>
    <col min="11490" max="11490" width="10.85546875" style="2" customWidth="1"/>
    <col min="11491" max="11491" width="21" style="2" customWidth="1"/>
    <col min="11492" max="11492" width="10.85546875" style="2" customWidth="1"/>
    <col min="11493" max="11493" width="17.42578125" style="2" customWidth="1"/>
    <col min="11494" max="11494" width="14.85546875" style="2" customWidth="1"/>
    <col min="11495" max="11495" width="15" style="2" customWidth="1"/>
    <col min="11496" max="11496" width="14.85546875" style="2" customWidth="1"/>
    <col min="11497" max="11497" width="7.140625" style="2" customWidth="1"/>
    <col min="11498" max="11499" width="20.140625" style="2" customWidth="1"/>
    <col min="11500" max="11500" width="18.42578125" style="2" customWidth="1"/>
    <col min="11501" max="11501" width="9.140625" style="2" customWidth="1"/>
    <col min="11502" max="11502" width="12" style="2" customWidth="1"/>
    <col min="11503" max="11503" width="14.85546875" style="2" customWidth="1"/>
    <col min="11504" max="11504" width="22.42578125" style="2" customWidth="1"/>
    <col min="11505" max="11505" width="14.85546875" style="2" customWidth="1"/>
    <col min="11506" max="11506" width="7.140625" style="2" customWidth="1"/>
    <col min="11507" max="11507" width="20.140625" style="2" customWidth="1"/>
    <col min="11508" max="11739" width="8.85546875" style="2" customWidth="1"/>
    <col min="11740" max="11740" width="8.140625" style="2" customWidth="1"/>
    <col min="11741" max="11741" width="14.5703125" style="2" customWidth="1"/>
    <col min="11742" max="11742" width="37.42578125" style="2" customWidth="1"/>
    <col min="11743" max="11743" width="63.140625" style="2" customWidth="1"/>
    <col min="11744" max="11744" width="20" style="2" customWidth="1"/>
    <col min="11745" max="11745" width="11.140625" style="2" customWidth="1"/>
    <col min="11746" max="11746" width="10.85546875" style="2" customWidth="1"/>
    <col min="11747" max="11747" width="21" style="2" customWidth="1"/>
    <col min="11748" max="11748" width="10.85546875" style="2" customWidth="1"/>
    <col min="11749" max="11749" width="17.42578125" style="2" customWidth="1"/>
    <col min="11750" max="11750" width="14.85546875" style="2" customWidth="1"/>
    <col min="11751" max="11751" width="15" style="2" customWidth="1"/>
    <col min="11752" max="11752" width="14.85546875" style="2" customWidth="1"/>
    <col min="11753" max="11753" width="7.140625" style="2" customWidth="1"/>
    <col min="11754" max="11755" width="20.140625" style="2" customWidth="1"/>
    <col min="11756" max="11756" width="18.42578125" style="2" customWidth="1"/>
    <col min="11757" max="11757" width="9.140625" style="2" customWidth="1"/>
    <col min="11758" max="11758" width="12" style="2" customWidth="1"/>
    <col min="11759" max="11759" width="14.85546875" style="2" customWidth="1"/>
    <col min="11760" max="11760" width="22.42578125" style="2" customWidth="1"/>
    <col min="11761" max="11761" width="14.85546875" style="2" customWidth="1"/>
    <col min="11762" max="11762" width="7.140625" style="2" customWidth="1"/>
    <col min="11763" max="11763" width="20.140625" style="2" customWidth="1"/>
    <col min="11764" max="11995" width="8.85546875" style="2" customWidth="1"/>
    <col min="11996" max="11996" width="8.140625" style="2" customWidth="1"/>
    <col min="11997" max="11997" width="14.5703125" style="2" customWidth="1"/>
    <col min="11998" max="11998" width="37.42578125" style="2" customWidth="1"/>
    <col min="11999" max="11999" width="63.140625" style="2" customWidth="1"/>
    <col min="12000" max="12000" width="20" style="2" customWidth="1"/>
    <col min="12001" max="12001" width="11.140625" style="2" customWidth="1"/>
    <col min="12002" max="12002" width="10.85546875" style="2" customWidth="1"/>
    <col min="12003" max="12003" width="21" style="2" customWidth="1"/>
    <col min="12004" max="12004" width="10.85546875" style="2" customWidth="1"/>
    <col min="12005" max="12005" width="17.42578125" style="2" customWidth="1"/>
    <col min="12006" max="12006" width="14.85546875" style="2" customWidth="1"/>
    <col min="12007" max="12007" width="15" style="2" customWidth="1"/>
    <col min="12008" max="12008" width="14.85546875" style="2" customWidth="1"/>
    <col min="12009" max="12009" width="7.140625" style="2" customWidth="1"/>
    <col min="12010" max="12011" width="20.140625" style="2" customWidth="1"/>
    <col min="12012" max="12012" width="18.42578125" style="2" customWidth="1"/>
    <col min="12013" max="12013" width="9.140625" style="2" customWidth="1"/>
    <col min="12014" max="12014" width="12" style="2" customWidth="1"/>
    <col min="12015" max="12015" width="14.85546875" style="2" customWidth="1"/>
    <col min="12016" max="12016" width="22.42578125" style="2" customWidth="1"/>
    <col min="12017" max="12017" width="14.85546875" style="2" customWidth="1"/>
    <col min="12018" max="12018" width="7.140625" style="2" customWidth="1"/>
    <col min="12019" max="12019" width="20.140625" style="2" customWidth="1"/>
    <col min="12020" max="12251" width="8.85546875" style="2" customWidth="1"/>
    <col min="12252" max="12252" width="8.140625" style="2" customWidth="1"/>
    <col min="12253" max="12253" width="14.5703125" style="2" customWidth="1"/>
    <col min="12254" max="12254" width="37.42578125" style="2" customWidth="1"/>
    <col min="12255" max="12255" width="63.140625" style="2" customWidth="1"/>
    <col min="12256" max="12256" width="20" style="2" customWidth="1"/>
    <col min="12257" max="12257" width="11.140625" style="2" customWidth="1"/>
    <col min="12258" max="12258" width="10.85546875" style="2" customWidth="1"/>
    <col min="12259" max="12259" width="21" style="2" customWidth="1"/>
    <col min="12260" max="12260" width="10.85546875" style="2" customWidth="1"/>
    <col min="12261" max="12261" width="17.42578125" style="2" customWidth="1"/>
    <col min="12262" max="12262" width="14.85546875" style="2" customWidth="1"/>
    <col min="12263" max="12263" width="15" style="2" customWidth="1"/>
    <col min="12264" max="12264" width="14.85546875" style="2" customWidth="1"/>
    <col min="12265" max="12265" width="7.140625" style="2" customWidth="1"/>
    <col min="12266" max="12267" width="20.140625" style="2" customWidth="1"/>
    <col min="12268" max="12268" width="18.42578125" style="2" customWidth="1"/>
    <col min="12269" max="12269" width="9.140625" style="2" customWidth="1"/>
    <col min="12270" max="12270" width="12" style="2" customWidth="1"/>
    <col min="12271" max="12271" width="14.85546875" style="2" customWidth="1"/>
    <col min="12272" max="12272" width="22.42578125" style="2" customWidth="1"/>
    <col min="12273" max="12273" width="14.85546875" style="2" customWidth="1"/>
    <col min="12274" max="12274" width="7.140625" style="2" customWidth="1"/>
    <col min="12275" max="12275" width="20.140625" style="2" customWidth="1"/>
    <col min="12276" max="12507" width="8.85546875" style="2" customWidth="1"/>
    <col min="12508" max="12508" width="8.140625" style="2" customWidth="1"/>
    <col min="12509" max="12509" width="14.5703125" style="2" customWidth="1"/>
    <col min="12510" max="12510" width="37.42578125" style="2" customWidth="1"/>
    <col min="12511" max="12511" width="63.140625" style="2" customWidth="1"/>
    <col min="12512" max="12512" width="20" style="2" customWidth="1"/>
    <col min="12513" max="12513" width="11.140625" style="2" customWidth="1"/>
    <col min="12514" max="12514" width="10.85546875" style="2" customWidth="1"/>
    <col min="12515" max="12515" width="21" style="2" customWidth="1"/>
    <col min="12516" max="12516" width="10.85546875" style="2" customWidth="1"/>
    <col min="12517" max="12517" width="17.42578125" style="2" customWidth="1"/>
    <col min="12518" max="12518" width="14.85546875" style="2" customWidth="1"/>
    <col min="12519" max="12519" width="15" style="2" customWidth="1"/>
    <col min="12520" max="12520" width="14.85546875" style="2" customWidth="1"/>
    <col min="12521" max="12521" width="7.140625" style="2" customWidth="1"/>
    <col min="12522" max="12523" width="20.140625" style="2" customWidth="1"/>
    <col min="12524" max="12524" width="18.42578125" style="2" customWidth="1"/>
    <col min="12525" max="12525" width="9.140625" style="2" customWidth="1"/>
    <col min="12526" max="12526" width="12" style="2" customWidth="1"/>
    <col min="12527" max="12527" width="14.85546875" style="2" customWidth="1"/>
    <col min="12528" max="12528" width="22.42578125" style="2" customWidth="1"/>
    <col min="12529" max="12529" width="14.85546875" style="2" customWidth="1"/>
    <col min="12530" max="12530" width="7.140625" style="2" customWidth="1"/>
    <col min="12531" max="12531" width="20.140625" style="2" customWidth="1"/>
    <col min="12532" max="12763" width="8.85546875" style="2" customWidth="1"/>
    <col min="12764" max="12764" width="8.140625" style="2" customWidth="1"/>
    <col min="12765" max="12765" width="14.5703125" style="2" customWidth="1"/>
    <col min="12766" max="12766" width="37.42578125" style="2" customWidth="1"/>
    <col min="12767" max="12767" width="63.140625" style="2" customWidth="1"/>
    <col min="12768" max="12768" width="20" style="2" customWidth="1"/>
    <col min="12769" max="12769" width="11.140625" style="2" customWidth="1"/>
    <col min="12770" max="12770" width="10.85546875" style="2" customWidth="1"/>
    <col min="12771" max="12771" width="21" style="2" customWidth="1"/>
    <col min="12772" max="12772" width="10.85546875" style="2" customWidth="1"/>
    <col min="12773" max="12773" width="17.42578125" style="2" customWidth="1"/>
    <col min="12774" max="12774" width="14.85546875" style="2" customWidth="1"/>
    <col min="12775" max="12775" width="15" style="2" customWidth="1"/>
    <col min="12776" max="12776" width="14.85546875" style="2" customWidth="1"/>
    <col min="12777" max="12777" width="7.140625" style="2" customWidth="1"/>
    <col min="12778" max="12779" width="20.140625" style="2" customWidth="1"/>
    <col min="12780" max="12780" width="18.42578125" style="2" customWidth="1"/>
    <col min="12781" max="12781" width="9.140625" style="2" customWidth="1"/>
    <col min="12782" max="12782" width="12" style="2" customWidth="1"/>
    <col min="12783" max="12783" width="14.85546875" style="2" customWidth="1"/>
    <col min="12784" max="12784" width="22.42578125" style="2" customWidth="1"/>
    <col min="12785" max="12785" width="14.85546875" style="2" customWidth="1"/>
    <col min="12786" max="12786" width="7.140625" style="2" customWidth="1"/>
    <col min="12787" max="12787" width="20.140625" style="2" customWidth="1"/>
    <col min="12788" max="13019" width="8.85546875" style="2" customWidth="1"/>
    <col min="13020" max="13020" width="8.140625" style="2" customWidth="1"/>
    <col min="13021" max="13021" width="14.5703125" style="2" customWidth="1"/>
    <col min="13022" max="13022" width="37.42578125" style="2" customWidth="1"/>
    <col min="13023" max="13023" width="63.140625" style="2" customWidth="1"/>
    <col min="13024" max="13024" width="20" style="2" customWidth="1"/>
    <col min="13025" max="13025" width="11.140625" style="2" customWidth="1"/>
    <col min="13026" max="13026" width="10.85546875" style="2" customWidth="1"/>
    <col min="13027" max="13027" width="21" style="2" customWidth="1"/>
    <col min="13028" max="13028" width="10.85546875" style="2" customWidth="1"/>
    <col min="13029" max="13029" width="17.42578125" style="2" customWidth="1"/>
    <col min="13030" max="13030" width="14.85546875" style="2" customWidth="1"/>
    <col min="13031" max="13031" width="15" style="2" customWidth="1"/>
    <col min="13032" max="13032" width="14.85546875" style="2" customWidth="1"/>
    <col min="13033" max="13033" width="7.140625" style="2" customWidth="1"/>
    <col min="13034" max="13035" width="20.140625" style="2" customWidth="1"/>
    <col min="13036" max="13036" width="18.42578125" style="2" customWidth="1"/>
    <col min="13037" max="13037" width="9.140625" style="2" customWidth="1"/>
    <col min="13038" max="13038" width="12" style="2" customWidth="1"/>
    <col min="13039" max="13039" width="14.85546875" style="2" customWidth="1"/>
    <col min="13040" max="13040" width="22.42578125" style="2" customWidth="1"/>
    <col min="13041" max="13041" width="14.85546875" style="2" customWidth="1"/>
    <col min="13042" max="13042" width="7.140625" style="2" customWidth="1"/>
    <col min="13043" max="13043" width="20.140625" style="2" customWidth="1"/>
    <col min="13044" max="13275" width="8.85546875" style="2" customWidth="1"/>
    <col min="13276" max="13276" width="8.140625" style="2" customWidth="1"/>
    <col min="13277" max="13277" width="14.5703125" style="2" customWidth="1"/>
    <col min="13278" max="13278" width="37.42578125" style="2" customWidth="1"/>
    <col min="13279" max="13279" width="63.140625" style="2" customWidth="1"/>
    <col min="13280" max="13280" width="20" style="2" customWidth="1"/>
    <col min="13281" max="13281" width="11.140625" style="2" customWidth="1"/>
    <col min="13282" max="13282" width="10.85546875" style="2" customWidth="1"/>
    <col min="13283" max="13283" width="21" style="2" customWidth="1"/>
    <col min="13284" max="13284" width="10.85546875" style="2" customWidth="1"/>
    <col min="13285" max="13285" width="17.42578125" style="2" customWidth="1"/>
    <col min="13286" max="13286" width="14.85546875" style="2" customWidth="1"/>
    <col min="13287" max="13287" width="15" style="2" customWidth="1"/>
    <col min="13288" max="13288" width="14.85546875" style="2" customWidth="1"/>
    <col min="13289" max="13289" width="7.140625" style="2" customWidth="1"/>
    <col min="13290" max="13291" width="20.140625" style="2" customWidth="1"/>
    <col min="13292" max="13292" width="18.42578125" style="2" customWidth="1"/>
    <col min="13293" max="13293" width="9.140625" style="2" customWidth="1"/>
    <col min="13294" max="13294" width="12" style="2" customWidth="1"/>
    <col min="13295" max="13295" width="14.85546875" style="2" customWidth="1"/>
    <col min="13296" max="13296" width="22.42578125" style="2" customWidth="1"/>
    <col min="13297" max="13297" width="14.85546875" style="2" customWidth="1"/>
    <col min="13298" max="13298" width="7.140625" style="2" customWidth="1"/>
    <col min="13299" max="13299" width="20.140625" style="2" customWidth="1"/>
    <col min="13300" max="13531" width="8.85546875" style="2" customWidth="1"/>
    <col min="13532" max="13532" width="8.140625" style="2" customWidth="1"/>
    <col min="13533" max="13533" width="14.5703125" style="2" customWidth="1"/>
    <col min="13534" max="13534" width="37.42578125" style="2" customWidth="1"/>
    <col min="13535" max="13535" width="63.140625" style="2" customWidth="1"/>
    <col min="13536" max="13536" width="20" style="2" customWidth="1"/>
    <col min="13537" max="13537" width="11.140625" style="2" customWidth="1"/>
    <col min="13538" max="13538" width="10.85546875" style="2" customWidth="1"/>
    <col min="13539" max="13539" width="21" style="2" customWidth="1"/>
    <col min="13540" max="13540" width="10.85546875" style="2" customWidth="1"/>
    <col min="13541" max="13541" width="17.42578125" style="2" customWidth="1"/>
    <col min="13542" max="13542" width="14.85546875" style="2" customWidth="1"/>
    <col min="13543" max="13543" width="15" style="2" customWidth="1"/>
    <col min="13544" max="13544" width="14.85546875" style="2" customWidth="1"/>
    <col min="13545" max="13545" width="7.140625" style="2" customWidth="1"/>
    <col min="13546" max="13547" width="20.140625" style="2" customWidth="1"/>
    <col min="13548" max="13548" width="18.42578125" style="2" customWidth="1"/>
    <col min="13549" max="13549" width="9.140625" style="2" customWidth="1"/>
    <col min="13550" max="13550" width="12" style="2" customWidth="1"/>
    <col min="13551" max="13551" width="14.85546875" style="2" customWidth="1"/>
    <col min="13552" max="13552" width="22.42578125" style="2" customWidth="1"/>
    <col min="13553" max="13553" width="14.85546875" style="2" customWidth="1"/>
    <col min="13554" max="13554" width="7.140625" style="2" customWidth="1"/>
    <col min="13555" max="13555" width="20.140625" style="2" customWidth="1"/>
    <col min="13556" max="13787" width="8.85546875" style="2" customWidth="1"/>
    <col min="13788" max="13788" width="8.140625" style="2" customWidth="1"/>
    <col min="13789" max="13789" width="14.5703125" style="2" customWidth="1"/>
    <col min="13790" max="13790" width="37.42578125" style="2" customWidth="1"/>
    <col min="13791" max="13791" width="63.140625" style="2" customWidth="1"/>
    <col min="13792" max="13792" width="20" style="2" customWidth="1"/>
    <col min="13793" max="13793" width="11.140625" style="2" customWidth="1"/>
    <col min="13794" max="13794" width="10.85546875" style="2" customWidth="1"/>
    <col min="13795" max="13795" width="21" style="2" customWidth="1"/>
    <col min="13796" max="13796" width="10.85546875" style="2" customWidth="1"/>
    <col min="13797" max="13797" width="17.42578125" style="2" customWidth="1"/>
    <col min="13798" max="13798" width="14.85546875" style="2" customWidth="1"/>
    <col min="13799" max="13799" width="15" style="2" customWidth="1"/>
    <col min="13800" max="13800" width="14.85546875" style="2" customWidth="1"/>
    <col min="13801" max="13801" width="7.140625" style="2" customWidth="1"/>
    <col min="13802" max="13803" width="20.140625" style="2" customWidth="1"/>
    <col min="13804" max="13804" width="18.42578125" style="2" customWidth="1"/>
    <col min="13805" max="13805" width="9.140625" style="2" customWidth="1"/>
    <col min="13806" max="13806" width="12" style="2" customWidth="1"/>
    <col min="13807" max="13807" width="14.85546875" style="2" customWidth="1"/>
    <col min="13808" max="13808" width="22.42578125" style="2" customWidth="1"/>
    <col min="13809" max="13809" width="14.85546875" style="2" customWidth="1"/>
    <col min="13810" max="13810" width="7.140625" style="2" customWidth="1"/>
    <col min="13811" max="13811" width="20.140625" style="2" customWidth="1"/>
    <col min="13812" max="14043" width="8.85546875" style="2" customWidth="1"/>
    <col min="14044" max="14044" width="8.140625" style="2" customWidth="1"/>
    <col min="14045" max="14045" width="14.5703125" style="2" customWidth="1"/>
    <col min="14046" max="14046" width="37.42578125" style="2" customWidth="1"/>
    <col min="14047" max="14047" width="63.140625" style="2" customWidth="1"/>
    <col min="14048" max="14048" width="20" style="2" customWidth="1"/>
    <col min="14049" max="14049" width="11.140625" style="2" customWidth="1"/>
    <col min="14050" max="14050" width="10.85546875" style="2" customWidth="1"/>
    <col min="14051" max="14051" width="21" style="2" customWidth="1"/>
    <col min="14052" max="14052" width="10.85546875" style="2" customWidth="1"/>
    <col min="14053" max="14053" width="17.42578125" style="2" customWidth="1"/>
    <col min="14054" max="14054" width="14.85546875" style="2" customWidth="1"/>
    <col min="14055" max="14055" width="15" style="2" customWidth="1"/>
    <col min="14056" max="14056" width="14.85546875" style="2" customWidth="1"/>
    <col min="14057" max="14057" width="7.140625" style="2" customWidth="1"/>
    <col min="14058" max="14059" width="20.140625" style="2" customWidth="1"/>
    <col min="14060" max="14060" width="18.42578125" style="2" customWidth="1"/>
    <col min="14061" max="14061" width="9.140625" style="2" customWidth="1"/>
    <col min="14062" max="14062" width="12" style="2" customWidth="1"/>
    <col min="14063" max="14063" width="14.85546875" style="2" customWidth="1"/>
    <col min="14064" max="14064" width="22.42578125" style="2" customWidth="1"/>
    <col min="14065" max="14065" width="14.85546875" style="2" customWidth="1"/>
    <col min="14066" max="14066" width="7.140625" style="2" customWidth="1"/>
    <col min="14067" max="14067" width="20.140625" style="2" customWidth="1"/>
    <col min="14068" max="14299" width="8.85546875" style="2" customWidth="1"/>
    <col min="14300" max="14300" width="8.140625" style="2" customWidth="1"/>
    <col min="14301" max="14301" width="14.5703125" style="2" customWidth="1"/>
    <col min="14302" max="14302" width="37.42578125" style="2" customWidth="1"/>
    <col min="14303" max="14303" width="63.140625" style="2" customWidth="1"/>
    <col min="14304" max="14304" width="20" style="2" customWidth="1"/>
    <col min="14305" max="14305" width="11.140625" style="2" customWidth="1"/>
    <col min="14306" max="14306" width="10.85546875" style="2" customWidth="1"/>
    <col min="14307" max="14307" width="21" style="2" customWidth="1"/>
    <col min="14308" max="14308" width="10.85546875" style="2" customWidth="1"/>
    <col min="14309" max="14309" width="17.42578125" style="2" customWidth="1"/>
    <col min="14310" max="14310" width="14.85546875" style="2" customWidth="1"/>
    <col min="14311" max="14311" width="15" style="2" customWidth="1"/>
    <col min="14312" max="14312" width="14.85546875" style="2" customWidth="1"/>
    <col min="14313" max="14313" width="7.140625" style="2" customWidth="1"/>
    <col min="14314" max="14315" width="20.140625" style="2" customWidth="1"/>
    <col min="14316" max="14316" width="18.42578125" style="2" customWidth="1"/>
    <col min="14317" max="14317" width="9.140625" style="2" customWidth="1"/>
    <col min="14318" max="14318" width="12" style="2" customWidth="1"/>
    <col min="14319" max="14319" width="14.85546875" style="2" customWidth="1"/>
    <col min="14320" max="14320" width="22.42578125" style="2" customWidth="1"/>
    <col min="14321" max="14321" width="14.85546875" style="2" customWidth="1"/>
    <col min="14322" max="14322" width="7.140625" style="2" customWidth="1"/>
    <col min="14323" max="14323" width="20.140625" style="2" customWidth="1"/>
    <col min="14324" max="14555" width="8.85546875" style="2" customWidth="1"/>
    <col min="14556" max="14556" width="8.140625" style="2" customWidth="1"/>
    <col min="14557" max="14557" width="14.5703125" style="2" customWidth="1"/>
    <col min="14558" max="14558" width="37.42578125" style="2" customWidth="1"/>
    <col min="14559" max="14559" width="63.140625" style="2" customWidth="1"/>
    <col min="14560" max="14560" width="20" style="2" customWidth="1"/>
    <col min="14561" max="14561" width="11.140625" style="2" customWidth="1"/>
    <col min="14562" max="14562" width="10.85546875" style="2" customWidth="1"/>
    <col min="14563" max="14563" width="21" style="2" customWidth="1"/>
    <col min="14564" max="14564" width="10.85546875" style="2" customWidth="1"/>
    <col min="14565" max="14565" width="17.42578125" style="2" customWidth="1"/>
    <col min="14566" max="14566" width="14.85546875" style="2" customWidth="1"/>
    <col min="14567" max="14567" width="15" style="2" customWidth="1"/>
    <col min="14568" max="14568" width="14.85546875" style="2" customWidth="1"/>
    <col min="14569" max="14569" width="7.140625" style="2" customWidth="1"/>
    <col min="14570" max="14571" width="20.140625" style="2" customWidth="1"/>
    <col min="14572" max="14572" width="18.42578125" style="2" customWidth="1"/>
    <col min="14573" max="14573" width="9.140625" style="2" customWidth="1"/>
    <col min="14574" max="14574" width="12" style="2" customWidth="1"/>
    <col min="14575" max="14575" width="14.85546875" style="2" customWidth="1"/>
    <col min="14576" max="14576" width="22.42578125" style="2" customWidth="1"/>
    <col min="14577" max="14577" width="14.85546875" style="2" customWidth="1"/>
    <col min="14578" max="14578" width="7.140625" style="2" customWidth="1"/>
    <col min="14579" max="14579" width="20.140625" style="2" customWidth="1"/>
    <col min="14580" max="14811" width="8.85546875" style="2" customWidth="1"/>
    <col min="14812" max="14812" width="8.140625" style="2" customWidth="1"/>
    <col min="14813" max="14813" width="14.5703125" style="2" customWidth="1"/>
    <col min="14814" max="14814" width="37.42578125" style="2" customWidth="1"/>
    <col min="14815" max="14815" width="63.140625" style="2" customWidth="1"/>
    <col min="14816" max="14816" width="20" style="2" customWidth="1"/>
    <col min="14817" max="14817" width="11.140625" style="2" customWidth="1"/>
    <col min="14818" max="14818" width="10.85546875" style="2" customWidth="1"/>
    <col min="14819" max="14819" width="21" style="2" customWidth="1"/>
    <col min="14820" max="14820" width="10.85546875" style="2" customWidth="1"/>
    <col min="14821" max="14821" width="17.42578125" style="2" customWidth="1"/>
    <col min="14822" max="14822" width="14.85546875" style="2" customWidth="1"/>
    <col min="14823" max="14823" width="15" style="2" customWidth="1"/>
    <col min="14824" max="14824" width="14.85546875" style="2" customWidth="1"/>
    <col min="14825" max="14825" width="7.140625" style="2" customWidth="1"/>
    <col min="14826" max="14827" width="20.140625" style="2" customWidth="1"/>
    <col min="14828" max="14828" width="18.42578125" style="2" customWidth="1"/>
    <col min="14829" max="14829" width="9.140625" style="2" customWidth="1"/>
    <col min="14830" max="14830" width="12" style="2" customWidth="1"/>
    <col min="14831" max="14831" width="14.85546875" style="2" customWidth="1"/>
    <col min="14832" max="14832" width="22.42578125" style="2" customWidth="1"/>
    <col min="14833" max="14833" width="14.85546875" style="2" customWidth="1"/>
    <col min="14834" max="14834" width="7.140625" style="2" customWidth="1"/>
    <col min="14835" max="14835" width="20.140625" style="2" customWidth="1"/>
    <col min="14836" max="15067" width="8.85546875" style="2" customWidth="1"/>
    <col min="15068" max="15068" width="8.140625" style="2" customWidth="1"/>
    <col min="15069" max="15069" width="14.5703125" style="2" customWidth="1"/>
    <col min="15070" max="15070" width="37.42578125" style="2" customWidth="1"/>
    <col min="15071" max="15071" width="63.140625" style="2" customWidth="1"/>
    <col min="15072" max="15072" width="20" style="2" customWidth="1"/>
    <col min="15073" max="15073" width="11.140625" style="2" customWidth="1"/>
    <col min="15074" max="15074" width="10.85546875" style="2" customWidth="1"/>
    <col min="15075" max="15075" width="21" style="2" customWidth="1"/>
    <col min="15076" max="15076" width="10.85546875" style="2" customWidth="1"/>
    <col min="15077" max="15077" width="17.42578125" style="2" customWidth="1"/>
    <col min="15078" max="15078" width="14.85546875" style="2" customWidth="1"/>
    <col min="15079" max="15079" width="15" style="2" customWidth="1"/>
    <col min="15080" max="15080" width="14.85546875" style="2" customWidth="1"/>
    <col min="15081" max="15081" width="7.140625" style="2" customWidth="1"/>
    <col min="15082" max="15083" width="20.140625" style="2" customWidth="1"/>
    <col min="15084" max="15084" width="18.42578125" style="2" customWidth="1"/>
    <col min="15085" max="15085" width="9.140625" style="2" customWidth="1"/>
    <col min="15086" max="15086" width="12" style="2" customWidth="1"/>
    <col min="15087" max="15087" width="14.85546875" style="2" customWidth="1"/>
    <col min="15088" max="15088" width="22.42578125" style="2" customWidth="1"/>
    <col min="15089" max="15089" width="14.85546875" style="2" customWidth="1"/>
    <col min="15090" max="15090" width="7.140625" style="2" customWidth="1"/>
    <col min="15091" max="15091" width="20.140625" style="2" customWidth="1"/>
    <col min="15092" max="15323" width="8.85546875" style="2" customWidth="1"/>
    <col min="15324" max="15324" width="8.140625" style="2" customWidth="1"/>
    <col min="15325" max="15325" width="14.5703125" style="2" customWidth="1"/>
    <col min="15326" max="15326" width="37.42578125" style="2" customWidth="1"/>
    <col min="15327" max="15327" width="63.140625" style="2" customWidth="1"/>
    <col min="15328" max="15328" width="20" style="2" customWidth="1"/>
    <col min="15329" max="15329" width="11.140625" style="2" customWidth="1"/>
    <col min="15330" max="15330" width="10.85546875" style="2" customWidth="1"/>
    <col min="15331" max="15331" width="21" style="2" customWidth="1"/>
    <col min="15332" max="15332" width="10.85546875" style="2" customWidth="1"/>
    <col min="15333" max="15333" width="17.42578125" style="2" customWidth="1"/>
    <col min="15334" max="15334" width="14.85546875" style="2" customWidth="1"/>
    <col min="15335" max="15335" width="15" style="2" customWidth="1"/>
    <col min="15336" max="15336" width="14.85546875" style="2" customWidth="1"/>
    <col min="15337" max="15337" width="7.140625" style="2" customWidth="1"/>
    <col min="15338" max="15339" width="20.140625" style="2" customWidth="1"/>
    <col min="15340" max="15340" width="18.42578125" style="2" customWidth="1"/>
    <col min="15341" max="15341" width="9.140625" style="2" customWidth="1"/>
    <col min="15342" max="15342" width="12" style="2" customWidth="1"/>
    <col min="15343" max="15343" width="14.85546875" style="2" customWidth="1"/>
    <col min="15344" max="15344" width="22.42578125" style="2" customWidth="1"/>
    <col min="15345" max="15345" width="14.85546875" style="2" customWidth="1"/>
    <col min="15346" max="15346" width="7.140625" style="2" customWidth="1"/>
    <col min="15347" max="15347" width="20.140625" style="2" customWidth="1"/>
    <col min="15348" max="15579" width="8.85546875" style="2" customWidth="1"/>
    <col min="15580" max="15580" width="8.140625" style="2" customWidth="1"/>
    <col min="15581" max="15581" width="14.5703125" style="2" customWidth="1"/>
    <col min="15582" max="15582" width="37.42578125" style="2" customWidth="1"/>
    <col min="15583" max="15583" width="63.140625" style="2" customWidth="1"/>
    <col min="15584" max="15584" width="20" style="2" customWidth="1"/>
    <col min="15585" max="15585" width="11.140625" style="2" customWidth="1"/>
    <col min="15586" max="15586" width="10.85546875" style="2" customWidth="1"/>
    <col min="15587" max="15587" width="21" style="2" customWidth="1"/>
    <col min="15588" max="15588" width="10.85546875" style="2" customWidth="1"/>
    <col min="15589" max="15589" width="17.42578125" style="2" customWidth="1"/>
    <col min="15590" max="15590" width="14.85546875" style="2" customWidth="1"/>
    <col min="15591" max="15591" width="15" style="2" customWidth="1"/>
    <col min="15592" max="15592" width="14.85546875" style="2" customWidth="1"/>
    <col min="15593" max="15593" width="7.140625" style="2" customWidth="1"/>
    <col min="15594" max="15595" width="20.140625" style="2" customWidth="1"/>
    <col min="15596" max="15596" width="18.42578125" style="2" customWidth="1"/>
    <col min="15597" max="15597" width="9.140625" style="2" customWidth="1"/>
    <col min="15598" max="15598" width="12" style="2" customWidth="1"/>
    <col min="15599" max="15599" width="14.85546875" style="2" customWidth="1"/>
    <col min="15600" max="15600" width="22.42578125" style="2" customWidth="1"/>
    <col min="15601" max="15601" width="14.85546875" style="2" customWidth="1"/>
    <col min="15602" max="15602" width="7.140625" style="2" customWidth="1"/>
    <col min="15603" max="15603" width="20.140625" style="2" customWidth="1"/>
    <col min="15604" max="15835" width="8.85546875" style="2" customWidth="1"/>
    <col min="15836" max="15836" width="8.140625" style="2" customWidth="1"/>
    <col min="15837" max="15837" width="14.5703125" style="2" customWidth="1"/>
    <col min="15838" max="15838" width="37.42578125" style="2" customWidth="1"/>
    <col min="15839" max="15839" width="63.140625" style="2" customWidth="1"/>
    <col min="15840" max="15840" width="20" style="2" customWidth="1"/>
    <col min="15841" max="15841" width="11.140625" style="2" customWidth="1"/>
    <col min="15842" max="15842" width="10.85546875" style="2" customWidth="1"/>
    <col min="15843" max="15843" width="21" style="2" customWidth="1"/>
    <col min="15844" max="15844" width="10.85546875" style="2" customWidth="1"/>
    <col min="15845" max="15845" width="17.42578125" style="2" customWidth="1"/>
    <col min="15846" max="15846" width="14.85546875" style="2" customWidth="1"/>
    <col min="15847" max="15847" width="15" style="2" customWidth="1"/>
    <col min="15848" max="15848" width="14.85546875" style="2" customWidth="1"/>
    <col min="15849" max="15849" width="7.140625" style="2" customWidth="1"/>
    <col min="15850" max="15851" width="20.140625" style="2" customWidth="1"/>
    <col min="15852" max="15852" width="18.42578125" style="2" customWidth="1"/>
    <col min="15853" max="15853" width="9.140625" style="2" customWidth="1"/>
    <col min="15854" max="15854" width="12" style="2" customWidth="1"/>
    <col min="15855" max="15855" width="14.85546875" style="2" customWidth="1"/>
    <col min="15856" max="15856" width="22.42578125" style="2" customWidth="1"/>
    <col min="15857" max="15857" width="14.85546875" style="2" customWidth="1"/>
    <col min="15858" max="15858" width="7.140625" style="2" customWidth="1"/>
    <col min="15859" max="15859" width="20.140625" style="2" customWidth="1"/>
    <col min="15860" max="16091" width="8.85546875" style="2" customWidth="1"/>
    <col min="16092" max="16092" width="8.140625" style="2" customWidth="1"/>
    <col min="16093" max="16093" width="14.5703125" style="2" customWidth="1"/>
    <col min="16094" max="16094" width="37.42578125" style="2" customWidth="1"/>
    <col min="16095" max="16095" width="63.140625" style="2" customWidth="1"/>
    <col min="16096" max="16096" width="20" style="2" customWidth="1"/>
    <col min="16097" max="16097" width="11.140625" style="2" customWidth="1"/>
    <col min="16098" max="16098" width="10.85546875" style="2" customWidth="1"/>
    <col min="16099" max="16099" width="21" style="2" customWidth="1"/>
    <col min="16100" max="16100" width="10.85546875" style="2" customWidth="1"/>
    <col min="16101" max="16101" width="17.42578125" style="2" customWidth="1"/>
    <col min="16102" max="16102" width="14.85546875" style="2" customWidth="1"/>
    <col min="16103" max="16103" width="15" style="2" customWidth="1"/>
    <col min="16104" max="16104" width="14.85546875" style="2" customWidth="1"/>
    <col min="16105" max="16105" width="7.140625" style="2" customWidth="1"/>
    <col min="16106" max="16107" width="20.140625" style="2" customWidth="1"/>
    <col min="16108" max="16108" width="18.42578125" style="2" customWidth="1"/>
    <col min="16109" max="16109" width="9.140625" style="2" customWidth="1"/>
    <col min="16110" max="16110" width="12" style="2" customWidth="1"/>
    <col min="16111" max="16111" width="14.85546875" style="2" customWidth="1"/>
    <col min="16112" max="16112" width="22.42578125" style="2" customWidth="1"/>
    <col min="16113" max="16113" width="14.85546875" style="2" customWidth="1"/>
    <col min="16114" max="16114" width="7.140625" style="2" customWidth="1"/>
    <col min="16115" max="16115" width="20.140625" style="2" customWidth="1"/>
    <col min="16116" max="16384" width="8.85546875" style="2" customWidth="1"/>
  </cols>
  <sheetData>
    <row r="1" spans="1:21" ht="14.1" customHeight="1">
      <c r="A1" s="1" t="s">
        <v>5681</v>
      </c>
      <c r="B1" s="2"/>
      <c r="C1" s="2"/>
      <c r="D1" s="2"/>
      <c r="F1" s="2"/>
      <c r="H1" s="2"/>
      <c r="J1" s="2"/>
      <c r="K1" s="2"/>
      <c r="L1" s="2"/>
      <c r="M1" s="2"/>
      <c r="N1" s="2"/>
      <c r="O1" s="2"/>
      <c r="P1" s="2"/>
      <c r="R1" s="10"/>
    </row>
    <row r="2" spans="1:21" s="4" customFormat="1" ht="14.1" customHeight="1">
      <c r="A2" s="4" t="s">
        <v>3961</v>
      </c>
      <c r="E2" s="69"/>
      <c r="R2" s="336"/>
    </row>
    <row r="3" spans="1:21" s="6" customFormat="1" ht="14.1" customHeight="1">
      <c r="A3" s="3"/>
      <c r="B3" s="16"/>
      <c r="C3" s="16"/>
      <c r="D3" s="23"/>
      <c r="E3" s="16"/>
      <c r="F3" s="23"/>
      <c r="G3" s="15"/>
      <c r="H3" s="25"/>
      <c r="I3" s="15"/>
      <c r="J3" s="25"/>
      <c r="K3" s="25"/>
      <c r="L3" s="25"/>
      <c r="M3" s="25"/>
      <c r="N3" s="25"/>
      <c r="O3" s="25"/>
      <c r="P3" s="25"/>
      <c r="Q3" s="2"/>
      <c r="R3" s="355" t="s">
        <v>2</v>
      </c>
      <c r="S3" s="2"/>
      <c r="T3" s="2"/>
      <c r="U3" s="2"/>
    </row>
    <row r="4" spans="1:21" s="5" customFormat="1" ht="33" customHeight="1">
      <c r="A4" s="21" t="s">
        <v>3</v>
      </c>
      <c r="B4" s="52" t="s">
        <v>4</v>
      </c>
      <c r="C4" s="52" t="s">
        <v>5</v>
      </c>
      <c r="D4" s="21" t="s">
        <v>6</v>
      </c>
      <c r="E4" s="21" t="s">
        <v>7</v>
      </c>
      <c r="F4" s="21" t="s">
        <v>8</v>
      </c>
      <c r="G4" s="21" t="s">
        <v>9</v>
      </c>
      <c r="H4" s="21" t="s">
        <v>10</v>
      </c>
      <c r="I4" s="21" t="s">
        <v>11</v>
      </c>
      <c r="J4" s="21" t="s">
        <v>12</v>
      </c>
      <c r="K4" s="21" t="s">
        <v>13</v>
      </c>
      <c r="L4" s="21" t="s">
        <v>14</v>
      </c>
      <c r="M4" s="21" t="s">
        <v>15</v>
      </c>
      <c r="N4" s="21" t="s">
        <v>16</v>
      </c>
      <c r="O4" s="21" t="s">
        <v>17</v>
      </c>
      <c r="P4" s="21" t="s">
        <v>18</v>
      </c>
      <c r="Q4" s="3"/>
      <c r="R4" s="41" t="s">
        <v>19</v>
      </c>
      <c r="S4" s="3"/>
      <c r="T4" s="42" t="s">
        <v>20</v>
      </c>
      <c r="U4" s="42" t="s">
        <v>21</v>
      </c>
    </row>
    <row r="5" spans="1:21" ht="14.1" customHeight="1">
      <c r="A5" s="7">
        <v>1</v>
      </c>
      <c r="B5" s="234" t="s">
        <v>124</v>
      </c>
      <c r="C5" s="234" t="s">
        <v>438</v>
      </c>
      <c r="D5" s="235" t="s">
        <v>118</v>
      </c>
      <c r="E5" s="234" t="s">
        <v>373</v>
      </c>
      <c r="F5" s="235" t="s">
        <v>26</v>
      </c>
      <c r="G5" s="236" t="s">
        <v>5682</v>
      </c>
      <c r="H5" s="235" t="s">
        <v>42</v>
      </c>
      <c r="I5" s="236" t="s">
        <v>5683</v>
      </c>
      <c r="J5" s="235" t="s">
        <v>30</v>
      </c>
      <c r="K5" s="235"/>
      <c r="L5" s="235" t="s">
        <v>322</v>
      </c>
      <c r="M5" s="235">
        <v>830140</v>
      </c>
      <c r="N5" s="235">
        <v>100</v>
      </c>
      <c r="O5" s="235">
        <v>45</v>
      </c>
      <c r="P5" s="235"/>
      <c r="R5" s="9">
        <v>388.48547802951288</v>
      </c>
      <c r="T5" s="7" t="s">
        <v>34</v>
      </c>
      <c r="U5" s="7" t="s">
        <v>34</v>
      </c>
    </row>
    <row r="6" spans="1:21" ht="14.1" customHeight="1">
      <c r="A6" s="7">
        <v>2</v>
      </c>
      <c r="B6" s="234" t="s">
        <v>124</v>
      </c>
      <c r="C6" s="234" t="s">
        <v>438</v>
      </c>
      <c r="D6" s="235" t="s">
        <v>118</v>
      </c>
      <c r="E6" s="234" t="s">
        <v>373</v>
      </c>
      <c r="F6" s="235" t="s">
        <v>26</v>
      </c>
      <c r="G6" s="236" t="s">
        <v>5684</v>
      </c>
      <c r="H6" s="235" t="s">
        <v>42</v>
      </c>
      <c r="I6" s="236" t="s">
        <v>5685</v>
      </c>
      <c r="J6" s="235" t="s">
        <v>30</v>
      </c>
      <c r="K6" s="235"/>
      <c r="L6" s="235" t="s">
        <v>322</v>
      </c>
      <c r="M6" s="235">
        <v>830140</v>
      </c>
      <c r="N6" s="235">
        <v>100</v>
      </c>
      <c r="O6" s="235">
        <v>45</v>
      </c>
      <c r="P6" s="235"/>
      <c r="R6" s="9">
        <v>763.09647470082882</v>
      </c>
      <c r="T6" s="7" t="s">
        <v>34</v>
      </c>
      <c r="U6" s="7" t="s">
        <v>34</v>
      </c>
    </row>
    <row r="7" spans="1:21" ht="14.1" customHeight="1">
      <c r="A7" s="7">
        <v>3</v>
      </c>
      <c r="B7" s="234" t="s">
        <v>124</v>
      </c>
      <c r="C7" s="234" t="s">
        <v>438</v>
      </c>
      <c r="D7" s="235" t="s">
        <v>118</v>
      </c>
      <c r="E7" s="234" t="s">
        <v>373</v>
      </c>
      <c r="F7" s="235" t="s">
        <v>26</v>
      </c>
      <c r="G7" s="236" t="s">
        <v>5686</v>
      </c>
      <c r="H7" s="235" t="s">
        <v>42</v>
      </c>
      <c r="I7" s="236" t="s">
        <v>5687</v>
      </c>
      <c r="J7" s="235" t="s">
        <v>30</v>
      </c>
      <c r="K7" s="235"/>
      <c r="L7" s="235" t="s">
        <v>322</v>
      </c>
      <c r="M7" s="235">
        <v>830140</v>
      </c>
      <c r="N7" s="235">
        <v>100</v>
      </c>
      <c r="O7" s="235">
        <v>45</v>
      </c>
      <c r="P7" s="235"/>
      <c r="R7" s="9">
        <v>808.88226318287866</v>
      </c>
      <c r="T7" s="7" t="s">
        <v>34</v>
      </c>
      <c r="U7" s="7" t="s">
        <v>34</v>
      </c>
    </row>
    <row r="8" spans="1:21" ht="14.1" customHeight="1">
      <c r="A8" s="7">
        <v>4</v>
      </c>
      <c r="B8" s="234" t="s">
        <v>124</v>
      </c>
      <c r="C8" s="234" t="s">
        <v>438</v>
      </c>
      <c r="D8" s="235" t="s">
        <v>118</v>
      </c>
      <c r="E8" s="234" t="s">
        <v>373</v>
      </c>
      <c r="F8" s="235" t="s">
        <v>26</v>
      </c>
      <c r="G8" s="236" t="s">
        <v>5688</v>
      </c>
      <c r="H8" s="235" t="s">
        <v>42</v>
      </c>
      <c r="I8" s="236" t="s">
        <v>5689</v>
      </c>
      <c r="J8" s="235" t="s">
        <v>30</v>
      </c>
      <c r="K8" s="235"/>
      <c r="L8" s="235" t="s">
        <v>322</v>
      </c>
      <c r="M8" s="235">
        <v>830241</v>
      </c>
      <c r="N8" s="235">
        <v>100</v>
      </c>
      <c r="O8" s="235">
        <v>45</v>
      </c>
      <c r="P8" s="235"/>
      <c r="R8" s="9">
        <v>101.0855070382916</v>
      </c>
      <c r="T8" s="7" t="s">
        <v>34</v>
      </c>
      <c r="U8" s="7" t="s">
        <v>34</v>
      </c>
    </row>
    <row r="9" spans="1:21" ht="14.1" customHeight="1">
      <c r="A9" s="7">
        <v>5</v>
      </c>
      <c r="B9" s="234" t="s">
        <v>124</v>
      </c>
      <c r="C9" s="234" t="s">
        <v>438</v>
      </c>
      <c r="D9" s="235" t="s">
        <v>118</v>
      </c>
      <c r="E9" s="234" t="s">
        <v>373</v>
      </c>
      <c r="F9" s="235" t="s">
        <v>26</v>
      </c>
      <c r="G9" s="236" t="s">
        <v>5690</v>
      </c>
      <c r="H9" s="235" t="s">
        <v>42</v>
      </c>
      <c r="I9" s="236" t="s">
        <v>5691</v>
      </c>
      <c r="J9" s="235" t="s">
        <v>30</v>
      </c>
      <c r="K9" s="235"/>
      <c r="L9" s="235" t="s">
        <v>322</v>
      </c>
      <c r="M9" s="235">
        <v>830241</v>
      </c>
      <c r="N9" s="235">
        <v>100</v>
      </c>
      <c r="O9" s="235">
        <v>45</v>
      </c>
      <c r="P9" s="235"/>
      <c r="R9" s="9">
        <v>267.57928333665433</v>
      </c>
      <c r="T9" s="7" t="s">
        <v>34</v>
      </c>
      <c r="U9" s="7" t="s">
        <v>34</v>
      </c>
    </row>
    <row r="10" spans="1:21" ht="14.1" customHeight="1">
      <c r="A10" s="7">
        <v>6</v>
      </c>
      <c r="B10" s="234" t="s">
        <v>124</v>
      </c>
      <c r="C10" s="234" t="s">
        <v>438</v>
      </c>
      <c r="D10" s="235" t="s">
        <v>118</v>
      </c>
      <c r="E10" s="234" t="s">
        <v>373</v>
      </c>
      <c r="F10" s="235" t="s">
        <v>26</v>
      </c>
      <c r="G10" s="236" t="s">
        <v>5692</v>
      </c>
      <c r="H10" s="235" t="s">
        <v>42</v>
      </c>
      <c r="I10" s="236" t="s">
        <v>5693</v>
      </c>
      <c r="J10" s="235" t="s">
        <v>30</v>
      </c>
      <c r="K10" s="235"/>
      <c r="L10" s="235" t="s">
        <v>322</v>
      </c>
      <c r="M10" s="235">
        <v>830241</v>
      </c>
      <c r="N10" s="235">
        <v>100</v>
      </c>
      <c r="O10" s="235">
        <v>45</v>
      </c>
      <c r="P10" s="235"/>
      <c r="R10" s="9">
        <v>73.336544321897833</v>
      </c>
      <c r="T10" s="7" t="s">
        <v>34</v>
      </c>
      <c r="U10" s="7" t="s">
        <v>34</v>
      </c>
    </row>
    <row r="11" spans="1:21" ht="14.1" customHeight="1">
      <c r="A11" s="7">
        <v>7</v>
      </c>
      <c r="B11" s="234" t="s">
        <v>124</v>
      </c>
      <c r="C11" s="234" t="s">
        <v>438</v>
      </c>
      <c r="D11" s="235" t="s">
        <v>118</v>
      </c>
      <c r="E11" s="234" t="s">
        <v>373</v>
      </c>
      <c r="F11" s="235" t="s">
        <v>26</v>
      </c>
      <c r="G11" s="236" t="s">
        <v>5694</v>
      </c>
      <c r="H11" s="235" t="s">
        <v>42</v>
      </c>
      <c r="I11" s="236" t="s">
        <v>5695</v>
      </c>
      <c r="J11" s="235" t="s">
        <v>30</v>
      </c>
      <c r="K11" s="235"/>
      <c r="L11" s="235" t="s">
        <v>322</v>
      </c>
      <c r="M11" s="235">
        <v>830241</v>
      </c>
      <c r="N11" s="235">
        <v>100</v>
      </c>
      <c r="O11" s="235">
        <v>45</v>
      </c>
      <c r="P11" s="235"/>
      <c r="R11" s="9">
        <v>144.69101987833901</v>
      </c>
      <c r="T11" s="7" t="s">
        <v>34</v>
      </c>
      <c r="U11" s="7" t="s">
        <v>34</v>
      </c>
    </row>
    <row r="12" spans="1:21" ht="14.1" customHeight="1">
      <c r="A12" s="7">
        <v>8</v>
      </c>
      <c r="B12" s="234" t="s">
        <v>124</v>
      </c>
      <c r="C12" s="234" t="s">
        <v>438</v>
      </c>
      <c r="D12" s="235" t="s">
        <v>118</v>
      </c>
      <c r="E12" s="234" t="s">
        <v>373</v>
      </c>
      <c r="F12" s="235" t="s">
        <v>26</v>
      </c>
      <c r="G12" s="236" t="s">
        <v>5696</v>
      </c>
      <c r="H12" s="235" t="s">
        <v>42</v>
      </c>
      <c r="I12" s="236" t="s">
        <v>5697</v>
      </c>
      <c r="J12" s="235" t="s">
        <v>30</v>
      </c>
      <c r="K12" s="235"/>
      <c r="L12" s="235" t="s">
        <v>322</v>
      </c>
      <c r="M12" s="235">
        <v>830241</v>
      </c>
      <c r="N12" s="235">
        <v>100</v>
      </c>
      <c r="O12" s="235">
        <v>45</v>
      </c>
      <c r="P12" s="235"/>
      <c r="R12" s="9">
        <v>75.318613087354535</v>
      </c>
      <c r="T12" s="7" t="s">
        <v>34</v>
      </c>
      <c r="U12" s="7" t="s">
        <v>34</v>
      </c>
    </row>
    <row r="13" spans="1:21" ht="14.1" customHeight="1">
      <c r="A13" s="7">
        <v>9</v>
      </c>
      <c r="B13" s="234" t="s">
        <v>124</v>
      </c>
      <c r="C13" s="234" t="s">
        <v>438</v>
      </c>
      <c r="D13" s="235" t="s">
        <v>118</v>
      </c>
      <c r="E13" s="234" t="s">
        <v>373</v>
      </c>
      <c r="F13" s="235" t="s">
        <v>26</v>
      </c>
      <c r="G13" s="236" t="s">
        <v>5698</v>
      </c>
      <c r="H13" s="235" t="s">
        <v>42</v>
      </c>
      <c r="I13" s="236" t="s">
        <v>5699</v>
      </c>
      <c r="J13" s="235" t="s">
        <v>30</v>
      </c>
      <c r="K13" s="235"/>
      <c r="L13" s="235" t="s">
        <v>322</v>
      </c>
      <c r="M13" s="235">
        <v>830241</v>
      </c>
      <c r="N13" s="235">
        <v>100</v>
      </c>
      <c r="O13" s="235">
        <v>45</v>
      </c>
      <c r="P13" s="235"/>
      <c r="R13" s="9">
        <v>376.59306543677258</v>
      </c>
      <c r="T13" s="7" t="s">
        <v>34</v>
      </c>
      <c r="U13" s="7" t="s">
        <v>34</v>
      </c>
    </row>
    <row r="14" spans="1:21" ht="14.1" customHeight="1">
      <c r="A14" s="7">
        <v>10</v>
      </c>
      <c r="B14" s="234" t="s">
        <v>124</v>
      </c>
      <c r="C14" s="234" t="s">
        <v>438</v>
      </c>
      <c r="D14" s="235" t="s">
        <v>118</v>
      </c>
      <c r="E14" s="234" t="s">
        <v>373</v>
      </c>
      <c r="F14" s="235" t="s">
        <v>26</v>
      </c>
      <c r="G14" s="236" t="s">
        <v>5700</v>
      </c>
      <c r="H14" s="235" t="s">
        <v>42</v>
      </c>
      <c r="I14" s="236" t="s">
        <v>5701</v>
      </c>
      <c r="J14" s="235" t="s">
        <v>30</v>
      </c>
      <c r="K14" s="235"/>
      <c r="L14" s="235" t="s">
        <v>322</v>
      </c>
      <c r="M14" s="235">
        <v>830241</v>
      </c>
      <c r="N14" s="235">
        <v>100</v>
      </c>
      <c r="O14" s="235">
        <v>45</v>
      </c>
      <c r="P14" s="235"/>
      <c r="R14" s="9">
        <v>71.354475556441145</v>
      </c>
      <c r="T14" s="7" t="s">
        <v>34</v>
      </c>
      <c r="U14" s="7" t="s">
        <v>34</v>
      </c>
    </row>
    <row r="15" spans="1:21" ht="14.1" customHeight="1">
      <c r="A15" s="7">
        <v>11</v>
      </c>
      <c r="B15" s="234" t="s">
        <v>124</v>
      </c>
      <c r="C15" s="234" t="s">
        <v>438</v>
      </c>
      <c r="D15" s="235" t="s">
        <v>118</v>
      </c>
      <c r="E15" s="234" t="s">
        <v>373</v>
      </c>
      <c r="F15" s="235" t="s">
        <v>26</v>
      </c>
      <c r="G15" s="236" t="s">
        <v>5702</v>
      </c>
      <c r="H15" s="235" t="s">
        <v>42</v>
      </c>
      <c r="I15" s="236" t="s">
        <v>5703</v>
      </c>
      <c r="J15" s="235" t="s">
        <v>30</v>
      </c>
      <c r="K15" s="235"/>
      <c r="L15" s="235" t="s">
        <v>322</v>
      </c>
      <c r="M15" s="235">
        <v>830241</v>
      </c>
      <c r="N15" s="235">
        <v>100</v>
      </c>
      <c r="O15" s="235">
        <v>45</v>
      </c>
      <c r="P15" s="235"/>
      <c r="R15" s="9">
        <v>86.219991297366377</v>
      </c>
      <c r="T15" s="7" t="s">
        <v>34</v>
      </c>
      <c r="U15" s="7" t="s">
        <v>34</v>
      </c>
    </row>
    <row r="16" spans="1:21" ht="14.1" customHeight="1">
      <c r="A16" s="7">
        <v>12</v>
      </c>
      <c r="B16" s="234" t="s">
        <v>124</v>
      </c>
      <c r="C16" s="234" t="s">
        <v>438</v>
      </c>
      <c r="D16" s="235" t="s">
        <v>118</v>
      </c>
      <c r="E16" s="234" t="s">
        <v>373</v>
      </c>
      <c r="F16" s="235" t="s">
        <v>26</v>
      </c>
      <c r="G16" s="236" t="s">
        <v>5704</v>
      </c>
      <c r="H16" s="235" t="s">
        <v>42</v>
      </c>
      <c r="I16" s="236" t="s">
        <v>5705</v>
      </c>
      <c r="J16" s="235" t="s">
        <v>30</v>
      </c>
      <c r="K16" s="235"/>
      <c r="L16" s="235" t="s">
        <v>322</v>
      </c>
      <c r="M16" s="235">
        <v>830140</v>
      </c>
      <c r="N16" s="235">
        <v>100</v>
      </c>
      <c r="O16" s="235">
        <v>45</v>
      </c>
      <c r="P16" s="235"/>
      <c r="R16" s="9">
        <v>398.39582185679632</v>
      </c>
      <c r="T16" s="7" t="s">
        <v>34</v>
      </c>
      <c r="U16" s="7" t="s">
        <v>34</v>
      </c>
    </row>
    <row r="17" spans="1:21" ht="14.1" customHeight="1">
      <c r="A17" s="7">
        <v>13</v>
      </c>
      <c r="B17" s="234" t="s">
        <v>124</v>
      </c>
      <c r="C17" s="234" t="s">
        <v>438</v>
      </c>
      <c r="D17" s="235" t="s">
        <v>118</v>
      </c>
      <c r="E17" s="234" t="s">
        <v>373</v>
      </c>
      <c r="F17" s="235" t="s">
        <v>26</v>
      </c>
      <c r="G17" s="236" t="s">
        <v>5706</v>
      </c>
      <c r="H17" s="235" t="s">
        <v>42</v>
      </c>
      <c r="I17" s="236" t="s">
        <v>5707</v>
      </c>
      <c r="J17" s="235" t="s">
        <v>30</v>
      </c>
      <c r="K17" s="235"/>
      <c r="L17" s="235" t="s">
        <v>322</v>
      </c>
      <c r="M17" s="235">
        <v>830140</v>
      </c>
      <c r="N17" s="235">
        <v>100</v>
      </c>
      <c r="O17" s="235">
        <v>45</v>
      </c>
      <c r="P17" s="235"/>
      <c r="R17" s="9">
        <v>798.77371247904944</v>
      </c>
      <c r="T17" s="7" t="s">
        <v>34</v>
      </c>
      <c r="U17" s="7" t="s">
        <v>34</v>
      </c>
    </row>
    <row r="18" spans="1:21" ht="14.1" customHeight="1">
      <c r="A18" s="7">
        <v>14</v>
      </c>
      <c r="B18" s="234" t="s">
        <v>124</v>
      </c>
      <c r="C18" s="234" t="s">
        <v>438</v>
      </c>
      <c r="D18" s="235" t="s">
        <v>118</v>
      </c>
      <c r="E18" s="234" t="s">
        <v>373</v>
      </c>
      <c r="F18" s="235" t="s">
        <v>26</v>
      </c>
      <c r="G18" s="236" t="s">
        <v>5708</v>
      </c>
      <c r="H18" s="235" t="s">
        <v>42</v>
      </c>
      <c r="I18" s="236" t="s">
        <v>5709</v>
      </c>
      <c r="J18" s="235" t="s">
        <v>30</v>
      </c>
      <c r="K18" s="235"/>
      <c r="L18" s="235" t="s">
        <v>322</v>
      </c>
      <c r="M18" s="235">
        <v>830140</v>
      </c>
      <c r="N18" s="235">
        <v>100</v>
      </c>
      <c r="O18" s="235">
        <v>45</v>
      </c>
      <c r="P18" s="235"/>
      <c r="R18" s="9">
        <v>473.71443494415092</v>
      </c>
      <c r="T18" s="7" t="s">
        <v>34</v>
      </c>
      <c r="U18" s="7" t="s">
        <v>34</v>
      </c>
    </row>
    <row r="19" spans="1:21" ht="14.1" customHeight="1">
      <c r="A19" s="7">
        <v>15</v>
      </c>
      <c r="B19" s="234" t="s">
        <v>124</v>
      </c>
      <c r="C19" s="234" t="s">
        <v>438</v>
      </c>
      <c r="D19" s="235" t="s">
        <v>118</v>
      </c>
      <c r="E19" s="234" t="s">
        <v>373</v>
      </c>
      <c r="F19" s="235" t="s">
        <v>26</v>
      </c>
      <c r="G19" s="236" t="s">
        <v>5710</v>
      </c>
      <c r="H19" s="235" t="s">
        <v>42</v>
      </c>
      <c r="I19" s="236" t="s">
        <v>5711</v>
      </c>
      <c r="J19" s="235" t="s">
        <v>30</v>
      </c>
      <c r="K19" s="235"/>
      <c r="L19" s="235" t="s">
        <v>322</v>
      </c>
      <c r="M19" s="235">
        <v>830140</v>
      </c>
      <c r="N19" s="235">
        <v>100</v>
      </c>
      <c r="O19" s="235">
        <v>45</v>
      </c>
      <c r="P19" s="235"/>
      <c r="R19" s="9">
        <v>947.42886988830185</v>
      </c>
      <c r="T19" s="7" t="s">
        <v>34</v>
      </c>
      <c r="U19" s="7" t="s">
        <v>34</v>
      </c>
    </row>
    <row r="20" spans="1:21" ht="14.1" customHeight="1">
      <c r="A20" s="7">
        <v>16</v>
      </c>
      <c r="B20" s="234" t="s">
        <v>124</v>
      </c>
      <c r="C20" s="234" t="s">
        <v>438</v>
      </c>
      <c r="D20" s="235" t="s">
        <v>118</v>
      </c>
      <c r="E20" s="234" t="s">
        <v>373</v>
      </c>
      <c r="F20" s="235" t="s">
        <v>26</v>
      </c>
      <c r="G20" s="236" t="s">
        <v>5712</v>
      </c>
      <c r="H20" s="235" t="s">
        <v>42</v>
      </c>
      <c r="I20" s="236" t="s">
        <v>5713</v>
      </c>
      <c r="J20" s="235" t="s">
        <v>30</v>
      </c>
      <c r="K20" s="235"/>
      <c r="L20" s="235" t="s">
        <v>322</v>
      </c>
      <c r="M20" s="235">
        <v>830140</v>
      </c>
      <c r="N20" s="235">
        <v>100</v>
      </c>
      <c r="O20" s="235">
        <v>45</v>
      </c>
      <c r="P20" s="235"/>
      <c r="R20" s="9">
        <v>749.221993342632</v>
      </c>
      <c r="T20" s="7" t="s">
        <v>34</v>
      </c>
      <c r="U20" s="7" t="s">
        <v>34</v>
      </c>
    </row>
    <row r="21" spans="1:21" ht="14.1" customHeight="1">
      <c r="A21" s="7">
        <v>17</v>
      </c>
      <c r="B21" s="234" t="s">
        <v>124</v>
      </c>
      <c r="C21" s="234" t="s">
        <v>438</v>
      </c>
      <c r="D21" s="235" t="s">
        <v>118</v>
      </c>
      <c r="E21" s="234" t="s">
        <v>373</v>
      </c>
      <c r="F21" s="235" t="s">
        <v>26</v>
      </c>
      <c r="G21" s="236" t="s">
        <v>5714</v>
      </c>
      <c r="H21" s="235" t="s">
        <v>42</v>
      </c>
      <c r="I21" s="236" t="s">
        <v>5715</v>
      </c>
      <c r="J21" s="235" t="s">
        <v>30</v>
      </c>
      <c r="K21" s="235"/>
      <c r="L21" s="235" t="s">
        <v>322</v>
      </c>
      <c r="M21" s="235">
        <v>830140</v>
      </c>
      <c r="N21" s="235">
        <v>100</v>
      </c>
      <c r="O21" s="235">
        <v>45</v>
      </c>
      <c r="P21" s="235"/>
      <c r="R21" s="9">
        <v>1500.42605545072</v>
      </c>
      <c r="T21" s="7" t="s">
        <v>34</v>
      </c>
      <c r="U21" s="7" t="s">
        <v>34</v>
      </c>
    </row>
    <row r="22" spans="1:21" ht="14.1" customHeight="1">
      <c r="A22" s="7">
        <v>18</v>
      </c>
      <c r="B22" s="234" t="s">
        <v>124</v>
      </c>
      <c r="C22" s="234" t="s">
        <v>438</v>
      </c>
      <c r="D22" s="235" t="s">
        <v>118</v>
      </c>
      <c r="E22" s="234" t="s">
        <v>373</v>
      </c>
      <c r="F22" s="235" t="s">
        <v>26</v>
      </c>
      <c r="G22" s="236" t="s">
        <v>5716</v>
      </c>
      <c r="H22" s="235" t="s">
        <v>42</v>
      </c>
      <c r="I22" s="236" t="s">
        <v>5717</v>
      </c>
      <c r="J22" s="235" t="s">
        <v>30</v>
      </c>
      <c r="K22" s="235"/>
      <c r="L22" s="235" t="s">
        <v>322</v>
      </c>
      <c r="M22" s="235">
        <v>830140</v>
      </c>
      <c r="N22" s="235">
        <v>100</v>
      </c>
      <c r="O22" s="235">
        <v>45</v>
      </c>
      <c r="P22" s="235"/>
      <c r="R22" s="9">
        <v>812.64819383724614</v>
      </c>
      <c r="T22" s="7" t="s">
        <v>34</v>
      </c>
      <c r="U22" s="7" t="s">
        <v>34</v>
      </c>
    </row>
    <row r="23" spans="1:21" ht="14.1" customHeight="1">
      <c r="A23" s="7">
        <v>19</v>
      </c>
      <c r="B23" s="234" t="s">
        <v>124</v>
      </c>
      <c r="C23" s="234" t="s">
        <v>438</v>
      </c>
      <c r="D23" s="235" t="s">
        <v>118</v>
      </c>
      <c r="E23" s="234" t="s">
        <v>373</v>
      </c>
      <c r="F23" s="235" t="s">
        <v>26</v>
      </c>
      <c r="G23" s="236" t="s">
        <v>5718</v>
      </c>
      <c r="H23" s="235" t="s">
        <v>42</v>
      </c>
      <c r="I23" s="236" t="s">
        <v>5719</v>
      </c>
      <c r="J23" s="235" t="s">
        <v>30</v>
      </c>
      <c r="K23" s="235"/>
      <c r="L23" s="235" t="s">
        <v>322</v>
      </c>
      <c r="M23" s="235">
        <v>830140</v>
      </c>
      <c r="N23" s="235">
        <v>100</v>
      </c>
      <c r="O23" s="235">
        <v>45</v>
      </c>
      <c r="P23" s="235"/>
      <c r="R23" s="9">
        <v>1625.2963876744921</v>
      </c>
      <c r="T23" s="7" t="s">
        <v>34</v>
      </c>
      <c r="U23" s="7" t="s">
        <v>34</v>
      </c>
    </row>
    <row r="24" spans="1:21" ht="14.1" customHeight="1">
      <c r="A24" s="7">
        <v>20</v>
      </c>
      <c r="B24" s="234" t="s">
        <v>124</v>
      </c>
      <c r="C24" s="234" t="s">
        <v>438</v>
      </c>
      <c r="D24" s="235" t="s">
        <v>944</v>
      </c>
      <c r="E24" s="234" t="s">
        <v>945</v>
      </c>
      <c r="F24" s="235" t="s">
        <v>26</v>
      </c>
      <c r="G24" s="236" t="s">
        <v>5720</v>
      </c>
      <c r="H24" s="235" t="s">
        <v>42</v>
      </c>
      <c r="I24" s="236" t="s">
        <v>5721</v>
      </c>
      <c r="J24" s="235" t="s">
        <v>30</v>
      </c>
      <c r="K24" s="235"/>
      <c r="L24" s="235" t="s">
        <v>322</v>
      </c>
      <c r="M24" s="235">
        <v>853650</v>
      </c>
      <c r="N24" s="235">
        <v>100</v>
      </c>
      <c r="O24" s="235">
        <v>45</v>
      </c>
      <c r="P24" s="235"/>
      <c r="Q24" s="22"/>
      <c r="R24" s="9">
        <v>142.9071579894279</v>
      </c>
      <c r="T24" s="7" t="s">
        <v>34</v>
      </c>
      <c r="U24" s="8"/>
    </row>
    <row r="25" spans="1:21" ht="14.1" customHeight="1">
      <c r="A25" s="7">
        <v>21</v>
      </c>
      <c r="B25" s="234" t="s">
        <v>124</v>
      </c>
      <c r="C25" s="234" t="s">
        <v>438</v>
      </c>
      <c r="D25" s="235" t="s">
        <v>944</v>
      </c>
      <c r="E25" s="234" t="s">
        <v>945</v>
      </c>
      <c r="F25" s="235" t="s">
        <v>26</v>
      </c>
      <c r="G25" s="236" t="s">
        <v>5722</v>
      </c>
      <c r="H25" s="235" t="s">
        <v>42</v>
      </c>
      <c r="I25" s="236" t="s">
        <v>5723</v>
      </c>
      <c r="J25" s="235" t="s">
        <v>30</v>
      </c>
      <c r="K25" s="235"/>
      <c r="L25" s="235" t="s">
        <v>322</v>
      </c>
      <c r="M25" s="235">
        <v>853650</v>
      </c>
      <c r="N25" s="235">
        <v>100</v>
      </c>
      <c r="O25" s="235">
        <v>45</v>
      </c>
      <c r="P25" s="235"/>
      <c r="Q25" s="22"/>
      <c r="R25" s="9">
        <v>142.9071579894279</v>
      </c>
      <c r="T25" s="7" t="s">
        <v>34</v>
      </c>
      <c r="U25" s="8"/>
    </row>
    <row r="26" spans="1:21" ht="14.1" customHeight="1">
      <c r="A26" s="7">
        <v>22</v>
      </c>
      <c r="B26" s="234" t="s">
        <v>124</v>
      </c>
      <c r="C26" s="234" t="s">
        <v>438</v>
      </c>
      <c r="D26" s="235" t="s">
        <v>944</v>
      </c>
      <c r="E26" s="234" t="s">
        <v>945</v>
      </c>
      <c r="F26" s="235" t="s">
        <v>26</v>
      </c>
      <c r="G26" s="236" t="s">
        <v>5724</v>
      </c>
      <c r="H26" s="235" t="s">
        <v>42</v>
      </c>
      <c r="I26" s="236" t="s">
        <v>5725</v>
      </c>
      <c r="J26" s="235" t="s">
        <v>30</v>
      </c>
      <c r="K26" s="235"/>
      <c r="L26" s="235" t="s">
        <v>322</v>
      </c>
      <c r="M26" s="235">
        <v>853650</v>
      </c>
      <c r="N26" s="235">
        <v>100</v>
      </c>
      <c r="O26" s="235">
        <v>45</v>
      </c>
      <c r="P26" s="235"/>
      <c r="Q26" s="22"/>
      <c r="R26" s="9">
        <v>155.39419121180521</v>
      </c>
      <c r="T26" s="7" t="s">
        <v>34</v>
      </c>
      <c r="U26" s="8"/>
    </row>
    <row r="27" spans="1:21" ht="14.1" customHeight="1">
      <c r="A27" s="7">
        <v>23</v>
      </c>
      <c r="B27" s="234" t="s">
        <v>124</v>
      </c>
      <c r="C27" s="234" t="s">
        <v>438</v>
      </c>
      <c r="D27" s="235" t="s">
        <v>944</v>
      </c>
      <c r="E27" s="234" t="s">
        <v>945</v>
      </c>
      <c r="F27" s="235" t="s">
        <v>26</v>
      </c>
      <c r="G27" s="236" t="s">
        <v>5726</v>
      </c>
      <c r="H27" s="235" t="s">
        <v>42</v>
      </c>
      <c r="I27" s="236" t="s">
        <v>5727</v>
      </c>
      <c r="J27" s="235" t="s">
        <v>30</v>
      </c>
      <c r="K27" s="235"/>
      <c r="L27" s="235" t="s">
        <v>322</v>
      </c>
      <c r="M27" s="235">
        <v>853650</v>
      </c>
      <c r="N27" s="235">
        <v>100</v>
      </c>
      <c r="O27" s="235">
        <v>45</v>
      </c>
      <c r="P27" s="235"/>
      <c r="Q27" s="22"/>
      <c r="R27" s="9">
        <v>155.39419121180521</v>
      </c>
      <c r="T27" s="7" t="s">
        <v>34</v>
      </c>
      <c r="U27" s="8"/>
    </row>
    <row r="28" spans="1:21" ht="14.1" customHeight="1">
      <c r="A28" s="7">
        <v>24</v>
      </c>
      <c r="B28" s="234" t="s">
        <v>124</v>
      </c>
      <c r="C28" s="234" t="s">
        <v>438</v>
      </c>
      <c r="D28" s="235" t="s">
        <v>944</v>
      </c>
      <c r="E28" s="234" t="s">
        <v>945</v>
      </c>
      <c r="F28" s="235" t="s">
        <v>26</v>
      </c>
      <c r="G28" s="236" t="s">
        <v>5728</v>
      </c>
      <c r="H28" s="235" t="s">
        <v>42</v>
      </c>
      <c r="I28" s="236" t="s">
        <v>5729</v>
      </c>
      <c r="J28" s="235" t="s">
        <v>30</v>
      </c>
      <c r="K28" s="235"/>
      <c r="L28" s="235" t="s">
        <v>322</v>
      </c>
      <c r="M28" s="235">
        <v>853650</v>
      </c>
      <c r="N28" s="235">
        <v>100</v>
      </c>
      <c r="O28" s="235">
        <v>45</v>
      </c>
      <c r="P28" s="235"/>
      <c r="Q28" s="22"/>
      <c r="R28" s="9">
        <v>172.24177571818711</v>
      </c>
      <c r="T28" s="7" t="s">
        <v>34</v>
      </c>
      <c r="U28" s="8"/>
    </row>
    <row r="29" spans="1:21" ht="14.1" customHeight="1">
      <c r="A29" s="7">
        <v>25</v>
      </c>
      <c r="B29" s="234" t="s">
        <v>124</v>
      </c>
      <c r="C29" s="234" t="s">
        <v>438</v>
      </c>
      <c r="D29" s="235" t="s">
        <v>944</v>
      </c>
      <c r="E29" s="234" t="s">
        <v>945</v>
      </c>
      <c r="F29" s="235" t="s">
        <v>26</v>
      </c>
      <c r="G29" s="236" t="s">
        <v>5730</v>
      </c>
      <c r="H29" s="235" t="s">
        <v>42</v>
      </c>
      <c r="I29" s="236" t="s">
        <v>5731</v>
      </c>
      <c r="J29" s="235" t="s">
        <v>30</v>
      </c>
      <c r="K29" s="235"/>
      <c r="L29" s="235" t="s">
        <v>322</v>
      </c>
      <c r="M29" s="235">
        <v>853650</v>
      </c>
      <c r="N29" s="235">
        <v>100</v>
      </c>
      <c r="O29" s="235">
        <v>45</v>
      </c>
      <c r="P29" s="235"/>
      <c r="Q29" s="22"/>
      <c r="R29" s="9">
        <v>172.24177571818711</v>
      </c>
      <c r="T29" s="7" t="s">
        <v>34</v>
      </c>
      <c r="U29" s="8"/>
    </row>
    <row r="30" spans="1:21" ht="14.1" customHeight="1">
      <c r="A30" s="7">
        <v>26</v>
      </c>
      <c r="B30" s="234" t="s">
        <v>124</v>
      </c>
      <c r="C30" s="234" t="s">
        <v>438</v>
      </c>
      <c r="D30" s="235" t="s">
        <v>944</v>
      </c>
      <c r="E30" s="234" t="s">
        <v>945</v>
      </c>
      <c r="F30" s="235" t="s">
        <v>26</v>
      </c>
      <c r="G30" s="236" t="s">
        <v>5732</v>
      </c>
      <c r="H30" s="235" t="s">
        <v>42</v>
      </c>
      <c r="I30" s="236" t="s">
        <v>5733</v>
      </c>
      <c r="J30" s="235" t="s">
        <v>30</v>
      </c>
      <c r="K30" s="235"/>
      <c r="L30" s="235" t="s">
        <v>322</v>
      </c>
      <c r="M30" s="235">
        <v>853650</v>
      </c>
      <c r="N30" s="235">
        <v>100</v>
      </c>
      <c r="O30" s="235">
        <v>45</v>
      </c>
      <c r="P30" s="235"/>
      <c r="Q30" s="22"/>
      <c r="R30" s="9">
        <v>297.31031481850482</v>
      </c>
      <c r="T30" s="7" t="s">
        <v>34</v>
      </c>
      <c r="U30" s="8"/>
    </row>
    <row r="31" spans="1:21" ht="14.1" customHeight="1">
      <c r="A31" s="7">
        <v>27</v>
      </c>
      <c r="B31" s="234" t="s">
        <v>124</v>
      </c>
      <c r="C31" s="234" t="s">
        <v>438</v>
      </c>
      <c r="D31" s="235" t="s">
        <v>944</v>
      </c>
      <c r="E31" s="234" t="s">
        <v>945</v>
      </c>
      <c r="F31" s="235" t="s">
        <v>26</v>
      </c>
      <c r="G31" s="236" t="s">
        <v>5734</v>
      </c>
      <c r="H31" s="235" t="s">
        <v>42</v>
      </c>
      <c r="I31" s="236" t="s">
        <v>5733</v>
      </c>
      <c r="J31" s="235" t="s">
        <v>30</v>
      </c>
      <c r="K31" s="235"/>
      <c r="L31" s="235" t="s">
        <v>322</v>
      </c>
      <c r="M31" s="235">
        <v>853650</v>
      </c>
      <c r="N31" s="235">
        <v>100</v>
      </c>
      <c r="O31" s="235">
        <v>45</v>
      </c>
      <c r="P31" s="235"/>
      <c r="Q31" s="22"/>
      <c r="R31" s="9">
        <v>313.16686494215833</v>
      </c>
      <c r="T31" s="7" t="s">
        <v>34</v>
      </c>
      <c r="U31" s="8"/>
    </row>
    <row r="32" spans="1:21" ht="14.1" customHeight="1">
      <c r="A32" s="7">
        <v>28</v>
      </c>
      <c r="B32" s="234" t="s">
        <v>124</v>
      </c>
      <c r="C32" s="234" t="s">
        <v>438</v>
      </c>
      <c r="D32" s="235" t="s">
        <v>944</v>
      </c>
      <c r="E32" s="234" t="s">
        <v>945</v>
      </c>
      <c r="F32" s="235" t="s">
        <v>26</v>
      </c>
      <c r="G32" s="236" t="s">
        <v>5735</v>
      </c>
      <c r="H32" s="235" t="s">
        <v>42</v>
      </c>
      <c r="I32" s="236" t="s">
        <v>5736</v>
      </c>
      <c r="J32" s="235" t="s">
        <v>30</v>
      </c>
      <c r="K32" s="235"/>
      <c r="L32" s="235" t="s">
        <v>322</v>
      </c>
      <c r="M32" s="235">
        <v>853650</v>
      </c>
      <c r="N32" s="235">
        <v>100</v>
      </c>
      <c r="O32" s="235">
        <v>45</v>
      </c>
      <c r="P32" s="235"/>
      <c r="Q32" s="22"/>
      <c r="R32" s="9">
        <v>99.896265779017597</v>
      </c>
      <c r="T32" s="7" t="s">
        <v>34</v>
      </c>
      <c r="U32" s="8"/>
    </row>
    <row r="33" spans="1:21" ht="14.1" customHeight="1">
      <c r="A33" s="7">
        <v>29</v>
      </c>
      <c r="B33" s="234" t="s">
        <v>124</v>
      </c>
      <c r="C33" s="234" t="s">
        <v>438</v>
      </c>
      <c r="D33" s="235" t="s">
        <v>944</v>
      </c>
      <c r="E33" s="234" t="s">
        <v>945</v>
      </c>
      <c r="F33" s="235" t="s">
        <v>26</v>
      </c>
      <c r="G33" s="236" t="s">
        <v>5737</v>
      </c>
      <c r="H33" s="235" t="s">
        <v>42</v>
      </c>
      <c r="I33" s="236" t="s">
        <v>5738</v>
      </c>
      <c r="J33" s="235" t="s">
        <v>30</v>
      </c>
      <c r="K33" s="235"/>
      <c r="L33" s="235" t="s">
        <v>322</v>
      </c>
      <c r="M33" s="235">
        <v>853650</v>
      </c>
      <c r="N33" s="235">
        <v>100</v>
      </c>
      <c r="O33" s="235">
        <v>45</v>
      </c>
      <c r="P33" s="235"/>
      <c r="Q33" s="22"/>
      <c r="R33" s="9">
        <v>73.534751198443516</v>
      </c>
      <c r="T33" s="7" t="s">
        <v>34</v>
      </c>
      <c r="U33" s="8"/>
    </row>
    <row r="34" spans="1:21" ht="14.1" customHeight="1">
      <c r="A34" s="7">
        <v>30</v>
      </c>
      <c r="B34" s="234" t="s">
        <v>124</v>
      </c>
      <c r="C34" s="234" t="s">
        <v>438</v>
      </c>
      <c r="D34" s="235" t="s">
        <v>810</v>
      </c>
      <c r="E34" s="234" t="s">
        <v>5739</v>
      </c>
      <c r="F34" s="235" t="s">
        <v>26</v>
      </c>
      <c r="G34" s="236" t="s">
        <v>5740</v>
      </c>
      <c r="H34" s="235" t="s">
        <v>42</v>
      </c>
      <c r="I34" s="236" t="s">
        <v>5741</v>
      </c>
      <c r="J34" s="235" t="s">
        <v>30</v>
      </c>
      <c r="K34" s="235"/>
      <c r="L34" s="235" t="s">
        <v>322</v>
      </c>
      <c r="M34" s="235">
        <v>830241</v>
      </c>
      <c r="N34" s="235">
        <v>100</v>
      </c>
      <c r="O34" s="235">
        <v>45</v>
      </c>
      <c r="P34" s="235"/>
      <c r="Q34" s="22"/>
      <c r="R34" s="9">
        <v>241.61418250917151</v>
      </c>
      <c r="T34" s="7" t="s">
        <v>34</v>
      </c>
      <c r="U34" s="8"/>
    </row>
    <row r="35" spans="1:21" ht="14.1" customHeight="1">
      <c r="A35" s="7">
        <v>31</v>
      </c>
      <c r="B35" s="234" t="s">
        <v>124</v>
      </c>
      <c r="C35" s="234" t="s">
        <v>438</v>
      </c>
      <c r="D35" s="235" t="s">
        <v>24</v>
      </c>
      <c r="E35" s="234" t="s">
        <v>5742</v>
      </c>
      <c r="F35" s="235" t="s">
        <v>26</v>
      </c>
      <c r="G35" s="236" t="s">
        <v>5743</v>
      </c>
      <c r="H35" s="235" t="s">
        <v>42</v>
      </c>
      <c r="I35" s="236" t="s">
        <v>5744</v>
      </c>
      <c r="J35" s="235" t="s">
        <v>30</v>
      </c>
      <c r="K35" s="235"/>
      <c r="L35" s="235" t="s">
        <v>322</v>
      </c>
      <c r="M35" s="235">
        <v>830140</v>
      </c>
      <c r="N35" s="235">
        <v>100</v>
      </c>
      <c r="O35" s="235">
        <v>45</v>
      </c>
      <c r="P35" s="235"/>
      <c r="Q35" s="22"/>
      <c r="R35" s="9">
        <v>202.56742782967461</v>
      </c>
      <c r="T35" s="7" t="s">
        <v>34</v>
      </c>
      <c r="U35" s="8"/>
    </row>
    <row r="36" spans="1:21" ht="14.1" customHeight="1">
      <c r="A36" s="7">
        <v>32</v>
      </c>
      <c r="B36" s="234" t="s">
        <v>124</v>
      </c>
      <c r="C36" s="234" t="s">
        <v>438</v>
      </c>
      <c r="D36" s="235" t="s">
        <v>24</v>
      </c>
      <c r="E36" s="234" t="s">
        <v>5742</v>
      </c>
      <c r="F36" s="235" t="s">
        <v>26</v>
      </c>
      <c r="G36" s="236" t="s">
        <v>5745</v>
      </c>
      <c r="H36" s="235" t="s">
        <v>42</v>
      </c>
      <c r="I36" s="236" t="s">
        <v>5746</v>
      </c>
      <c r="J36" s="235" t="s">
        <v>30</v>
      </c>
      <c r="K36" s="235"/>
      <c r="L36" s="235" t="s">
        <v>322</v>
      </c>
      <c r="M36" s="235">
        <v>830140</v>
      </c>
      <c r="N36" s="235">
        <v>100</v>
      </c>
      <c r="O36" s="235">
        <v>45</v>
      </c>
      <c r="P36" s="235"/>
      <c r="Q36" s="22"/>
      <c r="R36" s="9">
        <v>696.30075730493797</v>
      </c>
      <c r="T36" s="7" t="s">
        <v>34</v>
      </c>
      <c r="U36" s="8"/>
    </row>
    <row r="37" spans="1:21" s="22" customFormat="1" ht="14.1" customHeight="1">
      <c r="A37" s="7">
        <v>33</v>
      </c>
      <c r="B37" s="19" t="s">
        <v>609</v>
      </c>
      <c r="C37" s="19" t="s">
        <v>438</v>
      </c>
      <c r="D37" s="29" t="s">
        <v>944</v>
      </c>
      <c r="E37" s="19" t="s">
        <v>945</v>
      </c>
      <c r="F37" s="29" t="s">
        <v>26</v>
      </c>
      <c r="G37" s="19" t="s">
        <v>5747</v>
      </c>
      <c r="H37" s="29" t="s">
        <v>121</v>
      </c>
      <c r="I37" s="19" t="s">
        <v>5748</v>
      </c>
      <c r="J37" s="29" t="s">
        <v>123</v>
      </c>
      <c r="K37" s="29" t="s">
        <v>31</v>
      </c>
      <c r="L37" s="235" t="s">
        <v>322</v>
      </c>
      <c r="M37" s="29" t="s">
        <v>5749</v>
      </c>
      <c r="N37" s="29" t="s">
        <v>5750</v>
      </c>
      <c r="O37" s="29" t="s">
        <v>5751</v>
      </c>
      <c r="P37" s="29"/>
      <c r="R37" s="9">
        <v>73.534751198443516</v>
      </c>
      <c r="T37" s="19"/>
      <c r="U37" s="7" t="s">
        <v>34</v>
      </c>
    </row>
    <row r="38" spans="1:21" s="22" customFormat="1" ht="14.1" customHeight="1">
      <c r="A38" s="7">
        <v>34</v>
      </c>
      <c r="B38" s="19" t="s">
        <v>609</v>
      </c>
      <c r="C38" s="19" t="s">
        <v>438</v>
      </c>
      <c r="D38" s="29" t="s">
        <v>810</v>
      </c>
      <c r="E38" s="19" t="s">
        <v>5739</v>
      </c>
      <c r="F38" s="29" t="s">
        <v>26</v>
      </c>
      <c r="G38" s="19" t="s">
        <v>5752</v>
      </c>
      <c r="H38" s="29" t="s">
        <v>42</v>
      </c>
      <c r="I38" s="19" t="s">
        <v>5753</v>
      </c>
      <c r="J38" s="29" t="s">
        <v>123</v>
      </c>
      <c r="K38" s="29"/>
      <c r="L38" s="235" t="s">
        <v>322</v>
      </c>
      <c r="M38" s="29" t="s">
        <v>5754</v>
      </c>
      <c r="N38" s="29" t="s">
        <v>5750</v>
      </c>
      <c r="O38" s="29" t="s">
        <v>5751</v>
      </c>
      <c r="P38" s="29"/>
      <c r="R38" s="9">
        <v>241.61418250917151</v>
      </c>
      <c r="T38" s="19"/>
      <c r="U38" s="7" t="s">
        <v>34</v>
      </c>
    </row>
    <row r="39" spans="1:21" s="22" customFormat="1" ht="14.1" customHeight="1">
      <c r="A39" s="7">
        <v>35</v>
      </c>
      <c r="B39" s="19" t="s">
        <v>609</v>
      </c>
      <c r="C39" s="19" t="s">
        <v>438</v>
      </c>
      <c r="D39" s="29" t="s">
        <v>24</v>
      </c>
      <c r="E39" s="19" t="s">
        <v>25</v>
      </c>
      <c r="F39" s="29" t="s">
        <v>26</v>
      </c>
      <c r="G39" s="19" t="s">
        <v>5755</v>
      </c>
      <c r="H39" s="29" t="s">
        <v>42</v>
      </c>
      <c r="I39" s="19" t="s">
        <v>5756</v>
      </c>
      <c r="J39" s="29" t="s">
        <v>30</v>
      </c>
      <c r="K39" s="29"/>
      <c r="L39" s="235" t="s">
        <v>322</v>
      </c>
      <c r="M39" s="29" t="s">
        <v>5757</v>
      </c>
      <c r="N39" s="29" t="s">
        <v>5750</v>
      </c>
      <c r="O39" s="29" t="s">
        <v>5751</v>
      </c>
      <c r="P39" s="29"/>
      <c r="R39" s="9">
        <v>202.56742782967461</v>
      </c>
      <c r="T39" s="19"/>
      <c r="U39" s="7" t="s">
        <v>34</v>
      </c>
    </row>
    <row r="40" spans="1:21" s="22" customFormat="1" ht="14.1" customHeight="1">
      <c r="A40" s="7">
        <v>36</v>
      </c>
      <c r="B40" s="19" t="s">
        <v>609</v>
      </c>
      <c r="C40" s="19" t="s">
        <v>438</v>
      </c>
      <c r="D40" s="29" t="s">
        <v>24</v>
      </c>
      <c r="E40" s="19" t="s">
        <v>25</v>
      </c>
      <c r="F40" s="29" t="s">
        <v>26</v>
      </c>
      <c r="G40" s="19" t="s">
        <v>5758</v>
      </c>
      <c r="H40" s="29" t="s">
        <v>42</v>
      </c>
      <c r="I40" s="19" t="s">
        <v>5759</v>
      </c>
      <c r="J40" s="29" t="s">
        <v>30</v>
      </c>
      <c r="K40" s="29"/>
      <c r="L40" s="235" t="s">
        <v>322</v>
      </c>
      <c r="M40" s="29" t="s">
        <v>5757</v>
      </c>
      <c r="N40" s="29" t="s">
        <v>5750</v>
      </c>
      <c r="O40" s="29" t="s">
        <v>5751</v>
      </c>
      <c r="P40" s="29"/>
      <c r="R40" s="9">
        <v>696.30075730493797</v>
      </c>
      <c r="T40" s="19"/>
      <c r="U40" s="7" t="s">
        <v>34</v>
      </c>
    </row>
    <row r="41" spans="1:21" s="22" customFormat="1" ht="14.1" customHeight="1">
      <c r="A41" s="7">
        <v>37</v>
      </c>
      <c r="B41" s="19" t="s">
        <v>609</v>
      </c>
      <c r="C41" s="19" t="s">
        <v>438</v>
      </c>
      <c r="D41" s="7" t="s">
        <v>39</v>
      </c>
      <c r="E41" s="136" t="s">
        <v>3703</v>
      </c>
      <c r="F41" s="29" t="s">
        <v>26</v>
      </c>
      <c r="G41" s="19" t="s">
        <v>5760</v>
      </c>
      <c r="H41" s="29" t="s">
        <v>42</v>
      </c>
      <c r="I41" s="19" t="s">
        <v>5761</v>
      </c>
      <c r="J41" s="29" t="s">
        <v>30</v>
      </c>
      <c r="K41" s="29"/>
      <c r="L41" s="235" t="s">
        <v>322</v>
      </c>
      <c r="M41" s="29"/>
      <c r="N41" s="29" t="s">
        <v>5750</v>
      </c>
      <c r="O41" s="29" t="s">
        <v>5751</v>
      </c>
      <c r="P41" s="29"/>
      <c r="R41" s="9">
        <v>925.84329943254988</v>
      </c>
      <c r="T41" s="29" t="s">
        <v>34</v>
      </c>
      <c r="U41" s="7"/>
    </row>
    <row r="42" spans="1:21" ht="14.1" customHeight="1"/>
    <row r="43" spans="1:21" ht="14.1" customHeight="1"/>
    <row r="44" spans="1:21" ht="14.1" customHeight="1"/>
    <row r="45" spans="1:21" ht="14.1" customHeight="1"/>
    <row r="46" spans="1:21" ht="14.1" customHeight="1"/>
    <row r="47" spans="1:21" ht="14.1" customHeight="1"/>
    <row r="48" spans="1:21" ht="14.1" customHeight="1"/>
    <row r="49" ht="14.1" customHeight="1"/>
    <row r="50" ht="14.1" customHeight="1"/>
    <row r="51" ht="14.1" customHeight="1"/>
    <row r="52" ht="14.1" customHeight="1"/>
    <row r="53" ht="14.1" customHeight="1"/>
    <row r="54" ht="14.1" customHeight="1"/>
    <row r="55" ht="14.1" customHeight="1"/>
    <row r="56" ht="14.1" customHeight="1"/>
    <row r="57" ht="14.1" customHeight="1"/>
    <row r="58" ht="14.1" customHeight="1"/>
    <row r="59" ht="14.1" customHeight="1"/>
    <row r="60" ht="14.1" customHeight="1"/>
    <row r="61" ht="14.1" customHeight="1"/>
    <row r="62" ht="14.1" customHeight="1"/>
    <row r="63" ht="14.1" customHeight="1"/>
    <row r="64" ht="14.1" customHeight="1"/>
    <row r="65" ht="14.1" customHeight="1"/>
    <row r="66" ht="14.1" customHeight="1"/>
    <row r="67" ht="14.1" customHeight="1"/>
    <row r="68" ht="14.1" customHeight="1"/>
    <row r="69" ht="14.1" customHeight="1"/>
    <row r="70" ht="14.1" customHeight="1"/>
    <row r="71" ht="14.1" customHeight="1"/>
    <row r="72" ht="14.1" customHeight="1"/>
    <row r="73" ht="14.1" customHeight="1"/>
    <row r="74" ht="14.1" customHeight="1"/>
    <row r="75" ht="14.1" customHeight="1"/>
    <row r="76" ht="14.1" customHeight="1"/>
    <row r="77" ht="14.1" customHeight="1"/>
    <row r="78" ht="14.1" customHeight="1"/>
    <row r="79" ht="14.1" customHeight="1"/>
    <row r="80" ht="14.1" customHeight="1"/>
    <row r="81" ht="14.1" customHeight="1"/>
    <row r="82" ht="14.1" customHeight="1"/>
    <row r="83" ht="14.1" customHeight="1"/>
    <row r="84" ht="14.1" customHeight="1"/>
    <row r="85" ht="14.1" customHeight="1"/>
    <row r="86" ht="14.1" customHeight="1"/>
    <row r="87" ht="14.1" customHeight="1"/>
    <row r="88" ht="14.1" customHeight="1"/>
    <row r="89" ht="14.1" customHeight="1"/>
    <row r="90" ht="14.1" customHeight="1"/>
    <row r="91" ht="14.1" customHeight="1"/>
    <row r="92" ht="14.1" customHeight="1"/>
    <row r="93" ht="14.1" customHeight="1"/>
    <row r="94" ht="14.1" customHeight="1"/>
    <row r="95" ht="14.1" customHeight="1"/>
    <row r="96" ht="14.1" customHeight="1"/>
    <row r="97" ht="14.1" customHeight="1"/>
    <row r="98" ht="14.1" customHeight="1"/>
    <row r="99" ht="14.1" customHeight="1"/>
    <row r="100" ht="14.1" customHeight="1"/>
    <row r="101" ht="14.1" customHeight="1"/>
    <row r="102" ht="14.1" customHeight="1"/>
    <row r="103" ht="14.1" customHeight="1"/>
    <row r="104" ht="14.1" customHeight="1"/>
    <row r="105" ht="14.1" customHeight="1"/>
    <row r="106" ht="14.1" customHeight="1"/>
    <row r="107" ht="14.1" customHeight="1"/>
    <row r="108" ht="14.1" customHeight="1"/>
    <row r="109" ht="14.1" customHeight="1"/>
    <row r="110" ht="14.1" customHeight="1"/>
    <row r="111" ht="14.1" customHeight="1"/>
    <row r="112" ht="14.1" customHeight="1"/>
    <row r="113" ht="14.1" customHeight="1"/>
    <row r="114" ht="14.1" customHeight="1"/>
    <row r="115" ht="14.1" customHeight="1"/>
    <row r="116" ht="14.1" customHeight="1"/>
    <row r="117" ht="14.1" customHeight="1"/>
    <row r="118" ht="14.1" customHeight="1"/>
    <row r="119" ht="14.1" customHeight="1"/>
    <row r="120" ht="14.1" customHeight="1"/>
    <row r="121" ht="14.1" customHeight="1"/>
    <row r="122" ht="14.1" customHeight="1"/>
    <row r="123" ht="14.1" customHeight="1"/>
    <row r="124" ht="14.1" customHeight="1"/>
    <row r="125" ht="14.1" customHeight="1"/>
    <row r="126" ht="14.1" customHeight="1"/>
    <row r="127" ht="14.1" customHeight="1"/>
    <row r="128" ht="14.1" customHeight="1"/>
    <row r="129" ht="14.1" customHeight="1"/>
    <row r="130" ht="14.1" customHeight="1"/>
    <row r="131" ht="14.1" customHeight="1"/>
    <row r="132" ht="14.1" customHeight="1"/>
    <row r="133" ht="14.1" customHeight="1"/>
    <row r="134" ht="14.1" customHeight="1"/>
    <row r="135" ht="14.1" customHeight="1"/>
    <row r="136" ht="14.1" customHeight="1"/>
    <row r="137" ht="14.1" customHeight="1"/>
    <row r="138" ht="14.1" customHeight="1"/>
    <row r="139" ht="14.1" customHeight="1"/>
    <row r="140" ht="14.1" customHeight="1"/>
    <row r="141" ht="14.1" customHeight="1"/>
    <row r="142" ht="14.1" customHeight="1"/>
    <row r="143" ht="14.1" customHeight="1"/>
    <row r="144" ht="14.1" customHeight="1"/>
    <row r="145" ht="14.1" customHeight="1"/>
    <row r="146" ht="14.1" customHeight="1"/>
    <row r="147" ht="14.1" customHeight="1"/>
    <row r="148" ht="14.1" customHeight="1"/>
    <row r="149" ht="14.1" customHeight="1"/>
    <row r="150" ht="14.1" customHeight="1"/>
    <row r="151" ht="14.1" customHeight="1"/>
    <row r="152" ht="14.1" customHeight="1"/>
    <row r="153" ht="14.1" customHeight="1"/>
    <row r="154" ht="14.1" customHeight="1"/>
    <row r="155" ht="14.1" customHeight="1"/>
    <row r="156" ht="14.1" customHeight="1"/>
    <row r="157" ht="14.1" customHeight="1"/>
    <row r="158" ht="14.1" customHeight="1"/>
    <row r="159" ht="14.1" customHeight="1"/>
    <row r="160" ht="14.1" customHeight="1"/>
    <row r="161" ht="14.1" customHeight="1"/>
    <row r="162" ht="14.1" customHeight="1"/>
    <row r="163" ht="14.1" customHeight="1"/>
    <row r="164" ht="14.1" customHeight="1"/>
    <row r="165" ht="14.1" customHeight="1"/>
    <row r="166" ht="14.1" customHeight="1"/>
    <row r="167" ht="14.1" customHeight="1"/>
    <row r="168" ht="14.1" customHeight="1"/>
    <row r="169" ht="14.1" customHeight="1"/>
    <row r="170" ht="14.1" customHeight="1"/>
    <row r="171" ht="14.1" customHeight="1"/>
    <row r="172" ht="14.1" customHeight="1"/>
    <row r="173" ht="14.1" customHeight="1"/>
    <row r="174" ht="14.1" customHeight="1"/>
    <row r="175" ht="14.1" customHeight="1"/>
    <row r="176" ht="14.1" customHeight="1"/>
    <row r="177" ht="14.1" customHeight="1"/>
    <row r="178" ht="14.1" customHeight="1"/>
    <row r="179" ht="14.1" customHeight="1"/>
    <row r="180" ht="14.1" customHeight="1"/>
    <row r="181" ht="14.1" customHeight="1"/>
    <row r="182" ht="14.1" customHeight="1"/>
    <row r="183" ht="14.1" customHeight="1"/>
    <row r="184" ht="14.1" customHeight="1"/>
    <row r="185" ht="14.1" customHeight="1"/>
    <row r="186" ht="14.1" customHeight="1"/>
    <row r="187" ht="14.1" customHeight="1"/>
    <row r="188" ht="14.1" customHeight="1"/>
    <row r="189" ht="14.1" customHeight="1"/>
    <row r="190" ht="14.1" customHeight="1"/>
    <row r="191" ht="14.1" customHeight="1"/>
    <row r="192" ht="14.1" customHeight="1"/>
    <row r="193" ht="14.1" customHeight="1"/>
    <row r="194" ht="14.1" customHeight="1"/>
    <row r="195" ht="14.1" customHeight="1"/>
    <row r="196" ht="14.1" customHeight="1"/>
    <row r="197" ht="14.1" customHeight="1"/>
    <row r="198" ht="14.1" customHeight="1"/>
    <row r="199" ht="14.1" customHeight="1"/>
    <row r="200" ht="14.1" customHeight="1"/>
    <row r="201" ht="14.1" customHeight="1"/>
    <row r="202" ht="14.1" customHeight="1"/>
    <row r="203" ht="14.1" customHeight="1"/>
    <row r="204" ht="14.1" customHeight="1"/>
    <row r="205" ht="14.1" customHeight="1"/>
    <row r="206" ht="14.1" customHeight="1"/>
    <row r="207" ht="14.1" customHeight="1"/>
    <row r="208" ht="14.1" customHeight="1"/>
    <row r="209" ht="14.1" customHeight="1"/>
    <row r="210" ht="14.1" customHeight="1"/>
    <row r="211" ht="14.1" customHeight="1"/>
    <row r="212" ht="14.1" customHeight="1"/>
    <row r="213" ht="14.1" customHeight="1"/>
    <row r="214" ht="14.1" customHeight="1"/>
    <row r="215" ht="14.1" customHeight="1"/>
    <row r="216" ht="14.1" customHeight="1"/>
    <row r="217" ht="14.1" customHeight="1"/>
    <row r="218" ht="14.1" customHeight="1"/>
    <row r="219" ht="14.1" customHeight="1"/>
    <row r="220" ht="14.1" customHeight="1"/>
    <row r="221" ht="14.1" customHeight="1"/>
    <row r="222" ht="14.1" customHeight="1"/>
    <row r="223" ht="14.1" customHeight="1"/>
    <row r="224" ht="14.1" customHeight="1"/>
    <row r="225" ht="14.1" customHeight="1"/>
    <row r="226" ht="14.1" customHeight="1"/>
    <row r="227" ht="14.1" customHeight="1"/>
    <row r="228" ht="14.1" customHeight="1"/>
    <row r="229" ht="14.1" customHeight="1"/>
    <row r="230" ht="14.1" customHeight="1"/>
    <row r="231" ht="14.1" customHeight="1"/>
    <row r="232" ht="14.1" customHeight="1"/>
    <row r="233" ht="14.1" customHeight="1"/>
    <row r="234" ht="14.1" customHeight="1"/>
    <row r="235" ht="14.1" customHeight="1"/>
    <row r="236" ht="14.1" customHeight="1"/>
    <row r="237" ht="14.1" customHeight="1"/>
    <row r="238" ht="14.1" customHeight="1"/>
    <row r="239" ht="14.1" customHeight="1"/>
    <row r="240" ht="14.1" customHeight="1"/>
    <row r="241" ht="14.1" customHeight="1"/>
    <row r="242" ht="14.1" customHeight="1"/>
    <row r="243" ht="14.1" customHeight="1"/>
    <row r="244" ht="14.1" customHeight="1"/>
    <row r="245" ht="14.1" customHeight="1"/>
    <row r="246" ht="14.1" customHeight="1"/>
    <row r="247" ht="14.1" customHeight="1"/>
    <row r="248" ht="14.1" customHeight="1"/>
    <row r="249" ht="14.1" customHeight="1"/>
    <row r="250" ht="14.1" customHeight="1"/>
    <row r="251" ht="14.1" customHeight="1"/>
    <row r="252" ht="14.1" customHeight="1"/>
    <row r="253" ht="14.1" customHeight="1"/>
    <row r="254" ht="14.1" customHeight="1"/>
    <row r="255" ht="14.1" customHeight="1"/>
    <row r="256" ht="14.1" customHeight="1"/>
    <row r="257" ht="14.1" customHeight="1"/>
    <row r="258" ht="14.1" customHeight="1"/>
    <row r="259" ht="14.1" customHeight="1"/>
    <row r="260" ht="14.1" customHeight="1"/>
    <row r="261" ht="14.1" customHeight="1"/>
    <row r="262" ht="14.1" customHeight="1"/>
    <row r="263" ht="14.1" customHeight="1"/>
    <row r="264" ht="14.1" customHeight="1"/>
    <row r="265" ht="14.1" customHeight="1"/>
    <row r="266" ht="14.1" customHeight="1"/>
    <row r="267" ht="14.1" customHeight="1"/>
    <row r="268" ht="14.1" customHeight="1"/>
    <row r="269" ht="14.1" customHeight="1"/>
    <row r="270" ht="14.1" customHeight="1"/>
    <row r="271" ht="14.1" customHeight="1"/>
    <row r="272" ht="14.1" customHeight="1"/>
    <row r="273" ht="14.1" customHeight="1"/>
    <row r="274" ht="14.1" customHeight="1"/>
    <row r="275" ht="14.1" customHeight="1"/>
    <row r="276" ht="14.1" customHeight="1"/>
    <row r="277" ht="14.1" customHeight="1"/>
    <row r="278" ht="14.1" customHeight="1"/>
    <row r="279" ht="14.1" customHeight="1"/>
    <row r="280" ht="14.1" customHeight="1"/>
    <row r="281" ht="14.1" customHeight="1"/>
    <row r="282" ht="14.1" customHeight="1"/>
    <row r="283" ht="14.1" customHeight="1"/>
    <row r="284" ht="14.1" customHeight="1"/>
    <row r="285" ht="14.1" customHeight="1"/>
    <row r="286" ht="14.1" customHeight="1"/>
    <row r="287" ht="14.1" customHeight="1"/>
    <row r="288" ht="14.1" customHeight="1"/>
    <row r="289" ht="14.1" customHeight="1"/>
    <row r="290" ht="14.1" customHeight="1"/>
    <row r="291" ht="14.1" customHeight="1"/>
    <row r="292" ht="14.1" customHeight="1"/>
    <row r="293" ht="14.1" customHeight="1"/>
    <row r="294" ht="14.1" customHeight="1"/>
    <row r="295" ht="14.1" customHeight="1"/>
    <row r="296" ht="14.1" customHeight="1"/>
    <row r="297" ht="14.1" customHeight="1"/>
    <row r="298" ht="14.1" customHeight="1"/>
    <row r="299" ht="14.1" customHeight="1"/>
    <row r="300" ht="14.1" customHeight="1"/>
    <row r="301" ht="14.1" customHeight="1"/>
    <row r="302" ht="14.1" customHeight="1"/>
    <row r="303" ht="14.1" customHeight="1"/>
    <row r="304" ht="14.1" customHeight="1"/>
    <row r="305" ht="14.1" customHeight="1"/>
    <row r="306" ht="14.1" customHeight="1"/>
    <row r="307" ht="14.1" customHeight="1"/>
    <row r="308" ht="14.1" customHeight="1"/>
    <row r="309" ht="14.1" customHeight="1"/>
    <row r="310" ht="14.1" customHeight="1"/>
    <row r="311" ht="14.1" customHeight="1"/>
    <row r="312" ht="14.1" customHeight="1"/>
    <row r="313" ht="14.1" customHeight="1"/>
    <row r="314" ht="14.1" customHeight="1"/>
    <row r="315" ht="14.1" customHeight="1"/>
    <row r="316" ht="14.1" customHeight="1"/>
    <row r="317" ht="14.1" customHeight="1"/>
    <row r="318" ht="14.1" customHeight="1"/>
    <row r="319" ht="14.1" customHeight="1"/>
    <row r="320" ht="14.1" customHeight="1"/>
    <row r="321" ht="14.1" customHeight="1"/>
    <row r="322" ht="14.1" customHeight="1"/>
    <row r="323" ht="14.1" customHeight="1"/>
    <row r="324" ht="14.1" customHeight="1"/>
    <row r="325" ht="14.1" customHeight="1"/>
    <row r="326" ht="14.1" customHeight="1"/>
    <row r="327" ht="14.1" customHeight="1"/>
    <row r="328" ht="14.1" customHeight="1"/>
    <row r="329" ht="14.1" customHeight="1"/>
    <row r="330" ht="14.1" customHeight="1"/>
    <row r="331" ht="14.1" customHeight="1"/>
    <row r="332" ht="14.1" customHeight="1"/>
    <row r="333" ht="14.1" customHeight="1"/>
    <row r="334" ht="14.1" customHeight="1"/>
    <row r="335" ht="14.1" customHeight="1"/>
    <row r="336" ht="14.1" customHeight="1"/>
    <row r="337" ht="14.1" customHeight="1"/>
    <row r="338" ht="14.1" customHeight="1"/>
    <row r="339" ht="14.1" customHeight="1"/>
    <row r="340" ht="14.1" customHeight="1"/>
    <row r="341" ht="14.1" customHeight="1"/>
    <row r="342" ht="14.1" customHeight="1"/>
    <row r="343" ht="14.1" customHeight="1"/>
    <row r="344" ht="14.1" customHeight="1"/>
    <row r="345" ht="14.1" customHeight="1"/>
    <row r="346" ht="14.1" customHeight="1"/>
    <row r="347" ht="14.1" customHeight="1"/>
    <row r="348" ht="14.1" customHeight="1"/>
    <row r="349" ht="14.1" customHeight="1"/>
    <row r="350" ht="14.1" customHeight="1"/>
    <row r="351" ht="14.1" customHeight="1"/>
    <row r="352" ht="14.1" customHeight="1"/>
    <row r="353" ht="14.1" customHeight="1"/>
    <row r="354" ht="14.1" customHeight="1"/>
    <row r="355" ht="14.1" customHeight="1"/>
    <row r="356" ht="14.1" customHeight="1"/>
    <row r="357" ht="14.1" customHeight="1"/>
    <row r="358" ht="14.1" customHeight="1"/>
    <row r="359" ht="14.1" customHeight="1"/>
    <row r="360" ht="14.1" customHeight="1"/>
    <row r="361" ht="14.1" customHeight="1"/>
    <row r="362" ht="14.1" customHeight="1"/>
    <row r="363" ht="14.1" customHeight="1"/>
    <row r="364" ht="14.1" customHeight="1"/>
    <row r="365" ht="14.1" customHeight="1"/>
    <row r="366" ht="14.1" customHeight="1"/>
    <row r="367" ht="14.1" customHeight="1"/>
    <row r="368" ht="14.1" customHeight="1"/>
    <row r="369" ht="14.1" customHeight="1"/>
    <row r="370" ht="14.1" customHeight="1"/>
    <row r="371" ht="14.1" customHeight="1"/>
    <row r="372" ht="14.1" customHeight="1"/>
    <row r="373" ht="14.1" customHeight="1"/>
    <row r="374" ht="14.1" customHeight="1"/>
    <row r="375" ht="14.1" customHeight="1"/>
    <row r="376" ht="14.1" customHeight="1"/>
    <row r="377" ht="14.1" customHeight="1"/>
    <row r="378" ht="14.1" customHeight="1"/>
    <row r="379" ht="14.1" customHeight="1"/>
    <row r="380" ht="14.1" customHeight="1"/>
    <row r="381" ht="14.1" customHeight="1"/>
    <row r="382" ht="14.1" customHeight="1"/>
    <row r="383" ht="14.1" customHeight="1"/>
    <row r="384" ht="14.1" customHeight="1"/>
    <row r="385" ht="14.1" customHeight="1"/>
    <row r="386" ht="14.1" customHeight="1"/>
    <row r="387" ht="14.1" customHeight="1"/>
    <row r="388" ht="14.1" customHeight="1"/>
    <row r="389" ht="14.1" customHeight="1"/>
    <row r="390" ht="14.1" customHeight="1"/>
    <row r="391" ht="14.1" customHeight="1"/>
    <row r="392" ht="14.1" customHeight="1"/>
    <row r="393" ht="14.1" customHeight="1"/>
    <row r="394" ht="14.1" customHeight="1"/>
    <row r="395" ht="14.1" customHeight="1"/>
    <row r="396" ht="14.1" customHeight="1"/>
    <row r="397" ht="14.1" customHeight="1"/>
    <row r="398" ht="14.1" customHeight="1"/>
    <row r="399" ht="14.1" customHeight="1"/>
    <row r="400" ht="14.1" customHeight="1"/>
    <row r="401" ht="14.1" customHeight="1"/>
    <row r="402" ht="14.1" customHeight="1"/>
    <row r="403" ht="14.1" customHeight="1"/>
    <row r="404" ht="14.1" customHeight="1"/>
    <row r="405" ht="14.1" customHeight="1"/>
    <row r="406" ht="14.1" customHeight="1"/>
    <row r="407" ht="14.1" customHeight="1"/>
    <row r="408" ht="14.1" customHeight="1"/>
    <row r="409" ht="14.1" customHeight="1"/>
    <row r="410" ht="14.1" customHeight="1"/>
    <row r="411" ht="14.1" customHeight="1"/>
    <row r="412" ht="14.1" customHeight="1"/>
    <row r="413" ht="14.1" customHeight="1"/>
    <row r="414" ht="14.1" customHeight="1"/>
    <row r="415" ht="14.1" customHeight="1"/>
    <row r="416" ht="14.1" customHeight="1"/>
    <row r="417" ht="14.1" customHeight="1"/>
    <row r="418" ht="14.1" customHeight="1"/>
    <row r="419" ht="14.1" customHeight="1"/>
    <row r="420" ht="14.1" customHeight="1"/>
    <row r="421" ht="14.1" customHeight="1"/>
    <row r="422" ht="14.1" customHeight="1"/>
    <row r="423" ht="14.1" customHeight="1"/>
    <row r="424" ht="14.1" customHeight="1"/>
    <row r="425" ht="14.1" customHeight="1"/>
    <row r="426" ht="14.1" customHeight="1"/>
    <row r="427" ht="14.1" customHeight="1"/>
    <row r="428" ht="14.1" customHeight="1"/>
    <row r="429" ht="14.1" customHeight="1"/>
    <row r="430" ht="14.1" customHeight="1"/>
    <row r="431" ht="14.1" customHeight="1"/>
    <row r="432" ht="14.1" customHeight="1"/>
    <row r="433" ht="14.1" customHeight="1"/>
    <row r="434" ht="14.1" customHeight="1"/>
    <row r="435" ht="14.1" customHeight="1"/>
    <row r="436" ht="14.1" customHeight="1"/>
    <row r="437" ht="14.1" customHeight="1"/>
    <row r="438" ht="14.1" customHeight="1"/>
    <row r="439" ht="14.1" customHeight="1"/>
    <row r="440" ht="14.1" customHeight="1"/>
    <row r="441" ht="14.1" customHeight="1"/>
    <row r="442" ht="14.1" customHeight="1"/>
    <row r="443" ht="14.1" customHeight="1"/>
    <row r="444" ht="14.1" customHeight="1"/>
    <row r="445" ht="14.1" customHeight="1"/>
    <row r="446" ht="14.1" customHeight="1"/>
    <row r="447" ht="14.1" customHeight="1"/>
    <row r="448" ht="14.1" customHeight="1"/>
    <row r="449" ht="14.1" customHeight="1"/>
    <row r="450" ht="14.1" customHeight="1"/>
    <row r="451" ht="14.1" customHeight="1"/>
    <row r="452" ht="14.1" customHeight="1"/>
    <row r="453" ht="14.1" customHeight="1"/>
    <row r="454" ht="14.1" customHeight="1"/>
    <row r="455" ht="14.1" customHeight="1"/>
    <row r="456" ht="14.1" customHeight="1"/>
    <row r="457" ht="14.1" customHeight="1"/>
    <row r="458" ht="14.1" customHeight="1"/>
    <row r="459" ht="14.1" customHeight="1"/>
    <row r="460" ht="14.1" customHeight="1"/>
    <row r="461" ht="14.1" customHeight="1"/>
    <row r="462" ht="14.1" customHeight="1"/>
    <row r="463" ht="14.1" customHeight="1"/>
    <row r="464" ht="14.1" customHeight="1"/>
    <row r="465" ht="14.1" customHeight="1"/>
    <row r="466" ht="14.1" customHeight="1"/>
    <row r="467" ht="14.1" customHeight="1"/>
    <row r="468" ht="14.1" customHeight="1"/>
    <row r="469" ht="14.1" customHeight="1"/>
    <row r="470" ht="14.1" customHeight="1"/>
    <row r="471" ht="14.1" customHeight="1"/>
    <row r="472" ht="14.1" customHeight="1"/>
    <row r="473" ht="14.1" customHeight="1"/>
    <row r="474" ht="14.1" customHeight="1"/>
    <row r="475" ht="14.1" customHeight="1"/>
    <row r="476" ht="14.1" customHeight="1"/>
    <row r="477" ht="14.1" customHeight="1"/>
    <row r="478" ht="14.1" customHeight="1"/>
    <row r="479" ht="14.1" customHeight="1"/>
    <row r="480" ht="14.1" customHeight="1"/>
    <row r="481" ht="14.1" customHeight="1"/>
    <row r="482" ht="14.1" customHeight="1"/>
    <row r="483" ht="14.1" customHeight="1"/>
    <row r="484" ht="14.1" customHeight="1"/>
    <row r="485" ht="14.1" customHeight="1"/>
    <row r="486" ht="14.1" customHeight="1"/>
    <row r="487" ht="14.1" customHeight="1"/>
    <row r="488" ht="14.1" customHeight="1"/>
    <row r="489" ht="14.1" customHeight="1"/>
    <row r="490" ht="14.1" customHeight="1"/>
    <row r="491" ht="14.1" customHeight="1"/>
    <row r="492" ht="14.1" customHeight="1"/>
    <row r="493" ht="14.1" customHeight="1"/>
    <row r="494" ht="14.1" customHeight="1"/>
    <row r="495" ht="14.1" customHeight="1"/>
    <row r="496" ht="14.1" customHeight="1"/>
    <row r="497" ht="14.1" customHeight="1"/>
    <row r="498" ht="14.1" customHeight="1"/>
    <row r="499" ht="14.1" customHeight="1"/>
    <row r="500" ht="14.1" customHeight="1"/>
    <row r="501" ht="14.1" customHeight="1"/>
    <row r="502" ht="14.1" customHeight="1"/>
    <row r="503" ht="14.1" customHeight="1"/>
    <row r="504" ht="14.1" customHeight="1"/>
    <row r="505" ht="14.1" customHeight="1"/>
    <row r="506" ht="14.1" customHeight="1"/>
    <row r="507" ht="14.1" customHeight="1"/>
    <row r="508" ht="14.1" customHeight="1"/>
    <row r="509" ht="14.1" customHeight="1"/>
    <row r="510" ht="14.1" customHeight="1"/>
    <row r="511" ht="14.1" customHeight="1"/>
    <row r="512" ht="14.1" customHeight="1"/>
    <row r="513" ht="14.1" customHeight="1"/>
    <row r="514" ht="14.1" customHeight="1"/>
    <row r="515" ht="14.1" customHeight="1"/>
    <row r="516" ht="14.1" customHeight="1"/>
    <row r="517" ht="14.1" customHeight="1"/>
    <row r="518" ht="14.1" customHeight="1"/>
    <row r="519" ht="14.1" customHeight="1"/>
    <row r="520" ht="14.1" customHeight="1"/>
    <row r="521" ht="14.1" customHeight="1"/>
    <row r="522" ht="14.1" customHeight="1"/>
    <row r="523" ht="14.1" customHeight="1"/>
    <row r="524" ht="14.1" customHeight="1"/>
    <row r="525" ht="14.1" customHeight="1"/>
    <row r="526" ht="14.1" customHeight="1"/>
    <row r="527" ht="14.1" customHeight="1"/>
    <row r="528" ht="14.1" customHeight="1"/>
    <row r="529" ht="14.1" customHeight="1"/>
    <row r="530" ht="14.1" customHeight="1"/>
    <row r="531" ht="14.1" customHeight="1"/>
    <row r="532" ht="14.1" customHeight="1"/>
    <row r="533" ht="14.1" customHeight="1"/>
    <row r="534" ht="14.1" customHeight="1"/>
    <row r="535" ht="14.1" customHeight="1"/>
    <row r="536" ht="14.1" customHeight="1"/>
    <row r="537" ht="14.1" customHeight="1"/>
    <row r="538" ht="14.1" customHeight="1"/>
    <row r="539" ht="14.1" customHeight="1"/>
    <row r="540" ht="14.1" customHeight="1"/>
    <row r="541" ht="14.1" customHeight="1"/>
    <row r="542" ht="14.1" customHeight="1"/>
    <row r="543" ht="14.1" customHeight="1"/>
    <row r="544" ht="14.1" customHeight="1"/>
    <row r="545" ht="14.1" customHeight="1"/>
    <row r="546" ht="14.1" customHeight="1"/>
    <row r="547" ht="14.1" customHeight="1"/>
    <row r="548" ht="14.1" customHeight="1"/>
    <row r="549" ht="14.1" customHeight="1"/>
    <row r="550" ht="14.1" customHeight="1"/>
    <row r="551" ht="14.1" customHeight="1"/>
    <row r="552" ht="14.1" customHeight="1"/>
    <row r="553" ht="14.1" customHeight="1"/>
    <row r="554" ht="14.1" customHeight="1"/>
    <row r="555" ht="14.1" customHeight="1"/>
    <row r="556" ht="14.1" customHeight="1"/>
    <row r="557" ht="14.1" customHeight="1"/>
    <row r="558" ht="14.1" customHeight="1"/>
    <row r="559" ht="14.1" customHeight="1"/>
    <row r="560" ht="14.1" customHeight="1"/>
    <row r="561" ht="14.1" customHeight="1"/>
    <row r="562" ht="14.1" customHeight="1"/>
    <row r="563" ht="14.1" customHeight="1"/>
    <row r="564" ht="14.1" customHeight="1"/>
    <row r="565" ht="14.1" customHeight="1"/>
    <row r="566" ht="14.1" customHeight="1"/>
    <row r="567" ht="14.1" customHeight="1"/>
    <row r="568" ht="14.1" customHeight="1"/>
    <row r="569" ht="14.1" customHeight="1"/>
    <row r="570" ht="14.1" customHeight="1"/>
    <row r="571" ht="14.1" customHeight="1"/>
    <row r="572" ht="14.1" customHeight="1"/>
    <row r="573" ht="14.1" customHeight="1"/>
    <row r="574" ht="14.1" customHeight="1"/>
    <row r="575" ht="14.1" customHeight="1"/>
    <row r="576" ht="14.1" customHeight="1"/>
    <row r="577" ht="14.1" customHeight="1"/>
    <row r="578" ht="14.1" customHeight="1"/>
    <row r="579" ht="14.1" customHeight="1"/>
    <row r="580" ht="14.1" customHeight="1"/>
    <row r="581" ht="14.1" customHeight="1"/>
    <row r="582" ht="14.1" customHeight="1"/>
    <row r="583" ht="14.1" customHeight="1"/>
    <row r="584" ht="14.1" customHeight="1"/>
    <row r="585" ht="14.1" customHeight="1"/>
    <row r="586" ht="14.1" customHeight="1"/>
    <row r="587" ht="14.1" customHeight="1"/>
    <row r="588" ht="14.1" customHeight="1"/>
    <row r="589" ht="14.1" customHeight="1"/>
    <row r="590" ht="14.1" customHeight="1"/>
    <row r="591" ht="14.1" customHeight="1"/>
    <row r="592" ht="14.1" customHeight="1"/>
    <row r="593" ht="14.1" customHeight="1"/>
    <row r="594" ht="14.1" customHeight="1"/>
    <row r="595" ht="14.1" customHeight="1"/>
    <row r="596" ht="14.1" customHeight="1"/>
    <row r="597" ht="14.1" customHeight="1"/>
    <row r="598" ht="14.1" customHeight="1"/>
    <row r="599" ht="14.1" customHeight="1"/>
    <row r="600" ht="14.1" customHeight="1"/>
    <row r="601" ht="14.1" customHeight="1"/>
    <row r="602" ht="14.1" customHeight="1"/>
    <row r="603" ht="14.1" customHeight="1"/>
    <row r="604" ht="14.1" customHeight="1"/>
    <row r="605" ht="14.1" customHeight="1"/>
    <row r="606" ht="14.1" customHeight="1"/>
    <row r="607" ht="14.1" customHeight="1"/>
    <row r="608" ht="14.1" customHeight="1"/>
    <row r="609" ht="14.1" customHeight="1"/>
    <row r="610" ht="14.1" customHeight="1"/>
    <row r="611" ht="14.1" customHeight="1"/>
    <row r="612" ht="14.1" customHeight="1"/>
    <row r="613" ht="14.1" customHeight="1"/>
    <row r="614" ht="14.1" customHeight="1"/>
    <row r="615" ht="14.1" customHeight="1"/>
    <row r="616" ht="14.1" customHeight="1"/>
    <row r="617" ht="14.1" customHeight="1"/>
    <row r="618" ht="14.1" customHeight="1"/>
    <row r="619" ht="14.1" customHeight="1"/>
    <row r="620" ht="14.1" customHeight="1"/>
    <row r="621" ht="14.1" customHeight="1"/>
    <row r="622" ht="14.1" customHeight="1"/>
    <row r="623" ht="14.1" customHeight="1"/>
    <row r="624" ht="14.1" customHeight="1"/>
    <row r="625" ht="14.1" customHeight="1"/>
    <row r="626" ht="14.1" customHeight="1"/>
    <row r="627" ht="14.1" customHeight="1"/>
    <row r="628" ht="14.1" customHeight="1"/>
    <row r="629" ht="14.1" customHeight="1"/>
    <row r="630" ht="14.1" customHeight="1"/>
    <row r="631" ht="14.1" customHeight="1"/>
    <row r="632" ht="14.1" customHeight="1"/>
    <row r="633" ht="14.1" customHeight="1"/>
    <row r="634" ht="14.1" customHeight="1"/>
    <row r="635" ht="14.1" customHeight="1"/>
    <row r="636" ht="14.1" customHeight="1"/>
    <row r="637" ht="14.1" customHeight="1"/>
    <row r="638" ht="14.1" customHeight="1"/>
    <row r="639" ht="14.1" customHeight="1"/>
    <row r="640" ht="14.1" customHeight="1"/>
    <row r="641" ht="14.1" customHeight="1"/>
    <row r="642" ht="14.1" customHeight="1"/>
    <row r="643" ht="14.1" customHeight="1"/>
    <row r="644" ht="14.1" customHeight="1"/>
    <row r="645" ht="14.1" customHeight="1"/>
    <row r="646" ht="14.1" customHeight="1"/>
    <row r="647" ht="14.1" customHeight="1"/>
    <row r="648" ht="14.1" customHeight="1"/>
    <row r="649" ht="14.1" customHeight="1"/>
    <row r="650" ht="14.1" customHeight="1"/>
    <row r="651" ht="14.1" customHeight="1"/>
    <row r="652" ht="14.1" customHeight="1"/>
    <row r="653" ht="14.1" customHeight="1"/>
    <row r="654" ht="14.1" customHeight="1"/>
    <row r="655" ht="14.1" customHeight="1"/>
    <row r="656" ht="14.1" customHeight="1"/>
    <row r="657" ht="14.1" customHeight="1"/>
    <row r="658" ht="14.1" customHeight="1"/>
    <row r="659" ht="14.1" customHeight="1"/>
    <row r="660" ht="14.1" customHeight="1"/>
    <row r="661" ht="14.1" customHeight="1"/>
    <row r="662" ht="14.1" customHeight="1"/>
    <row r="663" ht="14.1" customHeight="1"/>
    <row r="664" ht="14.1" customHeight="1"/>
    <row r="665" ht="14.1" customHeight="1"/>
    <row r="666" ht="14.1" customHeight="1"/>
    <row r="667" ht="14.1" customHeight="1"/>
    <row r="668" ht="14.1" customHeight="1"/>
    <row r="669" ht="14.1" customHeight="1"/>
    <row r="670" ht="14.1" customHeight="1"/>
    <row r="671" ht="14.1" customHeight="1"/>
    <row r="672" ht="14.1" customHeight="1"/>
    <row r="673" ht="14.1" customHeight="1"/>
    <row r="674" ht="14.1" customHeight="1"/>
    <row r="675" ht="14.1" customHeight="1"/>
    <row r="676" ht="14.1" customHeight="1"/>
    <row r="677" ht="14.1" customHeight="1"/>
    <row r="678" ht="14.1" customHeight="1"/>
    <row r="679" ht="14.1" customHeight="1"/>
    <row r="680" ht="14.1" customHeight="1"/>
    <row r="681" ht="14.1" customHeight="1"/>
    <row r="682" ht="14.1" customHeight="1"/>
    <row r="683" ht="14.1" customHeight="1"/>
    <row r="684" ht="14.1" customHeight="1"/>
    <row r="685" ht="14.1" customHeight="1"/>
    <row r="686" ht="14.1" customHeight="1"/>
    <row r="687" ht="14.1" customHeight="1"/>
    <row r="688" ht="14.1" customHeight="1"/>
    <row r="689" ht="14.1" customHeight="1"/>
    <row r="690" ht="14.1" customHeight="1"/>
    <row r="691" ht="14.1" customHeight="1"/>
    <row r="692" ht="14.1" customHeight="1"/>
    <row r="693" ht="14.1" customHeight="1"/>
    <row r="694" ht="14.1" customHeight="1"/>
    <row r="695" ht="14.1" customHeight="1"/>
    <row r="696" ht="14.1" customHeight="1"/>
    <row r="697" ht="14.1" customHeight="1"/>
    <row r="698" ht="14.1" customHeight="1"/>
    <row r="699" ht="14.1" customHeight="1"/>
    <row r="700" ht="14.1" customHeight="1"/>
    <row r="701" ht="14.1" customHeight="1"/>
    <row r="702" ht="14.1" customHeight="1"/>
    <row r="703" ht="14.1" customHeight="1"/>
    <row r="704" ht="14.1" customHeight="1"/>
    <row r="705" ht="14.1" customHeight="1"/>
    <row r="706" ht="14.1" customHeight="1"/>
    <row r="707" ht="14.1" customHeight="1"/>
    <row r="708" ht="14.1" customHeight="1"/>
    <row r="709" ht="14.1" customHeight="1"/>
    <row r="710" ht="14.1" customHeight="1"/>
    <row r="711" ht="14.1" customHeight="1"/>
    <row r="712" ht="14.1" customHeight="1"/>
    <row r="713" ht="14.1" customHeight="1"/>
    <row r="714" ht="14.1" customHeight="1"/>
    <row r="715" ht="14.1" customHeight="1"/>
    <row r="716" ht="14.1" customHeight="1"/>
    <row r="717" ht="14.1" customHeight="1"/>
    <row r="718" ht="14.1" customHeight="1"/>
    <row r="719" ht="14.1" customHeight="1"/>
    <row r="720" ht="14.1" customHeight="1"/>
    <row r="721" ht="14.1" customHeight="1"/>
    <row r="722" ht="14.1" customHeight="1"/>
    <row r="723" ht="14.1" customHeight="1"/>
    <row r="724" ht="14.1" customHeight="1"/>
    <row r="725" ht="14.1" customHeight="1"/>
    <row r="726" ht="14.1" customHeight="1"/>
    <row r="727" ht="14.1" customHeight="1"/>
    <row r="728" ht="14.1" customHeight="1"/>
    <row r="729" ht="14.1" customHeight="1"/>
    <row r="730" ht="14.1" customHeight="1"/>
    <row r="731" ht="14.1" customHeight="1"/>
    <row r="732" ht="14.1" customHeight="1"/>
    <row r="733" ht="14.1" customHeight="1"/>
    <row r="734" ht="14.1" customHeight="1"/>
    <row r="735" ht="14.1" customHeight="1"/>
    <row r="736" ht="14.1" customHeight="1"/>
    <row r="737" ht="14.1" customHeight="1"/>
    <row r="738" ht="14.1" customHeight="1"/>
    <row r="739" ht="14.1" customHeight="1"/>
    <row r="740" ht="14.1" customHeight="1"/>
    <row r="741" ht="14.1" customHeight="1"/>
    <row r="742" ht="14.1" customHeight="1"/>
    <row r="743" ht="14.1" customHeight="1"/>
    <row r="744" ht="14.1" customHeight="1"/>
    <row r="745" ht="14.1" customHeight="1"/>
    <row r="746" ht="14.1" customHeight="1"/>
    <row r="747" ht="14.1" customHeight="1"/>
    <row r="748" ht="14.1" customHeight="1"/>
    <row r="749" ht="14.1" customHeight="1"/>
    <row r="750" ht="14.1" customHeight="1"/>
    <row r="751" ht="14.1" customHeight="1"/>
    <row r="752" ht="14.1" customHeight="1"/>
    <row r="753" ht="14.1" customHeight="1"/>
    <row r="754" ht="14.1" customHeight="1"/>
    <row r="755" ht="14.1" customHeight="1"/>
    <row r="756" ht="14.1" customHeight="1"/>
    <row r="757" ht="14.1" customHeight="1"/>
    <row r="758" ht="14.1" customHeight="1"/>
    <row r="759" ht="14.1" customHeight="1"/>
    <row r="760" ht="14.1" customHeight="1"/>
    <row r="761" ht="14.1" customHeight="1"/>
    <row r="762" ht="14.1" customHeight="1"/>
    <row r="763" ht="14.1" customHeight="1"/>
    <row r="764" ht="14.1" customHeight="1"/>
    <row r="765" ht="14.1" customHeight="1"/>
    <row r="766" ht="14.1" customHeight="1"/>
    <row r="767" ht="14.1" customHeight="1"/>
    <row r="768" ht="14.1" customHeight="1"/>
    <row r="769" ht="14.1" customHeight="1"/>
    <row r="770" ht="14.1" customHeight="1"/>
    <row r="771" ht="14.1" customHeight="1"/>
    <row r="772" ht="14.1" customHeight="1"/>
    <row r="773" ht="14.1" customHeight="1"/>
    <row r="774" ht="14.1" customHeight="1"/>
    <row r="775" ht="14.1" customHeight="1"/>
    <row r="776" ht="14.1" customHeight="1"/>
    <row r="777" ht="14.1" customHeight="1"/>
    <row r="778" ht="14.1" customHeight="1"/>
    <row r="779" ht="14.1" customHeight="1"/>
    <row r="780" ht="14.1" customHeight="1"/>
    <row r="781" ht="14.1" customHeight="1"/>
    <row r="782" ht="14.1" customHeight="1"/>
    <row r="783" ht="14.1" customHeight="1"/>
    <row r="784" ht="14.1" customHeight="1"/>
    <row r="785" ht="14.1" customHeight="1"/>
    <row r="786" ht="14.1" customHeight="1"/>
    <row r="787" ht="14.1" customHeight="1"/>
    <row r="788" ht="14.1" customHeight="1"/>
    <row r="789" ht="14.1" customHeight="1"/>
    <row r="790" ht="14.1" customHeight="1"/>
    <row r="791" ht="14.1" customHeight="1"/>
    <row r="792" ht="14.1" customHeight="1"/>
    <row r="793" ht="14.1" customHeight="1"/>
  </sheetData>
  <pageMargins left="0.61" right="0.16" top="0.87" bottom="0.21" header="0.16" footer="0.16"/>
  <pageSetup paperSize="8" scale="51" orientation="portrait"/>
  <headerFooter alignWithMargins="0">
    <oddFooter>&amp;L_x000D_&amp;1#&amp;"Arial"&amp;7&amp;KDAD4CE Public&amp;C&amp;"Verdana"&amp;10 &amp;KC1C1C1_x000D_# Restricted</oddFooter>
  </headerFooter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E00-000000000000}">
  <sheetPr codeName="Sheet30">
    <tabColor rgb="FF0070C0"/>
    <pageSetUpPr fitToPage="1"/>
  </sheetPr>
  <dimension ref="A1:U793"/>
  <sheetViews>
    <sheetView zoomScale="80" zoomScaleNormal="80" workbookViewId="0">
      <pane ySplit="4" topLeftCell="A5" activePane="bottomLeft" state="frozen"/>
      <selection activeCell="A16" sqref="A16"/>
      <selection pane="bottomLeft" activeCell="A16" sqref="A16"/>
    </sheetView>
  </sheetViews>
  <sheetFormatPr defaultColWidth="8.85546875" defaultRowHeight="15" customHeight="1"/>
  <cols>
    <col min="1" max="1" width="4.140625" style="3" customWidth="1"/>
    <col min="2" max="3" width="8.5703125" style="20" customWidth="1"/>
    <col min="4" max="4" width="14.5703125" style="3" customWidth="1"/>
    <col min="5" max="5" width="20.5703125" style="20" customWidth="1"/>
    <col min="6" max="6" width="8.5703125" style="43" customWidth="1"/>
    <col min="7" max="7" width="32.5703125" style="2" customWidth="1"/>
    <col min="8" max="8" width="18.5703125" style="3" customWidth="1"/>
    <col min="9" max="9" width="62.5703125" style="2" customWidth="1"/>
    <col min="10" max="12" width="9.5703125" style="3" customWidth="1"/>
    <col min="13" max="13" width="10.5703125" style="3" customWidth="1"/>
    <col min="14" max="14" width="8.5703125" style="3" customWidth="1"/>
    <col min="15" max="15" width="10.5703125" style="3" customWidth="1"/>
    <col min="16" max="16" width="5.5703125" style="3" customWidth="1"/>
    <col min="17" max="17" width="1.5703125" style="2" customWidth="1"/>
    <col min="18" max="18" width="10.5703125" style="30" customWidth="1"/>
    <col min="19" max="19" width="1.5703125" style="2" customWidth="1"/>
    <col min="20" max="21" width="10.5703125" style="2" customWidth="1"/>
    <col min="22" max="220" width="8.85546875" style="2" customWidth="1"/>
    <col min="221" max="221" width="8.140625" style="2" customWidth="1"/>
    <col min="222" max="222" width="14.42578125" style="2" customWidth="1"/>
    <col min="223" max="223" width="37.42578125" style="2" customWidth="1"/>
    <col min="224" max="224" width="63.140625" style="2" customWidth="1"/>
    <col min="225" max="225" width="20" style="2" customWidth="1"/>
    <col min="226" max="226" width="11.140625" style="2" customWidth="1"/>
    <col min="227" max="227" width="10.85546875" style="2" customWidth="1"/>
    <col min="228" max="228" width="21" style="2" customWidth="1"/>
    <col min="229" max="229" width="10.85546875" style="2" customWidth="1"/>
    <col min="230" max="230" width="17.42578125" style="2" customWidth="1"/>
    <col min="231" max="231" width="14.85546875" style="2" customWidth="1"/>
    <col min="232" max="232" width="15" style="2" customWidth="1"/>
    <col min="233" max="233" width="14.85546875" style="2" customWidth="1"/>
    <col min="234" max="234" width="7.140625" style="2" customWidth="1"/>
    <col min="235" max="236" width="20.140625" style="2" customWidth="1"/>
    <col min="237" max="237" width="18.42578125" style="2" customWidth="1"/>
    <col min="238" max="238" width="9.140625" style="2" customWidth="1"/>
    <col min="239" max="239" width="12" style="2" customWidth="1"/>
    <col min="240" max="240" width="14.85546875" style="2" customWidth="1"/>
    <col min="241" max="241" width="22.42578125" style="2" customWidth="1"/>
    <col min="242" max="242" width="14.85546875" style="2" customWidth="1"/>
    <col min="243" max="243" width="7.140625" style="2" customWidth="1"/>
    <col min="244" max="244" width="20.140625" style="2" customWidth="1"/>
    <col min="245" max="245" width="8.85546875" style="2" customWidth="1"/>
    <col min="246" max="16384" width="8.85546875" style="2"/>
  </cols>
  <sheetData>
    <row r="1" spans="1:21" ht="14.1" customHeight="1">
      <c r="A1" s="1" t="s">
        <v>5762</v>
      </c>
      <c r="B1" s="2"/>
      <c r="C1" s="2"/>
      <c r="D1" s="2"/>
      <c r="F1" s="72"/>
      <c r="H1" s="2"/>
      <c r="J1" s="2"/>
      <c r="K1" s="2"/>
      <c r="L1" s="2"/>
      <c r="M1" s="2"/>
      <c r="N1" s="2"/>
      <c r="O1" s="2"/>
      <c r="P1" s="2"/>
      <c r="R1" s="10"/>
    </row>
    <row r="2" spans="1:21" s="4" customFormat="1" ht="14.1" customHeight="1">
      <c r="A2" s="4" t="s">
        <v>5763</v>
      </c>
      <c r="E2" s="69"/>
      <c r="R2" s="336"/>
    </row>
    <row r="3" spans="1:21" s="6" customFormat="1" ht="14.1" customHeight="1">
      <c r="A3" s="3"/>
      <c r="B3" s="16"/>
      <c r="C3" s="16"/>
      <c r="D3" s="23"/>
      <c r="E3" s="16"/>
      <c r="F3" s="3"/>
      <c r="G3" s="15"/>
      <c r="H3" s="25"/>
      <c r="I3" s="15"/>
      <c r="J3" s="25"/>
      <c r="K3" s="25"/>
      <c r="L3" s="25"/>
      <c r="M3" s="25"/>
      <c r="N3" s="25"/>
      <c r="O3" s="25"/>
      <c r="P3" s="25"/>
      <c r="Q3" s="2"/>
      <c r="R3" s="355" t="s">
        <v>2</v>
      </c>
      <c r="S3" s="2"/>
      <c r="T3" s="2"/>
      <c r="U3" s="2"/>
    </row>
    <row r="4" spans="1:21" s="5" customFormat="1" ht="33" customHeight="1">
      <c r="A4" s="21" t="s">
        <v>3</v>
      </c>
      <c r="B4" s="52" t="s">
        <v>4</v>
      </c>
      <c r="C4" s="52" t="s">
        <v>5</v>
      </c>
      <c r="D4" s="21" t="s">
        <v>6</v>
      </c>
      <c r="E4" s="21" t="s">
        <v>7</v>
      </c>
      <c r="F4" s="59" t="s">
        <v>8</v>
      </c>
      <c r="G4" s="21" t="s">
        <v>9</v>
      </c>
      <c r="H4" s="21" t="s">
        <v>10</v>
      </c>
      <c r="I4" s="21" t="s">
        <v>11</v>
      </c>
      <c r="J4" s="21" t="s">
        <v>12</v>
      </c>
      <c r="K4" s="21" t="s">
        <v>13</v>
      </c>
      <c r="L4" s="21" t="s">
        <v>14</v>
      </c>
      <c r="M4" s="21" t="s">
        <v>15</v>
      </c>
      <c r="N4" s="21" t="s">
        <v>16</v>
      </c>
      <c r="O4" s="21" t="s">
        <v>17</v>
      </c>
      <c r="P4" s="21" t="s">
        <v>18</v>
      </c>
      <c r="Q4" s="3"/>
      <c r="R4" s="41" t="s">
        <v>19</v>
      </c>
      <c r="S4" s="20"/>
      <c r="T4" s="42" t="s">
        <v>20</v>
      </c>
      <c r="U4" s="42" t="s">
        <v>21</v>
      </c>
    </row>
    <row r="5" spans="1:21" ht="14.1" customHeight="1">
      <c r="A5" s="7">
        <v>1</v>
      </c>
      <c r="B5" s="14" t="s">
        <v>124</v>
      </c>
      <c r="C5" s="14" t="s">
        <v>5764</v>
      </c>
      <c r="D5" s="7" t="s">
        <v>804</v>
      </c>
      <c r="E5" s="14" t="s">
        <v>5004</v>
      </c>
      <c r="F5" s="60" t="s">
        <v>26</v>
      </c>
      <c r="G5" s="61" t="s">
        <v>5765</v>
      </c>
      <c r="H5" s="12" t="s">
        <v>121</v>
      </c>
      <c r="I5" s="8" t="s">
        <v>5766</v>
      </c>
      <c r="J5" s="7" t="s">
        <v>30</v>
      </c>
      <c r="K5" s="12" t="s">
        <v>31</v>
      </c>
      <c r="L5" s="7" t="s">
        <v>322</v>
      </c>
      <c r="M5" s="7">
        <v>83026000</v>
      </c>
      <c r="N5" s="7">
        <v>1000</v>
      </c>
      <c r="O5" s="7">
        <v>35</v>
      </c>
      <c r="P5" s="7"/>
      <c r="R5" s="9">
        <v>492.96376267721308</v>
      </c>
      <c r="S5" s="22"/>
      <c r="T5" s="7" t="s">
        <v>34</v>
      </c>
      <c r="U5" s="7" t="s">
        <v>34</v>
      </c>
    </row>
    <row r="6" spans="1:21" ht="14.1" customHeight="1">
      <c r="A6" s="7">
        <v>2</v>
      </c>
      <c r="B6" s="14" t="s">
        <v>124</v>
      </c>
      <c r="C6" s="14" t="s">
        <v>5764</v>
      </c>
      <c r="D6" s="7" t="s">
        <v>804</v>
      </c>
      <c r="E6" s="14" t="s">
        <v>5004</v>
      </c>
      <c r="F6" s="60" t="s">
        <v>26</v>
      </c>
      <c r="G6" s="61" t="s">
        <v>5767</v>
      </c>
      <c r="H6" s="12" t="s">
        <v>121</v>
      </c>
      <c r="I6" s="8" t="s">
        <v>5768</v>
      </c>
      <c r="J6" s="7" t="s">
        <v>30</v>
      </c>
      <c r="K6" s="12" t="s">
        <v>31</v>
      </c>
      <c r="L6" s="7" t="s">
        <v>322</v>
      </c>
      <c r="M6" s="7">
        <v>83026000</v>
      </c>
      <c r="N6" s="7">
        <v>300</v>
      </c>
      <c r="O6" s="7">
        <v>40</v>
      </c>
      <c r="P6" s="7"/>
      <c r="R6" s="9">
        <v>897.16673706074528</v>
      </c>
      <c r="T6" s="7" t="s">
        <v>34</v>
      </c>
      <c r="U6" s="7" t="s">
        <v>34</v>
      </c>
    </row>
    <row r="7" spans="1:21" ht="14.1" customHeight="1">
      <c r="A7" s="7">
        <v>3</v>
      </c>
      <c r="B7" s="14" t="s">
        <v>124</v>
      </c>
      <c r="C7" s="14" t="s">
        <v>5764</v>
      </c>
      <c r="D7" s="7" t="s">
        <v>804</v>
      </c>
      <c r="E7" s="14" t="s">
        <v>5004</v>
      </c>
      <c r="F7" s="60" t="s">
        <v>26</v>
      </c>
      <c r="G7" s="61" t="s">
        <v>5769</v>
      </c>
      <c r="H7" s="12" t="s">
        <v>121</v>
      </c>
      <c r="I7" s="8" t="s">
        <v>5770</v>
      </c>
      <c r="J7" s="7" t="s">
        <v>30</v>
      </c>
      <c r="K7" s="12" t="s">
        <v>31</v>
      </c>
      <c r="L7" s="7" t="s">
        <v>322</v>
      </c>
      <c r="M7" s="7">
        <v>83026000</v>
      </c>
      <c r="N7" s="7">
        <v>300</v>
      </c>
      <c r="O7" s="7">
        <v>30</v>
      </c>
      <c r="P7" s="7"/>
      <c r="R7" s="9">
        <v>30.315223078764909</v>
      </c>
      <c r="T7" s="7" t="s">
        <v>34</v>
      </c>
      <c r="U7" s="7" t="s">
        <v>34</v>
      </c>
    </row>
    <row r="8" spans="1:21" ht="14.1" customHeight="1">
      <c r="A8" s="7">
        <v>4</v>
      </c>
      <c r="B8" s="14" t="s">
        <v>124</v>
      </c>
      <c r="C8" s="14" t="s">
        <v>5764</v>
      </c>
      <c r="D8" s="7" t="s">
        <v>804</v>
      </c>
      <c r="E8" s="14" t="s">
        <v>5004</v>
      </c>
      <c r="F8" s="60" t="s">
        <v>26</v>
      </c>
      <c r="G8" s="61" t="s">
        <v>5771</v>
      </c>
      <c r="H8" s="12" t="s">
        <v>121</v>
      </c>
      <c r="I8" s="8" t="s">
        <v>5674</v>
      </c>
      <c r="J8" s="7" t="s">
        <v>123</v>
      </c>
      <c r="K8" s="12" t="s">
        <v>31</v>
      </c>
      <c r="L8" s="7" t="s">
        <v>322</v>
      </c>
      <c r="M8" s="7">
        <v>83026000</v>
      </c>
      <c r="N8" s="7">
        <v>300</v>
      </c>
      <c r="O8" s="7">
        <v>30</v>
      </c>
      <c r="P8" s="7"/>
      <c r="R8" s="9">
        <v>78.382603816266027</v>
      </c>
      <c r="T8" s="7" t="s">
        <v>34</v>
      </c>
      <c r="U8" s="7" t="s">
        <v>34</v>
      </c>
    </row>
    <row r="9" spans="1:21" ht="14.1" customHeight="1">
      <c r="A9" s="7">
        <v>5</v>
      </c>
      <c r="B9" s="14" t="s">
        <v>124</v>
      </c>
      <c r="C9" s="14" t="s">
        <v>5764</v>
      </c>
      <c r="D9" s="7" t="s">
        <v>804</v>
      </c>
      <c r="E9" s="14" t="s">
        <v>5004</v>
      </c>
      <c r="F9" s="60" t="s">
        <v>26</v>
      </c>
      <c r="G9" s="61" t="s">
        <v>5772</v>
      </c>
      <c r="H9" s="12" t="s">
        <v>121</v>
      </c>
      <c r="I9" s="8" t="s">
        <v>5773</v>
      </c>
      <c r="J9" s="7" t="s">
        <v>123</v>
      </c>
      <c r="K9" s="12" t="s">
        <v>31</v>
      </c>
      <c r="L9" s="7" t="s">
        <v>322</v>
      </c>
      <c r="M9" s="7">
        <v>83026000</v>
      </c>
      <c r="N9" s="7">
        <v>100</v>
      </c>
      <c r="O9" s="7">
        <v>30</v>
      </c>
      <c r="P9" s="7"/>
      <c r="R9" s="9">
        <v>262.18571311364252</v>
      </c>
      <c r="T9" s="7" t="s">
        <v>34</v>
      </c>
      <c r="U9" s="7" t="s">
        <v>34</v>
      </c>
    </row>
    <row r="10" spans="1:21" ht="14.1" customHeight="1">
      <c r="A10" s="7">
        <v>6</v>
      </c>
      <c r="B10" s="14" t="s">
        <v>124</v>
      </c>
      <c r="C10" s="14" t="s">
        <v>5764</v>
      </c>
      <c r="D10" s="7" t="s">
        <v>804</v>
      </c>
      <c r="E10" s="14" t="s">
        <v>5004</v>
      </c>
      <c r="F10" s="60" t="s">
        <v>26</v>
      </c>
      <c r="G10" s="61" t="s">
        <v>5774</v>
      </c>
      <c r="H10" s="12" t="s">
        <v>121</v>
      </c>
      <c r="I10" s="8" t="s">
        <v>5770</v>
      </c>
      <c r="J10" s="7" t="s">
        <v>30</v>
      </c>
      <c r="K10" s="12" t="s">
        <v>31</v>
      </c>
      <c r="L10" s="7" t="s">
        <v>322</v>
      </c>
      <c r="M10" s="7">
        <v>83026000</v>
      </c>
      <c r="N10" s="7">
        <v>300</v>
      </c>
      <c r="O10" s="7">
        <v>30</v>
      </c>
      <c r="P10" s="7"/>
      <c r="R10" s="9">
        <v>30.315223078764909</v>
      </c>
      <c r="T10" s="7" t="s">
        <v>34</v>
      </c>
      <c r="U10" s="7" t="s">
        <v>34</v>
      </c>
    </row>
    <row r="11" spans="1:21" ht="14.1" customHeight="1">
      <c r="A11" s="7">
        <v>7</v>
      </c>
      <c r="B11" s="14" t="s">
        <v>124</v>
      </c>
      <c r="C11" s="14" t="s">
        <v>5764</v>
      </c>
      <c r="D11" s="7" t="s">
        <v>804</v>
      </c>
      <c r="E11" s="14" t="s">
        <v>5004</v>
      </c>
      <c r="F11" s="60" t="s">
        <v>26</v>
      </c>
      <c r="G11" s="61" t="s">
        <v>5775</v>
      </c>
      <c r="H11" s="12" t="s">
        <v>121</v>
      </c>
      <c r="I11" s="8" t="s">
        <v>5674</v>
      </c>
      <c r="J11" s="7" t="s">
        <v>123</v>
      </c>
      <c r="K11" s="12" t="s">
        <v>31</v>
      </c>
      <c r="L11" s="7" t="s">
        <v>322</v>
      </c>
      <c r="M11" s="7">
        <v>83026000</v>
      </c>
      <c r="N11" s="7">
        <v>300</v>
      </c>
      <c r="O11" s="7">
        <v>30</v>
      </c>
      <c r="P11" s="7"/>
      <c r="R11" s="9">
        <v>78.382603816266027</v>
      </c>
      <c r="T11" s="7" t="s">
        <v>34</v>
      </c>
      <c r="U11" s="7" t="s">
        <v>34</v>
      </c>
    </row>
    <row r="12" spans="1:21" ht="14.1" customHeight="1">
      <c r="A12" s="7">
        <v>8</v>
      </c>
      <c r="B12" s="14" t="s">
        <v>124</v>
      </c>
      <c r="C12" s="14" t="s">
        <v>5764</v>
      </c>
      <c r="D12" s="7" t="s">
        <v>804</v>
      </c>
      <c r="E12" s="14" t="s">
        <v>5004</v>
      </c>
      <c r="F12" s="60" t="s">
        <v>26</v>
      </c>
      <c r="G12" s="61" t="s">
        <v>5776</v>
      </c>
      <c r="H12" s="12" t="s">
        <v>121</v>
      </c>
      <c r="I12" s="8" t="s">
        <v>5773</v>
      </c>
      <c r="J12" s="7" t="s">
        <v>123</v>
      </c>
      <c r="K12" s="12" t="s">
        <v>31</v>
      </c>
      <c r="L12" s="7" t="s">
        <v>322</v>
      </c>
      <c r="M12" s="7">
        <v>83026000</v>
      </c>
      <c r="N12" s="7">
        <v>100</v>
      </c>
      <c r="O12" s="7">
        <v>30</v>
      </c>
      <c r="P12" s="7"/>
      <c r="R12" s="9">
        <v>262.18571311364252</v>
      </c>
      <c r="T12" s="7" t="s">
        <v>34</v>
      </c>
      <c r="U12" s="7" t="s">
        <v>34</v>
      </c>
    </row>
    <row r="13" spans="1:21" ht="14.1" customHeight="1">
      <c r="H13" t="s">
        <v>42</v>
      </c>
    </row>
    <row r="14" spans="1:21" ht="14.1" customHeight="1">
      <c r="A14" s="2" t="s">
        <v>5777</v>
      </c>
      <c r="H14" t="s">
        <v>42</v>
      </c>
    </row>
    <row r="15" spans="1:21" ht="14.1" customHeight="1"/>
    <row r="16" spans="1:21" ht="14.1" customHeight="1"/>
    <row r="17" ht="14.1" customHeight="1"/>
    <row r="18" ht="14.1" customHeight="1"/>
    <row r="19" ht="14.1" customHeight="1"/>
    <row r="20" ht="14.1" customHeight="1"/>
    <row r="21" ht="14.1" customHeight="1"/>
    <row r="22" ht="14.1" customHeight="1"/>
    <row r="23" ht="14.1" customHeight="1"/>
    <row r="24" ht="14.1" customHeight="1"/>
    <row r="25" ht="14.1" customHeight="1"/>
    <row r="26" ht="14.1" customHeight="1"/>
    <row r="27" ht="14.1" customHeight="1"/>
    <row r="28" ht="14.1" customHeight="1"/>
    <row r="29" ht="14.1" customHeight="1"/>
    <row r="30" ht="14.1" customHeight="1"/>
    <row r="31" ht="14.1" customHeight="1"/>
    <row r="32" ht="14.1" customHeight="1"/>
    <row r="33" ht="14.1" customHeight="1"/>
    <row r="34" ht="14.1" customHeight="1"/>
    <row r="35" ht="14.1" customHeight="1"/>
    <row r="36" ht="14.1" customHeight="1"/>
    <row r="37" ht="14.1" customHeight="1"/>
    <row r="38" ht="14.1" customHeight="1"/>
    <row r="39" ht="14.1" customHeight="1"/>
    <row r="40" ht="14.1" customHeight="1"/>
    <row r="41" ht="14.1" customHeight="1"/>
    <row r="42" ht="14.1" customHeight="1"/>
    <row r="43" ht="14.1" customHeight="1"/>
    <row r="44" ht="14.1" customHeight="1"/>
    <row r="45" ht="14.1" customHeight="1"/>
    <row r="46" ht="14.1" customHeight="1"/>
    <row r="47" ht="14.1" customHeight="1"/>
    <row r="48" ht="14.1" customHeight="1"/>
    <row r="49" ht="14.1" customHeight="1"/>
    <row r="50" ht="14.1" customHeight="1"/>
    <row r="51" ht="14.1" customHeight="1"/>
    <row r="52" ht="14.1" customHeight="1"/>
    <row r="53" ht="14.1" customHeight="1"/>
    <row r="54" ht="14.1" customHeight="1"/>
    <row r="55" ht="14.1" customHeight="1"/>
    <row r="56" ht="14.1" customHeight="1"/>
    <row r="57" ht="14.1" customHeight="1"/>
    <row r="58" ht="14.1" customHeight="1"/>
    <row r="59" ht="14.1" customHeight="1"/>
    <row r="60" ht="14.1" customHeight="1"/>
    <row r="61" ht="14.1" customHeight="1"/>
    <row r="62" ht="14.1" customHeight="1"/>
    <row r="63" ht="14.1" customHeight="1"/>
    <row r="64" ht="14.1" customHeight="1"/>
    <row r="65" ht="14.1" customHeight="1"/>
    <row r="66" ht="14.1" customHeight="1"/>
    <row r="67" ht="14.1" customHeight="1"/>
    <row r="68" ht="14.1" customHeight="1"/>
    <row r="69" ht="14.1" customHeight="1"/>
    <row r="70" ht="14.1" customHeight="1"/>
    <row r="71" ht="14.1" customHeight="1"/>
    <row r="72" ht="14.1" customHeight="1"/>
    <row r="73" ht="14.1" customHeight="1"/>
    <row r="74" ht="14.1" customHeight="1"/>
    <row r="75" ht="14.1" customHeight="1"/>
    <row r="76" ht="14.1" customHeight="1"/>
    <row r="77" ht="14.1" customHeight="1"/>
    <row r="78" ht="14.1" customHeight="1"/>
    <row r="79" ht="14.1" customHeight="1"/>
    <row r="80" ht="14.1" customHeight="1"/>
    <row r="81" ht="14.1" customHeight="1"/>
    <row r="82" ht="14.1" customHeight="1"/>
    <row r="83" ht="14.1" customHeight="1"/>
    <row r="84" ht="14.1" customHeight="1"/>
    <row r="85" ht="14.1" customHeight="1"/>
    <row r="86" ht="14.1" customHeight="1"/>
    <row r="87" ht="14.1" customHeight="1"/>
    <row r="88" ht="14.1" customHeight="1"/>
    <row r="89" ht="14.1" customHeight="1"/>
    <row r="90" ht="14.1" customHeight="1"/>
    <row r="91" ht="14.1" customHeight="1"/>
    <row r="92" ht="14.1" customHeight="1"/>
    <row r="93" ht="14.1" customHeight="1"/>
    <row r="94" ht="14.1" customHeight="1"/>
    <row r="95" ht="14.1" customHeight="1"/>
    <row r="96" ht="14.1" customHeight="1"/>
    <row r="97" ht="14.1" customHeight="1"/>
    <row r="98" ht="14.1" customHeight="1"/>
    <row r="99" ht="14.1" customHeight="1"/>
    <row r="100" ht="14.1" customHeight="1"/>
    <row r="101" ht="14.1" customHeight="1"/>
    <row r="102" ht="14.1" customHeight="1"/>
    <row r="103" ht="14.1" customHeight="1"/>
    <row r="104" ht="14.1" customHeight="1"/>
    <row r="105" ht="14.1" customHeight="1"/>
    <row r="106" ht="14.1" customHeight="1"/>
    <row r="107" ht="14.1" customHeight="1"/>
    <row r="108" ht="14.1" customHeight="1"/>
    <row r="109" ht="14.1" customHeight="1"/>
    <row r="110" ht="14.1" customHeight="1"/>
    <row r="111" ht="14.1" customHeight="1"/>
    <row r="112" ht="14.1" customHeight="1"/>
    <row r="113" ht="14.1" customHeight="1"/>
    <row r="114" ht="14.1" customHeight="1"/>
    <row r="115" ht="14.1" customHeight="1"/>
    <row r="116" ht="14.1" customHeight="1"/>
    <row r="117" ht="14.1" customHeight="1"/>
    <row r="118" ht="14.1" customHeight="1"/>
    <row r="119" ht="14.1" customHeight="1"/>
    <row r="120" ht="14.1" customHeight="1"/>
    <row r="121" ht="14.1" customHeight="1"/>
    <row r="122" ht="14.1" customHeight="1"/>
    <row r="123" ht="14.1" customHeight="1"/>
    <row r="124" ht="14.1" customHeight="1"/>
    <row r="125" ht="14.1" customHeight="1"/>
    <row r="126" ht="14.1" customHeight="1"/>
    <row r="127" ht="14.1" customHeight="1"/>
    <row r="128" ht="14.1" customHeight="1"/>
    <row r="129" ht="14.1" customHeight="1"/>
    <row r="130" ht="14.1" customHeight="1"/>
    <row r="131" ht="14.1" customHeight="1"/>
    <row r="132" ht="14.1" customHeight="1"/>
    <row r="133" ht="14.1" customHeight="1"/>
    <row r="134" ht="14.1" customHeight="1"/>
    <row r="135" ht="14.1" customHeight="1"/>
    <row r="136" ht="14.1" customHeight="1"/>
    <row r="137" ht="14.1" customHeight="1"/>
    <row r="138" ht="14.1" customHeight="1"/>
    <row r="139" ht="14.1" customHeight="1"/>
    <row r="140" ht="14.1" customHeight="1"/>
    <row r="141" ht="14.1" customHeight="1"/>
    <row r="142" ht="14.1" customHeight="1"/>
    <row r="143" ht="14.1" customHeight="1"/>
    <row r="144" ht="14.1" customHeight="1"/>
    <row r="145" ht="14.1" customHeight="1"/>
    <row r="146" ht="14.1" customHeight="1"/>
    <row r="147" ht="14.1" customHeight="1"/>
    <row r="148" ht="14.1" customHeight="1"/>
    <row r="149" ht="14.1" customHeight="1"/>
    <row r="150" ht="14.1" customHeight="1"/>
    <row r="151" ht="14.1" customHeight="1"/>
    <row r="152" ht="14.1" customHeight="1"/>
    <row r="153" ht="14.1" customHeight="1"/>
    <row r="154" ht="14.1" customHeight="1"/>
    <row r="155" ht="14.1" customHeight="1"/>
    <row r="156" ht="14.1" customHeight="1"/>
    <row r="157" ht="14.1" customHeight="1"/>
    <row r="158" ht="14.1" customHeight="1"/>
    <row r="159" ht="14.1" customHeight="1"/>
    <row r="160" ht="14.1" customHeight="1"/>
    <row r="161" ht="14.1" customHeight="1"/>
    <row r="162" ht="14.1" customHeight="1"/>
    <row r="163" ht="14.1" customHeight="1"/>
    <row r="164" ht="14.1" customHeight="1"/>
    <row r="165" ht="14.1" customHeight="1"/>
    <row r="166" ht="14.1" customHeight="1"/>
    <row r="167" ht="14.1" customHeight="1"/>
    <row r="168" ht="14.1" customHeight="1"/>
    <row r="169" ht="14.1" customHeight="1"/>
    <row r="170" ht="14.1" customHeight="1"/>
    <row r="171" ht="14.1" customHeight="1"/>
    <row r="172" ht="14.1" customHeight="1"/>
    <row r="173" ht="14.1" customHeight="1"/>
    <row r="174" ht="14.1" customHeight="1"/>
    <row r="175" ht="14.1" customHeight="1"/>
    <row r="176" ht="14.1" customHeight="1"/>
    <row r="177" ht="14.1" customHeight="1"/>
    <row r="178" ht="14.1" customHeight="1"/>
    <row r="179" ht="14.1" customHeight="1"/>
    <row r="180" ht="14.1" customHeight="1"/>
    <row r="181" ht="14.1" customHeight="1"/>
    <row r="182" ht="14.1" customHeight="1"/>
    <row r="183" ht="14.1" customHeight="1"/>
    <row r="184" ht="14.1" customHeight="1"/>
    <row r="185" ht="14.1" customHeight="1"/>
    <row r="186" ht="14.1" customHeight="1"/>
    <row r="187" ht="14.1" customHeight="1"/>
    <row r="188" ht="14.1" customHeight="1"/>
    <row r="189" ht="14.1" customHeight="1"/>
    <row r="190" ht="14.1" customHeight="1"/>
    <row r="191" ht="14.1" customHeight="1"/>
    <row r="192" ht="14.1" customHeight="1"/>
    <row r="193" ht="14.1" customHeight="1"/>
    <row r="194" ht="14.1" customHeight="1"/>
    <row r="195" ht="14.1" customHeight="1"/>
    <row r="196" ht="14.1" customHeight="1"/>
    <row r="197" ht="14.1" customHeight="1"/>
    <row r="198" ht="14.1" customHeight="1"/>
    <row r="199" ht="14.1" customHeight="1"/>
    <row r="200" ht="14.1" customHeight="1"/>
    <row r="201" ht="14.1" customHeight="1"/>
    <row r="202" ht="14.1" customHeight="1"/>
    <row r="203" ht="14.1" customHeight="1"/>
    <row r="204" ht="14.1" customHeight="1"/>
    <row r="205" ht="14.1" customHeight="1"/>
    <row r="206" ht="14.1" customHeight="1"/>
    <row r="207" ht="14.1" customHeight="1"/>
    <row r="208" ht="14.1" customHeight="1"/>
    <row r="209" ht="14.1" customHeight="1"/>
    <row r="210" ht="14.1" customHeight="1"/>
    <row r="211" ht="14.1" customHeight="1"/>
    <row r="212" ht="14.1" customHeight="1"/>
    <row r="213" ht="14.1" customHeight="1"/>
    <row r="214" ht="14.1" customHeight="1"/>
    <row r="215" ht="14.1" customHeight="1"/>
    <row r="216" ht="14.1" customHeight="1"/>
    <row r="217" ht="14.1" customHeight="1"/>
    <row r="218" ht="14.1" customHeight="1"/>
    <row r="219" ht="14.1" customHeight="1"/>
    <row r="220" ht="14.1" customHeight="1"/>
    <row r="221" ht="14.1" customHeight="1"/>
    <row r="222" ht="14.1" customHeight="1"/>
    <row r="223" ht="14.1" customHeight="1"/>
    <row r="224" ht="14.1" customHeight="1"/>
    <row r="225" ht="14.1" customHeight="1"/>
    <row r="226" ht="14.1" customHeight="1"/>
    <row r="227" ht="14.1" customHeight="1"/>
    <row r="228" ht="14.1" customHeight="1"/>
    <row r="229" ht="14.1" customHeight="1"/>
    <row r="230" ht="14.1" customHeight="1"/>
    <row r="231" ht="14.1" customHeight="1"/>
    <row r="232" ht="14.1" customHeight="1"/>
    <row r="233" ht="14.1" customHeight="1"/>
    <row r="234" ht="14.1" customHeight="1"/>
    <row r="235" ht="14.1" customHeight="1"/>
    <row r="236" ht="14.1" customHeight="1"/>
    <row r="237" ht="14.1" customHeight="1"/>
    <row r="238" ht="14.1" customHeight="1"/>
    <row r="239" ht="14.1" customHeight="1"/>
    <row r="240" ht="14.1" customHeight="1"/>
    <row r="241" ht="14.1" customHeight="1"/>
    <row r="242" ht="14.1" customHeight="1"/>
    <row r="243" ht="14.1" customHeight="1"/>
    <row r="244" ht="14.1" customHeight="1"/>
    <row r="245" ht="14.1" customHeight="1"/>
    <row r="246" ht="14.1" customHeight="1"/>
    <row r="247" ht="14.1" customHeight="1"/>
    <row r="248" ht="14.1" customHeight="1"/>
    <row r="249" ht="14.1" customHeight="1"/>
    <row r="250" ht="14.1" customHeight="1"/>
    <row r="251" ht="14.1" customHeight="1"/>
    <row r="252" ht="14.1" customHeight="1"/>
    <row r="253" ht="14.1" customHeight="1"/>
    <row r="254" ht="14.1" customHeight="1"/>
    <row r="255" ht="14.1" customHeight="1"/>
    <row r="256" ht="14.1" customHeight="1"/>
    <row r="257" ht="14.1" customHeight="1"/>
    <row r="258" ht="14.1" customHeight="1"/>
    <row r="259" ht="14.1" customHeight="1"/>
    <row r="260" ht="14.1" customHeight="1"/>
    <row r="261" ht="14.1" customHeight="1"/>
    <row r="262" ht="14.1" customHeight="1"/>
    <row r="263" ht="14.1" customHeight="1"/>
    <row r="264" ht="14.1" customHeight="1"/>
    <row r="265" ht="14.1" customHeight="1"/>
    <row r="266" ht="14.1" customHeight="1"/>
    <row r="267" ht="14.1" customHeight="1"/>
    <row r="268" ht="14.1" customHeight="1"/>
    <row r="269" ht="14.1" customHeight="1"/>
    <row r="270" ht="14.1" customHeight="1"/>
    <row r="271" ht="14.1" customHeight="1"/>
    <row r="272" ht="14.1" customHeight="1"/>
    <row r="273" ht="14.1" customHeight="1"/>
    <row r="274" ht="14.1" customHeight="1"/>
    <row r="275" ht="14.1" customHeight="1"/>
    <row r="276" ht="14.1" customHeight="1"/>
    <row r="277" ht="14.1" customHeight="1"/>
    <row r="278" ht="14.1" customHeight="1"/>
    <row r="279" ht="14.1" customHeight="1"/>
    <row r="280" ht="14.1" customHeight="1"/>
    <row r="281" ht="14.1" customHeight="1"/>
    <row r="282" ht="14.1" customHeight="1"/>
    <row r="283" ht="14.1" customHeight="1"/>
    <row r="284" ht="14.1" customHeight="1"/>
    <row r="285" ht="14.1" customHeight="1"/>
    <row r="286" ht="14.1" customHeight="1"/>
    <row r="287" ht="14.1" customHeight="1"/>
    <row r="288" ht="14.1" customHeight="1"/>
    <row r="289" ht="14.1" customHeight="1"/>
    <row r="290" ht="14.1" customHeight="1"/>
    <row r="291" ht="14.1" customHeight="1"/>
    <row r="292" ht="14.1" customHeight="1"/>
    <row r="293" ht="14.1" customHeight="1"/>
    <row r="294" ht="14.1" customHeight="1"/>
    <row r="295" ht="14.1" customHeight="1"/>
    <row r="296" ht="14.1" customHeight="1"/>
    <row r="297" ht="14.1" customHeight="1"/>
    <row r="298" ht="14.1" customHeight="1"/>
    <row r="299" ht="14.1" customHeight="1"/>
    <row r="300" ht="14.1" customHeight="1"/>
    <row r="301" ht="14.1" customHeight="1"/>
    <row r="302" ht="14.1" customHeight="1"/>
    <row r="303" ht="14.1" customHeight="1"/>
    <row r="304" ht="14.1" customHeight="1"/>
    <row r="305" ht="14.1" customHeight="1"/>
    <row r="306" ht="14.1" customHeight="1"/>
    <row r="307" ht="14.1" customHeight="1"/>
    <row r="308" ht="14.1" customHeight="1"/>
    <row r="309" ht="14.1" customHeight="1"/>
    <row r="310" ht="14.1" customHeight="1"/>
    <row r="311" ht="14.1" customHeight="1"/>
    <row r="312" ht="14.1" customHeight="1"/>
    <row r="313" ht="14.1" customHeight="1"/>
    <row r="314" ht="14.1" customHeight="1"/>
    <row r="315" ht="14.1" customHeight="1"/>
    <row r="316" ht="14.1" customHeight="1"/>
    <row r="317" ht="14.1" customHeight="1"/>
    <row r="318" ht="14.1" customHeight="1"/>
    <row r="319" ht="14.1" customHeight="1"/>
    <row r="320" ht="14.1" customHeight="1"/>
    <row r="321" ht="14.1" customHeight="1"/>
    <row r="322" ht="14.1" customHeight="1"/>
    <row r="323" ht="14.1" customHeight="1"/>
    <row r="324" ht="14.1" customHeight="1"/>
    <row r="325" ht="14.1" customHeight="1"/>
    <row r="326" ht="14.1" customHeight="1"/>
    <row r="327" ht="14.1" customHeight="1"/>
    <row r="328" ht="14.1" customHeight="1"/>
    <row r="329" ht="14.1" customHeight="1"/>
    <row r="330" ht="14.1" customHeight="1"/>
    <row r="331" ht="14.1" customHeight="1"/>
    <row r="332" ht="14.1" customHeight="1"/>
    <row r="333" ht="14.1" customHeight="1"/>
    <row r="334" ht="14.1" customHeight="1"/>
    <row r="335" ht="14.1" customHeight="1"/>
    <row r="336" ht="14.1" customHeight="1"/>
    <row r="337" ht="14.1" customHeight="1"/>
    <row r="338" ht="14.1" customHeight="1"/>
    <row r="339" ht="14.1" customHeight="1"/>
    <row r="340" ht="14.1" customHeight="1"/>
    <row r="341" ht="14.1" customHeight="1"/>
    <row r="342" ht="14.1" customHeight="1"/>
    <row r="343" ht="14.1" customHeight="1"/>
    <row r="344" ht="14.1" customHeight="1"/>
    <row r="345" ht="14.1" customHeight="1"/>
    <row r="346" ht="14.1" customHeight="1"/>
    <row r="347" ht="14.1" customHeight="1"/>
    <row r="348" ht="14.1" customHeight="1"/>
    <row r="349" ht="14.1" customHeight="1"/>
    <row r="350" ht="14.1" customHeight="1"/>
    <row r="351" ht="14.1" customHeight="1"/>
    <row r="352" ht="14.1" customHeight="1"/>
    <row r="353" ht="14.1" customHeight="1"/>
    <row r="354" ht="14.1" customHeight="1"/>
    <row r="355" ht="14.1" customHeight="1"/>
    <row r="356" ht="14.1" customHeight="1"/>
    <row r="357" ht="14.1" customHeight="1"/>
    <row r="358" ht="14.1" customHeight="1"/>
    <row r="359" ht="14.1" customHeight="1"/>
    <row r="360" ht="14.1" customHeight="1"/>
    <row r="361" ht="14.1" customHeight="1"/>
    <row r="362" ht="14.1" customHeight="1"/>
    <row r="363" ht="14.1" customHeight="1"/>
    <row r="364" ht="14.1" customHeight="1"/>
    <row r="365" ht="14.1" customHeight="1"/>
    <row r="366" ht="14.1" customHeight="1"/>
    <row r="367" ht="14.1" customHeight="1"/>
    <row r="368" ht="14.1" customHeight="1"/>
    <row r="369" ht="14.1" customHeight="1"/>
    <row r="370" ht="14.1" customHeight="1"/>
    <row r="371" ht="14.1" customHeight="1"/>
    <row r="372" ht="14.1" customHeight="1"/>
    <row r="373" ht="14.1" customHeight="1"/>
    <row r="374" ht="14.1" customHeight="1"/>
    <row r="375" ht="14.1" customHeight="1"/>
    <row r="376" ht="14.1" customHeight="1"/>
    <row r="377" ht="14.1" customHeight="1"/>
    <row r="378" ht="14.1" customHeight="1"/>
    <row r="379" ht="14.1" customHeight="1"/>
    <row r="380" ht="14.1" customHeight="1"/>
    <row r="381" ht="14.1" customHeight="1"/>
    <row r="382" ht="14.1" customHeight="1"/>
    <row r="383" ht="14.1" customHeight="1"/>
    <row r="384" ht="14.1" customHeight="1"/>
    <row r="385" ht="14.1" customHeight="1"/>
    <row r="386" ht="14.1" customHeight="1"/>
    <row r="387" ht="14.1" customHeight="1"/>
    <row r="388" ht="14.1" customHeight="1"/>
    <row r="389" ht="14.1" customHeight="1"/>
    <row r="390" ht="14.1" customHeight="1"/>
    <row r="391" ht="14.1" customHeight="1"/>
    <row r="392" ht="14.1" customHeight="1"/>
    <row r="393" ht="14.1" customHeight="1"/>
    <row r="394" ht="14.1" customHeight="1"/>
    <row r="395" ht="14.1" customHeight="1"/>
    <row r="396" ht="14.1" customHeight="1"/>
    <row r="397" ht="14.1" customHeight="1"/>
    <row r="398" ht="14.1" customHeight="1"/>
    <row r="399" ht="14.1" customHeight="1"/>
    <row r="400" ht="14.1" customHeight="1"/>
    <row r="401" ht="14.1" customHeight="1"/>
    <row r="402" ht="14.1" customHeight="1"/>
    <row r="403" ht="14.1" customHeight="1"/>
    <row r="404" ht="14.1" customHeight="1"/>
    <row r="405" ht="14.1" customHeight="1"/>
    <row r="406" ht="14.1" customHeight="1"/>
    <row r="407" ht="14.1" customHeight="1"/>
    <row r="408" ht="14.1" customHeight="1"/>
    <row r="409" ht="14.1" customHeight="1"/>
    <row r="410" ht="14.1" customHeight="1"/>
    <row r="411" ht="14.1" customHeight="1"/>
    <row r="412" ht="14.1" customHeight="1"/>
    <row r="413" ht="14.1" customHeight="1"/>
    <row r="414" ht="14.1" customHeight="1"/>
    <row r="415" ht="14.1" customHeight="1"/>
    <row r="416" ht="14.1" customHeight="1"/>
    <row r="417" ht="14.1" customHeight="1"/>
    <row r="418" ht="14.1" customHeight="1"/>
    <row r="419" ht="14.1" customHeight="1"/>
    <row r="420" ht="14.1" customHeight="1"/>
    <row r="421" ht="14.1" customHeight="1"/>
    <row r="422" ht="14.1" customHeight="1"/>
    <row r="423" ht="14.1" customHeight="1"/>
    <row r="424" ht="14.1" customHeight="1"/>
    <row r="425" ht="14.1" customHeight="1"/>
    <row r="426" ht="14.1" customHeight="1"/>
    <row r="427" ht="14.1" customHeight="1"/>
    <row r="428" ht="14.1" customHeight="1"/>
    <row r="429" ht="14.1" customHeight="1"/>
    <row r="430" ht="14.1" customHeight="1"/>
    <row r="431" ht="14.1" customHeight="1"/>
    <row r="432" ht="14.1" customHeight="1"/>
    <row r="433" ht="14.1" customHeight="1"/>
    <row r="434" ht="14.1" customHeight="1"/>
    <row r="435" ht="14.1" customHeight="1"/>
    <row r="436" ht="14.1" customHeight="1"/>
    <row r="437" ht="14.1" customHeight="1"/>
    <row r="438" ht="14.1" customHeight="1"/>
    <row r="439" ht="14.1" customHeight="1"/>
    <row r="440" ht="14.1" customHeight="1"/>
    <row r="441" ht="14.1" customHeight="1"/>
    <row r="442" ht="14.1" customHeight="1"/>
    <row r="443" ht="14.1" customHeight="1"/>
    <row r="444" ht="14.1" customHeight="1"/>
    <row r="445" ht="14.1" customHeight="1"/>
    <row r="446" ht="14.1" customHeight="1"/>
    <row r="447" ht="14.1" customHeight="1"/>
    <row r="448" ht="14.1" customHeight="1"/>
    <row r="449" ht="14.1" customHeight="1"/>
    <row r="450" ht="14.1" customHeight="1"/>
    <row r="451" ht="14.1" customHeight="1"/>
    <row r="452" ht="14.1" customHeight="1"/>
    <row r="453" ht="14.1" customHeight="1"/>
    <row r="454" ht="14.1" customHeight="1"/>
    <row r="455" ht="14.1" customHeight="1"/>
    <row r="456" ht="14.1" customHeight="1"/>
    <row r="457" ht="14.1" customHeight="1"/>
    <row r="458" ht="14.1" customHeight="1"/>
    <row r="459" ht="14.1" customHeight="1"/>
    <row r="460" ht="14.1" customHeight="1"/>
    <row r="461" ht="14.1" customHeight="1"/>
    <row r="462" ht="14.1" customHeight="1"/>
    <row r="463" ht="14.1" customHeight="1"/>
    <row r="464" ht="14.1" customHeight="1"/>
    <row r="465" ht="14.1" customHeight="1"/>
    <row r="466" ht="14.1" customHeight="1"/>
    <row r="467" ht="14.1" customHeight="1"/>
    <row r="468" ht="14.1" customHeight="1"/>
    <row r="469" ht="14.1" customHeight="1"/>
    <row r="470" ht="14.1" customHeight="1"/>
    <row r="471" ht="14.1" customHeight="1"/>
    <row r="472" ht="14.1" customHeight="1"/>
    <row r="473" ht="14.1" customHeight="1"/>
    <row r="474" ht="14.1" customHeight="1"/>
    <row r="475" ht="14.1" customHeight="1"/>
    <row r="476" ht="14.1" customHeight="1"/>
    <row r="477" ht="14.1" customHeight="1"/>
    <row r="478" ht="14.1" customHeight="1"/>
    <row r="479" ht="14.1" customHeight="1"/>
    <row r="480" ht="14.1" customHeight="1"/>
    <row r="481" ht="14.1" customHeight="1"/>
    <row r="482" ht="14.1" customHeight="1"/>
    <row r="483" ht="14.1" customHeight="1"/>
    <row r="484" ht="14.1" customHeight="1"/>
    <row r="485" ht="14.1" customHeight="1"/>
    <row r="486" ht="14.1" customHeight="1"/>
    <row r="487" ht="14.1" customHeight="1"/>
    <row r="488" ht="14.1" customHeight="1"/>
    <row r="489" ht="14.1" customHeight="1"/>
    <row r="490" ht="14.1" customHeight="1"/>
    <row r="491" ht="14.1" customHeight="1"/>
    <row r="492" ht="14.1" customHeight="1"/>
    <row r="493" ht="14.1" customHeight="1"/>
    <row r="494" ht="14.1" customHeight="1"/>
    <row r="495" ht="14.1" customHeight="1"/>
    <row r="496" ht="14.1" customHeight="1"/>
    <row r="497" ht="14.1" customHeight="1"/>
    <row r="498" ht="14.1" customHeight="1"/>
    <row r="499" ht="14.1" customHeight="1"/>
    <row r="500" ht="14.1" customHeight="1"/>
    <row r="501" ht="14.1" customHeight="1"/>
    <row r="502" ht="14.1" customHeight="1"/>
    <row r="503" ht="14.1" customHeight="1"/>
    <row r="504" ht="14.1" customHeight="1"/>
    <row r="505" ht="14.1" customHeight="1"/>
    <row r="506" ht="14.1" customHeight="1"/>
    <row r="507" ht="14.1" customHeight="1"/>
    <row r="508" ht="14.1" customHeight="1"/>
    <row r="509" ht="14.1" customHeight="1"/>
    <row r="510" ht="14.1" customHeight="1"/>
    <row r="511" ht="14.1" customHeight="1"/>
    <row r="512" ht="14.1" customHeight="1"/>
    <row r="513" ht="14.1" customHeight="1"/>
    <row r="514" ht="14.1" customHeight="1"/>
    <row r="515" ht="14.1" customHeight="1"/>
    <row r="516" ht="14.1" customHeight="1"/>
    <row r="517" ht="14.1" customHeight="1"/>
    <row r="518" ht="14.1" customHeight="1"/>
    <row r="519" ht="14.1" customHeight="1"/>
    <row r="520" ht="14.1" customHeight="1"/>
    <row r="521" ht="14.1" customHeight="1"/>
    <row r="522" ht="14.1" customHeight="1"/>
    <row r="523" ht="14.1" customHeight="1"/>
    <row r="524" ht="14.1" customHeight="1"/>
    <row r="525" ht="14.1" customHeight="1"/>
    <row r="526" ht="14.1" customHeight="1"/>
    <row r="527" ht="14.1" customHeight="1"/>
    <row r="528" ht="14.1" customHeight="1"/>
    <row r="529" ht="14.1" customHeight="1"/>
    <row r="530" ht="14.1" customHeight="1"/>
    <row r="531" ht="14.1" customHeight="1"/>
    <row r="532" ht="14.1" customHeight="1"/>
    <row r="533" ht="14.1" customHeight="1"/>
    <row r="534" ht="14.1" customHeight="1"/>
    <row r="535" ht="14.1" customHeight="1"/>
    <row r="536" ht="14.1" customHeight="1"/>
    <row r="537" ht="14.1" customHeight="1"/>
    <row r="538" ht="14.1" customHeight="1"/>
    <row r="539" ht="14.1" customHeight="1"/>
    <row r="540" ht="14.1" customHeight="1"/>
    <row r="541" ht="14.1" customHeight="1"/>
    <row r="542" ht="14.1" customHeight="1"/>
    <row r="543" ht="14.1" customHeight="1"/>
    <row r="544" ht="14.1" customHeight="1"/>
    <row r="545" ht="14.1" customHeight="1"/>
    <row r="546" ht="14.1" customHeight="1"/>
    <row r="547" ht="14.1" customHeight="1"/>
    <row r="548" ht="14.1" customHeight="1"/>
    <row r="549" ht="14.1" customHeight="1"/>
    <row r="550" ht="14.1" customHeight="1"/>
    <row r="551" ht="14.1" customHeight="1"/>
    <row r="552" ht="14.1" customHeight="1"/>
    <row r="553" ht="14.1" customHeight="1"/>
    <row r="554" ht="14.1" customHeight="1"/>
    <row r="555" ht="14.1" customHeight="1"/>
    <row r="556" ht="14.1" customHeight="1"/>
    <row r="557" ht="14.1" customHeight="1"/>
    <row r="558" ht="14.1" customHeight="1"/>
    <row r="559" ht="14.1" customHeight="1"/>
    <row r="560" ht="14.1" customHeight="1"/>
    <row r="561" ht="14.1" customHeight="1"/>
    <row r="562" ht="14.1" customHeight="1"/>
    <row r="563" ht="14.1" customHeight="1"/>
    <row r="564" ht="14.1" customHeight="1"/>
    <row r="565" ht="14.1" customHeight="1"/>
    <row r="566" ht="14.1" customHeight="1"/>
    <row r="567" ht="14.1" customHeight="1"/>
    <row r="568" ht="14.1" customHeight="1"/>
    <row r="569" ht="14.1" customHeight="1"/>
    <row r="570" ht="14.1" customHeight="1"/>
    <row r="571" ht="14.1" customHeight="1"/>
    <row r="572" ht="14.1" customHeight="1"/>
    <row r="573" ht="14.1" customHeight="1"/>
    <row r="574" ht="14.1" customHeight="1"/>
    <row r="575" ht="14.1" customHeight="1"/>
    <row r="576" ht="14.1" customHeight="1"/>
    <row r="577" ht="14.1" customHeight="1"/>
    <row r="578" ht="14.1" customHeight="1"/>
    <row r="579" ht="14.1" customHeight="1"/>
    <row r="580" ht="14.1" customHeight="1"/>
    <row r="581" ht="14.1" customHeight="1"/>
    <row r="582" ht="14.1" customHeight="1"/>
    <row r="583" ht="14.1" customHeight="1"/>
    <row r="584" ht="14.1" customHeight="1"/>
    <row r="585" ht="14.1" customHeight="1"/>
    <row r="586" ht="14.1" customHeight="1"/>
    <row r="587" ht="14.1" customHeight="1"/>
    <row r="588" ht="14.1" customHeight="1"/>
    <row r="589" ht="14.1" customHeight="1"/>
    <row r="590" ht="14.1" customHeight="1"/>
    <row r="591" ht="14.1" customHeight="1"/>
    <row r="592" ht="14.1" customHeight="1"/>
    <row r="593" ht="14.1" customHeight="1"/>
    <row r="594" ht="14.1" customHeight="1"/>
    <row r="595" ht="14.1" customHeight="1"/>
    <row r="596" ht="14.1" customHeight="1"/>
    <row r="597" ht="14.1" customHeight="1"/>
    <row r="598" ht="14.1" customHeight="1"/>
    <row r="599" ht="14.1" customHeight="1"/>
    <row r="600" ht="14.1" customHeight="1"/>
    <row r="601" ht="14.1" customHeight="1"/>
    <row r="602" ht="14.1" customHeight="1"/>
    <row r="603" ht="14.1" customHeight="1"/>
    <row r="604" ht="14.1" customHeight="1"/>
    <row r="605" ht="14.1" customHeight="1"/>
    <row r="606" ht="14.1" customHeight="1"/>
    <row r="607" ht="14.1" customHeight="1"/>
    <row r="608" ht="14.1" customHeight="1"/>
    <row r="609" ht="14.1" customHeight="1"/>
    <row r="610" ht="14.1" customHeight="1"/>
    <row r="611" ht="14.1" customHeight="1"/>
    <row r="612" ht="14.1" customHeight="1"/>
    <row r="613" ht="14.1" customHeight="1"/>
    <row r="614" ht="14.1" customHeight="1"/>
    <row r="615" ht="14.1" customHeight="1"/>
    <row r="616" ht="14.1" customHeight="1"/>
    <row r="617" ht="14.1" customHeight="1"/>
    <row r="618" ht="14.1" customHeight="1"/>
    <row r="619" ht="14.1" customHeight="1"/>
    <row r="620" ht="14.1" customHeight="1"/>
    <row r="621" ht="14.1" customHeight="1"/>
    <row r="622" ht="14.1" customHeight="1"/>
    <row r="623" ht="14.1" customHeight="1"/>
    <row r="624" ht="14.1" customHeight="1"/>
    <row r="625" ht="14.1" customHeight="1"/>
    <row r="626" ht="14.1" customHeight="1"/>
    <row r="627" ht="14.1" customHeight="1"/>
    <row r="628" ht="14.1" customHeight="1"/>
    <row r="629" ht="14.1" customHeight="1"/>
    <row r="630" ht="14.1" customHeight="1"/>
    <row r="631" ht="14.1" customHeight="1"/>
    <row r="632" ht="14.1" customHeight="1"/>
    <row r="633" ht="14.1" customHeight="1"/>
    <row r="634" ht="14.1" customHeight="1"/>
    <row r="635" ht="14.1" customHeight="1"/>
    <row r="636" ht="14.1" customHeight="1"/>
    <row r="637" ht="14.1" customHeight="1"/>
    <row r="638" ht="14.1" customHeight="1"/>
    <row r="639" ht="14.1" customHeight="1"/>
    <row r="640" ht="14.1" customHeight="1"/>
    <row r="641" ht="14.1" customHeight="1"/>
    <row r="642" ht="14.1" customHeight="1"/>
    <row r="643" ht="14.1" customHeight="1"/>
    <row r="644" ht="14.1" customHeight="1"/>
    <row r="645" ht="14.1" customHeight="1"/>
    <row r="646" ht="14.1" customHeight="1"/>
    <row r="647" ht="14.1" customHeight="1"/>
    <row r="648" ht="14.1" customHeight="1"/>
    <row r="649" ht="14.1" customHeight="1"/>
    <row r="650" ht="14.1" customHeight="1"/>
    <row r="651" ht="14.1" customHeight="1"/>
    <row r="652" ht="14.1" customHeight="1"/>
    <row r="653" ht="14.1" customHeight="1"/>
    <row r="654" ht="14.1" customHeight="1"/>
    <row r="655" ht="14.1" customHeight="1"/>
    <row r="656" ht="14.1" customHeight="1"/>
    <row r="657" ht="14.1" customHeight="1"/>
    <row r="658" ht="14.1" customHeight="1"/>
    <row r="659" ht="14.1" customHeight="1"/>
    <row r="660" ht="14.1" customHeight="1"/>
    <row r="661" ht="14.1" customHeight="1"/>
    <row r="662" ht="14.1" customHeight="1"/>
    <row r="663" ht="14.1" customHeight="1"/>
    <row r="664" ht="14.1" customHeight="1"/>
    <row r="665" ht="14.1" customHeight="1"/>
    <row r="666" ht="14.1" customHeight="1"/>
    <row r="667" ht="14.1" customHeight="1"/>
    <row r="668" ht="14.1" customHeight="1"/>
    <row r="669" ht="14.1" customHeight="1"/>
    <row r="670" ht="14.1" customHeight="1"/>
    <row r="671" ht="14.1" customHeight="1"/>
    <row r="672" ht="14.1" customHeight="1"/>
    <row r="673" ht="14.1" customHeight="1"/>
    <row r="674" ht="14.1" customHeight="1"/>
    <row r="675" ht="14.1" customHeight="1"/>
    <row r="676" ht="14.1" customHeight="1"/>
    <row r="677" ht="14.1" customHeight="1"/>
    <row r="678" ht="14.1" customHeight="1"/>
    <row r="679" ht="14.1" customHeight="1"/>
    <row r="680" ht="14.1" customHeight="1"/>
    <row r="681" ht="14.1" customHeight="1"/>
    <row r="682" ht="14.1" customHeight="1"/>
    <row r="683" ht="14.1" customHeight="1"/>
    <row r="684" ht="14.1" customHeight="1"/>
    <row r="685" ht="14.1" customHeight="1"/>
    <row r="686" ht="14.1" customHeight="1"/>
    <row r="687" ht="14.1" customHeight="1"/>
    <row r="688" ht="14.1" customHeight="1"/>
    <row r="689" ht="14.1" customHeight="1"/>
    <row r="690" ht="14.1" customHeight="1"/>
    <row r="691" ht="14.1" customHeight="1"/>
    <row r="692" ht="14.1" customHeight="1"/>
    <row r="693" ht="14.1" customHeight="1"/>
    <row r="694" ht="14.1" customHeight="1"/>
    <row r="695" ht="14.1" customHeight="1"/>
    <row r="696" ht="14.1" customHeight="1"/>
    <row r="697" ht="14.1" customHeight="1"/>
    <row r="698" ht="14.1" customHeight="1"/>
    <row r="699" ht="14.1" customHeight="1"/>
    <row r="700" ht="14.1" customHeight="1"/>
    <row r="701" ht="14.1" customHeight="1"/>
    <row r="702" ht="14.1" customHeight="1"/>
    <row r="703" ht="14.1" customHeight="1"/>
    <row r="704" ht="14.1" customHeight="1"/>
    <row r="705" ht="14.1" customHeight="1"/>
    <row r="706" ht="14.1" customHeight="1"/>
    <row r="707" ht="14.1" customHeight="1"/>
    <row r="708" ht="14.1" customHeight="1"/>
    <row r="709" ht="14.1" customHeight="1"/>
    <row r="710" ht="14.1" customHeight="1"/>
    <row r="711" ht="14.1" customHeight="1"/>
    <row r="712" ht="14.1" customHeight="1"/>
    <row r="713" ht="14.1" customHeight="1"/>
    <row r="714" ht="14.1" customHeight="1"/>
    <row r="715" ht="14.1" customHeight="1"/>
    <row r="716" ht="14.1" customHeight="1"/>
    <row r="717" ht="14.1" customHeight="1"/>
    <row r="718" ht="14.1" customHeight="1"/>
    <row r="719" ht="14.1" customHeight="1"/>
    <row r="720" ht="14.1" customHeight="1"/>
    <row r="721" ht="14.1" customHeight="1"/>
    <row r="722" ht="14.1" customHeight="1"/>
    <row r="723" ht="14.1" customHeight="1"/>
    <row r="724" ht="14.1" customHeight="1"/>
    <row r="725" ht="14.1" customHeight="1"/>
    <row r="726" ht="14.1" customHeight="1"/>
    <row r="727" ht="14.1" customHeight="1"/>
    <row r="728" ht="14.1" customHeight="1"/>
    <row r="729" ht="14.1" customHeight="1"/>
    <row r="730" ht="14.1" customHeight="1"/>
    <row r="731" ht="14.1" customHeight="1"/>
    <row r="732" ht="14.1" customHeight="1"/>
    <row r="733" ht="14.1" customHeight="1"/>
    <row r="734" ht="14.1" customHeight="1"/>
    <row r="735" ht="14.1" customHeight="1"/>
    <row r="736" ht="14.1" customHeight="1"/>
    <row r="737" ht="14.1" customHeight="1"/>
    <row r="738" ht="14.1" customHeight="1"/>
    <row r="739" ht="14.1" customHeight="1"/>
    <row r="740" ht="14.1" customHeight="1"/>
    <row r="741" ht="14.1" customHeight="1"/>
    <row r="742" ht="14.1" customHeight="1"/>
    <row r="743" ht="14.1" customHeight="1"/>
    <row r="744" ht="14.1" customHeight="1"/>
    <row r="745" ht="14.1" customHeight="1"/>
    <row r="746" ht="14.1" customHeight="1"/>
    <row r="747" ht="14.1" customHeight="1"/>
    <row r="748" ht="14.1" customHeight="1"/>
    <row r="749" ht="14.1" customHeight="1"/>
    <row r="750" ht="14.1" customHeight="1"/>
    <row r="751" ht="14.1" customHeight="1"/>
    <row r="752" ht="14.1" customHeight="1"/>
    <row r="753" ht="14.1" customHeight="1"/>
    <row r="754" ht="14.1" customHeight="1"/>
    <row r="755" ht="14.1" customHeight="1"/>
    <row r="756" ht="14.1" customHeight="1"/>
    <row r="757" ht="14.1" customHeight="1"/>
    <row r="758" ht="14.1" customHeight="1"/>
    <row r="759" ht="14.1" customHeight="1"/>
    <row r="760" ht="14.1" customHeight="1"/>
    <row r="761" ht="14.1" customHeight="1"/>
    <row r="762" ht="14.1" customHeight="1"/>
    <row r="763" ht="14.1" customHeight="1"/>
    <row r="764" ht="14.1" customHeight="1"/>
    <row r="765" ht="14.1" customHeight="1"/>
    <row r="766" ht="14.1" customHeight="1"/>
    <row r="767" ht="14.1" customHeight="1"/>
    <row r="768" ht="14.1" customHeight="1"/>
    <row r="769" ht="14.1" customHeight="1"/>
    <row r="770" ht="14.1" customHeight="1"/>
    <row r="771" ht="14.1" customHeight="1"/>
    <row r="772" ht="14.1" customHeight="1"/>
    <row r="773" ht="14.1" customHeight="1"/>
    <row r="774" ht="14.1" customHeight="1"/>
    <row r="775" ht="14.1" customHeight="1"/>
    <row r="776" ht="14.1" customHeight="1"/>
    <row r="777" ht="14.1" customHeight="1"/>
    <row r="778" ht="14.1" customHeight="1"/>
    <row r="779" ht="14.1" customHeight="1"/>
    <row r="780" ht="14.1" customHeight="1"/>
    <row r="781" ht="14.1" customHeight="1"/>
    <row r="782" ht="14.1" customHeight="1"/>
    <row r="783" ht="14.1" customHeight="1"/>
    <row r="784" ht="14.1" customHeight="1"/>
    <row r="785" ht="14.1" customHeight="1"/>
    <row r="786" ht="14.1" customHeight="1"/>
    <row r="787" ht="14.1" customHeight="1"/>
    <row r="788" ht="14.1" customHeight="1"/>
    <row r="789" ht="14.1" customHeight="1"/>
    <row r="790" ht="14.1" customHeight="1"/>
    <row r="791" ht="14.1" customHeight="1"/>
    <row r="792" ht="14.1" customHeight="1"/>
    <row r="793" ht="14.1" customHeight="1"/>
  </sheetData>
  <pageMargins left="0.61" right="0.16" top="0.87" bottom="0.21" header="0.16" footer="0.16"/>
  <pageSetup paperSize="8" scale="51" orientation="portrait"/>
  <headerFooter alignWithMargins="0">
    <oddFooter>&amp;L_x000D_&amp;1#&amp;"Arial"&amp;7&amp;KDAD4CE Public&amp;C&amp;"Verdana"&amp;10 &amp;KC1C1C1_x000D_# Restricted</oddFooter>
  </headerFooter>
</worksheet>
</file>

<file path=docMetadata/LabelInfo.xml><?xml version="1.0" encoding="utf-8"?>
<clbl:labelList xmlns:clbl="http://schemas.microsoft.com/office/2020/mipLabelMetadata">
  <clbl:label id="{4d12be1c-d27c-4ec9-b239-ad171082eb1d}" enabled="1" method="Privileged" siteId="{f0bdc1c9-5148-4f86-ac40-edd976e1814c}" removed="0"/>
</clbl:labelLis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47</vt:i4>
      </vt:variant>
    </vt:vector>
  </HeadingPairs>
  <TitlesOfParts>
    <vt:vector size="47" baseType="lpstr">
      <vt:lpstr>Summary</vt:lpstr>
      <vt:lpstr>AASTV</vt:lpstr>
      <vt:lpstr>ABLOY</vt:lpstr>
      <vt:lpstr>Americas</vt:lpstr>
      <vt:lpstr>Angel</vt:lpstr>
      <vt:lpstr>Aperio</vt:lpstr>
      <vt:lpstr>Chubb Custodial</vt:lpstr>
      <vt:lpstr>Control iD</vt:lpstr>
      <vt:lpstr>Ditec</vt:lpstr>
      <vt:lpstr>effeff</vt:lpstr>
      <vt:lpstr>Guli</vt:lpstr>
      <vt:lpstr>Guoqiang</vt:lpstr>
      <vt:lpstr>Henderson</vt:lpstr>
      <vt:lpstr>IKON</vt:lpstr>
      <vt:lpstr>KESO</vt:lpstr>
      <vt:lpstr>King</vt:lpstr>
      <vt:lpstr>Lorient</vt:lpstr>
      <vt:lpstr>MAB</vt:lpstr>
      <vt:lpstr>Planet</vt:lpstr>
      <vt:lpstr>Roger</vt:lpstr>
      <vt:lpstr>Shenfei</vt:lpstr>
      <vt:lpstr>TESA</vt:lpstr>
      <vt:lpstr>Trimec &amp; Lockwood</vt:lpstr>
      <vt:lpstr>Unilock</vt:lpstr>
      <vt:lpstr>Valli</vt:lpstr>
      <vt:lpstr>Atnesis</vt:lpstr>
      <vt:lpstr>Bircher</vt:lpstr>
      <vt:lpstr>Camax</vt:lpstr>
      <vt:lpstr>Daedalus</vt:lpstr>
      <vt:lpstr>Di Nuo</vt:lpstr>
      <vt:lpstr>Dortec</vt:lpstr>
      <vt:lpstr>Fu Hsing</vt:lpstr>
      <vt:lpstr>Fuerda</vt:lpstr>
      <vt:lpstr>GHL</vt:lpstr>
      <vt:lpstr>Hezhi</vt:lpstr>
      <vt:lpstr>Hua Feng</vt:lpstr>
      <vt:lpstr>Jiangsu</vt:lpstr>
      <vt:lpstr>Jixin</vt:lpstr>
      <vt:lpstr>Kaisite</vt:lpstr>
      <vt:lpstr>Lao Lun Si</vt:lpstr>
      <vt:lpstr>Liko</vt:lpstr>
      <vt:lpstr>Limai</vt:lpstr>
      <vt:lpstr>QH Metal</vt:lpstr>
      <vt:lpstr>Unity</vt:lpstr>
      <vt:lpstr>Xingtai</vt:lpstr>
      <vt:lpstr>YLI</vt:lpstr>
      <vt:lpstr>Zhisheng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Akhtar Sulaiman</dc:creator>
  <cp:lastModifiedBy>Ibrahim, Fahmi</cp:lastModifiedBy>
  <cp:lastPrinted>2026-04-28T06:57:52Z</cp:lastPrinted>
  <dcterms:created xsi:type="dcterms:W3CDTF">2022-11-10T01:57:34Z</dcterms:created>
  <dcterms:modified xsi:type="dcterms:W3CDTF">2026-07-07T08:07:12Z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0x0101003ED8EB279547C4418BD7B86A29B69A6C</vt:lpwstr>
  </property>
</Properties>
</file>